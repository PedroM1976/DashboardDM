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1_{D9598F07-0A9F-4883-B619-8E5285DE8295}" xr6:coauthVersionLast="47" xr6:coauthVersionMax="47" xr10:uidLastSave="{00000000-0000-0000-0000-000000000000}"/>
  <bookViews>
    <workbookView xWindow="-28920" yWindow="321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Sheet1!$A$1:$AL$4529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529" i="1" l="1"/>
  <c r="X4529" i="1" s="1"/>
  <c r="W4524" i="1"/>
  <c r="AK4524" i="1" s="1"/>
  <c r="W4522" i="1"/>
  <c r="AK4522" i="1" s="1"/>
  <c r="W4528" i="1"/>
  <c r="X4528" i="1" s="1"/>
  <c r="W4523" i="1"/>
  <c r="AK4523" i="1" s="1"/>
  <c r="W4521" i="1"/>
  <c r="X4521" i="1" s="1"/>
  <c r="W4526" i="1"/>
  <c r="X4526" i="1" s="1"/>
  <c r="AK4520" i="1"/>
  <c r="AL4520" i="1"/>
  <c r="AK4525" i="1"/>
  <c r="AL4525" i="1"/>
  <c r="AK4527" i="1"/>
  <c r="AL4527" i="1"/>
  <c r="X4520" i="1"/>
  <c r="X4522" i="1"/>
  <c r="X4525" i="1"/>
  <c r="X4527" i="1"/>
  <c r="U4528" i="1"/>
  <c r="V4528" i="1" s="1"/>
  <c r="U4529" i="1"/>
  <c r="V4529" i="1" s="1"/>
  <c r="U4527" i="1"/>
  <c r="V4527" i="1" s="1"/>
  <c r="U4521" i="1"/>
  <c r="V4521" i="1" s="1"/>
  <c r="U4522" i="1"/>
  <c r="V4522" i="1" s="1"/>
  <c r="U4523" i="1"/>
  <c r="V4523" i="1" s="1"/>
  <c r="U4524" i="1"/>
  <c r="V4524" i="1" s="1"/>
  <c r="U4525" i="1"/>
  <c r="V4525" i="1" s="1"/>
  <c r="U4520" i="1"/>
  <c r="V4520" i="1" s="1"/>
  <c r="W3890" i="1"/>
  <c r="AK3890" i="1" s="1"/>
  <c r="W571" i="1"/>
  <c r="W570" i="1"/>
  <c r="W568" i="1"/>
  <c r="W359" i="1"/>
  <c r="W364" i="1"/>
  <c r="W363" i="1"/>
  <c r="W308" i="1"/>
  <c r="X308" i="1" s="1"/>
  <c r="W1882" i="1"/>
  <c r="AL1882" i="1" s="1"/>
  <c r="W1881" i="1"/>
  <c r="AL1881" i="1" s="1"/>
  <c r="W1880" i="1"/>
  <c r="AL1880" i="1" s="1"/>
  <c r="W1234" i="1"/>
  <c r="W2079" i="1"/>
  <c r="W2607" i="1"/>
  <c r="W2080" i="1"/>
  <c r="AK1217" i="1"/>
  <c r="W1862" i="1"/>
  <c r="AK4517" i="1"/>
  <c r="AL4517" i="1"/>
  <c r="W4519" i="1"/>
  <c r="X4519" i="1" s="1"/>
  <c r="W4518" i="1"/>
  <c r="AK4518" i="1" s="1"/>
  <c r="W4516" i="1"/>
  <c r="AL4516" i="1" s="1"/>
  <c r="AL4515" i="1"/>
  <c r="AK4515" i="1"/>
  <c r="V4515" i="1"/>
  <c r="X4515" i="1"/>
  <c r="X4517" i="1"/>
  <c r="U4517" i="1"/>
  <c r="V4517" i="1" s="1"/>
  <c r="U4518" i="1"/>
  <c r="V4518" i="1" s="1"/>
  <c r="U4519" i="1"/>
  <c r="V4519" i="1" s="1"/>
  <c r="U4516" i="1"/>
  <c r="V4516" i="1" s="1"/>
  <c r="X187" i="1"/>
  <c r="X43" i="1"/>
  <c r="X3536" i="1"/>
  <c r="W3533" i="1"/>
  <c r="W3030" i="1"/>
  <c r="X2228" i="1"/>
  <c r="W3750" i="1"/>
  <c r="AL3750" i="1" s="1"/>
  <c r="W3497" i="1"/>
  <c r="AK3497" i="1" s="1"/>
  <c r="W714" i="1"/>
  <c r="AL714" i="1" s="1"/>
  <c r="W550" i="1"/>
  <c r="AK550" i="1" s="1"/>
  <c r="W286" i="1"/>
  <c r="AL286" i="1" s="1"/>
  <c r="W759" i="1"/>
  <c r="W693" i="1"/>
  <c r="AK693" i="1" s="1"/>
  <c r="W645" i="1"/>
  <c r="W624" i="1"/>
  <c r="W638" i="1"/>
  <c r="W541" i="1"/>
  <c r="AL541" i="1" s="1"/>
  <c r="W539" i="1"/>
  <c r="X539" i="1" s="1"/>
  <c r="W532" i="1"/>
  <c r="W489" i="1"/>
  <c r="W445" i="1"/>
  <c r="W434" i="1"/>
  <c r="W427" i="1"/>
  <c r="W416" i="1"/>
  <c r="AL416" i="1" s="1"/>
  <c r="W423" i="1"/>
  <c r="AL423" i="1" s="1"/>
  <c r="W422" i="1"/>
  <c r="AL422" i="1" s="1"/>
  <c r="W421" i="1"/>
  <c r="AK421" i="1" s="1"/>
  <c r="U4514" i="1"/>
  <c r="V4514" i="1" s="1"/>
  <c r="W4514" i="1"/>
  <c r="AL4514" i="1" s="1"/>
  <c r="W4513" i="1"/>
  <c r="AL4513" i="1" s="1"/>
  <c r="U4513" i="1"/>
  <c r="V4513" i="1" s="1"/>
  <c r="AK4097" i="1"/>
  <c r="AL4139" i="1"/>
  <c r="AK4139" i="1"/>
  <c r="W4153" i="1"/>
  <c r="AL4153" i="1" s="1"/>
  <c r="W4235" i="1"/>
  <c r="AK4235" i="1" s="1"/>
  <c r="W4399" i="1"/>
  <c r="AK4399" i="1" s="1"/>
  <c r="W4102" i="1"/>
  <c r="X4102" i="1" s="1"/>
  <c r="W3880" i="1"/>
  <c r="W3699" i="1"/>
  <c r="X3699" i="1" s="1"/>
  <c r="W3437" i="1"/>
  <c r="W2927" i="1"/>
  <c r="W2348" i="1"/>
  <c r="W1988" i="1"/>
  <c r="W1876" i="1"/>
  <c r="AK1876" i="1" s="1"/>
  <c r="W1425" i="1"/>
  <c r="W1100" i="1"/>
  <c r="X1100" i="1" s="1"/>
  <c r="W506" i="1"/>
  <c r="X506" i="1" s="1"/>
  <c r="AK4093" i="1"/>
  <c r="W4098" i="1"/>
  <c r="AL4098" i="1" s="1"/>
  <c r="W4060" i="1"/>
  <c r="X4060" i="1" s="1"/>
  <c r="W2784" i="1"/>
  <c r="X2784" i="1" s="1"/>
  <c r="W4104" i="1"/>
  <c r="AL4104" i="1" s="1"/>
  <c r="W4054" i="1"/>
  <c r="AL4054" i="1" s="1"/>
  <c r="W3682" i="1"/>
  <c r="X3682" i="1" s="1"/>
  <c r="W2929" i="1"/>
  <c r="AK2929" i="1" s="1"/>
  <c r="W2663" i="1"/>
  <c r="AL2663" i="1" s="1"/>
  <c r="W2235" i="1"/>
  <c r="W1615" i="1"/>
  <c r="W1230" i="1"/>
  <c r="AK1230" i="1" s="1"/>
  <c r="W1103" i="1"/>
  <c r="AL1103" i="1" s="1"/>
  <c r="W966" i="1"/>
  <c r="AK966" i="1" s="1"/>
  <c r="W4067" i="1"/>
  <c r="X4067" i="1" s="1"/>
  <c r="W3704" i="1"/>
  <c r="X3704" i="1" s="1"/>
  <c r="W2931" i="1"/>
  <c r="X2931" i="1" s="1"/>
  <c r="W2619" i="1"/>
  <c r="X2619" i="1" s="1"/>
  <c r="W2362" i="1"/>
  <c r="AL2362" i="1" s="1"/>
  <c r="W2345" i="1"/>
  <c r="X2345" i="1" s="1"/>
  <c r="W2086" i="1"/>
  <c r="AL2086" i="1" s="1"/>
  <c r="W2036" i="1"/>
  <c r="AL2036" i="1" s="1"/>
  <c r="W1869" i="1"/>
  <c r="AL1869" i="1" s="1"/>
  <c r="W1842" i="1"/>
  <c r="W1639" i="1"/>
  <c r="AL1639" i="1" s="1"/>
  <c r="W1515" i="1"/>
  <c r="AL1515" i="1" s="1"/>
  <c r="W1165" i="1"/>
  <c r="AL1165" i="1" s="1"/>
  <c r="W781" i="1"/>
  <c r="AL781" i="1" s="1"/>
  <c r="AK1842" i="1"/>
  <c r="W581" i="1"/>
  <c r="AK581" i="1" s="1"/>
  <c r="W579" i="1"/>
  <c r="AK579" i="1" s="1"/>
  <c r="W291" i="1"/>
  <c r="AK291" i="1" s="1"/>
  <c r="W3380" i="1"/>
  <c r="AL3380" i="1" s="1"/>
  <c r="W2880" i="1"/>
  <c r="X2880" i="1" s="1"/>
  <c r="W138" i="1"/>
  <c r="X138" i="1" s="1"/>
  <c r="W78" i="1"/>
  <c r="X78" i="1" s="1"/>
  <c r="W4091" i="1"/>
  <c r="X4091" i="1" s="1"/>
  <c r="W3871" i="1"/>
  <c r="X3871" i="1" s="1"/>
  <c r="W3397" i="1"/>
  <c r="AL3397" i="1" s="1"/>
  <c r="W2288" i="1"/>
  <c r="AL2288" i="1" s="1"/>
  <c r="W1212" i="1"/>
  <c r="AK1212" i="1" s="1"/>
  <c r="W944" i="1"/>
  <c r="X944" i="1" s="1"/>
  <c r="W355" i="1"/>
  <c r="AL355" i="1" s="1"/>
  <c r="W110" i="1"/>
  <c r="AL110" i="1" s="1"/>
  <c r="W77" i="1"/>
  <c r="AL77" i="1" s="1"/>
  <c r="W4090" i="1"/>
  <c r="AL4090" i="1" s="1"/>
  <c r="W4059" i="1"/>
  <c r="AL4059" i="1" s="1"/>
  <c r="W3870" i="1"/>
  <c r="AL3870" i="1" s="1"/>
  <c r="W3396" i="1"/>
  <c r="AL3396" i="1" s="1"/>
  <c r="W2287" i="1"/>
  <c r="X2287" i="1" s="1"/>
  <c r="W2234" i="1"/>
  <c r="AL2234" i="1" s="1"/>
  <c r="W2063" i="1"/>
  <c r="AL2063" i="1" s="1"/>
  <c r="W1211" i="1"/>
  <c r="AL1211" i="1" s="1"/>
  <c r="W943" i="1"/>
  <c r="AK943" i="1" s="1"/>
  <c r="W535" i="1"/>
  <c r="AL535" i="1" s="1"/>
  <c r="W354" i="1"/>
  <c r="AL354" i="1" s="1"/>
  <c r="W299" i="1"/>
  <c r="X299" i="1" s="1"/>
  <c r="W86" i="1"/>
  <c r="AL86" i="1" s="1"/>
  <c r="W4089" i="1"/>
  <c r="X4089" i="1" s="1"/>
  <c r="W3946" i="1"/>
  <c r="X3946" i="1" s="1"/>
  <c r="W3869" i="1"/>
  <c r="AL3869" i="1" s="1"/>
  <c r="W3675" i="1"/>
  <c r="X3675" i="1" s="1"/>
  <c r="W3674" i="1"/>
  <c r="AL3674" i="1" s="1"/>
  <c r="W3395" i="1"/>
  <c r="AK3395" i="1" s="1"/>
  <c r="W3394" i="1"/>
  <c r="X3394" i="1" s="1"/>
  <c r="W2795" i="1"/>
  <c r="AL2795" i="1" s="1"/>
  <c r="W2691" i="1"/>
  <c r="AL2691" i="1" s="1"/>
  <c r="W2375" i="1"/>
  <c r="X2375" i="1" s="1"/>
  <c r="W2286" i="1"/>
  <c r="AL2286" i="1" s="1"/>
  <c r="W2233" i="1"/>
  <c r="AL2233" i="1" s="1"/>
  <c r="W1210" i="1"/>
  <c r="AK1210" i="1" s="1"/>
  <c r="W1041" i="1"/>
  <c r="X1041" i="1" s="1"/>
  <c r="W942" i="1"/>
  <c r="X942" i="1" s="1"/>
  <c r="W786" i="1"/>
  <c r="X786" i="1" s="1"/>
  <c r="W534" i="1"/>
  <c r="AL534" i="1" s="1"/>
  <c r="W353" i="1"/>
  <c r="AL353" i="1" s="1"/>
  <c r="W85" i="1"/>
  <c r="AL85" i="1" s="1"/>
  <c r="W4233" i="1"/>
  <c r="X4233" i="1" s="1"/>
  <c r="W4086" i="1"/>
  <c r="AL4086" i="1" s="1"/>
  <c r="W4057" i="1"/>
  <c r="AL4057" i="1" s="1"/>
  <c r="W3866" i="1"/>
  <c r="AK3866" i="1" s="1"/>
  <c r="W3669" i="1"/>
  <c r="AL3669" i="1" s="1"/>
  <c r="W3668" i="1"/>
  <c r="AK3668" i="1" s="1"/>
  <c r="W3389" i="1"/>
  <c r="X3389" i="1" s="1"/>
  <c r="W3388" i="1"/>
  <c r="AL3388" i="1" s="1"/>
  <c r="W3155" i="1"/>
  <c r="AL3155" i="1" s="1"/>
  <c r="W3154" i="1"/>
  <c r="AL3154" i="1" s="1"/>
  <c r="W3149" i="1"/>
  <c r="AL3149" i="1" s="1"/>
  <c r="W2891" i="1"/>
  <c r="AL2891" i="1" s="1"/>
  <c r="W2890" i="1"/>
  <c r="AL2890" i="1" s="1"/>
  <c r="W2889" i="1"/>
  <c r="X2889" i="1" s="1"/>
  <c r="W2814" i="1"/>
  <c r="X2814" i="1" s="1"/>
  <c r="W2792" i="1"/>
  <c r="AK2792" i="1" s="1"/>
  <c r="W2689" i="1"/>
  <c r="X2689" i="1" s="1"/>
  <c r="W2579" i="1"/>
  <c r="AL2579" i="1" s="1"/>
  <c r="W2399" i="1"/>
  <c r="X2399" i="1" s="1"/>
  <c r="W2283" i="1"/>
  <c r="AL2283" i="1" s="1"/>
  <c r="W2077" i="1"/>
  <c r="X2077" i="1" s="1"/>
  <c r="W1834" i="1"/>
  <c r="AL1834" i="1" s="1"/>
  <c r="W1709" i="1"/>
  <c r="AL1709" i="1" s="1"/>
  <c r="W1362" i="1"/>
  <c r="AL1362" i="1" s="1"/>
  <c r="W1021" i="1"/>
  <c r="AL1021" i="1" s="1"/>
  <c r="W940" i="1"/>
  <c r="X940" i="1" s="1"/>
  <c r="W784" i="1"/>
  <c r="AL784" i="1" s="1"/>
  <c r="W554" i="1"/>
  <c r="AL554" i="1" s="1"/>
  <c r="W350" i="1"/>
  <c r="AL350" i="1" s="1"/>
  <c r="W298" i="1"/>
  <c r="X298" i="1" s="1"/>
  <c r="W282" i="1"/>
  <c r="AL282" i="1" s="1"/>
  <c r="W205" i="1"/>
  <c r="AL205" i="1" s="1"/>
  <c r="W82" i="1"/>
  <c r="AK82" i="1" s="1"/>
  <c r="W4103" i="1"/>
  <c r="AK4103" i="1" s="1"/>
  <c r="W3881" i="1"/>
  <c r="AL3881" i="1" s="1"/>
  <c r="W227" i="1"/>
  <c r="X227" i="1" s="1"/>
  <c r="W4232" i="1"/>
  <c r="X4232" i="1" s="1"/>
  <c r="W3379" i="1"/>
  <c r="AL3379" i="1" s="1"/>
  <c r="W3378" i="1"/>
  <c r="X3378" i="1" s="1"/>
  <c r="W2776" i="1"/>
  <c r="AL2776" i="1" s="1"/>
  <c r="W2629" i="1"/>
  <c r="AL2629" i="1" s="1"/>
  <c r="W2469" i="1"/>
  <c r="X2469" i="1" s="1"/>
  <c r="W1018" i="1"/>
  <c r="X1018" i="1" s="1"/>
  <c r="W74" i="1"/>
  <c r="AL74" i="1" s="1"/>
  <c r="W4284" i="1"/>
  <c r="X4284" i="1" s="1"/>
  <c r="W4100" i="1"/>
  <c r="X4100" i="1" s="1"/>
  <c r="W3696" i="1"/>
  <c r="AK3696" i="1" s="1"/>
  <c r="W3432" i="1"/>
  <c r="AK3432" i="1" s="1"/>
  <c r="W2925" i="1"/>
  <c r="AK2925" i="1" s="1"/>
  <c r="W2258" i="1"/>
  <c r="X2258" i="1" s="1"/>
  <c r="W285" i="1"/>
  <c r="X285" i="1" s="1"/>
  <c r="W95" i="1"/>
  <c r="AL95" i="1" s="1"/>
  <c r="W39" i="1"/>
  <c r="X39" i="1" s="1"/>
  <c r="W4512" i="1"/>
  <c r="AK4512" i="1" s="1"/>
  <c r="W4505" i="1"/>
  <c r="AL4505" i="1" s="1"/>
  <c r="W4501" i="1"/>
  <c r="AK4501" i="1" s="1"/>
  <c r="W4493" i="1"/>
  <c r="X4493" i="1" s="1"/>
  <c r="W4511" i="1"/>
  <c r="X4511" i="1" s="1"/>
  <c r="W4504" i="1"/>
  <c r="AL4504" i="1" s="1"/>
  <c r="W4500" i="1"/>
  <c r="AK4500" i="1" s="1"/>
  <c r="W4492" i="1"/>
  <c r="X4492" i="1" s="1"/>
  <c r="W4487" i="1"/>
  <c r="X4487" i="1" s="1"/>
  <c r="W4503" i="1"/>
  <c r="W4490" i="1"/>
  <c r="AK4490" i="1" s="1"/>
  <c r="W4488" i="1"/>
  <c r="W4498" i="1"/>
  <c r="AK4498" i="1" s="1"/>
  <c r="AK4133" i="1"/>
  <c r="AL4133" i="1"/>
  <c r="W4499" i="1"/>
  <c r="AK4499" i="1" s="1"/>
  <c r="W4506" i="1"/>
  <c r="X4506" i="1"/>
  <c r="W4497" i="1"/>
  <c r="AK4497" i="1" s="1"/>
  <c r="W4496" i="1"/>
  <c r="AL4496" i="1" s="1"/>
  <c r="W4495" i="1"/>
  <c r="X4495" i="1" s="1"/>
  <c r="X4508" i="1"/>
  <c r="X4509" i="1"/>
  <c r="X4510" i="1"/>
  <c r="X4485" i="1"/>
  <c r="X4486" i="1"/>
  <c r="X4488" i="1"/>
  <c r="X4491" i="1"/>
  <c r="X4494" i="1"/>
  <c r="X4502" i="1"/>
  <c r="X4503" i="1"/>
  <c r="X4507" i="1"/>
  <c r="AK4488" i="1"/>
  <c r="AL4488" i="1"/>
  <c r="AK4489" i="1"/>
  <c r="AK4491" i="1"/>
  <c r="AL4491" i="1"/>
  <c r="AK4494" i="1"/>
  <c r="AL4494" i="1"/>
  <c r="AK4502" i="1"/>
  <c r="AL4502" i="1"/>
  <c r="AK4503" i="1"/>
  <c r="AL4503" i="1"/>
  <c r="AK4506" i="1"/>
  <c r="AL4506" i="1"/>
  <c r="AK4507" i="1"/>
  <c r="AL4507" i="1"/>
  <c r="AK4508" i="1"/>
  <c r="AL4508" i="1"/>
  <c r="AK4509" i="1"/>
  <c r="AL4509" i="1"/>
  <c r="AK4510" i="1"/>
  <c r="AL4510" i="1"/>
  <c r="U4506" i="1"/>
  <c r="V4506" i="1" s="1"/>
  <c r="U4507" i="1"/>
  <c r="V4507" i="1" s="1"/>
  <c r="U4508" i="1"/>
  <c r="V4508" i="1" s="1"/>
  <c r="U4509" i="1"/>
  <c r="V4509" i="1" s="1"/>
  <c r="U4510" i="1"/>
  <c r="V4510" i="1" s="1"/>
  <c r="U4511" i="1"/>
  <c r="V4511" i="1" s="1"/>
  <c r="U4512" i="1"/>
  <c r="V4512" i="1" s="1"/>
  <c r="U4498" i="1"/>
  <c r="V4498" i="1" s="1"/>
  <c r="U4499" i="1"/>
  <c r="V4499" i="1" s="1"/>
  <c r="U4500" i="1"/>
  <c r="V4500" i="1" s="1"/>
  <c r="U4501" i="1"/>
  <c r="V4501" i="1" s="1"/>
  <c r="U4502" i="1"/>
  <c r="V4502" i="1" s="1"/>
  <c r="U4503" i="1"/>
  <c r="V4503" i="1" s="1"/>
  <c r="U4504" i="1"/>
  <c r="V4504" i="1" s="1"/>
  <c r="U4505" i="1"/>
  <c r="V4505" i="1" s="1"/>
  <c r="U4494" i="1"/>
  <c r="V4494" i="1" s="1"/>
  <c r="U4495" i="1"/>
  <c r="V4495" i="1" s="1"/>
  <c r="U4496" i="1"/>
  <c r="V4496" i="1" s="1"/>
  <c r="U4497" i="1"/>
  <c r="V4497" i="1" s="1"/>
  <c r="U4487" i="1"/>
  <c r="V4487" i="1" s="1"/>
  <c r="U4488" i="1"/>
  <c r="V4488" i="1" s="1"/>
  <c r="U4489" i="1"/>
  <c r="V4489" i="1" s="1"/>
  <c r="U4490" i="1"/>
  <c r="V4490" i="1" s="1"/>
  <c r="U4491" i="1"/>
  <c r="V4491" i="1" s="1"/>
  <c r="U4492" i="1"/>
  <c r="V4492" i="1" s="1"/>
  <c r="U4493" i="1"/>
  <c r="V4493" i="1" s="1"/>
  <c r="AK4485" i="1"/>
  <c r="AL4485" i="1"/>
  <c r="AK4486" i="1"/>
  <c r="AL4486" i="1"/>
  <c r="U4486" i="1"/>
  <c r="V4486" i="1" s="1"/>
  <c r="U4485" i="1"/>
  <c r="V4485" i="1" s="1"/>
  <c r="W4088" i="1"/>
  <c r="AL4088" i="1" s="1"/>
  <c r="W4058" i="1"/>
  <c r="AL4058" i="1" s="1"/>
  <c r="W3868" i="1"/>
  <c r="AL3868" i="1" s="1"/>
  <c r="W3673" i="1"/>
  <c r="AL3673" i="1" s="1"/>
  <c r="W3672" i="1"/>
  <c r="AL3672" i="1" s="1"/>
  <c r="W3393" i="1"/>
  <c r="AL3393" i="1" s="1"/>
  <c r="W3392" i="1"/>
  <c r="X3392" i="1" s="1"/>
  <c r="W3160" i="1"/>
  <c r="W3159" i="1"/>
  <c r="AL3159" i="1" s="1"/>
  <c r="W3151" i="1"/>
  <c r="X3151" i="1" s="1"/>
  <c r="W2893" i="1"/>
  <c r="AL2893" i="1" s="1"/>
  <c r="W2794" i="1"/>
  <c r="AL2794" i="1" s="1"/>
  <c r="W2779" i="1"/>
  <c r="AL2779" i="1" s="1"/>
  <c r="W2374" i="1"/>
  <c r="AL2374" i="1" s="1"/>
  <c r="W2285" i="1"/>
  <c r="AK2285" i="1" s="1"/>
  <c r="W1997" i="1"/>
  <c r="X1997" i="1" s="1"/>
  <c r="W1364" i="1"/>
  <c r="AL1364" i="1" s="1"/>
  <c r="W1209" i="1"/>
  <c r="AL1209" i="1" s="1"/>
  <c r="W610" i="1"/>
  <c r="X610" i="1" s="1"/>
  <c r="W411" i="1"/>
  <c r="X411" i="1" s="1"/>
  <c r="W378" i="1"/>
  <c r="AL378" i="1" s="1"/>
  <c r="W352" i="1"/>
  <c r="AL352" i="1" s="1"/>
  <c r="W135" i="1"/>
  <c r="AL135" i="1" s="1"/>
  <c r="W84" i="1"/>
  <c r="AL84" i="1" s="1"/>
  <c r="W4087" i="1"/>
  <c r="AL4087" i="1" s="1"/>
  <c r="W3867" i="1"/>
  <c r="AL3867" i="1" s="1"/>
  <c r="W3671" i="1"/>
  <c r="AL3671" i="1" s="1"/>
  <c r="W3670" i="1"/>
  <c r="AK3670" i="1" s="1"/>
  <c r="W3391" i="1"/>
  <c r="X3391" i="1" s="1"/>
  <c r="W3390" i="1"/>
  <c r="AL3390" i="1" s="1"/>
  <c r="W3157" i="1"/>
  <c r="AL3157" i="1" s="1"/>
  <c r="W3156" i="1"/>
  <c r="AL3156" i="1" s="1"/>
  <c r="W2892" i="1"/>
  <c r="X2892" i="1" s="1"/>
  <c r="W2815" i="1"/>
  <c r="X2815" i="1" s="1"/>
  <c r="W2793" i="1"/>
  <c r="AK2793" i="1" s="1"/>
  <c r="W2690" i="1"/>
  <c r="AL2690" i="1" s="1"/>
  <c r="W2625" i="1"/>
  <c r="AL2625" i="1" s="1"/>
  <c r="W2472" i="1"/>
  <c r="AK2472" i="1" s="1"/>
  <c r="W2373" i="1"/>
  <c r="AL2373" i="1" s="1"/>
  <c r="W2284" i="1"/>
  <c r="X2284" i="1" s="1"/>
  <c r="W2232" i="1"/>
  <c r="AL2232" i="1" s="1"/>
  <c r="W1363" i="1"/>
  <c r="AL1363" i="1" s="1"/>
  <c r="W1208" i="1"/>
  <c r="X1208" i="1" s="1"/>
  <c r="W950" i="1"/>
  <c r="X950" i="1" s="1"/>
  <c r="W941" i="1"/>
  <c r="AL941" i="1" s="1"/>
  <c r="W785" i="1"/>
  <c r="AL785" i="1" s="1"/>
  <c r="W351" i="1"/>
  <c r="AL351" i="1" s="1"/>
  <c r="W283" i="1"/>
  <c r="AK283" i="1" s="1"/>
  <c r="W163" i="1"/>
  <c r="AL163" i="1" s="1"/>
  <c r="W109" i="1"/>
  <c r="AL109" i="1" s="1"/>
  <c r="W83" i="1"/>
  <c r="AK83" i="1" s="1"/>
  <c r="W4099" i="1"/>
  <c r="AL4099" i="1" s="1"/>
  <c r="W3695" i="1"/>
  <c r="AL3695" i="1" s="1"/>
  <c r="W3431" i="1"/>
  <c r="X3431" i="1" s="1"/>
  <c r="AK1792" i="1"/>
  <c r="AK4481" i="1"/>
  <c r="AL4481" i="1"/>
  <c r="AK4482" i="1"/>
  <c r="AL4482" i="1"/>
  <c r="AK4483" i="1"/>
  <c r="AL4483" i="1"/>
  <c r="AK4484" i="1"/>
  <c r="AL4484" i="1"/>
  <c r="X4481" i="1"/>
  <c r="X4482" i="1"/>
  <c r="X4483" i="1"/>
  <c r="X4484" i="1"/>
  <c r="U4482" i="1"/>
  <c r="V4482" i="1" s="1"/>
  <c r="U4483" i="1"/>
  <c r="V4483" i="1" s="1"/>
  <c r="U4484" i="1"/>
  <c r="V4484" i="1" s="1"/>
  <c r="U4481" i="1"/>
  <c r="V4481" i="1" s="1"/>
  <c r="U4480" i="1"/>
  <c r="V4480" i="1" s="1"/>
  <c r="X4480" i="1"/>
  <c r="AK4480" i="1"/>
  <c r="AL4480" i="1"/>
  <c r="AL4260" i="1"/>
  <c r="AK4260" i="1"/>
  <c r="AL4078" i="1"/>
  <c r="AK4078" i="1"/>
  <c r="AL4479" i="1"/>
  <c r="AK4479" i="1"/>
  <c r="W4477" i="1"/>
  <c r="T4477" i="1"/>
  <c r="T4478" i="1"/>
  <c r="U4478" i="1" s="1"/>
  <c r="V4478" i="1" s="1"/>
  <c r="W4478" i="1"/>
  <c r="X4479" i="1"/>
  <c r="U4479" i="1"/>
  <c r="V4479" i="1" s="1"/>
  <c r="W4283" i="1"/>
  <c r="AL4283" i="1" s="1"/>
  <c r="W4378" i="1"/>
  <c r="AK4378" i="1" s="1"/>
  <c r="W4374" i="1"/>
  <c r="X4374" i="1" s="1"/>
  <c r="W929" i="1"/>
  <c r="W926" i="1"/>
  <c r="AK926" i="1" s="1"/>
  <c r="U926" i="1"/>
  <c r="V926" i="1" s="1"/>
  <c r="W884" i="1"/>
  <c r="U884" i="1"/>
  <c r="V884" i="1" s="1"/>
  <c r="U865" i="1"/>
  <c r="V865" i="1" s="1"/>
  <c r="U859" i="1"/>
  <c r="V859" i="1" s="1"/>
  <c r="W1840" i="1"/>
  <c r="W3703" i="1"/>
  <c r="AL3703" i="1" s="1"/>
  <c r="W2930" i="1"/>
  <c r="X2930" i="1" s="1"/>
  <c r="W2618" i="1"/>
  <c r="AL2618" i="1" s="1"/>
  <c r="W2361" i="1"/>
  <c r="AK2361" i="1" s="1"/>
  <c r="W2085" i="1"/>
  <c r="AL2085" i="1" s="1"/>
  <c r="W1868" i="1"/>
  <c r="AL1868" i="1" s="1"/>
  <c r="AL1841" i="1"/>
  <c r="W1514" i="1"/>
  <c r="AL1514" i="1" s="1"/>
  <c r="W1164" i="1"/>
  <c r="AL1164" i="1" s="1"/>
  <c r="W580" i="1"/>
  <c r="AK580" i="1" s="1"/>
  <c r="X4049" i="1"/>
  <c r="X4048" i="1"/>
  <c r="U4049" i="1"/>
  <c r="V4049" i="1" s="1"/>
  <c r="U4048" i="1"/>
  <c r="V4048" i="1" s="1"/>
  <c r="AL3817" i="1"/>
  <c r="AK3817" i="1"/>
  <c r="W2020" i="1"/>
  <c r="W1501" i="1"/>
  <c r="AL1501" i="1" s="1"/>
  <c r="W1500" i="1"/>
  <c r="W1261" i="1"/>
  <c r="W1218" i="1"/>
  <c r="W4476" i="1"/>
  <c r="AK4476" i="1" s="1"/>
  <c r="W4470" i="1"/>
  <c r="X4470" i="1" s="1"/>
  <c r="W4398" i="1"/>
  <c r="X4398" i="1" s="1"/>
  <c r="W4101" i="1"/>
  <c r="AL4101" i="1" s="1"/>
  <c r="AK4474" i="1"/>
  <c r="AL4474" i="1"/>
  <c r="AK4468" i="1"/>
  <c r="AL4468" i="1"/>
  <c r="AK4469" i="1"/>
  <c r="AL4469" i="1"/>
  <c r="AK4471" i="1"/>
  <c r="AL4471" i="1"/>
  <c r="W4472" i="1"/>
  <c r="AK4472" i="1" s="1"/>
  <c r="AL4473" i="1"/>
  <c r="AK4473" i="1"/>
  <c r="W4466" i="1"/>
  <c r="W4475" i="1"/>
  <c r="AL4475" i="1" s="1"/>
  <c r="U4468" i="1"/>
  <c r="V4468" i="1" s="1"/>
  <c r="U4469" i="1"/>
  <c r="V4469" i="1" s="1"/>
  <c r="U4470" i="1"/>
  <c r="V4470" i="1" s="1"/>
  <c r="U4471" i="1"/>
  <c r="V4471" i="1" s="1"/>
  <c r="U4472" i="1"/>
  <c r="V4472" i="1" s="1"/>
  <c r="U4473" i="1"/>
  <c r="V4473" i="1" s="1"/>
  <c r="U4474" i="1"/>
  <c r="V4474" i="1" s="1"/>
  <c r="U4475" i="1"/>
  <c r="V4475" i="1" s="1"/>
  <c r="U4476" i="1"/>
  <c r="V4476" i="1" s="1"/>
  <c r="X4468" i="1"/>
  <c r="X4469" i="1"/>
  <c r="X4471" i="1"/>
  <c r="X4473" i="1"/>
  <c r="X4474" i="1"/>
  <c r="X4475" i="1"/>
  <c r="X2293" i="1"/>
  <c r="X2292" i="1"/>
  <c r="X2282" i="1"/>
  <c r="X2281" i="1"/>
  <c r="X946" i="1"/>
  <c r="X738" i="1"/>
  <c r="X540" i="1"/>
  <c r="V2818" i="1"/>
  <c r="V2817" i="1"/>
  <c r="V2816" i="1"/>
  <c r="V2815" i="1"/>
  <c r="V2814" i="1"/>
  <c r="V2813" i="1"/>
  <c r="V2293" i="1"/>
  <c r="V2292" i="1"/>
  <c r="V2291" i="1"/>
  <c r="V2290" i="1"/>
  <c r="V2289" i="1"/>
  <c r="V2288" i="1"/>
  <c r="V2287" i="1"/>
  <c r="V2286" i="1"/>
  <c r="V2285" i="1"/>
  <c r="V2284" i="1"/>
  <c r="V2283" i="1"/>
  <c r="V2282" i="1"/>
  <c r="V2281" i="1"/>
  <c r="V2280" i="1"/>
  <c r="V2279" i="1"/>
  <c r="V2278" i="1"/>
  <c r="V1135" i="1"/>
  <c r="V946" i="1"/>
  <c r="V945" i="1"/>
  <c r="V944" i="1"/>
  <c r="V943" i="1"/>
  <c r="V942" i="1"/>
  <c r="V941" i="1"/>
  <c r="V940" i="1"/>
  <c r="V939" i="1"/>
  <c r="V738" i="1"/>
  <c r="V540" i="1"/>
  <c r="V539" i="1"/>
  <c r="V538" i="1"/>
  <c r="V537" i="1"/>
  <c r="V536" i="1"/>
  <c r="V535" i="1"/>
  <c r="V534" i="1"/>
  <c r="W2264" i="1"/>
  <c r="AL2264" i="1" s="1"/>
  <c r="W2542" i="1"/>
  <c r="V4415" i="1"/>
  <c r="V4259" i="1"/>
  <c r="V4031" i="1"/>
  <c r="V4030" i="1"/>
  <c r="V3600" i="1"/>
  <c r="V3578" i="1"/>
  <c r="V3096" i="1"/>
  <c r="V3089" i="1"/>
  <c r="V2799" i="1"/>
  <c r="V2542" i="1"/>
  <c r="V2264" i="1"/>
  <c r="V2010" i="1"/>
  <c r="V2009" i="1"/>
  <c r="V1629" i="1"/>
  <c r="V1452" i="1"/>
  <c r="V1451" i="1"/>
  <c r="V1116" i="1"/>
  <c r="V924" i="1"/>
  <c r="V519" i="1"/>
  <c r="V311" i="1"/>
  <c r="V310" i="1"/>
  <c r="V309" i="1"/>
  <c r="W3105" i="1"/>
  <c r="AL3105" i="1" s="1"/>
  <c r="AK4191" i="1"/>
  <c r="AL4191" i="1"/>
  <c r="AL4190" i="1"/>
  <c r="AK4190" i="1"/>
  <c r="AL4180" i="1"/>
  <c r="AK4180" i="1"/>
  <c r="AL4169" i="1"/>
  <c r="AK4169" i="1"/>
  <c r="AL4166" i="1"/>
  <c r="AK4166" i="1"/>
  <c r="AL4134" i="1"/>
  <c r="AK4134" i="1"/>
  <c r="AL4129" i="1"/>
  <c r="AK4129" i="1"/>
  <c r="AL4124" i="1"/>
  <c r="AK4124" i="1"/>
  <c r="AL4118" i="1"/>
  <c r="AK4118" i="1"/>
  <c r="AL4115" i="1"/>
  <c r="AK4115" i="1"/>
  <c r="AL4114" i="1"/>
  <c r="AK4114" i="1"/>
  <c r="AL4112" i="1"/>
  <c r="AK4112" i="1"/>
  <c r="AL4109" i="1"/>
  <c r="AK4109" i="1"/>
  <c r="AL4077" i="1"/>
  <c r="AK4077" i="1"/>
  <c r="AL4073" i="1"/>
  <c r="AK4073" i="1"/>
  <c r="U4194" i="1"/>
  <c r="V4194" i="1" s="1"/>
  <c r="U4191" i="1"/>
  <c r="V4191" i="1" s="1"/>
  <c r="U4190" i="1"/>
  <c r="V4190" i="1" s="1"/>
  <c r="U4180" i="1"/>
  <c r="V4180" i="1" s="1"/>
  <c r="U4169" i="1"/>
  <c r="V4169" i="1" s="1"/>
  <c r="U4166" i="1"/>
  <c r="V4166" i="1" s="1"/>
  <c r="U4134" i="1"/>
  <c r="V4134" i="1" s="1"/>
  <c r="U4129" i="1"/>
  <c r="V4129" i="1" s="1"/>
  <c r="U4124" i="1"/>
  <c r="V4124" i="1" s="1"/>
  <c r="U4118" i="1"/>
  <c r="V4118" i="1" s="1"/>
  <c r="U4115" i="1"/>
  <c r="V4115" i="1" s="1"/>
  <c r="U4114" i="1"/>
  <c r="V4114" i="1" s="1"/>
  <c r="U4112" i="1"/>
  <c r="V4112" i="1" s="1"/>
  <c r="U4109" i="1"/>
  <c r="V4109" i="1" s="1"/>
  <c r="U4077" i="1"/>
  <c r="V4077" i="1" s="1"/>
  <c r="X4191" i="1"/>
  <c r="X4180" i="1"/>
  <c r="X4169" i="1"/>
  <c r="X4166" i="1"/>
  <c r="X4134" i="1"/>
  <c r="X4129" i="1"/>
  <c r="X4124" i="1"/>
  <c r="X4118" i="1"/>
  <c r="X4115" i="1"/>
  <c r="X4114" i="1"/>
  <c r="X4112" i="1"/>
  <c r="X4109" i="1"/>
  <c r="X4077" i="1"/>
  <c r="X4073" i="1"/>
  <c r="U4073" i="1"/>
  <c r="V4073" i="1" s="1"/>
  <c r="W4219" i="1"/>
  <c r="X4219" i="1" s="1"/>
  <c r="W3754" i="1"/>
  <c r="X3754" i="1" s="1"/>
  <c r="W3507" i="1"/>
  <c r="AK3507" i="1" s="1"/>
  <c r="W3506" i="1"/>
  <c r="AL3506" i="1" s="1"/>
  <c r="W3505" i="1"/>
  <c r="AL3505" i="1" s="1"/>
  <c r="W3504" i="1"/>
  <c r="AL3504" i="1" s="1"/>
  <c r="W3503" i="1"/>
  <c r="AL3503" i="1" s="1"/>
  <c r="W2580" i="1"/>
  <c r="X2580" i="1" s="1"/>
  <c r="W1360" i="1"/>
  <c r="X1360" i="1" s="1"/>
  <c r="W1248" i="1"/>
  <c r="AL1248" i="1" s="1"/>
  <c r="W984" i="1"/>
  <c r="AK984" i="1" s="1"/>
  <c r="W767" i="1"/>
  <c r="AL767" i="1" s="1"/>
  <c r="W595" i="1"/>
  <c r="AL595" i="1" s="1"/>
  <c r="W520" i="1"/>
  <c r="X520" i="1" s="1"/>
  <c r="W448" i="1"/>
  <c r="AL448" i="1" s="1"/>
  <c r="W215" i="1"/>
  <c r="AK215" i="1" s="1"/>
  <c r="W4464" i="1"/>
  <c r="AK4464" i="1" s="1"/>
  <c r="W4465" i="1"/>
  <c r="X4465" i="1" s="1"/>
  <c r="W4463" i="1"/>
  <c r="AL4463" i="1" s="1"/>
  <c r="AL4467" i="1"/>
  <c r="AK4467" i="1"/>
  <c r="AL4466" i="1"/>
  <c r="AK4466" i="1"/>
  <c r="X4467" i="1"/>
  <c r="X4466" i="1"/>
  <c r="U4464" i="1"/>
  <c r="V4464" i="1" s="1"/>
  <c r="U4465" i="1"/>
  <c r="V4465" i="1" s="1"/>
  <c r="U4466" i="1"/>
  <c r="V4466" i="1" s="1"/>
  <c r="U4467" i="1"/>
  <c r="V4467" i="1" s="1"/>
  <c r="U4463" i="1"/>
  <c r="V4463" i="1" s="1"/>
  <c r="AK4221" i="1"/>
  <c r="AL4221" i="1"/>
  <c r="W4223" i="1"/>
  <c r="X4223" i="1" s="1"/>
  <c r="AK4223" i="1"/>
  <c r="U4223" i="1"/>
  <c r="V4223" i="1" s="1"/>
  <c r="W4204" i="1"/>
  <c r="X4204" i="1" s="1"/>
  <c r="W4203" i="1"/>
  <c r="AK4203" i="1" s="1"/>
  <c r="W4452" i="1"/>
  <c r="AK4452" i="1" s="1"/>
  <c r="W4447" i="1"/>
  <c r="X4447" i="1" s="1"/>
  <c r="W4448" i="1"/>
  <c r="X4448" i="1" s="1"/>
  <c r="W4461" i="1"/>
  <c r="AK4461" i="1" s="1"/>
  <c r="W4459" i="1"/>
  <c r="X4459" i="1" s="1"/>
  <c r="W4458" i="1"/>
  <c r="AK4458" i="1" s="1"/>
  <c r="X4128" i="1"/>
  <c r="X4127" i="1"/>
  <c r="X4123" i="1"/>
  <c r="X4122" i="1"/>
  <c r="X4120" i="1"/>
  <c r="X4078" i="1"/>
  <c r="U4128" i="1"/>
  <c r="V4128" i="1" s="1"/>
  <c r="U4127" i="1"/>
  <c r="V4127" i="1" s="1"/>
  <c r="U4123" i="1"/>
  <c r="V4123" i="1" s="1"/>
  <c r="U4122" i="1"/>
  <c r="V4122" i="1" s="1"/>
  <c r="U4120" i="1"/>
  <c r="V4120" i="1" s="1"/>
  <c r="U4078" i="1"/>
  <c r="V4078" i="1" s="1"/>
  <c r="AK4217" i="1"/>
  <c r="AL4217" i="1"/>
  <c r="W4386" i="1"/>
  <c r="AL4386" i="1" s="1"/>
  <c r="U4219" i="1"/>
  <c r="V4219" i="1" s="1"/>
  <c r="W4462" i="1"/>
  <c r="X4462" i="1" s="1"/>
  <c r="W4451" i="1"/>
  <c r="AK4451" i="1" s="1"/>
  <c r="W3626" i="1"/>
  <c r="X3626" i="1" s="1"/>
  <c r="W3625" i="1"/>
  <c r="X3625" i="1" s="1"/>
  <c r="W2730" i="1"/>
  <c r="AK2730" i="1" s="1"/>
  <c r="W1266" i="1"/>
  <c r="AL1266" i="1" s="1"/>
  <c r="W4450" i="1"/>
  <c r="AK4450" i="1" s="1"/>
  <c r="AK4443" i="1"/>
  <c r="AL4443" i="1"/>
  <c r="AK4444" i="1"/>
  <c r="AL4444" i="1"/>
  <c r="AK4445" i="1"/>
  <c r="AL4445" i="1"/>
  <c r="AK4446" i="1"/>
  <c r="AL4446" i="1"/>
  <c r="AK4449" i="1"/>
  <c r="AL4449" i="1"/>
  <c r="AK4453" i="1"/>
  <c r="AL4453" i="1"/>
  <c r="AK4454" i="1"/>
  <c r="AL4454" i="1"/>
  <c r="AK4455" i="1"/>
  <c r="AL4455" i="1"/>
  <c r="AK4456" i="1"/>
  <c r="AL4456" i="1"/>
  <c r="AK4457" i="1"/>
  <c r="AL4457" i="1"/>
  <c r="AK4460" i="1"/>
  <c r="AL4460" i="1"/>
  <c r="X4443" i="1"/>
  <c r="X4444" i="1"/>
  <c r="X4445" i="1"/>
  <c r="X4446" i="1"/>
  <c r="X4449" i="1"/>
  <c r="X4453" i="1"/>
  <c r="X4454" i="1"/>
  <c r="X4455" i="1"/>
  <c r="X4456" i="1"/>
  <c r="X4457" i="1"/>
  <c r="X4460" i="1"/>
  <c r="U4444" i="1"/>
  <c r="V4444" i="1" s="1"/>
  <c r="U4445" i="1"/>
  <c r="V4445" i="1" s="1"/>
  <c r="U4446" i="1"/>
  <c r="V4446" i="1" s="1"/>
  <c r="U4447" i="1"/>
  <c r="V4447" i="1" s="1"/>
  <c r="U4448" i="1"/>
  <c r="V4448" i="1" s="1"/>
  <c r="U4449" i="1"/>
  <c r="V4449" i="1" s="1"/>
  <c r="U4450" i="1"/>
  <c r="V4450" i="1" s="1"/>
  <c r="U4451" i="1"/>
  <c r="V4451" i="1" s="1"/>
  <c r="U4452" i="1"/>
  <c r="V4452" i="1" s="1"/>
  <c r="U4453" i="1"/>
  <c r="V4453" i="1" s="1"/>
  <c r="U4454" i="1"/>
  <c r="V4454" i="1" s="1"/>
  <c r="U4455" i="1"/>
  <c r="V4455" i="1" s="1"/>
  <c r="U4456" i="1"/>
  <c r="V4456" i="1" s="1"/>
  <c r="U4457" i="1"/>
  <c r="V4457" i="1" s="1"/>
  <c r="U4458" i="1"/>
  <c r="V4458" i="1" s="1"/>
  <c r="U4459" i="1"/>
  <c r="V4459" i="1" s="1"/>
  <c r="U4460" i="1"/>
  <c r="V4460" i="1" s="1"/>
  <c r="U4461" i="1"/>
  <c r="V4461" i="1" s="1"/>
  <c r="U4462" i="1"/>
  <c r="V4462" i="1" s="1"/>
  <c r="U4443" i="1"/>
  <c r="V4443" i="1" s="1"/>
  <c r="W2722" i="1"/>
  <c r="AL2722" i="1" s="1"/>
  <c r="W2310" i="1"/>
  <c r="W1955" i="1"/>
  <c r="W1934" i="1"/>
  <c r="AL1934" i="1" s="1"/>
  <c r="W1735" i="1"/>
  <c r="X1735" i="1" s="1"/>
  <c r="W1590" i="1"/>
  <c r="AK1590" i="1" s="1"/>
  <c r="W1569" i="1"/>
  <c r="AK1569" i="1" s="1"/>
  <c r="W566" i="1"/>
  <c r="AL566" i="1" s="1"/>
  <c r="AK2335" i="1"/>
  <c r="W2328" i="1"/>
  <c r="AL2328" i="1" s="1"/>
  <c r="W4433" i="1"/>
  <c r="AK4433" i="1" s="1"/>
  <c r="W4440" i="1"/>
  <c r="AK4440" i="1" s="1"/>
  <c r="W4439" i="1"/>
  <c r="AL4439" i="1" s="1"/>
  <c r="W4437" i="1"/>
  <c r="X4437" i="1" s="1"/>
  <c r="W4436" i="1"/>
  <c r="AK4436" i="1" s="1"/>
  <c r="AK4434" i="1"/>
  <c r="AL4434" i="1"/>
  <c r="AK4435" i="1"/>
  <c r="AL4435" i="1"/>
  <c r="AK4438" i="1"/>
  <c r="AL4438" i="1"/>
  <c r="AK4441" i="1"/>
  <c r="AL4441" i="1"/>
  <c r="AK4442" i="1"/>
  <c r="AL4442" i="1"/>
  <c r="W4432" i="1"/>
  <c r="X4432" i="1" s="1"/>
  <c r="X4434" i="1"/>
  <c r="X4435" i="1"/>
  <c r="X4438" i="1"/>
  <c r="X4441" i="1"/>
  <c r="X4442" i="1"/>
  <c r="U4433" i="1"/>
  <c r="V4433" i="1" s="1"/>
  <c r="U4434" i="1"/>
  <c r="V4434" i="1" s="1"/>
  <c r="U4435" i="1"/>
  <c r="V4435" i="1" s="1"/>
  <c r="U4436" i="1"/>
  <c r="V4436" i="1" s="1"/>
  <c r="U4437" i="1"/>
  <c r="V4437" i="1" s="1"/>
  <c r="U4438" i="1"/>
  <c r="V4438" i="1" s="1"/>
  <c r="U4439" i="1"/>
  <c r="V4439" i="1" s="1"/>
  <c r="U4440" i="1"/>
  <c r="V4440" i="1" s="1"/>
  <c r="U4441" i="1"/>
  <c r="V4441" i="1" s="1"/>
  <c r="U4442" i="1"/>
  <c r="V4442" i="1" s="1"/>
  <c r="U4432" i="1"/>
  <c r="V4432" i="1" s="1"/>
  <c r="W4188" i="1"/>
  <c r="AL4188" i="1" s="1"/>
  <c r="W4092" i="1"/>
  <c r="AL4092" i="1" s="1"/>
  <c r="W3872" i="1"/>
  <c r="X3872" i="1" s="1"/>
  <c r="W3398" i="1"/>
  <c r="AL3398" i="1" s="1"/>
  <c r="W951" i="1"/>
  <c r="X951" i="1" s="1"/>
  <c r="W87" i="1"/>
  <c r="X87" i="1" s="1"/>
  <c r="W4085" i="1"/>
  <c r="AL4085" i="1" s="1"/>
  <c r="W3865" i="1"/>
  <c r="AL3865" i="1" s="1"/>
  <c r="W3667" i="1"/>
  <c r="AL3667" i="1" s="1"/>
  <c r="W3666" i="1"/>
  <c r="AK3666" i="1" s="1"/>
  <c r="W3387" i="1"/>
  <c r="AL3387" i="1" s="1"/>
  <c r="W3386" i="1"/>
  <c r="AK3386" i="1" s="1"/>
  <c r="W3385" i="1"/>
  <c r="X3385" i="1" s="1"/>
  <c r="W3152" i="1"/>
  <c r="X3152" i="1" s="1"/>
  <c r="W3147" i="1"/>
  <c r="AL3147" i="1" s="1"/>
  <c r="W2888" i="1"/>
  <c r="AL2888" i="1" s="1"/>
  <c r="W2887" i="1"/>
  <c r="AL2887" i="1" s="1"/>
  <c r="W2886" i="1"/>
  <c r="X2886" i="1" s="1"/>
  <c r="W2778" i="1"/>
  <c r="AK2778" i="1" s="1"/>
  <c r="W2076" i="1"/>
  <c r="X2076" i="1" s="1"/>
  <c r="W2062" i="1"/>
  <c r="AL2062" i="1" s="1"/>
  <c r="W1708" i="1"/>
  <c r="AL1708" i="1" s="1"/>
  <c r="W1361" i="1"/>
  <c r="X1361" i="1" s="1"/>
  <c r="W1202" i="1"/>
  <c r="X1202" i="1" s="1"/>
  <c r="W1040" i="1"/>
  <c r="AL1040" i="1" s="1"/>
  <c r="W1020" i="1"/>
  <c r="AL1020" i="1" s="1"/>
  <c r="W939" i="1"/>
  <c r="X939" i="1" s="1"/>
  <c r="W783" i="1"/>
  <c r="AK783" i="1" s="1"/>
  <c r="W609" i="1"/>
  <c r="AL609" i="1" s="1"/>
  <c r="W553" i="1"/>
  <c r="AL553" i="1" s="1"/>
  <c r="W410" i="1"/>
  <c r="AL410" i="1" s="1"/>
  <c r="W281" i="1"/>
  <c r="AK281" i="1" s="1"/>
  <c r="W162" i="1"/>
  <c r="AL162" i="1" s="1"/>
  <c r="W81" i="1"/>
  <c r="AL81" i="1" s="1"/>
  <c r="W3697" i="1"/>
  <c r="AL3697" i="1" s="1"/>
  <c r="W2290" i="1"/>
  <c r="AL2290" i="1" s="1"/>
  <c r="W1487" i="1"/>
  <c r="X1487" i="1" s="1"/>
  <c r="W96" i="1"/>
  <c r="AK96" i="1" s="1"/>
  <c r="W3705" i="1"/>
  <c r="AL3705" i="1" s="1"/>
  <c r="W3438" i="1"/>
  <c r="AK3438" i="1" s="1"/>
  <c r="W2693" i="1"/>
  <c r="AL2693" i="1" s="1"/>
  <c r="W2248" i="1"/>
  <c r="AL2248" i="1" s="1"/>
  <c r="W1877" i="1"/>
  <c r="AK1877" i="1" s="1"/>
  <c r="W226" i="1"/>
  <c r="AL226" i="1" s="1"/>
  <c r="U854" i="1"/>
  <c r="V854" i="1" s="1"/>
  <c r="W4408" i="1"/>
  <c r="AL4408" i="1" s="1"/>
  <c r="W4375" i="1"/>
  <c r="AL4375" i="1" s="1"/>
  <c r="AL4231" i="1"/>
  <c r="AK4231" i="1"/>
  <c r="W3660" i="1"/>
  <c r="AL3660" i="1" s="1"/>
  <c r="W3375" i="1"/>
  <c r="X3375" i="1" s="1"/>
  <c r="W2774" i="1"/>
  <c r="AL2774" i="1" s="1"/>
  <c r="W2576" i="1"/>
  <c r="AL2576" i="1" s="1"/>
  <c r="W1831" i="1"/>
  <c r="AL1831" i="1" s="1"/>
  <c r="W551" i="1"/>
  <c r="AK551" i="1" s="1"/>
  <c r="W70" i="1"/>
  <c r="AL70" i="1" s="1"/>
  <c r="U819" i="1"/>
  <c r="V819" i="1" s="1"/>
  <c r="W4252" i="1"/>
  <c r="AL4252" i="1" s="1"/>
  <c r="W4156" i="1"/>
  <c r="AL4156" i="1" s="1"/>
  <c r="W4083" i="1"/>
  <c r="AL4083" i="1" s="1"/>
  <c r="W1429" i="1"/>
  <c r="AL1429" i="1" s="1"/>
  <c r="W67" i="1"/>
  <c r="AK67" i="1" s="1"/>
  <c r="W2332" i="1"/>
  <c r="X2332" i="1" s="1"/>
  <c r="W776" i="1"/>
  <c r="AK776" i="1" s="1"/>
  <c r="W2154" i="1"/>
  <c r="AL2154" i="1" s="1"/>
  <c r="W1017" i="1"/>
  <c r="X1017" i="1" s="1"/>
  <c r="W345" i="1"/>
  <c r="AL345" i="1" s="1"/>
  <c r="W66" i="1"/>
  <c r="AL66" i="1" s="1"/>
  <c r="W493" i="1"/>
  <c r="X493" i="1" s="1"/>
  <c r="W65" i="1"/>
  <c r="AK65" i="1" s="1"/>
  <c r="W3945" i="1"/>
  <c r="W2468" i="1"/>
  <c r="X2468" i="1" s="1"/>
  <c r="W2331" i="1"/>
  <c r="AK2331" i="1" s="1"/>
  <c r="W2298" i="1"/>
  <c r="AL2298" i="1" s="1"/>
  <c r="W629" i="1"/>
  <c r="X629" i="1" s="1"/>
  <c r="W492" i="1"/>
  <c r="AL492" i="1" s="1"/>
  <c r="W476" i="1"/>
  <c r="AL476" i="1" s="1"/>
  <c r="W4377" i="1"/>
  <c r="AL4377" i="1" s="1"/>
  <c r="W4282" i="1"/>
  <c r="AK4282" i="1" s="1"/>
  <c r="W4012" i="1"/>
  <c r="W3944" i="1"/>
  <c r="AK3944" i="1" s="1"/>
  <c r="W3907" i="1"/>
  <c r="X3907" i="1" s="1"/>
  <c r="W3654" i="1"/>
  <c r="W3367" i="1"/>
  <c r="X3367" i="1" s="1"/>
  <c r="W3362" i="1"/>
  <c r="W2718" i="1"/>
  <c r="AL2718" i="1" s="1"/>
  <c r="W2330" i="1"/>
  <c r="W2111" i="1"/>
  <c r="AK2111" i="1" s="1"/>
  <c r="W1991" i="1"/>
  <c r="W1789" i="1"/>
  <c r="AK1789" i="1" s="1"/>
  <c r="W806" i="1"/>
  <c r="W707" i="1"/>
  <c r="X707" i="1" s="1"/>
  <c r="W491" i="1"/>
  <c r="AK491" i="1" s="1"/>
  <c r="W484" i="1"/>
  <c r="W475" i="1"/>
  <c r="AL475" i="1" s="1"/>
  <c r="W441" i="1"/>
  <c r="AL441" i="1" s="1"/>
  <c r="W289" i="1"/>
  <c r="X289" i="1" s="1"/>
  <c r="W149" i="1"/>
  <c r="X149" i="1" s="1"/>
  <c r="W64" i="1"/>
  <c r="AK64" i="1" s="1"/>
  <c r="W35" i="1"/>
  <c r="AK35" i="1" s="1"/>
  <c r="W4" i="1"/>
  <c r="AL4" i="1" s="1"/>
  <c r="W3652" i="1"/>
  <c r="AL3652" i="1" s="1"/>
  <c r="W3651" i="1"/>
  <c r="AK3651" i="1" s="1"/>
  <c r="W3366" i="1"/>
  <c r="AK3366" i="1" s="1"/>
  <c r="W3145" i="1"/>
  <c r="X3145" i="1" s="1"/>
  <c r="W3144" i="1"/>
  <c r="AK3144" i="1" s="1"/>
  <c r="W2876" i="1"/>
  <c r="AL2876" i="1" s="1"/>
  <c r="W2791" i="1"/>
  <c r="X2791" i="1" s="1"/>
  <c r="W2769" i="1"/>
  <c r="AL2769" i="1" s="1"/>
  <c r="W2763" i="1"/>
  <c r="X2763" i="1" s="1"/>
  <c r="W2371" i="1"/>
  <c r="AL2371" i="1" s="1"/>
  <c r="W2090" i="1"/>
  <c r="AL2090" i="1" s="1"/>
  <c r="W1990" i="1"/>
  <c r="X1990" i="1" s="1"/>
  <c r="W1050" i="1"/>
  <c r="AK1050" i="1" s="1"/>
  <c r="W706" i="1"/>
  <c r="AL706" i="1" s="1"/>
  <c r="W303" i="1"/>
  <c r="AK303" i="1" s="1"/>
  <c r="W279" i="1"/>
  <c r="AK279" i="1" s="1"/>
  <c r="W4023" i="1"/>
  <c r="AL4023" i="1" s="1"/>
  <c r="W3650" i="1"/>
  <c r="AL3650" i="1" s="1"/>
  <c r="W3143" i="1"/>
  <c r="X3143" i="1" s="1"/>
  <c r="W3142" i="1"/>
  <c r="X3142" i="1" s="1"/>
  <c r="W2875" i="1"/>
  <c r="AL2875" i="1" s="1"/>
  <c r="W2790" i="1"/>
  <c r="AL2790" i="1" s="1"/>
  <c r="W2538" i="1"/>
  <c r="X2538" i="1" s="1"/>
  <c r="W1410" i="1"/>
  <c r="X1410" i="1" s="1"/>
  <c r="W994" i="1"/>
  <c r="AK994" i="1" s="1"/>
  <c r="W4406" i="1"/>
  <c r="X4406" i="1" s="1"/>
  <c r="W4373" i="1"/>
  <c r="X4373" i="1" s="1"/>
  <c r="W4281" i="1"/>
  <c r="X4281" i="1" s="1"/>
  <c r="W3308" i="1"/>
  <c r="X3308" i="1" s="1"/>
  <c r="W2716" i="1"/>
  <c r="AL2716" i="1" s="1"/>
  <c r="W830" i="1"/>
  <c r="AL830" i="1" s="1"/>
  <c r="W474" i="1"/>
  <c r="AL474" i="1" s="1"/>
  <c r="W4426" i="1"/>
  <c r="AK4426" i="1" s="1"/>
  <c r="W4280" i="1"/>
  <c r="X4280" i="1" s="1"/>
  <c r="W4082" i="1"/>
  <c r="AL4082" i="1" s="1"/>
  <c r="W4155" i="1"/>
  <c r="AL4155" i="1" s="1"/>
  <c r="W4140" i="1"/>
  <c r="AL4140" i="1" s="1"/>
  <c r="W4081" i="1"/>
  <c r="AL4081" i="1" s="1"/>
  <c r="W3641" i="1"/>
  <c r="X3641" i="1" s="1"/>
  <c r="W4080" i="1"/>
  <c r="AL4080" i="1" s="1"/>
  <c r="W3929" i="1"/>
  <c r="AL3929" i="1" s="1"/>
  <c r="W1506" i="1"/>
  <c r="AK1506" i="1" s="1"/>
  <c r="W1505" i="1"/>
  <c r="AK1505" i="1" s="1"/>
  <c r="W1504" i="1"/>
  <c r="AL1504" i="1" s="1"/>
  <c r="W1502" i="1"/>
  <c r="AL1502" i="1" s="1"/>
  <c r="X4244" i="1"/>
  <c r="X4245" i="1"/>
  <c r="X4248" i="1"/>
  <c r="U4245" i="1"/>
  <c r="V4245" i="1" s="1"/>
  <c r="U4244" i="1"/>
  <c r="V4244" i="1" s="1"/>
  <c r="W4240" i="1"/>
  <c r="X4240" i="1" s="1"/>
  <c r="W4239" i="1"/>
  <c r="X4239" i="1" s="1"/>
  <c r="U4248" i="1"/>
  <c r="V4248" i="1" s="1"/>
  <c r="W4261" i="1"/>
  <c r="X4261" i="1" s="1"/>
  <c r="W4260" i="1"/>
  <c r="X4260" i="1" s="1"/>
  <c r="W4407" i="1"/>
  <c r="AK4407" i="1" s="1"/>
  <c r="W4427" i="1"/>
  <c r="AK4427" i="1" s="1"/>
  <c r="U917" i="1"/>
  <c r="V917" i="1" s="1"/>
  <c r="W912" i="1"/>
  <c r="X912" i="1" s="1"/>
  <c r="AL4380" i="1"/>
  <c r="AK4380" i="1"/>
  <c r="AL4183" i="1"/>
  <c r="AK4183" i="1"/>
  <c r="X4380" i="1"/>
  <c r="X4183" i="1"/>
  <c r="U4183" i="1"/>
  <c r="V4183" i="1" s="1"/>
  <c r="W1908" i="1"/>
  <c r="AK1908" i="1" s="1"/>
  <c r="X4217" i="1"/>
  <c r="W3844" i="1"/>
  <c r="AL3844" i="1" s="1"/>
  <c r="W1980" i="1"/>
  <c r="AK1980" i="1" s="1"/>
  <c r="W3124" i="1"/>
  <c r="X3124" i="1" s="1"/>
  <c r="W1816" i="1"/>
  <c r="AL1816" i="1" s="1"/>
  <c r="W4216" i="1"/>
  <c r="AL4216" i="1" s="1"/>
  <c r="W4215" i="1"/>
  <c r="AK4215" i="1" s="1"/>
  <c r="W4214" i="1"/>
  <c r="X4214" i="1" s="1"/>
  <c r="W4213" i="1"/>
  <c r="X4213" i="1" s="1"/>
  <c r="W4212" i="1"/>
  <c r="AL4212" i="1" s="1"/>
  <c r="X4218" i="1"/>
  <c r="X4414" i="1"/>
  <c r="X4412" i="1"/>
  <c r="X4376" i="1"/>
  <c r="X4363" i="1"/>
  <c r="X4324" i="1"/>
  <c r="X4221" i="1"/>
  <c r="X4189" i="1"/>
  <c r="X4187" i="1"/>
  <c r="X4173" i="1"/>
  <c r="X4154" i="1"/>
  <c r="U4221" i="1"/>
  <c r="V4221" i="1" s="1"/>
  <c r="U4189" i="1"/>
  <c r="V4189" i="1" s="1"/>
  <c r="U4187" i="1"/>
  <c r="V4187" i="1" s="1"/>
  <c r="U4173" i="1"/>
  <c r="V4173" i="1" s="1"/>
  <c r="U4154" i="1"/>
  <c r="V4154" i="1" s="1"/>
  <c r="W94" i="1"/>
  <c r="AL94" i="1" s="1"/>
  <c r="W90" i="1"/>
  <c r="AL90" i="1" s="1"/>
  <c r="W41" i="1"/>
  <c r="AL41" i="1" s="1"/>
  <c r="W32" i="1"/>
  <c r="AL32" i="1" s="1"/>
  <c r="W1731" i="1"/>
  <c r="AL1731" i="1" s="1"/>
  <c r="W4075" i="1"/>
  <c r="AL4075" i="1" s="1"/>
  <c r="W4379" i="1"/>
  <c r="AL4379" i="1" s="1"/>
  <c r="W4255" i="1"/>
  <c r="AL4255" i="1" s="1"/>
  <c r="W4243" i="1"/>
  <c r="AL4243" i="1" s="1"/>
  <c r="W4234" i="1"/>
  <c r="X4234" i="1" s="1"/>
  <c r="W4095" i="1"/>
  <c r="AL4095" i="1" s="1"/>
  <c r="W4053" i="1"/>
  <c r="X4053" i="1" s="1"/>
  <c r="W121" i="1"/>
  <c r="X121" i="1" s="1"/>
  <c r="W4428" i="1"/>
  <c r="AK4428" i="1" s="1"/>
  <c r="W4171" i="1"/>
  <c r="AL4171" i="1" s="1"/>
  <c r="W4096" i="1"/>
  <c r="X4096" i="1" s="1"/>
  <c r="W4010" i="1"/>
  <c r="AL4010" i="1" s="1"/>
  <c r="W3933" i="1"/>
  <c r="X3933" i="1" s="1"/>
  <c r="W3877" i="1"/>
  <c r="AL3877" i="1" s="1"/>
  <c r="W3694" i="1"/>
  <c r="AL3694" i="1" s="1"/>
  <c r="W3693" i="1"/>
  <c r="AL3693" i="1" s="1"/>
  <c r="W3430" i="1"/>
  <c r="X3430" i="1" s="1"/>
  <c r="W3429" i="1"/>
  <c r="AK3429" i="1" s="1"/>
  <c r="W3428" i="1"/>
  <c r="AK3428" i="1" s="1"/>
  <c r="W3176" i="1"/>
  <c r="AL3176" i="1" s="1"/>
  <c r="W3175" i="1"/>
  <c r="AL3175" i="1" s="1"/>
  <c r="W2817" i="1"/>
  <c r="AK2817" i="1" s="1"/>
  <c r="W2782" i="1"/>
  <c r="X2782" i="1" s="1"/>
  <c r="W2632" i="1"/>
  <c r="AL2632" i="1" s="1"/>
  <c r="W2560" i="1"/>
  <c r="AL2560" i="1" s="1"/>
  <c r="W2523" i="1"/>
  <c r="AK2523" i="1" s="1"/>
  <c r="W2049" i="1"/>
  <c r="AK2049" i="1" s="1"/>
  <c r="W1917" i="1"/>
  <c r="AL1917" i="1" s="1"/>
  <c r="W1815" i="1"/>
  <c r="X1815" i="1" s="1"/>
  <c r="W1659" i="1"/>
  <c r="AL1659" i="1" s="1"/>
  <c r="W1486" i="1"/>
  <c r="AL1486" i="1" s="1"/>
  <c r="W1240" i="1"/>
  <c r="AL1240" i="1" s="1"/>
  <c r="W1133" i="1"/>
  <c r="X1133" i="1" s="1"/>
  <c r="W1043" i="1"/>
  <c r="AL1043" i="1" s="1"/>
  <c r="W556" i="1"/>
  <c r="AL556" i="1" s="1"/>
  <c r="W380" i="1"/>
  <c r="AK380" i="1" s="1"/>
  <c r="W93" i="1"/>
  <c r="AK93" i="1" s="1"/>
  <c r="W1718" i="1"/>
  <c r="AL1718" i="1" s="1"/>
  <c r="W2032" i="1"/>
  <c r="AL2032" i="1" s="1"/>
  <c r="W2108" i="1"/>
  <c r="X2108" i="1" s="1"/>
  <c r="W2148" i="1"/>
  <c r="AL2148" i="1" s="1"/>
  <c r="W2150" i="1"/>
  <c r="AK2150" i="1" s="1"/>
  <c r="W2196" i="1"/>
  <c r="AK2196" i="1" s="1"/>
  <c r="W2789" i="1"/>
  <c r="AL2789" i="1" s="1"/>
  <c r="AK1840" i="1"/>
  <c r="W4226" i="1"/>
  <c r="AK4226" i="1" s="1"/>
  <c r="U4226" i="1"/>
  <c r="V4226" i="1" s="1"/>
  <c r="W3943" i="1"/>
  <c r="W1818" i="1"/>
  <c r="AL1818" i="1" s="1"/>
  <c r="W1562" i="1"/>
  <c r="X1562" i="1" s="1"/>
  <c r="W1508" i="1"/>
  <c r="AL1508" i="1" s="1"/>
  <c r="W1458" i="1"/>
  <c r="AL1458" i="1" s="1"/>
  <c r="W1895" i="1"/>
  <c r="AL1895" i="1" s="1"/>
  <c r="X4066" i="1"/>
  <c r="W2747" i="1"/>
  <c r="AK2747" i="1" s="1"/>
  <c r="W2516" i="1"/>
  <c r="AL2516" i="1" s="1"/>
  <c r="W2329" i="1"/>
  <c r="AK2329" i="1" s="1"/>
  <c r="W1384" i="1"/>
  <c r="AK1384" i="1" s="1"/>
  <c r="W894" i="1"/>
  <c r="AL894" i="1" s="1"/>
  <c r="W852" i="1"/>
  <c r="X852" i="1" s="1"/>
  <c r="W674" i="1"/>
  <c r="X674" i="1" s="1"/>
  <c r="W2296" i="1"/>
  <c r="X2296" i="1" s="1"/>
  <c r="W4209" i="1"/>
  <c r="X4209" i="1" s="1"/>
  <c r="W3942" i="1"/>
  <c r="W3346" i="1"/>
  <c r="AL3346" i="1" s="1"/>
  <c r="W3345" i="1"/>
  <c r="AL3345" i="1" s="1"/>
  <c r="W2549" i="1"/>
  <c r="AK2549" i="1" s="1"/>
  <c r="W2206" i="1"/>
  <c r="AL2206" i="1" s="1"/>
  <c r="W2200" i="1"/>
  <c r="AK2200" i="1" s="1"/>
  <c r="W2031" i="1"/>
  <c r="AL2031" i="1" s="1"/>
  <c r="W1631" i="1"/>
  <c r="AL1631" i="1" s="1"/>
  <c r="W1595" i="1"/>
  <c r="X1595" i="1" s="1"/>
  <c r="W1580" i="1"/>
  <c r="AL1580" i="1" s="1"/>
  <c r="W1561" i="1"/>
  <c r="X1561" i="1" s="1"/>
  <c r="W1474" i="1"/>
  <c r="AK1474" i="1" s="1"/>
  <c r="W1370" i="1"/>
  <c r="AL1370" i="1" s="1"/>
  <c r="W1243" i="1"/>
  <c r="AK1243" i="1" s="1"/>
  <c r="W1136" i="1"/>
  <c r="AL1136" i="1" s="1"/>
  <c r="W1119" i="1"/>
  <c r="AL1119" i="1" s="1"/>
  <c r="AL4274" i="1"/>
  <c r="AK4274" i="1"/>
  <c r="AL4272" i="1"/>
  <c r="AK4272" i="1"/>
  <c r="AL4123" i="1"/>
  <c r="AK4123" i="1"/>
  <c r="X4274" i="1"/>
  <c r="X4272" i="1"/>
  <c r="W4121" i="1"/>
  <c r="AL4121" i="1" s="1"/>
  <c r="U4121" i="1"/>
  <c r="V4121" i="1" s="1"/>
  <c r="W4273" i="1"/>
  <c r="AL4273" i="1" s="1"/>
  <c r="W3904" i="1"/>
  <c r="AL3904" i="1" s="1"/>
  <c r="W2861" i="1"/>
  <c r="AK2861" i="1" s="1"/>
  <c r="W1630" i="1"/>
  <c r="AK1630" i="1" s="1"/>
  <c r="W1599" i="1"/>
  <c r="AL1599" i="1" s="1"/>
  <c r="W1457" i="1"/>
  <c r="X1457" i="1" s="1"/>
  <c r="W1250" i="1"/>
  <c r="AL1250" i="1" s="1"/>
  <c r="W1382" i="1"/>
  <c r="AL1382" i="1" s="1"/>
  <c r="U913" i="1"/>
  <c r="V913" i="1" s="1"/>
  <c r="U914" i="1"/>
  <c r="V914" i="1" s="1"/>
  <c r="U915" i="1"/>
  <c r="V915" i="1" s="1"/>
  <c r="U916" i="1"/>
  <c r="V916" i="1" s="1"/>
  <c r="U852" i="1"/>
  <c r="V852" i="1" s="1"/>
  <c r="U912" i="1"/>
  <c r="V912" i="1" s="1"/>
  <c r="U770" i="1"/>
  <c r="V770" i="1" s="1"/>
  <c r="U771" i="1"/>
  <c r="V771" i="1" s="1"/>
  <c r="U769" i="1"/>
  <c r="V769" i="1" s="1"/>
  <c r="AL4150" i="1"/>
  <c r="AK4150" i="1"/>
  <c r="X4150" i="1"/>
  <c r="U4150" i="1"/>
  <c r="V4150" i="1" s="1"/>
  <c r="AK2228" i="1"/>
  <c r="W2502" i="1"/>
  <c r="AL2502" i="1" s="1"/>
  <c r="W2501" i="1"/>
  <c r="AK2501" i="1" s="1"/>
  <c r="W2500" i="1"/>
  <c r="X2500" i="1" s="1"/>
  <c r="W1974" i="1"/>
  <c r="X1974" i="1" s="1"/>
  <c r="W1973" i="1"/>
  <c r="AL1973" i="1" s="1"/>
  <c r="W1972" i="1"/>
  <c r="X1972" i="1" s="1"/>
  <c r="W1970" i="1"/>
  <c r="AL1970" i="1" s="1"/>
  <c r="W4314" i="1"/>
  <c r="AL4314" i="1" s="1"/>
  <c r="W4074" i="1"/>
  <c r="X4074" i="1" s="1"/>
  <c r="W2188" i="1"/>
  <c r="W2187" i="1"/>
  <c r="X2187" i="1" s="1"/>
  <c r="W2499" i="1"/>
  <c r="AL2499" i="1" s="1"/>
  <c r="W1971" i="1"/>
  <c r="X1971" i="1" s="1"/>
  <c r="W1969" i="1"/>
  <c r="AK1969" i="1" s="1"/>
  <c r="W1481" i="1"/>
  <c r="AL1481" i="1" s="1"/>
  <c r="W1480" i="1"/>
  <c r="AL1480" i="1" s="1"/>
  <c r="W3988" i="1"/>
  <c r="AL3988" i="1" s="1"/>
  <c r="W1963" i="1"/>
  <c r="AK1963" i="1" s="1"/>
  <c r="W1829" i="1"/>
  <c r="AL1829" i="1" s="1"/>
  <c r="W2494" i="1"/>
  <c r="AL2494" i="1" s="1"/>
  <c r="W2302" i="1"/>
  <c r="AL2302" i="1" s="1"/>
  <c r="W1325" i="1"/>
  <c r="W974" i="1"/>
  <c r="AL974" i="1" s="1"/>
  <c r="AK316" i="1"/>
  <c r="AL316" i="1"/>
  <c r="X316" i="1"/>
  <c r="W700" i="1"/>
  <c r="AK700" i="1" s="1"/>
  <c r="U918" i="1"/>
  <c r="V918" i="1" s="1"/>
  <c r="W2765" i="1"/>
  <c r="AL2765" i="1" s="1"/>
  <c r="U799" i="1"/>
  <c r="V799" i="1" s="1"/>
  <c r="W692" i="1"/>
  <c r="AL692" i="1" s="1"/>
  <c r="X4175" i="1"/>
  <c r="U4157" i="1"/>
  <c r="V4157" i="1" s="1"/>
  <c r="W4405" i="1"/>
  <c r="AL4405" i="1" s="1"/>
  <c r="W4157" i="1"/>
  <c r="AL4157" i="1" s="1"/>
  <c r="W3590" i="1"/>
  <c r="AK3590" i="1" s="1"/>
  <c r="W3589" i="1"/>
  <c r="W2837" i="1"/>
  <c r="AK2837" i="1" s="1"/>
  <c r="W2836" i="1"/>
  <c r="AK2836" i="1" s="1"/>
  <c r="W2800" i="1"/>
  <c r="X2800" i="1" s="1"/>
  <c r="W2611" i="1"/>
  <c r="AL2611" i="1" s="1"/>
  <c r="W2422" i="1"/>
  <c r="X2422" i="1" s="1"/>
  <c r="W2411" i="1"/>
  <c r="AL2411" i="1" s="1"/>
  <c r="W2397" i="1"/>
  <c r="AL2397" i="1" s="1"/>
  <c r="W2275" i="1"/>
  <c r="X2275" i="1" s="1"/>
  <c r="W2252" i="1"/>
  <c r="AL2252" i="1" s="1"/>
  <c r="W2244" i="1"/>
  <c r="AL2244" i="1" s="1"/>
  <c r="W2173" i="1"/>
  <c r="AL2173" i="1" s="1"/>
  <c r="W1854" i="1"/>
  <c r="X1854" i="1" s="1"/>
  <c r="W1778" i="1"/>
  <c r="AK1778" i="1" s="1"/>
  <c r="W1586" i="1"/>
  <c r="X1586" i="1" s="1"/>
  <c r="W1531" i="1"/>
  <c r="AL1531" i="1" s="1"/>
  <c r="W1530" i="1"/>
  <c r="AL1530" i="1" s="1"/>
  <c r="W1494" i="1"/>
  <c r="AK1494" i="1" s="1"/>
  <c r="W1460" i="1"/>
  <c r="AL1460" i="1" s="1"/>
  <c r="W1205" i="1"/>
  <c r="AL1205" i="1" s="1"/>
  <c r="W1104" i="1"/>
  <c r="AL1104" i="1" s="1"/>
  <c r="W964" i="1"/>
  <c r="AL964" i="1" s="1"/>
  <c r="W454" i="1"/>
  <c r="X454" i="1" s="1"/>
  <c r="W419" i="1"/>
  <c r="AL419" i="1" s="1"/>
  <c r="W391" i="1"/>
  <c r="AL391" i="1" s="1"/>
  <c r="W287" i="1"/>
  <c r="AL287" i="1" s="1"/>
  <c r="W160" i="1"/>
  <c r="X160" i="1" s="1"/>
  <c r="W2505" i="1"/>
  <c r="AL2505" i="1" s="1"/>
  <c r="W2504" i="1"/>
  <c r="AL2504" i="1" s="1"/>
  <c r="W2503" i="1"/>
  <c r="X2503" i="1" s="1"/>
  <c r="W4143" i="1"/>
  <c r="AL4143" i="1" s="1"/>
  <c r="W3481" i="1"/>
  <c r="AL3481" i="1" s="1"/>
  <c r="W4249" i="1"/>
  <c r="AL4249" i="1" s="1"/>
  <c r="W2271" i="1"/>
  <c r="W4336" i="1"/>
  <c r="AL4336" i="1" s="1"/>
  <c r="W4332" i="1"/>
  <c r="X4332" i="1" s="1"/>
  <c r="W3466" i="1"/>
  <c r="X3466" i="1" s="1"/>
  <c r="W3465" i="1"/>
  <c r="AL3465" i="1" s="1"/>
  <c r="W521" i="1"/>
  <c r="X521" i="1" s="1"/>
  <c r="W4253" i="1"/>
  <c r="AK4253" i="1" s="1"/>
  <c r="W4141" i="1"/>
  <c r="AL4141" i="1" s="1"/>
  <c r="W3851" i="1"/>
  <c r="AL3851" i="1" s="1"/>
  <c r="W3464" i="1"/>
  <c r="AL3464" i="1" s="1"/>
  <c r="W3463" i="1"/>
  <c r="X3463" i="1" s="1"/>
  <c r="W3212" i="1"/>
  <c r="AL3212" i="1" s="1"/>
  <c r="W2616" i="1"/>
  <c r="W1870" i="1"/>
  <c r="AL1870" i="1" s="1"/>
  <c r="W1827" i="1"/>
  <c r="X1827" i="1" s="1"/>
  <c r="W1478" i="1"/>
  <c r="AL1478" i="1" s="1"/>
  <c r="W1226" i="1"/>
  <c r="AL1226" i="1" s="1"/>
  <c r="W1197" i="1"/>
  <c r="AK1197" i="1" s="1"/>
  <c r="W956" i="1"/>
  <c r="X956" i="1" s="1"/>
  <c r="W600" i="1"/>
  <c r="AL600" i="1" s="1"/>
  <c r="W2620" i="1"/>
  <c r="X2620" i="1" s="1"/>
  <c r="W4417" i="1"/>
  <c r="AL4417" i="1" s="1"/>
  <c r="W4307" i="1"/>
  <c r="X4307" i="1" s="1"/>
  <c r="W3852" i="1"/>
  <c r="AL3852" i="1" s="1"/>
  <c r="W3731" i="1"/>
  <c r="AL3731" i="1" s="1"/>
  <c r="W2646" i="1"/>
  <c r="AK2646" i="1" s="1"/>
  <c r="W1347" i="1"/>
  <c r="AL1347" i="1" s="1"/>
  <c r="W1309" i="1"/>
  <c r="X1309" i="1" s="1"/>
  <c r="W1083" i="1"/>
  <c r="AL1083" i="1" s="1"/>
  <c r="W688" i="1"/>
  <c r="AK688" i="1" s="1"/>
  <c r="W330" i="1"/>
  <c r="AL330" i="1" s="1"/>
  <c r="W4423" i="1"/>
  <c r="AK4423" i="1" s="1"/>
  <c r="W4410" i="1"/>
  <c r="AK4410" i="1" s="1"/>
  <c r="W4403" i="1"/>
  <c r="AL4403" i="1" s="1"/>
  <c r="W4391" i="1"/>
  <c r="AK4391" i="1" s="1"/>
  <c r="W4385" i="1"/>
  <c r="AL4385" i="1" s="1"/>
  <c r="W4383" i="1"/>
  <c r="X4383" i="1" s="1"/>
  <c r="W4372" i="1"/>
  <c r="X4372" i="1" s="1"/>
  <c r="W4368" i="1"/>
  <c r="X4368" i="1" s="1"/>
  <c r="W4356" i="1"/>
  <c r="AK4356" i="1" s="1"/>
  <c r="W4350" i="1"/>
  <c r="X4350" i="1" s="1"/>
  <c r="W4348" i="1"/>
  <c r="X4348" i="1" s="1"/>
  <c r="W4340" i="1"/>
  <c r="X4340" i="1" s="1"/>
  <c r="W4335" i="1"/>
  <c r="AK4335" i="1" s="1"/>
  <c r="W4323" i="1"/>
  <c r="AL4323" i="1" s="1"/>
  <c r="W4312" i="1"/>
  <c r="AL4312" i="1" s="1"/>
  <c r="W4310" i="1"/>
  <c r="AL4310" i="1" s="1"/>
  <c r="W4306" i="1"/>
  <c r="X4306" i="1" s="1"/>
  <c r="W4304" i="1"/>
  <c r="AK4304" i="1" s="1"/>
  <c r="W4301" i="1"/>
  <c r="X4301" i="1" s="1"/>
  <c r="W4294" i="1"/>
  <c r="AL4294" i="1" s="1"/>
  <c r="W4270" i="1"/>
  <c r="W4265" i="1"/>
  <c r="AG4265" i="1" s="1"/>
  <c r="W4263" i="1"/>
  <c r="W4247" i="1"/>
  <c r="X4247" i="1" s="1"/>
  <c r="W4225" i="1"/>
  <c r="W4208" i="1"/>
  <c r="X4208" i="1" s="1"/>
  <c r="W4206" i="1"/>
  <c r="W4185" i="1"/>
  <c r="W4179" i="1"/>
  <c r="W4177" i="1"/>
  <c r="AG4177" i="1" s="1"/>
  <c r="W4168" i="1"/>
  <c r="AK4168" i="1" s="1"/>
  <c r="W4163" i="1"/>
  <c r="X4163" i="1" s="1"/>
  <c r="W4136" i="1"/>
  <c r="W4117" i="1"/>
  <c r="X4117" i="1" s="1"/>
  <c r="W4111" i="1"/>
  <c r="W4072" i="1"/>
  <c r="W4064" i="1"/>
  <c r="W4051" i="1"/>
  <c r="W4045" i="1"/>
  <c r="X4045" i="1" s="1"/>
  <c r="W4036" i="1"/>
  <c r="W4020" i="1"/>
  <c r="AG4020" i="1" s="1"/>
  <c r="W4016" i="1"/>
  <c r="W3983" i="1"/>
  <c r="W3980" i="1"/>
  <c r="X3980" i="1" s="1"/>
  <c r="W3967" i="1"/>
  <c r="AG3967" i="1" s="1"/>
  <c r="W3892" i="1"/>
  <c r="X3892" i="1" s="1"/>
  <c r="W3809" i="1"/>
  <c r="X3809" i="1" s="1"/>
  <c r="W3807" i="1"/>
  <c r="W3805" i="1"/>
  <c r="W3803" i="1"/>
  <c r="W3801" i="1"/>
  <c r="W3799" i="1"/>
  <c r="W3795" i="1"/>
  <c r="AK3795" i="1" s="1"/>
  <c r="W3793" i="1"/>
  <c r="AK3793" i="1" s="1"/>
  <c r="W3791" i="1"/>
  <c r="X3791" i="1" s="1"/>
  <c r="W3789" i="1"/>
  <c r="AK3789" i="1" s="1"/>
  <c r="W3787" i="1"/>
  <c r="AK3787" i="1" s="1"/>
  <c r="W3782" i="1"/>
  <c r="W3780" i="1"/>
  <c r="W3778" i="1"/>
  <c r="W3776" i="1"/>
  <c r="W3774" i="1"/>
  <c r="W3772" i="1"/>
  <c r="AK3772" i="1" s="1"/>
  <c r="W3770" i="1"/>
  <c r="W3768" i="1"/>
  <c r="AG3768" i="1" s="1"/>
  <c r="W3766" i="1"/>
  <c r="W3765" i="1"/>
  <c r="AK3765" i="1" s="1"/>
  <c r="W3763" i="1"/>
  <c r="W3761" i="1"/>
  <c r="AL3761" i="1" s="1"/>
  <c r="W3759" i="1"/>
  <c r="W3756" i="1"/>
  <c r="W3587" i="1"/>
  <c r="X3587" i="1" s="1"/>
  <c r="W3531" i="1"/>
  <c r="W3529" i="1"/>
  <c r="AL3529" i="1" s="1"/>
  <c r="W3527" i="1"/>
  <c r="W3525" i="1"/>
  <c r="X3525" i="1" s="1"/>
  <c r="W3523" i="1"/>
  <c r="W3522" i="1"/>
  <c r="AK3522" i="1" s="1"/>
  <c r="W3519" i="1"/>
  <c r="W3517" i="1"/>
  <c r="AL3517" i="1" s="1"/>
  <c r="W3515" i="1"/>
  <c r="AL3515" i="1" s="1"/>
  <c r="W3513" i="1"/>
  <c r="W3511" i="1"/>
  <c r="W3509" i="1"/>
  <c r="W3266" i="1"/>
  <c r="X3266" i="1" s="1"/>
  <c r="W3264" i="1"/>
  <c r="W3262" i="1"/>
  <c r="AG3262" i="1" s="1"/>
  <c r="W3260" i="1"/>
  <c r="AL3260" i="1" s="1"/>
  <c r="W3258" i="1"/>
  <c r="W3256" i="1"/>
  <c r="W3254" i="1"/>
  <c r="AL3254" i="1" s="1"/>
  <c r="W3252" i="1"/>
  <c r="W3250" i="1"/>
  <c r="AL3250" i="1" s="1"/>
  <c r="W3248" i="1"/>
  <c r="AL3248" i="1" s="1"/>
  <c r="W3246" i="1"/>
  <c r="W3244" i="1"/>
  <c r="W3242" i="1"/>
  <c r="AL3242" i="1" s="1"/>
  <c r="W3240" i="1"/>
  <c r="X3240" i="1" s="1"/>
  <c r="W3238" i="1"/>
  <c r="W3236" i="1"/>
  <c r="W3027" i="1"/>
  <c r="AL3027" i="1" s="1"/>
  <c r="W3025" i="1"/>
  <c r="X3025" i="1" s="1"/>
  <c r="W3023" i="1"/>
  <c r="AK3023" i="1" s="1"/>
  <c r="W3021" i="1"/>
  <c r="W3019" i="1"/>
  <c r="AG3019" i="1" s="1"/>
  <c r="W3017" i="1"/>
  <c r="W3013" i="1"/>
  <c r="X3013" i="1" s="1"/>
  <c r="W3011" i="1"/>
  <c r="AG3011" i="1" s="1"/>
  <c r="W3009" i="1"/>
  <c r="AL3009" i="1" s="1"/>
  <c r="W3007" i="1"/>
  <c r="X3007" i="1" s="1"/>
  <c r="W3005" i="1"/>
  <c r="X3005" i="1" s="1"/>
  <c r="W3002" i="1"/>
  <c r="AK3002" i="1" s="1"/>
  <c r="AK3000" i="1"/>
  <c r="W2998" i="1"/>
  <c r="AK2996" i="1"/>
  <c r="W2822" i="1"/>
  <c r="AG2822" i="1" s="1"/>
  <c r="W2820" i="1"/>
  <c r="AL2820" i="1" s="1"/>
  <c r="W2812" i="1"/>
  <c r="W2810" i="1"/>
  <c r="AK2810" i="1" s="1"/>
  <c r="W2805" i="1"/>
  <c r="W2755" i="1"/>
  <c r="W2749" i="1"/>
  <c r="W2744" i="1"/>
  <c r="AL2744" i="1" s="1"/>
  <c r="W2735" i="1"/>
  <c r="AK2735" i="1" s="1"/>
  <c r="W2709" i="1"/>
  <c r="AL2709" i="1" s="1"/>
  <c r="W2685" i="1"/>
  <c r="W2680" i="1"/>
  <c r="W2678" i="1"/>
  <c r="X2678" i="1" s="1"/>
  <c r="W2639" i="1"/>
  <c r="AL2639" i="1" s="1"/>
  <c r="W2615" i="1"/>
  <c r="W2593" i="1"/>
  <c r="X2593" i="1" s="1"/>
  <c r="W2590" i="1"/>
  <c r="W2584" i="1"/>
  <c r="W2564" i="1"/>
  <c r="W2547" i="1"/>
  <c r="AL2547" i="1" s="1"/>
  <c r="W2544" i="1"/>
  <c r="X2544" i="1" s="1"/>
  <c r="W2520" i="1"/>
  <c r="W2509" i="1"/>
  <c r="AL2509" i="1" s="1"/>
  <c r="W2492" i="1"/>
  <c r="W2484" i="1"/>
  <c r="AK2484" i="1" s="1"/>
  <c r="W2476" i="1"/>
  <c r="AL2476" i="1" s="1"/>
  <c r="W2466" i="1"/>
  <c r="W2462" i="1"/>
  <c r="W2444" i="1"/>
  <c r="W2440" i="1"/>
  <c r="W2437" i="1"/>
  <c r="W2418" i="1"/>
  <c r="W2410" i="1"/>
  <c r="X2410" i="1" s="1"/>
  <c r="W2407" i="1"/>
  <c r="X2407" i="1" s="1"/>
  <c r="W2404" i="1"/>
  <c r="X2404" i="1" s="1"/>
  <c r="W2391" i="1"/>
  <c r="X2391" i="1" s="1"/>
  <c r="W2389" i="1"/>
  <c r="W2387" i="1"/>
  <c r="AK2387" i="1" s="1"/>
  <c r="W2379" i="1"/>
  <c r="W2360" i="1"/>
  <c r="W2353" i="1"/>
  <c r="W2347" i="1"/>
  <c r="W2343" i="1"/>
  <c r="AK2343" i="1" s="1"/>
  <c r="W2341" i="1"/>
  <c r="W2334" i="1"/>
  <c r="W2324" i="1"/>
  <c r="W2321" i="1"/>
  <c r="W2318" i="1"/>
  <c r="W2277" i="1"/>
  <c r="AL2277" i="1" s="1"/>
  <c r="W2274" i="1"/>
  <c r="AK2274" i="1" s="1"/>
  <c r="W2267" i="1"/>
  <c r="W2199" i="1"/>
  <c r="W2194" i="1"/>
  <c r="W2190" i="1"/>
  <c r="X2190" i="1" s="1"/>
  <c r="W2179" i="1"/>
  <c r="W2172" i="1"/>
  <c r="W2169" i="1"/>
  <c r="X2169" i="1" s="1"/>
  <c r="W2165" i="1"/>
  <c r="W2152" i="1"/>
  <c r="W2145" i="1"/>
  <c r="W2136" i="1"/>
  <c r="AK2136" i="1" s="1"/>
  <c r="W2129" i="1"/>
  <c r="W2118" i="1"/>
  <c r="W2115" i="1"/>
  <c r="W2110" i="1"/>
  <c r="AK2110" i="1" s="1"/>
  <c r="W2106" i="1"/>
  <c r="W2099" i="1"/>
  <c r="AK2099" i="1" s="1"/>
  <c r="W2096" i="1"/>
  <c r="AL2096" i="1" s="1"/>
  <c r="W2092" i="1"/>
  <c r="X2092" i="1" s="1"/>
  <c r="W2069" i="1"/>
  <c r="AK2069" i="1" s="1"/>
  <c r="W2066" i="1"/>
  <c r="AK2066" i="1" s="1"/>
  <c r="W2058" i="1"/>
  <c r="W2053" i="1"/>
  <c r="W2046" i="1"/>
  <c r="W2019" i="1"/>
  <c r="W2016" i="1"/>
  <c r="AL2016" i="1" s="1"/>
  <c r="W1933" i="1"/>
  <c r="AK1933" i="1" s="1"/>
  <c r="W1903" i="1"/>
  <c r="W1885" i="1"/>
  <c r="W1875" i="1"/>
  <c r="AK1875" i="1" s="1"/>
  <c r="W1866" i="1"/>
  <c r="W1855" i="1"/>
  <c r="AL1855" i="1" s="1"/>
  <c r="W1849" i="1"/>
  <c r="W1804" i="1"/>
  <c r="W1762" i="1"/>
  <c r="AL1762" i="1" s="1"/>
  <c r="W1699" i="1"/>
  <c r="W1696" i="1"/>
  <c r="W1686" i="1"/>
  <c r="AL1686" i="1" s="1"/>
  <c r="W1682" i="1"/>
  <c r="X1682" i="1" s="1"/>
  <c r="W1678" i="1"/>
  <c r="AK1678" i="1" s="1"/>
  <c r="W1674" i="1"/>
  <c r="W1669" i="1"/>
  <c r="X1669" i="1" s="1"/>
  <c r="W1667" i="1"/>
  <c r="W1655" i="1"/>
  <c r="W1648" i="1"/>
  <c r="AK1648" i="1" s="1"/>
  <c r="W1634" i="1"/>
  <c r="W1628" i="1"/>
  <c r="AK1628" i="1" s="1"/>
  <c r="W1625" i="1"/>
  <c r="X1625" i="1" s="1"/>
  <c r="W1623" i="1"/>
  <c r="W1618" i="1"/>
  <c r="W1585" i="1"/>
  <c r="AK1585" i="1" s="1"/>
  <c r="W1579" i="1"/>
  <c r="AK1579" i="1" s="1"/>
  <c r="W1576" i="1"/>
  <c r="W1566" i="1"/>
  <c r="AL1566" i="1" s="1"/>
  <c r="W1560" i="1"/>
  <c r="W1558" i="1"/>
  <c r="AK1558" i="1" s="1"/>
  <c r="W1556" i="1"/>
  <c r="W1549" i="1"/>
  <c r="X1549" i="1" s="1"/>
  <c r="W1535" i="1"/>
  <c r="X1535" i="1" s="1"/>
  <c r="W1533" i="1"/>
  <c r="W1528" i="1"/>
  <c r="X1528" i="1" s="1"/>
  <c r="W1519" i="1"/>
  <c r="W1512" i="1"/>
  <c r="X1512" i="1" s="1"/>
  <c r="W1489" i="1"/>
  <c r="W1473" i="1"/>
  <c r="W1466" i="1"/>
  <c r="W1455" i="1"/>
  <c r="AK1455" i="1" s="1"/>
  <c r="W1434" i="1"/>
  <c r="W1418" i="1"/>
  <c r="X1418" i="1" s="1"/>
  <c r="W1399" i="1"/>
  <c r="W1387" i="1"/>
  <c r="W1381" i="1"/>
  <c r="W1356" i="1"/>
  <c r="X1356" i="1" s="1"/>
  <c r="W1354" i="1"/>
  <c r="X1354" i="1" s="1"/>
  <c r="W1352" i="1"/>
  <c r="W1340" i="1"/>
  <c r="AL1340" i="1" s="1"/>
  <c r="W1323" i="1"/>
  <c r="X1323" i="1" s="1"/>
  <c r="W1319" i="1"/>
  <c r="W1312" i="1"/>
  <c r="AL1312" i="1" s="1"/>
  <c r="W1305" i="1"/>
  <c r="W1300" i="1"/>
  <c r="X1300" i="1" s="1"/>
  <c r="W1292" i="1"/>
  <c r="AL1292" i="1" s="1"/>
  <c r="W1289" i="1"/>
  <c r="X1289" i="1" s="1"/>
  <c r="W1285" i="1"/>
  <c r="W1275" i="1"/>
  <c r="W1271" i="1"/>
  <c r="W1258" i="1"/>
  <c r="W1254" i="1"/>
  <c r="X1254" i="1" s="1"/>
  <c r="W1221" i="1"/>
  <c r="AK1221" i="1" s="1"/>
  <c r="W1189" i="1"/>
  <c r="W1183" i="1"/>
  <c r="AK1183" i="1" s="1"/>
  <c r="W1163" i="1"/>
  <c r="W1161" i="1"/>
  <c r="W1155" i="1"/>
  <c r="W1130" i="1"/>
  <c r="W1108" i="1"/>
  <c r="AK1108" i="1" s="1"/>
  <c r="W1093" i="1"/>
  <c r="W1070" i="1"/>
  <c r="AL1070" i="1" s="1"/>
  <c r="W1058" i="1"/>
  <c r="W1036" i="1"/>
  <c r="W1031" i="1"/>
  <c r="W1011" i="1"/>
  <c r="X1011" i="1" s="1"/>
  <c r="W992" i="1"/>
  <c r="AL992" i="1" s="1"/>
  <c r="W923" i="1"/>
  <c r="W911" i="1"/>
  <c r="AL911" i="1" s="1"/>
  <c r="W904" i="1"/>
  <c r="AL904" i="1" s="1"/>
  <c r="W877" i="1"/>
  <c r="W861" i="1"/>
  <c r="X861" i="1" s="1"/>
  <c r="W851" i="1"/>
  <c r="AL851" i="1" s="1"/>
  <c r="W849" i="1"/>
  <c r="X849" i="1" s="1"/>
  <c r="W837" i="1"/>
  <c r="X837" i="1" s="1"/>
  <c r="W817" i="1"/>
  <c r="AL817" i="1" s="1"/>
  <c r="W801" i="1"/>
  <c r="AL801" i="1" s="1"/>
  <c r="W778" i="1"/>
  <c r="W775" i="1"/>
  <c r="W766" i="1"/>
  <c r="AL766" i="1" s="1"/>
  <c r="W761" i="1"/>
  <c r="W734" i="1"/>
  <c r="W728" i="1"/>
  <c r="X728" i="1" s="1"/>
  <c r="W723" i="1"/>
  <c r="W720" i="1"/>
  <c r="AL720" i="1" s="1"/>
  <c r="W703" i="1"/>
  <c r="AL703" i="1" s="1"/>
  <c r="W699" i="1"/>
  <c r="X699" i="1" s="1"/>
  <c r="W690" i="1"/>
  <c r="X690" i="1" s="1"/>
  <c r="W663" i="1"/>
  <c r="W649" i="1"/>
  <c r="W647" i="1"/>
  <c r="AL647" i="1" s="1"/>
  <c r="W641" i="1"/>
  <c r="W635" i="1"/>
  <c r="W623" i="1"/>
  <c r="AL623" i="1" s="1"/>
  <c r="W620" i="1"/>
  <c r="W615" i="1"/>
  <c r="AK615" i="1" s="1"/>
  <c r="W606" i="1"/>
  <c r="AK606" i="1" s="1"/>
  <c r="W598" i="1"/>
  <c r="X598" i="1" s="1"/>
  <c r="W586" i="1"/>
  <c r="W583" i="1"/>
  <c r="W574" i="1"/>
  <c r="AK574" i="1" s="1"/>
  <c r="W558" i="1"/>
  <c r="AL558" i="1" s="1"/>
  <c r="W525" i="1"/>
  <c r="X525" i="1" s="1"/>
  <c r="W487" i="1"/>
  <c r="W461" i="1"/>
  <c r="AL461" i="1" s="1"/>
  <c r="W447" i="1"/>
  <c r="AK447" i="1" s="1"/>
  <c r="W436" i="1"/>
  <c r="AL436" i="1" s="1"/>
  <c r="W433" i="1"/>
  <c r="X433" i="1" s="1"/>
  <c r="W424" i="1"/>
  <c r="AK424" i="1" s="1"/>
  <c r="W401" i="1"/>
  <c r="W397" i="1"/>
  <c r="AL397" i="1" s="1"/>
  <c r="W390" i="1"/>
  <c r="AL390" i="1" s="1"/>
  <c r="W383" i="1"/>
  <c r="AL383" i="1" s="1"/>
  <c r="W369" i="1"/>
  <c r="X369" i="1" s="1"/>
  <c r="W366" i="1"/>
  <c r="W344" i="1"/>
  <c r="W335" i="1"/>
  <c r="X335" i="1" s="1"/>
  <c r="W323" i="1"/>
  <c r="X323" i="1" s="1"/>
  <c r="W320" i="1"/>
  <c r="AL320" i="1" s="1"/>
  <c r="W263" i="1"/>
  <c r="W260" i="1"/>
  <c r="X260" i="1" s="1"/>
  <c r="W235" i="1"/>
  <c r="AL235" i="1" s="1"/>
  <c r="W211" i="1"/>
  <c r="AK211" i="1" s="1"/>
  <c r="W201" i="1"/>
  <c r="X201" i="1" s="1"/>
  <c r="W179" i="1"/>
  <c r="AK179" i="1" s="1"/>
  <c r="W171" i="1"/>
  <c r="AL171" i="1" s="1"/>
  <c r="W147" i="1"/>
  <c r="X147" i="1" s="1"/>
  <c r="W146" i="1"/>
  <c r="W144" i="1"/>
  <c r="X144" i="1" s="1"/>
  <c r="W141" i="1"/>
  <c r="AK141" i="1" s="1"/>
  <c r="W126" i="1"/>
  <c r="X126" i="1" s="1"/>
  <c r="W114" i="1"/>
  <c r="AL114" i="1" s="1"/>
  <c r="W49" i="1"/>
  <c r="X49" i="1" s="1"/>
  <c r="W4422" i="1"/>
  <c r="AK4422" i="1" s="1"/>
  <c r="W4409" i="1"/>
  <c r="AL4409" i="1" s="1"/>
  <c r="W4402" i="1"/>
  <c r="AK4402" i="1" s="1"/>
  <c r="W4390" i="1"/>
  <c r="AK4390" i="1" s="1"/>
  <c r="W4384" i="1"/>
  <c r="X4384" i="1" s="1"/>
  <c r="W4382" i="1"/>
  <c r="X4382" i="1" s="1"/>
  <c r="W4371" i="1"/>
  <c r="X4371" i="1" s="1"/>
  <c r="W4367" i="1"/>
  <c r="AK4367" i="1" s="1"/>
  <c r="W4355" i="1"/>
  <c r="X4355" i="1" s="1"/>
  <c r="W4349" i="1"/>
  <c r="AL4349" i="1" s="1"/>
  <c r="W4347" i="1"/>
  <c r="AK4347" i="1" s="1"/>
  <c r="W4339" i="1"/>
  <c r="AK4339" i="1" s="1"/>
  <c r="W4334" i="1"/>
  <c r="X4334" i="1" s="1"/>
  <c r="W4322" i="1"/>
  <c r="X4322" i="1" s="1"/>
  <c r="W4311" i="1"/>
  <c r="X4311" i="1" s="1"/>
  <c r="W4309" i="1"/>
  <c r="AL4309" i="1" s="1"/>
  <c r="W4305" i="1"/>
  <c r="AK4305" i="1" s="1"/>
  <c r="W4303" i="1"/>
  <c r="AK4303" i="1" s="1"/>
  <c r="W4300" i="1"/>
  <c r="X4300" i="1" s="1"/>
  <c r="W4293" i="1"/>
  <c r="AK4293" i="1" s="1"/>
  <c r="W4269" i="1"/>
  <c r="AK4269" i="1" s="1"/>
  <c r="W4264" i="1"/>
  <c r="W4262" i="1"/>
  <c r="W4246" i="1"/>
  <c r="AL4246" i="1" s="1"/>
  <c r="W4224" i="1"/>
  <c r="AG4224" i="1" s="1"/>
  <c r="W4207" i="1"/>
  <c r="W4205" i="1"/>
  <c r="AK4205" i="1" s="1"/>
  <c r="W4192" i="1"/>
  <c r="AG4192" i="1" s="1"/>
  <c r="W4184" i="1"/>
  <c r="W4178" i="1"/>
  <c r="AG4178" i="1" s="1"/>
  <c r="W4176" i="1"/>
  <c r="X4176" i="1" s="1"/>
  <c r="W4167" i="1"/>
  <c r="X4167" i="1" s="1"/>
  <c r="W4162" i="1"/>
  <c r="AG4162" i="1" s="1"/>
  <c r="W4135" i="1"/>
  <c r="AG4135" i="1" s="1"/>
  <c r="W4116" i="1"/>
  <c r="AG4116" i="1" s="1"/>
  <c r="W4110" i="1"/>
  <c r="W4071" i="1"/>
  <c r="W4063" i="1"/>
  <c r="AG4063" i="1" s="1"/>
  <c r="W4050" i="1"/>
  <c r="AG4050" i="1" s="1"/>
  <c r="W4044" i="1"/>
  <c r="AL4044" i="1" s="1"/>
  <c r="W4035" i="1"/>
  <c r="X4035" i="1" s="1"/>
  <c r="W4019" i="1"/>
  <c r="X4019" i="1" s="1"/>
  <c r="W4015" i="1"/>
  <c r="X4015" i="1" s="1"/>
  <c r="W3982" i="1"/>
  <c r="W3979" i="1"/>
  <c r="X3979" i="1" s="1"/>
  <c r="W3966" i="1"/>
  <c r="AL3966" i="1" s="1"/>
  <c r="W3919" i="1"/>
  <c r="AG3919" i="1" s="1"/>
  <c r="W3891" i="1"/>
  <c r="AG3891" i="1" s="1"/>
  <c r="W3808" i="1"/>
  <c r="W3806" i="1"/>
  <c r="W3804" i="1"/>
  <c r="W3802" i="1"/>
  <c r="W3800" i="1"/>
  <c r="W3798" i="1"/>
  <c r="AG3798" i="1" s="1"/>
  <c r="W3796" i="1"/>
  <c r="AK3796" i="1" s="1"/>
  <c r="W3794" i="1"/>
  <c r="AG3794" i="1" s="1"/>
  <c r="W3792" i="1"/>
  <c r="X3792" i="1" s="1"/>
  <c r="W3790" i="1"/>
  <c r="AK3790" i="1" s="1"/>
  <c r="W3788" i="1"/>
  <c r="W3786" i="1"/>
  <c r="AL3786" i="1" s="1"/>
  <c r="W3783" i="1"/>
  <c r="AK3783" i="1" s="1"/>
  <c r="W3781" i="1"/>
  <c r="W3779" i="1"/>
  <c r="W3777" i="1"/>
  <c r="AK3777" i="1" s="1"/>
  <c r="W3775" i="1"/>
  <c r="X3775" i="1" s="1"/>
  <c r="W3773" i="1"/>
  <c r="W3771" i="1"/>
  <c r="AG3771" i="1" s="1"/>
  <c r="W3769" i="1"/>
  <c r="W3767" i="1"/>
  <c r="W3764" i="1"/>
  <c r="W3762" i="1"/>
  <c r="AL3762" i="1" s="1"/>
  <c r="W3760" i="1"/>
  <c r="W3757" i="1"/>
  <c r="X3757" i="1" s="1"/>
  <c r="W3602" i="1"/>
  <c r="W3532" i="1"/>
  <c r="X3532" i="1" s="1"/>
  <c r="W3530" i="1"/>
  <c r="W3528" i="1"/>
  <c r="AG3528" i="1" s="1"/>
  <c r="W3526" i="1"/>
  <c r="AK3526" i="1" s="1"/>
  <c r="W3524" i="1"/>
  <c r="X3524" i="1" s="1"/>
  <c r="W3521" i="1"/>
  <c r="AL3521" i="1" s="1"/>
  <c r="W3518" i="1"/>
  <c r="W3516" i="1"/>
  <c r="AL3516" i="1" s="1"/>
  <c r="W3514" i="1"/>
  <c r="W3512" i="1"/>
  <c r="AG3512" i="1" s="1"/>
  <c r="W3510" i="1"/>
  <c r="W3267" i="1"/>
  <c r="AL3267" i="1" s="1"/>
  <c r="W3265" i="1"/>
  <c r="W3263" i="1"/>
  <c r="AL3263" i="1" s="1"/>
  <c r="W3261" i="1"/>
  <c r="X3261" i="1" s="1"/>
  <c r="W3259" i="1"/>
  <c r="W3257" i="1"/>
  <c r="X3257" i="1" s="1"/>
  <c r="W3255" i="1"/>
  <c r="AK3255" i="1" s="1"/>
  <c r="W3253" i="1"/>
  <c r="AG3253" i="1" s="1"/>
  <c r="W3251" i="1"/>
  <c r="X3251" i="1" s="1"/>
  <c r="W3249" i="1"/>
  <c r="W3247" i="1"/>
  <c r="AG3247" i="1" s="1"/>
  <c r="W3245" i="1"/>
  <c r="AK3245" i="1" s="1"/>
  <c r="W3243" i="1"/>
  <c r="AL3243" i="1" s="1"/>
  <c r="W3241" i="1"/>
  <c r="W3239" i="1"/>
  <c r="X3239" i="1" s="1"/>
  <c r="W3237" i="1"/>
  <c r="X3237" i="1" s="1"/>
  <c r="W3028" i="1"/>
  <c r="W3026" i="1"/>
  <c r="W3024" i="1"/>
  <c r="W3022" i="1"/>
  <c r="AK3022" i="1" s="1"/>
  <c r="W3020" i="1"/>
  <c r="W3018" i="1"/>
  <c r="W3016" i="1"/>
  <c r="W3014" i="1"/>
  <c r="AL3014" i="1" s="1"/>
  <c r="W3012" i="1"/>
  <c r="AL3012" i="1" s="1"/>
  <c r="W3010" i="1"/>
  <c r="AK3010" i="1" s="1"/>
  <c r="W3008" i="1"/>
  <c r="X3008" i="1" s="1"/>
  <c r="W3006" i="1"/>
  <c r="AK3006" i="1" s="1"/>
  <c r="W3003" i="1"/>
  <c r="AG3003" i="1" s="1"/>
  <c r="W3001" i="1"/>
  <c r="AL2999" i="1"/>
  <c r="W2997" i="1"/>
  <c r="X2997" i="1" s="1"/>
  <c r="W2995" i="1"/>
  <c r="W2821" i="1"/>
  <c r="W2819" i="1"/>
  <c r="X2819" i="1" s="1"/>
  <c r="W2811" i="1"/>
  <c r="AL2811" i="1" s="1"/>
  <c r="W2809" i="1"/>
  <c r="AL2809" i="1" s="1"/>
  <c r="W2804" i="1"/>
  <c r="AL2804" i="1" s="1"/>
  <c r="W2754" i="1"/>
  <c r="AK2754" i="1" s="1"/>
  <c r="W2748" i="1"/>
  <c r="AL2748" i="1" s="1"/>
  <c r="W2743" i="1"/>
  <c r="AK2743" i="1" s="1"/>
  <c r="W2734" i="1"/>
  <c r="AL2734" i="1" s="1"/>
  <c r="W2684" i="1"/>
  <c r="AK2684" i="1" s="1"/>
  <c r="W2677" i="1"/>
  <c r="AL2677" i="1" s="1"/>
  <c r="W2638" i="1"/>
  <c r="AL2638" i="1" s="1"/>
  <c r="W2614" i="1"/>
  <c r="AK2614" i="1" s="1"/>
  <c r="W2592" i="1"/>
  <c r="AL2592" i="1" s="1"/>
  <c r="W2589" i="1"/>
  <c r="AL2589" i="1" s="1"/>
  <c r="W2583" i="1"/>
  <c r="AL2583" i="1" s="1"/>
  <c r="W2563" i="1"/>
  <c r="X2563" i="1" s="1"/>
  <c r="W2546" i="1"/>
  <c r="AL2546" i="1" s="1"/>
  <c r="W2543" i="1"/>
  <c r="X2543" i="1" s="1"/>
  <c r="W2519" i="1"/>
  <c r="AL2519" i="1" s="1"/>
  <c r="W2508" i="1"/>
  <c r="X2508" i="1" s="1"/>
  <c r="W2491" i="1"/>
  <c r="AL2491" i="1" s="1"/>
  <c r="W2483" i="1"/>
  <c r="AL2483" i="1" s="1"/>
  <c r="W2475" i="1"/>
  <c r="AL2475" i="1" s="1"/>
  <c r="W2465" i="1"/>
  <c r="X2465" i="1" s="1"/>
  <c r="W2461" i="1"/>
  <c r="AL2461" i="1" s="1"/>
  <c r="W2443" i="1"/>
  <c r="AL2443" i="1" s="1"/>
  <c r="W2439" i="1"/>
  <c r="X2439" i="1" s="1"/>
  <c r="W2436" i="1"/>
  <c r="AL2436" i="1" s="1"/>
  <c r="W2417" i="1"/>
  <c r="AL2417" i="1" s="1"/>
  <c r="W2409" i="1"/>
  <c r="AL2409" i="1" s="1"/>
  <c r="W2406" i="1"/>
  <c r="AL2406" i="1" s="1"/>
  <c r="W2403" i="1"/>
  <c r="X2403" i="1" s="1"/>
  <c r="W2390" i="1"/>
  <c r="AL2390" i="1" s="1"/>
  <c r="W2388" i="1"/>
  <c r="AL2388" i="1" s="1"/>
  <c r="W2386" i="1"/>
  <c r="AL2386" i="1" s="1"/>
  <c r="W2378" i="1"/>
  <c r="AK2378" i="1" s="1"/>
  <c r="W2359" i="1"/>
  <c r="AL2359" i="1" s="1"/>
  <c r="W2352" i="1"/>
  <c r="X2352" i="1" s="1"/>
  <c r="W2346" i="1"/>
  <c r="AL2346" i="1" s="1"/>
  <c r="W2342" i="1"/>
  <c r="X2342" i="1" s="1"/>
  <c r="W2340" i="1"/>
  <c r="AL2340" i="1" s="1"/>
  <c r="W2333" i="1"/>
  <c r="AL2333" i="1" s="1"/>
  <c r="W2323" i="1"/>
  <c r="AL2323" i="1" s="1"/>
  <c r="W2320" i="1"/>
  <c r="AL2320" i="1" s="1"/>
  <c r="W2317" i="1"/>
  <c r="AL2317" i="1" s="1"/>
  <c r="W2276" i="1"/>
  <c r="AL2276" i="1" s="1"/>
  <c r="W2273" i="1"/>
  <c r="AL2273" i="1" s="1"/>
  <c r="W2266" i="1"/>
  <c r="AK2266" i="1" s="1"/>
  <c r="W2198" i="1"/>
  <c r="AL2198" i="1" s="1"/>
  <c r="W2193" i="1"/>
  <c r="AL2193" i="1" s="1"/>
  <c r="W2189" i="1"/>
  <c r="AL2189" i="1" s="1"/>
  <c r="W2178" i="1"/>
  <c r="X2178" i="1" s="1"/>
  <c r="W2171" i="1"/>
  <c r="AK2171" i="1" s="1"/>
  <c r="W2168" i="1"/>
  <c r="X2168" i="1" s="1"/>
  <c r="W2164" i="1"/>
  <c r="AK2164" i="1" s="1"/>
  <c r="W2151" i="1"/>
  <c r="AK2151" i="1" s="1"/>
  <c r="W2144" i="1"/>
  <c r="AL2144" i="1" s="1"/>
  <c r="W2135" i="1"/>
  <c r="AL2135" i="1" s="1"/>
  <c r="W2128" i="1"/>
  <c r="AL2128" i="1" s="1"/>
  <c r="W2117" i="1"/>
  <c r="AK2117" i="1" s="1"/>
  <c r="W2114" i="1"/>
  <c r="AL2114" i="1" s="1"/>
  <c r="W2109" i="1"/>
  <c r="AL2109" i="1" s="1"/>
  <c r="W2105" i="1"/>
  <c r="AL2105" i="1" s="1"/>
  <c r="W2098" i="1"/>
  <c r="X2098" i="1" s="1"/>
  <c r="W2095" i="1"/>
  <c r="AK2095" i="1" s="1"/>
  <c r="W2091" i="1"/>
  <c r="X2091" i="1" s="1"/>
  <c r="W2068" i="1"/>
  <c r="AL2068" i="1" s="1"/>
  <c r="W2065" i="1"/>
  <c r="AK2065" i="1" s="1"/>
  <c r="W2057" i="1"/>
  <c r="AL2057" i="1" s="1"/>
  <c r="W2052" i="1"/>
  <c r="AL2052" i="1" s="1"/>
  <c r="W2045" i="1"/>
  <c r="AL2045" i="1" s="1"/>
  <c r="W2018" i="1"/>
  <c r="AL2018" i="1" s="1"/>
  <c r="W2015" i="1"/>
  <c r="AK2015" i="1" s="1"/>
  <c r="W1932" i="1"/>
  <c r="AL1932" i="1" s="1"/>
  <c r="W1902" i="1"/>
  <c r="AL1902" i="1" s="1"/>
  <c r="W1884" i="1"/>
  <c r="AK1884" i="1" s="1"/>
  <c r="W1874" i="1"/>
  <c r="AK1874" i="1" s="1"/>
  <c r="W1865" i="1"/>
  <c r="AL1865" i="1" s="1"/>
  <c r="W1848" i="1"/>
  <c r="AK1848" i="1" s="1"/>
  <c r="W1806" i="1"/>
  <c r="AK1806" i="1" s="1"/>
  <c r="W1803" i="1"/>
  <c r="W1761" i="1"/>
  <c r="AL1761" i="1" s="1"/>
  <c r="W1732" i="1"/>
  <c r="AK1732" i="1" s="1"/>
  <c r="W1698" i="1"/>
  <c r="AL1698" i="1" s="1"/>
  <c r="W1695" i="1"/>
  <c r="X1695" i="1" s="1"/>
  <c r="W1685" i="1"/>
  <c r="AL1685" i="1" s="1"/>
  <c r="W1681" i="1"/>
  <c r="AL1681" i="1" s="1"/>
  <c r="W1677" i="1"/>
  <c r="AK1677" i="1" s="1"/>
  <c r="W1673" i="1"/>
  <c r="AL1673" i="1" s="1"/>
  <c r="W1668" i="1"/>
  <c r="AL1668" i="1" s="1"/>
  <c r="W1666" i="1"/>
  <c r="AK1666" i="1" s="1"/>
  <c r="W1654" i="1"/>
  <c r="AK1654" i="1" s="1"/>
  <c r="W1647" i="1"/>
  <c r="X1647" i="1" s="1"/>
  <c r="W1633" i="1"/>
  <c r="AK1633" i="1" s="1"/>
  <c r="W1627" i="1"/>
  <c r="X1627" i="1" s="1"/>
  <c r="W1624" i="1"/>
  <c r="X1624" i="1" s="1"/>
  <c r="W1622" i="1"/>
  <c r="AL1622" i="1" s="1"/>
  <c r="W1584" i="1"/>
  <c r="AL1584" i="1" s="1"/>
  <c r="W1578" i="1"/>
  <c r="AL1578" i="1" s="1"/>
  <c r="W1575" i="1"/>
  <c r="X1575" i="1" s="1"/>
  <c r="W1565" i="1"/>
  <c r="X1565" i="1" s="1"/>
  <c r="W1559" i="1"/>
  <c r="X1559" i="1" s="1"/>
  <c r="W1557" i="1"/>
  <c r="X1557" i="1" s="1"/>
  <c r="W1555" i="1"/>
  <c r="AL1555" i="1" s="1"/>
  <c r="W1548" i="1"/>
  <c r="AL1548" i="1" s="1"/>
  <c r="W1534" i="1"/>
  <c r="AK1534" i="1" s="1"/>
  <c r="W1532" i="1"/>
  <c r="AL1532" i="1" s="1"/>
  <c r="W1527" i="1"/>
  <c r="X1527" i="1" s="1"/>
  <c r="W1518" i="1"/>
  <c r="X1518" i="1" s="1"/>
  <c r="W1511" i="1"/>
  <c r="AL1511" i="1" s="1"/>
  <c r="W1488" i="1"/>
  <c r="X1488" i="1" s="1"/>
  <c r="W1472" i="1"/>
  <c r="X1472" i="1" s="1"/>
  <c r="W1465" i="1"/>
  <c r="AL1465" i="1" s="1"/>
  <c r="W1454" i="1"/>
  <c r="AL1454" i="1" s="1"/>
  <c r="W1433" i="1"/>
  <c r="X1433" i="1" s="1"/>
  <c r="W1417" i="1"/>
  <c r="AL1417" i="1" s="1"/>
  <c r="W1398" i="1"/>
  <c r="AK1398" i="1" s="1"/>
  <c r="W1386" i="1"/>
  <c r="AL1386" i="1" s="1"/>
  <c r="W1380" i="1"/>
  <c r="AL1380" i="1" s="1"/>
  <c r="W1355" i="1"/>
  <c r="AL1355" i="1" s="1"/>
  <c r="W1353" i="1"/>
  <c r="AL1353" i="1" s="1"/>
  <c r="W1351" i="1"/>
  <c r="AL1351" i="1" s="1"/>
  <c r="W1339" i="1"/>
  <c r="AL1339" i="1" s="1"/>
  <c r="W1322" i="1"/>
  <c r="X1322" i="1" s="1"/>
  <c r="W1318" i="1"/>
  <c r="AL1318" i="1" s="1"/>
  <c r="W1311" i="1"/>
  <c r="AL1311" i="1" s="1"/>
  <c r="W1304" i="1"/>
  <c r="AL1304" i="1" s="1"/>
  <c r="W1299" i="1"/>
  <c r="AL1299" i="1" s="1"/>
  <c r="W1291" i="1"/>
  <c r="AK1291" i="1" s="1"/>
  <c r="W1288" i="1"/>
  <c r="AL1288" i="1" s="1"/>
  <c r="W1284" i="1"/>
  <c r="AL1284" i="1" s="1"/>
  <c r="W1274" i="1"/>
  <c r="AL1274" i="1" s="1"/>
  <c r="W1270" i="1"/>
  <c r="AL1270" i="1" s="1"/>
  <c r="W1257" i="1"/>
  <c r="AL1257" i="1" s="1"/>
  <c r="W1253" i="1"/>
  <c r="AL1253" i="1" s="1"/>
  <c r="W1220" i="1"/>
  <c r="AL1220" i="1" s="1"/>
  <c r="W1188" i="1"/>
  <c r="AL1188" i="1" s="1"/>
  <c r="W1182" i="1"/>
  <c r="AL1182" i="1" s="1"/>
  <c r="W1162" i="1"/>
  <c r="AK1162" i="1" s="1"/>
  <c r="W1160" i="1"/>
  <c r="AK1160" i="1" s="1"/>
  <c r="W1154" i="1"/>
  <c r="X1154" i="1" s="1"/>
  <c r="W1129" i="1"/>
  <c r="AL1129" i="1" s="1"/>
  <c r="W1107" i="1"/>
  <c r="AK1107" i="1" s="1"/>
  <c r="W1098" i="1"/>
  <c r="AK1098" i="1" s="1"/>
  <c r="W1092" i="1"/>
  <c r="AL1092" i="1" s="1"/>
  <c r="W1069" i="1"/>
  <c r="AL1069" i="1" s="1"/>
  <c r="W1057" i="1"/>
  <c r="AL1057" i="1" s="1"/>
  <c r="W1035" i="1"/>
  <c r="X1035" i="1" s="1"/>
  <c r="W1030" i="1"/>
  <c r="X1030" i="1" s="1"/>
  <c r="W1010" i="1"/>
  <c r="AL1010" i="1" s="1"/>
  <c r="W991" i="1"/>
  <c r="X991" i="1" s="1"/>
  <c r="W922" i="1"/>
  <c r="X922" i="1" s="1"/>
  <c r="W910" i="1"/>
  <c r="AL910" i="1" s="1"/>
  <c r="W903" i="1"/>
  <c r="AK903" i="1" s="1"/>
  <c r="W876" i="1"/>
  <c r="X876" i="1" s="1"/>
  <c r="W860" i="1"/>
  <c r="AL860" i="1" s="1"/>
  <c r="W850" i="1"/>
  <c r="AK850" i="1" s="1"/>
  <c r="W848" i="1"/>
  <c r="AL848" i="1" s="1"/>
  <c r="W836" i="1"/>
  <c r="AL836" i="1" s="1"/>
  <c r="W816" i="1"/>
  <c r="AK816" i="1" s="1"/>
  <c r="W777" i="1"/>
  <c r="AL777" i="1" s="1"/>
  <c r="W774" i="1"/>
  <c r="X774" i="1" s="1"/>
  <c r="W765" i="1"/>
  <c r="AK765" i="1" s="1"/>
  <c r="W760" i="1"/>
  <c r="AK760" i="1" s="1"/>
  <c r="W733" i="1"/>
  <c r="AK733" i="1" s="1"/>
  <c r="W727" i="1"/>
  <c r="X727" i="1" s="1"/>
  <c r="W722" i="1"/>
  <c r="AL722" i="1" s="1"/>
  <c r="W719" i="1"/>
  <c r="AL719" i="1" s="1"/>
  <c r="W698" i="1"/>
  <c r="AL698" i="1" s="1"/>
  <c r="W689" i="1"/>
  <c r="AL689" i="1" s="1"/>
  <c r="W662" i="1"/>
  <c r="AL662" i="1" s="1"/>
  <c r="W648" i="1"/>
  <c r="X648" i="1" s="1"/>
  <c r="W646" i="1"/>
  <c r="X646" i="1" s="1"/>
  <c r="W640" i="1"/>
  <c r="AL640" i="1" s="1"/>
  <c r="W634" i="1"/>
  <c r="AK634" i="1" s="1"/>
  <c r="W622" i="1"/>
  <c r="AK622" i="1" s="1"/>
  <c r="W619" i="1"/>
  <c r="X619" i="1" s="1"/>
  <c r="W614" i="1"/>
  <c r="AK614" i="1" s="1"/>
  <c r="W605" i="1"/>
  <c r="AL605" i="1" s="1"/>
  <c r="W597" i="1"/>
  <c r="AL597" i="1" s="1"/>
  <c r="W585" i="1"/>
  <c r="AL585" i="1" s="1"/>
  <c r="W582" i="1"/>
  <c r="AK582" i="1" s="1"/>
  <c r="W573" i="1"/>
  <c r="AL573" i="1" s="1"/>
  <c r="W557" i="1"/>
  <c r="AL557" i="1" s="1"/>
  <c r="W524" i="1"/>
  <c r="AK524" i="1" s="1"/>
  <c r="W486" i="1"/>
  <c r="X486" i="1" s="1"/>
  <c r="W460" i="1"/>
  <c r="AL460" i="1" s="1"/>
  <c r="W446" i="1"/>
  <c r="AK446" i="1" s="1"/>
  <c r="W435" i="1"/>
  <c r="AL435" i="1" s="1"/>
  <c r="W432" i="1"/>
  <c r="AL432" i="1" s="1"/>
  <c r="W400" i="1"/>
  <c r="AK400" i="1" s="1"/>
  <c r="W396" i="1"/>
  <c r="X396" i="1" s="1"/>
  <c r="W389" i="1"/>
  <c r="AL389" i="1" s="1"/>
  <c r="W382" i="1"/>
  <c r="AL382" i="1" s="1"/>
  <c r="W368" i="1"/>
  <c r="AL368" i="1" s="1"/>
  <c r="W343" i="1"/>
  <c r="AK343" i="1" s="1"/>
  <c r="W322" i="1"/>
  <c r="AK322" i="1" s="1"/>
  <c r="W319" i="1"/>
  <c r="AK319" i="1" s="1"/>
  <c r="W262" i="1"/>
  <c r="AL262" i="1" s="1"/>
  <c r="W259" i="1"/>
  <c r="AL259" i="1" s="1"/>
  <c r="W234" i="1"/>
  <c r="AL234" i="1" s="1"/>
  <c r="W210" i="1"/>
  <c r="X210" i="1" s="1"/>
  <c r="W200" i="1"/>
  <c r="X200" i="1" s="1"/>
  <c r="W178" i="1"/>
  <c r="X178" i="1" s="1"/>
  <c r="W170" i="1"/>
  <c r="X170" i="1" s="1"/>
  <c r="W145" i="1"/>
  <c r="AK145" i="1" s="1"/>
  <c r="W125" i="1"/>
  <c r="AL125" i="1" s="1"/>
  <c r="W118" i="1"/>
  <c r="X118" i="1" s="1"/>
  <c r="W113" i="1"/>
  <c r="X113" i="1" s="1"/>
  <c r="W48" i="1"/>
  <c r="AL48" i="1" s="1"/>
  <c r="X4216" i="1"/>
  <c r="X4211" i="1"/>
  <c r="X4210" i="1"/>
  <c r="AL4218" i="1"/>
  <c r="AK4218" i="1"/>
  <c r="AK4213" i="1"/>
  <c r="AL4211" i="1"/>
  <c r="AK4211" i="1"/>
  <c r="AL4210" i="1"/>
  <c r="AK4210" i="1"/>
  <c r="U809" i="1"/>
  <c r="V809" i="1" s="1"/>
  <c r="U810" i="1"/>
  <c r="V810" i="1" s="1"/>
  <c r="U808" i="1"/>
  <c r="V808" i="1" s="1"/>
  <c r="U843" i="1"/>
  <c r="V843" i="1" s="1"/>
  <c r="W3636" i="1"/>
  <c r="X3636" i="1" s="1"/>
  <c r="AK3827" i="1"/>
  <c r="AK3826" i="1"/>
  <c r="AK3743" i="1"/>
  <c r="AK3717" i="1"/>
  <c r="AK3700" i="1"/>
  <c r="AK3638" i="1"/>
  <c r="AK3547" i="1"/>
  <c r="AK3459" i="1"/>
  <c r="AK2515" i="1"/>
  <c r="AK2514" i="1"/>
  <c r="AK2259" i="1"/>
  <c r="AK2002" i="1"/>
  <c r="AK1841" i="1"/>
  <c r="AK1793" i="1"/>
  <c r="AK1568" i="1"/>
  <c r="AK1554" i="1"/>
  <c r="AK1553" i="1"/>
  <c r="AK1101" i="1"/>
  <c r="AK563" i="1"/>
  <c r="AK562" i="1"/>
  <c r="AK530" i="1"/>
  <c r="AK529" i="1"/>
  <c r="AK328" i="1"/>
  <c r="AK327" i="1"/>
  <c r="W4276" i="1"/>
  <c r="AL4276" i="1" s="1"/>
  <c r="W4275" i="1"/>
  <c r="AL4275" i="1" s="1"/>
  <c r="W1567" i="1"/>
  <c r="AL1567" i="1" s="1"/>
  <c r="AL3827" i="1"/>
  <c r="AL3826" i="1"/>
  <c r="AL3743" i="1"/>
  <c r="AL3717" i="1"/>
  <c r="AL3638" i="1"/>
  <c r="AL3547" i="1"/>
  <c r="AL3459" i="1"/>
  <c r="AL2515" i="1"/>
  <c r="AL2514" i="1"/>
  <c r="AL2259" i="1"/>
  <c r="AL2002" i="1"/>
  <c r="AL1842" i="1"/>
  <c r="AL1793" i="1"/>
  <c r="AL1568" i="1"/>
  <c r="AL1554" i="1"/>
  <c r="AL1553" i="1"/>
  <c r="AL1101" i="1"/>
  <c r="AL563" i="1"/>
  <c r="AL562" i="1"/>
  <c r="AL530" i="1"/>
  <c r="AL529" i="1"/>
  <c r="AL328" i="1"/>
  <c r="AL327" i="1"/>
  <c r="X328" i="1"/>
  <c r="X2515" i="1"/>
  <c r="X3827" i="1"/>
  <c r="X3826" i="1"/>
  <c r="X3743" i="1"/>
  <c r="X3717" i="1"/>
  <c r="X3638" i="1"/>
  <c r="X3547" i="1"/>
  <c r="X3459" i="1"/>
  <c r="X2514" i="1"/>
  <c r="X2259" i="1"/>
  <c r="X2002" i="1"/>
  <c r="X1842" i="1"/>
  <c r="X1793" i="1"/>
  <c r="X1568" i="1"/>
  <c r="X1554" i="1"/>
  <c r="X1553" i="1"/>
  <c r="X1101" i="1"/>
  <c r="X563" i="1"/>
  <c r="X562" i="1"/>
  <c r="X530" i="1"/>
  <c r="X529" i="1"/>
  <c r="X327" i="1"/>
  <c r="W2665" i="1"/>
  <c r="AK2665" i="1" s="1"/>
  <c r="W2981" i="1"/>
  <c r="X2981" i="1" s="1"/>
  <c r="W1783" i="1"/>
  <c r="X1783" i="1" s="1"/>
  <c r="W1784" i="1"/>
  <c r="AK1784" i="1" s="1"/>
  <c r="W1442" i="1"/>
  <c r="AL1442" i="1" s="1"/>
  <c r="W1409" i="1"/>
  <c r="AL1409" i="1" s="1"/>
  <c r="W1378" i="1"/>
  <c r="AK1378" i="1" s="1"/>
  <c r="W1371" i="1"/>
  <c r="AL1371" i="1" s="1"/>
  <c r="W2008" i="1"/>
  <c r="AL2008" i="1" s="1"/>
  <c r="W2007" i="1"/>
  <c r="AL2007" i="1" s="1"/>
  <c r="W1958" i="1"/>
  <c r="AL1958" i="1" s="1"/>
  <c r="W1957" i="1"/>
  <c r="AL1957" i="1" s="1"/>
  <c r="W1928" i="1"/>
  <c r="AL1928" i="1" s="1"/>
  <c r="W1927" i="1"/>
  <c r="AK1927" i="1" s="1"/>
  <c r="W1725" i="1"/>
  <c r="X1725" i="1" s="1"/>
  <c r="W1717" i="1"/>
  <c r="AL1717" i="1" s="1"/>
  <c r="W1448" i="1"/>
  <c r="AL1448" i="1" s="1"/>
  <c r="W1447" i="1"/>
  <c r="AK1447" i="1" s="1"/>
  <c r="W1377" i="1"/>
  <c r="X1377" i="1" s="1"/>
  <c r="W1376" i="1"/>
  <c r="AK1376" i="1" s="1"/>
  <c r="W1330" i="1"/>
  <c r="AK1330" i="1" s="1"/>
  <c r="W1329" i="1"/>
  <c r="AK1329" i="1" s="1"/>
  <c r="W1281" i="1"/>
  <c r="AL1281" i="1" s="1"/>
  <c r="W1280" i="1"/>
  <c r="AL1280" i="1" s="1"/>
  <c r="W1278" i="1"/>
  <c r="AL1278" i="1" s="1"/>
  <c r="W1277" i="1"/>
  <c r="AL1277" i="1" s="1"/>
  <c r="W1113" i="1"/>
  <c r="X1113" i="1" s="1"/>
  <c r="W993" i="1"/>
  <c r="AK993" i="1" s="1"/>
  <c r="W740" i="1"/>
  <c r="AL740" i="1" s="1"/>
  <c r="W612" i="1"/>
  <c r="AK612" i="1" s="1"/>
  <c r="W2204" i="1"/>
  <c r="AL2204" i="1" s="1"/>
  <c r="W4387" i="1"/>
  <c r="AK4387" i="1" s="1"/>
  <c r="W4354" i="1"/>
  <c r="AK4354" i="1" s="1"/>
  <c r="W4353" i="1"/>
  <c r="AK4353" i="1" s="1"/>
  <c r="W4182" i="1"/>
  <c r="AL4182" i="1" s="1"/>
  <c r="W4181" i="1"/>
  <c r="AL4181" i="1" s="1"/>
  <c r="W4170" i="1"/>
  <c r="AL4170" i="1" s="1"/>
  <c r="W4159" i="1"/>
  <c r="AL4159" i="1" s="1"/>
  <c r="W4158" i="1"/>
  <c r="X4158" i="1" s="1"/>
  <c r="W4152" i="1"/>
  <c r="AK4152" i="1" s="1"/>
  <c r="W4151" i="1"/>
  <c r="AK4151" i="1" s="1"/>
  <c r="AL4145" i="1"/>
  <c r="AK4145" i="1"/>
  <c r="U4182" i="1"/>
  <c r="V4182" i="1" s="1"/>
  <c r="U4181" i="1"/>
  <c r="V4181" i="1" s="1"/>
  <c r="U4170" i="1"/>
  <c r="V4170" i="1" s="1"/>
  <c r="U4159" i="1"/>
  <c r="V4159" i="1" s="1"/>
  <c r="U4158" i="1"/>
  <c r="V4158" i="1" s="1"/>
  <c r="U4152" i="1"/>
  <c r="V4152" i="1" s="1"/>
  <c r="U4151" i="1"/>
  <c r="V4151" i="1" s="1"/>
  <c r="W1112" i="1"/>
  <c r="AL1112" i="1" s="1"/>
  <c r="W930" i="1"/>
  <c r="AL930" i="1" s="1"/>
  <c r="U894" i="1"/>
  <c r="V894" i="1" s="1"/>
  <c r="U874" i="1"/>
  <c r="V874" i="1" s="1"/>
  <c r="U873" i="1"/>
  <c r="V873" i="1" s="1"/>
  <c r="U804" i="1"/>
  <c r="V804" i="1" s="1"/>
  <c r="W795" i="1"/>
  <c r="AL795" i="1" s="1"/>
  <c r="U739" i="1"/>
  <c r="V739" i="1" s="1"/>
  <c r="W682" i="1"/>
  <c r="AL682" i="1" s="1"/>
  <c r="W680" i="1"/>
  <c r="AL680" i="1" s="1"/>
  <c r="W2082" i="1"/>
  <c r="AL2082" i="1" s="1"/>
  <c r="W673" i="1"/>
  <c r="AL673" i="1" s="1"/>
  <c r="W661" i="1"/>
  <c r="AL661" i="1" s="1"/>
  <c r="W660" i="1"/>
  <c r="AK660" i="1" s="1"/>
  <c r="W659" i="1"/>
  <c r="X659" i="1" s="1"/>
  <c r="W480" i="1"/>
  <c r="AK480" i="1" s="1"/>
  <c r="W472" i="1"/>
  <c r="AL472" i="1" s="1"/>
  <c r="W412" i="1"/>
  <c r="X412" i="1" s="1"/>
  <c r="W393" i="1"/>
  <c r="X393" i="1" s="1"/>
  <c r="W373" i="1"/>
  <c r="AL373" i="1" s="1"/>
  <c r="W371" i="1"/>
  <c r="X371" i="1" s="1"/>
  <c r="W100" i="1"/>
  <c r="AK100" i="1" s="1"/>
  <c r="X4065" i="1"/>
  <c r="AL3076" i="1"/>
  <c r="U4229" i="1"/>
  <c r="V4229" i="1" s="1"/>
  <c r="U4198" i="1"/>
  <c r="V4198" i="1" s="1"/>
  <c r="AL4200" i="1"/>
  <c r="AK4200" i="1"/>
  <c r="X4200" i="1"/>
  <c r="U4200" i="1"/>
  <c r="V4200" i="1" s="1"/>
  <c r="AL4189" i="1"/>
  <c r="AK4189" i="1"/>
  <c r="AL4187" i="1"/>
  <c r="AK4187" i="1"/>
  <c r="AL4132" i="1"/>
  <c r="AK4132" i="1"/>
  <c r="AL4119" i="1"/>
  <c r="AK4119" i="1"/>
  <c r="X4132" i="1"/>
  <c r="X4119" i="1"/>
  <c r="U4132" i="1"/>
  <c r="V4132" i="1" s="1"/>
  <c r="U4119" i="1"/>
  <c r="V4119" i="1" s="1"/>
  <c r="W989" i="1"/>
  <c r="X989" i="1" s="1"/>
  <c r="W979" i="1"/>
  <c r="AK979" i="1" s="1"/>
  <c r="W985" i="1"/>
  <c r="AL985" i="1" s="1"/>
  <c r="AL4108" i="1"/>
  <c r="AK4108" i="1"/>
  <c r="AL4107" i="1"/>
  <c r="AK4107" i="1"/>
  <c r="AL4106" i="1"/>
  <c r="AK4106" i="1"/>
  <c r="AL4105" i="1"/>
  <c r="AK4105" i="1"/>
  <c r="AL4084" i="1"/>
  <c r="AK4084" i="1"/>
  <c r="AL4079" i="1"/>
  <c r="AK4079" i="1"/>
  <c r="X4106" i="1"/>
  <c r="X4107" i="1"/>
  <c r="X4108" i="1"/>
  <c r="U4107" i="1"/>
  <c r="V4107" i="1" s="1"/>
  <c r="U4108" i="1"/>
  <c r="V4108" i="1" s="1"/>
  <c r="U4106" i="1"/>
  <c r="V4106" i="1" s="1"/>
  <c r="W4365" i="1"/>
  <c r="X4365" i="1" s="1"/>
  <c r="W4362" i="1"/>
  <c r="X4362" i="1" s="1"/>
  <c r="W4411" i="1"/>
  <c r="AK4411" i="1" s="1"/>
  <c r="W4359" i="1"/>
  <c r="AL4359" i="1" s="1"/>
  <c r="X4318" i="1"/>
  <c r="W4404" i="1"/>
  <c r="AK4404" i="1" s="1"/>
  <c r="W4413" i="1"/>
  <c r="AK4413" i="1" s="1"/>
  <c r="AL4415" i="1"/>
  <c r="X4415" i="1"/>
  <c r="W4416" i="1"/>
  <c r="AK4416" i="1" s="1"/>
  <c r="W4419" i="1"/>
  <c r="AL4419" i="1" s="1"/>
  <c r="W4420" i="1"/>
  <c r="AK4420" i="1" s="1"/>
  <c r="W4431" i="1"/>
  <c r="X4431" i="1" s="1"/>
  <c r="W4430" i="1"/>
  <c r="AK4430" i="1" s="1"/>
  <c r="W4429" i="1"/>
  <c r="AK4429" i="1" s="1"/>
  <c r="W3874" i="1"/>
  <c r="AL3874" i="1" s="1"/>
  <c r="W3858" i="1"/>
  <c r="AL3858" i="1" s="1"/>
  <c r="W3683" i="1"/>
  <c r="AK3683" i="1" s="1"/>
  <c r="W2911" i="1"/>
  <c r="X2911" i="1" s="1"/>
  <c r="W2557" i="1"/>
  <c r="AL2557" i="1" s="1"/>
  <c r="W1600" i="1"/>
  <c r="AL1600" i="1" s="1"/>
  <c r="W1439" i="1"/>
  <c r="AL1439" i="1" s="1"/>
  <c r="W1074" i="1"/>
  <c r="AL1074" i="1" s="1"/>
  <c r="W1003" i="1"/>
  <c r="AL1003" i="1" s="1"/>
  <c r="W945" i="1"/>
  <c r="AL945" i="1" s="1"/>
  <c r="W716" i="1"/>
  <c r="AL716" i="1" s="1"/>
  <c r="W675" i="1"/>
  <c r="X675" i="1" s="1"/>
  <c r="W508" i="1"/>
  <c r="AL508" i="1" s="1"/>
  <c r="W420" i="1"/>
  <c r="AL420" i="1" s="1"/>
  <c r="W89" i="1"/>
  <c r="AK89" i="1" s="1"/>
  <c r="AK4302" i="1"/>
  <c r="AL4302" i="1"/>
  <c r="AK4308" i="1"/>
  <c r="AL4308" i="1"/>
  <c r="AK4313" i="1"/>
  <c r="AL4313" i="1"/>
  <c r="AK4315" i="1"/>
  <c r="AL4315" i="1"/>
  <c r="AK4316" i="1"/>
  <c r="AL4316" i="1"/>
  <c r="AK4317" i="1"/>
  <c r="AL4317" i="1"/>
  <c r="AK4318" i="1"/>
  <c r="AL4318" i="1"/>
  <c r="AK4319" i="1"/>
  <c r="AL4319" i="1"/>
  <c r="AK4320" i="1"/>
  <c r="AL4320" i="1"/>
  <c r="AK4321" i="1"/>
  <c r="AL4321" i="1"/>
  <c r="AK4324" i="1"/>
  <c r="AL4324" i="1"/>
  <c r="AK4325" i="1"/>
  <c r="AL4325" i="1"/>
  <c r="AK4326" i="1"/>
  <c r="AL4326" i="1"/>
  <c r="AK4327" i="1"/>
  <c r="AL4327" i="1"/>
  <c r="AK4328" i="1"/>
  <c r="AL4328" i="1"/>
  <c r="AK4329" i="1"/>
  <c r="AL4329" i="1"/>
  <c r="AK4330" i="1"/>
  <c r="AK4331" i="1"/>
  <c r="AK4333" i="1"/>
  <c r="AL4333" i="1"/>
  <c r="AK4337" i="1"/>
  <c r="AL4337" i="1"/>
  <c r="AK4338" i="1"/>
  <c r="AL4338" i="1"/>
  <c r="AK4341" i="1"/>
  <c r="AL4341" i="1"/>
  <c r="AK4342" i="1"/>
  <c r="AL4342" i="1"/>
  <c r="AK4343" i="1"/>
  <c r="AL4343" i="1"/>
  <c r="AK4344" i="1"/>
  <c r="AL4344" i="1"/>
  <c r="AK4345" i="1"/>
  <c r="AL4345" i="1"/>
  <c r="AK4346" i="1"/>
  <c r="AL4346" i="1"/>
  <c r="AK4351" i="1"/>
  <c r="AL4351" i="1"/>
  <c r="AK4352" i="1"/>
  <c r="AL4352" i="1"/>
  <c r="AK4357" i="1"/>
  <c r="AK4358" i="1"/>
  <c r="AK4360" i="1"/>
  <c r="AL4360" i="1"/>
  <c r="AK4361" i="1"/>
  <c r="AL4361" i="1"/>
  <c r="AK4363" i="1"/>
  <c r="AL4363" i="1"/>
  <c r="AK4364" i="1"/>
  <c r="AL4364" i="1"/>
  <c r="AK4366" i="1"/>
  <c r="AL4366" i="1"/>
  <c r="AK4369" i="1"/>
  <c r="AL4369" i="1"/>
  <c r="AK4370" i="1"/>
  <c r="AL4370" i="1"/>
  <c r="AK4376" i="1"/>
  <c r="AL4376" i="1"/>
  <c r="AK4381" i="1"/>
  <c r="AL4381" i="1"/>
  <c r="AK4388" i="1"/>
  <c r="AL4388" i="1"/>
  <c r="AK4389" i="1"/>
  <c r="AL4389" i="1"/>
  <c r="AK4392" i="1"/>
  <c r="AL4392" i="1"/>
  <c r="AK4393" i="1"/>
  <c r="AL4393" i="1"/>
  <c r="AK4394" i="1"/>
  <c r="AL4394" i="1"/>
  <c r="AK4395" i="1"/>
  <c r="AL4395" i="1"/>
  <c r="AK4396" i="1"/>
  <c r="AL4396" i="1"/>
  <c r="AK4397" i="1"/>
  <c r="AL4397" i="1"/>
  <c r="AK4400" i="1"/>
  <c r="AL4400" i="1"/>
  <c r="AK4401" i="1"/>
  <c r="AL4401" i="1"/>
  <c r="AK4412" i="1"/>
  <c r="AL4412" i="1"/>
  <c r="AK4414" i="1"/>
  <c r="AL4414" i="1"/>
  <c r="AK4415" i="1"/>
  <c r="AK4418" i="1"/>
  <c r="AL4418" i="1"/>
  <c r="AK4421" i="1"/>
  <c r="AL4421" i="1"/>
  <c r="AK4424" i="1"/>
  <c r="AL4424" i="1"/>
  <c r="AK4425" i="1"/>
  <c r="AL4425" i="1"/>
  <c r="X4241" i="1"/>
  <c r="X4242" i="1"/>
  <c r="U4239" i="1"/>
  <c r="V4239" i="1" s="1"/>
  <c r="U4240" i="1"/>
  <c r="V4240" i="1" s="1"/>
  <c r="U4241" i="1"/>
  <c r="V4241" i="1" s="1"/>
  <c r="U4242" i="1"/>
  <c r="V4242" i="1" s="1"/>
  <c r="X4302" i="1"/>
  <c r="X4308" i="1"/>
  <c r="X4313" i="1"/>
  <c r="X4315" i="1"/>
  <c r="X4316" i="1"/>
  <c r="X4317" i="1"/>
  <c r="X4319" i="1"/>
  <c r="X4320" i="1"/>
  <c r="X4321" i="1"/>
  <c r="X4325" i="1"/>
  <c r="X4326" i="1"/>
  <c r="X4327" i="1"/>
  <c r="X4328" i="1"/>
  <c r="X4329" i="1"/>
  <c r="X4333" i="1"/>
  <c r="X4337" i="1"/>
  <c r="X4338" i="1"/>
  <c r="X4341" i="1"/>
  <c r="X4342" i="1"/>
  <c r="X4343" i="1"/>
  <c r="X4344" i="1"/>
  <c r="X4345" i="1"/>
  <c r="X4346" i="1"/>
  <c r="X4351" i="1"/>
  <c r="X4352" i="1"/>
  <c r="X4360" i="1"/>
  <c r="X4361" i="1"/>
  <c r="X4364" i="1"/>
  <c r="X4366" i="1"/>
  <c r="X4369" i="1"/>
  <c r="X4370" i="1"/>
  <c r="X4381" i="1"/>
  <c r="X4388" i="1"/>
  <c r="X4389" i="1"/>
  <c r="X4392" i="1"/>
  <c r="X4393" i="1"/>
  <c r="X4394" i="1"/>
  <c r="X4395" i="1"/>
  <c r="X4396" i="1"/>
  <c r="X4397" i="1"/>
  <c r="X4400" i="1"/>
  <c r="X4401" i="1"/>
  <c r="X4418" i="1"/>
  <c r="X4421" i="1"/>
  <c r="X4424" i="1"/>
  <c r="X4425" i="1"/>
  <c r="U4303" i="1"/>
  <c r="V4303" i="1" s="1"/>
  <c r="U4304" i="1"/>
  <c r="V4304" i="1" s="1"/>
  <c r="U4305" i="1"/>
  <c r="V4305" i="1" s="1"/>
  <c r="U4306" i="1"/>
  <c r="V4306" i="1" s="1"/>
  <c r="U4307" i="1"/>
  <c r="V4307" i="1" s="1"/>
  <c r="U4308" i="1"/>
  <c r="V4308" i="1" s="1"/>
  <c r="U4309" i="1"/>
  <c r="V4309" i="1" s="1"/>
  <c r="U4310" i="1"/>
  <c r="V4310" i="1" s="1"/>
  <c r="U4311" i="1"/>
  <c r="V4311" i="1" s="1"/>
  <c r="U4312" i="1"/>
  <c r="V4312" i="1" s="1"/>
  <c r="U4313" i="1"/>
  <c r="V4313" i="1" s="1"/>
  <c r="U4314" i="1"/>
  <c r="V4314" i="1" s="1"/>
  <c r="U4315" i="1"/>
  <c r="V4315" i="1" s="1"/>
  <c r="U4316" i="1"/>
  <c r="V4316" i="1" s="1"/>
  <c r="U4317" i="1"/>
  <c r="V4317" i="1" s="1"/>
  <c r="U4318" i="1"/>
  <c r="V4318" i="1" s="1"/>
  <c r="U4319" i="1"/>
  <c r="V4319" i="1" s="1"/>
  <c r="U4320" i="1"/>
  <c r="V4320" i="1" s="1"/>
  <c r="U4321" i="1"/>
  <c r="V4321" i="1" s="1"/>
  <c r="U4322" i="1"/>
  <c r="V4322" i="1" s="1"/>
  <c r="U4323" i="1"/>
  <c r="V4323" i="1" s="1"/>
  <c r="U4324" i="1"/>
  <c r="V4324" i="1" s="1"/>
  <c r="U4325" i="1"/>
  <c r="V4325" i="1" s="1"/>
  <c r="U4326" i="1"/>
  <c r="V4326" i="1" s="1"/>
  <c r="U4327" i="1"/>
  <c r="V4327" i="1" s="1"/>
  <c r="U4328" i="1"/>
  <c r="V4328" i="1" s="1"/>
  <c r="U4329" i="1"/>
  <c r="V4329" i="1" s="1"/>
  <c r="U4330" i="1"/>
  <c r="V4330" i="1" s="1"/>
  <c r="U4331" i="1"/>
  <c r="V4331" i="1" s="1"/>
  <c r="U4332" i="1"/>
  <c r="V4332" i="1" s="1"/>
  <c r="U4333" i="1"/>
  <c r="V4333" i="1" s="1"/>
  <c r="U4334" i="1"/>
  <c r="V4334" i="1" s="1"/>
  <c r="U4335" i="1"/>
  <c r="V4335" i="1" s="1"/>
  <c r="U4336" i="1"/>
  <c r="V4336" i="1" s="1"/>
  <c r="U4337" i="1"/>
  <c r="V4337" i="1" s="1"/>
  <c r="U4338" i="1"/>
  <c r="V4338" i="1" s="1"/>
  <c r="U4339" i="1"/>
  <c r="V4339" i="1" s="1"/>
  <c r="U4340" i="1"/>
  <c r="V4340" i="1" s="1"/>
  <c r="U4341" i="1"/>
  <c r="V4341" i="1" s="1"/>
  <c r="U4342" i="1"/>
  <c r="V4342" i="1" s="1"/>
  <c r="U4343" i="1"/>
  <c r="V4343" i="1" s="1"/>
  <c r="U4344" i="1"/>
  <c r="V4344" i="1" s="1"/>
  <c r="U4345" i="1"/>
  <c r="V4345" i="1" s="1"/>
  <c r="U4346" i="1"/>
  <c r="V4346" i="1" s="1"/>
  <c r="U4347" i="1"/>
  <c r="V4347" i="1" s="1"/>
  <c r="U4348" i="1"/>
  <c r="V4348" i="1" s="1"/>
  <c r="U4349" i="1"/>
  <c r="V4349" i="1" s="1"/>
  <c r="U4350" i="1"/>
  <c r="V4350" i="1" s="1"/>
  <c r="U4351" i="1"/>
  <c r="V4351" i="1" s="1"/>
  <c r="U4352" i="1"/>
  <c r="V4352" i="1" s="1"/>
  <c r="U4353" i="1"/>
  <c r="V4353" i="1" s="1"/>
  <c r="U4354" i="1"/>
  <c r="V4354" i="1" s="1"/>
  <c r="U4355" i="1"/>
  <c r="V4355" i="1" s="1"/>
  <c r="U4356" i="1"/>
  <c r="V4356" i="1" s="1"/>
  <c r="U4357" i="1"/>
  <c r="V4357" i="1" s="1"/>
  <c r="U4358" i="1"/>
  <c r="V4358" i="1" s="1"/>
  <c r="U4359" i="1"/>
  <c r="V4359" i="1" s="1"/>
  <c r="U4360" i="1"/>
  <c r="V4360" i="1" s="1"/>
  <c r="U4361" i="1"/>
  <c r="V4361" i="1" s="1"/>
  <c r="U4362" i="1"/>
  <c r="V4362" i="1" s="1"/>
  <c r="U4363" i="1"/>
  <c r="V4363" i="1" s="1"/>
  <c r="U4364" i="1"/>
  <c r="V4364" i="1" s="1"/>
  <c r="U4365" i="1"/>
  <c r="V4365" i="1" s="1"/>
  <c r="U4366" i="1"/>
  <c r="V4366" i="1" s="1"/>
  <c r="U4367" i="1"/>
  <c r="V4367" i="1" s="1"/>
  <c r="U4368" i="1"/>
  <c r="V4368" i="1" s="1"/>
  <c r="U4369" i="1"/>
  <c r="V4369" i="1" s="1"/>
  <c r="U4370" i="1"/>
  <c r="V4370" i="1" s="1"/>
  <c r="U4371" i="1"/>
  <c r="V4371" i="1" s="1"/>
  <c r="U4372" i="1"/>
  <c r="V4372" i="1" s="1"/>
  <c r="U4373" i="1"/>
  <c r="V4373" i="1" s="1"/>
  <c r="U4374" i="1"/>
  <c r="V4374" i="1" s="1"/>
  <c r="U4375" i="1"/>
  <c r="V4375" i="1" s="1"/>
  <c r="U4376" i="1"/>
  <c r="V4376" i="1" s="1"/>
  <c r="U4377" i="1"/>
  <c r="V4377" i="1" s="1"/>
  <c r="U4378" i="1"/>
  <c r="V4378" i="1" s="1"/>
  <c r="U4379" i="1"/>
  <c r="V4379" i="1" s="1"/>
  <c r="U4380" i="1"/>
  <c r="V4380" i="1" s="1"/>
  <c r="U4381" i="1"/>
  <c r="V4381" i="1" s="1"/>
  <c r="U4382" i="1"/>
  <c r="V4382" i="1" s="1"/>
  <c r="U4383" i="1"/>
  <c r="V4383" i="1" s="1"/>
  <c r="U4384" i="1"/>
  <c r="V4384" i="1" s="1"/>
  <c r="U4385" i="1"/>
  <c r="V4385" i="1" s="1"/>
  <c r="U4386" i="1"/>
  <c r="V4386" i="1" s="1"/>
  <c r="U4387" i="1"/>
  <c r="V4387" i="1" s="1"/>
  <c r="U4388" i="1"/>
  <c r="V4388" i="1" s="1"/>
  <c r="U4389" i="1"/>
  <c r="V4389" i="1" s="1"/>
  <c r="U4390" i="1"/>
  <c r="V4390" i="1" s="1"/>
  <c r="U4391" i="1"/>
  <c r="V4391" i="1" s="1"/>
  <c r="U4392" i="1"/>
  <c r="V4392" i="1" s="1"/>
  <c r="U4393" i="1"/>
  <c r="V4393" i="1" s="1"/>
  <c r="U4394" i="1"/>
  <c r="V4394" i="1" s="1"/>
  <c r="U4395" i="1"/>
  <c r="V4395" i="1" s="1"/>
  <c r="U4396" i="1"/>
  <c r="V4396" i="1" s="1"/>
  <c r="U4397" i="1"/>
  <c r="V4397" i="1" s="1"/>
  <c r="U4398" i="1"/>
  <c r="V4398" i="1" s="1"/>
  <c r="U4399" i="1"/>
  <c r="V4399" i="1" s="1"/>
  <c r="U4400" i="1"/>
  <c r="V4400" i="1" s="1"/>
  <c r="U4401" i="1"/>
  <c r="V4401" i="1" s="1"/>
  <c r="U4402" i="1"/>
  <c r="V4402" i="1" s="1"/>
  <c r="U4403" i="1"/>
  <c r="V4403" i="1" s="1"/>
  <c r="U4404" i="1"/>
  <c r="V4404" i="1" s="1"/>
  <c r="U4405" i="1"/>
  <c r="V4405" i="1" s="1"/>
  <c r="U4406" i="1"/>
  <c r="V4406" i="1" s="1"/>
  <c r="U4407" i="1"/>
  <c r="V4407" i="1" s="1"/>
  <c r="U4408" i="1"/>
  <c r="V4408" i="1" s="1"/>
  <c r="U4409" i="1"/>
  <c r="V4409" i="1" s="1"/>
  <c r="U4410" i="1"/>
  <c r="V4410" i="1" s="1"/>
  <c r="U4411" i="1"/>
  <c r="V4411" i="1" s="1"/>
  <c r="U4412" i="1"/>
  <c r="V4412" i="1" s="1"/>
  <c r="U4413" i="1"/>
  <c r="V4413" i="1" s="1"/>
  <c r="U4414" i="1"/>
  <c r="V4414" i="1" s="1"/>
  <c r="U4416" i="1"/>
  <c r="V4416" i="1" s="1"/>
  <c r="U4417" i="1"/>
  <c r="V4417" i="1" s="1"/>
  <c r="U4418" i="1"/>
  <c r="V4418" i="1" s="1"/>
  <c r="U4419" i="1"/>
  <c r="V4419" i="1" s="1"/>
  <c r="U4420" i="1"/>
  <c r="V4420" i="1" s="1"/>
  <c r="U4421" i="1"/>
  <c r="V4421" i="1" s="1"/>
  <c r="U4422" i="1"/>
  <c r="V4422" i="1" s="1"/>
  <c r="U4423" i="1"/>
  <c r="V4423" i="1" s="1"/>
  <c r="U4424" i="1"/>
  <c r="V4424" i="1" s="1"/>
  <c r="U4425" i="1"/>
  <c r="V4425" i="1" s="1"/>
  <c r="U4426" i="1"/>
  <c r="V4426" i="1" s="1"/>
  <c r="U4427" i="1"/>
  <c r="V4427" i="1" s="1"/>
  <c r="U4428" i="1"/>
  <c r="V4428" i="1" s="1"/>
  <c r="U4429" i="1"/>
  <c r="V4429" i="1" s="1"/>
  <c r="U4430" i="1"/>
  <c r="V4430" i="1" s="1"/>
  <c r="U4431" i="1"/>
  <c r="V4431" i="1" s="1"/>
  <c r="U4302" i="1"/>
  <c r="V4302" i="1" s="1"/>
  <c r="W174" i="1"/>
  <c r="AL174" i="1" s="1"/>
  <c r="W173" i="1"/>
  <c r="AK173" i="1" s="1"/>
  <c r="W302" i="1"/>
  <c r="AL302" i="1" s="1"/>
  <c r="W2107" i="1"/>
  <c r="AL2107" i="1" s="1"/>
  <c r="W2147" i="1"/>
  <c r="AL2147" i="1" s="1"/>
  <c r="W2149" i="1"/>
  <c r="X2149" i="1" s="1"/>
  <c r="W2295" i="1"/>
  <c r="AL2295" i="1" s="1"/>
  <c r="W2656" i="1"/>
  <c r="AL2656" i="1" s="1"/>
  <c r="W2655" i="1"/>
  <c r="AL2655" i="1" s="1"/>
  <c r="W2688" i="1"/>
  <c r="AL2688" i="1" s="1"/>
  <c r="W3637" i="1"/>
  <c r="AL3637" i="1" s="1"/>
  <c r="W3356" i="1"/>
  <c r="X3356" i="1" s="1"/>
  <c r="W3355" i="1"/>
  <c r="AL3355" i="1" s="1"/>
  <c r="W3354" i="1"/>
  <c r="X3354" i="1" s="1"/>
  <c r="W3353" i="1"/>
  <c r="AL3353" i="1" s="1"/>
  <c r="W3352" i="1"/>
  <c r="AL3352" i="1" s="1"/>
  <c r="W3351" i="1"/>
  <c r="X3351" i="1" s="1"/>
  <c r="W3350" i="1"/>
  <c r="AL3350" i="1" s="1"/>
  <c r="W3349" i="1"/>
  <c r="AL3349" i="1" s="1"/>
  <c r="W3134" i="1"/>
  <c r="AL3134" i="1" s="1"/>
  <c r="W3133" i="1"/>
  <c r="AK3133" i="1" s="1"/>
  <c r="W3132" i="1"/>
  <c r="AK3132" i="1" s="1"/>
  <c r="W3131" i="1"/>
  <c r="AL3131" i="1" s="1"/>
  <c r="W3130" i="1"/>
  <c r="AK3130" i="1" s="1"/>
  <c r="W3129" i="1"/>
  <c r="X3129" i="1" s="1"/>
  <c r="W2867" i="1"/>
  <c r="AL2867" i="1" s="1"/>
  <c r="W2866" i="1"/>
  <c r="AK2866" i="1" s="1"/>
  <c r="W2865" i="1"/>
  <c r="AL2865" i="1" s="1"/>
  <c r="W2864" i="1"/>
  <c r="AK2864" i="1" s="1"/>
  <c r="AL4147" i="1"/>
  <c r="AK4147" i="1"/>
  <c r="AL4199" i="1"/>
  <c r="AK4199" i="1"/>
  <c r="X4199" i="1"/>
  <c r="U4199" i="1"/>
  <c r="V4199" i="1" s="1"/>
  <c r="AK4278" i="1"/>
  <c r="AL4277" i="1"/>
  <c r="AK4277" i="1"/>
  <c r="AL4175" i="1"/>
  <c r="AK4175" i="1"/>
  <c r="W519" i="1"/>
  <c r="AL519" i="1" s="1"/>
  <c r="W2799" i="1"/>
  <c r="AL2799" i="1" s="1"/>
  <c r="U4065" i="1"/>
  <c r="V4065" i="1" s="1"/>
  <c r="AL4268" i="1"/>
  <c r="AK4268" i="1"/>
  <c r="AL4259" i="1"/>
  <c r="AK4259" i="1"/>
  <c r="AL4065" i="1"/>
  <c r="AK4065" i="1"/>
  <c r="W317" i="1"/>
  <c r="AL317" i="1" s="1"/>
  <c r="W318" i="1"/>
  <c r="AL318" i="1" s="1"/>
  <c r="W4267" i="1"/>
  <c r="X4267" i="1" s="1"/>
  <c r="AL4266" i="1"/>
  <c r="AK4266" i="1"/>
  <c r="W4113" i="1"/>
  <c r="X4113" i="1" s="1"/>
  <c r="U4113" i="1"/>
  <c r="V4113" i="1" s="1"/>
  <c r="AK3280" i="1"/>
  <c r="AL3280" i="1"/>
  <c r="AG1338" i="1"/>
  <c r="W1338" i="1"/>
  <c r="X1338" i="1" s="1"/>
  <c r="U867" i="1"/>
  <c r="V867" i="1" s="1"/>
  <c r="W457" i="1"/>
  <c r="AL457" i="1" s="1"/>
  <c r="AK455" i="1"/>
  <c r="W459" i="1"/>
  <c r="AK4271" i="1"/>
  <c r="AL4271" i="1"/>
  <c r="AK4279" i="1"/>
  <c r="AL4279" i="1"/>
  <c r="AK4285" i="1"/>
  <c r="AL4285" i="1"/>
  <c r="AK4286" i="1"/>
  <c r="AL4286" i="1"/>
  <c r="AK4287" i="1"/>
  <c r="AL4287" i="1"/>
  <c r="AK4288" i="1"/>
  <c r="AL4288" i="1"/>
  <c r="AK4289" i="1"/>
  <c r="AL4289" i="1"/>
  <c r="AK4291" i="1"/>
  <c r="AL4291" i="1"/>
  <c r="AK4292" i="1"/>
  <c r="AL4292" i="1"/>
  <c r="AK4295" i="1"/>
  <c r="AL4295" i="1"/>
  <c r="AK4296" i="1"/>
  <c r="AL4296" i="1"/>
  <c r="AK4297" i="1"/>
  <c r="AL4297" i="1"/>
  <c r="AK4298" i="1"/>
  <c r="AL4298" i="1"/>
  <c r="AK4299" i="1"/>
  <c r="AL4299" i="1"/>
  <c r="U4210" i="1"/>
  <c r="V4210" i="1" s="1"/>
  <c r="U4211" i="1"/>
  <c r="V4211" i="1" s="1"/>
  <c r="U4212" i="1"/>
  <c r="V4212" i="1" s="1"/>
  <c r="U4213" i="1"/>
  <c r="V4213" i="1" s="1"/>
  <c r="U4214" i="1"/>
  <c r="V4214" i="1" s="1"/>
  <c r="U4215" i="1"/>
  <c r="V4215" i="1" s="1"/>
  <c r="U4216" i="1"/>
  <c r="V4216" i="1" s="1"/>
  <c r="U4217" i="1"/>
  <c r="V4217" i="1" s="1"/>
  <c r="U4218" i="1"/>
  <c r="V4218" i="1" s="1"/>
  <c r="U4209" i="1"/>
  <c r="V4209" i="1" s="1"/>
  <c r="X4259" i="1"/>
  <c r="U4260" i="1"/>
  <c r="V4260" i="1" s="1"/>
  <c r="U4261" i="1"/>
  <c r="V4261" i="1" s="1"/>
  <c r="W4290" i="1"/>
  <c r="X4290" i="1" s="1"/>
  <c r="X4287" i="1"/>
  <c r="X4288" i="1"/>
  <c r="X4289" i="1"/>
  <c r="X4291" i="1"/>
  <c r="X4292" i="1"/>
  <c r="X4295" i="1"/>
  <c r="X4296" i="1"/>
  <c r="X4297" i="1"/>
  <c r="X4298" i="1"/>
  <c r="X4299" i="1"/>
  <c r="U4287" i="1"/>
  <c r="V4287" i="1" s="1"/>
  <c r="U4288" i="1"/>
  <c r="V4288" i="1" s="1"/>
  <c r="U4289" i="1"/>
  <c r="V4289" i="1" s="1"/>
  <c r="U4290" i="1"/>
  <c r="V4290" i="1" s="1"/>
  <c r="U4291" i="1"/>
  <c r="V4291" i="1" s="1"/>
  <c r="U4292" i="1"/>
  <c r="V4292" i="1" s="1"/>
  <c r="U4293" i="1"/>
  <c r="V4293" i="1" s="1"/>
  <c r="U4294" i="1"/>
  <c r="V4294" i="1" s="1"/>
  <c r="U4295" i="1"/>
  <c r="V4295" i="1" s="1"/>
  <c r="U4296" i="1"/>
  <c r="V4296" i="1" s="1"/>
  <c r="U4297" i="1"/>
  <c r="V4297" i="1" s="1"/>
  <c r="U4298" i="1"/>
  <c r="V4298" i="1" s="1"/>
  <c r="U4299" i="1"/>
  <c r="V4299" i="1" s="1"/>
  <c r="U4300" i="1"/>
  <c r="V4300" i="1" s="1"/>
  <c r="U4301" i="1"/>
  <c r="V4301" i="1" s="1"/>
  <c r="X4271" i="1"/>
  <c r="X4277" i="1"/>
  <c r="X4279" i="1"/>
  <c r="X4285" i="1"/>
  <c r="X4286" i="1"/>
  <c r="X4266" i="1"/>
  <c r="X4268" i="1"/>
  <c r="U4266" i="1"/>
  <c r="V4266" i="1" s="1"/>
  <c r="U4267" i="1"/>
  <c r="V4267" i="1" s="1"/>
  <c r="U4268" i="1"/>
  <c r="V4268" i="1" s="1"/>
  <c r="U4280" i="1"/>
  <c r="V4280" i="1" s="1"/>
  <c r="U4281" i="1"/>
  <c r="V4281" i="1" s="1"/>
  <c r="U4282" i="1"/>
  <c r="V4282" i="1" s="1"/>
  <c r="U4283" i="1"/>
  <c r="V4283" i="1" s="1"/>
  <c r="U4284" i="1"/>
  <c r="V4284" i="1" s="1"/>
  <c r="U4285" i="1"/>
  <c r="V4285" i="1" s="1"/>
  <c r="U4286" i="1"/>
  <c r="V4286" i="1" s="1"/>
  <c r="U4279" i="1"/>
  <c r="V4279" i="1" s="1"/>
  <c r="U4272" i="1"/>
  <c r="V4272" i="1" s="1"/>
  <c r="U4273" i="1"/>
  <c r="V4273" i="1" s="1"/>
  <c r="U4274" i="1"/>
  <c r="V4274" i="1" s="1"/>
  <c r="U4275" i="1"/>
  <c r="V4275" i="1" s="1"/>
  <c r="U4276" i="1"/>
  <c r="V4276" i="1" s="1"/>
  <c r="U4271" i="1"/>
  <c r="V4271" i="1" s="1"/>
  <c r="W4070" i="1"/>
  <c r="X4070" i="1" s="1"/>
  <c r="W4069" i="1"/>
  <c r="X4069" i="1" s="1"/>
  <c r="W4068" i="1"/>
  <c r="X4068" i="1" s="1"/>
  <c r="W3617" i="1"/>
  <c r="X3617" i="1" s="1"/>
  <c r="U4068" i="1"/>
  <c r="V4068" i="1" s="1"/>
  <c r="U3617" i="1"/>
  <c r="V3617" i="1" s="1"/>
  <c r="U4070" i="1"/>
  <c r="V4070" i="1" s="1"/>
  <c r="U4069" i="1"/>
  <c r="V4069" i="1" s="1"/>
  <c r="U1122" i="1"/>
  <c r="V1122" i="1" s="1"/>
  <c r="U1121" i="1"/>
  <c r="V1121" i="1" s="1"/>
  <c r="U932" i="1"/>
  <c r="V932" i="1" s="1"/>
  <c r="X1122" i="1"/>
  <c r="AJ1122" i="1"/>
  <c r="AF1122" i="1" s="1"/>
  <c r="AK1122" i="1"/>
  <c r="AL1122" i="1"/>
  <c r="X1121" i="1"/>
  <c r="AJ1121" i="1"/>
  <c r="AF1121" i="1" s="1"/>
  <c r="AK1121" i="1"/>
  <c r="AL1121" i="1"/>
  <c r="W1779" i="1"/>
  <c r="AL1779" i="1" s="1"/>
  <c r="U4277" i="1"/>
  <c r="V4277" i="1" s="1"/>
  <c r="U4175" i="1"/>
  <c r="V4175" i="1" s="1"/>
  <c r="AG1966" i="1"/>
  <c r="W900" i="1"/>
  <c r="AL900" i="1" s="1"/>
  <c r="AJ4186" i="1"/>
  <c r="AF4186" i="1" s="1"/>
  <c r="W4186" i="1"/>
  <c r="AL4186" i="1" s="1"/>
  <c r="W4257" i="1"/>
  <c r="AK4257" i="1" s="1"/>
  <c r="W4160" i="1"/>
  <c r="AL4160" i="1" s="1"/>
  <c r="W3479" i="1"/>
  <c r="AL3479" i="1" s="1"/>
  <c r="W3218" i="1"/>
  <c r="AL3218" i="1" s="1"/>
  <c r="W2977" i="1"/>
  <c r="AL2977" i="1" s="1"/>
  <c r="W1924" i="1"/>
  <c r="AK1924" i="1" s="1"/>
  <c r="W1776" i="1"/>
  <c r="AL1776" i="1" s="1"/>
  <c r="W1077" i="1"/>
  <c r="X1077" i="1" s="1"/>
  <c r="W752" i="1"/>
  <c r="AK752" i="1" s="1"/>
  <c r="W429" i="1"/>
  <c r="AL429" i="1" s="1"/>
  <c r="AG4257" i="1"/>
  <c r="AG4160" i="1"/>
  <c r="AG3479" i="1"/>
  <c r="AG3218" i="1"/>
  <c r="AG2977" i="1"/>
  <c r="AG1924" i="1"/>
  <c r="AG1776" i="1"/>
  <c r="AG1077" i="1"/>
  <c r="AG752" i="1"/>
  <c r="AG429" i="1"/>
  <c r="AG244" i="1"/>
  <c r="AG1029" i="1"/>
  <c r="W324" i="1"/>
  <c r="AL324" i="1" s="1"/>
  <c r="W197" i="1"/>
  <c r="AK197" i="1" s="1"/>
  <c r="AG115" i="1"/>
  <c r="W27" i="1"/>
  <c r="AL27" i="1" s="1"/>
  <c r="AG27" i="1"/>
  <c r="W19" i="1"/>
  <c r="AK19" i="1" s="1"/>
  <c r="AG19" i="1"/>
  <c r="W11" i="1"/>
  <c r="AK11" i="1" s="1"/>
  <c r="W17" i="1"/>
  <c r="AL17" i="1" s="1"/>
  <c r="W336" i="1"/>
  <c r="AL336" i="1" s="1"/>
  <c r="AG336" i="1"/>
  <c r="AG1702" i="1"/>
  <c r="AG1544" i="1"/>
  <c r="AG1543" i="1"/>
  <c r="AG1540" i="1"/>
  <c r="AG838" i="1"/>
  <c r="W4148" i="1"/>
  <c r="AL4148" i="1" s="1"/>
  <c r="U4147" i="1"/>
  <c r="V4147" i="1" s="1"/>
  <c r="U4148" i="1"/>
  <c r="V4148" i="1" s="1"/>
  <c r="U4149" i="1"/>
  <c r="V4149" i="1" s="1"/>
  <c r="AL4149" i="1"/>
  <c r="AK4149" i="1"/>
  <c r="AJ4149" i="1"/>
  <c r="AF4149" i="1" s="1"/>
  <c r="AJ4148" i="1"/>
  <c r="AF4148" i="1" s="1"/>
  <c r="AJ4147" i="1"/>
  <c r="AF4147" i="1" s="1"/>
  <c r="AL4146" i="1"/>
  <c r="AK4146" i="1"/>
  <c r="AJ4146" i="1"/>
  <c r="AF4146" i="1" s="1"/>
  <c r="X4149" i="1"/>
  <c r="X4147" i="1"/>
  <c r="X4146" i="1"/>
  <c r="U4146" i="1"/>
  <c r="V4146" i="1" s="1"/>
  <c r="AG4146" i="1"/>
  <c r="U839" i="1"/>
  <c r="V839" i="1" s="1"/>
  <c r="U838" i="1"/>
  <c r="V838" i="1" s="1"/>
  <c r="W1978" i="1"/>
  <c r="X1978" i="1" s="1"/>
  <c r="W1977" i="1"/>
  <c r="X1977" i="1" s="1"/>
  <c r="W2704" i="1"/>
  <c r="AK2704" i="1" s="1"/>
  <c r="W2493" i="1"/>
  <c r="X2493" i="1" s="1"/>
  <c r="W2221" i="1"/>
  <c r="AL2221" i="1" s="1"/>
  <c r="W3740" i="1"/>
  <c r="X3740" i="1" s="1"/>
  <c r="W3739" i="1"/>
  <c r="AL3739" i="1" s="1"/>
  <c r="W938" i="1"/>
  <c r="AK938" i="1" s="1"/>
  <c r="W902" i="1"/>
  <c r="AL902" i="1" s="1"/>
  <c r="W657" i="1"/>
  <c r="AL657" i="1" s="1"/>
  <c r="AG15" i="1"/>
  <c r="W15" i="1"/>
  <c r="X15" i="1" s="1"/>
  <c r="AJ4270" i="1"/>
  <c r="AF4270" i="1" s="1"/>
  <c r="U4270" i="1"/>
  <c r="V4270" i="1" s="1"/>
  <c r="AJ4269" i="1"/>
  <c r="U4269" i="1"/>
  <c r="V4269" i="1" s="1"/>
  <c r="AJ4265" i="1"/>
  <c r="AF4265" i="1" s="1"/>
  <c r="U4265" i="1"/>
  <c r="V4265" i="1" s="1"/>
  <c r="AJ4264" i="1"/>
  <c r="U4264" i="1"/>
  <c r="V4264" i="1" s="1"/>
  <c r="AJ4263" i="1"/>
  <c r="AF4263" i="1" s="1"/>
  <c r="U4263" i="1"/>
  <c r="V4263" i="1" s="1"/>
  <c r="AJ4262" i="1"/>
  <c r="U4262" i="1"/>
  <c r="V4262" i="1" s="1"/>
  <c r="AJ4258" i="1"/>
  <c r="AF4258" i="1" s="1"/>
  <c r="W4258" i="1"/>
  <c r="AK4258" i="1" s="1"/>
  <c r="U4258" i="1"/>
  <c r="V4258" i="1" s="1"/>
  <c r="AJ4257" i="1"/>
  <c r="AF4257" i="1" s="1"/>
  <c r="U4257" i="1"/>
  <c r="V4257" i="1" s="1"/>
  <c r="AF4256" i="1"/>
  <c r="W4256" i="1"/>
  <c r="X4256" i="1" s="1"/>
  <c r="U4256" i="1"/>
  <c r="V4256" i="1" s="1"/>
  <c r="U4255" i="1"/>
  <c r="V4255" i="1" s="1"/>
  <c r="AJ4254" i="1"/>
  <c r="AF4254" i="1" s="1"/>
  <c r="W4254" i="1"/>
  <c r="U4254" i="1"/>
  <c r="V4254" i="1" s="1"/>
  <c r="AJ4253" i="1"/>
  <c r="AF4253" i="1" s="1"/>
  <c r="U4253" i="1"/>
  <c r="V4253" i="1" s="1"/>
  <c r="U4252" i="1"/>
  <c r="V4252" i="1" s="1"/>
  <c r="AJ4251" i="1"/>
  <c r="AF4251" i="1" s="1"/>
  <c r="W4251" i="1"/>
  <c r="X4251" i="1" s="1"/>
  <c r="U4251" i="1"/>
  <c r="V4251" i="1" s="1"/>
  <c r="AL4250" i="1"/>
  <c r="AK4250" i="1"/>
  <c r="AJ4250" i="1"/>
  <c r="AF4250" i="1" s="1"/>
  <c r="X4250" i="1"/>
  <c r="U4250" i="1"/>
  <c r="V4250" i="1" s="1"/>
  <c r="AJ4249" i="1"/>
  <c r="AF4249" i="1" s="1"/>
  <c r="U4249" i="1"/>
  <c r="V4249" i="1" s="1"/>
  <c r="AJ4247" i="1"/>
  <c r="AF4247" i="1" s="1"/>
  <c r="U4247" i="1"/>
  <c r="V4247" i="1" s="1"/>
  <c r="AJ4246" i="1"/>
  <c r="U4246" i="1"/>
  <c r="V4246" i="1" s="1"/>
  <c r="U4243" i="1"/>
  <c r="V4243" i="1" s="1"/>
  <c r="AJ4238" i="1"/>
  <c r="AF4238" i="1" s="1"/>
  <c r="W4238" i="1"/>
  <c r="U4238" i="1"/>
  <c r="V4238" i="1" s="1"/>
  <c r="AL4237" i="1"/>
  <c r="AK4237" i="1"/>
  <c r="AJ4237" i="1"/>
  <c r="AF4237" i="1" s="1"/>
  <c r="X4237" i="1"/>
  <c r="U4237" i="1"/>
  <c r="V4237" i="1" s="1"/>
  <c r="U4235" i="1"/>
  <c r="V4235" i="1" s="1"/>
  <c r="U4234" i="1"/>
  <c r="V4234" i="1" s="1"/>
  <c r="U4233" i="1"/>
  <c r="V4233" i="1" s="1"/>
  <c r="U4232" i="1"/>
  <c r="V4232" i="1" s="1"/>
  <c r="X4231" i="1"/>
  <c r="U4231" i="1"/>
  <c r="V4231" i="1" s="1"/>
  <c r="AJ4230" i="1"/>
  <c r="AF4230" i="1" s="1"/>
  <c r="W4230" i="1"/>
  <c r="X4230" i="1" s="1"/>
  <c r="U4230" i="1"/>
  <c r="V4230" i="1" s="1"/>
  <c r="AL4228" i="1"/>
  <c r="AK4228" i="1"/>
  <c r="AJ4228" i="1"/>
  <c r="AF4228" i="1" s="1"/>
  <c r="X4228" i="1"/>
  <c r="U4228" i="1"/>
  <c r="V4228" i="1" s="1"/>
  <c r="AL4227" i="1"/>
  <c r="AK4227" i="1"/>
  <c r="AJ4227" i="1"/>
  <c r="AF4227" i="1" s="1"/>
  <c r="X4227" i="1"/>
  <c r="U4227" i="1"/>
  <c r="V4227" i="1" s="1"/>
  <c r="AJ4225" i="1"/>
  <c r="AF4225" i="1" s="1"/>
  <c r="U4225" i="1"/>
  <c r="V4225" i="1" s="1"/>
  <c r="AJ4224" i="1"/>
  <c r="U4224" i="1"/>
  <c r="V4224" i="1" s="1"/>
  <c r="AJ4222" i="1"/>
  <c r="AF4222" i="1" s="1"/>
  <c r="W4222" i="1"/>
  <c r="U4222" i="1"/>
  <c r="V4222" i="1" s="1"/>
  <c r="AL4220" i="1"/>
  <c r="AK4220" i="1"/>
  <c r="AJ4220" i="1"/>
  <c r="AF4220" i="1" s="1"/>
  <c r="X4220" i="1"/>
  <c r="U4220" i="1"/>
  <c r="V4220" i="1" s="1"/>
  <c r="AJ4208" i="1"/>
  <c r="AF4208" i="1" s="1"/>
  <c r="U4208" i="1"/>
  <c r="V4208" i="1" s="1"/>
  <c r="AJ4207" i="1"/>
  <c r="U4207" i="1"/>
  <c r="V4207" i="1" s="1"/>
  <c r="AJ4206" i="1"/>
  <c r="AF4206" i="1" s="1"/>
  <c r="U4206" i="1"/>
  <c r="V4206" i="1" s="1"/>
  <c r="AJ4205" i="1"/>
  <c r="U4205" i="1"/>
  <c r="V4205" i="1" s="1"/>
  <c r="AJ4204" i="1"/>
  <c r="AF4204" i="1" s="1"/>
  <c r="U4204" i="1"/>
  <c r="V4204" i="1" s="1"/>
  <c r="AJ4203" i="1"/>
  <c r="AF4203" i="1" s="1"/>
  <c r="U4203" i="1"/>
  <c r="V4203" i="1" s="1"/>
  <c r="AJ4202" i="1"/>
  <c r="AF4202" i="1" s="1"/>
  <c r="W4202" i="1"/>
  <c r="U4202" i="1"/>
  <c r="V4202" i="1" s="1"/>
  <c r="X4201" i="1"/>
  <c r="U4201" i="1"/>
  <c r="V4201" i="1" s="1"/>
  <c r="AJ4197" i="1"/>
  <c r="AF4197" i="1" s="1"/>
  <c r="W4197" i="1"/>
  <c r="AL4197" i="1" s="1"/>
  <c r="U4197" i="1"/>
  <c r="V4197" i="1" s="1"/>
  <c r="AJ4196" i="1"/>
  <c r="AF4196" i="1" s="1"/>
  <c r="W4196" i="1"/>
  <c r="U4196" i="1"/>
  <c r="V4196" i="1" s="1"/>
  <c r="AJ4195" i="1"/>
  <c r="AF4195" i="1" s="1"/>
  <c r="W4195" i="1"/>
  <c r="U4195" i="1"/>
  <c r="V4195" i="1" s="1"/>
  <c r="AK4193" i="1"/>
  <c r="AJ4193" i="1"/>
  <c r="AF4193" i="1" s="1"/>
  <c r="AG4193" i="1"/>
  <c r="U4193" i="1"/>
  <c r="V4193" i="1" s="1"/>
  <c r="AJ4192" i="1"/>
  <c r="U4192" i="1"/>
  <c r="V4192" i="1" s="1"/>
  <c r="U4188" i="1"/>
  <c r="V4188" i="1" s="1"/>
  <c r="U4186" i="1"/>
  <c r="V4186" i="1" s="1"/>
  <c r="AJ4185" i="1"/>
  <c r="AF4185" i="1" s="1"/>
  <c r="U4185" i="1"/>
  <c r="V4185" i="1" s="1"/>
  <c r="AJ4184" i="1"/>
  <c r="U4184" i="1"/>
  <c r="V4184" i="1" s="1"/>
  <c r="AJ4179" i="1"/>
  <c r="AF4179" i="1" s="1"/>
  <c r="U4179" i="1"/>
  <c r="V4179" i="1" s="1"/>
  <c r="AJ4178" i="1"/>
  <c r="U4178" i="1"/>
  <c r="V4178" i="1" s="1"/>
  <c r="AJ4177" i="1"/>
  <c r="AF4177" i="1" s="1"/>
  <c r="U4177" i="1"/>
  <c r="V4177" i="1" s="1"/>
  <c r="AJ4176" i="1"/>
  <c r="U4176" i="1"/>
  <c r="V4176" i="1" s="1"/>
  <c r="AJ4174" i="1"/>
  <c r="AF4174" i="1" s="1"/>
  <c r="W4174" i="1"/>
  <c r="X4174" i="1" s="1"/>
  <c r="U4174" i="1"/>
  <c r="V4174" i="1" s="1"/>
  <c r="AL4172" i="1"/>
  <c r="AK4172" i="1"/>
  <c r="AJ4172" i="1"/>
  <c r="AF4172" i="1" s="1"/>
  <c r="X4172" i="1"/>
  <c r="U4172" i="1"/>
  <c r="V4172" i="1" s="1"/>
  <c r="U4171" i="1"/>
  <c r="V4171" i="1" s="1"/>
  <c r="AJ4168" i="1"/>
  <c r="AF4168" i="1" s="1"/>
  <c r="U4168" i="1"/>
  <c r="V4168" i="1" s="1"/>
  <c r="AJ4167" i="1"/>
  <c r="U4167" i="1"/>
  <c r="V4167" i="1" s="1"/>
  <c r="AJ4165" i="1"/>
  <c r="AF4165" i="1" s="1"/>
  <c r="W4165" i="1"/>
  <c r="X4165" i="1" s="1"/>
  <c r="U4165" i="1"/>
  <c r="V4165" i="1" s="1"/>
  <c r="AL4164" i="1"/>
  <c r="AK4164" i="1"/>
  <c r="AJ4164" i="1"/>
  <c r="AF4164" i="1" s="1"/>
  <c r="X4164" i="1"/>
  <c r="U4164" i="1"/>
  <c r="V4164" i="1" s="1"/>
  <c r="AJ4163" i="1"/>
  <c r="AF4163" i="1" s="1"/>
  <c r="U4163" i="1"/>
  <c r="V4163" i="1" s="1"/>
  <c r="AJ4162" i="1"/>
  <c r="U4162" i="1"/>
  <c r="V4162" i="1" s="1"/>
  <c r="AJ4161" i="1"/>
  <c r="AF4161" i="1" s="1"/>
  <c r="W4161" i="1"/>
  <c r="U4161" i="1"/>
  <c r="V4161" i="1" s="1"/>
  <c r="AJ4160" i="1"/>
  <c r="AF4160" i="1" s="1"/>
  <c r="U4160" i="1"/>
  <c r="V4160" i="1" s="1"/>
  <c r="U4156" i="1"/>
  <c r="V4156" i="1" s="1"/>
  <c r="U4155" i="1"/>
  <c r="V4155" i="1" s="1"/>
  <c r="U4153" i="1"/>
  <c r="V4153" i="1" s="1"/>
  <c r="X4145" i="1"/>
  <c r="U4145" i="1"/>
  <c r="V4145" i="1" s="1"/>
  <c r="AJ4144" i="1"/>
  <c r="AF4144" i="1" s="1"/>
  <c r="W4144" i="1"/>
  <c r="X4144" i="1" s="1"/>
  <c r="U4144" i="1"/>
  <c r="V4144" i="1" s="1"/>
  <c r="AJ4143" i="1"/>
  <c r="AF4143" i="1" s="1"/>
  <c r="U4143" i="1"/>
  <c r="V4143" i="1" s="1"/>
  <c r="AJ4142" i="1"/>
  <c r="AF4142" i="1" s="1"/>
  <c r="W4142" i="1"/>
  <c r="AL4142" i="1" s="1"/>
  <c r="U4142" i="1"/>
  <c r="V4142" i="1" s="1"/>
  <c r="AJ4141" i="1"/>
  <c r="AF4141" i="1" s="1"/>
  <c r="U4141" i="1"/>
  <c r="V4141" i="1" s="1"/>
  <c r="U4140" i="1"/>
  <c r="V4140" i="1" s="1"/>
  <c r="X4139" i="1"/>
  <c r="U4139" i="1"/>
  <c r="V4139" i="1" s="1"/>
  <c r="AJ4138" i="1"/>
  <c r="AF4138" i="1" s="1"/>
  <c r="W4138" i="1"/>
  <c r="U4138" i="1"/>
  <c r="V4138" i="1" s="1"/>
  <c r="AL4137" i="1"/>
  <c r="AK4137" i="1"/>
  <c r="AJ4137" i="1"/>
  <c r="AF4137" i="1" s="1"/>
  <c r="X4137" i="1"/>
  <c r="U4137" i="1"/>
  <c r="V4137" i="1" s="1"/>
  <c r="AJ4136" i="1"/>
  <c r="AF4136" i="1" s="1"/>
  <c r="U4136" i="1"/>
  <c r="V4136" i="1" s="1"/>
  <c r="AJ4135" i="1"/>
  <c r="U4135" i="1"/>
  <c r="V4135" i="1" s="1"/>
  <c r="X4133" i="1"/>
  <c r="U4133" i="1"/>
  <c r="V4133" i="1" s="1"/>
  <c r="AL4131" i="1"/>
  <c r="AK4131" i="1"/>
  <c r="AJ4131" i="1"/>
  <c r="AF4131" i="1" s="1"/>
  <c r="X4131" i="1"/>
  <c r="U4131" i="1"/>
  <c r="V4131" i="1" s="1"/>
  <c r="AL4130" i="1"/>
  <c r="AK4130" i="1"/>
  <c r="AJ4130" i="1"/>
  <c r="AF4130" i="1" s="1"/>
  <c r="X4130" i="1"/>
  <c r="U4130" i="1"/>
  <c r="V4130" i="1" s="1"/>
  <c r="AJ4126" i="1"/>
  <c r="AF4126" i="1" s="1"/>
  <c r="W4126" i="1"/>
  <c r="X4126" i="1" s="1"/>
  <c r="U4126" i="1"/>
  <c r="V4126" i="1" s="1"/>
  <c r="AL4125" i="1"/>
  <c r="AK4125" i="1"/>
  <c r="AJ4125" i="1"/>
  <c r="AF4125" i="1" s="1"/>
  <c r="X4125" i="1"/>
  <c r="U4125" i="1"/>
  <c r="V4125" i="1" s="1"/>
  <c r="AJ4117" i="1"/>
  <c r="AF4117" i="1" s="1"/>
  <c r="U4117" i="1"/>
  <c r="V4117" i="1" s="1"/>
  <c r="AJ4116" i="1"/>
  <c r="U4116" i="1"/>
  <c r="V4116" i="1" s="1"/>
  <c r="AJ4111" i="1"/>
  <c r="AF4111" i="1" s="1"/>
  <c r="U4111" i="1"/>
  <c r="V4111" i="1" s="1"/>
  <c r="AJ4110" i="1"/>
  <c r="U4110" i="1"/>
  <c r="V4110" i="1" s="1"/>
  <c r="X4105" i="1"/>
  <c r="U4105" i="1"/>
  <c r="V4105" i="1" s="1"/>
  <c r="U4104" i="1"/>
  <c r="V4104" i="1" s="1"/>
  <c r="U4103" i="1"/>
  <c r="V4103" i="1" s="1"/>
  <c r="U4102" i="1"/>
  <c r="V4102" i="1" s="1"/>
  <c r="U4101" i="1"/>
  <c r="V4101" i="1" s="1"/>
  <c r="U4100" i="1"/>
  <c r="V4100" i="1" s="1"/>
  <c r="U4099" i="1"/>
  <c r="V4099" i="1" s="1"/>
  <c r="U4098" i="1"/>
  <c r="V4098" i="1" s="1"/>
  <c r="U4097" i="1"/>
  <c r="V4097" i="1" s="1"/>
  <c r="U4096" i="1"/>
  <c r="V4096" i="1" s="1"/>
  <c r="U4095" i="1"/>
  <c r="V4095" i="1" s="1"/>
  <c r="AF4094" i="1"/>
  <c r="W4094" i="1"/>
  <c r="X4094" i="1" s="1"/>
  <c r="U4094" i="1"/>
  <c r="V4094" i="1" s="1"/>
  <c r="U4093" i="1"/>
  <c r="V4093" i="1" s="1"/>
  <c r="U4092" i="1"/>
  <c r="V4092" i="1" s="1"/>
  <c r="U4091" i="1"/>
  <c r="V4091" i="1" s="1"/>
  <c r="U4090" i="1"/>
  <c r="V4090" i="1" s="1"/>
  <c r="U4089" i="1"/>
  <c r="V4089" i="1" s="1"/>
  <c r="U4088" i="1"/>
  <c r="V4088" i="1" s="1"/>
  <c r="U4087" i="1"/>
  <c r="V4087" i="1" s="1"/>
  <c r="U4086" i="1"/>
  <c r="V4086" i="1" s="1"/>
  <c r="U4085" i="1"/>
  <c r="V4085" i="1" s="1"/>
  <c r="X4084" i="1"/>
  <c r="U4084" i="1"/>
  <c r="V4084" i="1" s="1"/>
  <c r="U4083" i="1"/>
  <c r="V4083" i="1" s="1"/>
  <c r="U4082" i="1"/>
  <c r="V4082" i="1" s="1"/>
  <c r="U4081" i="1"/>
  <c r="V4081" i="1" s="1"/>
  <c r="U4080" i="1"/>
  <c r="V4080" i="1" s="1"/>
  <c r="X4079" i="1"/>
  <c r="U4079" i="1"/>
  <c r="V4079" i="1" s="1"/>
  <c r="U4075" i="1"/>
  <c r="V4075" i="1" s="1"/>
  <c r="AJ4074" i="1"/>
  <c r="AF4074" i="1" s="1"/>
  <c r="U4074" i="1"/>
  <c r="V4074" i="1" s="1"/>
  <c r="AJ4072" i="1"/>
  <c r="AF4072" i="1" s="1"/>
  <c r="U4072" i="1"/>
  <c r="V4072" i="1" s="1"/>
  <c r="AJ4071" i="1"/>
  <c r="U4071" i="1"/>
  <c r="V4071" i="1" s="1"/>
  <c r="U4067" i="1"/>
  <c r="V4067" i="1" s="1"/>
  <c r="AJ4064" i="1"/>
  <c r="AF4064" i="1" s="1"/>
  <c r="U4064" i="1"/>
  <c r="V4064" i="1" s="1"/>
  <c r="AJ4063" i="1"/>
  <c r="U4063" i="1"/>
  <c r="V4063" i="1" s="1"/>
  <c r="AJ4062" i="1"/>
  <c r="AF4062" i="1" s="1"/>
  <c r="W4062" i="1"/>
  <c r="X4062" i="1" s="1"/>
  <c r="U4062" i="1"/>
  <c r="V4062" i="1" s="1"/>
  <c r="AL4061" i="1"/>
  <c r="AK4061" i="1"/>
  <c r="AJ4061" i="1"/>
  <c r="AF4061" i="1" s="1"/>
  <c r="X4061" i="1"/>
  <c r="U4061" i="1"/>
  <c r="V4061" i="1" s="1"/>
  <c r="U4060" i="1"/>
  <c r="V4060" i="1" s="1"/>
  <c r="U4059" i="1"/>
  <c r="V4059" i="1" s="1"/>
  <c r="U4058" i="1"/>
  <c r="V4058" i="1" s="1"/>
  <c r="U4057" i="1"/>
  <c r="V4057" i="1" s="1"/>
  <c r="AJ4056" i="1"/>
  <c r="AF4056" i="1" s="1"/>
  <c r="W4056" i="1"/>
  <c r="U4056" i="1"/>
  <c r="V4056" i="1" s="1"/>
  <c r="AL4055" i="1"/>
  <c r="AK4055" i="1"/>
  <c r="AJ4055" i="1"/>
  <c r="AF4055" i="1" s="1"/>
  <c r="X4055" i="1"/>
  <c r="U4055" i="1"/>
  <c r="V4055" i="1" s="1"/>
  <c r="U4054" i="1"/>
  <c r="V4054" i="1" s="1"/>
  <c r="U4053" i="1"/>
  <c r="V4053" i="1" s="1"/>
  <c r="X4052" i="1"/>
  <c r="U4052" i="1"/>
  <c r="V4052" i="1" s="1"/>
  <c r="AJ4051" i="1"/>
  <c r="AF4051" i="1" s="1"/>
  <c r="U4051" i="1"/>
  <c r="V4051" i="1" s="1"/>
  <c r="AJ4050" i="1"/>
  <c r="U4050" i="1"/>
  <c r="V4050" i="1" s="1"/>
  <c r="AJ4047" i="1"/>
  <c r="AF4047" i="1" s="1"/>
  <c r="W4047" i="1"/>
  <c r="U4047" i="1"/>
  <c r="V4047" i="1" s="1"/>
  <c r="AL4046" i="1"/>
  <c r="AK4046" i="1"/>
  <c r="AJ4046" i="1"/>
  <c r="AF4046" i="1" s="1"/>
  <c r="X4046" i="1"/>
  <c r="U4046" i="1"/>
  <c r="V4046" i="1" s="1"/>
  <c r="AJ4045" i="1"/>
  <c r="AF4045" i="1" s="1"/>
  <c r="U4045" i="1"/>
  <c r="V4045" i="1" s="1"/>
  <c r="AJ4044" i="1"/>
  <c r="AF4044" i="1" s="1"/>
  <c r="U4044" i="1"/>
  <c r="V4044" i="1" s="1"/>
  <c r="AL4043" i="1"/>
  <c r="AK4043" i="1"/>
  <c r="AJ4043" i="1"/>
  <c r="AG4043" i="1"/>
  <c r="X4043" i="1"/>
  <c r="U4043" i="1"/>
  <c r="V4043" i="1" s="1"/>
  <c r="AJ4042" i="1"/>
  <c r="AF4042" i="1" s="1"/>
  <c r="W4042" i="1"/>
  <c r="AL4041" i="1"/>
  <c r="AK4041" i="1"/>
  <c r="AJ4041" i="1"/>
  <c r="AF4041" i="1" s="1"/>
  <c r="X4041" i="1"/>
  <c r="AJ4040" i="1"/>
  <c r="AF4040" i="1" s="1"/>
  <c r="W4040" i="1"/>
  <c r="X4040" i="1" s="1"/>
  <c r="AL4039" i="1"/>
  <c r="AK4039" i="1"/>
  <c r="AJ4039" i="1"/>
  <c r="AF4039" i="1" s="1"/>
  <c r="X4039" i="1"/>
  <c r="U4039" i="1"/>
  <c r="V4039" i="1" s="1"/>
  <c r="AJ4038" i="1"/>
  <c r="AF4038" i="1" s="1"/>
  <c r="W4038" i="1"/>
  <c r="AL4037" i="1"/>
  <c r="AK4037" i="1"/>
  <c r="AJ4037" i="1"/>
  <c r="AF4037" i="1" s="1"/>
  <c r="X4037" i="1"/>
  <c r="AJ4036" i="1"/>
  <c r="AF4036" i="1" s="1"/>
  <c r="AJ4035" i="1"/>
  <c r="AF4035" i="1" s="1"/>
  <c r="AL4034" i="1"/>
  <c r="AK4034" i="1"/>
  <c r="AJ4034" i="1"/>
  <c r="AF4034" i="1" s="1"/>
  <c r="X4034" i="1"/>
  <c r="AL4033" i="1"/>
  <c r="AK4033" i="1"/>
  <c r="AJ4033" i="1"/>
  <c r="AF4033" i="1" s="1"/>
  <c r="X4033" i="1"/>
  <c r="AL4032" i="1"/>
  <c r="AK4032" i="1"/>
  <c r="AJ4032" i="1"/>
  <c r="AF4032" i="1" s="1"/>
  <c r="X4032" i="1"/>
  <c r="AL4031" i="1"/>
  <c r="AK4031" i="1"/>
  <c r="AJ4031" i="1"/>
  <c r="AF4031" i="1" s="1"/>
  <c r="X4031" i="1"/>
  <c r="AJ4030" i="1"/>
  <c r="AF4030" i="1" s="1"/>
  <c r="AG4030" i="1"/>
  <c r="W4030" i="1"/>
  <c r="AJ4029" i="1"/>
  <c r="AF4029" i="1" s="1"/>
  <c r="W4029" i="1"/>
  <c r="AJ4028" i="1"/>
  <c r="AF4028" i="1" s="1"/>
  <c r="W4028" i="1"/>
  <c r="AJ4027" i="1"/>
  <c r="AF4027" i="1" s="1"/>
  <c r="W4027" i="1"/>
  <c r="AJ4026" i="1"/>
  <c r="AF4026" i="1" s="1"/>
  <c r="W4026" i="1"/>
  <c r="AJ4025" i="1"/>
  <c r="AF4025" i="1" s="1"/>
  <c r="W4025" i="1"/>
  <c r="AJ4024" i="1"/>
  <c r="AF4024" i="1" s="1"/>
  <c r="W4024" i="1"/>
  <c r="AL4024" i="1" s="1"/>
  <c r="AJ4023" i="1"/>
  <c r="AF4023" i="1" s="1"/>
  <c r="AL4022" i="1"/>
  <c r="AK4022" i="1"/>
  <c r="AJ4022" i="1"/>
  <c r="AF4022" i="1" s="1"/>
  <c r="X4022" i="1"/>
  <c r="AL4021" i="1"/>
  <c r="AK4021" i="1"/>
  <c r="AJ4021" i="1"/>
  <c r="AF4021" i="1" s="1"/>
  <c r="X4021" i="1"/>
  <c r="AJ4020" i="1"/>
  <c r="AF4020" i="1" s="1"/>
  <c r="AJ4019" i="1"/>
  <c r="AF4019" i="1" s="1"/>
  <c r="AL4018" i="1"/>
  <c r="AK4018" i="1"/>
  <c r="AJ4018" i="1"/>
  <c r="AF4018" i="1" s="1"/>
  <c r="X4018" i="1"/>
  <c r="AL4017" i="1"/>
  <c r="AK4017" i="1"/>
  <c r="AJ4017" i="1"/>
  <c r="AF4017" i="1" s="1"/>
  <c r="X4017" i="1"/>
  <c r="AJ4016" i="1"/>
  <c r="AF4016" i="1" s="1"/>
  <c r="AJ4015" i="1"/>
  <c r="AF4015" i="1" s="1"/>
  <c r="AL4014" i="1"/>
  <c r="AK4014" i="1"/>
  <c r="AJ4014" i="1"/>
  <c r="AF4014" i="1" s="1"/>
  <c r="X4014" i="1"/>
  <c r="AJ4013" i="1"/>
  <c r="AF4013" i="1" s="1"/>
  <c r="W4013" i="1"/>
  <c r="AJ4012" i="1"/>
  <c r="AF4012" i="1" s="1"/>
  <c r="AL4011" i="1"/>
  <c r="AK4011" i="1"/>
  <c r="AJ4011" i="1"/>
  <c r="AF4011" i="1" s="1"/>
  <c r="X4011" i="1"/>
  <c r="AJ4010" i="1"/>
  <c r="AF4010" i="1" s="1"/>
  <c r="AJ4009" i="1"/>
  <c r="AF4009" i="1" s="1"/>
  <c r="W4009" i="1"/>
  <c r="AJ4008" i="1"/>
  <c r="AF4008" i="1" s="1"/>
  <c r="W4008" i="1"/>
  <c r="AJ4007" i="1"/>
  <c r="AF4007" i="1" s="1"/>
  <c r="W4007" i="1"/>
  <c r="AL4006" i="1"/>
  <c r="AK4006" i="1"/>
  <c r="AJ4006" i="1"/>
  <c r="AF4006" i="1" s="1"/>
  <c r="X4006" i="1"/>
  <c r="AL4005" i="1"/>
  <c r="AK4005" i="1"/>
  <c r="AJ4005" i="1"/>
  <c r="AF4005" i="1" s="1"/>
  <c r="AG4005" i="1"/>
  <c r="X4005" i="1"/>
  <c r="AL4004" i="1"/>
  <c r="AK4004" i="1"/>
  <c r="AJ4004" i="1"/>
  <c r="AF4004" i="1" s="1"/>
  <c r="AG4004" i="1"/>
  <c r="X4004" i="1"/>
  <c r="AL4003" i="1"/>
  <c r="AK4003" i="1"/>
  <c r="AJ4003" i="1"/>
  <c r="AF4003" i="1" s="1"/>
  <c r="X4003" i="1"/>
  <c r="AL4002" i="1"/>
  <c r="AK4002" i="1"/>
  <c r="AJ4002" i="1"/>
  <c r="AF4002" i="1" s="1"/>
  <c r="X4002" i="1"/>
  <c r="AL4001" i="1"/>
  <c r="AK4001" i="1"/>
  <c r="AJ4001" i="1"/>
  <c r="AF4001" i="1" s="1"/>
  <c r="X4001" i="1"/>
  <c r="AL4000" i="1"/>
  <c r="AK4000" i="1"/>
  <c r="AJ4000" i="1"/>
  <c r="AF4000" i="1" s="1"/>
  <c r="X4000" i="1"/>
  <c r="AL3999" i="1"/>
  <c r="AK3999" i="1"/>
  <c r="AJ3999" i="1"/>
  <c r="AF3999" i="1" s="1"/>
  <c r="AG3999" i="1"/>
  <c r="X3999" i="1"/>
  <c r="AL3998" i="1"/>
  <c r="AK3998" i="1"/>
  <c r="AJ3998" i="1"/>
  <c r="AF3998" i="1" s="1"/>
  <c r="X3998" i="1"/>
  <c r="AL3997" i="1"/>
  <c r="AK3997" i="1"/>
  <c r="AJ3997" i="1"/>
  <c r="AF3997" i="1" s="1"/>
  <c r="X3997" i="1"/>
  <c r="AL3996" i="1"/>
  <c r="AK3996" i="1"/>
  <c r="AJ3996" i="1"/>
  <c r="AF3996" i="1" s="1"/>
  <c r="X3996" i="1"/>
  <c r="AL3995" i="1"/>
  <c r="AK3995" i="1"/>
  <c r="AJ3995" i="1"/>
  <c r="AF3995" i="1" s="1"/>
  <c r="X3995" i="1"/>
  <c r="AL3994" i="1"/>
  <c r="AK3994" i="1"/>
  <c r="AJ3994" i="1"/>
  <c r="AF3994" i="1" s="1"/>
  <c r="X3994" i="1"/>
  <c r="AL3993" i="1"/>
  <c r="AK3993" i="1"/>
  <c r="AJ3993" i="1"/>
  <c r="AF3993" i="1" s="1"/>
  <c r="X3993" i="1"/>
  <c r="AJ3992" i="1"/>
  <c r="AF3992" i="1" s="1"/>
  <c r="W3992" i="1"/>
  <c r="X3992" i="1" s="1"/>
  <c r="AJ3991" i="1"/>
  <c r="AF3991" i="1" s="1"/>
  <c r="W3991" i="1"/>
  <c r="AJ3990" i="1"/>
  <c r="AF3990" i="1" s="1"/>
  <c r="W3990" i="1"/>
  <c r="AL3989" i="1"/>
  <c r="AK3989" i="1"/>
  <c r="AJ3989" i="1"/>
  <c r="AF3989" i="1" s="1"/>
  <c r="X3989" i="1"/>
  <c r="AJ3988" i="1"/>
  <c r="AF3988" i="1" s="1"/>
  <c r="AJ3987" i="1"/>
  <c r="AF3987" i="1" s="1"/>
  <c r="W3987" i="1"/>
  <c r="AJ3986" i="1"/>
  <c r="AF3986" i="1" s="1"/>
  <c r="W3986" i="1"/>
  <c r="AL3985" i="1"/>
  <c r="AK3985" i="1"/>
  <c r="AJ3985" i="1"/>
  <c r="AF3985" i="1" s="1"/>
  <c r="X3985" i="1"/>
  <c r="AL3984" i="1"/>
  <c r="AK3984" i="1"/>
  <c r="AJ3984" i="1"/>
  <c r="AF3984" i="1" s="1"/>
  <c r="X3984" i="1"/>
  <c r="AJ3983" i="1"/>
  <c r="AF3983" i="1" s="1"/>
  <c r="AJ3982" i="1"/>
  <c r="AF3982" i="1" s="1"/>
  <c r="AL3981" i="1"/>
  <c r="AK3981" i="1"/>
  <c r="AJ3981" i="1"/>
  <c r="AF3981" i="1" s="1"/>
  <c r="AJ3980" i="1"/>
  <c r="AF3980" i="1" s="1"/>
  <c r="AJ3979" i="1"/>
  <c r="AF3979" i="1" s="1"/>
  <c r="AL3978" i="1"/>
  <c r="AK3978" i="1"/>
  <c r="AJ3978" i="1"/>
  <c r="AF3978" i="1" s="1"/>
  <c r="X3978" i="1"/>
  <c r="AL3977" i="1"/>
  <c r="AK3977" i="1"/>
  <c r="AJ3977" i="1"/>
  <c r="AF3977" i="1" s="1"/>
  <c r="X3977" i="1"/>
  <c r="AL3976" i="1"/>
  <c r="AK3976" i="1"/>
  <c r="AJ3976" i="1"/>
  <c r="AF3976" i="1" s="1"/>
  <c r="X3976" i="1"/>
  <c r="AL3975" i="1"/>
  <c r="AK3975" i="1"/>
  <c r="AJ3975" i="1"/>
  <c r="AF3975" i="1" s="1"/>
  <c r="X3975" i="1"/>
  <c r="AL3974" i="1"/>
  <c r="AK3974" i="1"/>
  <c r="AJ3974" i="1"/>
  <c r="AF3974" i="1" s="1"/>
  <c r="X3974" i="1"/>
  <c r="AJ3973" i="1"/>
  <c r="AF3973" i="1" s="1"/>
  <c r="W3973" i="1"/>
  <c r="AL3973" i="1" s="1"/>
  <c r="AL3972" i="1"/>
  <c r="AK3972" i="1"/>
  <c r="AJ3972" i="1"/>
  <c r="AF3972" i="1" s="1"/>
  <c r="X3972" i="1"/>
  <c r="AL3971" i="1"/>
  <c r="AK3971" i="1"/>
  <c r="AJ3971" i="1"/>
  <c r="AF3971" i="1" s="1"/>
  <c r="X3971" i="1"/>
  <c r="AJ3970" i="1"/>
  <c r="AF3970" i="1" s="1"/>
  <c r="W3970" i="1"/>
  <c r="X3970" i="1" s="1"/>
  <c r="AJ3969" i="1"/>
  <c r="AF3969" i="1" s="1"/>
  <c r="W3969" i="1"/>
  <c r="X3969" i="1" s="1"/>
  <c r="AL3968" i="1"/>
  <c r="AK3968" i="1"/>
  <c r="AJ3968" i="1"/>
  <c r="AF3968" i="1" s="1"/>
  <c r="X3968" i="1"/>
  <c r="AJ3967" i="1"/>
  <c r="AF3967" i="1" s="1"/>
  <c r="AJ3966" i="1"/>
  <c r="AF3966" i="1" s="1"/>
  <c r="AL3965" i="1"/>
  <c r="AK3965" i="1"/>
  <c r="AJ3965" i="1"/>
  <c r="AF3965" i="1" s="1"/>
  <c r="AG3965" i="1"/>
  <c r="X3965" i="1"/>
  <c r="AL3964" i="1"/>
  <c r="AK3964" i="1"/>
  <c r="AJ3964" i="1"/>
  <c r="AF3964" i="1" s="1"/>
  <c r="AG3964" i="1"/>
  <c r="X3964" i="1"/>
  <c r="AL3963" i="1"/>
  <c r="AK3963" i="1"/>
  <c r="AJ3963" i="1"/>
  <c r="AF3963" i="1" s="1"/>
  <c r="X3963" i="1"/>
  <c r="AJ3962" i="1"/>
  <c r="AF3962" i="1" s="1"/>
  <c r="W3962" i="1"/>
  <c r="AL3962" i="1" s="1"/>
  <c r="AL3961" i="1"/>
  <c r="AK3961" i="1"/>
  <c r="AJ3961" i="1"/>
  <c r="AF3961" i="1" s="1"/>
  <c r="X3961" i="1"/>
  <c r="AL3960" i="1"/>
  <c r="AK3960" i="1"/>
  <c r="AJ3960" i="1"/>
  <c r="AF3960" i="1" s="1"/>
  <c r="X3960" i="1"/>
  <c r="AJ3959" i="1"/>
  <c r="AF3959" i="1" s="1"/>
  <c r="AG3959" i="1"/>
  <c r="W3959" i="1"/>
  <c r="AK3959" i="1" s="1"/>
  <c r="AL3958" i="1"/>
  <c r="AK3958" i="1"/>
  <c r="AJ3958" i="1"/>
  <c r="AF3958" i="1" s="1"/>
  <c r="X3958" i="1"/>
  <c r="AJ3957" i="1"/>
  <c r="AF3957" i="1" s="1"/>
  <c r="W3957" i="1"/>
  <c r="AJ3956" i="1"/>
  <c r="AF3956" i="1" s="1"/>
  <c r="W3956" i="1"/>
  <c r="AL3955" i="1"/>
  <c r="AK3955" i="1"/>
  <c r="AJ3955" i="1"/>
  <c r="AF3955" i="1" s="1"/>
  <c r="X3955" i="1"/>
  <c r="AL3954" i="1"/>
  <c r="AK3954" i="1"/>
  <c r="AJ3954" i="1"/>
  <c r="AF3954" i="1" s="1"/>
  <c r="X3954" i="1"/>
  <c r="AL3953" i="1"/>
  <c r="AK3953" i="1"/>
  <c r="AJ3953" i="1"/>
  <c r="AF3953" i="1" s="1"/>
  <c r="X3953" i="1"/>
  <c r="AL3952" i="1"/>
  <c r="AK3952" i="1"/>
  <c r="AJ3952" i="1"/>
  <c r="AF3952" i="1" s="1"/>
  <c r="X3952" i="1"/>
  <c r="AL3951" i="1"/>
  <c r="AK3951" i="1"/>
  <c r="AJ3951" i="1"/>
  <c r="AF3951" i="1" s="1"/>
  <c r="AG3951" i="1"/>
  <c r="X3951" i="1"/>
  <c r="AL3950" i="1"/>
  <c r="AK3950" i="1"/>
  <c r="AJ3950" i="1"/>
  <c r="AF3950" i="1" s="1"/>
  <c r="X3950" i="1"/>
  <c r="AJ3949" i="1"/>
  <c r="AF3949" i="1" s="1"/>
  <c r="W3949" i="1"/>
  <c r="X3949" i="1" s="1"/>
  <c r="AL3948" i="1"/>
  <c r="AK3948" i="1"/>
  <c r="AJ3948" i="1"/>
  <c r="AF3948" i="1" s="1"/>
  <c r="X3948" i="1"/>
  <c r="AJ3947" i="1"/>
  <c r="AF3947" i="1" s="1"/>
  <c r="W3947" i="1"/>
  <c r="AJ3946" i="1"/>
  <c r="AF3946" i="1" s="1"/>
  <c r="AJ3945" i="1"/>
  <c r="AF3945" i="1" s="1"/>
  <c r="AJ3944" i="1"/>
  <c r="AF3944" i="1" s="1"/>
  <c r="AJ3943" i="1"/>
  <c r="AF3943" i="1" s="1"/>
  <c r="AJ3942" i="1"/>
  <c r="AF3942" i="1" s="1"/>
  <c r="AJ3941" i="1"/>
  <c r="AF3941" i="1" s="1"/>
  <c r="AL3940" i="1"/>
  <c r="AK3940" i="1"/>
  <c r="AJ3940" i="1"/>
  <c r="AF3940" i="1" s="1"/>
  <c r="X3940" i="1"/>
  <c r="AL3939" i="1"/>
  <c r="AK3939" i="1"/>
  <c r="AJ3939" i="1"/>
  <c r="AF3939" i="1" s="1"/>
  <c r="AG3939" i="1"/>
  <c r="X3939" i="1"/>
  <c r="AL3938" i="1"/>
  <c r="AK3938" i="1"/>
  <c r="AJ3938" i="1"/>
  <c r="AF3938" i="1" s="1"/>
  <c r="X3938" i="1"/>
  <c r="AL3937" i="1"/>
  <c r="AK3937" i="1"/>
  <c r="AJ3937" i="1"/>
  <c r="AF3937" i="1" s="1"/>
  <c r="X3937" i="1"/>
  <c r="AL3936" i="1"/>
  <c r="AK3936" i="1"/>
  <c r="AJ3936" i="1"/>
  <c r="AF3936" i="1" s="1"/>
  <c r="X3936" i="1"/>
  <c r="AL3935" i="1"/>
  <c r="AK3935" i="1"/>
  <c r="AJ3935" i="1"/>
  <c r="AF3935" i="1" s="1"/>
  <c r="X3935" i="1"/>
  <c r="AJ3934" i="1"/>
  <c r="AF3934" i="1" s="1"/>
  <c r="W3934" i="1"/>
  <c r="AJ3933" i="1"/>
  <c r="AF3933" i="1" s="1"/>
  <c r="AJ3932" i="1"/>
  <c r="AF3932" i="1" s="1"/>
  <c r="W3932" i="1"/>
  <c r="X3932" i="1" s="1"/>
  <c r="AJ3931" i="1"/>
  <c r="AF3931" i="1" s="1"/>
  <c r="W3931" i="1"/>
  <c r="AJ3930" i="1"/>
  <c r="AF3930" i="1" s="1"/>
  <c r="W3930" i="1"/>
  <c r="AL3930" i="1" s="1"/>
  <c r="AJ3929" i="1"/>
  <c r="AF3929" i="1" s="1"/>
  <c r="AL3928" i="1"/>
  <c r="AK3928" i="1"/>
  <c r="AJ3928" i="1"/>
  <c r="AF3928" i="1" s="1"/>
  <c r="X3928" i="1"/>
  <c r="AL3927" i="1"/>
  <c r="AK3927" i="1"/>
  <c r="AJ3927" i="1"/>
  <c r="AF3927" i="1" s="1"/>
  <c r="X3927" i="1"/>
  <c r="AL3926" i="1"/>
  <c r="AK3926" i="1"/>
  <c r="AJ3926" i="1"/>
  <c r="AF3926" i="1" s="1"/>
  <c r="X3926" i="1"/>
  <c r="AJ3925" i="1"/>
  <c r="AF3925" i="1" s="1"/>
  <c r="W3925" i="1"/>
  <c r="AJ3924" i="1"/>
  <c r="AF3924" i="1" s="1"/>
  <c r="W3924" i="1"/>
  <c r="AL3923" i="1"/>
  <c r="AK3923" i="1"/>
  <c r="AJ3923" i="1"/>
  <c r="AF3923" i="1" s="1"/>
  <c r="X3923" i="1"/>
  <c r="AJ3922" i="1"/>
  <c r="AF3922" i="1" s="1"/>
  <c r="W3922" i="1"/>
  <c r="AL3921" i="1"/>
  <c r="AK3921" i="1"/>
  <c r="AJ3921" i="1"/>
  <c r="AF3921" i="1" s="1"/>
  <c r="X3921" i="1"/>
  <c r="AK3920" i="1"/>
  <c r="AJ3920" i="1"/>
  <c r="AF3920" i="1" s="1"/>
  <c r="AG3920" i="1"/>
  <c r="AJ3919" i="1"/>
  <c r="AF3919" i="1" s="1"/>
  <c r="AJ3918" i="1"/>
  <c r="AF3918" i="1" s="1"/>
  <c r="W3918" i="1"/>
  <c r="AJ3917" i="1"/>
  <c r="AF3917" i="1" s="1"/>
  <c r="W3917" i="1"/>
  <c r="X3917" i="1" s="1"/>
  <c r="AL3916" i="1"/>
  <c r="AK3916" i="1"/>
  <c r="AJ3916" i="1"/>
  <c r="AF3916" i="1" s="1"/>
  <c r="X3916" i="1"/>
  <c r="AK3915" i="1"/>
  <c r="AJ3915" i="1"/>
  <c r="AF3915" i="1" s="1"/>
  <c r="AL3914" i="1"/>
  <c r="AK3914" i="1"/>
  <c r="AJ3914" i="1"/>
  <c r="AF3914" i="1" s="1"/>
  <c r="X3914" i="1"/>
  <c r="AL3913" i="1"/>
  <c r="AK3913" i="1"/>
  <c r="AJ3913" i="1"/>
  <c r="AF3913" i="1" s="1"/>
  <c r="X3913" i="1"/>
  <c r="AJ3912" i="1"/>
  <c r="AF3912" i="1" s="1"/>
  <c r="W3912" i="1"/>
  <c r="X3912" i="1" s="1"/>
  <c r="AJ3911" i="1"/>
  <c r="AF3911" i="1" s="1"/>
  <c r="W3911" i="1"/>
  <c r="AK3911" i="1" s="1"/>
  <c r="AL3910" i="1"/>
  <c r="AK3910" i="1"/>
  <c r="AJ3910" i="1"/>
  <c r="AF3910" i="1" s="1"/>
  <c r="X3910" i="1"/>
  <c r="AJ3909" i="1"/>
  <c r="AF3909" i="1" s="1"/>
  <c r="W3909" i="1"/>
  <c r="AJ3908" i="1"/>
  <c r="AF3908" i="1" s="1"/>
  <c r="W3908" i="1"/>
  <c r="AJ3907" i="1"/>
  <c r="AF3907" i="1" s="1"/>
  <c r="AL3906" i="1"/>
  <c r="AK3906" i="1"/>
  <c r="AJ3906" i="1"/>
  <c r="AF3906" i="1" s="1"/>
  <c r="X3906" i="1"/>
  <c r="AL3905" i="1"/>
  <c r="AK3905" i="1"/>
  <c r="AJ3905" i="1"/>
  <c r="AF3905" i="1" s="1"/>
  <c r="X3905" i="1"/>
  <c r="AJ3904" i="1"/>
  <c r="AF3904" i="1" s="1"/>
  <c r="AJ3903" i="1"/>
  <c r="AF3903" i="1" s="1"/>
  <c r="W3903" i="1"/>
  <c r="AL3903" i="1" s="1"/>
  <c r="AL3902" i="1"/>
  <c r="AK3902" i="1"/>
  <c r="AJ3902" i="1"/>
  <c r="AF3902" i="1" s="1"/>
  <c r="X3902" i="1"/>
  <c r="AL3901" i="1"/>
  <c r="AK3901" i="1"/>
  <c r="AJ3901" i="1"/>
  <c r="AF3901" i="1" s="1"/>
  <c r="X3901" i="1"/>
  <c r="AJ3900" i="1"/>
  <c r="AF3900" i="1" s="1"/>
  <c r="W3900" i="1"/>
  <c r="AJ3899" i="1"/>
  <c r="AF3899" i="1" s="1"/>
  <c r="W3899" i="1"/>
  <c r="X3899" i="1" s="1"/>
  <c r="AL3898" i="1"/>
  <c r="AK3898" i="1"/>
  <c r="AJ3898" i="1"/>
  <c r="AF3898" i="1" s="1"/>
  <c r="X3898" i="1"/>
  <c r="AL3897" i="1"/>
  <c r="AK3897" i="1"/>
  <c r="AJ3897" i="1"/>
  <c r="AF3897" i="1" s="1"/>
  <c r="X3897" i="1"/>
  <c r="AL3896" i="1"/>
  <c r="AK3896" i="1"/>
  <c r="AJ3896" i="1"/>
  <c r="AF3896" i="1" s="1"/>
  <c r="X3896" i="1"/>
  <c r="AL3895" i="1"/>
  <c r="AK3895" i="1"/>
  <c r="AJ3895" i="1"/>
  <c r="AF3895" i="1" s="1"/>
  <c r="X3895" i="1"/>
  <c r="AL3894" i="1"/>
  <c r="AK3894" i="1"/>
  <c r="AJ3894" i="1"/>
  <c r="AF3894" i="1" s="1"/>
  <c r="X3894" i="1"/>
  <c r="AL3893" i="1"/>
  <c r="AK3893" i="1"/>
  <c r="AJ3893" i="1"/>
  <c r="AF3893" i="1" s="1"/>
  <c r="X3893" i="1"/>
  <c r="AJ3892" i="1"/>
  <c r="AF3892" i="1" s="1"/>
  <c r="AJ3891" i="1"/>
  <c r="AF3891" i="1" s="1"/>
  <c r="AJ3890" i="1"/>
  <c r="AF3890" i="1" s="1"/>
  <c r="AL3889" i="1"/>
  <c r="AK3889" i="1"/>
  <c r="AJ3889" i="1"/>
  <c r="AF3889" i="1" s="1"/>
  <c r="X3889" i="1"/>
  <c r="AJ3888" i="1"/>
  <c r="AF3888" i="1" s="1"/>
  <c r="W3888" i="1"/>
  <c r="AJ3887" i="1"/>
  <c r="AF3887" i="1" s="1"/>
  <c r="W3887" i="1"/>
  <c r="AJ3886" i="1"/>
  <c r="AF3886" i="1" s="1"/>
  <c r="W3886" i="1"/>
  <c r="X3886" i="1" s="1"/>
  <c r="AL3885" i="1"/>
  <c r="AK3885" i="1"/>
  <c r="AJ3885" i="1"/>
  <c r="AF3885" i="1" s="1"/>
  <c r="X3885" i="1"/>
  <c r="AL3884" i="1"/>
  <c r="AK3884" i="1"/>
  <c r="AJ3884" i="1"/>
  <c r="AF3884" i="1" s="1"/>
  <c r="X3884" i="1"/>
  <c r="AJ3883" i="1"/>
  <c r="AF3883" i="1" s="1"/>
  <c r="W3883" i="1"/>
  <c r="AL3883" i="1" s="1"/>
  <c r="AJ3882" i="1"/>
  <c r="AF3882" i="1" s="1"/>
  <c r="W3882" i="1"/>
  <c r="X3882" i="1" s="1"/>
  <c r="AJ3881" i="1"/>
  <c r="AF3881" i="1" s="1"/>
  <c r="AJ3880" i="1"/>
  <c r="AF3880" i="1" s="1"/>
  <c r="AJ3879" i="1"/>
  <c r="AF3879" i="1" s="1"/>
  <c r="W3879" i="1"/>
  <c r="AL3879" i="1" s="1"/>
  <c r="AJ3878" i="1"/>
  <c r="AF3878" i="1" s="1"/>
  <c r="W3878" i="1"/>
  <c r="AJ3877" i="1"/>
  <c r="AF3877" i="1" s="1"/>
  <c r="AJ3876" i="1"/>
  <c r="AF3876" i="1" s="1"/>
  <c r="W3876" i="1"/>
  <c r="X3876" i="1" s="1"/>
  <c r="AJ3875" i="1"/>
  <c r="AF3875" i="1" s="1"/>
  <c r="W3875" i="1"/>
  <c r="AJ3874" i="1"/>
  <c r="AF3874" i="1" s="1"/>
  <c r="AJ3873" i="1"/>
  <c r="AF3873" i="1" s="1"/>
  <c r="W3873" i="1"/>
  <c r="AJ3872" i="1"/>
  <c r="AF3872" i="1" s="1"/>
  <c r="AJ3871" i="1"/>
  <c r="AF3871" i="1" s="1"/>
  <c r="AJ3870" i="1"/>
  <c r="AF3870" i="1" s="1"/>
  <c r="AJ3869" i="1"/>
  <c r="AF3869" i="1" s="1"/>
  <c r="AJ3868" i="1"/>
  <c r="AF3868" i="1" s="1"/>
  <c r="AJ3867" i="1"/>
  <c r="AF3867" i="1" s="1"/>
  <c r="AJ3866" i="1"/>
  <c r="AF3866" i="1" s="1"/>
  <c r="AJ3865" i="1"/>
  <c r="AF3865" i="1" s="1"/>
  <c r="AL3864" i="1"/>
  <c r="AK3864" i="1"/>
  <c r="AJ3864" i="1"/>
  <c r="AF3864" i="1" s="1"/>
  <c r="X3864" i="1"/>
  <c r="AL3863" i="1"/>
  <c r="AK3863" i="1"/>
  <c r="AJ3863" i="1"/>
  <c r="AF3863" i="1" s="1"/>
  <c r="X3863" i="1"/>
  <c r="AJ3862" i="1"/>
  <c r="AF3862" i="1" s="1"/>
  <c r="W3862" i="1"/>
  <c r="AL3861" i="1"/>
  <c r="AK3861" i="1"/>
  <c r="AJ3861" i="1"/>
  <c r="AF3861" i="1" s="1"/>
  <c r="X3861" i="1"/>
  <c r="AL3860" i="1"/>
  <c r="AK3860" i="1"/>
  <c r="AJ3860" i="1"/>
  <c r="AF3860" i="1" s="1"/>
  <c r="X3860" i="1"/>
  <c r="AL3859" i="1"/>
  <c r="AK3859" i="1"/>
  <c r="AJ3859" i="1"/>
  <c r="AF3859" i="1" s="1"/>
  <c r="X3859" i="1"/>
  <c r="AJ3858" i="1"/>
  <c r="AF3858" i="1" s="1"/>
  <c r="AJ3857" i="1"/>
  <c r="AF3857" i="1" s="1"/>
  <c r="W3857" i="1"/>
  <c r="AL3856" i="1"/>
  <c r="AK3856" i="1"/>
  <c r="AJ3856" i="1"/>
  <c r="AF3856" i="1" s="1"/>
  <c r="X3856" i="1"/>
  <c r="AJ3855" i="1"/>
  <c r="AF3855" i="1" s="1"/>
  <c r="W3855" i="1"/>
  <c r="AL3854" i="1"/>
  <c r="AK3854" i="1"/>
  <c r="AJ3854" i="1"/>
  <c r="AF3854" i="1" s="1"/>
  <c r="X3854" i="1"/>
  <c r="AL3853" i="1"/>
  <c r="AK3853" i="1"/>
  <c r="AJ3853" i="1"/>
  <c r="AF3853" i="1" s="1"/>
  <c r="X3853" i="1"/>
  <c r="AJ3852" i="1"/>
  <c r="AF3852" i="1" s="1"/>
  <c r="AJ3851" i="1"/>
  <c r="AF3851" i="1" s="1"/>
  <c r="AJ3850" i="1"/>
  <c r="AF3850" i="1" s="1"/>
  <c r="W3850" i="1"/>
  <c r="AJ3849" i="1"/>
  <c r="AF3849" i="1" s="1"/>
  <c r="W3849" i="1"/>
  <c r="AJ3848" i="1"/>
  <c r="AF3848" i="1" s="1"/>
  <c r="W3848" i="1"/>
  <c r="AJ3847" i="1"/>
  <c r="AF3847" i="1" s="1"/>
  <c r="W3847" i="1"/>
  <c r="AJ3846" i="1"/>
  <c r="AF3846" i="1" s="1"/>
  <c r="W3846" i="1"/>
  <c r="X3846" i="1" s="1"/>
  <c r="AJ3845" i="1"/>
  <c r="AF3845" i="1" s="1"/>
  <c r="W3845" i="1"/>
  <c r="AJ3844" i="1"/>
  <c r="AF3844" i="1" s="1"/>
  <c r="AL3843" i="1"/>
  <c r="AK3843" i="1"/>
  <c r="AJ3843" i="1"/>
  <c r="AF3843" i="1" s="1"/>
  <c r="X3843" i="1"/>
  <c r="AL3842" i="1"/>
  <c r="AK3842" i="1"/>
  <c r="AJ3842" i="1"/>
  <c r="AF3842" i="1" s="1"/>
  <c r="X3842" i="1"/>
  <c r="AL3841" i="1"/>
  <c r="AK3841" i="1"/>
  <c r="AJ3841" i="1"/>
  <c r="AF3841" i="1" s="1"/>
  <c r="X3841" i="1"/>
  <c r="AL3840" i="1"/>
  <c r="AK3840" i="1"/>
  <c r="AJ3840" i="1"/>
  <c r="AF3840" i="1" s="1"/>
  <c r="AL3839" i="1"/>
  <c r="AK3839" i="1"/>
  <c r="AJ3839" i="1"/>
  <c r="AF3839" i="1" s="1"/>
  <c r="X3839" i="1"/>
  <c r="AL3838" i="1"/>
  <c r="AK3838" i="1"/>
  <c r="AJ3838" i="1"/>
  <c r="AF3838" i="1" s="1"/>
  <c r="X3838" i="1"/>
  <c r="AL3837" i="1"/>
  <c r="AK3837" i="1"/>
  <c r="AJ3837" i="1"/>
  <c r="AF3837" i="1" s="1"/>
  <c r="X3837" i="1"/>
  <c r="AL3836" i="1"/>
  <c r="AK3836" i="1"/>
  <c r="AJ3836" i="1"/>
  <c r="AF3836" i="1" s="1"/>
  <c r="X3836" i="1"/>
  <c r="AL3835" i="1"/>
  <c r="AK3835" i="1"/>
  <c r="AJ3835" i="1"/>
  <c r="AF3835" i="1" s="1"/>
  <c r="X3835" i="1"/>
  <c r="AL3834" i="1"/>
  <c r="AK3834" i="1"/>
  <c r="AJ3834" i="1"/>
  <c r="AF3834" i="1" s="1"/>
  <c r="X3834" i="1"/>
  <c r="AL3833" i="1"/>
  <c r="AK3833" i="1"/>
  <c r="AJ3833" i="1"/>
  <c r="AF3833" i="1" s="1"/>
  <c r="X3833" i="1"/>
  <c r="AL3832" i="1"/>
  <c r="AK3832" i="1"/>
  <c r="AJ3832" i="1"/>
  <c r="AF3832" i="1" s="1"/>
  <c r="X3832" i="1"/>
  <c r="AL3831" i="1"/>
  <c r="AK3831" i="1"/>
  <c r="AJ3831" i="1"/>
  <c r="AF3831" i="1" s="1"/>
  <c r="X3831" i="1"/>
  <c r="AL3830" i="1"/>
  <c r="AK3830" i="1"/>
  <c r="AJ3830" i="1"/>
  <c r="AF3830" i="1" s="1"/>
  <c r="X3830" i="1"/>
  <c r="AL3829" i="1"/>
  <c r="AK3829" i="1"/>
  <c r="AJ3829" i="1"/>
  <c r="AF3829" i="1" s="1"/>
  <c r="X3829" i="1"/>
  <c r="AL3828" i="1"/>
  <c r="AK3828" i="1"/>
  <c r="AJ3828" i="1"/>
  <c r="AF3828" i="1" s="1"/>
  <c r="X3828" i="1"/>
  <c r="AJ3827" i="1"/>
  <c r="AF3827" i="1" s="1"/>
  <c r="AJ3826" i="1"/>
  <c r="AF3826" i="1" s="1"/>
  <c r="AL3825" i="1"/>
  <c r="AK3825" i="1"/>
  <c r="AJ3825" i="1"/>
  <c r="AF3825" i="1" s="1"/>
  <c r="X3825" i="1"/>
  <c r="AL3824" i="1"/>
  <c r="AK3824" i="1"/>
  <c r="AJ3824" i="1"/>
  <c r="AF3824" i="1" s="1"/>
  <c r="X3824" i="1"/>
  <c r="AL3823" i="1"/>
  <c r="AK3823" i="1"/>
  <c r="AJ3823" i="1"/>
  <c r="AF3823" i="1" s="1"/>
  <c r="X3823" i="1"/>
  <c r="AL3822" i="1"/>
  <c r="AK3822" i="1"/>
  <c r="AJ3822" i="1"/>
  <c r="AF3822" i="1" s="1"/>
  <c r="X3822" i="1"/>
  <c r="AL3821" i="1"/>
  <c r="AK3821" i="1"/>
  <c r="AJ3821" i="1"/>
  <c r="AF3821" i="1" s="1"/>
  <c r="X3821" i="1"/>
  <c r="AL3820" i="1"/>
  <c r="AK3820" i="1"/>
  <c r="AJ3820" i="1"/>
  <c r="AF3820" i="1" s="1"/>
  <c r="X3820" i="1"/>
  <c r="AL3819" i="1"/>
  <c r="AK3819" i="1"/>
  <c r="AJ3819" i="1"/>
  <c r="AF3819" i="1" s="1"/>
  <c r="X3819" i="1"/>
  <c r="AL3818" i="1"/>
  <c r="AK3818" i="1"/>
  <c r="AJ3818" i="1"/>
  <c r="AF3818" i="1" s="1"/>
  <c r="X3818" i="1"/>
  <c r="AJ3817" i="1"/>
  <c r="AF3817" i="1" s="1"/>
  <c r="AL3816" i="1"/>
  <c r="AK3816" i="1"/>
  <c r="AJ3816" i="1"/>
  <c r="AF3816" i="1" s="1"/>
  <c r="X3816" i="1"/>
  <c r="AL3815" i="1"/>
  <c r="AK3815" i="1"/>
  <c r="AJ3815" i="1"/>
  <c r="AF3815" i="1" s="1"/>
  <c r="X3815" i="1"/>
  <c r="AL3814" i="1"/>
  <c r="AK3814" i="1"/>
  <c r="AJ3814" i="1"/>
  <c r="AF3814" i="1" s="1"/>
  <c r="X3814" i="1"/>
  <c r="AL3813" i="1"/>
  <c r="AK3813" i="1"/>
  <c r="AJ3813" i="1"/>
  <c r="AF3813" i="1" s="1"/>
  <c r="X3813" i="1"/>
  <c r="AL3812" i="1"/>
  <c r="AK3812" i="1"/>
  <c r="AJ3812" i="1"/>
  <c r="AF3812" i="1" s="1"/>
  <c r="X3812" i="1"/>
  <c r="AL3811" i="1"/>
  <c r="AK3811" i="1"/>
  <c r="AJ3811" i="1"/>
  <c r="AF3811" i="1" s="1"/>
  <c r="X3811" i="1"/>
  <c r="AL3810" i="1"/>
  <c r="AK3810" i="1"/>
  <c r="AJ3810" i="1"/>
  <c r="AF3810" i="1" s="1"/>
  <c r="X3810" i="1"/>
  <c r="AJ3809" i="1"/>
  <c r="AF3809" i="1" s="1"/>
  <c r="AJ3808" i="1"/>
  <c r="AF3808" i="1" s="1"/>
  <c r="AJ3807" i="1"/>
  <c r="AF3807" i="1" s="1"/>
  <c r="AJ3806" i="1"/>
  <c r="AF3806" i="1" s="1"/>
  <c r="AJ3805" i="1"/>
  <c r="AF3805" i="1" s="1"/>
  <c r="AJ3804" i="1"/>
  <c r="AF3804" i="1" s="1"/>
  <c r="AJ3803" i="1"/>
  <c r="AF3803" i="1" s="1"/>
  <c r="AJ3802" i="1"/>
  <c r="AF3802" i="1" s="1"/>
  <c r="AJ3801" i="1"/>
  <c r="AF3801" i="1" s="1"/>
  <c r="AJ3800" i="1"/>
  <c r="AF3800" i="1" s="1"/>
  <c r="AJ3799" i="1"/>
  <c r="AF3799" i="1" s="1"/>
  <c r="AJ3798" i="1"/>
  <c r="AF3798" i="1" s="1"/>
  <c r="AK3797" i="1"/>
  <c r="AJ3797" i="1"/>
  <c r="AF3797" i="1" s="1"/>
  <c r="AG3797" i="1"/>
  <c r="AJ3796" i="1"/>
  <c r="AF3796" i="1" s="1"/>
  <c r="AJ3795" i="1"/>
  <c r="AF3795" i="1" s="1"/>
  <c r="AJ3794" i="1"/>
  <c r="AF3794" i="1" s="1"/>
  <c r="AJ3793" i="1"/>
  <c r="AF3793" i="1" s="1"/>
  <c r="AJ3792" i="1"/>
  <c r="AF3792" i="1" s="1"/>
  <c r="AJ3791" i="1"/>
  <c r="AF3791" i="1" s="1"/>
  <c r="AJ3790" i="1"/>
  <c r="AF3790" i="1" s="1"/>
  <c r="AJ3789" i="1"/>
  <c r="AF3789" i="1" s="1"/>
  <c r="AJ3788" i="1"/>
  <c r="AF3788" i="1" s="1"/>
  <c r="AJ3787" i="1"/>
  <c r="AF3787" i="1" s="1"/>
  <c r="AJ3786" i="1"/>
  <c r="AF3786" i="1" s="1"/>
  <c r="AL3785" i="1"/>
  <c r="AK3785" i="1"/>
  <c r="AJ3785" i="1"/>
  <c r="AF3785" i="1" s="1"/>
  <c r="AG3785" i="1"/>
  <c r="AL3784" i="1"/>
  <c r="AK3784" i="1"/>
  <c r="AJ3784" i="1"/>
  <c r="AF3784" i="1" s="1"/>
  <c r="X3784" i="1"/>
  <c r="AJ3783" i="1"/>
  <c r="AF3783" i="1" s="1"/>
  <c r="AJ3782" i="1"/>
  <c r="AF3782" i="1" s="1"/>
  <c r="AJ3781" i="1"/>
  <c r="AF3781" i="1" s="1"/>
  <c r="AJ3780" i="1"/>
  <c r="AF3780" i="1" s="1"/>
  <c r="AJ3779" i="1"/>
  <c r="AF3779" i="1" s="1"/>
  <c r="AJ3778" i="1"/>
  <c r="AF3778" i="1" s="1"/>
  <c r="AJ3777" i="1"/>
  <c r="AF3777" i="1" s="1"/>
  <c r="AJ3776" i="1"/>
  <c r="AF3776" i="1" s="1"/>
  <c r="AJ3775" i="1"/>
  <c r="AF3775" i="1" s="1"/>
  <c r="AJ3774" i="1"/>
  <c r="AF3774" i="1" s="1"/>
  <c r="AJ3773" i="1"/>
  <c r="AF3773" i="1" s="1"/>
  <c r="AJ3772" i="1"/>
  <c r="AF3772" i="1" s="1"/>
  <c r="AJ3771" i="1"/>
  <c r="AF3771" i="1" s="1"/>
  <c r="AJ3770" i="1"/>
  <c r="AF3770" i="1" s="1"/>
  <c r="AJ3769" i="1"/>
  <c r="AF3769" i="1" s="1"/>
  <c r="AJ3768" i="1"/>
  <c r="AF3768" i="1" s="1"/>
  <c r="AJ3767" i="1"/>
  <c r="AF3767" i="1" s="1"/>
  <c r="AJ3766" i="1"/>
  <c r="AF3766" i="1" s="1"/>
  <c r="AJ3765" i="1"/>
  <c r="AF3765" i="1" s="1"/>
  <c r="AJ3764" i="1"/>
  <c r="AF3764" i="1" s="1"/>
  <c r="AJ3763" i="1"/>
  <c r="AF3763" i="1" s="1"/>
  <c r="AJ3762" i="1"/>
  <c r="AF3762" i="1" s="1"/>
  <c r="AJ3761" i="1"/>
  <c r="AF3761" i="1" s="1"/>
  <c r="AJ3760" i="1"/>
  <c r="AF3760" i="1" s="1"/>
  <c r="AJ3759" i="1"/>
  <c r="AF3759" i="1" s="1"/>
  <c r="AJ3758" i="1"/>
  <c r="AF3758" i="1" s="1"/>
  <c r="W3758" i="1"/>
  <c r="AJ3757" i="1"/>
  <c r="AF3757" i="1" s="1"/>
  <c r="AJ3756" i="1"/>
  <c r="AF3756" i="1" s="1"/>
  <c r="AL3755" i="1"/>
  <c r="AK3755" i="1"/>
  <c r="AJ3755" i="1"/>
  <c r="AF3755" i="1" s="1"/>
  <c r="X3755" i="1"/>
  <c r="AJ3754" i="1"/>
  <c r="AF3754" i="1" s="1"/>
  <c r="AL3753" i="1"/>
  <c r="AK3753" i="1"/>
  <c r="AJ3753" i="1"/>
  <c r="AF3753" i="1" s="1"/>
  <c r="X3753" i="1"/>
  <c r="AL3752" i="1"/>
  <c r="AK3752" i="1"/>
  <c r="AJ3752" i="1"/>
  <c r="AF3752" i="1" s="1"/>
  <c r="X3752" i="1"/>
  <c r="AL3751" i="1"/>
  <c r="AK3751" i="1"/>
  <c r="AJ3751" i="1"/>
  <c r="AF3751" i="1" s="1"/>
  <c r="X3751" i="1"/>
  <c r="AJ3750" i="1"/>
  <c r="AF3750" i="1" s="1"/>
  <c r="AL3749" i="1"/>
  <c r="AK3749" i="1"/>
  <c r="AJ3749" i="1"/>
  <c r="AF3749" i="1" s="1"/>
  <c r="X3749" i="1"/>
  <c r="AJ3748" i="1"/>
  <c r="AF3748" i="1" s="1"/>
  <c r="W3748" i="1"/>
  <c r="AL3747" i="1"/>
  <c r="AK3747" i="1"/>
  <c r="AJ3747" i="1"/>
  <c r="AF3747" i="1" s="1"/>
  <c r="X3747" i="1"/>
  <c r="AL3746" i="1"/>
  <c r="AK3746" i="1"/>
  <c r="AJ3746" i="1"/>
  <c r="AF3746" i="1" s="1"/>
  <c r="X3746" i="1"/>
  <c r="AJ3745" i="1"/>
  <c r="AF3745" i="1" s="1"/>
  <c r="W3745" i="1"/>
  <c r="AL3744" i="1"/>
  <c r="AK3744" i="1"/>
  <c r="AJ3744" i="1"/>
  <c r="AF3744" i="1" s="1"/>
  <c r="X3744" i="1"/>
  <c r="AJ3743" i="1"/>
  <c r="AF3743" i="1" s="1"/>
  <c r="AL3742" i="1"/>
  <c r="AK3742" i="1"/>
  <c r="AJ3742" i="1"/>
  <c r="AF3742" i="1" s="1"/>
  <c r="X3742" i="1"/>
  <c r="AL3741" i="1"/>
  <c r="AK3741" i="1"/>
  <c r="AJ3741" i="1"/>
  <c r="AF3741" i="1" s="1"/>
  <c r="X3741" i="1"/>
  <c r="AJ3740" i="1"/>
  <c r="AF3740" i="1" s="1"/>
  <c r="AJ3739" i="1"/>
  <c r="AF3739" i="1" s="1"/>
  <c r="AL3738" i="1"/>
  <c r="AK3738" i="1"/>
  <c r="AJ3738" i="1"/>
  <c r="AF3738" i="1" s="1"/>
  <c r="X3738" i="1"/>
  <c r="AL3737" i="1"/>
  <c r="AK3737" i="1"/>
  <c r="AJ3737" i="1"/>
  <c r="AF3737" i="1" s="1"/>
  <c r="X3737" i="1"/>
  <c r="AL3736" i="1"/>
  <c r="AK3736" i="1"/>
  <c r="AJ3736" i="1"/>
  <c r="AF3736" i="1" s="1"/>
  <c r="X3736" i="1"/>
  <c r="AL3735" i="1"/>
  <c r="AK3735" i="1"/>
  <c r="AJ3735" i="1"/>
  <c r="AF3735" i="1" s="1"/>
  <c r="X3735" i="1"/>
  <c r="AL3734" i="1"/>
  <c r="AK3734" i="1"/>
  <c r="AJ3734" i="1"/>
  <c r="AF3734" i="1" s="1"/>
  <c r="X3734" i="1"/>
  <c r="AL3733" i="1"/>
  <c r="AK3733" i="1"/>
  <c r="AJ3733" i="1"/>
  <c r="AF3733" i="1" s="1"/>
  <c r="X3733" i="1"/>
  <c r="AL3732" i="1"/>
  <c r="AK3732" i="1"/>
  <c r="AJ3732" i="1"/>
  <c r="AF3732" i="1" s="1"/>
  <c r="X3732" i="1"/>
  <c r="AJ3731" i="1"/>
  <c r="AF3731" i="1" s="1"/>
  <c r="X3731" i="1"/>
  <c r="AL3730" i="1"/>
  <c r="AK3730" i="1"/>
  <c r="AJ3730" i="1"/>
  <c r="AF3730" i="1" s="1"/>
  <c r="X3730" i="1"/>
  <c r="AL3729" i="1"/>
  <c r="AK3729" i="1"/>
  <c r="AJ3729" i="1"/>
  <c r="AF3729" i="1" s="1"/>
  <c r="X3729" i="1"/>
  <c r="AL3728" i="1"/>
  <c r="AK3728" i="1"/>
  <c r="AJ3728" i="1"/>
  <c r="AF3728" i="1" s="1"/>
  <c r="X3728" i="1"/>
  <c r="AL3727" i="1"/>
  <c r="AK3727" i="1"/>
  <c r="AJ3727" i="1"/>
  <c r="AF3727" i="1" s="1"/>
  <c r="X3727" i="1"/>
  <c r="AL3726" i="1"/>
  <c r="AK3726" i="1"/>
  <c r="AJ3726" i="1"/>
  <c r="AF3726" i="1" s="1"/>
  <c r="X3726" i="1"/>
  <c r="AL3725" i="1"/>
  <c r="AK3725" i="1"/>
  <c r="AJ3725" i="1"/>
  <c r="AF3725" i="1" s="1"/>
  <c r="X3725" i="1"/>
  <c r="AL3724" i="1"/>
  <c r="AK3724" i="1"/>
  <c r="AJ3724" i="1"/>
  <c r="AF3724" i="1" s="1"/>
  <c r="X3724" i="1"/>
  <c r="AL3723" i="1"/>
  <c r="AK3723" i="1"/>
  <c r="AJ3723" i="1"/>
  <c r="AF3723" i="1" s="1"/>
  <c r="X3723" i="1"/>
  <c r="AL3722" i="1"/>
  <c r="AK3722" i="1"/>
  <c r="AJ3722" i="1"/>
  <c r="AF3722" i="1" s="1"/>
  <c r="X3722" i="1"/>
  <c r="AL3721" i="1"/>
  <c r="AK3721" i="1"/>
  <c r="AJ3721" i="1"/>
  <c r="AF3721" i="1" s="1"/>
  <c r="X3721" i="1"/>
  <c r="AL3720" i="1"/>
  <c r="AK3720" i="1"/>
  <c r="AJ3720" i="1"/>
  <c r="AF3720" i="1" s="1"/>
  <c r="X3720" i="1"/>
  <c r="AL3719" i="1"/>
  <c r="AK3719" i="1"/>
  <c r="AJ3719" i="1"/>
  <c r="AF3719" i="1" s="1"/>
  <c r="X3719" i="1"/>
  <c r="AL3718" i="1"/>
  <c r="AK3718" i="1"/>
  <c r="AJ3718" i="1"/>
  <c r="AF3718" i="1" s="1"/>
  <c r="X3718" i="1"/>
  <c r="AJ3717" i="1"/>
  <c r="AF3717" i="1" s="1"/>
  <c r="AL3716" i="1"/>
  <c r="AK3716" i="1"/>
  <c r="AJ3716" i="1"/>
  <c r="AF3716" i="1" s="1"/>
  <c r="X3716" i="1"/>
  <c r="AL3715" i="1"/>
  <c r="AK3715" i="1"/>
  <c r="AJ3715" i="1"/>
  <c r="AF3715" i="1" s="1"/>
  <c r="X3715" i="1"/>
  <c r="AJ3714" i="1"/>
  <c r="AF3714" i="1" s="1"/>
  <c r="W3714" i="1"/>
  <c r="AL3714" i="1" s="1"/>
  <c r="AJ3713" i="1"/>
  <c r="AF3713" i="1" s="1"/>
  <c r="W3713" i="1"/>
  <c r="AK3713" i="1" s="1"/>
  <c r="AJ3712" i="1"/>
  <c r="AF3712" i="1" s="1"/>
  <c r="W3712" i="1"/>
  <c r="AL3712" i="1" s="1"/>
  <c r="AJ3711" i="1"/>
  <c r="AF3711" i="1" s="1"/>
  <c r="W3711" i="1"/>
  <c r="AJ3710" i="1"/>
  <c r="AF3710" i="1" s="1"/>
  <c r="W3710" i="1"/>
  <c r="AL3710" i="1" s="1"/>
  <c r="AJ3709" i="1"/>
  <c r="AF3709" i="1" s="1"/>
  <c r="W3709" i="1"/>
  <c r="AJ3708" i="1"/>
  <c r="AF3708" i="1" s="1"/>
  <c r="W3708" i="1"/>
  <c r="AL3708" i="1" s="1"/>
  <c r="AJ3707" i="1"/>
  <c r="AF3707" i="1" s="1"/>
  <c r="W3707" i="1"/>
  <c r="AL3707" i="1" s="1"/>
  <c r="AJ3706" i="1"/>
  <c r="AF3706" i="1" s="1"/>
  <c r="W3706" i="1"/>
  <c r="AL3706" i="1" s="1"/>
  <c r="AJ3705" i="1"/>
  <c r="AF3705" i="1" s="1"/>
  <c r="AJ3704" i="1"/>
  <c r="AF3704" i="1" s="1"/>
  <c r="AJ3703" i="1"/>
  <c r="AF3703" i="1" s="1"/>
  <c r="AL3702" i="1"/>
  <c r="AK3702" i="1"/>
  <c r="AJ3702" i="1"/>
  <c r="AF3702" i="1" s="1"/>
  <c r="X3702" i="1"/>
  <c r="AJ3701" i="1"/>
  <c r="AF3701" i="1" s="1"/>
  <c r="W3701" i="1"/>
  <c r="AL3701" i="1" s="1"/>
  <c r="AJ3700" i="1"/>
  <c r="AF3700" i="1" s="1"/>
  <c r="AJ3699" i="1"/>
  <c r="AF3699" i="1" s="1"/>
  <c r="AJ3698" i="1"/>
  <c r="AF3698" i="1" s="1"/>
  <c r="W3698" i="1"/>
  <c r="AJ3697" i="1"/>
  <c r="AF3697" i="1" s="1"/>
  <c r="AJ3696" i="1"/>
  <c r="AF3696" i="1" s="1"/>
  <c r="AJ3695" i="1"/>
  <c r="AF3695" i="1" s="1"/>
  <c r="AJ3694" i="1"/>
  <c r="AF3694" i="1" s="1"/>
  <c r="AJ3693" i="1"/>
  <c r="AF3693" i="1" s="1"/>
  <c r="AJ3692" i="1"/>
  <c r="AF3692" i="1" s="1"/>
  <c r="W3692" i="1"/>
  <c r="AJ3691" i="1"/>
  <c r="AF3691" i="1" s="1"/>
  <c r="W3691" i="1"/>
  <c r="AJ3690" i="1"/>
  <c r="AF3690" i="1" s="1"/>
  <c r="W3690" i="1"/>
  <c r="AJ3689" i="1"/>
  <c r="AF3689" i="1" s="1"/>
  <c r="W3689" i="1"/>
  <c r="AL3689" i="1" s="1"/>
  <c r="AJ3688" i="1"/>
  <c r="AF3688" i="1" s="1"/>
  <c r="W3688" i="1"/>
  <c r="AJ3687" i="1"/>
  <c r="AF3687" i="1" s="1"/>
  <c r="W3687" i="1"/>
  <c r="AJ3686" i="1"/>
  <c r="AF3686" i="1" s="1"/>
  <c r="W3686" i="1"/>
  <c r="AK3686" i="1" s="1"/>
  <c r="AJ3685" i="1"/>
  <c r="AF3685" i="1" s="1"/>
  <c r="W3685" i="1"/>
  <c r="AJ3684" i="1"/>
  <c r="AF3684" i="1" s="1"/>
  <c r="W3684" i="1"/>
  <c r="AJ3683" i="1"/>
  <c r="AF3683" i="1" s="1"/>
  <c r="AJ3682" i="1"/>
  <c r="AF3682" i="1" s="1"/>
  <c r="AJ3681" i="1"/>
  <c r="AF3681" i="1" s="1"/>
  <c r="W3681" i="1"/>
  <c r="AJ3680" i="1"/>
  <c r="AF3680" i="1" s="1"/>
  <c r="W3680" i="1"/>
  <c r="AJ3679" i="1"/>
  <c r="AF3679" i="1" s="1"/>
  <c r="W3679" i="1"/>
  <c r="AJ3678" i="1"/>
  <c r="AF3678" i="1" s="1"/>
  <c r="W3678" i="1"/>
  <c r="AL3678" i="1" s="1"/>
  <c r="AJ3677" i="1"/>
  <c r="AF3677" i="1" s="1"/>
  <c r="W3677" i="1"/>
  <c r="AJ3676" i="1"/>
  <c r="AF3676" i="1" s="1"/>
  <c r="W3676" i="1"/>
  <c r="AJ3675" i="1"/>
  <c r="AF3675" i="1" s="1"/>
  <c r="AJ3674" i="1"/>
  <c r="AF3674" i="1" s="1"/>
  <c r="AJ3673" i="1"/>
  <c r="AF3673" i="1" s="1"/>
  <c r="AJ3672" i="1"/>
  <c r="AF3672" i="1" s="1"/>
  <c r="AJ3671" i="1"/>
  <c r="AF3671" i="1" s="1"/>
  <c r="AJ3670" i="1"/>
  <c r="AF3670" i="1" s="1"/>
  <c r="AJ3669" i="1"/>
  <c r="AF3669" i="1" s="1"/>
  <c r="AJ3668" i="1"/>
  <c r="AF3668" i="1" s="1"/>
  <c r="AJ3667" i="1"/>
  <c r="AF3667" i="1" s="1"/>
  <c r="AJ3666" i="1"/>
  <c r="AF3666" i="1" s="1"/>
  <c r="AL3665" i="1"/>
  <c r="AK3665" i="1"/>
  <c r="AJ3665" i="1"/>
  <c r="AF3665" i="1" s="1"/>
  <c r="X3665" i="1"/>
  <c r="AL3664" i="1"/>
  <c r="AK3664" i="1"/>
  <c r="AJ3664" i="1"/>
  <c r="AF3664" i="1" s="1"/>
  <c r="X3664" i="1"/>
  <c r="AJ3663" i="1"/>
  <c r="AF3663" i="1" s="1"/>
  <c r="W3663" i="1"/>
  <c r="AK3663" i="1" s="1"/>
  <c r="AL3662" i="1"/>
  <c r="AK3662" i="1"/>
  <c r="AJ3662" i="1"/>
  <c r="AF3662" i="1" s="1"/>
  <c r="X3662" i="1"/>
  <c r="AL3661" i="1"/>
  <c r="AK3661" i="1"/>
  <c r="AJ3661" i="1"/>
  <c r="AF3661" i="1" s="1"/>
  <c r="X3661" i="1"/>
  <c r="AJ3660" i="1"/>
  <c r="AF3660" i="1" s="1"/>
  <c r="AL3659" i="1"/>
  <c r="AK3659" i="1"/>
  <c r="AJ3659" i="1"/>
  <c r="AF3659" i="1" s="1"/>
  <c r="X3659" i="1"/>
  <c r="AJ3658" i="1"/>
  <c r="AF3658" i="1" s="1"/>
  <c r="W3658" i="1"/>
  <c r="AJ3657" i="1"/>
  <c r="AF3657" i="1" s="1"/>
  <c r="W3657" i="1"/>
  <c r="AJ3656" i="1"/>
  <c r="AF3656" i="1" s="1"/>
  <c r="W3656" i="1"/>
  <c r="AK3656" i="1" s="1"/>
  <c r="AL3655" i="1"/>
  <c r="AK3655" i="1"/>
  <c r="AJ3655" i="1"/>
  <c r="AF3655" i="1" s="1"/>
  <c r="X3655" i="1"/>
  <c r="AJ3654" i="1"/>
  <c r="AF3654" i="1" s="1"/>
  <c r="AL3653" i="1"/>
  <c r="AK3653" i="1"/>
  <c r="AJ3653" i="1"/>
  <c r="AF3653" i="1" s="1"/>
  <c r="X3653" i="1"/>
  <c r="AJ3652" i="1"/>
  <c r="AF3652" i="1" s="1"/>
  <c r="AJ3651" i="1"/>
  <c r="AF3651" i="1" s="1"/>
  <c r="AJ3650" i="1"/>
  <c r="AF3650" i="1" s="1"/>
  <c r="AJ3649" i="1"/>
  <c r="AF3649" i="1" s="1"/>
  <c r="W3649" i="1"/>
  <c r="AJ3648" i="1"/>
  <c r="AF3648" i="1" s="1"/>
  <c r="W3648" i="1"/>
  <c r="AJ3647" i="1"/>
  <c r="AF3647" i="1" s="1"/>
  <c r="W3647" i="1"/>
  <c r="X3647" i="1" s="1"/>
  <c r="AJ3646" i="1"/>
  <c r="AF3646" i="1" s="1"/>
  <c r="W3646" i="1"/>
  <c r="AJ3645" i="1"/>
  <c r="AF3645" i="1" s="1"/>
  <c r="W3645" i="1"/>
  <c r="AJ3644" i="1"/>
  <c r="AF3644" i="1" s="1"/>
  <c r="W3644" i="1"/>
  <c r="X3644" i="1" s="1"/>
  <c r="AL3643" i="1"/>
  <c r="AK3643" i="1"/>
  <c r="AJ3643" i="1"/>
  <c r="AF3643" i="1" s="1"/>
  <c r="X3643" i="1"/>
  <c r="AL3642" i="1"/>
  <c r="AK3642" i="1"/>
  <c r="AJ3642" i="1"/>
  <c r="AF3642" i="1" s="1"/>
  <c r="X3642" i="1"/>
  <c r="AJ3641" i="1"/>
  <c r="AF3641" i="1" s="1"/>
  <c r="AL3640" i="1"/>
  <c r="AK3640" i="1"/>
  <c r="AJ3640" i="1"/>
  <c r="AF3640" i="1" s="1"/>
  <c r="X3640" i="1"/>
  <c r="AL3639" i="1"/>
  <c r="AK3639" i="1"/>
  <c r="AJ3639" i="1"/>
  <c r="AF3639" i="1" s="1"/>
  <c r="X3639" i="1"/>
  <c r="AJ3638" i="1"/>
  <c r="AF3638" i="1" s="1"/>
  <c r="AJ3637" i="1"/>
  <c r="AF3637" i="1" s="1"/>
  <c r="AJ3636" i="1"/>
  <c r="AF3636" i="1" s="1"/>
  <c r="AL3635" i="1"/>
  <c r="AK3635" i="1"/>
  <c r="AJ3635" i="1"/>
  <c r="AF3635" i="1" s="1"/>
  <c r="X3635" i="1"/>
  <c r="AL3634" i="1"/>
  <c r="AK3634" i="1"/>
  <c r="AJ3634" i="1"/>
  <c r="AF3634" i="1" s="1"/>
  <c r="X3634" i="1"/>
  <c r="AL3633" i="1"/>
  <c r="AK3633" i="1"/>
  <c r="AJ3633" i="1"/>
  <c r="AF3633" i="1" s="1"/>
  <c r="X3633" i="1"/>
  <c r="AL3632" i="1"/>
  <c r="AK3632" i="1"/>
  <c r="AJ3632" i="1"/>
  <c r="AF3632" i="1" s="1"/>
  <c r="X3632" i="1"/>
  <c r="AL3631" i="1"/>
  <c r="AK3631" i="1"/>
  <c r="AJ3631" i="1"/>
  <c r="AF3631" i="1" s="1"/>
  <c r="X3631" i="1"/>
  <c r="AL3630" i="1"/>
  <c r="AK3630" i="1"/>
  <c r="AJ3630" i="1"/>
  <c r="AF3630" i="1" s="1"/>
  <c r="X3630" i="1"/>
  <c r="AL3629" i="1"/>
  <c r="AK3629" i="1"/>
  <c r="AJ3629" i="1"/>
  <c r="AF3629" i="1" s="1"/>
  <c r="X3629" i="1"/>
  <c r="AL3628" i="1"/>
  <c r="AK3628" i="1"/>
  <c r="AJ3628" i="1"/>
  <c r="AF3628" i="1" s="1"/>
  <c r="X3628" i="1"/>
  <c r="AL3627" i="1"/>
  <c r="AK3627" i="1"/>
  <c r="AJ3627" i="1"/>
  <c r="AF3627" i="1" s="1"/>
  <c r="X3627" i="1"/>
  <c r="AJ3626" i="1"/>
  <c r="AF3626" i="1" s="1"/>
  <c r="AK3625" i="1"/>
  <c r="AJ3625" i="1"/>
  <c r="AF3625" i="1" s="1"/>
  <c r="AJ3624" i="1"/>
  <c r="AF3624" i="1" s="1"/>
  <c r="W3624" i="1"/>
  <c r="X3624" i="1" s="1"/>
  <c r="AL3623" i="1"/>
  <c r="AK3623" i="1"/>
  <c r="AJ3623" i="1"/>
  <c r="AF3623" i="1" s="1"/>
  <c r="X3623" i="1"/>
  <c r="AL3622" i="1"/>
  <c r="AK3622" i="1"/>
  <c r="AJ3622" i="1"/>
  <c r="AF3622" i="1" s="1"/>
  <c r="X3622" i="1"/>
  <c r="AL3621" i="1"/>
  <c r="AK3621" i="1"/>
  <c r="AJ3621" i="1"/>
  <c r="AF3621" i="1" s="1"/>
  <c r="AG3621" i="1"/>
  <c r="X3621" i="1"/>
  <c r="AL3620" i="1"/>
  <c r="AK3620" i="1"/>
  <c r="AJ3620" i="1"/>
  <c r="AF3620" i="1" s="1"/>
  <c r="AG3620" i="1"/>
  <c r="X3620" i="1"/>
  <c r="AL3619" i="1"/>
  <c r="AK3619" i="1"/>
  <c r="AJ3619" i="1"/>
  <c r="AF3619" i="1" s="1"/>
  <c r="X3619" i="1"/>
  <c r="AL3618" i="1"/>
  <c r="AK3618" i="1"/>
  <c r="AJ3618" i="1"/>
  <c r="AF3618" i="1" s="1"/>
  <c r="AG3618" i="1"/>
  <c r="X3618" i="1"/>
  <c r="AJ3617" i="1"/>
  <c r="AF3617" i="1" s="1"/>
  <c r="AL3616" i="1"/>
  <c r="AK3616" i="1"/>
  <c r="AJ3616" i="1"/>
  <c r="AF3616" i="1" s="1"/>
  <c r="X3616" i="1"/>
  <c r="AL3615" i="1"/>
  <c r="AK3615" i="1"/>
  <c r="AJ3615" i="1"/>
  <c r="AF3615" i="1" s="1"/>
  <c r="X3615" i="1"/>
  <c r="AL3614" i="1"/>
  <c r="AK3614" i="1"/>
  <c r="AJ3614" i="1"/>
  <c r="AF3614" i="1" s="1"/>
  <c r="X3614" i="1"/>
  <c r="AL3613" i="1"/>
  <c r="AK3613" i="1"/>
  <c r="AJ3613" i="1"/>
  <c r="AF3613" i="1" s="1"/>
  <c r="X3613" i="1"/>
  <c r="AL3612" i="1"/>
  <c r="AK3612" i="1"/>
  <c r="AJ3612" i="1"/>
  <c r="AF3612" i="1" s="1"/>
  <c r="AL3611" i="1"/>
  <c r="AK3611" i="1"/>
  <c r="AJ3611" i="1"/>
  <c r="AF3611" i="1" s="1"/>
  <c r="X3611" i="1"/>
  <c r="AL3610" i="1"/>
  <c r="AK3610" i="1"/>
  <c r="AJ3610" i="1"/>
  <c r="AF3610" i="1" s="1"/>
  <c r="X3610" i="1"/>
  <c r="AL3609" i="1"/>
  <c r="AK3609" i="1"/>
  <c r="AJ3609" i="1"/>
  <c r="AF3609" i="1" s="1"/>
  <c r="AG3609" i="1"/>
  <c r="X3609" i="1"/>
  <c r="AL3608" i="1"/>
  <c r="AK3608" i="1"/>
  <c r="AJ3608" i="1"/>
  <c r="AF3608" i="1" s="1"/>
  <c r="X3608" i="1"/>
  <c r="AL3607" i="1"/>
  <c r="AK3607" i="1"/>
  <c r="AJ3607" i="1"/>
  <c r="AF3607" i="1" s="1"/>
  <c r="X3607" i="1"/>
  <c r="AL3606" i="1"/>
  <c r="AK3606" i="1"/>
  <c r="AJ3606" i="1"/>
  <c r="AF3606" i="1" s="1"/>
  <c r="X3606" i="1"/>
  <c r="AL3605" i="1"/>
  <c r="AK3605" i="1"/>
  <c r="AJ3605" i="1"/>
  <c r="AF3605" i="1" s="1"/>
  <c r="X3605" i="1"/>
  <c r="AL3604" i="1"/>
  <c r="AK3604" i="1"/>
  <c r="AJ3604" i="1"/>
  <c r="AF3604" i="1" s="1"/>
  <c r="X3604" i="1"/>
  <c r="AL3603" i="1"/>
  <c r="AK3603" i="1"/>
  <c r="AJ3603" i="1"/>
  <c r="AF3603" i="1" s="1"/>
  <c r="AG3603" i="1"/>
  <c r="X3603" i="1"/>
  <c r="AJ3602" i="1"/>
  <c r="AF3602" i="1" s="1"/>
  <c r="AL3601" i="1"/>
  <c r="AK3601" i="1"/>
  <c r="AJ3601" i="1"/>
  <c r="AF3601" i="1" s="1"/>
  <c r="AG3601" i="1"/>
  <c r="X3601" i="1"/>
  <c r="AL3600" i="1"/>
  <c r="AK3600" i="1"/>
  <c r="AJ3600" i="1"/>
  <c r="AF3600" i="1" s="1"/>
  <c r="X3600" i="1"/>
  <c r="AL3599" i="1"/>
  <c r="AK3599" i="1"/>
  <c r="AJ3599" i="1"/>
  <c r="AF3599" i="1" s="1"/>
  <c r="X3599" i="1"/>
  <c r="AL3598" i="1"/>
  <c r="AK3598" i="1"/>
  <c r="AJ3598" i="1"/>
  <c r="AF3598" i="1" s="1"/>
  <c r="X3598" i="1"/>
  <c r="AL3597" i="1"/>
  <c r="AK3597" i="1"/>
  <c r="AJ3597" i="1"/>
  <c r="AF3597" i="1" s="1"/>
  <c r="X3597" i="1"/>
  <c r="AL3596" i="1"/>
  <c r="AK3596" i="1"/>
  <c r="AJ3596" i="1"/>
  <c r="AF3596" i="1" s="1"/>
  <c r="X3596" i="1"/>
  <c r="AL3595" i="1"/>
  <c r="AK3595" i="1"/>
  <c r="AJ3595" i="1"/>
  <c r="AF3595" i="1" s="1"/>
  <c r="X3595" i="1"/>
  <c r="AL3594" i="1"/>
  <c r="AK3594" i="1"/>
  <c r="AJ3594" i="1"/>
  <c r="AF3594" i="1" s="1"/>
  <c r="X3594" i="1"/>
  <c r="AL3593" i="1"/>
  <c r="AK3593" i="1"/>
  <c r="AJ3593" i="1"/>
  <c r="AF3593" i="1" s="1"/>
  <c r="X3593" i="1"/>
  <c r="AL3592" i="1"/>
  <c r="AK3592" i="1"/>
  <c r="AJ3592" i="1"/>
  <c r="AF3592" i="1" s="1"/>
  <c r="X3592" i="1"/>
  <c r="AL3591" i="1"/>
  <c r="AK3591" i="1"/>
  <c r="AJ3591" i="1"/>
  <c r="AF3591" i="1" s="1"/>
  <c r="AG3591" i="1"/>
  <c r="X3591" i="1"/>
  <c r="AJ3590" i="1"/>
  <c r="AF3590" i="1" s="1"/>
  <c r="AJ3589" i="1"/>
  <c r="AF3589" i="1" s="1"/>
  <c r="AL3588" i="1"/>
  <c r="AK3588" i="1"/>
  <c r="AJ3588" i="1"/>
  <c r="AF3588" i="1" s="1"/>
  <c r="X3588" i="1"/>
  <c r="AJ3587" i="1"/>
  <c r="AF3587" i="1" s="1"/>
  <c r="AL3586" i="1"/>
  <c r="AK3586" i="1"/>
  <c r="AJ3586" i="1"/>
  <c r="AF3586" i="1" s="1"/>
  <c r="AG3586" i="1"/>
  <c r="X3586" i="1"/>
  <c r="AL3585" i="1"/>
  <c r="AK3585" i="1"/>
  <c r="AJ3585" i="1"/>
  <c r="AF3585" i="1" s="1"/>
  <c r="AG3585" i="1"/>
  <c r="X3585" i="1"/>
  <c r="AJ3584" i="1"/>
  <c r="AF3584" i="1" s="1"/>
  <c r="W3584" i="1"/>
  <c r="AJ3583" i="1"/>
  <c r="AF3583" i="1" s="1"/>
  <c r="W3583" i="1"/>
  <c r="AL3582" i="1"/>
  <c r="AK3582" i="1"/>
  <c r="AJ3582" i="1"/>
  <c r="AF3582" i="1" s="1"/>
  <c r="X3582" i="1"/>
  <c r="AJ3581" i="1"/>
  <c r="AF3581" i="1" s="1"/>
  <c r="W3581" i="1"/>
  <c r="AL3580" i="1"/>
  <c r="AK3580" i="1"/>
  <c r="AJ3580" i="1"/>
  <c r="AF3580" i="1" s="1"/>
  <c r="X3580" i="1"/>
  <c r="AL3579" i="1"/>
  <c r="AK3579" i="1"/>
  <c r="AJ3579" i="1"/>
  <c r="AF3579" i="1" s="1"/>
  <c r="X3579" i="1"/>
  <c r="AL3578" i="1"/>
  <c r="AK3578" i="1"/>
  <c r="AJ3578" i="1"/>
  <c r="AF3578" i="1" s="1"/>
  <c r="X3578" i="1"/>
  <c r="AL3577" i="1"/>
  <c r="AK3577" i="1"/>
  <c r="AJ3577" i="1"/>
  <c r="AF3577" i="1" s="1"/>
  <c r="X3577" i="1"/>
  <c r="AL3576" i="1"/>
  <c r="AK3576" i="1"/>
  <c r="AJ3576" i="1"/>
  <c r="AF3576" i="1" s="1"/>
  <c r="X3576" i="1"/>
  <c r="AL3575" i="1"/>
  <c r="AK3575" i="1"/>
  <c r="AJ3575" i="1"/>
  <c r="AF3575" i="1" s="1"/>
  <c r="X3575" i="1"/>
  <c r="AL3574" i="1"/>
  <c r="AK3574" i="1"/>
  <c r="AJ3574" i="1"/>
  <c r="AF3574" i="1" s="1"/>
  <c r="X3574" i="1"/>
  <c r="AL3573" i="1"/>
  <c r="AK3573" i="1"/>
  <c r="AJ3573" i="1"/>
  <c r="AF3573" i="1" s="1"/>
  <c r="X3573" i="1"/>
  <c r="AL3572" i="1"/>
  <c r="AK3572" i="1"/>
  <c r="AJ3572" i="1"/>
  <c r="AF3572" i="1" s="1"/>
  <c r="X3572" i="1"/>
  <c r="AL3571" i="1"/>
  <c r="AK3571" i="1"/>
  <c r="AJ3571" i="1"/>
  <c r="AF3571" i="1" s="1"/>
  <c r="X3571" i="1"/>
  <c r="AL3570" i="1"/>
  <c r="AK3570" i="1"/>
  <c r="AJ3570" i="1"/>
  <c r="AF3570" i="1" s="1"/>
  <c r="X3570" i="1"/>
  <c r="AL3569" i="1"/>
  <c r="AK3569" i="1"/>
  <c r="AJ3569" i="1"/>
  <c r="AF3569" i="1" s="1"/>
  <c r="X3569" i="1"/>
  <c r="AL3568" i="1"/>
  <c r="AK3568" i="1"/>
  <c r="AJ3568" i="1"/>
  <c r="AF3568" i="1" s="1"/>
  <c r="X3568" i="1"/>
  <c r="AL3567" i="1"/>
  <c r="AK3567" i="1"/>
  <c r="AJ3567" i="1"/>
  <c r="AF3567" i="1" s="1"/>
  <c r="X3567" i="1"/>
  <c r="AL3566" i="1"/>
  <c r="AK3566" i="1"/>
  <c r="AJ3566" i="1"/>
  <c r="AF3566" i="1" s="1"/>
  <c r="X3566" i="1"/>
  <c r="AL3565" i="1"/>
  <c r="AK3565" i="1"/>
  <c r="AJ3565" i="1"/>
  <c r="AF3565" i="1" s="1"/>
  <c r="X3565" i="1"/>
  <c r="AL3564" i="1"/>
  <c r="AK3564" i="1"/>
  <c r="AJ3564" i="1"/>
  <c r="AF3564" i="1" s="1"/>
  <c r="X3564" i="1"/>
  <c r="AL3563" i="1"/>
  <c r="AK3563" i="1"/>
  <c r="AJ3563" i="1"/>
  <c r="AF3563" i="1" s="1"/>
  <c r="X3563" i="1"/>
  <c r="AL3562" i="1"/>
  <c r="AK3562" i="1"/>
  <c r="AJ3562" i="1"/>
  <c r="AF3562" i="1" s="1"/>
  <c r="X3562" i="1"/>
  <c r="AL3561" i="1"/>
  <c r="AK3561" i="1"/>
  <c r="AJ3561" i="1"/>
  <c r="AF3561" i="1" s="1"/>
  <c r="X3561" i="1"/>
  <c r="AL3560" i="1"/>
  <c r="AK3560" i="1"/>
  <c r="AJ3560" i="1"/>
  <c r="AF3560" i="1" s="1"/>
  <c r="X3560" i="1"/>
  <c r="AL3559" i="1"/>
  <c r="AK3559" i="1"/>
  <c r="AJ3559" i="1"/>
  <c r="AF3559" i="1" s="1"/>
  <c r="X3559" i="1"/>
  <c r="AL3558" i="1"/>
  <c r="AK3558" i="1"/>
  <c r="AJ3558" i="1"/>
  <c r="AF3558" i="1" s="1"/>
  <c r="X3558" i="1"/>
  <c r="AL3557" i="1"/>
  <c r="AK3557" i="1"/>
  <c r="AJ3557" i="1"/>
  <c r="AF3557" i="1" s="1"/>
  <c r="X3557" i="1"/>
  <c r="AL3556" i="1"/>
  <c r="AK3556" i="1"/>
  <c r="AJ3556" i="1"/>
  <c r="AF3556" i="1" s="1"/>
  <c r="X3556" i="1"/>
  <c r="AL3555" i="1"/>
  <c r="AK3555" i="1"/>
  <c r="AJ3555" i="1"/>
  <c r="AF3555" i="1" s="1"/>
  <c r="X3555" i="1"/>
  <c r="AL3554" i="1"/>
  <c r="AK3554" i="1"/>
  <c r="AJ3554" i="1"/>
  <c r="AF3554" i="1" s="1"/>
  <c r="X3554" i="1"/>
  <c r="AL3553" i="1"/>
  <c r="AK3553" i="1"/>
  <c r="AJ3553" i="1"/>
  <c r="AF3553" i="1" s="1"/>
  <c r="X3553" i="1"/>
  <c r="AL3552" i="1"/>
  <c r="AK3552" i="1"/>
  <c r="AJ3552" i="1"/>
  <c r="AF3552" i="1" s="1"/>
  <c r="X3552" i="1"/>
  <c r="AL3551" i="1"/>
  <c r="AK3551" i="1"/>
  <c r="AJ3551" i="1"/>
  <c r="AF3551" i="1" s="1"/>
  <c r="X3551" i="1"/>
  <c r="AL3550" i="1"/>
  <c r="AK3550" i="1"/>
  <c r="AJ3550" i="1"/>
  <c r="AF3550" i="1" s="1"/>
  <c r="X3550" i="1"/>
  <c r="AL3549" i="1"/>
  <c r="AK3549" i="1"/>
  <c r="AJ3549" i="1"/>
  <c r="AF3549" i="1" s="1"/>
  <c r="X3549" i="1"/>
  <c r="AL3548" i="1"/>
  <c r="AK3548" i="1"/>
  <c r="AJ3548" i="1"/>
  <c r="AF3548" i="1" s="1"/>
  <c r="X3548" i="1"/>
  <c r="AJ3547" i="1"/>
  <c r="AF3547" i="1" s="1"/>
  <c r="AL3546" i="1"/>
  <c r="AK3546" i="1"/>
  <c r="AJ3546" i="1"/>
  <c r="AF3546" i="1" s="1"/>
  <c r="X3546" i="1"/>
  <c r="AL3545" i="1"/>
  <c r="AK3545" i="1"/>
  <c r="AJ3545" i="1"/>
  <c r="AF3545" i="1" s="1"/>
  <c r="X3545" i="1"/>
  <c r="AL3544" i="1"/>
  <c r="AK3544" i="1"/>
  <c r="AJ3544" i="1"/>
  <c r="AF3544" i="1" s="1"/>
  <c r="X3544" i="1"/>
  <c r="AL3543" i="1"/>
  <c r="AK3543" i="1"/>
  <c r="AJ3543" i="1"/>
  <c r="AF3543" i="1" s="1"/>
  <c r="X3543" i="1"/>
  <c r="AL3542" i="1"/>
  <c r="AK3542" i="1"/>
  <c r="AJ3542" i="1"/>
  <c r="AF3542" i="1" s="1"/>
  <c r="X3542" i="1"/>
  <c r="AL3541" i="1"/>
  <c r="AK3541" i="1"/>
  <c r="AJ3541" i="1"/>
  <c r="AF3541" i="1" s="1"/>
  <c r="X3541" i="1"/>
  <c r="AJ3540" i="1"/>
  <c r="AF3540" i="1" s="1"/>
  <c r="AJ3539" i="1"/>
  <c r="AF3539" i="1" s="1"/>
  <c r="AL3538" i="1"/>
  <c r="AK3538" i="1"/>
  <c r="AJ3538" i="1"/>
  <c r="AF3538" i="1" s="1"/>
  <c r="X3538" i="1"/>
  <c r="AL3537" i="1"/>
  <c r="AK3537" i="1"/>
  <c r="AJ3537" i="1"/>
  <c r="AF3537" i="1" s="1"/>
  <c r="X3537" i="1"/>
  <c r="AL3536" i="1"/>
  <c r="AK3536" i="1"/>
  <c r="AJ3536" i="1"/>
  <c r="AF3536" i="1" s="1"/>
  <c r="AL3535" i="1"/>
  <c r="AK3535" i="1"/>
  <c r="AJ3535" i="1"/>
  <c r="AF3535" i="1" s="1"/>
  <c r="X3535" i="1"/>
  <c r="AL3534" i="1"/>
  <c r="AK3534" i="1"/>
  <c r="AJ3534" i="1"/>
  <c r="AF3534" i="1" s="1"/>
  <c r="X3534" i="1"/>
  <c r="AL3533" i="1"/>
  <c r="AK3533" i="1"/>
  <c r="AJ3533" i="1"/>
  <c r="AF3533" i="1" s="1"/>
  <c r="X3533" i="1"/>
  <c r="AJ3532" i="1"/>
  <c r="AF3532" i="1" s="1"/>
  <c r="AJ3531" i="1"/>
  <c r="AF3531" i="1" s="1"/>
  <c r="AJ3530" i="1"/>
  <c r="AF3530" i="1" s="1"/>
  <c r="AJ3529" i="1"/>
  <c r="AF3529" i="1" s="1"/>
  <c r="AJ3528" i="1"/>
  <c r="AF3528" i="1" s="1"/>
  <c r="AJ3527" i="1"/>
  <c r="AF3527" i="1" s="1"/>
  <c r="AJ3526" i="1"/>
  <c r="AF3526" i="1" s="1"/>
  <c r="AJ3525" i="1"/>
  <c r="AF3525" i="1" s="1"/>
  <c r="AJ3524" i="1"/>
  <c r="AF3524" i="1" s="1"/>
  <c r="AJ3523" i="1"/>
  <c r="AF3523" i="1" s="1"/>
  <c r="AJ3522" i="1"/>
  <c r="AF3522" i="1" s="1"/>
  <c r="AJ3521" i="1"/>
  <c r="AF3521" i="1" s="1"/>
  <c r="AL3520" i="1"/>
  <c r="AK3520" i="1"/>
  <c r="AJ3520" i="1"/>
  <c r="AF3520" i="1" s="1"/>
  <c r="X3520" i="1"/>
  <c r="AJ3519" i="1"/>
  <c r="AF3519" i="1" s="1"/>
  <c r="AJ3518" i="1"/>
  <c r="AF3518" i="1" s="1"/>
  <c r="AJ3517" i="1"/>
  <c r="AF3517" i="1" s="1"/>
  <c r="AJ3516" i="1"/>
  <c r="AF3516" i="1" s="1"/>
  <c r="AJ3515" i="1"/>
  <c r="AF3515" i="1" s="1"/>
  <c r="AJ3514" i="1"/>
  <c r="AF3514" i="1" s="1"/>
  <c r="AJ3513" i="1"/>
  <c r="AF3513" i="1" s="1"/>
  <c r="AJ3512" i="1"/>
  <c r="AF3512" i="1" s="1"/>
  <c r="AJ3511" i="1"/>
  <c r="AF3511" i="1" s="1"/>
  <c r="AJ3510" i="1"/>
  <c r="AF3510" i="1" s="1"/>
  <c r="AJ3509" i="1"/>
  <c r="AF3509" i="1" s="1"/>
  <c r="AL3508" i="1"/>
  <c r="AK3508" i="1"/>
  <c r="AJ3508" i="1"/>
  <c r="AF3508" i="1" s="1"/>
  <c r="X3508" i="1"/>
  <c r="AJ3507" i="1"/>
  <c r="AF3507" i="1" s="1"/>
  <c r="AJ3506" i="1"/>
  <c r="AF3506" i="1" s="1"/>
  <c r="AJ3505" i="1"/>
  <c r="AF3505" i="1" s="1"/>
  <c r="AJ3504" i="1"/>
  <c r="AF3504" i="1" s="1"/>
  <c r="AJ3503" i="1"/>
  <c r="AF3503" i="1" s="1"/>
  <c r="AL3502" i="1"/>
  <c r="AK3502" i="1"/>
  <c r="AJ3502" i="1"/>
  <c r="AF3502" i="1" s="1"/>
  <c r="X3502" i="1"/>
  <c r="AJ3501" i="1"/>
  <c r="AF3501" i="1" s="1"/>
  <c r="AG3501" i="1"/>
  <c r="W3501" i="1"/>
  <c r="AL3501" i="1" s="1"/>
  <c r="AL3500" i="1"/>
  <c r="AK3500" i="1"/>
  <c r="AJ3500" i="1"/>
  <c r="AF3500" i="1" s="1"/>
  <c r="AG3500" i="1"/>
  <c r="X3500" i="1"/>
  <c r="AL3499" i="1"/>
  <c r="AK3499" i="1"/>
  <c r="AJ3499" i="1"/>
  <c r="AF3499" i="1" s="1"/>
  <c r="X3499" i="1"/>
  <c r="AL3498" i="1"/>
  <c r="AK3498" i="1"/>
  <c r="AJ3498" i="1"/>
  <c r="AF3498" i="1" s="1"/>
  <c r="X3498" i="1"/>
  <c r="AJ3497" i="1"/>
  <c r="AF3497" i="1" s="1"/>
  <c r="AL3496" i="1"/>
  <c r="AK3496" i="1"/>
  <c r="AJ3496" i="1"/>
  <c r="AF3496" i="1" s="1"/>
  <c r="X3496" i="1"/>
  <c r="AL3495" i="1"/>
  <c r="AK3495" i="1"/>
  <c r="AJ3495" i="1"/>
  <c r="AF3495" i="1" s="1"/>
  <c r="X3495" i="1"/>
  <c r="AL3494" i="1"/>
  <c r="AK3494" i="1"/>
  <c r="AJ3494" i="1"/>
  <c r="AF3494" i="1" s="1"/>
  <c r="X3494" i="1"/>
  <c r="AL3493" i="1"/>
  <c r="AK3493" i="1"/>
  <c r="AJ3493" i="1"/>
  <c r="AF3493" i="1" s="1"/>
  <c r="X3493" i="1"/>
  <c r="AL3492" i="1"/>
  <c r="AK3492" i="1"/>
  <c r="AJ3492" i="1"/>
  <c r="AF3492" i="1" s="1"/>
  <c r="X3492" i="1"/>
  <c r="AL3491" i="1"/>
  <c r="AK3491" i="1"/>
  <c r="AJ3491" i="1"/>
  <c r="AF3491" i="1" s="1"/>
  <c r="X3491" i="1"/>
  <c r="AL3490" i="1"/>
  <c r="AK3490" i="1"/>
  <c r="AJ3490" i="1"/>
  <c r="AF3490" i="1" s="1"/>
  <c r="X3490" i="1"/>
  <c r="AL3489" i="1"/>
  <c r="AK3489" i="1"/>
  <c r="AJ3489" i="1"/>
  <c r="AF3489" i="1" s="1"/>
  <c r="X3489" i="1"/>
  <c r="AL3488" i="1"/>
  <c r="AK3488" i="1"/>
  <c r="AJ3488" i="1"/>
  <c r="AF3488" i="1" s="1"/>
  <c r="X3488" i="1"/>
  <c r="AJ3487" i="1"/>
  <c r="AF3487" i="1" s="1"/>
  <c r="W3487" i="1"/>
  <c r="AL3487" i="1" s="1"/>
  <c r="AL3486" i="1"/>
  <c r="AK3486" i="1"/>
  <c r="AJ3486" i="1"/>
  <c r="AF3486" i="1" s="1"/>
  <c r="X3486" i="1"/>
  <c r="AL3485" i="1"/>
  <c r="AK3485" i="1"/>
  <c r="AJ3485" i="1"/>
  <c r="AF3485" i="1" s="1"/>
  <c r="X3485" i="1"/>
  <c r="AL3484" i="1"/>
  <c r="AK3484" i="1"/>
  <c r="AJ3484" i="1"/>
  <c r="AF3484" i="1" s="1"/>
  <c r="X3484" i="1"/>
  <c r="AL3483" i="1"/>
  <c r="AK3483" i="1"/>
  <c r="AJ3483" i="1"/>
  <c r="AF3483" i="1" s="1"/>
  <c r="AG3483" i="1"/>
  <c r="X3483" i="1"/>
  <c r="AL3482" i="1"/>
  <c r="AK3482" i="1"/>
  <c r="AJ3482" i="1"/>
  <c r="AF3482" i="1" s="1"/>
  <c r="AG3482" i="1"/>
  <c r="X3482" i="1"/>
  <c r="AJ3481" i="1"/>
  <c r="AF3481" i="1" s="1"/>
  <c r="AL3480" i="1"/>
  <c r="AK3480" i="1"/>
  <c r="AJ3480" i="1"/>
  <c r="AF3480" i="1" s="1"/>
  <c r="X3480" i="1"/>
  <c r="AJ3479" i="1"/>
  <c r="AF3479" i="1" s="1"/>
  <c r="AJ3478" i="1"/>
  <c r="AF3478" i="1" s="1"/>
  <c r="W3478" i="1"/>
  <c r="AJ3477" i="1"/>
  <c r="AF3477" i="1" s="1"/>
  <c r="W3477" i="1"/>
  <c r="AL3476" i="1"/>
  <c r="AK3476" i="1"/>
  <c r="AJ3476" i="1"/>
  <c r="AF3476" i="1" s="1"/>
  <c r="X3476" i="1"/>
  <c r="AL3475" i="1"/>
  <c r="AK3475" i="1"/>
  <c r="AJ3475" i="1"/>
  <c r="AF3475" i="1" s="1"/>
  <c r="X3475" i="1"/>
  <c r="AL3474" i="1"/>
  <c r="AK3474" i="1"/>
  <c r="AJ3474" i="1"/>
  <c r="AF3474" i="1" s="1"/>
  <c r="X3474" i="1"/>
  <c r="AL3473" i="1"/>
  <c r="AK3473" i="1"/>
  <c r="AJ3473" i="1"/>
  <c r="AF3473" i="1" s="1"/>
  <c r="X3473" i="1"/>
  <c r="AL3472" i="1"/>
  <c r="AK3472" i="1"/>
  <c r="AJ3472" i="1"/>
  <c r="AF3472" i="1" s="1"/>
  <c r="X3472" i="1"/>
  <c r="AL3471" i="1"/>
  <c r="AK3471" i="1"/>
  <c r="AJ3471" i="1"/>
  <c r="AF3471" i="1" s="1"/>
  <c r="X3471" i="1"/>
  <c r="AL3470" i="1"/>
  <c r="AK3470" i="1"/>
  <c r="AJ3470" i="1"/>
  <c r="AF3470" i="1" s="1"/>
  <c r="X3470" i="1"/>
  <c r="AL3469" i="1"/>
  <c r="AK3469" i="1"/>
  <c r="AJ3469" i="1"/>
  <c r="AF3469" i="1" s="1"/>
  <c r="X3469" i="1"/>
  <c r="AL3468" i="1"/>
  <c r="AK3468" i="1"/>
  <c r="AJ3468" i="1"/>
  <c r="AF3468" i="1" s="1"/>
  <c r="X3468" i="1"/>
  <c r="AL3467" i="1"/>
  <c r="AK3467" i="1"/>
  <c r="AJ3467" i="1"/>
  <c r="AF3467" i="1" s="1"/>
  <c r="X3467" i="1"/>
  <c r="AJ3466" i="1"/>
  <c r="AF3466" i="1" s="1"/>
  <c r="AJ3465" i="1"/>
  <c r="AF3465" i="1" s="1"/>
  <c r="AJ3464" i="1"/>
  <c r="AF3464" i="1" s="1"/>
  <c r="AJ3463" i="1"/>
  <c r="AF3463" i="1" s="1"/>
  <c r="AL3462" i="1"/>
  <c r="AK3462" i="1"/>
  <c r="AJ3462" i="1"/>
  <c r="AF3462" i="1" s="1"/>
  <c r="X3462" i="1"/>
  <c r="AL3461" i="1"/>
  <c r="AK3461" i="1"/>
  <c r="AJ3461" i="1"/>
  <c r="AF3461" i="1" s="1"/>
  <c r="X3461" i="1"/>
  <c r="AL3460" i="1"/>
  <c r="AK3460" i="1"/>
  <c r="AJ3460" i="1"/>
  <c r="AF3460" i="1" s="1"/>
  <c r="X3460" i="1"/>
  <c r="AJ3459" i="1"/>
  <c r="AF3459" i="1" s="1"/>
  <c r="AL3458" i="1"/>
  <c r="AK3458" i="1"/>
  <c r="AJ3458" i="1"/>
  <c r="AF3458" i="1" s="1"/>
  <c r="X3458" i="1"/>
  <c r="AL3457" i="1"/>
  <c r="AK3457" i="1"/>
  <c r="AJ3457" i="1"/>
  <c r="AF3457" i="1" s="1"/>
  <c r="X3457" i="1"/>
  <c r="AL3456" i="1"/>
  <c r="AK3456" i="1"/>
  <c r="AJ3456" i="1"/>
  <c r="AF3456" i="1" s="1"/>
  <c r="X3456" i="1"/>
  <c r="AL3455" i="1"/>
  <c r="AK3455" i="1"/>
  <c r="AJ3455" i="1"/>
  <c r="AF3455" i="1" s="1"/>
  <c r="X3455" i="1"/>
  <c r="AL3454" i="1"/>
  <c r="AK3454" i="1"/>
  <c r="AJ3454" i="1"/>
  <c r="AF3454" i="1" s="1"/>
  <c r="X3454" i="1"/>
  <c r="AL3453" i="1"/>
  <c r="AK3453" i="1"/>
  <c r="AJ3453" i="1"/>
  <c r="AF3453" i="1" s="1"/>
  <c r="X3453" i="1"/>
  <c r="AL3452" i="1"/>
  <c r="AK3452" i="1"/>
  <c r="AJ3452" i="1"/>
  <c r="AF3452" i="1" s="1"/>
  <c r="X3452" i="1"/>
  <c r="AL3451" i="1"/>
  <c r="AK3451" i="1"/>
  <c r="AJ3451" i="1"/>
  <c r="AF3451" i="1" s="1"/>
  <c r="X3451" i="1"/>
  <c r="AL3450" i="1"/>
  <c r="AK3450" i="1"/>
  <c r="AJ3450" i="1"/>
  <c r="AF3450" i="1" s="1"/>
  <c r="X3450" i="1"/>
  <c r="AL3449" i="1"/>
  <c r="AK3449" i="1"/>
  <c r="AJ3449" i="1"/>
  <c r="AF3449" i="1" s="1"/>
  <c r="X3449" i="1"/>
  <c r="AL3448" i="1"/>
  <c r="AK3448" i="1"/>
  <c r="AJ3448" i="1"/>
  <c r="AF3448" i="1" s="1"/>
  <c r="X3448" i="1"/>
  <c r="AL3447" i="1"/>
  <c r="AK3447" i="1"/>
  <c r="AJ3447" i="1"/>
  <c r="AF3447" i="1" s="1"/>
  <c r="X3447" i="1"/>
  <c r="AL3446" i="1"/>
  <c r="AK3446" i="1"/>
  <c r="AJ3446" i="1"/>
  <c r="AF3446" i="1" s="1"/>
  <c r="X3446" i="1"/>
  <c r="AL3445" i="1"/>
  <c r="AK3445" i="1"/>
  <c r="AJ3445" i="1"/>
  <c r="AF3445" i="1" s="1"/>
  <c r="X3445" i="1"/>
  <c r="AL3444" i="1"/>
  <c r="AK3444" i="1"/>
  <c r="AJ3444" i="1"/>
  <c r="AF3444" i="1" s="1"/>
  <c r="X3444" i="1"/>
  <c r="AJ3443" i="1"/>
  <c r="AF3443" i="1" s="1"/>
  <c r="W3443" i="1"/>
  <c r="AL3443" i="1" s="1"/>
  <c r="AJ3442" i="1"/>
  <c r="AF3442" i="1" s="1"/>
  <c r="W3442" i="1"/>
  <c r="AJ3441" i="1"/>
  <c r="AF3441" i="1" s="1"/>
  <c r="W3441" i="1"/>
  <c r="X3441" i="1" s="1"/>
  <c r="AJ3440" i="1"/>
  <c r="AF3440" i="1" s="1"/>
  <c r="W3440" i="1"/>
  <c r="AJ3439" i="1"/>
  <c r="AF3439" i="1" s="1"/>
  <c r="W3439" i="1"/>
  <c r="AK3439" i="1" s="1"/>
  <c r="AJ3438" i="1"/>
  <c r="AF3438" i="1" s="1"/>
  <c r="AJ3437" i="1"/>
  <c r="AF3437" i="1" s="1"/>
  <c r="AJ3436" i="1"/>
  <c r="AF3436" i="1" s="1"/>
  <c r="W3436" i="1"/>
  <c r="AJ3435" i="1"/>
  <c r="AF3435" i="1" s="1"/>
  <c r="W3435" i="1"/>
  <c r="AJ3434" i="1"/>
  <c r="AF3434" i="1" s="1"/>
  <c r="W3434" i="1"/>
  <c r="AJ3433" i="1"/>
  <c r="AF3433" i="1" s="1"/>
  <c r="W3433" i="1"/>
  <c r="AJ3432" i="1"/>
  <c r="AF3432" i="1" s="1"/>
  <c r="AJ3431" i="1"/>
  <c r="AF3431" i="1" s="1"/>
  <c r="AJ3430" i="1"/>
  <c r="AF3430" i="1" s="1"/>
  <c r="AJ3429" i="1"/>
  <c r="AF3429" i="1" s="1"/>
  <c r="AJ3428" i="1"/>
  <c r="AF3428" i="1" s="1"/>
  <c r="AJ3427" i="1"/>
  <c r="AF3427" i="1" s="1"/>
  <c r="W3427" i="1"/>
  <c r="X3427" i="1" s="1"/>
  <c r="AJ3426" i="1"/>
  <c r="AF3426" i="1" s="1"/>
  <c r="W3426" i="1"/>
  <c r="AJ3425" i="1"/>
  <c r="AF3425" i="1" s="1"/>
  <c r="W3425" i="1"/>
  <c r="X3425" i="1" s="1"/>
  <c r="AJ3424" i="1"/>
  <c r="AF3424" i="1" s="1"/>
  <c r="W3424" i="1"/>
  <c r="AL3424" i="1" s="1"/>
  <c r="AJ3423" i="1"/>
  <c r="AF3423" i="1" s="1"/>
  <c r="W3423" i="1"/>
  <c r="AL3423" i="1" s="1"/>
  <c r="AJ3422" i="1"/>
  <c r="AF3422" i="1" s="1"/>
  <c r="W3422" i="1"/>
  <c r="AJ3421" i="1"/>
  <c r="AF3421" i="1" s="1"/>
  <c r="W3421" i="1"/>
  <c r="AJ3420" i="1"/>
  <c r="AF3420" i="1" s="1"/>
  <c r="W3420" i="1"/>
  <c r="AJ3419" i="1"/>
  <c r="AF3419" i="1" s="1"/>
  <c r="W3419" i="1"/>
  <c r="AJ3418" i="1"/>
  <c r="AF3418" i="1" s="1"/>
  <c r="W3418" i="1"/>
  <c r="AJ3417" i="1"/>
  <c r="AF3417" i="1" s="1"/>
  <c r="W3417" i="1"/>
  <c r="AJ3416" i="1"/>
  <c r="AF3416" i="1" s="1"/>
  <c r="W3416" i="1"/>
  <c r="AJ3415" i="1"/>
  <c r="AF3415" i="1" s="1"/>
  <c r="W3415" i="1"/>
  <c r="X3415" i="1" s="1"/>
  <c r="AL3414" i="1"/>
  <c r="AK3414" i="1"/>
  <c r="AJ3414" i="1"/>
  <c r="AF3414" i="1" s="1"/>
  <c r="X3414" i="1"/>
  <c r="AL3413" i="1"/>
  <c r="AK3413" i="1"/>
  <c r="AJ3413" i="1"/>
  <c r="AF3413" i="1" s="1"/>
  <c r="X3413" i="1"/>
  <c r="AJ3412" i="1"/>
  <c r="AF3412" i="1" s="1"/>
  <c r="W3412" i="1"/>
  <c r="AJ3411" i="1"/>
  <c r="AF3411" i="1" s="1"/>
  <c r="W3411" i="1"/>
  <c r="AK3411" i="1" s="1"/>
  <c r="AJ3410" i="1"/>
  <c r="AF3410" i="1" s="1"/>
  <c r="W3410" i="1"/>
  <c r="AL3410" i="1" s="1"/>
  <c r="AJ3409" i="1"/>
  <c r="AF3409" i="1" s="1"/>
  <c r="W3409" i="1"/>
  <c r="AJ3408" i="1"/>
  <c r="AF3408" i="1" s="1"/>
  <c r="W3408" i="1"/>
  <c r="AJ3407" i="1"/>
  <c r="AF3407" i="1" s="1"/>
  <c r="W3407" i="1"/>
  <c r="AJ3406" i="1"/>
  <c r="AF3406" i="1" s="1"/>
  <c r="W3406" i="1"/>
  <c r="AK3406" i="1" s="1"/>
  <c r="AL3405" i="1"/>
  <c r="AK3405" i="1"/>
  <c r="AJ3405" i="1"/>
  <c r="AF3405" i="1" s="1"/>
  <c r="X3405" i="1"/>
  <c r="AJ3404" i="1"/>
  <c r="AF3404" i="1" s="1"/>
  <c r="W3404" i="1"/>
  <c r="AJ3403" i="1"/>
  <c r="AF3403" i="1" s="1"/>
  <c r="W3403" i="1"/>
  <c r="X3403" i="1" s="1"/>
  <c r="AJ3402" i="1"/>
  <c r="AF3402" i="1" s="1"/>
  <c r="W3402" i="1"/>
  <c r="AJ3401" i="1"/>
  <c r="AF3401" i="1" s="1"/>
  <c r="W3401" i="1"/>
  <c r="AJ3400" i="1"/>
  <c r="AF3400" i="1" s="1"/>
  <c r="W3400" i="1"/>
  <c r="AJ3399" i="1"/>
  <c r="AF3399" i="1" s="1"/>
  <c r="W3399" i="1"/>
  <c r="AL3399" i="1" s="1"/>
  <c r="AJ3398" i="1"/>
  <c r="AF3398" i="1" s="1"/>
  <c r="AJ3397" i="1"/>
  <c r="AF3397" i="1" s="1"/>
  <c r="AJ3396" i="1"/>
  <c r="AF3396" i="1" s="1"/>
  <c r="AJ3395" i="1"/>
  <c r="AF3395" i="1" s="1"/>
  <c r="AJ3394" i="1"/>
  <c r="AF3394" i="1" s="1"/>
  <c r="AJ3393" i="1"/>
  <c r="AF3393" i="1" s="1"/>
  <c r="AJ3392" i="1"/>
  <c r="AF3392" i="1" s="1"/>
  <c r="AJ3391" i="1"/>
  <c r="AF3391" i="1" s="1"/>
  <c r="AJ3390" i="1"/>
  <c r="AF3390" i="1" s="1"/>
  <c r="AJ3389" i="1"/>
  <c r="AF3389" i="1" s="1"/>
  <c r="AJ3388" i="1"/>
  <c r="AF3388" i="1" s="1"/>
  <c r="AJ3387" i="1"/>
  <c r="AF3387" i="1" s="1"/>
  <c r="AJ3386" i="1"/>
  <c r="AF3386" i="1" s="1"/>
  <c r="AJ3385" i="1"/>
  <c r="AF3385" i="1" s="1"/>
  <c r="AL3384" i="1"/>
  <c r="AK3384" i="1"/>
  <c r="AJ3384" i="1"/>
  <c r="AF3384" i="1" s="1"/>
  <c r="X3384" i="1"/>
  <c r="AJ3383" i="1"/>
  <c r="AF3383" i="1" s="1"/>
  <c r="W3383" i="1"/>
  <c r="AL3382" i="1"/>
  <c r="AK3382" i="1"/>
  <c r="AJ3382" i="1"/>
  <c r="AF3382" i="1" s="1"/>
  <c r="X3382" i="1"/>
  <c r="AL3381" i="1"/>
  <c r="AK3381" i="1"/>
  <c r="AJ3381" i="1"/>
  <c r="AF3381" i="1" s="1"/>
  <c r="X3381" i="1"/>
  <c r="AJ3380" i="1"/>
  <c r="AF3380" i="1" s="1"/>
  <c r="AJ3379" i="1"/>
  <c r="AF3379" i="1" s="1"/>
  <c r="AJ3378" i="1"/>
  <c r="AF3378" i="1" s="1"/>
  <c r="AL3377" i="1"/>
  <c r="AK3377" i="1"/>
  <c r="AJ3377" i="1"/>
  <c r="AF3377" i="1" s="1"/>
  <c r="X3377" i="1"/>
  <c r="AL3376" i="1"/>
  <c r="AK3376" i="1"/>
  <c r="AJ3376" i="1"/>
  <c r="AF3376" i="1" s="1"/>
  <c r="X3376" i="1"/>
  <c r="AJ3375" i="1"/>
  <c r="AF3375" i="1" s="1"/>
  <c r="AJ3374" i="1"/>
  <c r="AF3374" i="1" s="1"/>
  <c r="W3374" i="1"/>
  <c r="AJ3373" i="1"/>
  <c r="AF3373" i="1" s="1"/>
  <c r="W3373" i="1"/>
  <c r="X3373" i="1" s="1"/>
  <c r="AJ3372" i="1"/>
  <c r="AF3372" i="1" s="1"/>
  <c r="W3372" i="1"/>
  <c r="X3372" i="1" s="1"/>
  <c r="AJ3371" i="1"/>
  <c r="AF3371" i="1" s="1"/>
  <c r="W3371" i="1"/>
  <c r="AK3371" i="1" s="1"/>
  <c r="AJ3370" i="1"/>
  <c r="AF3370" i="1" s="1"/>
  <c r="W3370" i="1"/>
  <c r="AK3370" i="1" s="1"/>
  <c r="AJ3369" i="1"/>
  <c r="AF3369" i="1" s="1"/>
  <c r="W3369" i="1"/>
  <c r="AK3369" i="1" s="1"/>
  <c r="AJ3368" i="1"/>
  <c r="AF3368" i="1" s="1"/>
  <c r="W3368" i="1"/>
  <c r="AJ3367" i="1"/>
  <c r="AF3367" i="1" s="1"/>
  <c r="AJ3366" i="1"/>
  <c r="AF3366" i="1" s="1"/>
  <c r="AJ3365" i="1"/>
  <c r="AF3365" i="1" s="1"/>
  <c r="W3365" i="1"/>
  <c r="AJ3364" i="1"/>
  <c r="AF3364" i="1" s="1"/>
  <c r="W3364" i="1"/>
  <c r="AK3364" i="1" s="1"/>
  <c r="AJ3363" i="1"/>
  <c r="AF3363" i="1" s="1"/>
  <c r="W3363" i="1"/>
  <c r="AJ3362" i="1"/>
  <c r="AF3362" i="1" s="1"/>
  <c r="AJ3361" i="1"/>
  <c r="AF3361" i="1" s="1"/>
  <c r="W3361" i="1"/>
  <c r="AL3361" i="1" s="1"/>
  <c r="AJ3360" i="1"/>
  <c r="AF3360" i="1" s="1"/>
  <c r="W3360" i="1"/>
  <c r="AK3360" i="1" s="1"/>
  <c r="AJ3359" i="1"/>
  <c r="AF3359" i="1" s="1"/>
  <c r="W3359" i="1"/>
  <c r="AL3359" i="1" s="1"/>
  <c r="AJ3358" i="1"/>
  <c r="AF3358" i="1" s="1"/>
  <c r="W3358" i="1"/>
  <c r="AL3357" i="1"/>
  <c r="AK3357" i="1"/>
  <c r="AJ3357" i="1"/>
  <c r="AF3357" i="1" s="1"/>
  <c r="X3357" i="1"/>
  <c r="AJ3356" i="1"/>
  <c r="AF3356" i="1" s="1"/>
  <c r="AJ3355" i="1"/>
  <c r="AF3355" i="1" s="1"/>
  <c r="AJ3354" i="1"/>
  <c r="AF3354" i="1" s="1"/>
  <c r="AJ3353" i="1"/>
  <c r="AF3353" i="1" s="1"/>
  <c r="AJ3352" i="1"/>
  <c r="AF3352" i="1" s="1"/>
  <c r="AJ3351" i="1"/>
  <c r="AF3351" i="1" s="1"/>
  <c r="AJ3350" i="1"/>
  <c r="AF3350" i="1" s="1"/>
  <c r="AJ3349" i="1"/>
  <c r="AF3349" i="1" s="1"/>
  <c r="AL3348" i="1"/>
  <c r="AK3348" i="1"/>
  <c r="AJ3348" i="1"/>
  <c r="AF3348" i="1" s="1"/>
  <c r="X3348" i="1"/>
  <c r="AL3347" i="1"/>
  <c r="AK3347" i="1"/>
  <c r="AJ3347" i="1"/>
  <c r="AF3347" i="1" s="1"/>
  <c r="X3347" i="1"/>
  <c r="AJ3346" i="1"/>
  <c r="AF3346" i="1" s="1"/>
  <c r="AJ3345" i="1"/>
  <c r="AF3345" i="1" s="1"/>
  <c r="AL3344" i="1"/>
  <c r="AK3344" i="1"/>
  <c r="AJ3344" i="1"/>
  <c r="AF3344" i="1" s="1"/>
  <c r="X3344" i="1"/>
  <c r="AL3343" i="1"/>
  <c r="AK3343" i="1"/>
  <c r="AJ3343" i="1"/>
  <c r="AF3343" i="1" s="1"/>
  <c r="AL3342" i="1"/>
  <c r="AK3342" i="1"/>
  <c r="AJ3342" i="1"/>
  <c r="AF3342" i="1" s="1"/>
  <c r="X3342" i="1"/>
  <c r="AL3341" i="1"/>
  <c r="AK3341" i="1"/>
  <c r="AJ3341" i="1"/>
  <c r="AF3341" i="1" s="1"/>
  <c r="X3341" i="1"/>
  <c r="AL3340" i="1"/>
  <c r="AK3340" i="1"/>
  <c r="AJ3340" i="1"/>
  <c r="AF3340" i="1" s="1"/>
  <c r="AL3339" i="1"/>
  <c r="AK3339" i="1"/>
  <c r="AJ3339" i="1"/>
  <c r="AF3339" i="1" s="1"/>
  <c r="AL3338" i="1"/>
  <c r="AK3338" i="1"/>
  <c r="AJ3338" i="1"/>
  <c r="AF3338" i="1" s="1"/>
  <c r="X3338" i="1"/>
  <c r="AK3337" i="1"/>
  <c r="AJ3337" i="1"/>
  <c r="AF3337" i="1" s="1"/>
  <c r="AL3336" i="1"/>
  <c r="AK3336" i="1"/>
  <c r="AJ3336" i="1"/>
  <c r="AF3336" i="1" s="1"/>
  <c r="X3336" i="1"/>
  <c r="AL3335" i="1"/>
  <c r="AK3335" i="1"/>
  <c r="AJ3335" i="1"/>
  <c r="AF3335" i="1" s="1"/>
  <c r="AL3334" i="1"/>
  <c r="AK3334" i="1"/>
  <c r="AJ3334" i="1"/>
  <c r="AF3334" i="1" s="1"/>
  <c r="X3334" i="1"/>
  <c r="AL3333" i="1"/>
  <c r="AK3333" i="1"/>
  <c r="AJ3333" i="1"/>
  <c r="AF3333" i="1" s="1"/>
  <c r="X3333" i="1"/>
  <c r="AL3332" i="1"/>
  <c r="AK3332" i="1"/>
  <c r="AJ3332" i="1"/>
  <c r="AF3332" i="1" s="1"/>
  <c r="X3332" i="1"/>
  <c r="AL3331" i="1"/>
  <c r="AK3331" i="1"/>
  <c r="AJ3331" i="1"/>
  <c r="AF3331" i="1" s="1"/>
  <c r="X3331" i="1"/>
  <c r="AL3330" i="1"/>
  <c r="AK3330" i="1"/>
  <c r="AJ3330" i="1"/>
  <c r="AF3330" i="1" s="1"/>
  <c r="X3330" i="1"/>
  <c r="AK3329" i="1"/>
  <c r="AJ3329" i="1"/>
  <c r="AF3329" i="1" s="1"/>
  <c r="AL3328" i="1"/>
  <c r="AK3328" i="1"/>
  <c r="AJ3328" i="1"/>
  <c r="AF3328" i="1" s="1"/>
  <c r="X3328" i="1"/>
  <c r="AL3327" i="1"/>
  <c r="AK3327" i="1"/>
  <c r="AJ3327" i="1"/>
  <c r="AF3327" i="1" s="1"/>
  <c r="AL3326" i="1"/>
  <c r="AK3326" i="1"/>
  <c r="AJ3326" i="1"/>
  <c r="AF3326" i="1" s="1"/>
  <c r="X3326" i="1"/>
  <c r="AL3325" i="1"/>
  <c r="AK3325" i="1"/>
  <c r="AJ3325" i="1"/>
  <c r="AF3325" i="1" s="1"/>
  <c r="AL3324" i="1"/>
  <c r="AK3324" i="1"/>
  <c r="AJ3324" i="1"/>
  <c r="AF3324" i="1" s="1"/>
  <c r="X3324" i="1"/>
  <c r="AL3323" i="1"/>
  <c r="AK3323" i="1"/>
  <c r="AJ3323" i="1"/>
  <c r="AF3323" i="1" s="1"/>
  <c r="AL3322" i="1"/>
  <c r="AK3322" i="1"/>
  <c r="AJ3322" i="1"/>
  <c r="AF3322" i="1" s="1"/>
  <c r="X3322" i="1"/>
  <c r="AL3321" i="1"/>
  <c r="AK3321" i="1"/>
  <c r="AJ3321" i="1"/>
  <c r="AF3321" i="1" s="1"/>
  <c r="X3321" i="1"/>
  <c r="AL3320" i="1"/>
  <c r="AK3320" i="1"/>
  <c r="AJ3320" i="1"/>
  <c r="AF3320" i="1" s="1"/>
  <c r="X3320" i="1"/>
  <c r="AL3319" i="1"/>
  <c r="AK3319" i="1"/>
  <c r="AJ3319" i="1"/>
  <c r="AF3319" i="1" s="1"/>
  <c r="X3319" i="1"/>
  <c r="AL3318" i="1"/>
  <c r="AK3318" i="1"/>
  <c r="AJ3318" i="1"/>
  <c r="AF3318" i="1" s="1"/>
  <c r="X3318" i="1"/>
  <c r="AL3317" i="1"/>
  <c r="AK3317" i="1"/>
  <c r="AJ3317" i="1"/>
  <c r="AF3317" i="1" s="1"/>
  <c r="X3317" i="1"/>
  <c r="AL3316" i="1"/>
  <c r="AK3316" i="1"/>
  <c r="AJ3316" i="1"/>
  <c r="AF3316" i="1" s="1"/>
  <c r="X3316" i="1"/>
  <c r="AL3315" i="1"/>
  <c r="AK3315" i="1"/>
  <c r="AJ3315" i="1"/>
  <c r="AF3315" i="1" s="1"/>
  <c r="X3315" i="1"/>
  <c r="AL3314" i="1"/>
  <c r="AK3314" i="1"/>
  <c r="AJ3314" i="1"/>
  <c r="AF3314" i="1" s="1"/>
  <c r="X3314" i="1"/>
  <c r="AL3313" i="1"/>
  <c r="AK3313" i="1"/>
  <c r="AJ3313" i="1"/>
  <c r="AF3313" i="1" s="1"/>
  <c r="X3313" i="1"/>
  <c r="AL3312" i="1"/>
  <c r="AK3312" i="1"/>
  <c r="AJ3312" i="1"/>
  <c r="AF3312" i="1" s="1"/>
  <c r="X3312" i="1"/>
  <c r="AL3311" i="1"/>
  <c r="AK3311" i="1"/>
  <c r="AJ3311" i="1"/>
  <c r="AF3311" i="1" s="1"/>
  <c r="X3311" i="1"/>
  <c r="AL3310" i="1"/>
  <c r="AK3310" i="1"/>
  <c r="AJ3310" i="1"/>
  <c r="AF3310" i="1" s="1"/>
  <c r="X3310" i="1"/>
  <c r="AL3309" i="1"/>
  <c r="AK3309" i="1"/>
  <c r="AJ3309" i="1"/>
  <c r="AF3309" i="1" s="1"/>
  <c r="X3309" i="1"/>
  <c r="AJ3308" i="1"/>
  <c r="AF3308" i="1" s="1"/>
  <c r="AL3307" i="1"/>
  <c r="AK3307" i="1"/>
  <c r="AJ3307" i="1"/>
  <c r="AF3307" i="1" s="1"/>
  <c r="AG3307" i="1"/>
  <c r="X3307" i="1"/>
  <c r="AL3306" i="1"/>
  <c r="AK3306" i="1"/>
  <c r="AJ3306" i="1"/>
  <c r="AF3306" i="1" s="1"/>
  <c r="X3306" i="1"/>
  <c r="AJ3305" i="1"/>
  <c r="AF3305" i="1" s="1"/>
  <c r="AG3305" i="1"/>
  <c r="W3305" i="1"/>
  <c r="AL3305" i="1" s="1"/>
  <c r="AJ3304" i="1"/>
  <c r="AF3304" i="1" s="1"/>
  <c r="W3304" i="1"/>
  <c r="AK3304" i="1" s="1"/>
  <c r="AJ3303" i="1"/>
  <c r="AF3303" i="1" s="1"/>
  <c r="W3303" i="1"/>
  <c r="X3303" i="1" s="1"/>
  <c r="AJ3302" i="1"/>
  <c r="AF3302" i="1" s="1"/>
  <c r="W3302" i="1"/>
  <c r="AL3301" i="1"/>
  <c r="AK3301" i="1"/>
  <c r="AJ3301" i="1"/>
  <c r="AF3301" i="1" s="1"/>
  <c r="X3301" i="1"/>
  <c r="AL3300" i="1"/>
  <c r="AK3300" i="1"/>
  <c r="AJ3300" i="1"/>
  <c r="AF3300" i="1" s="1"/>
  <c r="X3300" i="1"/>
  <c r="AL3299" i="1"/>
  <c r="AK3299" i="1"/>
  <c r="AJ3299" i="1"/>
  <c r="AF3299" i="1" s="1"/>
  <c r="X3299" i="1"/>
  <c r="AL3298" i="1"/>
  <c r="AK3298" i="1"/>
  <c r="AJ3298" i="1"/>
  <c r="AF3298" i="1" s="1"/>
  <c r="X3298" i="1"/>
  <c r="AL3297" i="1"/>
  <c r="AK3297" i="1"/>
  <c r="AJ3297" i="1"/>
  <c r="AF3297" i="1" s="1"/>
  <c r="X3297" i="1"/>
  <c r="AL3296" i="1"/>
  <c r="AK3296" i="1"/>
  <c r="AJ3296" i="1"/>
  <c r="AF3296" i="1" s="1"/>
  <c r="X3296" i="1"/>
  <c r="AL3295" i="1"/>
  <c r="AK3295" i="1"/>
  <c r="AJ3295" i="1"/>
  <c r="AF3295" i="1" s="1"/>
  <c r="X3295" i="1"/>
  <c r="AL3294" i="1"/>
  <c r="AK3294" i="1"/>
  <c r="AJ3294" i="1"/>
  <c r="AF3294" i="1" s="1"/>
  <c r="X3294" i="1"/>
  <c r="AL3293" i="1"/>
  <c r="AK3293" i="1"/>
  <c r="AJ3293" i="1"/>
  <c r="AF3293" i="1" s="1"/>
  <c r="X3293" i="1"/>
  <c r="AL3292" i="1"/>
  <c r="AK3292" i="1"/>
  <c r="AJ3292" i="1"/>
  <c r="AF3292" i="1" s="1"/>
  <c r="X3292" i="1"/>
  <c r="AL3291" i="1"/>
  <c r="AK3291" i="1"/>
  <c r="AJ3291" i="1"/>
  <c r="AF3291" i="1" s="1"/>
  <c r="X3291" i="1"/>
  <c r="AL3290" i="1"/>
  <c r="AK3290" i="1"/>
  <c r="AJ3290" i="1"/>
  <c r="AF3290" i="1" s="1"/>
  <c r="X3290" i="1"/>
  <c r="AL3289" i="1"/>
  <c r="AK3289" i="1"/>
  <c r="AJ3289" i="1"/>
  <c r="AF3289" i="1" s="1"/>
  <c r="X3289" i="1"/>
  <c r="AL3288" i="1"/>
  <c r="AK3288" i="1"/>
  <c r="AJ3288" i="1"/>
  <c r="AF3288" i="1" s="1"/>
  <c r="X3288" i="1"/>
  <c r="AL3287" i="1"/>
  <c r="AK3287" i="1"/>
  <c r="AJ3287" i="1"/>
  <c r="AF3287" i="1" s="1"/>
  <c r="X3287" i="1"/>
  <c r="AL3286" i="1"/>
  <c r="AK3286" i="1"/>
  <c r="AJ3286" i="1"/>
  <c r="AF3286" i="1" s="1"/>
  <c r="X3286" i="1"/>
  <c r="AL3285" i="1"/>
  <c r="AK3285" i="1"/>
  <c r="AJ3285" i="1"/>
  <c r="AF3285" i="1" s="1"/>
  <c r="X3285" i="1"/>
  <c r="AL3284" i="1"/>
  <c r="AK3284" i="1"/>
  <c r="AJ3284" i="1"/>
  <c r="AF3284" i="1" s="1"/>
  <c r="X3284" i="1"/>
  <c r="AL3283" i="1"/>
  <c r="AK3283" i="1"/>
  <c r="AJ3283" i="1"/>
  <c r="AF3283" i="1" s="1"/>
  <c r="X3283" i="1"/>
  <c r="AJ3282" i="1"/>
  <c r="AF3282" i="1" s="1"/>
  <c r="W3282" i="1"/>
  <c r="AL3281" i="1"/>
  <c r="AK3281" i="1"/>
  <c r="AJ3281" i="1"/>
  <c r="AF3281" i="1" s="1"/>
  <c r="X3281" i="1"/>
  <c r="AJ3280" i="1"/>
  <c r="AF3280" i="1" s="1"/>
  <c r="X3280" i="1"/>
  <c r="AL3279" i="1"/>
  <c r="AK3279" i="1"/>
  <c r="AJ3279" i="1"/>
  <c r="AF3279" i="1" s="1"/>
  <c r="X3279" i="1"/>
  <c r="AL3278" i="1"/>
  <c r="AK3278" i="1"/>
  <c r="AJ3278" i="1"/>
  <c r="AF3278" i="1" s="1"/>
  <c r="X3278" i="1"/>
  <c r="AL3277" i="1"/>
  <c r="AK3277" i="1"/>
  <c r="AJ3277" i="1"/>
  <c r="AF3277" i="1" s="1"/>
  <c r="X3277" i="1"/>
  <c r="AJ3276" i="1"/>
  <c r="AF3276" i="1" s="1"/>
  <c r="AL3275" i="1"/>
  <c r="AK3275" i="1"/>
  <c r="AJ3275" i="1"/>
  <c r="AF3275" i="1" s="1"/>
  <c r="X3275" i="1"/>
  <c r="AL3274" i="1"/>
  <c r="AK3274" i="1"/>
  <c r="AJ3274" i="1"/>
  <c r="AF3274" i="1" s="1"/>
  <c r="X3274" i="1"/>
  <c r="AL3273" i="1"/>
  <c r="AK3273" i="1"/>
  <c r="AJ3273" i="1"/>
  <c r="AF3273" i="1" s="1"/>
  <c r="X3273" i="1"/>
  <c r="AL3272" i="1"/>
  <c r="AK3272" i="1"/>
  <c r="AJ3272" i="1"/>
  <c r="AF3272" i="1" s="1"/>
  <c r="X3272" i="1"/>
  <c r="AL3271" i="1"/>
  <c r="AK3271" i="1"/>
  <c r="AJ3271" i="1"/>
  <c r="AF3271" i="1" s="1"/>
  <c r="X3271" i="1"/>
  <c r="AL3270" i="1"/>
  <c r="AK3270" i="1"/>
  <c r="AJ3270" i="1"/>
  <c r="AF3270" i="1" s="1"/>
  <c r="X3270" i="1"/>
  <c r="AL3269" i="1"/>
  <c r="AK3269" i="1"/>
  <c r="AJ3269" i="1"/>
  <c r="AF3269" i="1" s="1"/>
  <c r="X3269" i="1"/>
  <c r="AJ3268" i="1"/>
  <c r="AF3268" i="1" s="1"/>
  <c r="X3268" i="1"/>
  <c r="AJ3267" i="1"/>
  <c r="AF3267" i="1" s="1"/>
  <c r="AJ3266" i="1"/>
  <c r="AF3266" i="1" s="1"/>
  <c r="AJ3265" i="1"/>
  <c r="AF3265" i="1" s="1"/>
  <c r="AJ3264" i="1"/>
  <c r="AF3264" i="1" s="1"/>
  <c r="AJ3263" i="1"/>
  <c r="AF3263" i="1" s="1"/>
  <c r="AJ3262" i="1"/>
  <c r="AF3262" i="1" s="1"/>
  <c r="AJ3261" i="1"/>
  <c r="AF3261" i="1" s="1"/>
  <c r="AJ3260" i="1"/>
  <c r="AF3260" i="1" s="1"/>
  <c r="AJ3259" i="1"/>
  <c r="AF3259" i="1" s="1"/>
  <c r="AJ3258" i="1"/>
  <c r="AF3258" i="1" s="1"/>
  <c r="AJ3257" i="1"/>
  <c r="AF3257" i="1" s="1"/>
  <c r="AJ3256" i="1"/>
  <c r="AF3256" i="1" s="1"/>
  <c r="AJ3255" i="1"/>
  <c r="AF3255" i="1" s="1"/>
  <c r="AJ3254" i="1"/>
  <c r="AF3254" i="1" s="1"/>
  <c r="AJ3253" i="1"/>
  <c r="AF3253" i="1" s="1"/>
  <c r="AJ3252" i="1"/>
  <c r="AF3252" i="1" s="1"/>
  <c r="AJ3251" i="1"/>
  <c r="AF3251" i="1" s="1"/>
  <c r="AJ3250" i="1"/>
  <c r="AF3250" i="1" s="1"/>
  <c r="AJ3249" i="1"/>
  <c r="AF3249" i="1" s="1"/>
  <c r="AJ3248" i="1"/>
  <c r="AF3248" i="1" s="1"/>
  <c r="AJ3247" i="1"/>
  <c r="AF3247" i="1" s="1"/>
  <c r="AJ3246" i="1"/>
  <c r="AF3246" i="1" s="1"/>
  <c r="AJ3245" i="1"/>
  <c r="AF3245" i="1" s="1"/>
  <c r="AJ3244" i="1"/>
  <c r="AF3244" i="1" s="1"/>
  <c r="AJ3243" i="1"/>
  <c r="AF3243" i="1" s="1"/>
  <c r="AJ3242" i="1"/>
  <c r="AF3242" i="1" s="1"/>
  <c r="AJ3241" i="1"/>
  <c r="AF3241" i="1" s="1"/>
  <c r="AJ3240" i="1"/>
  <c r="AF3240" i="1" s="1"/>
  <c r="AJ3239" i="1"/>
  <c r="AF3239" i="1" s="1"/>
  <c r="AJ3238" i="1"/>
  <c r="AF3238" i="1" s="1"/>
  <c r="AJ3237" i="1"/>
  <c r="AF3237" i="1" s="1"/>
  <c r="AJ3236" i="1"/>
  <c r="AF3236" i="1" s="1"/>
  <c r="AL3235" i="1"/>
  <c r="AK3235" i="1"/>
  <c r="AJ3235" i="1"/>
  <c r="AF3235" i="1" s="1"/>
  <c r="X3235" i="1"/>
  <c r="AL3234" i="1"/>
  <c r="AK3234" i="1"/>
  <c r="AJ3234" i="1"/>
  <c r="AF3234" i="1" s="1"/>
  <c r="X3234" i="1"/>
  <c r="AL3233" i="1"/>
  <c r="AK3233" i="1"/>
  <c r="AJ3233" i="1"/>
  <c r="AF3233" i="1" s="1"/>
  <c r="X3233" i="1"/>
  <c r="AL3232" i="1"/>
  <c r="AK3232" i="1"/>
  <c r="AJ3232" i="1"/>
  <c r="AF3232" i="1" s="1"/>
  <c r="X3232" i="1"/>
  <c r="AL3231" i="1"/>
  <c r="AK3231" i="1"/>
  <c r="AJ3231" i="1"/>
  <c r="AF3231" i="1" s="1"/>
  <c r="X3231" i="1"/>
  <c r="AL3230" i="1"/>
  <c r="AK3230" i="1"/>
  <c r="AJ3230" i="1"/>
  <c r="AF3230" i="1" s="1"/>
  <c r="AG3230" i="1"/>
  <c r="X3230" i="1"/>
  <c r="AL3229" i="1"/>
  <c r="AK3229" i="1"/>
  <c r="AJ3229" i="1"/>
  <c r="AF3229" i="1" s="1"/>
  <c r="AG3229" i="1"/>
  <c r="X3229" i="1"/>
  <c r="AL3228" i="1"/>
  <c r="AK3228" i="1"/>
  <c r="AJ3228" i="1"/>
  <c r="AF3228" i="1" s="1"/>
  <c r="X3228" i="1"/>
  <c r="AL3227" i="1"/>
  <c r="AK3227" i="1"/>
  <c r="AJ3227" i="1"/>
  <c r="AF3227" i="1" s="1"/>
  <c r="X3227" i="1"/>
  <c r="AL3226" i="1"/>
  <c r="AK3226" i="1"/>
  <c r="AJ3226" i="1"/>
  <c r="AF3226" i="1" s="1"/>
  <c r="X3226" i="1"/>
  <c r="AL3225" i="1"/>
  <c r="AK3225" i="1"/>
  <c r="AJ3225" i="1"/>
  <c r="AF3225" i="1" s="1"/>
  <c r="X3225" i="1"/>
  <c r="AL3224" i="1"/>
  <c r="AK3224" i="1"/>
  <c r="AJ3224" i="1"/>
  <c r="AF3224" i="1" s="1"/>
  <c r="X3224" i="1"/>
  <c r="AL3223" i="1"/>
  <c r="AK3223" i="1"/>
  <c r="AJ3223" i="1"/>
  <c r="AF3223" i="1" s="1"/>
  <c r="X3223" i="1"/>
  <c r="AL3222" i="1"/>
  <c r="AK3222" i="1"/>
  <c r="AJ3222" i="1"/>
  <c r="AF3222" i="1" s="1"/>
  <c r="X3222" i="1"/>
  <c r="AL3221" i="1"/>
  <c r="AK3221" i="1"/>
  <c r="AJ3221" i="1"/>
  <c r="AF3221" i="1" s="1"/>
  <c r="X3221" i="1"/>
  <c r="AL3220" i="1"/>
  <c r="AK3220" i="1"/>
  <c r="AJ3220" i="1"/>
  <c r="AF3220" i="1" s="1"/>
  <c r="X3220" i="1"/>
  <c r="AL3219" i="1"/>
  <c r="AK3219" i="1"/>
  <c r="AJ3219" i="1"/>
  <c r="AF3219" i="1" s="1"/>
  <c r="X3219" i="1"/>
  <c r="AJ3218" i="1"/>
  <c r="AF3218" i="1" s="1"/>
  <c r="AJ3217" i="1"/>
  <c r="AF3217" i="1" s="1"/>
  <c r="W3217" i="1"/>
  <c r="AJ3216" i="1"/>
  <c r="AF3216" i="1" s="1"/>
  <c r="W3216" i="1"/>
  <c r="AJ3215" i="1"/>
  <c r="AF3215" i="1" s="1"/>
  <c r="AG3215" i="1"/>
  <c r="AL3214" i="1"/>
  <c r="AK3214" i="1"/>
  <c r="AJ3214" i="1"/>
  <c r="AF3214" i="1" s="1"/>
  <c r="X3214" i="1"/>
  <c r="AL3213" i="1"/>
  <c r="AK3213" i="1"/>
  <c r="AJ3213" i="1"/>
  <c r="AF3213" i="1" s="1"/>
  <c r="X3213" i="1"/>
  <c r="AJ3212" i="1"/>
  <c r="AF3212" i="1" s="1"/>
  <c r="AL3211" i="1"/>
  <c r="AK3211" i="1"/>
  <c r="AJ3211" i="1"/>
  <c r="AF3211" i="1" s="1"/>
  <c r="X3211" i="1"/>
  <c r="AL3210" i="1"/>
  <c r="AK3210" i="1"/>
  <c r="AJ3210" i="1"/>
  <c r="AF3210" i="1" s="1"/>
  <c r="X3210" i="1"/>
  <c r="AJ3209" i="1"/>
  <c r="AF3209" i="1" s="1"/>
  <c r="W3209" i="1"/>
  <c r="X3209" i="1" s="1"/>
  <c r="AL3208" i="1"/>
  <c r="AK3208" i="1"/>
  <c r="AJ3208" i="1"/>
  <c r="AF3208" i="1" s="1"/>
  <c r="X3208" i="1"/>
  <c r="AL3207" i="1"/>
  <c r="AK3207" i="1"/>
  <c r="AJ3207" i="1"/>
  <c r="AF3207" i="1" s="1"/>
  <c r="AG3207" i="1"/>
  <c r="X3207" i="1"/>
  <c r="AL3206" i="1"/>
  <c r="AK3206" i="1"/>
  <c r="AJ3206" i="1"/>
  <c r="AF3206" i="1" s="1"/>
  <c r="X3206" i="1"/>
  <c r="AL3205" i="1"/>
  <c r="AK3205" i="1"/>
  <c r="AJ3205" i="1"/>
  <c r="AF3205" i="1" s="1"/>
  <c r="X3205" i="1"/>
  <c r="AL3204" i="1"/>
  <c r="AK3204" i="1"/>
  <c r="AJ3204" i="1"/>
  <c r="AF3204" i="1" s="1"/>
  <c r="X3204" i="1"/>
  <c r="AL3203" i="1"/>
  <c r="AK3203" i="1"/>
  <c r="AJ3203" i="1"/>
  <c r="AF3203" i="1" s="1"/>
  <c r="X3203" i="1"/>
  <c r="AL3202" i="1"/>
  <c r="AK3202" i="1"/>
  <c r="AJ3202" i="1"/>
  <c r="AF3202" i="1" s="1"/>
  <c r="X3202" i="1"/>
  <c r="AL3201" i="1"/>
  <c r="AK3201" i="1"/>
  <c r="AJ3201" i="1"/>
  <c r="AF3201" i="1" s="1"/>
  <c r="X3201" i="1"/>
  <c r="AL3200" i="1"/>
  <c r="AK3200" i="1"/>
  <c r="AJ3200" i="1"/>
  <c r="AF3200" i="1" s="1"/>
  <c r="X3200" i="1"/>
  <c r="AL3199" i="1"/>
  <c r="AK3199" i="1"/>
  <c r="AJ3199" i="1"/>
  <c r="AF3199" i="1" s="1"/>
  <c r="X3199" i="1"/>
  <c r="AL3198" i="1"/>
  <c r="AK3198" i="1"/>
  <c r="AJ3198" i="1"/>
  <c r="AF3198" i="1" s="1"/>
  <c r="X3198" i="1"/>
  <c r="AL3197" i="1"/>
  <c r="AK3197" i="1"/>
  <c r="AJ3197" i="1"/>
  <c r="AF3197" i="1" s="1"/>
  <c r="X3197" i="1"/>
  <c r="AL3196" i="1"/>
  <c r="AK3196" i="1"/>
  <c r="AJ3196" i="1"/>
  <c r="AF3196" i="1" s="1"/>
  <c r="X3196" i="1"/>
  <c r="AL3195" i="1"/>
  <c r="AK3195" i="1"/>
  <c r="AJ3195" i="1"/>
  <c r="AF3195" i="1" s="1"/>
  <c r="X3195" i="1"/>
  <c r="AL3194" i="1"/>
  <c r="AK3194" i="1"/>
  <c r="AJ3194" i="1"/>
  <c r="AF3194" i="1" s="1"/>
  <c r="X3194" i="1"/>
  <c r="AL3193" i="1"/>
  <c r="AK3193" i="1"/>
  <c r="AJ3193" i="1"/>
  <c r="AF3193" i="1" s="1"/>
  <c r="X3193" i="1"/>
  <c r="AL3192" i="1"/>
  <c r="AK3192" i="1"/>
  <c r="AJ3192" i="1"/>
  <c r="AF3192" i="1" s="1"/>
  <c r="X3192" i="1"/>
  <c r="AL3191" i="1"/>
  <c r="AK3191" i="1"/>
  <c r="AJ3191" i="1"/>
  <c r="AF3191" i="1" s="1"/>
  <c r="X3191" i="1"/>
  <c r="AJ3190" i="1"/>
  <c r="AF3190" i="1" s="1"/>
  <c r="W3190" i="1"/>
  <c r="AJ3189" i="1"/>
  <c r="AF3189" i="1" s="1"/>
  <c r="AG3189" i="1"/>
  <c r="W3189" i="1"/>
  <c r="AJ3188" i="1"/>
  <c r="AF3188" i="1" s="1"/>
  <c r="W3188" i="1"/>
  <c r="AL3188" i="1" s="1"/>
  <c r="AJ3187" i="1"/>
  <c r="AF3187" i="1" s="1"/>
  <c r="W3187" i="1"/>
  <c r="AK3187" i="1" s="1"/>
  <c r="AJ3186" i="1"/>
  <c r="AF3186" i="1" s="1"/>
  <c r="W3186" i="1"/>
  <c r="AL3186" i="1" s="1"/>
  <c r="AJ3185" i="1"/>
  <c r="AF3185" i="1" s="1"/>
  <c r="W3185" i="1"/>
  <c r="AK3185" i="1" s="1"/>
  <c r="AJ3184" i="1"/>
  <c r="AF3184" i="1" s="1"/>
  <c r="W3184" i="1"/>
  <c r="X3184" i="1" s="1"/>
  <c r="AJ3183" i="1"/>
  <c r="AF3183" i="1" s="1"/>
  <c r="W3183" i="1"/>
  <c r="X3183" i="1" s="1"/>
  <c r="AJ3182" i="1"/>
  <c r="AF3182" i="1" s="1"/>
  <c r="W3182" i="1"/>
  <c r="AL3181" i="1"/>
  <c r="AK3181" i="1"/>
  <c r="AJ3181" i="1"/>
  <c r="AF3181" i="1" s="1"/>
  <c r="X3181" i="1"/>
  <c r="AJ3180" i="1"/>
  <c r="AF3180" i="1" s="1"/>
  <c r="W3180" i="1"/>
  <c r="AJ3179" i="1"/>
  <c r="AF3179" i="1" s="1"/>
  <c r="W3179" i="1"/>
  <c r="AK3179" i="1" s="1"/>
  <c r="AJ3178" i="1"/>
  <c r="AF3178" i="1" s="1"/>
  <c r="W3178" i="1"/>
  <c r="AJ3177" i="1"/>
  <c r="AF3177" i="1" s="1"/>
  <c r="W3177" i="1"/>
  <c r="AJ3176" i="1"/>
  <c r="AF3176" i="1" s="1"/>
  <c r="AJ3175" i="1"/>
  <c r="AF3175" i="1" s="1"/>
  <c r="AJ3174" i="1"/>
  <c r="AF3174" i="1" s="1"/>
  <c r="W3174" i="1"/>
  <c r="AL3174" i="1" s="1"/>
  <c r="AJ3173" i="1"/>
  <c r="AF3173" i="1" s="1"/>
  <c r="W3173" i="1"/>
  <c r="AJ3172" i="1"/>
  <c r="AF3172" i="1" s="1"/>
  <c r="W3172" i="1"/>
  <c r="AJ3171" i="1"/>
  <c r="AF3171" i="1" s="1"/>
  <c r="W3171" i="1"/>
  <c r="X3171" i="1" s="1"/>
  <c r="AJ3170" i="1"/>
  <c r="AF3170" i="1" s="1"/>
  <c r="AL3170" i="1"/>
  <c r="AJ3169" i="1"/>
  <c r="AF3169" i="1" s="1"/>
  <c r="W3169" i="1"/>
  <c r="AJ3168" i="1"/>
  <c r="AF3168" i="1" s="1"/>
  <c r="W3168" i="1"/>
  <c r="AJ3167" i="1"/>
  <c r="AF3167" i="1" s="1"/>
  <c r="W3167" i="1"/>
  <c r="AJ3166" i="1"/>
  <c r="AF3166" i="1" s="1"/>
  <c r="W3166" i="1"/>
  <c r="X3166" i="1" s="1"/>
  <c r="AJ3165" i="1"/>
  <c r="AF3165" i="1" s="1"/>
  <c r="W3165" i="1"/>
  <c r="X3165" i="1" s="1"/>
  <c r="AJ3164" i="1"/>
  <c r="AF3164" i="1" s="1"/>
  <c r="W3164" i="1"/>
  <c r="AJ3163" i="1"/>
  <c r="AF3163" i="1" s="1"/>
  <c r="W3163" i="1"/>
  <c r="AJ3162" i="1"/>
  <c r="AF3162" i="1" s="1"/>
  <c r="W3162" i="1"/>
  <c r="X3162" i="1" s="1"/>
  <c r="AJ3161" i="1"/>
  <c r="AF3161" i="1" s="1"/>
  <c r="W3161" i="1"/>
  <c r="AJ3160" i="1"/>
  <c r="AF3160" i="1" s="1"/>
  <c r="AJ3159" i="1"/>
  <c r="AF3159" i="1" s="1"/>
  <c r="AJ3158" i="1"/>
  <c r="AF3158" i="1" s="1"/>
  <c r="AJ3157" i="1"/>
  <c r="AF3157" i="1" s="1"/>
  <c r="AJ3156" i="1"/>
  <c r="AF3156" i="1" s="1"/>
  <c r="AJ3155" i="1"/>
  <c r="AF3155" i="1" s="1"/>
  <c r="AJ3154" i="1"/>
  <c r="AF3154" i="1" s="1"/>
  <c r="AL3153" i="1"/>
  <c r="AK3153" i="1"/>
  <c r="AJ3153" i="1"/>
  <c r="AF3153" i="1" s="1"/>
  <c r="X3153" i="1"/>
  <c r="AJ3152" i="1"/>
  <c r="AF3152" i="1" s="1"/>
  <c r="AJ3151" i="1"/>
  <c r="AF3151" i="1" s="1"/>
  <c r="AJ3150" i="1"/>
  <c r="AF3150" i="1" s="1"/>
  <c r="W3150" i="1"/>
  <c r="X3150" i="1" s="1"/>
  <c r="AJ3149" i="1"/>
  <c r="AF3149" i="1" s="1"/>
  <c r="AL3148" i="1"/>
  <c r="AK3148" i="1"/>
  <c r="AJ3148" i="1"/>
  <c r="AF3148" i="1" s="1"/>
  <c r="X3148" i="1"/>
  <c r="AJ3147" i="1"/>
  <c r="AF3147" i="1" s="1"/>
  <c r="AJ3146" i="1"/>
  <c r="AF3146" i="1" s="1"/>
  <c r="W3146" i="1"/>
  <c r="AJ3145" i="1"/>
  <c r="AF3145" i="1" s="1"/>
  <c r="AJ3144" i="1"/>
  <c r="AF3144" i="1" s="1"/>
  <c r="AJ3143" i="1"/>
  <c r="AF3143" i="1" s="1"/>
  <c r="AJ3142" i="1"/>
  <c r="AF3142" i="1" s="1"/>
  <c r="AJ3141" i="1"/>
  <c r="AF3141" i="1" s="1"/>
  <c r="W3141" i="1"/>
  <c r="X3141" i="1" s="1"/>
  <c r="AJ3140" i="1"/>
  <c r="AF3140" i="1" s="1"/>
  <c r="W3140" i="1"/>
  <c r="AL3140" i="1" s="1"/>
  <c r="AJ3139" i="1"/>
  <c r="AF3139" i="1" s="1"/>
  <c r="W3139" i="1"/>
  <c r="X3139" i="1" s="1"/>
  <c r="AJ3138" i="1"/>
  <c r="AF3138" i="1" s="1"/>
  <c r="W3138" i="1"/>
  <c r="AK3138" i="1" s="1"/>
  <c r="AJ3137" i="1"/>
  <c r="AF3137" i="1" s="1"/>
  <c r="W3137" i="1"/>
  <c r="AJ3136" i="1"/>
  <c r="AF3136" i="1" s="1"/>
  <c r="W3136" i="1"/>
  <c r="AK3136" i="1" s="1"/>
  <c r="AJ3135" i="1"/>
  <c r="AF3135" i="1" s="1"/>
  <c r="W3135" i="1"/>
  <c r="AJ3134" i="1"/>
  <c r="AF3134" i="1" s="1"/>
  <c r="AJ3133" i="1"/>
  <c r="AF3133" i="1" s="1"/>
  <c r="AJ3132" i="1"/>
  <c r="AF3132" i="1" s="1"/>
  <c r="AJ3131" i="1"/>
  <c r="AF3131" i="1" s="1"/>
  <c r="AJ3130" i="1"/>
  <c r="AF3130" i="1" s="1"/>
  <c r="AJ3129" i="1"/>
  <c r="AF3129" i="1" s="1"/>
  <c r="AL3128" i="1"/>
  <c r="AK3128" i="1"/>
  <c r="AJ3128" i="1"/>
  <c r="AF3128" i="1" s="1"/>
  <c r="X3128" i="1"/>
  <c r="AL3127" i="1"/>
  <c r="AK3127" i="1"/>
  <c r="AJ3127" i="1"/>
  <c r="AF3127" i="1" s="1"/>
  <c r="X3127" i="1"/>
  <c r="AL3126" i="1"/>
  <c r="AK3126" i="1"/>
  <c r="AJ3126" i="1"/>
  <c r="AF3126" i="1" s="1"/>
  <c r="X3126" i="1"/>
  <c r="AL3125" i="1"/>
  <c r="AK3125" i="1"/>
  <c r="AJ3125" i="1"/>
  <c r="AF3125" i="1" s="1"/>
  <c r="X3125" i="1"/>
  <c r="AJ3124" i="1"/>
  <c r="AF3124" i="1" s="1"/>
  <c r="AL3123" i="1"/>
  <c r="AK3123" i="1"/>
  <c r="AJ3123" i="1"/>
  <c r="AF3123" i="1" s="1"/>
  <c r="X3123" i="1"/>
  <c r="AL3122" i="1"/>
  <c r="AK3122" i="1"/>
  <c r="AJ3122" i="1"/>
  <c r="AF3122" i="1" s="1"/>
  <c r="X3122" i="1"/>
  <c r="AL3121" i="1"/>
  <c r="AK3121" i="1"/>
  <c r="AJ3121" i="1"/>
  <c r="AF3121" i="1" s="1"/>
  <c r="X3121" i="1"/>
  <c r="AL3120" i="1"/>
  <c r="AK3120" i="1"/>
  <c r="AJ3120" i="1"/>
  <c r="AF3120" i="1" s="1"/>
  <c r="X3120" i="1"/>
  <c r="AL3119" i="1"/>
  <c r="AK3119" i="1"/>
  <c r="AJ3119" i="1"/>
  <c r="AF3119" i="1" s="1"/>
  <c r="AG3119" i="1"/>
  <c r="X3119" i="1"/>
  <c r="AL3118" i="1"/>
  <c r="AK3118" i="1"/>
  <c r="AJ3118" i="1"/>
  <c r="AF3118" i="1" s="1"/>
  <c r="X3118" i="1"/>
  <c r="AL3117" i="1"/>
  <c r="AK3117" i="1"/>
  <c r="AJ3117" i="1"/>
  <c r="AF3117" i="1" s="1"/>
  <c r="AG3117" i="1"/>
  <c r="X3117" i="1"/>
  <c r="AL3116" i="1"/>
  <c r="AK3116" i="1"/>
  <c r="AJ3116" i="1"/>
  <c r="AF3116" i="1" s="1"/>
  <c r="X3116" i="1"/>
  <c r="AL3115" i="1"/>
  <c r="AK3115" i="1"/>
  <c r="AJ3115" i="1"/>
  <c r="AF3115" i="1" s="1"/>
  <c r="X3115" i="1"/>
  <c r="AL3114" i="1"/>
  <c r="AK3114" i="1"/>
  <c r="AJ3114" i="1"/>
  <c r="AF3114" i="1" s="1"/>
  <c r="AG3114" i="1"/>
  <c r="X3114" i="1"/>
  <c r="AL3113" i="1"/>
  <c r="AK3113" i="1"/>
  <c r="AJ3113" i="1"/>
  <c r="AF3113" i="1" s="1"/>
  <c r="X3113" i="1"/>
  <c r="AL3112" i="1"/>
  <c r="AK3112" i="1"/>
  <c r="AJ3112" i="1"/>
  <c r="AF3112" i="1" s="1"/>
  <c r="X3112" i="1"/>
  <c r="AL3111" i="1"/>
  <c r="AK3111" i="1"/>
  <c r="AJ3111" i="1"/>
  <c r="AF3111" i="1" s="1"/>
  <c r="X3111" i="1"/>
  <c r="AK3110" i="1"/>
  <c r="AJ3110" i="1"/>
  <c r="AF3110" i="1" s="1"/>
  <c r="AL3109" i="1"/>
  <c r="AK3109" i="1"/>
  <c r="AJ3109" i="1"/>
  <c r="AF3109" i="1" s="1"/>
  <c r="X3109" i="1"/>
  <c r="AL3108" i="1"/>
  <c r="AK3108" i="1"/>
  <c r="AJ3108" i="1"/>
  <c r="AF3108" i="1" s="1"/>
  <c r="X3108" i="1"/>
  <c r="AL3107" i="1"/>
  <c r="AK3107" i="1"/>
  <c r="AJ3107" i="1"/>
  <c r="AF3107" i="1" s="1"/>
  <c r="X3107" i="1"/>
  <c r="AL3106" i="1"/>
  <c r="AK3106" i="1"/>
  <c r="AJ3106" i="1"/>
  <c r="AF3106" i="1" s="1"/>
  <c r="X3106" i="1"/>
  <c r="AJ3105" i="1"/>
  <c r="AF3105" i="1" s="1"/>
  <c r="AL3104" i="1"/>
  <c r="AK3104" i="1"/>
  <c r="AJ3104" i="1"/>
  <c r="AF3104" i="1" s="1"/>
  <c r="X3104" i="1"/>
  <c r="AL3103" i="1"/>
  <c r="AK3103" i="1"/>
  <c r="AJ3103" i="1"/>
  <c r="AF3103" i="1" s="1"/>
  <c r="X3103" i="1"/>
  <c r="AL3102" i="1"/>
  <c r="AK3102" i="1"/>
  <c r="AJ3102" i="1"/>
  <c r="AF3102" i="1" s="1"/>
  <c r="X3102" i="1"/>
  <c r="AL3101" i="1"/>
  <c r="AK3101" i="1"/>
  <c r="AJ3101" i="1"/>
  <c r="AF3101" i="1" s="1"/>
  <c r="AG3101" i="1"/>
  <c r="X3101" i="1"/>
  <c r="AL3100" i="1"/>
  <c r="AK3100" i="1"/>
  <c r="AJ3100" i="1"/>
  <c r="AF3100" i="1" s="1"/>
  <c r="X3100" i="1"/>
  <c r="AJ3099" i="1"/>
  <c r="AF3099" i="1" s="1"/>
  <c r="AJ3098" i="1"/>
  <c r="AF3098" i="1" s="1"/>
  <c r="W3098" i="1"/>
  <c r="AL3098" i="1" s="1"/>
  <c r="AL3097" i="1"/>
  <c r="AK3097" i="1"/>
  <c r="AJ3097" i="1"/>
  <c r="AF3097" i="1" s="1"/>
  <c r="X3097" i="1"/>
  <c r="AL3096" i="1"/>
  <c r="AK3096" i="1"/>
  <c r="AJ3096" i="1"/>
  <c r="AF3096" i="1" s="1"/>
  <c r="X3096" i="1"/>
  <c r="AL3095" i="1"/>
  <c r="AK3095" i="1"/>
  <c r="AJ3095" i="1"/>
  <c r="AF3095" i="1" s="1"/>
  <c r="X3095" i="1"/>
  <c r="AL3094" i="1"/>
  <c r="AK3094" i="1"/>
  <c r="AJ3094" i="1"/>
  <c r="AF3094" i="1" s="1"/>
  <c r="X3094" i="1"/>
  <c r="AJ3093" i="1"/>
  <c r="AF3093" i="1" s="1"/>
  <c r="AG3093" i="1"/>
  <c r="W3093" i="1"/>
  <c r="X3093" i="1" s="1"/>
  <c r="AL3092" i="1"/>
  <c r="AK3092" i="1"/>
  <c r="AJ3092" i="1"/>
  <c r="AF3092" i="1" s="1"/>
  <c r="X3092" i="1"/>
  <c r="AL3091" i="1"/>
  <c r="AK3091" i="1"/>
  <c r="AJ3091" i="1"/>
  <c r="AF3091" i="1" s="1"/>
  <c r="X3091" i="1"/>
  <c r="AL3090" i="1"/>
  <c r="AK3090" i="1"/>
  <c r="AJ3090" i="1"/>
  <c r="AF3090" i="1" s="1"/>
  <c r="AL3089" i="1"/>
  <c r="AK3089" i="1"/>
  <c r="AJ3089" i="1"/>
  <c r="AF3089" i="1" s="1"/>
  <c r="X3089" i="1"/>
  <c r="AL3088" i="1"/>
  <c r="AK3088" i="1"/>
  <c r="AJ3088" i="1"/>
  <c r="AF3088" i="1" s="1"/>
  <c r="X3088" i="1"/>
  <c r="AL3087" i="1"/>
  <c r="AK3087" i="1"/>
  <c r="AJ3087" i="1"/>
  <c r="AF3087" i="1" s="1"/>
  <c r="X3087" i="1"/>
  <c r="AL3086" i="1"/>
  <c r="AK3086" i="1"/>
  <c r="AJ3086" i="1"/>
  <c r="AF3086" i="1" s="1"/>
  <c r="X3086" i="1"/>
  <c r="AJ3085" i="1"/>
  <c r="AF3085" i="1" s="1"/>
  <c r="AL3085" i="1"/>
  <c r="AL3084" i="1"/>
  <c r="AK3084" i="1"/>
  <c r="AJ3084" i="1"/>
  <c r="AF3084" i="1" s="1"/>
  <c r="X3084" i="1"/>
  <c r="AJ3083" i="1"/>
  <c r="AF3083" i="1" s="1"/>
  <c r="W3083" i="1"/>
  <c r="AL3082" i="1"/>
  <c r="AK3082" i="1"/>
  <c r="AJ3082" i="1"/>
  <c r="AF3082" i="1" s="1"/>
  <c r="X3082" i="1"/>
  <c r="AL3081" i="1"/>
  <c r="AK3081" i="1"/>
  <c r="AJ3081" i="1"/>
  <c r="AF3081" i="1" s="1"/>
  <c r="X3081" i="1"/>
  <c r="AL3080" i="1"/>
  <c r="AK3080" i="1"/>
  <c r="AJ3080" i="1"/>
  <c r="AF3080" i="1" s="1"/>
  <c r="X3080" i="1"/>
  <c r="AL3079" i="1"/>
  <c r="AK3079" i="1"/>
  <c r="AJ3079" i="1"/>
  <c r="AF3079" i="1" s="1"/>
  <c r="X3079" i="1"/>
  <c r="AL3078" i="1"/>
  <c r="AK3078" i="1"/>
  <c r="AJ3078" i="1"/>
  <c r="AF3078" i="1" s="1"/>
  <c r="X3078" i="1"/>
  <c r="AL3077" i="1"/>
  <c r="AK3077" i="1"/>
  <c r="AJ3077" i="1"/>
  <c r="AF3077" i="1" s="1"/>
  <c r="X3077" i="1"/>
  <c r="AK3076" i="1"/>
  <c r="AJ3076" i="1"/>
  <c r="AF3076" i="1" s="1"/>
  <c r="X3076" i="1"/>
  <c r="AK3075" i="1"/>
  <c r="AJ3075" i="1"/>
  <c r="AF3075" i="1" s="1"/>
  <c r="AL3074" i="1"/>
  <c r="AK3074" i="1"/>
  <c r="AJ3074" i="1"/>
  <c r="AF3074" i="1" s="1"/>
  <c r="AL3073" i="1"/>
  <c r="AK3073" i="1"/>
  <c r="AJ3073" i="1"/>
  <c r="AF3073" i="1" s="1"/>
  <c r="X3073" i="1"/>
  <c r="AL3072" i="1"/>
  <c r="AK3072" i="1"/>
  <c r="AJ3072" i="1"/>
  <c r="AF3072" i="1" s="1"/>
  <c r="X3072" i="1"/>
  <c r="AL3071" i="1"/>
  <c r="AK3071" i="1"/>
  <c r="AJ3071" i="1"/>
  <c r="AF3071" i="1" s="1"/>
  <c r="X3071" i="1"/>
  <c r="AL3070" i="1"/>
  <c r="AK3070" i="1"/>
  <c r="AJ3070" i="1"/>
  <c r="AF3070" i="1" s="1"/>
  <c r="X3070" i="1"/>
  <c r="AL3069" i="1"/>
  <c r="AK3069" i="1"/>
  <c r="AJ3069" i="1"/>
  <c r="AF3069" i="1" s="1"/>
  <c r="X3069" i="1"/>
  <c r="AL3068" i="1"/>
  <c r="AK3068" i="1"/>
  <c r="AJ3068" i="1"/>
  <c r="AF3068" i="1" s="1"/>
  <c r="X3068" i="1"/>
  <c r="AL3067" i="1"/>
  <c r="AK3067" i="1"/>
  <c r="AJ3067" i="1"/>
  <c r="AF3067" i="1" s="1"/>
  <c r="X3067" i="1"/>
  <c r="AL3066" i="1"/>
  <c r="AK3066" i="1"/>
  <c r="AJ3066" i="1"/>
  <c r="AF3066" i="1" s="1"/>
  <c r="X3066" i="1"/>
  <c r="AL3065" i="1"/>
  <c r="AK3065" i="1"/>
  <c r="AJ3065" i="1"/>
  <c r="AF3065" i="1" s="1"/>
  <c r="X3065" i="1"/>
  <c r="AL3064" i="1"/>
  <c r="AK3064" i="1"/>
  <c r="AJ3064" i="1"/>
  <c r="AF3064" i="1" s="1"/>
  <c r="X3064" i="1"/>
  <c r="AL3063" i="1"/>
  <c r="AK3063" i="1"/>
  <c r="AJ3063" i="1"/>
  <c r="AF3063" i="1" s="1"/>
  <c r="X3063" i="1"/>
  <c r="AL3062" i="1"/>
  <c r="AK3062" i="1"/>
  <c r="AJ3062" i="1"/>
  <c r="AF3062" i="1" s="1"/>
  <c r="X3062" i="1"/>
  <c r="AL3061" i="1"/>
  <c r="AK3061" i="1"/>
  <c r="AJ3061" i="1"/>
  <c r="AF3061" i="1" s="1"/>
  <c r="X3061" i="1"/>
  <c r="AL3060" i="1"/>
  <c r="AK3060" i="1"/>
  <c r="AJ3060" i="1"/>
  <c r="AF3060" i="1" s="1"/>
  <c r="X3060" i="1"/>
  <c r="AL3059" i="1"/>
  <c r="AK3059" i="1"/>
  <c r="AJ3059" i="1"/>
  <c r="AF3059" i="1" s="1"/>
  <c r="X3059" i="1"/>
  <c r="AL3058" i="1"/>
  <c r="AK3058" i="1"/>
  <c r="AJ3058" i="1"/>
  <c r="AF3058" i="1" s="1"/>
  <c r="X3058" i="1"/>
  <c r="AL3057" i="1"/>
  <c r="AK3057" i="1"/>
  <c r="AJ3057" i="1"/>
  <c r="AF3057" i="1" s="1"/>
  <c r="X3057" i="1"/>
  <c r="AL3056" i="1"/>
  <c r="AK3056" i="1"/>
  <c r="AJ3056" i="1"/>
  <c r="AF3056" i="1" s="1"/>
  <c r="X3056" i="1"/>
  <c r="AL3055" i="1"/>
  <c r="AK3055" i="1"/>
  <c r="AJ3055" i="1"/>
  <c r="AF3055" i="1" s="1"/>
  <c r="X3055" i="1"/>
  <c r="AL3054" i="1"/>
  <c r="AK3054" i="1"/>
  <c r="AJ3054" i="1"/>
  <c r="AF3054" i="1" s="1"/>
  <c r="X3054" i="1"/>
  <c r="AL3053" i="1"/>
  <c r="AK3053" i="1"/>
  <c r="AJ3053" i="1"/>
  <c r="AF3053" i="1" s="1"/>
  <c r="X3053" i="1"/>
  <c r="AL3052" i="1"/>
  <c r="AK3052" i="1"/>
  <c r="AJ3052" i="1"/>
  <c r="AF3052" i="1" s="1"/>
  <c r="X3052" i="1"/>
  <c r="AL3051" i="1"/>
  <c r="AK3051" i="1"/>
  <c r="AJ3051" i="1"/>
  <c r="AF3051" i="1" s="1"/>
  <c r="X3051" i="1"/>
  <c r="AL3050" i="1"/>
  <c r="AK3050" i="1"/>
  <c r="AJ3050" i="1"/>
  <c r="AF3050" i="1" s="1"/>
  <c r="X3050" i="1"/>
  <c r="AL3049" i="1"/>
  <c r="AK3049" i="1"/>
  <c r="AJ3049" i="1"/>
  <c r="AF3049" i="1" s="1"/>
  <c r="X3049" i="1"/>
  <c r="AL3048" i="1"/>
  <c r="AK3048" i="1"/>
  <c r="AJ3048" i="1"/>
  <c r="AF3048" i="1" s="1"/>
  <c r="X3048" i="1"/>
  <c r="AJ3047" i="1"/>
  <c r="AF3047" i="1" s="1"/>
  <c r="W3047" i="1"/>
  <c r="X3047" i="1" s="1"/>
  <c r="AL3046" i="1"/>
  <c r="AK3046" i="1"/>
  <c r="AJ3046" i="1"/>
  <c r="AF3046" i="1" s="1"/>
  <c r="X3046" i="1"/>
  <c r="AL3045" i="1"/>
  <c r="AK3045" i="1"/>
  <c r="AJ3045" i="1"/>
  <c r="AF3045" i="1" s="1"/>
  <c r="X3045" i="1"/>
  <c r="AL3044" i="1"/>
  <c r="AK3044" i="1"/>
  <c r="AJ3044" i="1"/>
  <c r="AF3044" i="1" s="1"/>
  <c r="X3044" i="1"/>
  <c r="AL3043" i="1"/>
  <c r="AK3043" i="1"/>
  <c r="AJ3043" i="1"/>
  <c r="AF3043" i="1" s="1"/>
  <c r="X3043" i="1"/>
  <c r="AL3042" i="1"/>
  <c r="AK3042" i="1"/>
  <c r="AJ3042" i="1"/>
  <c r="AF3042" i="1" s="1"/>
  <c r="X3042" i="1"/>
  <c r="AL3041" i="1"/>
  <c r="AK3041" i="1"/>
  <c r="AJ3041" i="1"/>
  <c r="AF3041" i="1" s="1"/>
  <c r="X3041" i="1"/>
  <c r="AL3040" i="1"/>
  <c r="AK3040" i="1"/>
  <c r="AJ3040" i="1"/>
  <c r="AF3040" i="1" s="1"/>
  <c r="X3040" i="1"/>
  <c r="AL3039" i="1"/>
  <c r="AK3039" i="1"/>
  <c r="AJ3039" i="1"/>
  <c r="AF3039" i="1" s="1"/>
  <c r="X3039" i="1"/>
  <c r="AL3038" i="1"/>
  <c r="AK3038" i="1"/>
  <c r="AJ3038" i="1"/>
  <c r="AF3038" i="1" s="1"/>
  <c r="X3038" i="1"/>
  <c r="AL3037" i="1"/>
  <c r="AK3037" i="1"/>
  <c r="AJ3037" i="1"/>
  <c r="AF3037" i="1" s="1"/>
  <c r="X3037" i="1"/>
  <c r="AJ3036" i="1"/>
  <c r="AF3036" i="1" s="1"/>
  <c r="AL3035" i="1"/>
  <c r="AK3035" i="1"/>
  <c r="AJ3035" i="1"/>
  <c r="AF3035" i="1" s="1"/>
  <c r="X3035" i="1"/>
  <c r="AL3034" i="1"/>
  <c r="AK3034" i="1"/>
  <c r="AJ3034" i="1"/>
  <c r="AF3034" i="1" s="1"/>
  <c r="X3034" i="1"/>
  <c r="AL3033" i="1"/>
  <c r="AK3033" i="1"/>
  <c r="AJ3033" i="1"/>
  <c r="AF3033" i="1" s="1"/>
  <c r="X3033" i="1"/>
  <c r="AL3032" i="1"/>
  <c r="AK3032" i="1"/>
  <c r="AJ3032" i="1"/>
  <c r="AF3032" i="1" s="1"/>
  <c r="X3032" i="1"/>
  <c r="AL3031" i="1"/>
  <c r="AK3031" i="1"/>
  <c r="AJ3031" i="1"/>
  <c r="AF3031" i="1" s="1"/>
  <c r="X3031" i="1"/>
  <c r="AL3030" i="1"/>
  <c r="AK3030" i="1"/>
  <c r="AJ3030" i="1"/>
  <c r="AF3030" i="1" s="1"/>
  <c r="X3030" i="1"/>
  <c r="AL3029" i="1"/>
  <c r="AK3029" i="1"/>
  <c r="AJ3029" i="1"/>
  <c r="AF3029" i="1" s="1"/>
  <c r="X3029" i="1"/>
  <c r="AJ3028" i="1"/>
  <c r="AF3028" i="1" s="1"/>
  <c r="AJ3027" i="1"/>
  <c r="AF3027" i="1" s="1"/>
  <c r="AJ3026" i="1"/>
  <c r="AF3026" i="1" s="1"/>
  <c r="AJ3025" i="1"/>
  <c r="AF3025" i="1" s="1"/>
  <c r="AJ3024" i="1"/>
  <c r="AF3024" i="1" s="1"/>
  <c r="AJ3023" i="1"/>
  <c r="AF3023" i="1" s="1"/>
  <c r="AJ3022" i="1"/>
  <c r="AF3022" i="1" s="1"/>
  <c r="AJ3021" i="1"/>
  <c r="AF3021" i="1" s="1"/>
  <c r="AJ3020" i="1"/>
  <c r="AF3020" i="1" s="1"/>
  <c r="AJ3019" i="1"/>
  <c r="AF3019" i="1" s="1"/>
  <c r="AJ3018" i="1"/>
  <c r="AF3018" i="1" s="1"/>
  <c r="AJ3017" i="1"/>
  <c r="AF3017" i="1" s="1"/>
  <c r="AJ3016" i="1"/>
  <c r="AF3016" i="1" s="1"/>
  <c r="AL3015" i="1"/>
  <c r="AK3015" i="1"/>
  <c r="AJ3015" i="1"/>
  <c r="AF3015" i="1" s="1"/>
  <c r="AG3015" i="1"/>
  <c r="AJ3014" i="1"/>
  <c r="AF3014" i="1" s="1"/>
  <c r="AJ3013" i="1"/>
  <c r="AF3013" i="1" s="1"/>
  <c r="AJ3012" i="1"/>
  <c r="AF3012" i="1" s="1"/>
  <c r="AJ3011" i="1"/>
  <c r="AF3011" i="1" s="1"/>
  <c r="AJ3010" i="1"/>
  <c r="AF3010" i="1" s="1"/>
  <c r="AJ3009" i="1"/>
  <c r="AF3009" i="1" s="1"/>
  <c r="AJ3008" i="1"/>
  <c r="AF3008" i="1" s="1"/>
  <c r="AJ3007" i="1"/>
  <c r="AF3007" i="1" s="1"/>
  <c r="AJ3006" i="1"/>
  <c r="AF3006" i="1" s="1"/>
  <c r="AJ3005" i="1"/>
  <c r="AF3005" i="1" s="1"/>
  <c r="AL3004" i="1"/>
  <c r="AK3004" i="1"/>
  <c r="AJ3004" i="1"/>
  <c r="AF3004" i="1" s="1"/>
  <c r="AG3004" i="1"/>
  <c r="AJ3003" i="1"/>
  <c r="AF3003" i="1" s="1"/>
  <c r="AJ3002" i="1"/>
  <c r="AF3002" i="1" s="1"/>
  <c r="AJ3001" i="1"/>
  <c r="AF3001" i="1" s="1"/>
  <c r="AJ3000" i="1"/>
  <c r="AF3000" i="1" s="1"/>
  <c r="AJ2999" i="1"/>
  <c r="AF2999" i="1" s="1"/>
  <c r="AJ2998" i="1"/>
  <c r="AF2998" i="1" s="1"/>
  <c r="AJ2997" i="1"/>
  <c r="AF2997" i="1" s="1"/>
  <c r="AJ2996" i="1"/>
  <c r="AF2996" i="1" s="1"/>
  <c r="AJ2995" i="1"/>
  <c r="AF2995" i="1" s="1"/>
  <c r="AL2994" i="1"/>
  <c r="AK2994" i="1"/>
  <c r="AJ2994" i="1"/>
  <c r="AF2994" i="1" s="1"/>
  <c r="X2994" i="1"/>
  <c r="AL2993" i="1"/>
  <c r="AK2993" i="1"/>
  <c r="AJ2993" i="1"/>
  <c r="AF2993" i="1" s="1"/>
  <c r="X2993" i="1"/>
  <c r="AL2992" i="1"/>
  <c r="AK2992" i="1"/>
  <c r="AJ2992" i="1"/>
  <c r="AF2992" i="1" s="1"/>
  <c r="X2992" i="1"/>
  <c r="AL2991" i="1"/>
  <c r="AK2991" i="1"/>
  <c r="AJ2991" i="1"/>
  <c r="AF2991" i="1" s="1"/>
  <c r="X2991" i="1"/>
  <c r="AL2990" i="1"/>
  <c r="AK2990" i="1"/>
  <c r="AJ2990" i="1"/>
  <c r="AF2990" i="1" s="1"/>
  <c r="X2990" i="1"/>
  <c r="AL2989" i="1"/>
  <c r="AK2989" i="1"/>
  <c r="AJ2989" i="1"/>
  <c r="AF2989" i="1" s="1"/>
  <c r="X2989" i="1"/>
  <c r="AL2988" i="1"/>
  <c r="AK2988" i="1"/>
  <c r="AJ2988" i="1"/>
  <c r="AF2988" i="1" s="1"/>
  <c r="X2988" i="1"/>
  <c r="AL2987" i="1"/>
  <c r="AK2987" i="1"/>
  <c r="AJ2987" i="1"/>
  <c r="AF2987" i="1" s="1"/>
  <c r="X2987" i="1"/>
  <c r="AL2986" i="1"/>
  <c r="AK2986" i="1"/>
  <c r="AJ2986" i="1"/>
  <c r="AF2986" i="1" s="1"/>
  <c r="X2986" i="1"/>
  <c r="AJ2985" i="1"/>
  <c r="AF2985" i="1" s="1"/>
  <c r="W2985" i="1"/>
  <c r="AL2985" i="1" s="1"/>
  <c r="AJ2984" i="1"/>
  <c r="AF2984" i="1" s="1"/>
  <c r="W2984" i="1"/>
  <c r="AL2984" i="1" s="1"/>
  <c r="AL2983" i="1"/>
  <c r="AK2983" i="1"/>
  <c r="AJ2983" i="1"/>
  <c r="AF2983" i="1" s="1"/>
  <c r="X2983" i="1"/>
  <c r="AL2982" i="1"/>
  <c r="AK2982" i="1"/>
  <c r="AJ2982" i="1"/>
  <c r="AF2982" i="1" s="1"/>
  <c r="X2982" i="1"/>
  <c r="AJ2981" i="1"/>
  <c r="AF2981" i="1" s="1"/>
  <c r="AL2980" i="1"/>
  <c r="AK2980" i="1"/>
  <c r="AJ2980" i="1"/>
  <c r="AF2980" i="1" s="1"/>
  <c r="X2980" i="1"/>
  <c r="AJ2979" i="1"/>
  <c r="AF2979" i="1" s="1"/>
  <c r="AG2979" i="1"/>
  <c r="W2979" i="1"/>
  <c r="X2979" i="1" s="1"/>
  <c r="AL2978" i="1"/>
  <c r="AK2978" i="1"/>
  <c r="AJ2978" i="1"/>
  <c r="AF2978" i="1" s="1"/>
  <c r="AG2978" i="1"/>
  <c r="X2978" i="1"/>
  <c r="AJ2977" i="1"/>
  <c r="AF2977" i="1" s="1"/>
  <c r="AL2976" i="1"/>
  <c r="AK2976" i="1"/>
  <c r="AJ2976" i="1"/>
  <c r="AF2976" i="1" s="1"/>
  <c r="X2976" i="1"/>
  <c r="AL2975" i="1"/>
  <c r="AK2975" i="1"/>
  <c r="AJ2975" i="1"/>
  <c r="AF2975" i="1" s="1"/>
  <c r="X2975" i="1"/>
  <c r="AL2974" i="1"/>
  <c r="AK2974" i="1"/>
  <c r="AJ2974" i="1"/>
  <c r="AF2974" i="1" s="1"/>
  <c r="X2974" i="1"/>
  <c r="AL2973" i="1"/>
  <c r="AK2973" i="1"/>
  <c r="AJ2973" i="1"/>
  <c r="AF2973" i="1" s="1"/>
  <c r="X2973" i="1"/>
  <c r="AL2972" i="1"/>
  <c r="AK2972" i="1"/>
  <c r="AJ2972" i="1"/>
  <c r="AF2972" i="1" s="1"/>
  <c r="X2972" i="1"/>
  <c r="AL2971" i="1"/>
  <c r="AK2971" i="1"/>
  <c r="AJ2971" i="1"/>
  <c r="AF2971" i="1" s="1"/>
  <c r="X2971" i="1"/>
  <c r="AL2970" i="1"/>
  <c r="AK2970" i="1"/>
  <c r="AJ2970" i="1"/>
  <c r="AF2970" i="1" s="1"/>
  <c r="X2970" i="1"/>
  <c r="AL2969" i="1"/>
  <c r="AK2969" i="1"/>
  <c r="AJ2969" i="1"/>
  <c r="AF2969" i="1" s="1"/>
  <c r="X2969" i="1"/>
  <c r="AL2968" i="1"/>
  <c r="AK2968" i="1"/>
  <c r="AJ2968" i="1"/>
  <c r="AF2968" i="1" s="1"/>
  <c r="X2968" i="1"/>
  <c r="AL2967" i="1"/>
  <c r="AK2967" i="1"/>
  <c r="AJ2967" i="1"/>
  <c r="AF2967" i="1" s="1"/>
  <c r="X2967" i="1"/>
  <c r="AL2966" i="1"/>
  <c r="AK2966" i="1"/>
  <c r="AJ2966" i="1"/>
  <c r="AF2966" i="1" s="1"/>
  <c r="X2966" i="1"/>
  <c r="AL2965" i="1"/>
  <c r="AK2965" i="1"/>
  <c r="AJ2965" i="1"/>
  <c r="AF2965" i="1" s="1"/>
  <c r="X2965" i="1"/>
  <c r="AL2964" i="1"/>
  <c r="AK2964" i="1"/>
  <c r="AJ2964" i="1"/>
  <c r="AF2964" i="1" s="1"/>
  <c r="X2964" i="1"/>
  <c r="AL2963" i="1"/>
  <c r="AK2963" i="1"/>
  <c r="AJ2963" i="1"/>
  <c r="AF2963" i="1" s="1"/>
  <c r="X2963" i="1"/>
  <c r="AL2962" i="1"/>
  <c r="AK2962" i="1"/>
  <c r="AJ2962" i="1"/>
  <c r="AF2962" i="1" s="1"/>
  <c r="X2962" i="1"/>
  <c r="AL2961" i="1"/>
  <c r="AK2961" i="1"/>
  <c r="AJ2961" i="1"/>
  <c r="AF2961" i="1" s="1"/>
  <c r="AG2961" i="1"/>
  <c r="X2961" i="1"/>
  <c r="AL2960" i="1"/>
  <c r="AK2960" i="1"/>
  <c r="AJ2960" i="1"/>
  <c r="AF2960" i="1" s="1"/>
  <c r="X2960" i="1"/>
  <c r="AL2959" i="1"/>
  <c r="AK2959" i="1"/>
  <c r="AJ2959" i="1"/>
  <c r="AF2959" i="1" s="1"/>
  <c r="X2959" i="1"/>
  <c r="AL2958" i="1"/>
  <c r="AK2958" i="1"/>
  <c r="AJ2958" i="1"/>
  <c r="AF2958" i="1" s="1"/>
  <c r="X2958" i="1"/>
  <c r="AL2957" i="1"/>
  <c r="AK2957" i="1"/>
  <c r="AJ2957" i="1"/>
  <c r="AF2957" i="1" s="1"/>
  <c r="X2957" i="1"/>
  <c r="AL2956" i="1"/>
  <c r="AK2956" i="1"/>
  <c r="AJ2956" i="1"/>
  <c r="AF2956" i="1" s="1"/>
  <c r="X2956" i="1"/>
  <c r="AL2955" i="1"/>
  <c r="AK2955" i="1"/>
  <c r="AJ2955" i="1"/>
  <c r="AF2955" i="1" s="1"/>
  <c r="X2955" i="1"/>
  <c r="AL2954" i="1"/>
  <c r="AK2954" i="1"/>
  <c r="AJ2954" i="1"/>
  <c r="AF2954" i="1" s="1"/>
  <c r="X2954" i="1"/>
  <c r="AL2953" i="1"/>
  <c r="AK2953" i="1"/>
  <c r="AJ2953" i="1"/>
  <c r="AF2953" i="1" s="1"/>
  <c r="X2953" i="1"/>
  <c r="AL2952" i="1"/>
  <c r="AK2952" i="1"/>
  <c r="AJ2952" i="1"/>
  <c r="AF2952" i="1" s="1"/>
  <c r="X2952" i="1"/>
  <c r="AL2951" i="1"/>
  <c r="AK2951" i="1"/>
  <c r="AJ2951" i="1"/>
  <c r="AF2951" i="1" s="1"/>
  <c r="X2951" i="1"/>
  <c r="AL2950" i="1"/>
  <c r="AK2950" i="1"/>
  <c r="AJ2950" i="1"/>
  <c r="AF2950" i="1" s="1"/>
  <c r="X2950" i="1"/>
  <c r="AL2949" i="1"/>
  <c r="AK2949" i="1"/>
  <c r="AJ2949" i="1"/>
  <c r="AF2949" i="1" s="1"/>
  <c r="X2949" i="1"/>
  <c r="AL2948" i="1"/>
  <c r="AK2948" i="1"/>
  <c r="AJ2948" i="1"/>
  <c r="AF2948" i="1" s="1"/>
  <c r="X2948" i="1"/>
  <c r="AL2947" i="1"/>
  <c r="AK2947" i="1"/>
  <c r="AJ2947" i="1"/>
  <c r="AF2947" i="1" s="1"/>
  <c r="X2947" i="1"/>
  <c r="AL2946" i="1"/>
  <c r="AK2946" i="1"/>
  <c r="AJ2946" i="1"/>
  <c r="AF2946" i="1" s="1"/>
  <c r="X2946" i="1"/>
  <c r="AL2945" i="1"/>
  <c r="AK2945" i="1"/>
  <c r="AJ2945" i="1"/>
  <c r="AF2945" i="1" s="1"/>
  <c r="X2945" i="1"/>
  <c r="AL2944" i="1"/>
  <c r="AK2944" i="1"/>
  <c r="AJ2944" i="1"/>
  <c r="AF2944" i="1" s="1"/>
  <c r="X2944" i="1"/>
  <c r="AL2943" i="1"/>
  <c r="AK2943" i="1"/>
  <c r="AJ2943" i="1"/>
  <c r="AF2943" i="1" s="1"/>
  <c r="X2943" i="1"/>
  <c r="AL2942" i="1"/>
  <c r="AK2942" i="1"/>
  <c r="AJ2942" i="1"/>
  <c r="AF2942" i="1" s="1"/>
  <c r="X2942" i="1"/>
  <c r="AL2941" i="1"/>
  <c r="AK2941" i="1"/>
  <c r="AJ2941" i="1"/>
  <c r="AF2941" i="1" s="1"/>
  <c r="X2941" i="1"/>
  <c r="AL2940" i="1"/>
  <c r="AK2940" i="1"/>
  <c r="AJ2940" i="1"/>
  <c r="AF2940" i="1" s="1"/>
  <c r="X2940" i="1"/>
  <c r="AL2939" i="1"/>
  <c r="AK2939" i="1"/>
  <c r="AJ2939" i="1"/>
  <c r="AF2939" i="1" s="1"/>
  <c r="X2939" i="1"/>
  <c r="AL2938" i="1"/>
  <c r="AK2938" i="1"/>
  <c r="AJ2938" i="1"/>
  <c r="AF2938" i="1" s="1"/>
  <c r="X2938" i="1"/>
  <c r="AJ2937" i="1"/>
  <c r="AF2937" i="1" s="1"/>
  <c r="W2937" i="1"/>
  <c r="AJ2936" i="1"/>
  <c r="AF2936" i="1" s="1"/>
  <c r="W2936" i="1"/>
  <c r="AK2936" i="1" s="1"/>
  <c r="AJ2935" i="1"/>
  <c r="AF2935" i="1" s="1"/>
  <c r="W2935" i="1"/>
  <c r="X2935" i="1" s="1"/>
  <c r="AJ2934" i="1"/>
  <c r="AF2934" i="1" s="1"/>
  <c r="W2934" i="1"/>
  <c r="AJ2933" i="1"/>
  <c r="AF2933" i="1" s="1"/>
  <c r="W2933" i="1"/>
  <c r="AJ2932" i="1"/>
  <c r="AF2932" i="1" s="1"/>
  <c r="W2932" i="1"/>
  <c r="AL2932" i="1" s="1"/>
  <c r="AJ2931" i="1"/>
  <c r="AF2931" i="1" s="1"/>
  <c r="AJ2930" i="1"/>
  <c r="AF2930" i="1" s="1"/>
  <c r="AJ2929" i="1"/>
  <c r="AF2929" i="1" s="1"/>
  <c r="AL2928" i="1"/>
  <c r="AK2928" i="1"/>
  <c r="AJ2928" i="1"/>
  <c r="AF2928" i="1" s="1"/>
  <c r="X2928" i="1"/>
  <c r="AJ2927" i="1"/>
  <c r="AF2927" i="1" s="1"/>
  <c r="AJ2926" i="1"/>
  <c r="AF2926" i="1" s="1"/>
  <c r="W2926" i="1"/>
  <c r="AJ2925" i="1"/>
  <c r="AF2925" i="1" s="1"/>
  <c r="AJ2924" i="1"/>
  <c r="AF2924" i="1" s="1"/>
  <c r="W2924" i="1"/>
  <c r="X2924" i="1" s="1"/>
  <c r="AJ2923" i="1"/>
  <c r="AF2923" i="1" s="1"/>
  <c r="W2923" i="1"/>
  <c r="AJ2922" i="1"/>
  <c r="AF2922" i="1" s="1"/>
  <c r="W2922" i="1"/>
  <c r="X2922" i="1" s="1"/>
  <c r="AJ2921" i="1"/>
  <c r="AF2921" i="1" s="1"/>
  <c r="W2921" i="1"/>
  <c r="AJ2920" i="1"/>
  <c r="AF2920" i="1" s="1"/>
  <c r="W2920" i="1"/>
  <c r="X2920" i="1" s="1"/>
  <c r="AJ2919" i="1"/>
  <c r="AF2919" i="1" s="1"/>
  <c r="W2919" i="1"/>
  <c r="AJ2918" i="1"/>
  <c r="AF2918" i="1" s="1"/>
  <c r="W2918" i="1"/>
  <c r="AK2918" i="1" s="1"/>
  <c r="AJ2917" i="1"/>
  <c r="AF2917" i="1" s="1"/>
  <c r="W2917" i="1"/>
  <c r="AJ2916" i="1"/>
  <c r="AF2916" i="1" s="1"/>
  <c r="W2916" i="1"/>
  <c r="AJ2915" i="1"/>
  <c r="AF2915" i="1" s="1"/>
  <c r="W2915" i="1"/>
  <c r="AJ2914" i="1"/>
  <c r="AF2914" i="1" s="1"/>
  <c r="W2914" i="1"/>
  <c r="AJ2913" i="1"/>
  <c r="AF2913" i="1" s="1"/>
  <c r="W2913" i="1"/>
  <c r="AL2912" i="1"/>
  <c r="AK2912" i="1"/>
  <c r="AJ2912" i="1"/>
  <c r="AF2912" i="1" s="1"/>
  <c r="X2912" i="1"/>
  <c r="AJ2911" i="1"/>
  <c r="AF2911" i="1" s="1"/>
  <c r="AJ2910" i="1"/>
  <c r="AF2910" i="1" s="1"/>
  <c r="W2910" i="1"/>
  <c r="AJ2909" i="1"/>
  <c r="AF2909" i="1" s="1"/>
  <c r="W2909" i="1"/>
  <c r="AL2909" i="1" s="1"/>
  <c r="AJ2908" i="1"/>
  <c r="AF2908" i="1" s="1"/>
  <c r="W2908" i="1"/>
  <c r="X2908" i="1" s="1"/>
  <c r="AJ2907" i="1"/>
  <c r="AF2907" i="1" s="1"/>
  <c r="W2907" i="1"/>
  <c r="AJ2906" i="1"/>
  <c r="AF2906" i="1" s="1"/>
  <c r="W2906" i="1"/>
  <c r="AJ2905" i="1"/>
  <c r="AF2905" i="1" s="1"/>
  <c r="W2905" i="1"/>
  <c r="AJ2904" i="1"/>
  <c r="AF2904" i="1" s="1"/>
  <c r="W2904" i="1"/>
  <c r="X2904" i="1" s="1"/>
  <c r="AJ2903" i="1"/>
  <c r="AF2903" i="1" s="1"/>
  <c r="W2903" i="1"/>
  <c r="AJ2902" i="1"/>
  <c r="AF2902" i="1" s="1"/>
  <c r="W2902" i="1"/>
  <c r="X2902" i="1" s="1"/>
  <c r="AJ2901" i="1"/>
  <c r="AF2901" i="1" s="1"/>
  <c r="W2901" i="1"/>
  <c r="AJ2900" i="1"/>
  <c r="AF2900" i="1" s="1"/>
  <c r="W2900" i="1"/>
  <c r="AJ2899" i="1"/>
  <c r="AF2899" i="1" s="1"/>
  <c r="W2899" i="1"/>
  <c r="X2899" i="1" s="1"/>
  <c r="AJ2898" i="1"/>
  <c r="AF2898" i="1" s="1"/>
  <c r="W2898" i="1"/>
  <c r="X2898" i="1" s="1"/>
  <c r="AJ2897" i="1"/>
  <c r="AF2897" i="1" s="1"/>
  <c r="W2897" i="1"/>
  <c r="AJ2896" i="1"/>
  <c r="AF2896" i="1" s="1"/>
  <c r="W2896" i="1"/>
  <c r="AJ2895" i="1"/>
  <c r="AF2895" i="1" s="1"/>
  <c r="W2895" i="1"/>
  <c r="X2895" i="1" s="1"/>
  <c r="AJ2894" i="1"/>
  <c r="AF2894" i="1" s="1"/>
  <c r="W2894" i="1"/>
  <c r="AJ2893" i="1"/>
  <c r="AF2893" i="1" s="1"/>
  <c r="AJ2892" i="1"/>
  <c r="AF2892" i="1" s="1"/>
  <c r="AJ2891" i="1"/>
  <c r="AF2891" i="1" s="1"/>
  <c r="AJ2890" i="1"/>
  <c r="AF2890" i="1" s="1"/>
  <c r="AJ2889" i="1"/>
  <c r="AF2889" i="1" s="1"/>
  <c r="AJ2888" i="1"/>
  <c r="AF2888" i="1" s="1"/>
  <c r="AJ2887" i="1"/>
  <c r="AF2887" i="1" s="1"/>
  <c r="AJ2886" i="1"/>
  <c r="AF2886" i="1" s="1"/>
  <c r="AJ2885" i="1"/>
  <c r="AF2885" i="1" s="1"/>
  <c r="W2885" i="1"/>
  <c r="X2885" i="1" s="1"/>
  <c r="AJ2884" i="1"/>
  <c r="AF2884" i="1" s="1"/>
  <c r="W2884" i="1"/>
  <c r="X2884" i="1" s="1"/>
  <c r="AJ2883" i="1"/>
  <c r="AF2883" i="1" s="1"/>
  <c r="W2883" i="1"/>
  <c r="X2883" i="1" s="1"/>
  <c r="AL2882" i="1"/>
  <c r="AK2882" i="1"/>
  <c r="AJ2882" i="1"/>
  <c r="AF2882" i="1" s="1"/>
  <c r="X2882" i="1"/>
  <c r="AJ2881" i="1"/>
  <c r="AF2881" i="1" s="1"/>
  <c r="W2881" i="1"/>
  <c r="AK2881" i="1" s="1"/>
  <c r="AJ2880" i="1"/>
  <c r="AF2880" i="1" s="1"/>
  <c r="AL2879" i="1"/>
  <c r="AK2879" i="1"/>
  <c r="AJ2879" i="1"/>
  <c r="AF2879" i="1" s="1"/>
  <c r="X2879" i="1"/>
  <c r="AL2878" i="1"/>
  <c r="AK2878" i="1"/>
  <c r="AJ2878" i="1"/>
  <c r="AF2878" i="1" s="1"/>
  <c r="X2878" i="1"/>
  <c r="AJ2877" i="1"/>
  <c r="AF2877" i="1" s="1"/>
  <c r="W2877" i="1"/>
  <c r="X2877" i="1" s="1"/>
  <c r="AJ2876" i="1"/>
  <c r="AF2876" i="1" s="1"/>
  <c r="AJ2875" i="1"/>
  <c r="AF2875" i="1" s="1"/>
  <c r="AJ2874" i="1"/>
  <c r="AF2874" i="1" s="1"/>
  <c r="W2874" i="1"/>
  <c r="AJ2873" i="1"/>
  <c r="AF2873" i="1" s="1"/>
  <c r="W2873" i="1"/>
  <c r="AK2873" i="1" s="1"/>
  <c r="AJ2872" i="1"/>
  <c r="AF2872" i="1" s="1"/>
  <c r="W2872" i="1"/>
  <c r="AL2872" i="1" s="1"/>
  <c r="AJ2871" i="1"/>
  <c r="AF2871" i="1" s="1"/>
  <c r="W2871" i="1"/>
  <c r="AK2871" i="1" s="1"/>
  <c r="AJ2870" i="1"/>
  <c r="AF2870" i="1" s="1"/>
  <c r="W2870" i="1"/>
  <c r="AL2869" i="1"/>
  <c r="AK2869" i="1"/>
  <c r="AJ2869" i="1"/>
  <c r="AF2869" i="1" s="1"/>
  <c r="X2869" i="1"/>
  <c r="AL2868" i="1"/>
  <c r="AK2868" i="1"/>
  <c r="AJ2868" i="1"/>
  <c r="AF2868" i="1" s="1"/>
  <c r="X2868" i="1"/>
  <c r="AJ2867" i="1"/>
  <c r="AF2867" i="1" s="1"/>
  <c r="AJ2866" i="1"/>
  <c r="AF2866" i="1" s="1"/>
  <c r="AJ2865" i="1"/>
  <c r="AF2865" i="1" s="1"/>
  <c r="AJ2864" i="1"/>
  <c r="AF2864" i="1" s="1"/>
  <c r="AL2863" i="1"/>
  <c r="AK2863" i="1"/>
  <c r="AJ2863" i="1"/>
  <c r="AF2863" i="1" s="1"/>
  <c r="X2863" i="1"/>
  <c r="AL2862" i="1"/>
  <c r="AK2862" i="1"/>
  <c r="AJ2862" i="1"/>
  <c r="AF2862" i="1" s="1"/>
  <c r="X2862" i="1"/>
  <c r="AJ2861" i="1"/>
  <c r="AF2861" i="1" s="1"/>
  <c r="AL2860" i="1"/>
  <c r="AK2860" i="1"/>
  <c r="AJ2860" i="1"/>
  <c r="AF2860" i="1" s="1"/>
  <c r="X2860" i="1"/>
  <c r="AL2859" i="1"/>
  <c r="AK2859" i="1"/>
  <c r="AJ2859" i="1"/>
  <c r="AF2859" i="1" s="1"/>
  <c r="X2859" i="1"/>
  <c r="AL2858" i="1"/>
  <c r="AK2858" i="1"/>
  <c r="AJ2858" i="1"/>
  <c r="AF2858" i="1" s="1"/>
  <c r="AG2858" i="1"/>
  <c r="X2858" i="1"/>
  <c r="AL2857" i="1"/>
  <c r="AK2857" i="1"/>
  <c r="AJ2857" i="1"/>
  <c r="AF2857" i="1" s="1"/>
  <c r="AG2857" i="1"/>
  <c r="X2857" i="1"/>
  <c r="AL2856" i="1"/>
  <c r="AK2856" i="1"/>
  <c r="AJ2856" i="1"/>
  <c r="AF2856" i="1" s="1"/>
  <c r="X2856" i="1"/>
  <c r="AL2855" i="1"/>
  <c r="AK2855" i="1"/>
  <c r="AJ2855" i="1"/>
  <c r="AF2855" i="1" s="1"/>
  <c r="X2855" i="1"/>
  <c r="AL2854" i="1"/>
  <c r="AK2854" i="1"/>
  <c r="AJ2854" i="1"/>
  <c r="AF2854" i="1" s="1"/>
  <c r="X2854" i="1"/>
  <c r="AL2853" i="1"/>
  <c r="AK2853" i="1"/>
  <c r="AJ2853" i="1"/>
  <c r="AF2853" i="1" s="1"/>
  <c r="X2853" i="1"/>
  <c r="AL2852" i="1"/>
  <c r="AK2852" i="1"/>
  <c r="AJ2852" i="1"/>
  <c r="AF2852" i="1" s="1"/>
  <c r="X2852" i="1"/>
  <c r="AL2851" i="1"/>
  <c r="AK2851" i="1"/>
  <c r="AJ2851" i="1"/>
  <c r="AF2851" i="1" s="1"/>
  <c r="X2851" i="1"/>
  <c r="AJ2850" i="1"/>
  <c r="AF2850" i="1" s="1"/>
  <c r="AL2849" i="1"/>
  <c r="AK2849" i="1"/>
  <c r="AJ2849" i="1"/>
  <c r="AF2849" i="1" s="1"/>
  <c r="X2849" i="1"/>
  <c r="AL2848" i="1"/>
  <c r="AK2848" i="1"/>
  <c r="AJ2848" i="1"/>
  <c r="AF2848" i="1" s="1"/>
  <c r="X2848" i="1"/>
  <c r="AL2847" i="1"/>
  <c r="AK2847" i="1"/>
  <c r="AJ2847" i="1"/>
  <c r="AF2847" i="1" s="1"/>
  <c r="X2847" i="1"/>
  <c r="AL2846" i="1"/>
  <c r="AK2846" i="1"/>
  <c r="AJ2846" i="1"/>
  <c r="AF2846" i="1" s="1"/>
  <c r="X2846" i="1"/>
  <c r="AL2845" i="1"/>
  <c r="AK2845" i="1"/>
  <c r="AJ2845" i="1"/>
  <c r="AF2845" i="1" s="1"/>
  <c r="X2845" i="1"/>
  <c r="AL2844" i="1"/>
  <c r="AK2844" i="1"/>
  <c r="AJ2844" i="1"/>
  <c r="AF2844" i="1" s="1"/>
  <c r="X2844" i="1"/>
  <c r="AL2843" i="1"/>
  <c r="AK2843" i="1"/>
  <c r="AJ2843" i="1"/>
  <c r="AF2843" i="1" s="1"/>
  <c r="X2843" i="1"/>
  <c r="AL2842" i="1"/>
  <c r="AK2842" i="1"/>
  <c r="AJ2842" i="1"/>
  <c r="AF2842" i="1" s="1"/>
  <c r="X2842" i="1"/>
  <c r="AL2841" i="1"/>
  <c r="AK2841" i="1"/>
  <c r="AJ2841" i="1"/>
  <c r="AF2841" i="1" s="1"/>
  <c r="X2841" i="1"/>
  <c r="AL2840" i="1"/>
  <c r="AK2840" i="1"/>
  <c r="AJ2840" i="1"/>
  <c r="AF2840" i="1" s="1"/>
  <c r="X2840" i="1"/>
  <c r="AL2839" i="1"/>
  <c r="AK2839" i="1"/>
  <c r="AJ2839" i="1"/>
  <c r="AF2839" i="1" s="1"/>
  <c r="X2839" i="1"/>
  <c r="AL2838" i="1"/>
  <c r="AK2838" i="1"/>
  <c r="AJ2838" i="1"/>
  <c r="AF2838" i="1" s="1"/>
  <c r="X2838" i="1"/>
  <c r="AJ2837" i="1"/>
  <c r="AF2837" i="1" s="1"/>
  <c r="AJ2836" i="1"/>
  <c r="AF2836" i="1" s="1"/>
  <c r="AL2835" i="1"/>
  <c r="AK2835" i="1"/>
  <c r="AJ2835" i="1"/>
  <c r="AF2835" i="1" s="1"/>
  <c r="X2835" i="1"/>
  <c r="AJ2834" i="1"/>
  <c r="AF2834" i="1" s="1"/>
  <c r="W2834" i="1"/>
  <c r="AJ2833" i="1"/>
  <c r="AF2833" i="1" s="1"/>
  <c r="W2833" i="1"/>
  <c r="AL2832" i="1"/>
  <c r="AK2832" i="1"/>
  <c r="AJ2832" i="1"/>
  <c r="AF2832" i="1" s="1"/>
  <c r="X2832" i="1"/>
  <c r="AJ2831" i="1"/>
  <c r="AF2831" i="1" s="1"/>
  <c r="W2831" i="1"/>
  <c r="AL2831" i="1" s="1"/>
  <c r="AK2830" i="1"/>
  <c r="AJ2830" i="1"/>
  <c r="AF2830" i="1" s="1"/>
  <c r="AJ2829" i="1"/>
  <c r="AF2829" i="1" s="1"/>
  <c r="W2829" i="1"/>
  <c r="AK2829" i="1" s="1"/>
  <c r="AL2828" i="1"/>
  <c r="AK2828" i="1"/>
  <c r="AJ2828" i="1"/>
  <c r="AF2828" i="1" s="1"/>
  <c r="X2828" i="1"/>
  <c r="AJ2827" i="1"/>
  <c r="AF2827" i="1" s="1"/>
  <c r="W2827" i="1"/>
  <c r="AL2827" i="1" s="1"/>
  <c r="AL2826" i="1"/>
  <c r="AK2826" i="1"/>
  <c r="AJ2826" i="1"/>
  <c r="AF2826" i="1" s="1"/>
  <c r="X2826" i="1"/>
  <c r="AL2825" i="1"/>
  <c r="AK2825" i="1"/>
  <c r="AJ2825" i="1"/>
  <c r="AF2825" i="1" s="1"/>
  <c r="X2825" i="1"/>
  <c r="AL2824" i="1"/>
  <c r="AK2824" i="1"/>
  <c r="AJ2824" i="1"/>
  <c r="AF2824" i="1" s="1"/>
  <c r="X2824" i="1"/>
  <c r="AL2823" i="1"/>
  <c r="AK2823" i="1"/>
  <c r="AJ2823" i="1"/>
  <c r="AF2823" i="1" s="1"/>
  <c r="X2823" i="1"/>
  <c r="AJ2822" i="1"/>
  <c r="AF2822" i="1" s="1"/>
  <c r="AJ2821" i="1"/>
  <c r="AF2821" i="1" s="1"/>
  <c r="AJ2820" i="1"/>
  <c r="AF2820" i="1" s="1"/>
  <c r="AJ2819" i="1"/>
  <c r="AF2819" i="1" s="1"/>
  <c r="AJ2818" i="1"/>
  <c r="AF2818" i="1" s="1"/>
  <c r="W2818" i="1"/>
  <c r="X2818" i="1" s="1"/>
  <c r="AJ2817" i="1"/>
  <c r="AF2817" i="1" s="1"/>
  <c r="AJ2816" i="1"/>
  <c r="AF2816" i="1" s="1"/>
  <c r="W2816" i="1"/>
  <c r="X2816" i="1" s="1"/>
  <c r="AJ2815" i="1"/>
  <c r="AF2815" i="1" s="1"/>
  <c r="AJ2814" i="1"/>
  <c r="AF2814" i="1" s="1"/>
  <c r="AJ2813" i="1"/>
  <c r="AF2813" i="1" s="1"/>
  <c r="W2813" i="1"/>
  <c r="AK2813" i="1" s="1"/>
  <c r="AJ2812" i="1"/>
  <c r="AF2812" i="1" s="1"/>
  <c r="AJ2811" i="1"/>
  <c r="AF2811" i="1" s="1"/>
  <c r="AJ2810" i="1"/>
  <c r="AF2810" i="1" s="1"/>
  <c r="AJ2809" i="1"/>
  <c r="AF2809" i="1" s="1"/>
  <c r="AL2808" i="1"/>
  <c r="AK2808" i="1"/>
  <c r="AJ2808" i="1"/>
  <c r="AF2808" i="1" s="1"/>
  <c r="X2808" i="1"/>
  <c r="AL2807" i="1"/>
  <c r="AK2807" i="1"/>
  <c r="AJ2807" i="1"/>
  <c r="AF2807" i="1" s="1"/>
  <c r="X2807" i="1"/>
  <c r="AL2806" i="1"/>
  <c r="AK2806" i="1"/>
  <c r="AJ2806" i="1"/>
  <c r="AF2806" i="1" s="1"/>
  <c r="X2806" i="1"/>
  <c r="AJ2805" i="1"/>
  <c r="AF2805" i="1" s="1"/>
  <c r="AJ2804" i="1"/>
  <c r="AF2804" i="1" s="1"/>
  <c r="AL2803" i="1"/>
  <c r="AK2803" i="1"/>
  <c r="AJ2803" i="1"/>
  <c r="AF2803" i="1" s="1"/>
  <c r="X2803" i="1"/>
  <c r="AL2802" i="1"/>
  <c r="AK2802" i="1"/>
  <c r="AJ2802" i="1"/>
  <c r="AF2802" i="1" s="1"/>
  <c r="X2802" i="1"/>
  <c r="AL2801" i="1"/>
  <c r="AK2801" i="1"/>
  <c r="AJ2801" i="1"/>
  <c r="AF2801" i="1" s="1"/>
  <c r="X2801" i="1"/>
  <c r="AJ2800" i="1"/>
  <c r="AF2800" i="1" s="1"/>
  <c r="AJ2799" i="1"/>
  <c r="AF2799" i="1" s="1"/>
  <c r="AJ2798" i="1"/>
  <c r="AF2798" i="1" s="1"/>
  <c r="W2798" i="1"/>
  <c r="AJ2797" i="1"/>
  <c r="AF2797" i="1" s="1"/>
  <c r="W2797" i="1"/>
  <c r="AL2797" i="1" s="1"/>
  <c r="AJ2796" i="1"/>
  <c r="AF2796" i="1" s="1"/>
  <c r="W2796" i="1"/>
  <c r="X2796" i="1" s="1"/>
  <c r="AJ2795" i="1"/>
  <c r="AF2795" i="1" s="1"/>
  <c r="AJ2794" i="1"/>
  <c r="AF2794" i="1" s="1"/>
  <c r="AJ2793" i="1"/>
  <c r="AF2793" i="1" s="1"/>
  <c r="AJ2792" i="1"/>
  <c r="AF2792" i="1" s="1"/>
  <c r="AJ2791" i="1"/>
  <c r="AF2791" i="1" s="1"/>
  <c r="AJ2790" i="1"/>
  <c r="AF2790" i="1" s="1"/>
  <c r="AJ2789" i="1"/>
  <c r="AF2789" i="1" s="1"/>
  <c r="AL2788" i="1"/>
  <c r="AK2788" i="1"/>
  <c r="AJ2788" i="1"/>
  <c r="AF2788" i="1" s="1"/>
  <c r="X2788" i="1"/>
  <c r="AL2787" i="1"/>
  <c r="AK2787" i="1"/>
  <c r="AJ2787" i="1"/>
  <c r="AF2787" i="1" s="1"/>
  <c r="X2787" i="1"/>
  <c r="AL2786" i="1"/>
  <c r="AK2786" i="1"/>
  <c r="AJ2786" i="1"/>
  <c r="AF2786" i="1" s="1"/>
  <c r="X2786" i="1"/>
  <c r="AL2785" i="1"/>
  <c r="AK2785" i="1"/>
  <c r="AJ2785" i="1"/>
  <c r="AF2785" i="1" s="1"/>
  <c r="X2785" i="1"/>
  <c r="AJ2784" i="1"/>
  <c r="AF2784" i="1" s="1"/>
  <c r="AJ2783" i="1"/>
  <c r="AF2783" i="1" s="1"/>
  <c r="W2783" i="1"/>
  <c r="AJ2782" i="1"/>
  <c r="AF2782" i="1" s="1"/>
  <c r="AJ2781" i="1"/>
  <c r="AF2781" i="1" s="1"/>
  <c r="W2781" i="1"/>
  <c r="AL2781" i="1" s="1"/>
  <c r="AL2780" i="1"/>
  <c r="AK2780" i="1"/>
  <c r="AJ2780" i="1"/>
  <c r="AF2780" i="1" s="1"/>
  <c r="X2780" i="1"/>
  <c r="AJ2779" i="1"/>
  <c r="AF2779" i="1" s="1"/>
  <c r="AJ2778" i="1"/>
  <c r="AF2778" i="1" s="1"/>
  <c r="AL2777" i="1"/>
  <c r="AK2777" i="1"/>
  <c r="AJ2777" i="1"/>
  <c r="AF2777" i="1" s="1"/>
  <c r="X2777" i="1"/>
  <c r="AJ2776" i="1"/>
  <c r="AF2776" i="1" s="1"/>
  <c r="AL2775" i="1"/>
  <c r="AK2775" i="1"/>
  <c r="AJ2775" i="1"/>
  <c r="AF2775" i="1" s="1"/>
  <c r="X2775" i="1"/>
  <c r="AJ2774" i="1"/>
  <c r="AF2774" i="1" s="1"/>
  <c r="AL2773" i="1"/>
  <c r="AK2773" i="1"/>
  <c r="AJ2773" i="1"/>
  <c r="AF2773" i="1" s="1"/>
  <c r="X2773" i="1"/>
  <c r="AL2772" i="1"/>
  <c r="AK2772" i="1"/>
  <c r="AJ2772" i="1"/>
  <c r="AF2772" i="1" s="1"/>
  <c r="X2772" i="1"/>
  <c r="AL2771" i="1"/>
  <c r="AK2771" i="1"/>
  <c r="AJ2771" i="1"/>
  <c r="AF2771" i="1" s="1"/>
  <c r="X2771" i="1"/>
  <c r="AJ2770" i="1"/>
  <c r="AF2770" i="1" s="1"/>
  <c r="W2770" i="1"/>
  <c r="AJ2769" i="1"/>
  <c r="AF2769" i="1" s="1"/>
  <c r="AJ2768" i="1"/>
  <c r="AF2768" i="1" s="1"/>
  <c r="W2768" i="1"/>
  <c r="AL2767" i="1"/>
  <c r="AK2767" i="1"/>
  <c r="AJ2767" i="1"/>
  <c r="AF2767" i="1" s="1"/>
  <c r="X2767" i="1"/>
  <c r="AL2766" i="1"/>
  <c r="AK2766" i="1"/>
  <c r="AJ2766" i="1"/>
  <c r="AF2766" i="1" s="1"/>
  <c r="X2766" i="1"/>
  <c r="AJ2765" i="1"/>
  <c r="AF2765" i="1" s="1"/>
  <c r="AJ2764" i="1"/>
  <c r="AF2764" i="1" s="1"/>
  <c r="W2764" i="1"/>
  <c r="AL2764" i="1" s="1"/>
  <c r="AJ2763" i="1"/>
  <c r="AF2763" i="1" s="1"/>
  <c r="AL2762" i="1"/>
  <c r="AK2762" i="1"/>
  <c r="AJ2762" i="1"/>
  <c r="AF2762" i="1" s="1"/>
  <c r="X2762" i="1"/>
  <c r="AL2761" i="1"/>
  <c r="AK2761" i="1"/>
  <c r="AJ2761" i="1"/>
  <c r="AF2761" i="1" s="1"/>
  <c r="X2761" i="1"/>
  <c r="AJ2760" i="1"/>
  <c r="AF2760" i="1" s="1"/>
  <c r="W2760" i="1"/>
  <c r="AL2759" i="1"/>
  <c r="AK2759" i="1"/>
  <c r="AJ2759" i="1"/>
  <c r="AF2759" i="1" s="1"/>
  <c r="X2759" i="1"/>
  <c r="AL2758" i="1"/>
  <c r="AK2758" i="1"/>
  <c r="AJ2758" i="1"/>
  <c r="AF2758" i="1" s="1"/>
  <c r="X2758" i="1"/>
  <c r="AJ2757" i="1"/>
  <c r="AF2757" i="1" s="1"/>
  <c r="W2757" i="1"/>
  <c r="AL2756" i="1"/>
  <c r="AK2756" i="1"/>
  <c r="AJ2756" i="1"/>
  <c r="AF2756" i="1" s="1"/>
  <c r="X2756" i="1"/>
  <c r="AJ2755" i="1"/>
  <c r="AF2755" i="1" s="1"/>
  <c r="AJ2754" i="1"/>
  <c r="AF2754" i="1" s="1"/>
  <c r="AL2753" i="1"/>
  <c r="AK2753" i="1"/>
  <c r="AJ2753" i="1"/>
  <c r="AF2753" i="1" s="1"/>
  <c r="X2753" i="1"/>
  <c r="AL2752" i="1"/>
  <c r="AK2752" i="1"/>
  <c r="AJ2752" i="1"/>
  <c r="AF2752" i="1" s="1"/>
  <c r="X2752" i="1"/>
  <c r="AL2751" i="1"/>
  <c r="AK2751" i="1"/>
  <c r="AJ2751" i="1"/>
  <c r="AF2751" i="1" s="1"/>
  <c r="X2751" i="1"/>
  <c r="AL2750" i="1"/>
  <c r="AK2750" i="1"/>
  <c r="AJ2750" i="1"/>
  <c r="AF2750" i="1" s="1"/>
  <c r="X2750" i="1"/>
  <c r="AJ2749" i="1"/>
  <c r="AF2749" i="1" s="1"/>
  <c r="AJ2748" i="1"/>
  <c r="AF2748" i="1" s="1"/>
  <c r="AJ2747" i="1"/>
  <c r="AF2747" i="1" s="1"/>
  <c r="AL2746" i="1"/>
  <c r="AK2746" i="1"/>
  <c r="AJ2746" i="1"/>
  <c r="AF2746" i="1" s="1"/>
  <c r="AL2745" i="1"/>
  <c r="AK2745" i="1"/>
  <c r="AJ2745" i="1"/>
  <c r="AF2745" i="1" s="1"/>
  <c r="X2745" i="1"/>
  <c r="AJ2744" i="1"/>
  <c r="AF2744" i="1" s="1"/>
  <c r="AJ2743" i="1"/>
  <c r="AF2743" i="1" s="1"/>
  <c r="AL2742" i="1"/>
  <c r="AK2742" i="1"/>
  <c r="AJ2742" i="1"/>
  <c r="AF2742" i="1" s="1"/>
  <c r="X2742" i="1"/>
  <c r="AL2741" i="1"/>
  <c r="AK2741" i="1"/>
  <c r="AJ2741" i="1"/>
  <c r="AF2741" i="1" s="1"/>
  <c r="X2741" i="1"/>
  <c r="AL2740" i="1"/>
  <c r="AK2740" i="1"/>
  <c r="AJ2740" i="1"/>
  <c r="AF2740" i="1" s="1"/>
  <c r="X2740" i="1"/>
  <c r="AL2739" i="1"/>
  <c r="AK2739" i="1"/>
  <c r="AJ2739" i="1"/>
  <c r="AF2739" i="1" s="1"/>
  <c r="X2739" i="1"/>
  <c r="AL2738" i="1"/>
  <c r="AK2738" i="1"/>
  <c r="AJ2738" i="1"/>
  <c r="AF2738" i="1" s="1"/>
  <c r="X2738" i="1"/>
  <c r="AL2737" i="1"/>
  <c r="AK2737" i="1"/>
  <c r="AJ2737" i="1"/>
  <c r="AF2737" i="1" s="1"/>
  <c r="X2737" i="1"/>
  <c r="AL2736" i="1"/>
  <c r="AK2736" i="1"/>
  <c r="AJ2736" i="1"/>
  <c r="AF2736" i="1" s="1"/>
  <c r="X2736" i="1"/>
  <c r="AJ2735" i="1"/>
  <c r="AF2735" i="1" s="1"/>
  <c r="AJ2734" i="1"/>
  <c r="AF2734" i="1" s="1"/>
  <c r="AL2733" i="1"/>
  <c r="AK2733" i="1"/>
  <c r="AJ2733" i="1"/>
  <c r="AF2733" i="1" s="1"/>
  <c r="X2733" i="1"/>
  <c r="AL2732" i="1"/>
  <c r="AK2732" i="1"/>
  <c r="AJ2732" i="1"/>
  <c r="AF2732" i="1" s="1"/>
  <c r="X2732" i="1"/>
  <c r="AL2731" i="1"/>
  <c r="AK2731" i="1"/>
  <c r="AJ2731" i="1"/>
  <c r="AF2731" i="1" s="1"/>
  <c r="X2731" i="1"/>
  <c r="AJ2730" i="1"/>
  <c r="AF2730" i="1" s="1"/>
  <c r="AJ2729" i="1"/>
  <c r="AF2729" i="1" s="1"/>
  <c r="W2729" i="1"/>
  <c r="AJ2728" i="1"/>
  <c r="AF2728" i="1" s="1"/>
  <c r="W2728" i="1"/>
  <c r="X2728" i="1" s="1"/>
  <c r="AJ2727" i="1"/>
  <c r="AF2727" i="1" s="1"/>
  <c r="W2727" i="1"/>
  <c r="AK2727" i="1" s="1"/>
  <c r="AL2726" i="1"/>
  <c r="AK2726" i="1"/>
  <c r="AJ2726" i="1"/>
  <c r="AF2726" i="1" s="1"/>
  <c r="X2726" i="1"/>
  <c r="AL2725" i="1"/>
  <c r="AK2725" i="1"/>
  <c r="AJ2725" i="1"/>
  <c r="AF2725" i="1" s="1"/>
  <c r="X2725" i="1"/>
  <c r="AL2724" i="1"/>
  <c r="AK2724" i="1"/>
  <c r="AJ2724" i="1"/>
  <c r="AF2724" i="1" s="1"/>
  <c r="X2724" i="1"/>
  <c r="AL2723" i="1"/>
  <c r="AK2723" i="1"/>
  <c r="AJ2723" i="1"/>
  <c r="AF2723" i="1" s="1"/>
  <c r="X2723" i="1"/>
  <c r="AJ2722" i="1"/>
  <c r="AF2722" i="1" s="1"/>
  <c r="AL2721" i="1"/>
  <c r="AK2721" i="1"/>
  <c r="AJ2721" i="1"/>
  <c r="AF2721" i="1" s="1"/>
  <c r="X2721" i="1"/>
  <c r="AJ2720" i="1"/>
  <c r="AF2720" i="1" s="1"/>
  <c r="W2720" i="1"/>
  <c r="AL2720" i="1" s="1"/>
  <c r="AL2719" i="1"/>
  <c r="AK2719" i="1"/>
  <c r="AJ2719" i="1"/>
  <c r="AF2719" i="1" s="1"/>
  <c r="X2719" i="1"/>
  <c r="AJ2718" i="1"/>
  <c r="AF2718" i="1" s="1"/>
  <c r="AJ2717" i="1"/>
  <c r="AF2717" i="1" s="1"/>
  <c r="W2717" i="1"/>
  <c r="AK2717" i="1" s="1"/>
  <c r="AJ2716" i="1"/>
  <c r="AF2716" i="1" s="1"/>
  <c r="AL2715" i="1"/>
  <c r="AK2715" i="1"/>
  <c r="AJ2715" i="1"/>
  <c r="AF2715" i="1" s="1"/>
  <c r="X2715" i="1"/>
  <c r="AL2714" i="1"/>
  <c r="AK2714" i="1"/>
  <c r="AJ2714" i="1"/>
  <c r="AF2714" i="1" s="1"/>
  <c r="X2714" i="1"/>
  <c r="AL2713" i="1"/>
  <c r="AK2713" i="1"/>
  <c r="AJ2713" i="1"/>
  <c r="AF2713" i="1" s="1"/>
  <c r="X2713" i="1"/>
  <c r="AL2712" i="1"/>
  <c r="AK2712" i="1"/>
  <c r="AJ2712" i="1"/>
  <c r="AF2712" i="1" s="1"/>
  <c r="X2712" i="1"/>
  <c r="AJ2711" i="1"/>
  <c r="AF2711" i="1" s="1"/>
  <c r="W2711" i="1"/>
  <c r="AL2710" i="1"/>
  <c r="AK2710" i="1"/>
  <c r="AJ2710" i="1"/>
  <c r="AF2710" i="1" s="1"/>
  <c r="X2710" i="1"/>
  <c r="AJ2709" i="1"/>
  <c r="AF2709" i="1" s="1"/>
  <c r="AL2708" i="1"/>
  <c r="AK2708" i="1"/>
  <c r="AJ2708" i="1"/>
  <c r="AF2708" i="1" s="1"/>
  <c r="X2708" i="1"/>
  <c r="AJ2707" i="1"/>
  <c r="AF2707" i="1" s="1"/>
  <c r="W2707" i="1"/>
  <c r="X2707" i="1" s="1"/>
  <c r="AJ2706" i="1"/>
  <c r="AF2706" i="1" s="1"/>
  <c r="W2706" i="1"/>
  <c r="AL2705" i="1"/>
  <c r="AK2705" i="1"/>
  <c r="AJ2705" i="1"/>
  <c r="AF2705" i="1" s="1"/>
  <c r="X2705" i="1"/>
  <c r="AJ2704" i="1"/>
  <c r="AF2704" i="1" s="1"/>
  <c r="AL2703" i="1"/>
  <c r="AK2703" i="1"/>
  <c r="AJ2703" i="1"/>
  <c r="AF2703" i="1" s="1"/>
  <c r="X2703" i="1"/>
  <c r="AL2702" i="1"/>
  <c r="AK2702" i="1"/>
  <c r="AJ2702" i="1"/>
  <c r="AF2702" i="1" s="1"/>
  <c r="X2702" i="1"/>
  <c r="AL2701" i="1"/>
  <c r="AK2701" i="1"/>
  <c r="AJ2701" i="1"/>
  <c r="AF2701" i="1" s="1"/>
  <c r="X2701" i="1"/>
  <c r="AL2700" i="1"/>
  <c r="AK2700" i="1"/>
  <c r="AJ2700" i="1"/>
  <c r="AF2700" i="1" s="1"/>
  <c r="X2700" i="1"/>
  <c r="AL2699" i="1"/>
  <c r="AK2699" i="1"/>
  <c r="AJ2699" i="1"/>
  <c r="AF2699" i="1" s="1"/>
  <c r="X2699" i="1"/>
  <c r="AL2698" i="1"/>
  <c r="AK2698" i="1"/>
  <c r="AJ2698" i="1"/>
  <c r="AF2698" i="1" s="1"/>
  <c r="X2698" i="1"/>
  <c r="AL2697" i="1"/>
  <c r="AK2697" i="1"/>
  <c r="AJ2697" i="1"/>
  <c r="AF2697" i="1" s="1"/>
  <c r="X2697" i="1"/>
  <c r="AL2696" i="1"/>
  <c r="AK2696" i="1"/>
  <c r="AJ2696" i="1"/>
  <c r="AF2696" i="1" s="1"/>
  <c r="X2696" i="1"/>
  <c r="AL2695" i="1"/>
  <c r="AK2695" i="1"/>
  <c r="AJ2695" i="1"/>
  <c r="AF2695" i="1" s="1"/>
  <c r="X2695" i="1"/>
  <c r="AL2694" i="1"/>
  <c r="AK2694" i="1"/>
  <c r="AJ2694" i="1"/>
  <c r="AF2694" i="1" s="1"/>
  <c r="X2694" i="1"/>
  <c r="AJ2693" i="1"/>
  <c r="AF2693" i="1" s="1"/>
  <c r="AJ2692" i="1"/>
  <c r="AF2692" i="1" s="1"/>
  <c r="W2692" i="1"/>
  <c r="AJ2691" i="1"/>
  <c r="AF2691" i="1" s="1"/>
  <c r="AJ2690" i="1"/>
  <c r="AF2690" i="1" s="1"/>
  <c r="AJ2689" i="1"/>
  <c r="AF2689" i="1" s="1"/>
  <c r="AJ2688" i="1"/>
  <c r="AF2688" i="1" s="1"/>
  <c r="AL2687" i="1"/>
  <c r="AK2687" i="1"/>
  <c r="AJ2687" i="1"/>
  <c r="AF2687" i="1" s="1"/>
  <c r="X2687" i="1"/>
  <c r="AL2686" i="1"/>
  <c r="AK2686" i="1"/>
  <c r="AJ2686" i="1"/>
  <c r="AF2686" i="1" s="1"/>
  <c r="X2686" i="1"/>
  <c r="AJ2685" i="1"/>
  <c r="AF2685" i="1" s="1"/>
  <c r="AJ2684" i="1"/>
  <c r="AF2684" i="1" s="1"/>
  <c r="AL2683" i="1"/>
  <c r="AK2683" i="1"/>
  <c r="AJ2683" i="1"/>
  <c r="AF2683" i="1" s="1"/>
  <c r="X2683" i="1"/>
  <c r="AL2682" i="1"/>
  <c r="AK2682" i="1"/>
  <c r="AJ2682" i="1"/>
  <c r="AF2682" i="1" s="1"/>
  <c r="X2682" i="1"/>
  <c r="AL2681" i="1"/>
  <c r="AK2681" i="1"/>
  <c r="AJ2681" i="1"/>
  <c r="AF2681" i="1" s="1"/>
  <c r="X2681" i="1"/>
  <c r="AJ2680" i="1"/>
  <c r="AF2680" i="1" s="1"/>
  <c r="AL2679" i="1"/>
  <c r="AK2679" i="1"/>
  <c r="AJ2679" i="1"/>
  <c r="AF2679" i="1" s="1"/>
  <c r="X2679" i="1"/>
  <c r="AJ2678" i="1"/>
  <c r="AF2678" i="1" s="1"/>
  <c r="AJ2677" i="1"/>
  <c r="AF2677" i="1" s="1"/>
  <c r="AL2676" i="1"/>
  <c r="AK2676" i="1"/>
  <c r="AJ2676" i="1"/>
  <c r="AF2676" i="1" s="1"/>
  <c r="X2676" i="1"/>
  <c r="AL2675" i="1"/>
  <c r="AK2675" i="1"/>
  <c r="AJ2675" i="1"/>
  <c r="AF2675" i="1" s="1"/>
  <c r="X2675" i="1"/>
  <c r="AL2674" i="1"/>
  <c r="AK2674" i="1"/>
  <c r="AJ2674" i="1"/>
  <c r="AF2674" i="1" s="1"/>
  <c r="X2674" i="1"/>
  <c r="AL2673" i="1"/>
  <c r="AK2673" i="1"/>
  <c r="AJ2673" i="1"/>
  <c r="AF2673" i="1" s="1"/>
  <c r="X2673" i="1"/>
  <c r="AL2672" i="1"/>
  <c r="AK2672" i="1"/>
  <c r="AJ2672" i="1"/>
  <c r="AF2672" i="1" s="1"/>
  <c r="X2672" i="1"/>
  <c r="AL2671" i="1"/>
  <c r="AK2671" i="1"/>
  <c r="AJ2671" i="1"/>
  <c r="AF2671" i="1" s="1"/>
  <c r="X2671" i="1"/>
  <c r="AL2670" i="1"/>
  <c r="AK2670" i="1"/>
  <c r="AJ2670" i="1"/>
  <c r="AF2670" i="1" s="1"/>
  <c r="X2670" i="1"/>
  <c r="AL2669" i="1"/>
  <c r="AK2669" i="1"/>
  <c r="AJ2669" i="1"/>
  <c r="AF2669" i="1" s="1"/>
  <c r="X2669" i="1"/>
  <c r="AL2668" i="1"/>
  <c r="AK2668" i="1"/>
  <c r="AJ2668" i="1"/>
  <c r="AF2668" i="1" s="1"/>
  <c r="X2668" i="1"/>
  <c r="AL2667" i="1"/>
  <c r="AK2667" i="1"/>
  <c r="AJ2667" i="1"/>
  <c r="AF2667" i="1" s="1"/>
  <c r="X2667" i="1"/>
  <c r="AL2666" i="1"/>
  <c r="AK2666" i="1"/>
  <c r="AJ2666" i="1"/>
  <c r="AF2666" i="1" s="1"/>
  <c r="X2666" i="1"/>
  <c r="AJ2665" i="1"/>
  <c r="AF2665" i="1" s="1"/>
  <c r="AJ2664" i="1"/>
  <c r="AF2664" i="1" s="1"/>
  <c r="W2664" i="1"/>
  <c r="X2664" i="1" s="1"/>
  <c r="AJ2663" i="1"/>
  <c r="AF2663" i="1" s="1"/>
  <c r="AL2662" i="1"/>
  <c r="AK2662" i="1"/>
  <c r="AJ2662" i="1"/>
  <c r="AF2662" i="1" s="1"/>
  <c r="X2662" i="1"/>
  <c r="AL2661" i="1"/>
  <c r="AK2661" i="1"/>
  <c r="AJ2661" i="1"/>
  <c r="AF2661" i="1" s="1"/>
  <c r="X2661" i="1"/>
  <c r="AL2660" i="1"/>
  <c r="AK2660" i="1"/>
  <c r="AJ2660" i="1"/>
  <c r="AF2660" i="1" s="1"/>
  <c r="X2660" i="1"/>
  <c r="AL2659" i="1"/>
  <c r="AK2659" i="1"/>
  <c r="AJ2659" i="1"/>
  <c r="AF2659" i="1" s="1"/>
  <c r="X2659" i="1"/>
  <c r="AL2658" i="1"/>
  <c r="AK2658" i="1"/>
  <c r="AJ2658" i="1"/>
  <c r="AF2658" i="1" s="1"/>
  <c r="X2658" i="1"/>
  <c r="AL2657" i="1"/>
  <c r="AK2657" i="1"/>
  <c r="AJ2657" i="1"/>
  <c r="AF2657" i="1" s="1"/>
  <c r="AG2657" i="1"/>
  <c r="X2657" i="1"/>
  <c r="AJ2656" i="1"/>
  <c r="AF2656" i="1" s="1"/>
  <c r="AJ2655" i="1"/>
  <c r="AF2655" i="1" s="1"/>
  <c r="AJ2654" i="1"/>
  <c r="AF2654" i="1" s="1"/>
  <c r="W2654" i="1"/>
  <c r="AL2653" i="1"/>
  <c r="AK2653" i="1"/>
  <c r="AJ2653" i="1"/>
  <c r="AF2653" i="1" s="1"/>
  <c r="X2653" i="1"/>
  <c r="AL2652" i="1"/>
  <c r="AK2652" i="1"/>
  <c r="AJ2652" i="1"/>
  <c r="AF2652" i="1" s="1"/>
  <c r="X2652" i="1"/>
  <c r="AL2651" i="1"/>
  <c r="AK2651" i="1"/>
  <c r="AJ2651" i="1"/>
  <c r="AF2651" i="1" s="1"/>
  <c r="AL2650" i="1"/>
  <c r="AK2650" i="1"/>
  <c r="AJ2650" i="1"/>
  <c r="AF2650" i="1" s="1"/>
  <c r="X2650" i="1"/>
  <c r="AL2649" i="1"/>
  <c r="AK2649" i="1"/>
  <c r="AJ2649" i="1"/>
  <c r="AF2649" i="1" s="1"/>
  <c r="X2649" i="1"/>
  <c r="AL2648" i="1"/>
  <c r="AK2648" i="1"/>
  <c r="AJ2648" i="1"/>
  <c r="AF2648" i="1" s="1"/>
  <c r="X2648" i="1"/>
  <c r="AL2647" i="1"/>
  <c r="AK2647" i="1"/>
  <c r="AJ2647" i="1"/>
  <c r="AF2647" i="1" s="1"/>
  <c r="X2647" i="1"/>
  <c r="AJ2646" i="1"/>
  <c r="AF2646" i="1" s="1"/>
  <c r="AL2645" i="1"/>
  <c r="AK2645" i="1"/>
  <c r="AJ2645" i="1"/>
  <c r="AF2645" i="1" s="1"/>
  <c r="X2645" i="1"/>
  <c r="AL2644" i="1"/>
  <c r="AK2644" i="1"/>
  <c r="AJ2644" i="1"/>
  <c r="AF2644" i="1" s="1"/>
  <c r="X2644" i="1"/>
  <c r="AJ2643" i="1"/>
  <c r="AF2643" i="1" s="1"/>
  <c r="W2643" i="1"/>
  <c r="AL2643" i="1" s="1"/>
  <c r="AL2642" i="1"/>
  <c r="AK2642" i="1"/>
  <c r="AJ2642" i="1"/>
  <c r="AF2642" i="1" s="1"/>
  <c r="X2642" i="1"/>
  <c r="AL2641" i="1"/>
  <c r="AK2641" i="1"/>
  <c r="AJ2641" i="1"/>
  <c r="AF2641" i="1" s="1"/>
  <c r="AG2641" i="1"/>
  <c r="X2641" i="1"/>
  <c r="AL2640" i="1"/>
  <c r="AK2640" i="1"/>
  <c r="AJ2640" i="1"/>
  <c r="AF2640" i="1" s="1"/>
  <c r="X2640" i="1"/>
  <c r="AJ2639" i="1"/>
  <c r="AF2639" i="1" s="1"/>
  <c r="AJ2638" i="1"/>
  <c r="AF2638" i="1" s="1"/>
  <c r="AL2637" i="1"/>
  <c r="AK2637" i="1"/>
  <c r="AJ2637" i="1"/>
  <c r="AF2637" i="1" s="1"/>
  <c r="X2637" i="1"/>
  <c r="AL2636" i="1"/>
  <c r="AK2636" i="1"/>
  <c r="AJ2636" i="1"/>
  <c r="AF2636" i="1" s="1"/>
  <c r="X2636" i="1"/>
  <c r="AL2635" i="1"/>
  <c r="AK2635" i="1"/>
  <c r="AJ2635" i="1"/>
  <c r="AF2635" i="1" s="1"/>
  <c r="X2635" i="1"/>
  <c r="AL2634" i="1"/>
  <c r="AK2634" i="1"/>
  <c r="AJ2634" i="1"/>
  <c r="AF2634" i="1" s="1"/>
  <c r="X2634" i="1"/>
  <c r="AL2633" i="1"/>
  <c r="AK2633" i="1"/>
  <c r="AJ2633" i="1"/>
  <c r="AF2633" i="1" s="1"/>
  <c r="X2633" i="1"/>
  <c r="AJ2632" i="1"/>
  <c r="AF2632" i="1" s="1"/>
  <c r="AJ2631" i="1"/>
  <c r="AF2631" i="1" s="1"/>
  <c r="W2631" i="1"/>
  <c r="AJ2630" i="1"/>
  <c r="AF2630" i="1" s="1"/>
  <c r="W2630" i="1"/>
  <c r="AJ2629" i="1"/>
  <c r="AF2629" i="1" s="1"/>
  <c r="AJ2628" i="1"/>
  <c r="AF2628" i="1" s="1"/>
  <c r="W2628" i="1"/>
  <c r="AK2628" i="1" s="1"/>
  <c r="AJ2627" i="1"/>
  <c r="AF2627" i="1" s="1"/>
  <c r="W2627" i="1"/>
  <c r="AK2627" i="1" s="1"/>
  <c r="AJ2626" i="1"/>
  <c r="AF2626" i="1" s="1"/>
  <c r="W2626" i="1"/>
  <c r="AJ2625" i="1"/>
  <c r="AF2625" i="1" s="1"/>
  <c r="AL2624" i="1"/>
  <c r="AK2624" i="1"/>
  <c r="AJ2624" i="1"/>
  <c r="AF2624" i="1" s="1"/>
  <c r="X2624" i="1"/>
  <c r="AL2623" i="1"/>
  <c r="AK2623" i="1"/>
  <c r="AJ2623" i="1"/>
  <c r="AF2623" i="1" s="1"/>
  <c r="X2623" i="1"/>
  <c r="AL2622" i="1"/>
  <c r="AK2622" i="1"/>
  <c r="AJ2622" i="1"/>
  <c r="AF2622" i="1" s="1"/>
  <c r="X2622" i="1"/>
  <c r="AL2621" i="1"/>
  <c r="AK2621" i="1"/>
  <c r="AJ2621" i="1"/>
  <c r="AF2621" i="1" s="1"/>
  <c r="X2621" i="1"/>
  <c r="AJ2620" i="1"/>
  <c r="AF2620" i="1" s="1"/>
  <c r="AJ2619" i="1"/>
  <c r="AF2619" i="1" s="1"/>
  <c r="AJ2618" i="1"/>
  <c r="AF2618" i="1" s="1"/>
  <c r="AL2617" i="1"/>
  <c r="AK2617" i="1"/>
  <c r="AJ2617" i="1"/>
  <c r="AF2617" i="1" s="1"/>
  <c r="X2617" i="1"/>
  <c r="AL2616" i="1"/>
  <c r="AK2616" i="1"/>
  <c r="AJ2616" i="1"/>
  <c r="AF2616" i="1" s="1"/>
  <c r="X2616" i="1"/>
  <c r="AJ2615" i="1"/>
  <c r="AF2615" i="1" s="1"/>
  <c r="AJ2614" i="1"/>
  <c r="AF2614" i="1" s="1"/>
  <c r="AJ2613" i="1"/>
  <c r="AF2613" i="1" s="1"/>
  <c r="W2613" i="1"/>
  <c r="AK2613" i="1" s="1"/>
  <c r="AL2612" i="1"/>
  <c r="AK2612" i="1"/>
  <c r="AJ2612" i="1"/>
  <c r="AF2612" i="1" s="1"/>
  <c r="X2612" i="1"/>
  <c r="AJ2611" i="1"/>
  <c r="AF2611" i="1" s="1"/>
  <c r="AL2610" i="1"/>
  <c r="AK2610" i="1"/>
  <c r="AJ2610" i="1"/>
  <c r="AF2610" i="1" s="1"/>
  <c r="X2610" i="1"/>
  <c r="AL2609" i="1"/>
  <c r="AK2609" i="1"/>
  <c r="AJ2609" i="1"/>
  <c r="AF2609" i="1" s="1"/>
  <c r="X2609" i="1"/>
  <c r="AK2608" i="1"/>
  <c r="AJ2608" i="1"/>
  <c r="AF2608" i="1" s="1"/>
  <c r="AL2607" i="1"/>
  <c r="AK2607" i="1"/>
  <c r="AJ2607" i="1"/>
  <c r="AF2607" i="1" s="1"/>
  <c r="X2607" i="1"/>
  <c r="AL2606" i="1"/>
  <c r="AK2606" i="1"/>
  <c r="AJ2606" i="1"/>
  <c r="AF2606" i="1" s="1"/>
  <c r="X2606" i="1"/>
  <c r="AJ2605" i="1"/>
  <c r="AF2605" i="1" s="1"/>
  <c r="W2605" i="1"/>
  <c r="AJ2604" i="1"/>
  <c r="AF2604" i="1" s="1"/>
  <c r="W2604" i="1"/>
  <c r="AL2603" i="1"/>
  <c r="AK2603" i="1"/>
  <c r="AJ2603" i="1"/>
  <c r="AF2603" i="1" s="1"/>
  <c r="X2603" i="1"/>
  <c r="AL2602" i="1"/>
  <c r="AK2602" i="1"/>
  <c r="AJ2602" i="1"/>
  <c r="AF2602" i="1" s="1"/>
  <c r="X2602" i="1"/>
  <c r="AL2601" i="1"/>
  <c r="AK2601" i="1"/>
  <c r="AJ2601" i="1"/>
  <c r="AF2601" i="1" s="1"/>
  <c r="X2601" i="1"/>
  <c r="AL2600" i="1"/>
  <c r="AK2600" i="1"/>
  <c r="AJ2600" i="1"/>
  <c r="AF2600" i="1" s="1"/>
  <c r="X2600" i="1"/>
  <c r="AJ2599" i="1"/>
  <c r="AF2599" i="1" s="1"/>
  <c r="W2599" i="1"/>
  <c r="AJ2598" i="1"/>
  <c r="AF2598" i="1" s="1"/>
  <c r="W2598" i="1"/>
  <c r="AL2597" i="1"/>
  <c r="AK2597" i="1"/>
  <c r="AJ2597" i="1"/>
  <c r="AF2597" i="1" s="1"/>
  <c r="X2597" i="1"/>
  <c r="AL2596" i="1"/>
  <c r="AK2596" i="1"/>
  <c r="AJ2596" i="1"/>
  <c r="AF2596" i="1" s="1"/>
  <c r="X2596" i="1"/>
  <c r="AJ2595" i="1"/>
  <c r="AF2595" i="1" s="1"/>
  <c r="W2595" i="1"/>
  <c r="AK2595" i="1" s="1"/>
  <c r="AL2594" i="1"/>
  <c r="AK2594" i="1"/>
  <c r="AJ2594" i="1"/>
  <c r="AF2594" i="1" s="1"/>
  <c r="X2594" i="1"/>
  <c r="AJ2593" i="1"/>
  <c r="AF2593" i="1" s="1"/>
  <c r="AJ2592" i="1"/>
  <c r="AF2592" i="1" s="1"/>
  <c r="AL2591" i="1"/>
  <c r="AK2591" i="1"/>
  <c r="AJ2591" i="1"/>
  <c r="AF2591" i="1" s="1"/>
  <c r="X2591" i="1"/>
  <c r="AJ2590" i="1"/>
  <c r="AF2590" i="1" s="1"/>
  <c r="AJ2589" i="1"/>
  <c r="AF2589" i="1" s="1"/>
  <c r="AL2588" i="1"/>
  <c r="AK2588" i="1"/>
  <c r="AJ2588" i="1"/>
  <c r="AF2588" i="1" s="1"/>
  <c r="X2588" i="1"/>
  <c r="AL2587" i="1"/>
  <c r="AK2587" i="1"/>
  <c r="AJ2587" i="1"/>
  <c r="AF2587" i="1" s="1"/>
  <c r="X2587" i="1"/>
  <c r="AL2586" i="1"/>
  <c r="AK2586" i="1"/>
  <c r="AJ2586" i="1"/>
  <c r="AF2586" i="1" s="1"/>
  <c r="AG2586" i="1"/>
  <c r="X2586" i="1"/>
  <c r="AL2585" i="1"/>
  <c r="AK2585" i="1"/>
  <c r="AJ2585" i="1"/>
  <c r="AF2585" i="1" s="1"/>
  <c r="X2585" i="1"/>
  <c r="AJ2584" i="1"/>
  <c r="AF2584" i="1" s="1"/>
  <c r="AJ2583" i="1"/>
  <c r="AF2583" i="1" s="1"/>
  <c r="AL2582" i="1"/>
  <c r="AK2582" i="1"/>
  <c r="AJ2582" i="1"/>
  <c r="AF2582" i="1" s="1"/>
  <c r="X2582" i="1"/>
  <c r="AJ2581" i="1"/>
  <c r="AF2581" i="1" s="1"/>
  <c r="W2581" i="1"/>
  <c r="AK2581" i="1" s="1"/>
  <c r="AJ2580" i="1"/>
  <c r="AF2580" i="1" s="1"/>
  <c r="AJ2579" i="1"/>
  <c r="AF2579" i="1" s="1"/>
  <c r="AL2578" i="1"/>
  <c r="AK2578" i="1"/>
  <c r="AJ2578" i="1"/>
  <c r="AF2578" i="1" s="1"/>
  <c r="X2578" i="1"/>
  <c r="AL2577" i="1"/>
  <c r="AK2577" i="1"/>
  <c r="AJ2577" i="1"/>
  <c r="AF2577" i="1" s="1"/>
  <c r="X2577" i="1"/>
  <c r="AJ2576" i="1"/>
  <c r="AF2576" i="1" s="1"/>
  <c r="AL2575" i="1"/>
  <c r="AK2575" i="1"/>
  <c r="AJ2575" i="1"/>
  <c r="AF2575" i="1" s="1"/>
  <c r="X2575" i="1"/>
  <c r="AL2574" i="1"/>
  <c r="AK2574" i="1"/>
  <c r="AJ2574" i="1"/>
  <c r="AF2574" i="1" s="1"/>
  <c r="X2574" i="1"/>
  <c r="AL2573" i="1"/>
  <c r="AK2573" i="1"/>
  <c r="AJ2573" i="1"/>
  <c r="AF2573" i="1" s="1"/>
  <c r="X2573" i="1"/>
  <c r="AJ2572" i="1"/>
  <c r="AF2572" i="1" s="1"/>
  <c r="W2572" i="1"/>
  <c r="AJ2571" i="1"/>
  <c r="AF2571" i="1" s="1"/>
  <c r="W2571" i="1"/>
  <c r="AJ2570" i="1"/>
  <c r="AF2570" i="1" s="1"/>
  <c r="W2570" i="1"/>
  <c r="AJ2569" i="1"/>
  <c r="AF2569" i="1" s="1"/>
  <c r="W2569" i="1"/>
  <c r="AJ2568" i="1"/>
  <c r="AF2568" i="1" s="1"/>
  <c r="W2568" i="1"/>
  <c r="AK2568" i="1" s="1"/>
  <c r="AL2567" i="1"/>
  <c r="AK2567" i="1"/>
  <c r="AJ2567" i="1"/>
  <c r="AF2567" i="1" s="1"/>
  <c r="X2567" i="1"/>
  <c r="AL2566" i="1"/>
  <c r="AK2566" i="1"/>
  <c r="AJ2566" i="1"/>
  <c r="AF2566" i="1" s="1"/>
  <c r="X2566" i="1"/>
  <c r="AL2565" i="1"/>
  <c r="AK2565" i="1"/>
  <c r="AJ2565" i="1"/>
  <c r="AF2565" i="1" s="1"/>
  <c r="X2565" i="1"/>
  <c r="AJ2564" i="1"/>
  <c r="AF2564" i="1" s="1"/>
  <c r="AJ2563" i="1"/>
  <c r="AF2563" i="1" s="1"/>
  <c r="AL2562" i="1"/>
  <c r="AK2562" i="1"/>
  <c r="AJ2562" i="1"/>
  <c r="AF2562" i="1" s="1"/>
  <c r="X2562" i="1"/>
  <c r="AJ2561" i="1"/>
  <c r="AF2561" i="1" s="1"/>
  <c r="W2561" i="1"/>
  <c r="AK2561" i="1" s="1"/>
  <c r="AJ2560" i="1"/>
  <c r="AF2560" i="1" s="1"/>
  <c r="AJ2559" i="1"/>
  <c r="AF2559" i="1" s="1"/>
  <c r="W2559" i="1"/>
  <c r="AJ2558" i="1"/>
  <c r="AF2558" i="1" s="1"/>
  <c r="W2558" i="1"/>
  <c r="AJ2557" i="1"/>
  <c r="AF2557" i="1" s="1"/>
  <c r="AJ2556" i="1"/>
  <c r="AF2556" i="1" s="1"/>
  <c r="W2556" i="1"/>
  <c r="AL2555" i="1"/>
  <c r="AK2555" i="1"/>
  <c r="AJ2555" i="1"/>
  <c r="AF2555" i="1" s="1"/>
  <c r="X2555" i="1"/>
  <c r="AL2554" i="1"/>
  <c r="AK2554" i="1"/>
  <c r="AJ2554" i="1"/>
  <c r="AF2554" i="1" s="1"/>
  <c r="X2554" i="1"/>
  <c r="AJ2553" i="1"/>
  <c r="AF2553" i="1" s="1"/>
  <c r="W2553" i="1"/>
  <c r="AL2552" i="1"/>
  <c r="AK2552" i="1"/>
  <c r="AJ2552" i="1"/>
  <c r="AF2552" i="1" s="1"/>
  <c r="X2552" i="1"/>
  <c r="AL2551" i="1"/>
  <c r="AK2551" i="1"/>
  <c r="AJ2551" i="1"/>
  <c r="AF2551" i="1" s="1"/>
  <c r="X2551" i="1"/>
  <c r="AL2550" i="1"/>
  <c r="AK2550" i="1"/>
  <c r="AJ2550" i="1"/>
  <c r="AF2550" i="1" s="1"/>
  <c r="AJ2549" i="1"/>
  <c r="AF2549" i="1" s="1"/>
  <c r="AL2548" i="1"/>
  <c r="AK2548" i="1"/>
  <c r="AJ2548" i="1"/>
  <c r="AF2548" i="1" s="1"/>
  <c r="X2548" i="1"/>
  <c r="AJ2547" i="1"/>
  <c r="AF2547" i="1" s="1"/>
  <c r="AJ2546" i="1"/>
  <c r="AF2546" i="1" s="1"/>
  <c r="AL2545" i="1"/>
  <c r="AK2545" i="1"/>
  <c r="AJ2545" i="1"/>
  <c r="AF2545" i="1" s="1"/>
  <c r="X2545" i="1"/>
  <c r="AJ2544" i="1"/>
  <c r="AF2544" i="1" s="1"/>
  <c r="AJ2543" i="1"/>
  <c r="AF2543" i="1" s="1"/>
  <c r="AL2542" i="1"/>
  <c r="AK2542" i="1"/>
  <c r="AJ2542" i="1"/>
  <c r="AF2542" i="1" s="1"/>
  <c r="X2542" i="1"/>
  <c r="AJ2541" i="1"/>
  <c r="AF2541" i="1" s="1"/>
  <c r="W2541" i="1"/>
  <c r="X2541" i="1" s="1"/>
  <c r="AJ2540" i="1"/>
  <c r="AF2540" i="1" s="1"/>
  <c r="W2540" i="1"/>
  <c r="AJ2539" i="1"/>
  <c r="AF2539" i="1" s="1"/>
  <c r="W2539" i="1"/>
  <c r="AK2539" i="1" s="1"/>
  <c r="AJ2538" i="1"/>
  <c r="AF2538" i="1" s="1"/>
  <c r="AL2537" i="1"/>
  <c r="AK2537" i="1"/>
  <c r="AJ2537" i="1"/>
  <c r="AF2537" i="1" s="1"/>
  <c r="X2537" i="1"/>
  <c r="AL2536" i="1"/>
  <c r="AK2536" i="1"/>
  <c r="AJ2536" i="1"/>
  <c r="AF2536" i="1" s="1"/>
  <c r="X2536" i="1"/>
  <c r="AL2535" i="1"/>
  <c r="AK2535" i="1"/>
  <c r="AJ2535" i="1"/>
  <c r="AF2535" i="1" s="1"/>
  <c r="X2535" i="1"/>
  <c r="AL2534" i="1"/>
  <c r="AK2534" i="1"/>
  <c r="AJ2534" i="1"/>
  <c r="AF2534" i="1" s="1"/>
  <c r="X2534" i="1"/>
  <c r="AL2533" i="1"/>
  <c r="AK2533" i="1"/>
  <c r="AJ2533" i="1"/>
  <c r="AF2533" i="1" s="1"/>
  <c r="X2533" i="1"/>
  <c r="AL2532" i="1"/>
  <c r="AK2532" i="1"/>
  <c r="AJ2532" i="1"/>
  <c r="AF2532" i="1" s="1"/>
  <c r="X2532" i="1"/>
  <c r="AL2531" i="1"/>
  <c r="AK2531" i="1"/>
  <c r="AJ2531" i="1"/>
  <c r="AF2531" i="1" s="1"/>
  <c r="X2531" i="1"/>
  <c r="AJ2530" i="1"/>
  <c r="AF2530" i="1" s="1"/>
  <c r="W2530" i="1"/>
  <c r="AJ2529" i="1"/>
  <c r="AF2529" i="1" s="1"/>
  <c r="W2529" i="1"/>
  <c r="AL2528" i="1"/>
  <c r="AK2528" i="1"/>
  <c r="AJ2528" i="1"/>
  <c r="AF2528" i="1" s="1"/>
  <c r="X2528" i="1"/>
  <c r="AL2527" i="1"/>
  <c r="AK2527" i="1"/>
  <c r="AJ2527" i="1"/>
  <c r="AF2527" i="1" s="1"/>
  <c r="AL2526" i="1"/>
  <c r="AK2526" i="1"/>
  <c r="AJ2526" i="1"/>
  <c r="AF2526" i="1" s="1"/>
  <c r="AL2525" i="1"/>
  <c r="AK2525" i="1"/>
  <c r="AJ2525" i="1"/>
  <c r="AF2525" i="1" s="1"/>
  <c r="AJ2524" i="1"/>
  <c r="AF2524" i="1" s="1"/>
  <c r="W2524" i="1"/>
  <c r="AJ2523" i="1"/>
  <c r="AF2523" i="1" s="1"/>
  <c r="AJ2522" i="1"/>
  <c r="AF2522" i="1" s="1"/>
  <c r="W2522" i="1"/>
  <c r="X2522" i="1" s="1"/>
  <c r="AJ2521" i="1"/>
  <c r="AF2521" i="1" s="1"/>
  <c r="W2521" i="1"/>
  <c r="AJ2520" i="1"/>
  <c r="AF2520" i="1" s="1"/>
  <c r="AJ2519" i="1"/>
  <c r="AF2519" i="1" s="1"/>
  <c r="AJ2518" i="1"/>
  <c r="AF2518" i="1" s="1"/>
  <c r="W2518" i="1"/>
  <c r="AJ2517" i="1"/>
  <c r="AF2517" i="1" s="1"/>
  <c r="W2517" i="1"/>
  <c r="AJ2516" i="1"/>
  <c r="AF2516" i="1" s="1"/>
  <c r="AJ2515" i="1"/>
  <c r="AF2515" i="1" s="1"/>
  <c r="AJ2514" i="1"/>
  <c r="AF2514" i="1" s="1"/>
  <c r="AG2514" i="1"/>
  <c r="AL2513" i="1"/>
  <c r="AK2513" i="1"/>
  <c r="AJ2513" i="1"/>
  <c r="AF2513" i="1" s="1"/>
  <c r="X2513" i="1"/>
  <c r="AL2512" i="1"/>
  <c r="AK2512" i="1"/>
  <c r="AJ2512" i="1"/>
  <c r="AF2512" i="1" s="1"/>
  <c r="X2512" i="1"/>
  <c r="AL2511" i="1"/>
  <c r="AK2511" i="1"/>
  <c r="AJ2511" i="1"/>
  <c r="AF2511" i="1" s="1"/>
  <c r="AG2511" i="1"/>
  <c r="X2511" i="1"/>
  <c r="AL2510" i="1"/>
  <c r="AK2510" i="1"/>
  <c r="AJ2510" i="1"/>
  <c r="AF2510" i="1" s="1"/>
  <c r="X2510" i="1"/>
  <c r="AJ2509" i="1"/>
  <c r="AF2509" i="1" s="1"/>
  <c r="AJ2508" i="1"/>
  <c r="AF2508" i="1" s="1"/>
  <c r="AL2507" i="1"/>
  <c r="AK2507" i="1"/>
  <c r="AJ2507" i="1"/>
  <c r="AF2507" i="1" s="1"/>
  <c r="X2507" i="1"/>
  <c r="AL2506" i="1"/>
  <c r="AK2506" i="1"/>
  <c r="AJ2506" i="1"/>
  <c r="AF2506" i="1" s="1"/>
  <c r="X2506" i="1"/>
  <c r="AJ2505" i="1"/>
  <c r="AF2505" i="1" s="1"/>
  <c r="AJ2504" i="1"/>
  <c r="AF2504" i="1" s="1"/>
  <c r="AJ2503" i="1"/>
  <c r="AF2503" i="1" s="1"/>
  <c r="AJ2502" i="1"/>
  <c r="AF2502" i="1" s="1"/>
  <c r="AJ2501" i="1"/>
  <c r="AF2501" i="1" s="1"/>
  <c r="AJ2500" i="1"/>
  <c r="AF2500" i="1" s="1"/>
  <c r="AJ2499" i="1"/>
  <c r="AF2499" i="1" s="1"/>
  <c r="AL2498" i="1"/>
  <c r="AK2498" i="1"/>
  <c r="AJ2498" i="1"/>
  <c r="AF2498" i="1" s="1"/>
  <c r="X2498" i="1"/>
  <c r="AL2497" i="1"/>
  <c r="AK2497" i="1"/>
  <c r="AJ2497" i="1"/>
  <c r="AF2497" i="1" s="1"/>
  <c r="X2497" i="1"/>
  <c r="AL2496" i="1"/>
  <c r="AK2496" i="1"/>
  <c r="AJ2496" i="1"/>
  <c r="AF2496" i="1" s="1"/>
  <c r="X2496" i="1"/>
  <c r="AL2495" i="1"/>
  <c r="AK2495" i="1"/>
  <c r="AJ2495" i="1"/>
  <c r="AF2495" i="1" s="1"/>
  <c r="X2495" i="1"/>
  <c r="AJ2494" i="1"/>
  <c r="AF2494" i="1" s="1"/>
  <c r="AJ2493" i="1"/>
  <c r="AF2493" i="1" s="1"/>
  <c r="AJ2492" i="1"/>
  <c r="AF2492" i="1" s="1"/>
  <c r="AJ2491" i="1"/>
  <c r="AF2491" i="1" s="1"/>
  <c r="AL2490" i="1"/>
  <c r="AK2490" i="1"/>
  <c r="AJ2490" i="1"/>
  <c r="AF2490" i="1" s="1"/>
  <c r="X2490" i="1"/>
  <c r="AL2489" i="1"/>
  <c r="AK2489" i="1"/>
  <c r="AJ2489" i="1"/>
  <c r="AF2489" i="1" s="1"/>
  <c r="X2489" i="1"/>
  <c r="AJ2488" i="1"/>
  <c r="AF2488" i="1" s="1"/>
  <c r="AL2487" i="1"/>
  <c r="AK2487" i="1"/>
  <c r="AJ2487" i="1"/>
  <c r="AF2487" i="1" s="1"/>
  <c r="X2487" i="1"/>
  <c r="AL2486" i="1"/>
  <c r="AK2486" i="1"/>
  <c r="AJ2486" i="1"/>
  <c r="AF2486" i="1" s="1"/>
  <c r="X2486" i="1"/>
  <c r="AL2485" i="1"/>
  <c r="AK2485" i="1"/>
  <c r="AJ2485" i="1"/>
  <c r="AF2485" i="1" s="1"/>
  <c r="X2485" i="1"/>
  <c r="AJ2484" i="1"/>
  <c r="AF2484" i="1" s="1"/>
  <c r="AJ2483" i="1"/>
  <c r="AF2483" i="1" s="1"/>
  <c r="AL2482" i="1"/>
  <c r="AK2482" i="1"/>
  <c r="AJ2482" i="1"/>
  <c r="AF2482" i="1" s="1"/>
  <c r="X2482" i="1"/>
  <c r="AL2481" i="1"/>
  <c r="AK2481" i="1"/>
  <c r="AJ2481" i="1"/>
  <c r="AF2481" i="1" s="1"/>
  <c r="X2481" i="1"/>
  <c r="AJ2480" i="1"/>
  <c r="AF2480" i="1" s="1"/>
  <c r="W2480" i="1"/>
  <c r="AJ2479" i="1"/>
  <c r="AF2479" i="1" s="1"/>
  <c r="W2479" i="1"/>
  <c r="AJ2478" i="1"/>
  <c r="AF2478" i="1" s="1"/>
  <c r="W2478" i="1"/>
  <c r="X2478" i="1" s="1"/>
  <c r="AJ2477" i="1"/>
  <c r="AF2477" i="1" s="1"/>
  <c r="W2477" i="1"/>
  <c r="AL2477" i="1" s="1"/>
  <c r="AJ2476" i="1"/>
  <c r="AF2476" i="1" s="1"/>
  <c r="AJ2475" i="1"/>
  <c r="AF2475" i="1" s="1"/>
  <c r="AL2474" i="1"/>
  <c r="AK2474" i="1"/>
  <c r="AJ2474" i="1"/>
  <c r="AF2474" i="1" s="1"/>
  <c r="X2474" i="1"/>
  <c r="AJ2473" i="1"/>
  <c r="AF2473" i="1" s="1"/>
  <c r="W2473" i="1"/>
  <c r="AJ2472" i="1"/>
  <c r="AF2472" i="1" s="1"/>
  <c r="AL2471" i="1"/>
  <c r="AK2471" i="1"/>
  <c r="AJ2471" i="1"/>
  <c r="AF2471" i="1" s="1"/>
  <c r="X2471" i="1"/>
  <c r="AL2470" i="1"/>
  <c r="AK2470" i="1"/>
  <c r="AJ2470" i="1"/>
  <c r="AF2470" i="1" s="1"/>
  <c r="X2470" i="1"/>
  <c r="AJ2469" i="1"/>
  <c r="AF2469" i="1" s="1"/>
  <c r="AJ2468" i="1"/>
  <c r="AF2468" i="1" s="1"/>
  <c r="AJ2467" i="1"/>
  <c r="AF2467" i="1" s="1"/>
  <c r="W2467" i="1"/>
  <c r="X2467" i="1" s="1"/>
  <c r="AJ2466" i="1"/>
  <c r="AF2466" i="1" s="1"/>
  <c r="AJ2465" i="1"/>
  <c r="AF2465" i="1" s="1"/>
  <c r="AL2464" i="1"/>
  <c r="AK2464" i="1"/>
  <c r="AJ2464" i="1"/>
  <c r="AF2464" i="1" s="1"/>
  <c r="X2464" i="1"/>
  <c r="AL2463" i="1"/>
  <c r="AK2463" i="1"/>
  <c r="AJ2463" i="1"/>
  <c r="AF2463" i="1" s="1"/>
  <c r="X2463" i="1"/>
  <c r="AJ2462" i="1"/>
  <c r="AF2462" i="1" s="1"/>
  <c r="AJ2461" i="1"/>
  <c r="AF2461" i="1" s="1"/>
  <c r="AL2460" i="1"/>
  <c r="AK2460" i="1"/>
  <c r="AJ2460" i="1"/>
  <c r="AF2460" i="1" s="1"/>
  <c r="X2460" i="1"/>
  <c r="AL2459" i="1"/>
  <c r="AK2459" i="1"/>
  <c r="AJ2459" i="1"/>
  <c r="AF2459" i="1" s="1"/>
  <c r="X2459" i="1"/>
  <c r="AL2458" i="1"/>
  <c r="AK2458" i="1"/>
  <c r="AJ2458" i="1"/>
  <c r="AF2458" i="1" s="1"/>
  <c r="AL2457" i="1"/>
  <c r="AK2457" i="1"/>
  <c r="AJ2457" i="1"/>
  <c r="AF2457" i="1" s="1"/>
  <c r="X2457" i="1"/>
  <c r="AL2456" i="1"/>
  <c r="AK2456" i="1"/>
  <c r="AJ2456" i="1"/>
  <c r="AF2456" i="1" s="1"/>
  <c r="X2456" i="1"/>
  <c r="AL2455" i="1"/>
  <c r="AK2455" i="1"/>
  <c r="AJ2455" i="1"/>
  <c r="AF2455" i="1" s="1"/>
  <c r="X2455" i="1"/>
  <c r="AL2454" i="1"/>
  <c r="AK2454" i="1"/>
  <c r="AJ2454" i="1"/>
  <c r="AF2454" i="1" s="1"/>
  <c r="X2454" i="1"/>
  <c r="AJ2453" i="1"/>
  <c r="AF2453" i="1" s="1"/>
  <c r="AL2452" i="1"/>
  <c r="AK2452" i="1"/>
  <c r="AJ2452" i="1"/>
  <c r="AF2452" i="1" s="1"/>
  <c r="X2452" i="1"/>
  <c r="AJ2451" i="1"/>
  <c r="AF2451" i="1" s="1"/>
  <c r="AL2450" i="1"/>
  <c r="AK2450" i="1"/>
  <c r="AJ2450" i="1"/>
  <c r="AF2450" i="1" s="1"/>
  <c r="AG2450" i="1"/>
  <c r="X2450" i="1"/>
  <c r="AL2449" i="1"/>
  <c r="AK2449" i="1"/>
  <c r="AJ2449" i="1"/>
  <c r="AF2449" i="1" s="1"/>
  <c r="X2449" i="1"/>
  <c r="AL2448" i="1"/>
  <c r="AK2448" i="1"/>
  <c r="AJ2448" i="1"/>
  <c r="AF2448" i="1" s="1"/>
  <c r="X2448" i="1"/>
  <c r="AL2447" i="1"/>
  <c r="AK2447" i="1"/>
  <c r="AJ2447" i="1"/>
  <c r="AF2447" i="1" s="1"/>
  <c r="X2447" i="1"/>
  <c r="AJ2446" i="1"/>
  <c r="AF2446" i="1" s="1"/>
  <c r="W2446" i="1"/>
  <c r="AL2445" i="1"/>
  <c r="AK2445" i="1"/>
  <c r="AJ2445" i="1"/>
  <c r="AF2445" i="1" s="1"/>
  <c r="X2445" i="1"/>
  <c r="AJ2444" i="1"/>
  <c r="AF2444" i="1" s="1"/>
  <c r="AJ2443" i="1"/>
  <c r="AF2443" i="1" s="1"/>
  <c r="AL2442" i="1"/>
  <c r="AK2442" i="1"/>
  <c r="AJ2442" i="1"/>
  <c r="AF2442" i="1" s="1"/>
  <c r="X2442" i="1"/>
  <c r="AL2441" i="1"/>
  <c r="AK2441" i="1"/>
  <c r="AJ2441" i="1"/>
  <c r="AF2441" i="1" s="1"/>
  <c r="X2441" i="1"/>
  <c r="AJ2440" i="1"/>
  <c r="AF2440" i="1" s="1"/>
  <c r="AJ2439" i="1"/>
  <c r="AF2439" i="1" s="1"/>
  <c r="AL2438" i="1"/>
  <c r="AK2438" i="1"/>
  <c r="AJ2438" i="1"/>
  <c r="AF2438" i="1" s="1"/>
  <c r="X2438" i="1"/>
  <c r="AJ2437" i="1"/>
  <c r="AF2437" i="1" s="1"/>
  <c r="AJ2436" i="1"/>
  <c r="AF2436" i="1" s="1"/>
  <c r="AJ2435" i="1"/>
  <c r="AF2435" i="1" s="1"/>
  <c r="W2435" i="1"/>
  <c r="AL2435" i="1" s="1"/>
  <c r="AJ2434" i="1"/>
  <c r="AF2434" i="1" s="1"/>
  <c r="W2434" i="1"/>
  <c r="AJ2433" i="1"/>
  <c r="AF2433" i="1" s="1"/>
  <c r="W2433" i="1"/>
  <c r="AL2433" i="1" s="1"/>
  <c r="AL2432" i="1"/>
  <c r="AK2432" i="1"/>
  <c r="AJ2432" i="1"/>
  <c r="AF2432" i="1" s="1"/>
  <c r="X2432" i="1"/>
  <c r="AL2431" i="1"/>
  <c r="AK2431" i="1"/>
  <c r="AJ2431" i="1"/>
  <c r="AF2431" i="1" s="1"/>
  <c r="X2431" i="1"/>
  <c r="AL2430" i="1"/>
  <c r="AK2430" i="1"/>
  <c r="AJ2430" i="1"/>
  <c r="AF2430" i="1" s="1"/>
  <c r="X2430" i="1"/>
  <c r="AL2429" i="1"/>
  <c r="AK2429" i="1"/>
  <c r="AJ2429" i="1"/>
  <c r="AF2429" i="1" s="1"/>
  <c r="X2429" i="1"/>
  <c r="AJ2428" i="1"/>
  <c r="AF2428" i="1" s="1"/>
  <c r="W2428" i="1"/>
  <c r="AK2428" i="1" s="1"/>
  <c r="AJ2427" i="1"/>
  <c r="AF2427" i="1" s="1"/>
  <c r="W2427" i="1"/>
  <c r="AK2427" i="1" s="1"/>
  <c r="AJ2426" i="1"/>
  <c r="AF2426" i="1" s="1"/>
  <c r="W2426" i="1"/>
  <c r="AJ2425" i="1"/>
  <c r="AF2425" i="1" s="1"/>
  <c r="W2425" i="1"/>
  <c r="AL2425" i="1" s="1"/>
  <c r="AL2424" i="1"/>
  <c r="AK2424" i="1"/>
  <c r="AJ2424" i="1"/>
  <c r="AF2424" i="1" s="1"/>
  <c r="X2424" i="1"/>
  <c r="AJ2423" i="1"/>
  <c r="AF2423" i="1" s="1"/>
  <c r="W2423" i="1"/>
  <c r="AJ2422" i="1"/>
  <c r="AF2422" i="1" s="1"/>
  <c r="AL2421" i="1"/>
  <c r="AK2421" i="1"/>
  <c r="AJ2421" i="1"/>
  <c r="AF2421" i="1" s="1"/>
  <c r="X2421" i="1"/>
  <c r="AL2420" i="1"/>
  <c r="AK2420" i="1"/>
  <c r="AJ2420" i="1"/>
  <c r="AF2420" i="1" s="1"/>
  <c r="X2420" i="1"/>
  <c r="AL2419" i="1"/>
  <c r="AK2419" i="1"/>
  <c r="AJ2419" i="1"/>
  <c r="AF2419" i="1" s="1"/>
  <c r="X2419" i="1"/>
  <c r="AJ2418" i="1"/>
  <c r="AF2418" i="1" s="1"/>
  <c r="AJ2417" i="1"/>
  <c r="AF2417" i="1" s="1"/>
  <c r="AL2416" i="1"/>
  <c r="AK2416" i="1"/>
  <c r="AJ2416" i="1"/>
  <c r="AF2416" i="1" s="1"/>
  <c r="X2416" i="1"/>
  <c r="AL2415" i="1"/>
  <c r="AK2415" i="1"/>
  <c r="AJ2415" i="1"/>
  <c r="AF2415" i="1" s="1"/>
  <c r="X2415" i="1"/>
  <c r="AL2414" i="1"/>
  <c r="AK2414" i="1"/>
  <c r="AJ2414" i="1"/>
  <c r="AF2414" i="1" s="1"/>
  <c r="X2414" i="1"/>
  <c r="AL2413" i="1"/>
  <c r="AK2413" i="1"/>
  <c r="AJ2413" i="1"/>
  <c r="AF2413" i="1" s="1"/>
  <c r="X2413" i="1"/>
  <c r="AL2412" i="1"/>
  <c r="AK2412" i="1"/>
  <c r="AJ2412" i="1"/>
  <c r="AF2412" i="1" s="1"/>
  <c r="X2412" i="1"/>
  <c r="AJ2411" i="1"/>
  <c r="AF2411" i="1" s="1"/>
  <c r="AJ2410" i="1"/>
  <c r="AF2410" i="1" s="1"/>
  <c r="AJ2409" i="1"/>
  <c r="AF2409" i="1" s="1"/>
  <c r="AL2408" i="1"/>
  <c r="AK2408" i="1"/>
  <c r="AJ2408" i="1"/>
  <c r="AF2408" i="1" s="1"/>
  <c r="X2408" i="1"/>
  <c r="AJ2407" i="1"/>
  <c r="AF2407" i="1" s="1"/>
  <c r="AJ2406" i="1"/>
  <c r="AF2406" i="1" s="1"/>
  <c r="AL2405" i="1"/>
  <c r="AK2405" i="1"/>
  <c r="AJ2405" i="1"/>
  <c r="AF2405" i="1" s="1"/>
  <c r="X2405" i="1"/>
  <c r="AJ2404" i="1"/>
  <c r="AF2404" i="1" s="1"/>
  <c r="AJ2403" i="1"/>
  <c r="AF2403" i="1" s="1"/>
  <c r="AJ2402" i="1"/>
  <c r="AF2402" i="1" s="1"/>
  <c r="W2402" i="1"/>
  <c r="AJ2401" i="1"/>
  <c r="AF2401" i="1" s="1"/>
  <c r="W2401" i="1"/>
  <c r="AJ2400" i="1"/>
  <c r="AF2400" i="1" s="1"/>
  <c r="W2400" i="1"/>
  <c r="AL2400" i="1" s="1"/>
  <c r="AJ2399" i="1"/>
  <c r="AF2399" i="1" s="1"/>
  <c r="AL2398" i="1"/>
  <c r="AK2398" i="1"/>
  <c r="AJ2398" i="1"/>
  <c r="AF2398" i="1" s="1"/>
  <c r="X2398" i="1"/>
  <c r="AJ2397" i="1"/>
  <c r="AF2397" i="1" s="1"/>
  <c r="AL2396" i="1"/>
  <c r="AK2396" i="1"/>
  <c r="AJ2396" i="1"/>
  <c r="AF2396" i="1" s="1"/>
  <c r="X2396" i="1"/>
  <c r="AL2395" i="1"/>
  <c r="AK2395" i="1"/>
  <c r="AJ2395" i="1"/>
  <c r="AF2395" i="1" s="1"/>
  <c r="X2395" i="1"/>
  <c r="AK2394" i="1"/>
  <c r="AJ2394" i="1"/>
  <c r="AF2394" i="1" s="1"/>
  <c r="AL2393" i="1"/>
  <c r="AK2393" i="1"/>
  <c r="AJ2393" i="1"/>
  <c r="AF2393" i="1" s="1"/>
  <c r="X2393" i="1"/>
  <c r="AL2392" i="1"/>
  <c r="AK2392" i="1"/>
  <c r="AJ2392" i="1"/>
  <c r="AF2392" i="1" s="1"/>
  <c r="X2392" i="1"/>
  <c r="AJ2391" i="1"/>
  <c r="AF2391" i="1" s="1"/>
  <c r="AJ2390" i="1"/>
  <c r="AF2390" i="1" s="1"/>
  <c r="AJ2389" i="1"/>
  <c r="AF2389" i="1" s="1"/>
  <c r="AJ2388" i="1"/>
  <c r="AF2388" i="1" s="1"/>
  <c r="AJ2387" i="1"/>
  <c r="AF2387" i="1" s="1"/>
  <c r="AJ2386" i="1"/>
  <c r="AF2386" i="1" s="1"/>
  <c r="AL2385" i="1"/>
  <c r="AK2385" i="1"/>
  <c r="AJ2385" i="1"/>
  <c r="AF2385" i="1" s="1"/>
  <c r="X2385" i="1"/>
  <c r="AL2384" i="1"/>
  <c r="AK2384" i="1"/>
  <c r="AJ2384" i="1"/>
  <c r="AF2384" i="1" s="1"/>
  <c r="X2384" i="1"/>
  <c r="AL2383" i="1"/>
  <c r="AK2383" i="1"/>
  <c r="AJ2383" i="1"/>
  <c r="AF2383" i="1" s="1"/>
  <c r="X2383" i="1"/>
  <c r="AJ2382" i="1"/>
  <c r="AF2382" i="1" s="1"/>
  <c r="W2382" i="1"/>
  <c r="AL2381" i="1"/>
  <c r="AK2381" i="1"/>
  <c r="AJ2381" i="1"/>
  <c r="AF2381" i="1" s="1"/>
  <c r="AL2380" i="1"/>
  <c r="AK2380" i="1"/>
  <c r="AJ2380" i="1"/>
  <c r="AF2380" i="1" s="1"/>
  <c r="X2380" i="1"/>
  <c r="AJ2379" i="1"/>
  <c r="AF2379" i="1" s="1"/>
  <c r="AJ2378" i="1"/>
  <c r="AF2378" i="1" s="1"/>
  <c r="AL2377" i="1"/>
  <c r="AK2377" i="1"/>
  <c r="AJ2377" i="1"/>
  <c r="AF2377" i="1" s="1"/>
  <c r="X2377" i="1"/>
  <c r="AL2376" i="1"/>
  <c r="AK2376" i="1"/>
  <c r="AJ2376" i="1"/>
  <c r="AF2376" i="1" s="1"/>
  <c r="X2376" i="1"/>
  <c r="AJ2375" i="1"/>
  <c r="AF2375" i="1" s="1"/>
  <c r="AJ2374" i="1"/>
  <c r="AF2374" i="1" s="1"/>
  <c r="AJ2373" i="1"/>
  <c r="AF2373" i="1" s="1"/>
  <c r="AL2372" i="1"/>
  <c r="AK2372" i="1"/>
  <c r="AJ2372" i="1"/>
  <c r="AF2372" i="1" s="1"/>
  <c r="X2372" i="1"/>
  <c r="AJ2371" i="1"/>
  <c r="AF2371" i="1" s="1"/>
  <c r="AJ2370" i="1"/>
  <c r="AF2370" i="1" s="1"/>
  <c r="W2370" i="1"/>
  <c r="AJ2369" i="1"/>
  <c r="AF2369" i="1" s="1"/>
  <c r="W2369" i="1"/>
  <c r="AL2368" i="1"/>
  <c r="AK2368" i="1"/>
  <c r="AJ2368" i="1"/>
  <c r="AF2368" i="1" s="1"/>
  <c r="AL2367" i="1"/>
  <c r="AK2367" i="1"/>
  <c r="AJ2367" i="1"/>
  <c r="AF2367" i="1" s="1"/>
  <c r="X2367" i="1"/>
  <c r="AL2366" i="1"/>
  <c r="AK2366" i="1"/>
  <c r="AJ2366" i="1"/>
  <c r="AF2366" i="1" s="1"/>
  <c r="X2366" i="1"/>
  <c r="AL2365" i="1"/>
  <c r="AK2365" i="1"/>
  <c r="AJ2365" i="1"/>
  <c r="AF2365" i="1" s="1"/>
  <c r="X2365" i="1"/>
  <c r="AL2364" i="1"/>
  <c r="AK2364" i="1"/>
  <c r="AJ2364" i="1"/>
  <c r="AF2364" i="1" s="1"/>
  <c r="X2364" i="1"/>
  <c r="AL2363" i="1"/>
  <c r="AK2363" i="1"/>
  <c r="AJ2363" i="1"/>
  <c r="AF2363" i="1" s="1"/>
  <c r="X2363" i="1"/>
  <c r="AJ2362" i="1"/>
  <c r="AF2362" i="1" s="1"/>
  <c r="AJ2361" i="1"/>
  <c r="AF2361" i="1" s="1"/>
  <c r="AJ2360" i="1"/>
  <c r="AF2360" i="1" s="1"/>
  <c r="AJ2359" i="1"/>
  <c r="AF2359" i="1" s="1"/>
  <c r="AL2358" i="1"/>
  <c r="AK2358" i="1"/>
  <c r="AJ2358" i="1"/>
  <c r="AF2358" i="1" s="1"/>
  <c r="X2358" i="1"/>
  <c r="AL2357" i="1"/>
  <c r="AK2357" i="1"/>
  <c r="AJ2357" i="1"/>
  <c r="AF2357" i="1" s="1"/>
  <c r="X2357" i="1"/>
  <c r="AL2356" i="1"/>
  <c r="AK2356" i="1"/>
  <c r="AJ2356" i="1"/>
  <c r="AF2356" i="1" s="1"/>
  <c r="X2356" i="1"/>
  <c r="AL2355" i="1"/>
  <c r="AK2355" i="1"/>
  <c r="AJ2355" i="1"/>
  <c r="AF2355" i="1" s="1"/>
  <c r="X2355" i="1"/>
  <c r="AL2354" i="1"/>
  <c r="AK2354" i="1"/>
  <c r="AJ2354" i="1"/>
  <c r="AF2354" i="1" s="1"/>
  <c r="AJ2353" i="1"/>
  <c r="AF2353" i="1" s="1"/>
  <c r="AJ2352" i="1"/>
  <c r="AF2352" i="1" s="1"/>
  <c r="AJ2351" i="1"/>
  <c r="AF2351" i="1" s="1"/>
  <c r="AL2350" i="1"/>
  <c r="AK2350" i="1"/>
  <c r="AJ2350" i="1"/>
  <c r="AF2350" i="1" s="1"/>
  <c r="X2350" i="1"/>
  <c r="AJ2349" i="1"/>
  <c r="AF2349" i="1" s="1"/>
  <c r="W2349" i="1"/>
  <c r="AJ2348" i="1"/>
  <c r="AF2348" i="1" s="1"/>
  <c r="AJ2347" i="1"/>
  <c r="AF2347" i="1" s="1"/>
  <c r="AJ2346" i="1"/>
  <c r="AF2346" i="1" s="1"/>
  <c r="AJ2345" i="1"/>
  <c r="AF2345" i="1" s="1"/>
  <c r="AL2344" i="1"/>
  <c r="AK2344" i="1"/>
  <c r="AJ2344" i="1"/>
  <c r="AF2344" i="1" s="1"/>
  <c r="X2344" i="1"/>
  <c r="AJ2343" i="1"/>
  <c r="AF2343" i="1" s="1"/>
  <c r="AJ2342" i="1"/>
  <c r="AF2342" i="1" s="1"/>
  <c r="AJ2341" i="1"/>
  <c r="AF2341" i="1" s="1"/>
  <c r="AJ2340" i="1"/>
  <c r="AF2340" i="1" s="1"/>
  <c r="AL2339" i="1"/>
  <c r="AK2339" i="1"/>
  <c r="AJ2339" i="1"/>
  <c r="AF2339" i="1" s="1"/>
  <c r="X2339" i="1"/>
  <c r="AJ2338" i="1"/>
  <c r="AF2338" i="1" s="1"/>
  <c r="W2338" i="1"/>
  <c r="AJ2337" i="1"/>
  <c r="AF2337" i="1" s="1"/>
  <c r="W2337" i="1"/>
  <c r="AJ2336" i="1"/>
  <c r="AF2336" i="1" s="1"/>
  <c r="W2336" i="1"/>
  <c r="AL2336" i="1" s="1"/>
  <c r="AJ2335" i="1"/>
  <c r="AF2335" i="1" s="1"/>
  <c r="AJ2334" i="1"/>
  <c r="AF2334" i="1" s="1"/>
  <c r="AJ2333" i="1"/>
  <c r="AF2333" i="1" s="1"/>
  <c r="AJ2332" i="1"/>
  <c r="AF2332" i="1" s="1"/>
  <c r="AJ2331" i="1"/>
  <c r="AF2331" i="1" s="1"/>
  <c r="AJ2330" i="1"/>
  <c r="AF2330" i="1" s="1"/>
  <c r="AJ2329" i="1"/>
  <c r="AF2329" i="1" s="1"/>
  <c r="AJ2328" i="1"/>
  <c r="AF2328" i="1" s="1"/>
  <c r="AL2327" i="1"/>
  <c r="AK2327" i="1"/>
  <c r="AJ2327" i="1"/>
  <c r="AF2327" i="1" s="1"/>
  <c r="X2327" i="1"/>
  <c r="AL2326" i="1"/>
  <c r="AK2326" i="1"/>
  <c r="AJ2326" i="1"/>
  <c r="AF2326" i="1" s="1"/>
  <c r="X2326" i="1"/>
  <c r="AL2325" i="1"/>
  <c r="AK2325" i="1"/>
  <c r="AJ2325" i="1"/>
  <c r="AF2325" i="1" s="1"/>
  <c r="X2325" i="1"/>
  <c r="AJ2324" i="1"/>
  <c r="AF2324" i="1" s="1"/>
  <c r="AJ2323" i="1"/>
  <c r="AF2323" i="1" s="1"/>
  <c r="AL2322" i="1"/>
  <c r="AK2322" i="1"/>
  <c r="AJ2322" i="1"/>
  <c r="AF2322" i="1" s="1"/>
  <c r="X2322" i="1"/>
  <c r="AJ2321" i="1"/>
  <c r="AF2321" i="1" s="1"/>
  <c r="AJ2320" i="1"/>
  <c r="AF2320" i="1" s="1"/>
  <c r="AL2319" i="1"/>
  <c r="AK2319" i="1"/>
  <c r="AJ2319" i="1"/>
  <c r="AF2319" i="1" s="1"/>
  <c r="X2319" i="1"/>
  <c r="AJ2318" i="1"/>
  <c r="AF2318" i="1" s="1"/>
  <c r="AJ2317" i="1"/>
  <c r="AF2317" i="1" s="1"/>
  <c r="AL2316" i="1"/>
  <c r="AK2316" i="1"/>
  <c r="AJ2316" i="1"/>
  <c r="AF2316" i="1" s="1"/>
  <c r="X2316" i="1"/>
  <c r="AL2315" i="1"/>
  <c r="AK2315" i="1"/>
  <c r="AJ2315" i="1"/>
  <c r="AF2315" i="1" s="1"/>
  <c r="X2315" i="1"/>
  <c r="AL2314" i="1"/>
  <c r="AK2314" i="1"/>
  <c r="AJ2314" i="1"/>
  <c r="AF2314" i="1" s="1"/>
  <c r="X2314" i="1"/>
  <c r="AL2313" i="1"/>
  <c r="AK2313" i="1"/>
  <c r="AJ2313" i="1"/>
  <c r="AF2313" i="1" s="1"/>
  <c r="X2313" i="1"/>
  <c r="AL2312" i="1"/>
  <c r="AK2312" i="1"/>
  <c r="AJ2312" i="1"/>
  <c r="AF2312" i="1" s="1"/>
  <c r="X2312" i="1"/>
  <c r="AL2311" i="1"/>
  <c r="AK2311" i="1"/>
  <c r="AJ2311" i="1"/>
  <c r="AF2311" i="1" s="1"/>
  <c r="X2311" i="1"/>
  <c r="AL2310" i="1"/>
  <c r="AK2310" i="1"/>
  <c r="AJ2310" i="1"/>
  <c r="AF2310" i="1" s="1"/>
  <c r="X2310" i="1"/>
  <c r="AL2309" i="1"/>
  <c r="AK2309" i="1"/>
  <c r="AJ2309" i="1"/>
  <c r="AF2309" i="1" s="1"/>
  <c r="X2309" i="1"/>
  <c r="AL2308" i="1"/>
  <c r="AK2308" i="1"/>
  <c r="AJ2308" i="1"/>
  <c r="AF2308" i="1" s="1"/>
  <c r="X2308" i="1"/>
  <c r="AL2307" i="1"/>
  <c r="AK2307" i="1"/>
  <c r="AJ2307" i="1"/>
  <c r="AF2307" i="1" s="1"/>
  <c r="X2307" i="1"/>
  <c r="AL2306" i="1"/>
  <c r="AK2306" i="1"/>
  <c r="AJ2306" i="1"/>
  <c r="AF2306" i="1" s="1"/>
  <c r="X2306" i="1"/>
  <c r="AL2305" i="1"/>
  <c r="AK2305" i="1"/>
  <c r="AJ2305" i="1"/>
  <c r="AF2305" i="1" s="1"/>
  <c r="X2305" i="1"/>
  <c r="AL2304" i="1"/>
  <c r="AK2304" i="1"/>
  <c r="AJ2304" i="1"/>
  <c r="AF2304" i="1" s="1"/>
  <c r="X2304" i="1"/>
  <c r="AL2303" i="1"/>
  <c r="AK2303" i="1"/>
  <c r="AJ2303" i="1"/>
  <c r="AF2303" i="1" s="1"/>
  <c r="X2303" i="1"/>
  <c r="AJ2302" i="1"/>
  <c r="AF2302" i="1" s="1"/>
  <c r="AL2301" i="1"/>
  <c r="AK2301" i="1"/>
  <c r="AJ2301" i="1"/>
  <c r="AF2301" i="1" s="1"/>
  <c r="X2301" i="1"/>
  <c r="AJ2300" i="1"/>
  <c r="AF2300" i="1" s="1"/>
  <c r="W2300" i="1"/>
  <c r="AJ2299" i="1"/>
  <c r="AF2299" i="1" s="1"/>
  <c r="W2299" i="1"/>
  <c r="AJ2298" i="1"/>
  <c r="AF2298" i="1" s="1"/>
  <c r="AJ2297" i="1"/>
  <c r="AF2297" i="1" s="1"/>
  <c r="W2297" i="1"/>
  <c r="AJ2296" i="1"/>
  <c r="AF2296" i="1" s="1"/>
  <c r="AJ2295" i="1"/>
  <c r="AF2295" i="1" s="1"/>
  <c r="AL2294" i="1"/>
  <c r="AK2294" i="1"/>
  <c r="AJ2294" i="1"/>
  <c r="AF2294" i="1" s="1"/>
  <c r="X2294" i="1"/>
  <c r="AL2293" i="1"/>
  <c r="AK2293" i="1"/>
  <c r="AJ2293" i="1"/>
  <c r="AF2293" i="1" s="1"/>
  <c r="AL2292" i="1"/>
  <c r="AK2292" i="1"/>
  <c r="AJ2292" i="1"/>
  <c r="AF2292" i="1" s="1"/>
  <c r="AJ2291" i="1"/>
  <c r="AF2291" i="1" s="1"/>
  <c r="W2291" i="1"/>
  <c r="AL2291" i="1" s="1"/>
  <c r="AJ2290" i="1"/>
  <c r="AF2290" i="1" s="1"/>
  <c r="AJ2289" i="1"/>
  <c r="AF2289" i="1" s="1"/>
  <c r="W2289" i="1"/>
  <c r="X2289" i="1" s="1"/>
  <c r="AJ2288" i="1"/>
  <c r="AF2288" i="1" s="1"/>
  <c r="AJ2287" i="1"/>
  <c r="AF2287" i="1" s="1"/>
  <c r="AJ2286" i="1"/>
  <c r="AF2286" i="1" s="1"/>
  <c r="AJ2285" i="1"/>
  <c r="AF2285" i="1" s="1"/>
  <c r="AJ2284" i="1"/>
  <c r="AF2284" i="1" s="1"/>
  <c r="AJ2283" i="1"/>
  <c r="AF2283" i="1" s="1"/>
  <c r="AL2282" i="1"/>
  <c r="AK2282" i="1"/>
  <c r="AJ2282" i="1"/>
  <c r="AF2282" i="1" s="1"/>
  <c r="AL2281" i="1"/>
  <c r="AK2281" i="1"/>
  <c r="AJ2281" i="1"/>
  <c r="AF2281" i="1" s="1"/>
  <c r="AJ2280" i="1"/>
  <c r="AF2280" i="1" s="1"/>
  <c r="W2280" i="1"/>
  <c r="X2280" i="1" s="1"/>
  <c r="AJ2279" i="1"/>
  <c r="AF2279" i="1" s="1"/>
  <c r="W2279" i="1"/>
  <c r="AL2279" i="1" s="1"/>
  <c r="AJ2278" i="1"/>
  <c r="AF2278" i="1" s="1"/>
  <c r="W2278" i="1"/>
  <c r="X2278" i="1" s="1"/>
  <c r="AJ2277" i="1"/>
  <c r="AF2277" i="1" s="1"/>
  <c r="AJ2276" i="1"/>
  <c r="AF2276" i="1" s="1"/>
  <c r="AJ2275" i="1"/>
  <c r="AF2275" i="1" s="1"/>
  <c r="AJ2274" i="1"/>
  <c r="AF2274" i="1" s="1"/>
  <c r="AJ2273" i="1"/>
  <c r="AF2273" i="1" s="1"/>
  <c r="AL2272" i="1"/>
  <c r="AK2272" i="1"/>
  <c r="AJ2272" i="1"/>
  <c r="AF2272" i="1" s="1"/>
  <c r="X2272" i="1"/>
  <c r="AL2271" i="1"/>
  <c r="AK2271" i="1"/>
  <c r="AJ2271" i="1"/>
  <c r="AF2271" i="1" s="1"/>
  <c r="X2271" i="1"/>
  <c r="AJ2270" i="1"/>
  <c r="AF2270" i="1" s="1"/>
  <c r="W2270" i="1"/>
  <c r="AL2269" i="1"/>
  <c r="AK2269" i="1"/>
  <c r="AJ2269" i="1"/>
  <c r="AF2269" i="1" s="1"/>
  <c r="X2269" i="1"/>
  <c r="AJ2268" i="1"/>
  <c r="AF2268" i="1" s="1"/>
  <c r="W2268" i="1"/>
  <c r="AJ2267" i="1"/>
  <c r="AF2267" i="1" s="1"/>
  <c r="AJ2266" i="1"/>
  <c r="AF2266" i="1" s="1"/>
  <c r="AL2265" i="1"/>
  <c r="AK2265" i="1"/>
  <c r="AJ2265" i="1"/>
  <c r="AF2265" i="1" s="1"/>
  <c r="X2265" i="1"/>
  <c r="AJ2264" i="1"/>
  <c r="AF2264" i="1" s="1"/>
  <c r="X2264" i="1"/>
  <c r="AL2263" i="1"/>
  <c r="AK2263" i="1"/>
  <c r="AJ2263" i="1"/>
  <c r="AF2263" i="1" s="1"/>
  <c r="X2263" i="1"/>
  <c r="AL2262" i="1"/>
  <c r="AK2262" i="1"/>
  <c r="AJ2262" i="1"/>
  <c r="AF2262" i="1" s="1"/>
  <c r="X2262" i="1"/>
  <c r="AL2261" i="1"/>
  <c r="AK2261" i="1"/>
  <c r="AJ2261" i="1"/>
  <c r="AF2261" i="1" s="1"/>
  <c r="AJ2260" i="1"/>
  <c r="AF2260" i="1" s="1"/>
  <c r="W2260" i="1"/>
  <c r="AJ2259" i="1"/>
  <c r="AF2259" i="1" s="1"/>
  <c r="AJ2258" i="1"/>
  <c r="AF2258" i="1" s="1"/>
  <c r="AJ2257" i="1"/>
  <c r="AF2257" i="1" s="1"/>
  <c r="W2257" i="1"/>
  <c r="AK2257" i="1" s="1"/>
  <c r="AJ2256" i="1"/>
  <c r="AF2256" i="1" s="1"/>
  <c r="W2256" i="1"/>
  <c r="AL2255" i="1"/>
  <c r="AK2255" i="1"/>
  <c r="AJ2255" i="1"/>
  <c r="AF2255" i="1" s="1"/>
  <c r="X2255" i="1"/>
  <c r="AJ2254" i="1"/>
  <c r="AF2254" i="1" s="1"/>
  <c r="W2254" i="1"/>
  <c r="X2254" i="1" s="1"/>
  <c r="AJ2253" i="1"/>
  <c r="AF2253" i="1" s="1"/>
  <c r="W2253" i="1"/>
  <c r="AJ2252" i="1"/>
  <c r="AF2252" i="1" s="1"/>
  <c r="AL2251" i="1"/>
  <c r="AK2251" i="1"/>
  <c r="AJ2251" i="1"/>
  <c r="AF2251" i="1" s="1"/>
  <c r="X2251" i="1"/>
  <c r="AL2250" i="1"/>
  <c r="AK2250" i="1"/>
  <c r="AJ2250" i="1"/>
  <c r="AF2250" i="1" s="1"/>
  <c r="AG2250" i="1"/>
  <c r="X2250" i="1"/>
  <c r="AL2249" i="1"/>
  <c r="AK2249" i="1"/>
  <c r="AJ2249" i="1"/>
  <c r="AF2249" i="1" s="1"/>
  <c r="X2249" i="1"/>
  <c r="AJ2248" i="1"/>
  <c r="AF2248" i="1" s="1"/>
  <c r="AJ2247" i="1"/>
  <c r="AF2247" i="1" s="1"/>
  <c r="W2247" i="1"/>
  <c r="AL2247" i="1" s="1"/>
  <c r="AJ2246" i="1"/>
  <c r="AF2246" i="1" s="1"/>
  <c r="W2246" i="1"/>
  <c r="AL2245" i="1"/>
  <c r="AK2245" i="1"/>
  <c r="AJ2245" i="1"/>
  <c r="AF2245" i="1" s="1"/>
  <c r="X2245" i="1"/>
  <c r="AJ2244" i="1"/>
  <c r="AF2244" i="1" s="1"/>
  <c r="AL2243" i="1"/>
  <c r="AK2243" i="1"/>
  <c r="AJ2243" i="1"/>
  <c r="AF2243" i="1" s="1"/>
  <c r="X2243" i="1"/>
  <c r="AL2242" i="1"/>
  <c r="AK2242" i="1"/>
  <c r="AJ2242" i="1"/>
  <c r="AF2242" i="1" s="1"/>
  <c r="X2242" i="1"/>
  <c r="AL2241" i="1"/>
  <c r="AK2241" i="1"/>
  <c r="AJ2241" i="1"/>
  <c r="AF2241" i="1" s="1"/>
  <c r="X2241" i="1"/>
  <c r="AJ2240" i="1"/>
  <c r="AF2240" i="1" s="1"/>
  <c r="W2240" i="1"/>
  <c r="AL2239" i="1"/>
  <c r="AK2239" i="1"/>
  <c r="AJ2239" i="1"/>
  <c r="AF2239" i="1" s="1"/>
  <c r="X2239" i="1"/>
  <c r="AL2238" i="1"/>
  <c r="AK2238" i="1"/>
  <c r="AJ2238" i="1"/>
  <c r="AF2238" i="1" s="1"/>
  <c r="X2238" i="1"/>
  <c r="AJ2237" i="1"/>
  <c r="AF2237" i="1" s="1"/>
  <c r="W2237" i="1"/>
  <c r="AL2236" i="1"/>
  <c r="AK2236" i="1"/>
  <c r="AJ2236" i="1"/>
  <c r="AF2236" i="1" s="1"/>
  <c r="X2236" i="1"/>
  <c r="AL2235" i="1"/>
  <c r="AK2235" i="1"/>
  <c r="AJ2235" i="1"/>
  <c r="AF2235" i="1" s="1"/>
  <c r="X2235" i="1"/>
  <c r="AJ2234" i="1"/>
  <c r="AF2234" i="1" s="1"/>
  <c r="AJ2233" i="1"/>
  <c r="AF2233" i="1" s="1"/>
  <c r="AJ2232" i="1"/>
  <c r="AF2232" i="1" s="1"/>
  <c r="AL2231" i="1"/>
  <c r="AK2231" i="1"/>
  <c r="AJ2231" i="1"/>
  <c r="AF2231" i="1" s="1"/>
  <c r="X2231" i="1"/>
  <c r="AL2230" i="1"/>
  <c r="AK2230" i="1"/>
  <c r="AJ2230" i="1"/>
  <c r="AF2230" i="1" s="1"/>
  <c r="X2230" i="1"/>
  <c r="AL2229" i="1"/>
  <c r="AK2229" i="1"/>
  <c r="AJ2229" i="1"/>
  <c r="AF2229" i="1" s="1"/>
  <c r="X2229" i="1"/>
  <c r="AJ2228" i="1"/>
  <c r="AF2228" i="1" s="1"/>
  <c r="AL2227" i="1"/>
  <c r="AK2227" i="1"/>
  <c r="AJ2227" i="1"/>
  <c r="AF2227" i="1" s="1"/>
  <c r="X2227" i="1"/>
  <c r="AJ2226" i="1"/>
  <c r="AF2226" i="1" s="1"/>
  <c r="W2226" i="1"/>
  <c r="AL2225" i="1"/>
  <c r="AK2225" i="1"/>
  <c r="AJ2225" i="1"/>
  <c r="AF2225" i="1" s="1"/>
  <c r="X2225" i="1"/>
  <c r="AL2224" i="1"/>
  <c r="AK2224" i="1"/>
  <c r="AJ2224" i="1"/>
  <c r="AF2224" i="1" s="1"/>
  <c r="X2224" i="1"/>
  <c r="AL2223" i="1"/>
  <c r="AK2223" i="1"/>
  <c r="AJ2223" i="1"/>
  <c r="AF2223" i="1" s="1"/>
  <c r="X2223" i="1"/>
  <c r="AL2222" i="1"/>
  <c r="AK2222" i="1"/>
  <c r="AJ2222" i="1"/>
  <c r="AF2222" i="1" s="1"/>
  <c r="X2222" i="1"/>
  <c r="AJ2221" i="1"/>
  <c r="AF2221" i="1" s="1"/>
  <c r="AL2220" i="1"/>
  <c r="AK2220" i="1"/>
  <c r="AJ2220" i="1"/>
  <c r="AF2220" i="1" s="1"/>
  <c r="X2220" i="1"/>
  <c r="AL2219" i="1"/>
  <c r="AK2219" i="1"/>
  <c r="AJ2219" i="1"/>
  <c r="AF2219" i="1" s="1"/>
  <c r="X2219" i="1"/>
  <c r="AJ2218" i="1"/>
  <c r="AF2218" i="1" s="1"/>
  <c r="AL2217" i="1"/>
  <c r="AK2217" i="1"/>
  <c r="AJ2217" i="1"/>
  <c r="AF2217" i="1" s="1"/>
  <c r="X2217" i="1"/>
  <c r="AL2216" i="1"/>
  <c r="AK2216" i="1"/>
  <c r="AJ2216" i="1"/>
  <c r="AF2216" i="1" s="1"/>
  <c r="X2216" i="1"/>
  <c r="AL2215" i="1"/>
  <c r="AK2215" i="1"/>
  <c r="AJ2215" i="1"/>
  <c r="AF2215" i="1" s="1"/>
  <c r="AG2215" i="1"/>
  <c r="X2215" i="1"/>
  <c r="AL2214" i="1"/>
  <c r="AK2214" i="1"/>
  <c r="AJ2214" i="1"/>
  <c r="AF2214" i="1" s="1"/>
  <c r="X2214" i="1"/>
  <c r="AL2213" i="1"/>
  <c r="AK2213" i="1"/>
  <c r="AJ2213" i="1"/>
  <c r="AF2213" i="1" s="1"/>
  <c r="X2213" i="1"/>
  <c r="AL2212" i="1"/>
  <c r="AK2212" i="1"/>
  <c r="AJ2212" i="1"/>
  <c r="AF2212" i="1" s="1"/>
  <c r="X2212" i="1"/>
  <c r="AL2211" i="1"/>
  <c r="AK2211" i="1"/>
  <c r="AJ2211" i="1"/>
  <c r="AF2211" i="1" s="1"/>
  <c r="X2211" i="1"/>
  <c r="AL2210" i="1"/>
  <c r="AK2210" i="1"/>
  <c r="AJ2210" i="1"/>
  <c r="AF2210" i="1" s="1"/>
  <c r="X2210" i="1"/>
  <c r="AL2209" i="1"/>
  <c r="AK2209" i="1"/>
  <c r="AJ2209" i="1"/>
  <c r="AF2209" i="1" s="1"/>
  <c r="X2209" i="1"/>
  <c r="AL2208" i="1"/>
  <c r="AK2208" i="1"/>
  <c r="AJ2208" i="1"/>
  <c r="AF2208" i="1" s="1"/>
  <c r="X2208" i="1"/>
  <c r="AL2207" i="1"/>
  <c r="AK2207" i="1"/>
  <c r="AJ2207" i="1"/>
  <c r="AF2207" i="1" s="1"/>
  <c r="X2207" i="1"/>
  <c r="AJ2206" i="1"/>
  <c r="AF2206" i="1" s="1"/>
  <c r="AL2205" i="1"/>
  <c r="AK2205" i="1"/>
  <c r="AJ2205" i="1"/>
  <c r="AF2205" i="1" s="1"/>
  <c r="X2205" i="1"/>
  <c r="AJ2204" i="1"/>
  <c r="AF2204" i="1" s="1"/>
  <c r="AL2203" i="1"/>
  <c r="AK2203" i="1"/>
  <c r="AJ2203" i="1"/>
  <c r="AF2203" i="1" s="1"/>
  <c r="X2203" i="1"/>
  <c r="AL2202" i="1"/>
  <c r="AK2202" i="1"/>
  <c r="AJ2202" i="1"/>
  <c r="AF2202" i="1" s="1"/>
  <c r="X2202" i="1"/>
  <c r="AL2201" i="1"/>
  <c r="AK2201" i="1"/>
  <c r="AJ2201" i="1"/>
  <c r="AF2201" i="1" s="1"/>
  <c r="X2201" i="1"/>
  <c r="AJ2200" i="1"/>
  <c r="AF2200" i="1" s="1"/>
  <c r="AJ2199" i="1"/>
  <c r="AF2199" i="1" s="1"/>
  <c r="AJ2198" i="1"/>
  <c r="AF2198" i="1" s="1"/>
  <c r="AL2197" i="1"/>
  <c r="AK2197" i="1"/>
  <c r="AJ2197" i="1"/>
  <c r="AF2197" i="1" s="1"/>
  <c r="X2197" i="1"/>
  <c r="AJ2196" i="1"/>
  <c r="AF2196" i="1" s="1"/>
  <c r="AL2195" i="1"/>
  <c r="AK2195" i="1"/>
  <c r="AJ2195" i="1"/>
  <c r="AF2195" i="1" s="1"/>
  <c r="X2195" i="1"/>
  <c r="AJ2194" i="1"/>
  <c r="AF2194" i="1" s="1"/>
  <c r="AJ2193" i="1"/>
  <c r="AF2193" i="1" s="1"/>
  <c r="AL2192" i="1"/>
  <c r="AK2192" i="1"/>
  <c r="AJ2192" i="1"/>
  <c r="AF2192" i="1" s="1"/>
  <c r="X2192" i="1"/>
  <c r="AL2191" i="1"/>
  <c r="AK2191" i="1"/>
  <c r="AJ2191" i="1"/>
  <c r="AF2191" i="1" s="1"/>
  <c r="X2191" i="1"/>
  <c r="AJ2190" i="1"/>
  <c r="AF2190" i="1" s="1"/>
  <c r="AJ2189" i="1"/>
  <c r="AF2189" i="1" s="1"/>
  <c r="AL2188" i="1"/>
  <c r="AK2188" i="1"/>
  <c r="AJ2188" i="1"/>
  <c r="AF2188" i="1" s="1"/>
  <c r="X2188" i="1"/>
  <c r="AJ2187" i="1"/>
  <c r="AF2187" i="1" s="1"/>
  <c r="AL2186" i="1"/>
  <c r="AK2186" i="1"/>
  <c r="AJ2186" i="1"/>
  <c r="AF2186" i="1" s="1"/>
  <c r="X2186" i="1"/>
  <c r="AJ2185" i="1"/>
  <c r="AF2185" i="1" s="1"/>
  <c r="W2185" i="1"/>
  <c r="AJ2184" i="1"/>
  <c r="AF2184" i="1" s="1"/>
  <c r="W2184" i="1"/>
  <c r="AJ2183" i="1"/>
  <c r="AF2183" i="1" s="1"/>
  <c r="W2183" i="1"/>
  <c r="AJ2182" i="1"/>
  <c r="AF2182" i="1" s="1"/>
  <c r="W2182" i="1"/>
  <c r="AL2181" i="1"/>
  <c r="AK2181" i="1"/>
  <c r="AJ2181" i="1"/>
  <c r="AF2181" i="1" s="1"/>
  <c r="X2181" i="1"/>
  <c r="AL2180" i="1"/>
  <c r="AK2180" i="1"/>
  <c r="AJ2180" i="1"/>
  <c r="AF2180" i="1" s="1"/>
  <c r="X2180" i="1"/>
  <c r="AJ2179" i="1"/>
  <c r="AF2179" i="1" s="1"/>
  <c r="AJ2178" i="1"/>
  <c r="AF2178" i="1" s="1"/>
  <c r="AL2177" i="1"/>
  <c r="AK2177" i="1"/>
  <c r="AJ2177" i="1"/>
  <c r="AF2177" i="1" s="1"/>
  <c r="X2177" i="1"/>
  <c r="AL2176" i="1"/>
  <c r="AK2176" i="1"/>
  <c r="AJ2176" i="1"/>
  <c r="AF2176" i="1" s="1"/>
  <c r="X2176" i="1"/>
  <c r="AJ2175" i="1"/>
  <c r="AF2175" i="1" s="1"/>
  <c r="W2175" i="1"/>
  <c r="AJ2174" i="1"/>
  <c r="AF2174" i="1" s="1"/>
  <c r="W2174" i="1"/>
  <c r="AL2174" i="1" s="1"/>
  <c r="AJ2173" i="1"/>
  <c r="AF2173" i="1" s="1"/>
  <c r="AJ2172" i="1"/>
  <c r="AF2172" i="1" s="1"/>
  <c r="AJ2171" i="1"/>
  <c r="AF2171" i="1" s="1"/>
  <c r="AL2170" i="1"/>
  <c r="AK2170" i="1"/>
  <c r="AJ2170" i="1"/>
  <c r="AF2170" i="1" s="1"/>
  <c r="X2170" i="1"/>
  <c r="AJ2169" i="1"/>
  <c r="AF2169" i="1" s="1"/>
  <c r="AJ2168" i="1"/>
  <c r="AF2168" i="1" s="1"/>
  <c r="AL2167" i="1"/>
  <c r="AK2167" i="1"/>
  <c r="AJ2167" i="1"/>
  <c r="AF2167" i="1" s="1"/>
  <c r="X2167" i="1"/>
  <c r="AL2166" i="1"/>
  <c r="AK2166" i="1"/>
  <c r="AJ2166" i="1"/>
  <c r="AF2166" i="1" s="1"/>
  <c r="X2166" i="1"/>
  <c r="AJ2165" i="1"/>
  <c r="AF2165" i="1" s="1"/>
  <c r="AJ2164" i="1"/>
  <c r="AF2164" i="1" s="1"/>
  <c r="AL2163" i="1"/>
  <c r="AK2163" i="1"/>
  <c r="AJ2163" i="1"/>
  <c r="AF2163" i="1" s="1"/>
  <c r="X2163" i="1"/>
  <c r="AL2162" i="1"/>
  <c r="AK2162" i="1"/>
  <c r="AJ2162" i="1"/>
  <c r="AF2162" i="1" s="1"/>
  <c r="X2162" i="1"/>
  <c r="AL2161" i="1"/>
  <c r="AK2161" i="1"/>
  <c r="AJ2161" i="1"/>
  <c r="AF2161" i="1" s="1"/>
  <c r="X2161" i="1"/>
  <c r="AL2160" i="1"/>
  <c r="AK2160" i="1"/>
  <c r="AJ2160" i="1"/>
  <c r="AF2160" i="1" s="1"/>
  <c r="AL2159" i="1"/>
  <c r="AK2159" i="1"/>
  <c r="AJ2159" i="1"/>
  <c r="AF2159" i="1" s="1"/>
  <c r="X2159" i="1"/>
  <c r="AJ2158" i="1"/>
  <c r="AF2158" i="1" s="1"/>
  <c r="W2158" i="1"/>
  <c r="AJ2157" i="1"/>
  <c r="AF2157" i="1" s="1"/>
  <c r="W2157" i="1"/>
  <c r="X2157" i="1" s="1"/>
  <c r="AJ2156" i="1"/>
  <c r="AF2156" i="1" s="1"/>
  <c r="W2156" i="1"/>
  <c r="AJ2155" i="1"/>
  <c r="AF2155" i="1" s="1"/>
  <c r="W2155" i="1"/>
  <c r="AJ2154" i="1"/>
  <c r="AF2154" i="1" s="1"/>
  <c r="AL2153" i="1"/>
  <c r="AK2153" i="1"/>
  <c r="AJ2153" i="1"/>
  <c r="AF2153" i="1" s="1"/>
  <c r="X2153" i="1"/>
  <c r="AJ2152" i="1"/>
  <c r="AF2152" i="1" s="1"/>
  <c r="AJ2151" i="1"/>
  <c r="AF2151" i="1" s="1"/>
  <c r="AJ2150" i="1"/>
  <c r="AF2150" i="1" s="1"/>
  <c r="AJ2149" i="1"/>
  <c r="AF2149" i="1" s="1"/>
  <c r="AJ2148" i="1"/>
  <c r="AF2148" i="1" s="1"/>
  <c r="AJ2147" i="1"/>
  <c r="AF2147" i="1" s="1"/>
  <c r="AL2146" i="1"/>
  <c r="AK2146" i="1"/>
  <c r="AJ2146" i="1"/>
  <c r="AF2146" i="1" s="1"/>
  <c r="X2146" i="1"/>
  <c r="AJ2145" i="1"/>
  <c r="AF2145" i="1" s="1"/>
  <c r="AJ2144" i="1"/>
  <c r="AF2144" i="1" s="1"/>
  <c r="AL2143" i="1"/>
  <c r="AK2143" i="1"/>
  <c r="AJ2143" i="1"/>
  <c r="AF2143" i="1" s="1"/>
  <c r="X2143" i="1"/>
  <c r="AL2142" i="1"/>
  <c r="AK2142" i="1"/>
  <c r="AJ2142" i="1"/>
  <c r="AF2142" i="1" s="1"/>
  <c r="X2142" i="1"/>
  <c r="AJ2141" i="1"/>
  <c r="AF2141" i="1" s="1"/>
  <c r="W2141" i="1"/>
  <c r="AL2141" i="1" s="1"/>
  <c r="AJ2140" i="1"/>
  <c r="AF2140" i="1" s="1"/>
  <c r="W2140" i="1"/>
  <c r="AL2140" i="1" s="1"/>
  <c r="AJ2139" i="1"/>
  <c r="AF2139" i="1" s="1"/>
  <c r="W2139" i="1"/>
  <c r="AJ2138" i="1"/>
  <c r="AF2138" i="1" s="1"/>
  <c r="W2138" i="1"/>
  <c r="AJ2137" i="1"/>
  <c r="AF2137" i="1" s="1"/>
  <c r="W2137" i="1"/>
  <c r="AJ2136" i="1"/>
  <c r="AF2136" i="1" s="1"/>
  <c r="AJ2135" i="1"/>
  <c r="AF2135" i="1" s="1"/>
  <c r="AL2134" i="1"/>
  <c r="AK2134" i="1"/>
  <c r="AJ2134" i="1"/>
  <c r="AF2134" i="1" s="1"/>
  <c r="X2134" i="1"/>
  <c r="AJ2133" i="1"/>
  <c r="AF2133" i="1" s="1"/>
  <c r="W2133" i="1"/>
  <c r="AJ2132" i="1"/>
  <c r="AF2132" i="1" s="1"/>
  <c r="W2132" i="1"/>
  <c r="AL2132" i="1" s="1"/>
  <c r="AL2131" i="1"/>
  <c r="AK2131" i="1"/>
  <c r="AJ2131" i="1"/>
  <c r="AF2131" i="1" s="1"/>
  <c r="X2131" i="1"/>
  <c r="AL2130" i="1"/>
  <c r="AK2130" i="1"/>
  <c r="AJ2130" i="1"/>
  <c r="AF2130" i="1" s="1"/>
  <c r="X2130" i="1"/>
  <c r="AJ2129" i="1"/>
  <c r="AF2129" i="1" s="1"/>
  <c r="AJ2128" i="1"/>
  <c r="AF2128" i="1" s="1"/>
  <c r="AL2127" i="1"/>
  <c r="AK2127" i="1"/>
  <c r="AJ2127" i="1"/>
  <c r="AF2127" i="1" s="1"/>
  <c r="X2127" i="1"/>
  <c r="AL2126" i="1"/>
  <c r="AK2126" i="1"/>
  <c r="AJ2126" i="1"/>
  <c r="AF2126" i="1" s="1"/>
  <c r="X2126" i="1"/>
  <c r="AL2125" i="1"/>
  <c r="AK2125" i="1"/>
  <c r="AJ2125" i="1"/>
  <c r="AF2125" i="1" s="1"/>
  <c r="AL2124" i="1"/>
  <c r="AK2124" i="1"/>
  <c r="AJ2124" i="1"/>
  <c r="AF2124" i="1" s="1"/>
  <c r="X2124" i="1"/>
  <c r="AJ2123" i="1"/>
  <c r="AF2123" i="1" s="1"/>
  <c r="W2123" i="1"/>
  <c r="AL2122" i="1"/>
  <c r="AK2122" i="1"/>
  <c r="AJ2122" i="1"/>
  <c r="AF2122" i="1" s="1"/>
  <c r="X2122" i="1"/>
  <c r="AL2121" i="1"/>
  <c r="AK2121" i="1"/>
  <c r="AJ2121" i="1"/>
  <c r="AF2121" i="1" s="1"/>
  <c r="X2121" i="1"/>
  <c r="AL2120" i="1"/>
  <c r="AK2120" i="1"/>
  <c r="AJ2120" i="1"/>
  <c r="AF2120" i="1" s="1"/>
  <c r="X2120" i="1"/>
  <c r="AL2119" i="1"/>
  <c r="AK2119" i="1"/>
  <c r="AJ2119" i="1"/>
  <c r="AF2119" i="1" s="1"/>
  <c r="X2119" i="1"/>
  <c r="AJ2118" i="1"/>
  <c r="AF2118" i="1" s="1"/>
  <c r="AJ2117" i="1"/>
  <c r="AF2117" i="1" s="1"/>
  <c r="AL2116" i="1"/>
  <c r="AK2116" i="1"/>
  <c r="AJ2116" i="1"/>
  <c r="AF2116" i="1" s="1"/>
  <c r="X2116" i="1"/>
  <c r="AJ2115" i="1"/>
  <c r="AF2115" i="1" s="1"/>
  <c r="AJ2114" i="1"/>
  <c r="AF2114" i="1" s="1"/>
  <c r="AL2113" i="1"/>
  <c r="AK2113" i="1"/>
  <c r="AJ2113" i="1"/>
  <c r="AF2113" i="1" s="1"/>
  <c r="X2113" i="1"/>
  <c r="AJ2112" i="1"/>
  <c r="AF2112" i="1" s="1"/>
  <c r="W2112" i="1"/>
  <c r="AK2112" i="1" s="1"/>
  <c r="AJ2111" i="1"/>
  <c r="AF2111" i="1" s="1"/>
  <c r="AJ2110" i="1"/>
  <c r="AF2110" i="1" s="1"/>
  <c r="AJ2109" i="1"/>
  <c r="AF2109" i="1" s="1"/>
  <c r="AJ2108" i="1"/>
  <c r="AF2108" i="1" s="1"/>
  <c r="AJ2107" i="1"/>
  <c r="AF2107" i="1" s="1"/>
  <c r="AJ2106" i="1"/>
  <c r="AF2106" i="1" s="1"/>
  <c r="AJ2105" i="1"/>
  <c r="AF2105" i="1" s="1"/>
  <c r="AL2104" i="1"/>
  <c r="AK2104" i="1"/>
  <c r="AJ2104" i="1"/>
  <c r="AF2104" i="1" s="1"/>
  <c r="X2104" i="1"/>
  <c r="AL2103" i="1"/>
  <c r="AK2103" i="1"/>
  <c r="AJ2103" i="1"/>
  <c r="AF2103" i="1" s="1"/>
  <c r="X2103" i="1"/>
  <c r="AJ2102" i="1"/>
  <c r="AF2102" i="1" s="1"/>
  <c r="W2102" i="1"/>
  <c r="AJ2101" i="1"/>
  <c r="AF2101" i="1" s="1"/>
  <c r="W2101" i="1"/>
  <c r="AK2101" i="1" s="1"/>
  <c r="AJ2100" i="1"/>
  <c r="AF2100" i="1" s="1"/>
  <c r="W2100" i="1"/>
  <c r="AJ2099" i="1"/>
  <c r="AF2099" i="1" s="1"/>
  <c r="AJ2098" i="1"/>
  <c r="AF2098" i="1" s="1"/>
  <c r="AL2097" i="1"/>
  <c r="AK2097" i="1"/>
  <c r="AJ2097" i="1"/>
  <c r="AF2097" i="1" s="1"/>
  <c r="X2097" i="1"/>
  <c r="AJ2096" i="1"/>
  <c r="AF2096" i="1" s="1"/>
  <c r="AJ2095" i="1"/>
  <c r="AF2095" i="1" s="1"/>
  <c r="AJ2094" i="1"/>
  <c r="AF2094" i="1" s="1"/>
  <c r="W2094" i="1"/>
  <c r="X2094" i="1" s="1"/>
  <c r="AL2093" i="1"/>
  <c r="AK2093" i="1"/>
  <c r="AJ2093" i="1"/>
  <c r="AF2093" i="1" s="1"/>
  <c r="X2093" i="1"/>
  <c r="AJ2092" i="1"/>
  <c r="AF2092" i="1" s="1"/>
  <c r="AJ2091" i="1"/>
  <c r="AF2091" i="1" s="1"/>
  <c r="AJ2090" i="1"/>
  <c r="AF2090" i="1" s="1"/>
  <c r="AL2089" i="1"/>
  <c r="AK2089" i="1"/>
  <c r="AJ2089" i="1"/>
  <c r="AF2089" i="1" s="1"/>
  <c r="X2089" i="1"/>
  <c r="AL2088" i="1"/>
  <c r="AK2088" i="1"/>
  <c r="AJ2088" i="1"/>
  <c r="AF2088" i="1" s="1"/>
  <c r="X2088" i="1"/>
  <c r="AL2087" i="1"/>
  <c r="AK2087" i="1"/>
  <c r="AJ2087" i="1"/>
  <c r="AF2087" i="1" s="1"/>
  <c r="X2087" i="1"/>
  <c r="AJ2086" i="1"/>
  <c r="AF2086" i="1" s="1"/>
  <c r="AJ2085" i="1"/>
  <c r="AF2085" i="1" s="1"/>
  <c r="AL2084" i="1"/>
  <c r="AK2084" i="1"/>
  <c r="AJ2084" i="1"/>
  <c r="AF2084" i="1" s="1"/>
  <c r="X2084" i="1"/>
  <c r="AL2083" i="1"/>
  <c r="AK2083" i="1"/>
  <c r="AJ2083" i="1"/>
  <c r="AF2083" i="1" s="1"/>
  <c r="X2083" i="1"/>
  <c r="AJ2082" i="1"/>
  <c r="AF2082" i="1" s="1"/>
  <c r="AL2081" i="1"/>
  <c r="AK2081" i="1"/>
  <c r="AJ2081" i="1"/>
  <c r="AF2081" i="1" s="1"/>
  <c r="X2081" i="1"/>
  <c r="AL2080" i="1"/>
  <c r="AK2080" i="1"/>
  <c r="AJ2080" i="1"/>
  <c r="AF2080" i="1" s="1"/>
  <c r="X2080" i="1"/>
  <c r="AL2079" i="1"/>
  <c r="AK2079" i="1"/>
  <c r="AJ2079" i="1"/>
  <c r="AF2079" i="1" s="1"/>
  <c r="X2079" i="1"/>
  <c r="AL2078" i="1"/>
  <c r="AK2078" i="1"/>
  <c r="AJ2078" i="1"/>
  <c r="AF2078" i="1" s="1"/>
  <c r="X2078" i="1"/>
  <c r="AJ2077" i="1"/>
  <c r="AF2077" i="1" s="1"/>
  <c r="AJ2076" i="1"/>
  <c r="AF2076" i="1" s="1"/>
  <c r="AJ2075" i="1"/>
  <c r="AF2075" i="1" s="1"/>
  <c r="W2075" i="1"/>
  <c r="AL2075" i="1" s="1"/>
  <c r="AJ2074" i="1"/>
  <c r="AF2074" i="1" s="1"/>
  <c r="W2074" i="1"/>
  <c r="AL2074" i="1" s="1"/>
  <c r="AJ2073" i="1"/>
  <c r="AF2073" i="1" s="1"/>
  <c r="W2073" i="1"/>
  <c r="AL2073" i="1" s="1"/>
  <c r="AJ2072" i="1"/>
  <c r="AF2072" i="1" s="1"/>
  <c r="W2072" i="1"/>
  <c r="AJ2071" i="1"/>
  <c r="AF2071" i="1" s="1"/>
  <c r="W2071" i="1"/>
  <c r="AL2071" i="1" s="1"/>
  <c r="AL2070" i="1"/>
  <c r="AK2070" i="1"/>
  <c r="AJ2070" i="1"/>
  <c r="AF2070" i="1" s="1"/>
  <c r="X2070" i="1"/>
  <c r="AJ2069" i="1"/>
  <c r="AF2069" i="1" s="1"/>
  <c r="AJ2068" i="1"/>
  <c r="AF2068" i="1" s="1"/>
  <c r="AL2067" i="1"/>
  <c r="AK2067" i="1"/>
  <c r="AJ2067" i="1"/>
  <c r="AF2067" i="1" s="1"/>
  <c r="X2067" i="1"/>
  <c r="AJ2066" i="1"/>
  <c r="AF2066" i="1" s="1"/>
  <c r="AJ2065" i="1"/>
  <c r="AF2065" i="1" s="1"/>
  <c r="AJ2064" i="1"/>
  <c r="AF2064" i="1" s="1"/>
  <c r="W2064" i="1"/>
  <c r="AJ2063" i="1"/>
  <c r="AF2063" i="1" s="1"/>
  <c r="AJ2062" i="1"/>
  <c r="AF2062" i="1" s="1"/>
  <c r="AL2061" i="1"/>
  <c r="AK2061" i="1"/>
  <c r="AJ2061" i="1"/>
  <c r="AF2061" i="1" s="1"/>
  <c r="X2061" i="1"/>
  <c r="AL2060" i="1"/>
  <c r="AK2060" i="1"/>
  <c r="AJ2060" i="1"/>
  <c r="AF2060" i="1" s="1"/>
  <c r="X2060" i="1"/>
  <c r="AL2059" i="1"/>
  <c r="AK2059" i="1"/>
  <c r="AJ2059" i="1"/>
  <c r="AF2059" i="1" s="1"/>
  <c r="X2059" i="1"/>
  <c r="AJ2058" i="1"/>
  <c r="AF2058" i="1" s="1"/>
  <c r="AJ2057" i="1"/>
  <c r="AF2057" i="1" s="1"/>
  <c r="AL2056" i="1"/>
  <c r="AK2056" i="1"/>
  <c r="AJ2056" i="1"/>
  <c r="AF2056" i="1" s="1"/>
  <c r="X2056" i="1"/>
  <c r="AL2055" i="1"/>
  <c r="AK2055" i="1"/>
  <c r="AJ2055" i="1"/>
  <c r="AF2055" i="1" s="1"/>
  <c r="X2055" i="1"/>
  <c r="AL2054" i="1"/>
  <c r="AK2054" i="1"/>
  <c r="AJ2054" i="1"/>
  <c r="AF2054" i="1" s="1"/>
  <c r="X2054" i="1"/>
  <c r="AJ2053" i="1"/>
  <c r="AF2053" i="1" s="1"/>
  <c r="AJ2052" i="1"/>
  <c r="AF2052" i="1" s="1"/>
  <c r="AL2051" i="1"/>
  <c r="AK2051" i="1"/>
  <c r="AJ2051" i="1"/>
  <c r="AF2051" i="1" s="1"/>
  <c r="X2051" i="1"/>
  <c r="AL2050" i="1"/>
  <c r="AK2050" i="1"/>
  <c r="AJ2050" i="1"/>
  <c r="AF2050" i="1" s="1"/>
  <c r="X2050" i="1"/>
  <c r="AJ2049" i="1"/>
  <c r="AF2049" i="1" s="1"/>
  <c r="AJ2048" i="1"/>
  <c r="AF2048" i="1" s="1"/>
  <c r="W2048" i="1"/>
  <c r="X2048" i="1" s="1"/>
  <c r="AJ2047" i="1"/>
  <c r="AF2047" i="1" s="1"/>
  <c r="W2047" i="1"/>
  <c r="AJ2046" i="1"/>
  <c r="AF2046" i="1" s="1"/>
  <c r="AJ2045" i="1"/>
  <c r="AF2045" i="1" s="1"/>
  <c r="AL2044" i="1"/>
  <c r="AK2044" i="1"/>
  <c r="AJ2044" i="1"/>
  <c r="AF2044" i="1" s="1"/>
  <c r="X2044" i="1"/>
  <c r="AL2043" i="1"/>
  <c r="AK2043" i="1"/>
  <c r="AJ2043" i="1"/>
  <c r="AF2043" i="1" s="1"/>
  <c r="X2043" i="1"/>
  <c r="AL2042" i="1"/>
  <c r="AK2042" i="1"/>
  <c r="AJ2042" i="1"/>
  <c r="AF2042" i="1" s="1"/>
  <c r="X2042" i="1"/>
  <c r="AL2041" i="1"/>
  <c r="AK2041" i="1"/>
  <c r="AJ2041" i="1"/>
  <c r="AF2041" i="1" s="1"/>
  <c r="X2041" i="1"/>
  <c r="AL2040" i="1"/>
  <c r="AK2040" i="1"/>
  <c r="AJ2040" i="1"/>
  <c r="AF2040" i="1" s="1"/>
  <c r="X2040" i="1"/>
  <c r="AL2039" i="1"/>
  <c r="AK2039" i="1"/>
  <c r="AJ2039" i="1"/>
  <c r="AF2039" i="1" s="1"/>
  <c r="X2039" i="1"/>
  <c r="AJ2038" i="1"/>
  <c r="AF2038" i="1" s="1"/>
  <c r="W2038" i="1"/>
  <c r="AL2037" i="1"/>
  <c r="AK2037" i="1"/>
  <c r="AJ2037" i="1"/>
  <c r="AF2037" i="1" s="1"/>
  <c r="X2037" i="1"/>
  <c r="AJ2036" i="1"/>
  <c r="AF2036" i="1" s="1"/>
  <c r="AJ2035" i="1"/>
  <c r="AF2035" i="1" s="1"/>
  <c r="W2035" i="1"/>
  <c r="X2035" i="1" s="1"/>
  <c r="AJ2034" i="1"/>
  <c r="AF2034" i="1" s="1"/>
  <c r="W2034" i="1"/>
  <c r="AJ2033" i="1"/>
  <c r="AF2033" i="1" s="1"/>
  <c r="W2033" i="1"/>
  <c r="X2033" i="1" s="1"/>
  <c r="AJ2032" i="1"/>
  <c r="AF2032" i="1" s="1"/>
  <c r="AJ2031" i="1"/>
  <c r="AF2031" i="1" s="1"/>
  <c r="AL2030" i="1"/>
  <c r="AK2030" i="1"/>
  <c r="AJ2030" i="1"/>
  <c r="AF2030" i="1" s="1"/>
  <c r="X2030" i="1"/>
  <c r="AL2029" i="1"/>
  <c r="AK2029" i="1"/>
  <c r="AJ2029" i="1"/>
  <c r="AF2029" i="1" s="1"/>
  <c r="X2029" i="1"/>
  <c r="AL2028" i="1"/>
  <c r="AK2028" i="1"/>
  <c r="AJ2028" i="1"/>
  <c r="AF2028" i="1" s="1"/>
  <c r="X2028" i="1"/>
  <c r="AL2027" i="1"/>
  <c r="AK2027" i="1"/>
  <c r="AJ2027" i="1"/>
  <c r="AF2027" i="1" s="1"/>
  <c r="X2027" i="1"/>
  <c r="AL2026" i="1"/>
  <c r="AK2026" i="1"/>
  <c r="AJ2026" i="1"/>
  <c r="AF2026" i="1" s="1"/>
  <c r="X2026" i="1"/>
  <c r="AL2025" i="1"/>
  <c r="AK2025" i="1"/>
  <c r="AJ2025" i="1"/>
  <c r="AF2025" i="1" s="1"/>
  <c r="AG2025" i="1"/>
  <c r="X2025" i="1"/>
  <c r="AL2024" i="1"/>
  <c r="AK2024" i="1"/>
  <c r="AJ2024" i="1"/>
  <c r="AF2024" i="1" s="1"/>
  <c r="AG2024" i="1"/>
  <c r="X2024" i="1"/>
  <c r="AJ2023" i="1"/>
  <c r="AF2023" i="1" s="1"/>
  <c r="W2023" i="1"/>
  <c r="AK2023" i="1" s="1"/>
  <c r="AJ2022" i="1"/>
  <c r="AF2022" i="1" s="1"/>
  <c r="W2022" i="1"/>
  <c r="X2022" i="1" s="1"/>
  <c r="AL2021" i="1"/>
  <c r="AK2021" i="1"/>
  <c r="AJ2021" i="1"/>
  <c r="AF2021" i="1" s="1"/>
  <c r="X2021" i="1"/>
  <c r="AL2020" i="1"/>
  <c r="AK2020" i="1"/>
  <c r="AJ2020" i="1"/>
  <c r="AF2020" i="1" s="1"/>
  <c r="X2020" i="1"/>
  <c r="AJ2019" i="1"/>
  <c r="AF2019" i="1" s="1"/>
  <c r="AJ2018" i="1"/>
  <c r="AF2018" i="1" s="1"/>
  <c r="AL2017" i="1"/>
  <c r="AK2017" i="1"/>
  <c r="AJ2017" i="1"/>
  <c r="AF2017" i="1" s="1"/>
  <c r="X2017" i="1"/>
  <c r="AJ2016" i="1"/>
  <c r="AF2016" i="1" s="1"/>
  <c r="AJ2015" i="1"/>
  <c r="AF2015" i="1" s="1"/>
  <c r="AL2014" i="1"/>
  <c r="AK2014" i="1"/>
  <c r="AJ2014" i="1"/>
  <c r="AF2014" i="1" s="1"/>
  <c r="X2014" i="1"/>
  <c r="AL2013" i="1"/>
  <c r="AK2013" i="1"/>
  <c r="AJ2013" i="1"/>
  <c r="AF2013" i="1" s="1"/>
  <c r="X2013" i="1"/>
  <c r="AL2012" i="1"/>
  <c r="AK2012" i="1"/>
  <c r="AJ2012" i="1"/>
  <c r="AF2012" i="1" s="1"/>
  <c r="X2012" i="1"/>
  <c r="AL2011" i="1"/>
  <c r="AK2011" i="1"/>
  <c r="AJ2011" i="1"/>
  <c r="AF2011" i="1" s="1"/>
  <c r="X2011" i="1"/>
  <c r="AL2010" i="1"/>
  <c r="AK2010" i="1"/>
  <c r="AJ2010" i="1"/>
  <c r="AF2010" i="1" s="1"/>
  <c r="X2010" i="1"/>
  <c r="AL2009" i="1"/>
  <c r="AK2009" i="1"/>
  <c r="AJ2009" i="1"/>
  <c r="AF2009" i="1" s="1"/>
  <c r="X2009" i="1"/>
  <c r="AJ2008" i="1"/>
  <c r="AF2008" i="1" s="1"/>
  <c r="AJ2007" i="1"/>
  <c r="AF2007" i="1" s="1"/>
  <c r="AL2006" i="1"/>
  <c r="AK2006" i="1"/>
  <c r="AJ2006" i="1"/>
  <c r="AF2006" i="1" s="1"/>
  <c r="X2006" i="1"/>
  <c r="AL2005" i="1"/>
  <c r="AK2005" i="1"/>
  <c r="AJ2005" i="1"/>
  <c r="AF2005" i="1" s="1"/>
  <c r="X2005" i="1"/>
  <c r="AL2004" i="1"/>
  <c r="AK2004" i="1"/>
  <c r="AJ2004" i="1"/>
  <c r="AF2004" i="1" s="1"/>
  <c r="X2004" i="1"/>
  <c r="AJ2003" i="1"/>
  <c r="AF2003" i="1" s="1"/>
  <c r="W2003" i="1"/>
  <c r="AJ2002" i="1"/>
  <c r="AF2002" i="1" s="1"/>
  <c r="AL2001" i="1"/>
  <c r="AK2001" i="1"/>
  <c r="AJ2001" i="1"/>
  <c r="AF2001" i="1" s="1"/>
  <c r="X2001" i="1"/>
  <c r="AL2000" i="1"/>
  <c r="AK2000" i="1"/>
  <c r="AJ2000" i="1"/>
  <c r="AF2000" i="1" s="1"/>
  <c r="X2000" i="1"/>
  <c r="AJ1999" i="1"/>
  <c r="AF1999" i="1" s="1"/>
  <c r="W1999" i="1"/>
  <c r="AJ1998" i="1"/>
  <c r="AF1998" i="1" s="1"/>
  <c r="W1998" i="1"/>
  <c r="AL1998" i="1" s="1"/>
  <c r="AJ1997" i="1"/>
  <c r="AF1997" i="1" s="1"/>
  <c r="AL1996" i="1"/>
  <c r="AK1996" i="1"/>
  <c r="AJ1996" i="1"/>
  <c r="AF1996" i="1" s="1"/>
  <c r="X1996" i="1"/>
  <c r="AJ1995" i="1"/>
  <c r="AF1995" i="1" s="1"/>
  <c r="W1995" i="1"/>
  <c r="AL1994" i="1"/>
  <c r="AK1994" i="1"/>
  <c r="AJ1994" i="1"/>
  <c r="AF1994" i="1" s="1"/>
  <c r="X1994" i="1"/>
  <c r="AJ1993" i="1"/>
  <c r="AF1993" i="1" s="1"/>
  <c r="W1993" i="1"/>
  <c r="AJ1992" i="1"/>
  <c r="AF1992" i="1" s="1"/>
  <c r="W1992" i="1"/>
  <c r="X1992" i="1" s="1"/>
  <c r="AJ1991" i="1"/>
  <c r="AF1991" i="1" s="1"/>
  <c r="AJ1990" i="1"/>
  <c r="AF1990" i="1" s="1"/>
  <c r="AJ1989" i="1"/>
  <c r="AF1989" i="1" s="1"/>
  <c r="W1989" i="1"/>
  <c r="AJ1988" i="1"/>
  <c r="AF1988" i="1" s="1"/>
  <c r="AJ1987" i="1"/>
  <c r="AF1987" i="1" s="1"/>
  <c r="W1987" i="1"/>
  <c r="AJ1986" i="1"/>
  <c r="AF1986" i="1" s="1"/>
  <c r="W1986" i="1"/>
  <c r="AK1986" i="1" s="1"/>
  <c r="AJ1985" i="1"/>
  <c r="AF1985" i="1" s="1"/>
  <c r="W1985" i="1"/>
  <c r="AK1985" i="1" s="1"/>
  <c r="AL1984" i="1"/>
  <c r="AK1984" i="1"/>
  <c r="AJ1984" i="1"/>
  <c r="AF1984" i="1" s="1"/>
  <c r="X1984" i="1"/>
  <c r="AL1983" i="1"/>
  <c r="AK1983" i="1"/>
  <c r="AJ1983" i="1"/>
  <c r="AF1983" i="1" s="1"/>
  <c r="X1983" i="1"/>
  <c r="AL1982" i="1"/>
  <c r="AK1982" i="1"/>
  <c r="AJ1982" i="1"/>
  <c r="AF1982" i="1" s="1"/>
  <c r="X1982" i="1"/>
  <c r="AL1981" i="1"/>
  <c r="AK1981" i="1"/>
  <c r="AJ1981" i="1"/>
  <c r="AF1981" i="1" s="1"/>
  <c r="X1981" i="1"/>
  <c r="AJ1980" i="1"/>
  <c r="AF1980" i="1" s="1"/>
  <c r="AL1979" i="1"/>
  <c r="AK1979" i="1"/>
  <c r="AJ1979" i="1"/>
  <c r="AF1979" i="1" s="1"/>
  <c r="X1979" i="1"/>
  <c r="AJ1978" i="1"/>
  <c r="AF1978" i="1" s="1"/>
  <c r="AJ1977" i="1"/>
  <c r="AF1977" i="1" s="1"/>
  <c r="AL1976" i="1"/>
  <c r="AK1976" i="1"/>
  <c r="AJ1976" i="1"/>
  <c r="AF1976" i="1" s="1"/>
  <c r="X1976" i="1"/>
  <c r="AL1975" i="1"/>
  <c r="AK1975" i="1"/>
  <c r="AJ1975" i="1"/>
  <c r="AF1975" i="1" s="1"/>
  <c r="X1975" i="1"/>
  <c r="AJ1974" i="1"/>
  <c r="AF1974" i="1" s="1"/>
  <c r="AJ1973" i="1"/>
  <c r="AF1973" i="1" s="1"/>
  <c r="AJ1972" i="1"/>
  <c r="AF1972" i="1" s="1"/>
  <c r="AJ1971" i="1"/>
  <c r="AF1971" i="1" s="1"/>
  <c r="AJ1970" i="1"/>
  <c r="AF1970" i="1" s="1"/>
  <c r="AJ1969" i="1"/>
  <c r="AF1969" i="1" s="1"/>
  <c r="AL1968" i="1"/>
  <c r="AK1968" i="1"/>
  <c r="AJ1968" i="1"/>
  <c r="AF1968" i="1" s="1"/>
  <c r="X1968" i="1"/>
  <c r="AL1967" i="1"/>
  <c r="AK1967" i="1"/>
  <c r="AJ1967" i="1"/>
  <c r="AF1967" i="1" s="1"/>
  <c r="X1967" i="1"/>
  <c r="AL1966" i="1"/>
  <c r="AK1966" i="1"/>
  <c r="AJ1966" i="1"/>
  <c r="AF1966" i="1" s="1"/>
  <c r="X1966" i="1"/>
  <c r="AL1965" i="1"/>
  <c r="AK1965" i="1"/>
  <c r="AJ1965" i="1"/>
  <c r="AF1965" i="1" s="1"/>
  <c r="X1965" i="1"/>
  <c r="AL1964" i="1"/>
  <c r="AK1964" i="1"/>
  <c r="AJ1964" i="1"/>
  <c r="AF1964" i="1" s="1"/>
  <c r="X1964" i="1"/>
  <c r="AJ1963" i="1"/>
  <c r="AF1963" i="1" s="1"/>
  <c r="X1963" i="1"/>
  <c r="AL1962" i="1"/>
  <c r="AK1962" i="1"/>
  <c r="AJ1962" i="1"/>
  <c r="AF1962" i="1" s="1"/>
  <c r="X1962" i="1"/>
  <c r="AJ1961" i="1"/>
  <c r="AF1961" i="1" s="1"/>
  <c r="AL1960" i="1"/>
  <c r="AK1960" i="1"/>
  <c r="AJ1960" i="1"/>
  <c r="AF1960" i="1" s="1"/>
  <c r="X1960" i="1"/>
  <c r="AJ1959" i="1"/>
  <c r="AF1959" i="1" s="1"/>
  <c r="W1959" i="1"/>
  <c r="AJ1958" i="1"/>
  <c r="AF1958" i="1" s="1"/>
  <c r="AJ1957" i="1"/>
  <c r="AF1957" i="1" s="1"/>
  <c r="AL1956" i="1"/>
  <c r="AK1956" i="1"/>
  <c r="AJ1956" i="1"/>
  <c r="AF1956" i="1" s="1"/>
  <c r="X1956" i="1"/>
  <c r="AL1955" i="1"/>
  <c r="AK1955" i="1"/>
  <c r="AJ1955" i="1"/>
  <c r="AF1955" i="1" s="1"/>
  <c r="X1955" i="1"/>
  <c r="AJ1954" i="1"/>
  <c r="AF1954" i="1" s="1"/>
  <c r="W1954" i="1"/>
  <c r="AJ1953" i="1"/>
  <c r="AF1953" i="1" s="1"/>
  <c r="W1953" i="1"/>
  <c r="X1953" i="1" s="1"/>
  <c r="AJ1952" i="1"/>
  <c r="AF1952" i="1" s="1"/>
  <c r="W1952" i="1"/>
  <c r="AL1951" i="1"/>
  <c r="AK1951" i="1"/>
  <c r="AJ1951" i="1"/>
  <c r="AF1951" i="1" s="1"/>
  <c r="X1951" i="1"/>
  <c r="AL1950" i="1"/>
  <c r="AK1950" i="1"/>
  <c r="AJ1950" i="1"/>
  <c r="AF1950" i="1" s="1"/>
  <c r="X1950" i="1"/>
  <c r="AL1949" i="1"/>
  <c r="AK1949" i="1"/>
  <c r="AJ1949" i="1"/>
  <c r="AF1949" i="1" s="1"/>
  <c r="X1949" i="1"/>
  <c r="AL1948" i="1"/>
  <c r="AK1948" i="1"/>
  <c r="AJ1948" i="1"/>
  <c r="AF1948" i="1" s="1"/>
  <c r="AG1948" i="1"/>
  <c r="X1948" i="1"/>
  <c r="AL1947" i="1"/>
  <c r="AK1947" i="1"/>
  <c r="AJ1947" i="1"/>
  <c r="AF1947" i="1" s="1"/>
  <c r="X1947" i="1"/>
  <c r="AL1946" i="1"/>
  <c r="AK1946" i="1"/>
  <c r="AJ1946" i="1"/>
  <c r="AF1946" i="1" s="1"/>
  <c r="X1946" i="1"/>
  <c r="AL1945" i="1"/>
  <c r="AK1945" i="1"/>
  <c r="AJ1945" i="1"/>
  <c r="AF1945" i="1" s="1"/>
  <c r="X1945" i="1"/>
  <c r="AL1944" i="1"/>
  <c r="AK1944" i="1"/>
  <c r="AJ1944" i="1"/>
  <c r="AF1944" i="1" s="1"/>
  <c r="AJ1943" i="1"/>
  <c r="AF1943" i="1" s="1"/>
  <c r="W1943" i="1"/>
  <c r="AJ1942" i="1"/>
  <c r="AF1942" i="1" s="1"/>
  <c r="W1942" i="1"/>
  <c r="AK1942" i="1" s="1"/>
  <c r="AL1941" i="1"/>
  <c r="AK1941" i="1"/>
  <c r="AJ1941" i="1"/>
  <c r="AF1941" i="1" s="1"/>
  <c r="X1941" i="1"/>
  <c r="AJ1940" i="1"/>
  <c r="AF1940" i="1" s="1"/>
  <c r="W1940" i="1"/>
  <c r="AK1940" i="1" s="1"/>
  <c r="AJ1939" i="1"/>
  <c r="AF1939" i="1" s="1"/>
  <c r="W1939" i="1"/>
  <c r="AK1939" i="1" s="1"/>
  <c r="AL1938" i="1"/>
  <c r="AK1938" i="1"/>
  <c r="AJ1938" i="1"/>
  <c r="AF1938" i="1" s="1"/>
  <c r="X1938" i="1"/>
  <c r="AL1937" i="1"/>
  <c r="AK1937" i="1"/>
  <c r="AJ1937" i="1"/>
  <c r="AF1937" i="1" s="1"/>
  <c r="X1937" i="1"/>
  <c r="AL1936" i="1"/>
  <c r="AK1936" i="1"/>
  <c r="AJ1936" i="1"/>
  <c r="AF1936" i="1" s="1"/>
  <c r="X1936" i="1"/>
  <c r="AL1935" i="1"/>
  <c r="AK1935" i="1"/>
  <c r="AJ1935" i="1"/>
  <c r="AF1935" i="1" s="1"/>
  <c r="X1935" i="1"/>
  <c r="AJ1934" i="1"/>
  <c r="AF1934" i="1" s="1"/>
  <c r="AJ1933" i="1"/>
  <c r="AF1933" i="1" s="1"/>
  <c r="AJ1932" i="1"/>
  <c r="AF1932" i="1" s="1"/>
  <c r="AL1931" i="1"/>
  <c r="AK1931" i="1"/>
  <c r="AJ1931" i="1"/>
  <c r="AF1931" i="1" s="1"/>
  <c r="X1931" i="1"/>
  <c r="AL1930" i="1"/>
  <c r="AK1930" i="1"/>
  <c r="AJ1930" i="1"/>
  <c r="AF1930" i="1" s="1"/>
  <c r="X1930" i="1"/>
  <c r="AL1929" i="1"/>
  <c r="AK1929" i="1"/>
  <c r="AJ1929" i="1"/>
  <c r="AF1929" i="1" s="1"/>
  <c r="X1929" i="1"/>
  <c r="AJ1928" i="1"/>
  <c r="AF1928" i="1" s="1"/>
  <c r="AJ1927" i="1"/>
  <c r="AF1927" i="1" s="1"/>
  <c r="AL1926" i="1"/>
  <c r="AK1926" i="1"/>
  <c r="AJ1926" i="1"/>
  <c r="AF1926" i="1" s="1"/>
  <c r="X1926" i="1"/>
  <c r="AL1925" i="1"/>
  <c r="AK1925" i="1"/>
  <c r="AJ1925" i="1"/>
  <c r="AF1925" i="1" s="1"/>
  <c r="X1925" i="1"/>
  <c r="AJ1924" i="1"/>
  <c r="AF1924" i="1" s="1"/>
  <c r="AJ1923" i="1"/>
  <c r="AF1923" i="1" s="1"/>
  <c r="W1923" i="1"/>
  <c r="AL1922" i="1"/>
  <c r="AK1922" i="1"/>
  <c r="AJ1922" i="1"/>
  <c r="AF1922" i="1" s="1"/>
  <c r="X1922" i="1"/>
  <c r="AL1921" i="1"/>
  <c r="AK1921" i="1"/>
  <c r="AJ1921" i="1"/>
  <c r="AF1921" i="1" s="1"/>
  <c r="X1921" i="1"/>
  <c r="AL1920" i="1"/>
  <c r="AK1920" i="1"/>
  <c r="AJ1920" i="1"/>
  <c r="AF1920" i="1" s="1"/>
  <c r="X1920" i="1"/>
  <c r="AL1919" i="1"/>
  <c r="AK1919" i="1"/>
  <c r="AJ1919" i="1"/>
  <c r="AF1919" i="1" s="1"/>
  <c r="X1919" i="1"/>
  <c r="AJ1918" i="1"/>
  <c r="AF1918" i="1" s="1"/>
  <c r="W1918" i="1"/>
  <c r="AJ1917" i="1"/>
  <c r="AF1917" i="1" s="1"/>
  <c r="AJ1916" i="1"/>
  <c r="AF1916" i="1" s="1"/>
  <c r="W1916" i="1"/>
  <c r="AJ1915" i="1"/>
  <c r="AF1915" i="1" s="1"/>
  <c r="W1915" i="1"/>
  <c r="X1915" i="1" s="1"/>
  <c r="AJ1914" i="1"/>
  <c r="AF1914" i="1" s="1"/>
  <c r="W1914" i="1"/>
  <c r="AJ1913" i="1"/>
  <c r="AF1913" i="1" s="1"/>
  <c r="W1913" i="1"/>
  <c r="X1913" i="1" s="1"/>
  <c r="AL1912" i="1"/>
  <c r="AK1912" i="1"/>
  <c r="AJ1912" i="1"/>
  <c r="AF1912" i="1" s="1"/>
  <c r="X1912" i="1"/>
  <c r="AL1911" i="1"/>
  <c r="AK1911" i="1"/>
  <c r="AJ1911" i="1"/>
  <c r="AF1911" i="1" s="1"/>
  <c r="X1911" i="1"/>
  <c r="AL1910" i="1"/>
  <c r="AK1910" i="1"/>
  <c r="AJ1910" i="1"/>
  <c r="AF1910" i="1" s="1"/>
  <c r="X1910" i="1"/>
  <c r="AL1909" i="1"/>
  <c r="AK1909" i="1"/>
  <c r="AJ1909" i="1"/>
  <c r="AF1909" i="1" s="1"/>
  <c r="X1909" i="1"/>
  <c r="AJ1908" i="1"/>
  <c r="AF1908" i="1" s="1"/>
  <c r="AJ1907" i="1"/>
  <c r="AF1907" i="1" s="1"/>
  <c r="W1907" i="1"/>
  <c r="AK1907" i="1" s="1"/>
  <c r="AJ1906" i="1"/>
  <c r="AF1906" i="1" s="1"/>
  <c r="W1906" i="1"/>
  <c r="AL1905" i="1"/>
  <c r="AK1905" i="1"/>
  <c r="AJ1905" i="1"/>
  <c r="AF1905" i="1" s="1"/>
  <c r="X1905" i="1"/>
  <c r="AL1904" i="1"/>
  <c r="AK1904" i="1"/>
  <c r="AJ1904" i="1"/>
  <c r="AF1904" i="1" s="1"/>
  <c r="X1904" i="1"/>
  <c r="AJ1903" i="1"/>
  <c r="AF1903" i="1" s="1"/>
  <c r="AJ1902" i="1"/>
  <c r="AF1902" i="1" s="1"/>
  <c r="AL1901" i="1"/>
  <c r="AK1901" i="1"/>
  <c r="AJ1901" i="1"/>
  <c r="AF1901" i="1" s="1"/>
  <c r="X1901" i="1"/>
  <c r="AL1900" i="1"/>
  <c r="AK1900" i="1"/>
  <c r="AJ1900" i="1"/>
  <c r="AF1900" i="1" s="1"/>
  <c r="X1900" i="1"/>
  <c r="AJ1899" i="1"/>
  <c r="AF1899" i="1" s="1"/>
  <c r="AL1898" i="1"/>
  <c r="AK1898" i="1"/>
  <c r="AJ1898" i="1"/>
  <c r="AF1898" i="1" s="1"/>
  <c r="X1898" i="1"/>
  <c r="AL1897" i="1"/>
  <c r="AK1897" i="1"/>
  <c r="AJ1897" i="1"/>
  <c r="AF1897" i="1" s="1"/>
  <c r="X1897" i="1"/>
  <c r="AL1896" i="1"/>
  <c r="AK1896" i="1"/>
  <c r="AJ1896" i="1"/>
  <c r="AF1896" i="1" s="1"/>
  <c r="X1896" i="1"/>
  <c r="AJ1895" i="1"/>
  <c r="AF1895" i="1" s="1"/>
  <c r="AL1894" i="1"/>
  <c r="AK1894" i="1"/>
  <c r="AJ1894" i="1"/>
  <c r="AF1894" i="1" s="1"/>
  <c r="X1894" i="1"/>
  <c r="AL1893" i="1"/>
  <c r="AK1893" i="1"/>
  <c r="AJ1893" i="1"/>
  <c r="AF1893" i="1" s="1"/>
  <c r="X1893" i="1"/>
  <c r="AJ1892" i="1"/>
  <c r="AF1892" i="1" s="1"/>
  <c r="W1892" i="1"/>
  <c r="AK1892" i="1" s="1"/>
  <c r="AJ1891" i="1"/>
  <c r="AF1891" i="1" s="1"/>
  <c r="W1891" i="1"/>
  <c r="AJ1890" i="1"/>
  <c r="AF1890" i="1" s="1"/>
  <c r="W1890" i="1"/>
  <c r="AK1890" i="1" s="1"/>
  <c r="AJ1889" i="1"/>
  <c r="AF1889" i="1" s="1"/>
  <c r="W1889" i="1"/>
  <c r="AK1889" i="1" s="1"/>
  <c r="AL1888" i="1"/>
  <c r="AK1888" i="1"/>
  <c r="AJ1888" i="1"/>
  <c r="AF1888" i="1" s="1"/>
  <c r="X1888" i="1"/>
  <c r="AL1887" i="1"/>
  <c r="AK1887" i="1"/>
  <c r="AJ1887" i="1"/>
  <c r="AF1887" i="1" s="1"/>
  <c r="X1887" i="1"/>
  <c r="AL1886" i="1"/>
  <c r="AK1886" i="1"/>
  <c r="AJ1886" i="1"/>
  <c r="AF1886" i="1" s="1"/>
  <c r="X1886" i="1"/>
  <c r="AJ1885" i="1"/>
  <c r="AF1885" i="1" s="1"/>
  <c r="AJ1884" i="1"/>
  <c r="AF1884" i="1" s="1"/>
  <c r="AL1883" i="1"/>
  <c r="AK1883" i="1"/>
  <c r="AJ1883" i="1"/>
  <c r="AF1883" i="1" s="1"/>
  <c r="X1883" i="1"/>
  <c r="AJ1882" i="1"/>
  <c r="AF1882" i="1" s="1"/>
  <c r="AJ1881" i="1"/>
  <c r="AF1881" i="1" s="1"/>
  <c r="AJ1880" i="1"/>
  <c r="AF1880" i="1" s="1"/>
  <c r="AL1879" i="1"/>
  <c r="AK1879" i="1"/>
  <c r="AJ1879" i="1"/>
  <c r="AF1879" i="1" s="1"/>
  <c r="X1879" i="1"/>
  <c r="AL1878" i="1"/>
  <c r="AK1878" i="1"/>
  <c r="AJ1878" i="1"/>
  <c r="AF1878" i="1" s="1"/>
  <c r="X1878" i="1"/>
  <c r="AJ1877" i="1"/>
  <c r="AF1877" i="1" s="1"/>
  <c r="AJ1876" i="1"/>
  <c r="AF1876" i="1" s="1"/>
  <c r="AJ1875" i="1"/>
  <c r="AF1875" i="1" s="1"/>
  <c r="AJ1874" i="1"/>
  <c r="AF1874" i="1" s="1"/>
  <c r="AL1873" i="1"/>
  <c r="AK1873" i="1"/>
  <c r="AJ1873" i="1"/>
  <c r="AF1873" i="1" s="1"/>
  <c r="X1873" i="1"/>
  <c r="AJ1872" i="1"/>
  <c r="AF1872" i="1" s="1"/>
  <c r="W1872" i="1"/>
  <c r="X1872" i="1" s="1"/>
  <c r="AL1871" i="1"/>
  <c r="AK1871" i="1"/>
  <c r="AJ1871" i="1"/>
  <c r="AF1871" i="1" s="1"/>
  <c r="X1871" i="1"/>
  <c r="AJ1870" i="1"/>
  <c r="AF1870" i="1" s="1"/>
  <c r="X1870" i="1"/>
  <c r="AJ1869" i="1"/>
  <c r="AF1869" i="1" s="1"/>
  <c r="AJ1868" i="1"/>
  <c r="AF1868" i="1" s="1"/>
  <c r="AL1867" i="1"/>
  <c r="AK1867" i="1"/>
  <c r="AJ1867" i="1"/>
  <c r="AF1867" i="1" s="1"/>
  <c r="X1867" i="1"/>
  <c r="AJ1866" i="1"/>
  <c r="AF1866" i="1" s="1"/>
  <c r="AJ1865" i="1"/>
  <c r="AF1865" i="1" s="1"/>
  <c r="AL1864" i="1"/>
  <c r="AK1864" i="1"/>
  <c r="AJ1864" i="1"/>
  <c r="AF1864" i="1" s="1"/>
  <c r="X1864" i="1"/>
  <c r="AK1863" i="1"/>
  <c r="AJ1863" i="1"/>
  <c r="AF1863" i="1" s="1"/>
  <c r="AK1862" i="1"/>
  <c r="AJ1862" i="1"/>
  <c r="AF1862" i="1" s="1"/>
  <c r="AL1861" i="1"/>
  <c r="AK1861" i="1"/>
  <c r="AJ1861" i="1"/>
  <c r="AF1861" i="1" s="1"/>
  <c r="X1861" i="1"/>
  <c r="AJ1860" i="1"/>
  <c r="AF1860" i="1" s="1"/>
  <c r="W1860" i="1"/>
  <c r="AL1859" i="1"/>
  <c r="AK1859" i="1"/>
  <c r="AJ1859" i="1"/>
  <c r="AF1859" i="1" s="1"/>
  <c r="X1859" i="1"/>
  <c r="AJ1858" i="1"/>
  <c r="AF1858" i="1" s="1"/>
  <c r="W1858" i="1"/>
  <c r="AL1858" i="1" s="1"/>
  <c r="AL1857" i="1"/>
  <c r="AK1857" i="1"/>
  <c r="AJ1857" i="1"/>
  <c r="AF1857" i="1" s="1"/>
  <c r="X1857" i="1"/>
  <c r="AL1856" i="1"/>
  <c r="AK1856" i="1"/>
  <c r="AJ1856" i="1"/>
  <c r="AF1856" i="1" s="1"/>
  <c r="X1856" i="1"/>
  <c r="AJ1855" i="1"/>
  <c r="AF1855" i="1" s="1"/>
  <c r="AJ1854" i="1"/>
  <c r="AF1854" i="1" s="1"/>
  <c r="AL1853" i="1"/>
  <c r="AK1853" i="1"/>
  <c r="AJ1853" i="1"/>
  <c r="AF1853" i="1" s="1"/>
  <c r="X1853" i="1"/>
  <c r="AL1852" i="1"/>
  <c r="AK1852" i="1"/>
  <c r="AJ1852" i="1"/>
  <c r="AF1852" i="1" s="1"/>
  <c r="X1852" i="1"/>
  <c r="AL1851" i="1"/>
  <c r="AK1851" i="1"/>
  <c r="AJ1851" i="1"/>
  <c r="AF1851" i="1" s="1"/>
  <c r="X1851" i="1"/>
  <c r="AL1850" i="1"/>
  <c r="AK1850" i="1"/>
  <c r="AJ1850" i="1"/>
  <c r="AF1850" i="1" s="1"/>
  <c r="X1850" i="1"/>
  <c r="AJ1849" i="1"/>
  <c r="AF1849" i="1" s="1"/>
  <c r="AJ1848" i="1"/>
  <c r="AF1848" i="1" s="1"/>
  <c r="AL1847" i="1"/>
  <c r="AK1847" i="1"/>
  <c r="AJ1847" i="1"/>
  <c r="AF1847" i="1" s="1"/>
  <c r="X1847" i="1"/>
  <c r="AJ1846" i="1"/>
  <c r="AF1846" i="1" s="1"/>
  <c r="W1846" i="1"/>
  <c r="X1846" i="1" s="1"/>
  <c r="AJ1845" i="1"/>
  <c r="AF1845" i="1" s="1"/>
  <c r="W1845" i="1"/>
  <c r="X1845" i="1" s="1"/>
  <c r="AL1844" i="1"/>
  <c r="AK1844" i="1"/>
  <c r="AJ1844" i="1"/>
  <c r="AF1844" i="1" s="1"/>
  <c r="X1844" i="1"/>
  <c r="AJ1843" i="1"/>
  <c r="AF1843" i="1" s="1"/>
  <c r="W1843" i="1"/>
  <c r="AJ1842" i="1"/>
  <c r="AF1842" i="1" s="1"/>
  <c r="AJ1841" i="1"/>
  <c r="AF1841" i="1" s="1"/>
  <c r="AJ1840" i="1"/>
  <c r="AF1840" i="1" s="1"/>
  <c r="AL1839" i="1"/>
  <c r="AK1839" i="1"/>
  <c r="AJ1839" i="1"/>
  <c r="AF1839" i="1" s="1"/>
  <c r="X1839" i="1"/>
  <c r="AL1838" i="1"/>
  <c r="AK1838" i="1"/>
  <c r="AJ1838" i="1"/>
  <c r="AF1838" i="1" s="1"/>
  <c r="X1838" i="1"/>
  <c r="AL1837" i="1"/>
  <c r="AK1837" i="1"/>
  <c r="AJ1837" i="1"/>
  <c r="AF1837" i="1" s="1"/>
  <c r="X1837" i="1"/>
  <c r="AL1836" i="1"/>
  <c r="AK1836" i="1"/>
  <c r="AJ1836" i="1"/>
  <c r="AF1836" i="1" s="1"/>
  <c r="X1836" i="1"/>
  <c r="AJ1835" i="1"/>
  <c r="AF1835" i="1" s="1"/>
  <c r="W1835" i="1"/>
  <c r="AL1835" i="1" s="1"/>
  <c r="AJ1834" i="1"/>
  <c r="AF1834" i="1" s="1"/>
  <c r="AL1833" i="1"/>
  <c r="AK1833" i="1"/>
  <c r="AJ1833" i="1"/>
  <c r="AF1833" i="1" s="1"/>
  <c r="X1833" i="1"/>
  <c r="AL1832" i="1"/>
  <c r="AK1832" i="1"/>
  <c r="AJ1832" i="1"/>
  <c r="AF1832" i="1" s="1"/>
  <c r="X1832" i="1"/>
  <c r="AJ1831" i="1"/>
  <c r="AF1831" i="1" s="1"/>
  <c r="AL1830" i="1"/>
  <c r="AK1830" i="1"/>
  <c r="AJ1830" i="1"/>
  <c r="AF1830" i="1" s="1"/>
  <c r="X1830" i="1"/>
  <c r="AJ1829" i="1"/>
  <c r="AF1829" i="1" s="1"/>
  <c r="AL1828" i="1"/>
  <c r="AK1828" i="1"/>
  <c r="AJ1828" i="1"/>
  <c r="AF1828" i="1" s="1"/>
  <c r="X1828" i="1"/>
  <c r="AJ1827" i="1"/>
  <c r="AF1827" i="1" s="1"/>
  <c r="AJ1826" i="1"/>
  <c r="AF1826" i="1" s="1"/>
  <c r="W1826" i="1"/>
  <c r="X1826" i="1" s="1"/>
  <c r="AJ1825" i="1"/>
  <c r="AF1825" i="1" s="1"/>
  <c r="W1825" i="1"/>
  <c r="AJ1824" i="1"/>
  <c r="AF1824" i="1" s="1"/>
  <c r="W1824" i="1"/>
  <c r="AL1823" i="1"/>
  <c r="AK1823" i="1"/>
  <c r="AJ1823" i="1"/>
  <c r="AF1823" i="1" s="1"/>
  <c r="X1823" i="1"/>
  <c r="AJ1822" i="1"/>
  <c r="AF1822" i="1" s="1"/>
  <c r="W1822" i="1"/>
  <c r="X1822" i="1" s="1"/>
  <c r="AL1821" i="1"/>
  <c r="AK1821" i="1"/>
  <c r="AJ1821" i="1"/>
  <c r="AF1821" i="1" s="1"/>
  <c r="X1821" i="1"/>
  <c r="AL1820" i="1"/>
  <c r="AK1820" i="1"/>
  <c r="AJ1820" i="1"/>
  <c r="AF1820" i="1" s="1"/>
  <c r="X1820" i="1"/>
  <c r="AL1819" i="1"/>
  <c r="AK1819" i="1"/>
  <c r="AJ1819" i="1"/>
  <c r="AF1819" i="1" s="1"/>
  <c r="X1819" i="1"/>
  <c r="AJ1818" i="1"/>
  <c r="AF1818" i="1" s="1"/>
  <c r="AL1817" i="1"/>
  <c r="AK1817" i="1"/>
  <c r="AJ1817" i="1"/>
  <c r="AF1817" i="1" s="1"/>
  <c r="X1817" i="1"/>
  <c r="AJ1816" i="1"/>
  <c r="AF1816" i="1" s="1"/>
  <c r="AJ1815" i="1"/>
  <c r="AF1815" i="1" s="1"/>
  <c r="AJ1814" i="1"/>
  <c r="AF1814" i="1" s="1"/>
  <c r="W1814" i="1"/>
  <c r="AK1814" i="1" s="1"/>
  <c r="AJ1813" i="1"/>
  <c r="AF1813" i="1" s="1"/>
  <c r="W1813" i="1"/>
  <c r="AK1813" i="1" s="1"/>
  <c r="AL1812" i="1"/>
  <c r="AK1812" i="1"/>
  <c r="AJ1812" i="1"/>
  <c r="AF1812" i="1" s="1"/>
  <c r="X1812" i="1"/>
  <c r="AJ1811" i="1"/>
  <c r="AF1811" i="1" s="1"/>
  <c r="W1811" i="1"/>
  <c r="X1811" i="1" s="1"/>
  <c r="AL1810" i="1"/>
  <c r="AK1810" i="1"/>
  <c r="AJ1810" i="1"/>
  <c r="AF1810" i="1" s="1"/>
  <c r="X1810" i="1"/>
  <c r="AL1809" i="1"/>
  <c r="AK1809" i="1"/>
  <c r="AJ1809" i="1"/>
  <c r="AF1809" i="1" s="1"/>
  <c r="X1809" i="1"/>
  <c r="AJ1808" i="1"/>
  <c r="AF1808" i="1" s="1"/>
  <c r="AJ1807" i="1"/>
  <c r="AF1807" i="1" s="1"/>
  <c r="AJ1806" i="1"/>
  <c r="AF1806" i="1" s="1"/>
  <c r="AJ1805" i="1"/>
  <c r="AF1805" i="1" s="1"/>
  <c r="W1805" i="1"/>
  <c r="AJ1804" i="1"/>
  <c r="AF1804" i="1" s="1"/>
  <c r="AJ1803" i="1"/>
  <c r="AF1803" i="1" s="1"/>
  <c r="AJ1802" i="1"/>
  <c r="AF1802" i="1" s="1"/>
  <c r="W1802" i="1"/>
  <c r="AJ1801" i="1"/>
  <c r="AF1801" i="1" s="1"/>
  <c r="W1801" i="1"/>
  <c r="AJ1800" i="1"/>
  <c r="AF1800" i="1" s="1"/>
  <c r="W1800" i="1"/>
  <c r="AL1800" i="1" s="1"/>
  <c r="AJ1799" i="1"/>
  <c r="AF1799" i="1" s="1"/>
  <c r="W1799" i="1"/>
  <c r="AL1798" i="1"/>
  <c r="AK1798" i="1"/>
  <c r="AJ1798" i="1"/>
  <c r="AF1798" i="1" s="1"/>
  <c r="X1798" i="1"/>
  <c r="AL1797" i="1"/>
  <c r="AK1797" i="1"/>
  <c r="AJ1797" i="1"/>
  <c r="AF1797" i="1" s="1"/>
  <c r="X1797" i="1"/>
  <c r="AL1796" i="1"/>
  <c r="AK1796" i="1"/>
  <c r="AJ1796" i="1"/>
  <c r="AF1796" i="1" s="1"/>
  <c r="X1796" i="1"/>
  <c r="AL1795" i="1"/>
  <c r="AK1795" i="1"/>
  <c r="AJ1795" i="1"/>
  <c r="AF1795" i="1" s="1"/>
  <c r="X1795" i="1"/>
  <c r="AL1794" i="1"/>
  <c r="AK1794" i="1"/>
  <c r="AJ1794" i="1"/>
  <c r="AF1794" i="1" s="1"/>
  <c r="X1794" i="1"/>
  <c r="AJ1793" i="1"/>
  <c r="AF1793" i="1" s="1"/>
  <c r="AJ1792" i="1"/>
  <c r="AF1792" i="1" s="1"/>
  <c r="AJ1791" i="1"/>
  <c r="AF1791" i="1" s="1"/>
  <c r="W1791" i="1"/>
  <c r="X1791" i="1" s="1"/>
  <c r="AJ1790" i="1"/>
  <c r="AF1790" i="1" s="1"/>
  <c r="W1790" i="1"/>
  <c r="X1790" i="1" s="1"/>
  <c r="AJ1789" i="1"/>
  <c r="AF1789" i="1" s="1"/>
  <c r="AJ1788" i="1"/>
  <c r="AF1788" i="1" s="1"/>
  <c r="W1788" i="1"/>
  <c r="X1788" i="1" s="1"/>
  <c r="AJ1787" i="1"/>
  <c r="AF1787" i="1" s="1"/>
  <c r="W1787" i="1"/>
  <c r="AJ1786" i="1"/>
  <c r="AF1786" i="1" s="1"/>
  <c r="W1786" i="1"/>
  <c r="AJ1785" i="1"/>
  <c r="AF1785" i="1" s="1"/>
  <c r="W1785" i="1"/>
  <c r="AL1785" i="1" s="1"/>
  <c r="AJ1784" i="1"/>
  <c r="AF1784" i="1" s="1"/>
  <c r="AJ1783" i="1"/>
  <c r="AF1783" i="1" s="1"/>
  <c r="AL1782" i="1"/>
  <c r="AK1782" i="1"/>
  <c r="AJ1782" i="1"/>
  <c r="AF1782" i="1" s="1"/>
  <c r="X1782" i="1"/>
  <c r="AJ1781" i="1"/>
  <c r="AF1781" i="1" s="1"/>
  <c r="W1781" i="1"/>
  <c r="AL1781" i="1" s="1"/>
  <c r="AL1780" i="1"/>
  <c r="AK1780" i="1"/>
  <c r="AJ1780" i="1"/>
  <c r="AF1780" i="1" s="1"/>
  <c r="X1780" i="1"/>
  <c r="AJ1779" i="1"/>
  <c r="AF1779" i="1" s="1"/>
  <c r="AJ1778" i="1"/>
  <c r="AF1778" i="1" s="1"/>
  <c r="AL1777" i="1"/>
  <c r="AK1777" i="1"/>
  <c r="AJ1777" i="1"/>
  <c r="AF1777" i="1" s="1"/>
  <c r="X1777" i="1"/>
  <c r="AJ1776" i="1"/>
  <c r="AF1776" i="1" s="1"/>
  <c r="AL1775" i="1"/>
  <c r="AK1775" i="1"/>
  <c r="AJ1775" i="1"/>
  <c r="AF1775" i="1" s="1"/>
  <c r="X1775" i="1"/>
  <c r="AL1774" i="1"/>
  <c r="AK1774" i="1"/>
  <c r="AJ1774" i="1"/>
  <c r="AF1774" i="1" s="1"/>
  <c r="X1774" i="1"/>
  <c r="AJ1773" i="1"/>
  <c r="AF1773" i="1" s="1"/>
  <c r="W1773" i="1"/>
  <c r="X1773" i="1" s="1"/>
  <c r="AJ1772" i="1"/>
  <c r="AF1772" i="1" s="1"/>
  <c r="W1772" i="1"/>
  <c r="AL1771" i="1"/>
  <c r="AK1771" i="1"/>
  <c r="AJ1771" i="1"/>
  <c r="AF1771" i="1" s="1"/>
  <c r="X1771" i="1"/>
  <c r="AL1770" i="1"/>
  <c r="AK1770" i="1"/>
  <c r="AJ1770" i="1"/>
  <c r="AF1770" i="1" s="1"/>
  <c r="X1770" i="1"/>
  <c r="AJ1769" i="1"/>
  <c r="AF1769" i="1" s="1"/>
  <c r="W1769" i="1"/>
  <c r="AJ1768" i="1"/>
  <c r="AF1768" i="1" s="1"/>
  <c r="W1768" i="1"/>
  <c r="X1768" i="1" s="1"/>
  <c r="AL1767" i="1"/>
  <c r="AK1767" i="1"/>
  <c r="AJ1767" i="1"/>
  <c r="AF1767" i="1" s="1"/>
  <c r="X1767" i="1"/>
  <c r="AL1766" i="1"/>
  <c r="AK1766" i="1"/>
  <c r="AJ1766" i="1"/>
  <c r="AF1766" i="1" s="1"/>
  <c r="X1766" i="1"/>
  <c r="AJ1765" i="1"/>
  <c r="AF1765" i="1" s="1"/>
  <c r="W1765" i="1"/>
  <c r="AL1764" i="1"/>
  <c r="AK1764" i="1"/>
  <c r="AJ1764" i="1"/>
  <c r="AF1764" i="1" s="1"/>
  <c r="X1764" i="1"/>
  <c r="AL1763" i="1"/>
  <c r="AK1763" i="1"/>
  <c r="AJ1763" i="1"/>
  <c r="AF1763" i="1" s="1"/>
  <c r="X1763" i="1"/>
  <c r="AJ1762" i="1"/>
  <c r="AF1762" i="1" s="1"/>
  <c r="AJ1761" i="1"/>
  <c r="AF1761" i="1" s="1"/>
  <c r="AJ1760" i="1"/>
  <c r="AF1760" i="1" s="1"/>
  <c r="W1760" i="1"/>
  <c r="AJ1759" i="1"/>
  <c r="AF1759" i="1" s="1"/>
  <c r="W1759" i="1"/>
  <c r="AL1758" i="1"/>
  <c r="AK1758" i="1"/>
  <c r="AJ1758" i="1"/>
  <c r="AF1758" i="1" s="1"/>
  <c r="X1758" i="1"/>
  <c r="AL1757" i="1"/>
  <c r="AK1757" i="1"/>
  <c r="AJ1757" i="1"/>
  <c r="AF1757" i="1" s="1"/>
  <c r="X1757" i="1"/>
  <c r="AL1756" i="1"/>
  <c r="AK1756" i="1"/>
  <c r="AJ1756" i="1"/>
  <c r="AF1756" i="1" s="1"/>
  <c r="X1756" i="1"/>
  <c r="AL1755" i="1"/>
  <c r="AK1755" i="1"/>
  <c r="AJ1755" i="1"/>
  <c r="AF1755" i="1" s="1"/>
  <c r="X1755" i="1"/>
  <c r="AL1754" i="1"/>
  <c r="AK1754" i="1"/>
  <c r="AJ1754" i="1"/>
  <c r="AF1754" i="1" s="1"/>
  <c r="X1754" i="1"/>
  <c r="AL1753" i="1"/>
  <c r="AK1753" i="1"/>
  <c r="AJ1753" i="1"/>
  <c r="AF1753" i="1" s="1"/>
  <c r="X1753" i="1"/>
  <c r="AJ1752" i="1"/>
  <c r="AF1752" i="1" s="1"/>
  <c r="W1752" i="1"/>
  <c r="AL1752" i="1" s="1"/>
  <c r="AL1751" i="1"/>
  <c r="AK1751" i="1"/>
  <c r="AJ1751" i="1"/>
  <c r="AF1751" i="1" s="1"/>
  <c r="X1751" i="1"/>
  <c r="AL1750" i="1"/>
  <c r="AK1750" i="1"/>
  <c r="AJ1750" i="1"/>
  <c r="AF1750" i="1" s="1"/>
  <c r="X1750" i="1"/>
  <c r="AL1749" i="1"/>
  <c r="AK1749" i="1"/>
  <c r="AJ1749" i="1"/>
  <c r="AF1749" i="1" s="1"/>
  <c r="X1749" i="1"/>
  <c r="AL1748" i="1"/>
  <c r="AK1748" i="1"/>
  <c r="AJ1748" i="1"/>
  <c r="AF1748" i="1" s="1"/>
  <c r="X1748" i="1"/>
  <c r="AL1747" i="1"/>
  <c r="AK1747" i="1"/>
  <c r="AJ1747" i="1"/>
  <c r="AF1747" i="1" s="1"/>
  <c r="X1747" i="1"/>
  <c r="AL1746" i="1"/>
  <c r="AK1746" i="1"/>
  <c r="AJ1746" i="1"/>
  <c r="AF1746" i="1" s="1"/>
  <c r="X1746" i="1"/>
  <c r="AJ1745" i="1"/>
  <c r="AF1745" i="1" s="1"/>
  <c r="W1745" i="1"/>
  <c r="AL1745" i="1" s="1"/>
  <c r="AJ1744" i="1"/>
  <c r="AF1744" i="1" s="1"/>
  <c r="W1744" i="1"/>
  <c r="AL1743" i="1"/>
  <c r="AK1743" i="1"/>
  <c r="AJ1743" i="1"/>
  <c r="AF1743" i="1" s="1"/>
  <c r="X1743" i="1"/>
  <c r="AL1742" i="1"/>
  <c r="AK1742" i="1"/>
  <c r="AJ1742" i="1"/>
  <c r="AF1742" i="1" s="1"/>
  <c r="X1742" i="1"/>
  <c r="AL1741" i="1"/>
  <c r="AK1741" i="1"/>
  <c r="AJ1741" i="1"/>
  <c r="AF1741" i="1" s="1"/>
  <c r="X1741" i="1"/>
  <c r="AL1740" i="1"/>
  <c r="AK1740" i="1"/>
  <c r="AJ1740" i="1"/>
  <c r="AF1740" i="1" s="1"/>
  <c r="X1740" i="1"/>
  <c r="AL1739" i="1"/>
  <c r="AK1739" i="1"/>
  <c r="AJ1739" i="1"/>
  <c r="AF1739" i="1" s="1"/>
  <c r="X1739" i="1"/>
  <c r="AL1738" i="1"/>
  <c r="AK1738" i="1"/>
  <c r="AJ1738" i="1"/>
  <c r="AF1738" i="1" s="1"/>
  <c r="X1738" i="1"/>
  <c r="AL1737" i="1"/>
  <c r="AK1737" i="1"/>
  <c r="AJ1737" i="1"/>
  <c r="AF1737" i="1" s="1"/>
  <c r="X1737" i="1"/>
  <c r="AL1736" i="1"/>
  <c r="AK1736" i="1"/>
  <c r="AJ1736" i="1"/>
  <c r="AF1736" i="1" s="1"/>
  <c r="X1736" i="1"/>
  <c r="AJ1735" i="1"/>
  <c r="AF1735" i="1" s="1"/>
  <c r="AL1734" i="1"/>
  <c r="AK1734" i="1"/>
  <c r="AJ1734" i="1"/>
  <c r="AF1734" i="1" s="1"/>
  <c r="X1734" i="1"/>
  <c r="AJ1733" i="1"/>
  <c r="AF1733" i="1" s="1"/>
  <c r="AJ1732" i="1"/>
  <c r="AF1732" i="1" s="1"/>
  <c r="AJ1731" i="1"/>
  <c r="AF1731" i="1" s="1"/>
  <c r="AL1730" i="1"/>
  <c r="AK1730" i="1"/>
  <c r="AJ1730" i="1"/>
  <c r="AF1730" i="1" s="1"/>
  <c r="X1730" i="1"/>
  <c r="AJ1729" i="1"/>
  <c r="AF1729" i="1" s="1"/>
  <c r="W1729" i="1"/>
  <c r="AJ1728" i="1"/>
  <c r="AF1728" i="1" s="1"/>
  <c r="W1728" i="1"/>
  <c r="AK1728" i="1" s="1"/>
  <c r="AL1727" i="1"/>
  <c r="AK1727" i="1"/>
  <c r="AJ1727" i="1"/>
  <c r="AF1727" i="1" s="1"/>
  <c r="X1727" i="1"/>
  <c r="AL1726" i="1"/>
  <c r="AK1726" i="1"/>
  <c r="AJ1726" i="1"/>
  <c r="AF1726" i="1" s="1"/>
  <c r="X1726" i="1"/>
  <c r="AJ1725" i="1"/>
  <c r="AF1725" i="1" s="1"/>
  <c r="AL1724" i="1"/>
  <c r="AK1724" i="1"/>
  <c r="AJ1724" i="1"/>
  <c r="AF1724" i="1" s="1"/>
  <c r="X1724" i="1"/>
  <c r="AL1723" i="1"/>
  <c r="AK1723" i="1"/>
  <c r="AJ1723" i="1"/>
  <c r="AF1723" i="1" s="1"/>
  <c r="X1723" i="1"/>
  <c r="AL1722" i="1"/>
  <c r="AK1722" i="1"/>
  <c r="AJ1722" i="1"/>
  <c r="AF1722" i="1" s="1"/>
  <c r="X1722" i="1"/>
  <c r="AL1721" i="1"/>
  <c r="AK1721" i="1"/>
  <c r="AJ1721" i="1"/>
  <c r="AF1721" i="1" s="1"/>
  <c r="X1721" i="1"/>
  <c r="AJ1720" i="1"/>
  <c r="AF1720" i="1" s="1"/>
  <c r="W1720" i="1"/>
  <c r="AJ1719" i="1"/>
  <c r="AF1719" i="1" s="1"/>
  <c r="W1719" i="1"/>
  <c r="AJ1718" i="1"/>
  <c r="AF1718" i="1" s="1"/>
  <c r="AJ1717" i="1"/>
  <c r="AF1717" i="1" s="1"/>
  <c r="AK1716" i="1"/>
  <c r="AJ1716" i="1"/>
  <c r="AF1716" i="1" s="1"/>
  <c r="AJ1715" i="1"/>
  <c r="AF1715" i="1" s="1"/>
  <c r="W1715" i="1"/>
  <c r="AJ1714" i="1"/>
  <c r="AF1714" i="1" s="1"/>
  <c r="W1714" i="1"/>
  <c r="AL1714" i="1" s="1"/>
  <c r="AL1713" i="1"/>
  <c r="AK1713" i="1"/>
  <c r="AJ1713" i="1"/>
  <c r="AF1713" i="1" s="1"/>
  <c r="X1713" i="1"/>
  <c r="AL1712" i="1"/>
  <c r="AK1712" i="1"/>
  <c r="AJ1712" i="1"/>
  <c r="AF1712" i="1" s="1"/>
  <c r="X1712" i="1"/>
  <c r="AJ1711" i="1"/>
  <c r="AF1711" i="1" s="1"/>
  <c r="W1711" i="1"/>
  <c r="AJ1710" i="1"/>
  <c r="AF1710" i="1" s="1"/>
  <c r="W1710" i="1"/>
  <c r="AK1710" i="1" s="1"/>
  <c r="AJ1709" i="1"/>
  <c r="AF1709" i="1" s="1"/>
  <c r="AJ1708" i="1"/>
  <c r="AF1708" i="1" s="1"/>
  <c r="AL1707" i="1"/>
  <c r="AK1707" i="1"/>
  <c r="AJ1707" i="1"/>
  <c r="AF1707" i="1" s="1"/>
  <c r="X1707" i="1"/>
  <c r="AJ1706" i="1"/>
  <c r="AF1706" i="1" s="1"/>
  <c r="W1706" i="1"/>
  <c r="AL1706" i="1" s="1"/>
  <c r="AL1705" i="1"/>
  <c r="AK1705" i="1"/>
  <c r="AJ1705" i="1"/>
  <c r="AF1705" i="1" s="1"/>
  <c r="X1705" i="1"/>
  <c r="AL1704" i="1"/>
  <c r="AK1704" i="1"/>
  <c r="AJ1704" i="1"/>
  <c r="AF1704" i="1" s="1"/>
  <c r="X1704" i="1"/>
  <c r="AJ1703" i="1"/>
  <c r="AF1703" i="1" s="1"/>
  <c r="W1703" i="1"/>
  <c r="AL1702" i="1"/>
  <c r="AK1702" i="1"/>
  <c r="AJ1702" i="1"/>
  <c r="AF1702" i="1" s="1"/>
  <c r="X1702" i="1"/>
  <c r="AJ1701" i="1"/>
  <c r="AF1701" i="1" s="1"/>
  <c r="W1701" i="1"/>
  <c r="X1701" i="1" s="1"/>
  <c r="AJ1700" i="1"/>
  <c r="AF1700" i="1" s="1"/>
  <c r="W1700" i="1"/>
  <c r="X1700" i="1" s="1"/>
  <c r="AJ1699" i="1"/>
  <c r="AF1699" i="1" s="1"/>
  <c r="AJ1698" i="1"/>
  <c r="AF1698" i="1" s="1"/>
  <c r="AL1697" i="1"/>
  <c r="AK1697" i="1"/>
  <c r="AJ1697" i="1"/>
  <c r="AF1697" i="1" s="1"/>
  <c r="X1697" i="1"/>
  <c r="AJ1696" i="1"/>
  <c r="AF1696" i="1" s="1"/>
  <c r="AJ1695" i="1"/>
  <c r="AF1695" i="1" s="1"/>
  <c r="AL1694" i="1"/>
  <c r="AK1694" i="1"/>
  <c r="AJ1694" i="1"/>
  <c r="AF1694" i="1" s="1"/>
  <c r="X1694" i="1"/>
  <c r="AL1693" i="1"/>
  <c r="AK1693" i="1"/>
  <c r="AJ1693" i="1"/>
  <c r="AF1693" i="1" s="1"/>
  <c r="X1693" i="1"/>
  <c r="AL1692" i="1"/>
  <c r="AK1692" i="1"/>
  <c r="AJ1692" i="1"/>
  <c r="AF1692" i="1" s="1"/>
  <c r="X1692" i="1"/>
  <c r="AL1691" i="1"/>
  <c r="AK1691" i="1"/>
  <c r="AJ1691" i="1"/>
  <c r="AF1691" i="1" s="1"/>
  <c r="X1691" i="1"/>
  <c r="AL1690" i="1"/>
  <c r="AK1690" i="1"/>
  <c r="AJ1690" i="1"/>
  <c r="AF1690" i="1" s="1"/>
  <c r="X1690" i="1"/>
  <c r="AL1689" i="1"/>
  <c r="AK1689" i="1"/>
  <c r="AJ1689" i="1"/>
  <c r="AF1689" i="1" s="1"/>
  <c r="X1689" i="1"/>
  <c r="AL1688" i="1"/>
  <c r="AK1688" i="1"/>
  <c r="AJ1688" i="1"/>
  <c r="AF1688" i="1" s="1"/>
  <c r="X1688" i="1"/>
  <c r="AL1687" i="1"/>
  <c r="AK1687" i="1"/>
  <c r="AJ1687" i="1"/>
  <c r="AF1687" i="1" s="1"/>
  <c r="X1687" i="1"/>
  <c r="AJ1686" i="1"/>
  <c r="AF1686" i="1" s="1"/>
  <c r="AJ1685" i="1"/>
  <c r="AF1685" i="1" s="1"/>
  <c r="AL1684" i="1"/>
  <c r="AK1684" i="1"/>
  <c r="AJ1684" i="1"/>
  <c r="AF1684" i="1" s="1"/>
  <c r="X1684" i="1"/>
  <c r="AL1683" i="1"/>
  <c r="AK1683" i="1"/>
  <c r="AJ1683" i="1"/>
  <c r="AF1683" i="1" s="1"/>
  <c r="X1683" i="1"/>
  <c r="AJ1682" i="1"/>
  <c r="AF1682" i="1" s="1"/>
  <c r="AJ1681" i="1"/>
  <c r="AF1681" i="1" s="1"/>
  <c r="AL1680" i="1"/>
  <c r="AK1680" i="1"/>
  <c r="AJ1680" i="1"/>
  <c r="AF1680" i="1" s="1"/>
  <c r="X1680" i="1"/>
  <c r="AL1679" i="1"/>
  <c r="AK1679" i="1"/>
  <c r="AJ1679" i="1"/>
  <c r="AF1679" i="1" s="1"/>
  <c r="X1679" i="1"/>
  <c r="AJ1678" i="1"/>
  <c r="AF1678" i="1" s="1"/>
  <c r="AJ1677" i="1"/>
  <c r="AF1677" i="1" s="1"/>
  <c r="AL1676" i="1"/>
  <c r="AK1676" i="1"/>
  <c r="AJ1676" i="1"/>
  <c r="AF1676" i="1" s="1"/>
  <c r="X1676" i="1"/>
  <c r="AL1675" i="1"/>
  <c r="AK1675" i="1"/>
  <c r="AJ1675" i="1"/>
  <c r="AF1675" i="1" s="1"/>
  <c r="X1675" i="1"/>
  <c r="AJ1674" i="1"/>
  <c r="AF1674" i="1" s="1"/>
  <c r="AJ1673" i="1"/>
  <c r="AF1673" i="1" s="1"/>
  <c r="AL1672" i="1"/>
  <c r="AK1672" i="1"/>
  <c r="AJ1672" i="1"/>
  <c r="AF1672" i="1" s="1"/>
  <c r="X1672" i="1"/>
  <c r="AL1671" i="1"/>
  <c r="AK1671" i="1"/>
  <c r="AJ1671" i="1"/>
  <c r="AF1671" i="1" s="1"/>
  <c r="X1671" i="1"/>
  <c r="AL1670" i="1"/>
  <c r="AK1670" i="1"/>
  <c r="AJ1670" i="1"/>
  <c r="AF1670" i="1" s="1"/>
  <c r="X1670" i="1"/>
  <c r="AJ1669" i="1"/>
  <c r="AF1669" i="1" s="1"/>
  <c r="AJ1668" i="1"/>
  <c r="AF1668" i="1" s="1"/>
  <c r="AJ1667" i="1"/>
  <c r="AF1667" i="1" s="1"/>
  <c r="AJ1666" i="1"/>
  <c r="AF1666" i="1" s="1"/>
  <c r="AL1665" i="1"/>
  <c r="AK1665" i="1"/>
  <c r="AJ1665" i="1"/>
  <c r="AF1665" i="1" s="1"/>
  <c r="X1665" i="1"/>
  <c r="AL1664" i="1"/>
  <c r="AK1664" i="1"/>
  <c r="AJ1664" i="1"/>
  <c r="AF1664" i="1" s="1"/>
  <c r="X1664" i="1"/>
  <c r="AL1663" i="1"/>
  <c r="AK1663" i="1"/>
  <c r="AJ1663" i="1"/>
  <c r="AF1663" i="1" s="1"/>
  <c r="X1663" i="1"/>
  <c r="AL1662" i="1"/>
  <c r="AK1662" i="1"/>
  <c r="AJ1662" i="1"/>
  <c r="AF1662" i="1" s="1"/>
  <c r="X1662" i="1"/>
  <c r="AL1661" i="1"/>
  <c r="AK1661" i="1"/>
  <c r="AJ1661" i="1"/>
  <c r="AF1661" i="1" s="1"/>
  <c r="X1661" i="1"/>
  <c r="AL1660" i="1"/>
  <c r="AK1660" i="1"/>
  <c r="AJ1660" i="1"/>
  <c r="AF1660" i="1" s="1"/>
  <c r="X1660" i="1"/>
  <c r="AJ1659" i="1"/>
  <c r="AF1659" i="1" s="1"/>
  <c r="AJ1658" i="1"/>
  <c r="AF1658" i="1" s="1"/>
  <c r="W1658" i="1"/>
  <c r="AL1658" i="1" s="1"/>
  <c r="AJ1657" i="1"/>
  <c r="AF1657" i="1" s="1"/>
  <c r="W1657" i="1"/>
  <c r="AL1657" i="1" s="1"/>
  <c r="AL1656" i="1"/>
  <c r="AK1656" i="1"/>
  <c r="AJ1656" i="1"/>
  <c r="AF1656" i="1" s="1"/>
  <c r="AG1656" i="1"/>
  <c r="X1656" i="1"/>
  <c r="AJ1655" i="1"/>
  <c r="AF1655" i="1" s="1"/>
  <c r="AJ1654" i="1"/>
  <c r="AF1654" i="1" s="1"/>
  <c r="AL1653" i="1"/>
  <c r="AK1653" i="1"/>
  <c r="AJ1653" i="1"/>
  <c r="AF1653" i="1" s="1"/>
  <c r="X1653" i="1"/>
  <c r="AJ1652" i="1"/>
  <c r="AF1652" i="1" s="1"/>
  <c r="W1652" i="1"/>
  <c r="AJ1651" i="1"/>
  <c r="AF1651" i="1" s="1"/>
  <c r="W1651" i="1"/>
  <c r="AL1650" i="1"/>
  <c r="AK1650" i="1"/>
  <c r="AJ1650" i="1"/>
  <c r="AF1650" i="1" s="1"/>
  <c r="X1650" i="1"/>
  <c r="AL1649" i="1"/>
  <c r="AK1649" i="1"/>
  <c r="AJ1649" i="1"/>
  <c r="AF1649" i="1" s="1"/>
  <c r="X1649" i="1"/>
  <c r="AJ1648" i="1"/>
  <c r="AF1648" i="1" s="1"/>
  <c r="AJ1647" i="1"/>
  <c r="AF1647" i="1" s="1"/>
  <c r="AL1646" i="1"/>
  <c r="AK1646" i="1"/>
  <c r="AJ1646" i="1"/>
  <c r="AF1646" i="1" s="1"/>
  <c r="X1646" i="1"/>
  <c r="AL1645" i="1"/>
  <c r="AK1645" i="1"/>
  <c r="AJ1645" i="1"/>
  <c r="AF1645" i="1" s="1"/>
  <c r="X1645" i="1"/>
  <c r="AL1644" i="1"/>
  <c r="AK1644" i="1"/>
  <c r="AJ1644" i="1"/>
  <c r="AF1644" i="1" s="1"/>
  <c r="X1644" i="1"/>
  <c r="AL1643" i="1"/>
  <c r="AK1643" i="1"/>
  <c r="AJ1643" i="1"/>
  <c r="AF1643" i="1" s="1"/>
  <c r="X1643" i="1"/>
  <c r="AL1642" i="1"/>
  <c r="AK1642" i="1"/>
  <c r="AJ1642" i="1"/>
  <c r="AF1642" i="1" s="1"/>
  <c r="X1642" i="1"/>
  <c r="AL1641" i="1"/>
  <c r="AK1641" i="1"/>
  <c r="AJ1641" i="1"/>
  <c r="AF1641" i="1" s="1"/>
  <c r="X1641" i="1"/>
  <c r="AL1640" i="1"/>
  <c r="AK1640" i="1"/>
  <c r="AJ1640" i="1"/>
  <c r="AF1640" i="1" s="1"/>
  <c r="X1640" i="1"/>
  <c r="AJ1639" i="1"/>
  <c r="AF1639" i="1" s="1"/>
  <c r="AJ1638" i="1"/>
  <c r="AF1638" i="1" s="1"/>
  <c r="W1638" i="1"/>
  <c r="X1638" i="1" s="1"/>
  <c r="AJ1637" i="1"/>
  <c r="AF1637" i="1" s="1"/>
  <c r="W1637" i="1"/>
  <c r="AL1636" i="1"/>
  <c r="AK1636" i="1"/>
  <c r="AJ1636" i="1"/>
  <c r="AF1636" i="1" s="1"/>
  <c r="X1636" i="1"/>
  <c r="AL1635" i="1"/>
  <c r="AK1635" i="1"/>
  <c r="AJ1635" i="1"/>
  <c r="AF1635" i="1" s="1"/>
  <c r="X1635" i="1"/>
  <c r="AJ1634" i="1"/>
  <c r="AF1634" i="1" s="1"/>
  <c r="AJ1633" i="1"/>
  <c r="AF1633" i="1" s="1"/>
  <c r="AL1632" i="1"/>
  <c r="AK1632" i="1"/>
  <c r="AJ1632" i="1"/>
  <c r="AF1632" i="1" s="1"/>
  <c r="X1632" i="1"/>
  <c r="AJ1631" i="1"/>
  <c r="AF1631" i="1" s="1"/>
  <c r="AJ1630" i="1"/>
  <c r="AF1630" i="1" s="1"/>
  <c r="AL1629" i="1"/>
  <c r="AK1629" i="1"/>
  <c r="AJ1629" i="1"/>
  <c r="AF1629" i="1" s="1"/>
  <c r="X1629" i="1"/>
  <c r="AJ1628" i="1"/>
  <c r="AF1628" i="1" s="1"/>
  <c r="AJ1627" i="1"/>
  <c r="AF1627" i="1" s="1"/>
  <c r="AL1626" i="1"/>
  <c r="AK1626" i="1"/>
  <c r="AJ1626" i="1"/>
  <c r="AF1626" i="1" s="1"/>
  <c r="X1626" i="1"/>
  <c r="AJ1625" i="1"/>
  <c r="AF1625" i="1" s="1"/>
  <c r="AJ1624" i="1"/>
  <c r="AF1624" i="1" s="1"/>
  <c r="AJ1623" i="1"/>
  <c r="AF1623" i="1" s="1"/>
  <c r="AJ1622" i="1"/>
  <c r="AF1622" i="1" s="1"/>
  <c r="AJ1621" i="1"/>
  <c r="AF1621" i="1" s="1"/>
  <c r="W1621" i="1"/>
  <c r="AJ1620" i="1"/>
  <c r="AF1620" i="1" s="1"/>
  <c r="W1620" i="1"/>
  <c r="AL1619" i="1"/>
  <c r="AK1619" i="1"/>
  <c r="AJ1619" i="1"/>
  <c r="AF1619" i="1" s="1"/>
  <c r="X1619" i="1"/>
  <c r="AJ1618" i="1"/>
  <c r="AF1618" i="1" s="1"/>
  <c r="AL1617" i="1"/>
  <c r="AK1617" i="1"/>
  <c r="AJ1617" i="1"/>
  <c r="AF1617" i="1" s="1"/>
  <c r="X1617" i="1"/>
  <c r="AL1616" i="1"/>
  <c r="AK1616" i="1"/>
  <c r="AJ1616" i="1"/>
  <c r="AF1616" i="1" s="1"/>
  <c r="X1616" i="1"/>
  <c r="AL1615" i="1"/>
  <c r="AK1615" i="1"/>
  <c r="AJ1615" i="1"/>
  <c r="AF1615" i="1" s="1"/>
  <c r="X1615" i="1"/>
  <c r="AJ1614" i="1"/>
  <c r="AF1614" i="1" s="1"/>
  <c r="W1614" i="1"/>
  <c r="X1614" i="1" s="1"/>
  <c r="AL1613" i="1"/>
  <c r="AK1613" i="1"/>
  <c r="AJ1613" i="1"/>
  <c r="AF1613" i="1" s="1"/>
  <c r="X1613" i="1"/>
  <c r="AL1612" i="1"/>
  <c r="AK1612" i="1"/>
  <c r="AJ1612" i="1"/>
  <c r="AF1612" i="1" s="1"/>
  <c r="X1612" i="1"/>
  <c r="AL1611" i="1"/>
  <c r="AK1611" i="1"/>
  <c r="AJ1611" i="1"/>
  <c r="AF1611" i="1" s="1"/>
  <c r="X1611" i="1"/>
  <c r="AL1610" i="1"/>
  <c r="AK1610" i="1"/>
  <c r="AJ1610" i="1"/>
  <c r="AF1610" i="1" s="1"/>
  <c r="X1610" i="1"/>
  <c r="AL1609" i="1"/>
  <c r="AK1609" i="1"/>
  <c r="AJ1609" i="1"/>
  <c r="AF1609" i="1" s="1"/>
  <c r="X1609" i="1"/>
  <c r="AL1608" i="1"/>
  <c r="AK1608" i="1"/>
  <c r="AJ1608" i="1"/>
  <c r="AF1608" i="1" s="1"/>
  <c r="X1608" i="1"/>
  <c r="AL1607" i="1"/>
  <c r="AK1607" i="1"/>
  <c r="AJ1607" i="1"/>
  <c r="AF1607" i="1" s="1"/>
  <c r="X1607" i="1"/>
  <c r="AL1606" i="1"/>
  <c r="AK1606" i="1"/>
  <c r="AJ1606" i="1"/>
  <c r="AF1606" i="1" s="1"/>
  <c r="X1606" i="1"/>
  <c r="AL1605" i="1"/>
  <c r="AK1605" i="1"/>
  <c r="AJ1605" i="1"/>
  <c r="AF1605" i="1" s="1"/>
  <c r="X1605" i="1"/>
  <c r="AL1604" i="1"/>
  <c r="AK1604" i="1"/>
  <c r="AJ1604" i="1"/>
  <c r="AF1604" i="1" s="1"/>
  <c r="X1604" i="1"/>
  <c r="AJ1603" i="1"/>
  <c r="AF1603" i="1" s="1"/>
  <c r="AL1602" i="1"/>
  <c r="AK1602" i="1"/>
  <c r="AJ1602" i="1"/>
  <c r="AF1602" i="1" s="1"/>
  <c r="X1602" i="1"/>
  <c r="AL1601" i="1"/>
  <c r="AK1601" i="1"/>
  <c r="AJ1601" i="1"/>
  <c r="AF1601" i="1" s="1"/>
  <c r="X1601" i="1"/>
  <c r="AJ1600" i="1"/>
  <c r="AF1600" i="1" s="1"/>
  <c r="AJ1599" i="1"/>
  <c r="AF1599" i="1" s="1"/>
  <c r="AL1598" i="1"/>
  <c r="AK1598" i="1"/>
  <c r="AJ1598" i="1"/>
  <c r="AF1598" i="1" s="1"/>
  <c r="X1598" i="1"/>
  <c r="AL1597" i="1"/>
  <c r="AK1597" i="1"/>
  <c r="AJ1597" i="1"/>
  <c r="AF1597" i="1" s="1"/>
  <c r="X1597" i="1"/>
  <c r="AL1596" i="1"/>
  <c r="AK1596" i="1"/>
  <c r="AJ1596" i="1"/>
  <c r="AF1596" i="1" s="1"/>
  <c r="X1596" i="1"/>
  <c r="AJ1595" i="1"/>
  <c r="AF1595" i="1" s="1"/>
  <c r="AL1594" i="1"/>
  <c r="AK1594" i="1"/>
  <c r="AJ1594" i="1"/>
  <c r="AF1594" i="1" s="1"/>
  <c r="X1594" i="1"/>
  <c r="AL1593" i="1"/>
  <c r="AK1593" i="1"/>
  <c r="AJ1593" i="1"/>
  <c r="AF1593" i="1" s="1"/>
  <c r="X1593" i="1"/>
  <c r="AL1592" i="1"/>
  <c r="AK1592" i="1"/>
  <c r="AJ1592" i="1"/>
  <c r="AF1592" i="1" s="1"/>
  <c r="X1592" i="1"/>
  <c r="AL1591" i="1"/>
  <c r="AK1591" i="1"/>
  <c r="AJ1591" i="1"/>
  <c r="AF1591" i="1" s="1"/>
  <c r="X1591" i="1"/>
  <c r="AJ1590" i="1"/>
  <c r="AF1590" i="1" s="1"/>
  <c r="AJ1589" i="1"/>
  <c r="AF1589" i="1" s="1"/>
  <c r="W1589" i="1"/>
  <c r="AJ1588" i="1"/>
  <c r="AF1588" i="1" s="1"/>
  <c r="W1588" i="1"/>
  <c r="AJ1587" i="1"/>
  <c r="AF1587" i="1" s="1"/>
  <c r="W1587" i="1"/>
  <c r="X1587" i="1" s="1"/>
  <c r="AJ1586" i="1"/>
  <c r="AF1586" i="1" s="1"/>
  <c r="AJ1585" i="1"/>
  <c r="AF1585" i="1" s="1"/>
  <c r="AJ1584" i="1"/>
  <c r="AF1584" i="1" s="1"/>
  <c r="AL1583" i="1"/>
  <c r="AK1583" i="1"/>
  <c r="AJ1583" i="1"/>
  <c r="AF1583" i="1" s="1"/>
  <c r="X1583" i="1"/>
  <c r="AL1582" i="1"/>
  <c r="AK1582" i="1"/>
  <c r="AJ1582" i="1"/>
  <c r="AF1582" i="1" s="1"/>
  <c r="X1582" i="1"/>
  <c r="AL1581" i="1"/>
  <c r="AK1581" i="1"/>
  <c r="AJ1581" i="1"/>
  <c r="AF1581" i="1" s="1"/>
  <c r="X1581" i="1"/>
  <c r="AJ1580" i="1"/>
  <c r="AF1580" i="1" s="1"/>
  <c r="AJ1579" i="1"/>
  <c r="AF1579" i="1" s="1"/>
  <c r="AJ1578" i="1"/>
  <c r="AF1578" i="1" s="1"/>
  <c r="AJ1577" i="1"/>
  <c r="AF1577" i="1" s="1"/>
  <c r="W1577" i="1"/>
  <c r="X1577" i="1" s="1"/>
  <c r="AJ1576" i="1"/>
  <c r="AF1576" i="1" s="1"/>
  <c r="AJ1575" i="1"/>
  <c r="AF1575" i="1" s="1"/>
  <c r="AL1574" i="1"/>
  <c r="AK1574" i="1"/>
  <c r="AJ1574" i="1"/>
  <c r="AF1574" i="1" s="1"/>
  <c r="X1574" i="1"/>
  <c r="AL1573" i="1"/>
  <c r="AK1573" i="1"/>
  <c r="AJ1573" i="1"/>
  <c r="AF1573" i="1" s="1"/>
  <c r="X1573" i="1"/>
  <c r="AL1572" i="1"/>
  <c r="AK1572" i="1"/>
  <c r="AJ1572" i="1"/>
  <c r="AF1572" i="1" s="1"/>
  <c r="X1572" i="1"/>
  <c r="AL1571" i="1"/>
  <c r="AK1571" i="1"/>
  <c r="AJ1571" i="1"/>
  <c r="AF1571" i="1" s="1"/>
  <c r="X1571" i="1"/>
  <c r="AL1570" i="1"/>
  <c r="AK1570" i="1"/>
  <c r="AJ1570" i="1"/>
  <c r="AF1570" i="1" s="1"/>
  <c r="X1570" i="1"/>
  <c r="AJ1569" i="1"/>
  <c r="AF1569" i="1" s="1"/>
  <c r="AJ1568" i="1"/>
  <c r="AF1568" i="1" s="1"/>
  <c r="AJ1567" i="1"/>
  <c r="AF1567" i="1" s="1"/>
  <c r="AJ1566" i="1"/>
  <c r="AF1566" i="1" s="1"/>
  <c r="AJ1565" i="1"/>
  <c r="AF1565" i="1" s="1"/>
  <c r="AL1564" i="1"/>
  <c r="AK1564" i="1"/>
  <c r="AJ1564" i="1"/>
  <c r="AF1564" i="1" s="1"/>
  <c r="X1564" i="1"/>
  <c r="AL1563" i="1"/>
  <c r="AK1563" i="1"/>
  <c r="AJ1563" i="1"/>
  <c r="AF1563" i="1" s="1"/>
  <c r="X1563" i="1"/>
  <c r="AJ1562" i="1"/>
  <c r="AF1562" i="1" s="1"/>
  <c r="AJ1561" i="1"/>
  <c r="AF1561" i="1" s="1"/>
  <c r="AJ1560" i="1"/>
  <c r="AF1560" i="1" s="1"/>
  <c r="AJ1559" i="1"/>
  <c r="AF1559" i="1" s="1"/>
  <c r="AJ1558" i="1"/>
  <c r="AF1558" i="1" s="1"/>
  <c r="AJ1557" i="1"/>
  <c r="AF1557" i="1" s="1"/>
  <c r="AJ1556" i="1"/>
  <c r="AF1556" i="1" s="1"/>
  <c r="AJ1555" i="1"/>
  <c r="AF1555" i="1" s="1"/>
  <c r="AJ1554" i="1"/>
  <c r="AF1554" i="1" s="1"/>
  <c r="AJ1553" i="1"/>
  <c r="AF1553" i="1" s="1"/>
  <c r="AL1552" i="1"/>
  <c r="AK1552" i="1"/>
  <c r="AJ1552" i="1"/>
  <c r="AF1552" i="1" s="1"/>
  <c r="X1552" i="1"/>
  <c r="AL1551" i="1"/>
  <c r="AK1551" i="1"/>
  <c r="AJ1551" i="1"/>
  <c r="AF1551" i="1" s="1"/>
  <c r="X1551" i="1"/>
  <c r="AL1550" i="1"/>
  <c r="AK1550" i="1"/>
  <c r="AJ1550" i="1"/>
  <c r="AF1550" i="1" s="1"/>
  <c r="X1550" i="1"/>
  <c r="AJ1549" i="1"/>
  <c r="AF1549" i="1" s="1"/>
  <c r="AJ1548" i="1"/>
  <c r="AF1548" i="1" s="1"/>
  <c r="AL1547" i="1"/>
  <c r="AK1547" i="1"/>
  <c r="AJ1547" i="1"/>
  <c r="AF1547" i="1" s="1"/>
  <c r="X1547" i="1"/>
  <c r="AL1546" i="1"/>
  <c r="AK1546" i="1"/>
  <c r="AJ1546" i="1"/>
  <c r="AF1546" i="1" s="1"/>
  <c r="X1546" i="1"/>
  <c r="AL1545" i="1"/>
  <c r="AK1545" i="1"/>
  <c r="AJ1545" i="1"/>
  <c r="AF1545" i="1" s="1"/>
  <c r="X1545" i="1"/>
  <c r="AL1544" i="1"/>
  <c r="AK1544" i="1"/>
  <c r="AJ1544" i="1"/>
  <c r="AF1544" i="1" s="1"/>
  <c r="X1544" i="1"/>
  <c r="AL1543" i="1"/>
  <c r="AK1543" i="1"/>
  <c r="AJ1543" i="1"/>
  <c r="AF1543" i="1" s="1"/>
  <c r="X1543" i="1"/>
  <c r="AL1542" i="1"/>
  <c r="AK1542" i="1"/>
  <c r="AJ1542" i="1"/>
  <c r="AF1542" i="1" s="1"/>
  <c r="X1542" i="1"/>
  <c r="AL1541" i="1"/>
  <c r="AK1541" i="1"/>
  <c r="AJ1541" i="1"/>
  <c r="AF1541" i="1" s="1"/>
  <c r="X1541" i="1"/>
  <c r="AL1540" i="1"/>
  <c r="AK1540" i="1"/>
  <c r="AJ1540" i="1"/>
  <c r="AF1540" i="1" s="1"/>
  <c r="X1540" i="1"/>
  <c r="AL1539" i="1"/>
  <c r="AK1539" i="1"/>
  <c r="AJ1539" i="1"/>
  <c r="AF1539" i="1" s="1"/>
  <c r="X1539" i="1"/>
  <c r="AL1538" i="1"/>
  <c r="AK1538" i="1"/>
  <c r="AJ1538" i="1"/>
  <c r="AF1538" i="1" s="1"/>
  <c r="X1538" i="1"/>
  <c r="AL1537" i="1"/>
  <c r="AK1537" i="1"/>
  <c r="AJ1537" i="1"/>
  <c r="AF1537" i="1" s="1"/>
  <c r="X1537" i="1"/>
  <c r="AL1536" i="1"/>
  <c r="AK1536" i="1"/>
  <c r="AJ1536" i="1"/>
  <c r="AF1536" i="1" s="1"/>
  <c r="X1536" i="1"/>
  <c r="AJ1535" i="1"/>
  <c r="AF1535" i="1" s="1"/>
  <c r="AJ1534" i="1"/>
  <c r="AF1534" i="1" s="1"/>
  <c r="AJ1533" i="1"/>
  <c r="AF1533" i="1" s="1"/>
  <c r="AJ1532" i="1"/>
  <c r="AF1532" i="1" s="1"/>
  <c r="AJ1531" i="1"/>
  <c r="AF1531" i="1" s="1"/>
  <c r="AJ1530" i="1"/>
  <c r="AF1530" i="1" s="1"/>
  <c r="AL1529" i="1"/>
  <c r="AK1529" i="1"/>
  <c r="AJ1529" i="1"/>
  <c r="AF1529" i="1" s="1"/>
  <c r="X1529" i="1"/>
  <c r="AJ1528" i="1"/>
  <c r="AF1528" i="1" s="1"/>
  <c r="AJ1527" i="1"/>
  <c r="AF1527" i="1" s="1"/>
  <c r="AL1526" i="1"/>
  <c r="AK1526" i="1"/>
  <c r="AJ1526" i="1"/>
  <c r="AF1526" i="1" s="1"/>
  <c r="X1526" i="1"/>
  <c r="AL1525" i="1"/>
  <c r="AK1525" i="1"/>
  <c r="AJ1525" i="1"/>
  <c r="AF1525" i="1" s="1"/>
  <c r="X1525" i="1"/>
  <c r="AL1524" i="1"/>
  <c r="AK1524" i="1"/>
  <c r="AJ1524" i="1"/>
  <c r="AF1524" i="1" s="1"/>
  <c r="X1524" i="1"/>
  <c r="AL1523" i="1"/>
  <c r="AK1523" i="1"/>
  <c r="AJ1523" i="1"/>
  <c r="AF1523" i="1" s="1"/>
  <c r="X1523" i="1"/>
  <c r="AL1522" i="1"/>
  <c r="AK1522" i="1"/>
  <c r="AJ1522" i="1"/>
  <c r="AF1522" i="1" s="1"/>
  <c r="X1522" i="1"/>
  <c r="AL1521" i="1"/>
  <c r="AK1521" i="1"/>
  <c r="AJ1521" i="1"/>
  <c r="AF1521" i="1" s="1"/>
  <c r="X1521" i="1"/>
  <c r="AL1520" i="1"/>
  <c r="AK1520" i="1"/>
  <c r="AJ1520" i="1"/>
  <c r="AF1520" i="1" s="1"/>
  <c r="X1520" i="1"/>
  <c r="AJ1519" i="1"/>
  <c r="AF1519" i="1" s="1"/>
  <c r="AJ1518" i="1"/>
  <c r="AF1518" i="1" s="1"/>
  <c r="AL1517" i="1"/>
  <c r="AK1517" i="1"/>
  <c r="AJ1517" i="1"/>
  <c r="AF1517" i="1" s="1"/>
  <c r="AL1516" i="1"/>
  <c r="AK1516" i="1"/>
  <c r="AJ1516" i="1"/>
  <c r="AF1516" i="1" s="1"/>
  <c r="AJ1515" i="1"/>
  <c r="AF1515" i="1" s="1"/>
  <c r="AJ1514" i="1"/>
  <c r="AF1514" i="1" s="1"/>
  <c r="AJ1513" i="1"/>
  <c r="AF1513" i="1" s="1"/>
  <c r="AJ1512" i="1"/>
  <c r="AF1512" i="1" s="1"/>
  <c r="AJ1511" i="1"/>
  <c r="AF1511" i="1" s="1"/>
  <c r="AL1510" i="1"/>
  <c r="AK1510" i="1"/>
  <c r="AJ1510" i="1"/>
  <c r="AF1510" i="1" s="1"/>
  <c r="X1510" i="1"/>
  <c r="AL1509" i="1"/>
  <c r="AK1509" i="1"/>
  <c r="AJ1509" i="1"/>
  <c r="AF1509" i="1" s="1"/>
  <c r="X1509" i="1"/>
  <c r="AJ1508" i="1"/>
  <c r="AF1508" i="1" s="1"/>
  <c r="AL1507" i="1"/>
  <c r="AK1507" i="1"/>
  <c r="AJ1507" i="1"/>
  <c r="AF1507" i="1" s="1"/>
  <c r="X1507" i="1"/>
  <c r="AJ1506" i="1"/>
  <c r="AF1506" i="1" s="1"/>
  <c r="AJ1505" i="1"/>
  <c r="AF1505" i="1" s="1"/>
  <c r="AJ1504" i="1"/>
  <c r="AF1504" i="1" s="1"/>
  <c r="AL1503" i="1"/>
  <c r="AK1503" i="1"/>
  <c r="AJ1503" i="1"/>
  <c r="AF1503" i="1" s="1"/>
  <c r="X1503" i="1"/>
  <c r="AJ1502" i="1"/>
  <c r="AF1502" i="1" s="1"/>
  <c r="AJ1501" i="1"/>
  <c r="AF1501" i="1" s="1"/>
  <c r="AL1500" i="1"/>
  <c r="AK1500" i="1"/>
  <c r="AJ1500" i="1"/>
  <c r="AF1500" i="1" s="1"/>
  <c r="X1500" i="1"/>
  <c r="AL1499" i="1"/>
  <c r="AK1499" i="1"/>
  <c r="AJ1499" i="1"/>
  <c r="AF1499" i="1" s="1"/>
  <c r="X1499" i="1"/>
  <c r="AL1498" i="1"/>
  <c r="AK1498" i="1"/>
  <c r="AJ1498" i="1"/>
  <c r="AF1498" i="1" s="1"/>
  <c r="X1498" i="1"/>
  <c r="AL1497" i="1"/>
  <c r="AK1497" i="1"/>
  <c r="AJ1497" i="1"/>
  <c r="AF1497" i="1" s="1"/>
  <c r="X1497" i="1"/>
  <c r="AL1496" i="1"/>
  <c r="AK1496" i="1"/>
  <c r="AJ1496" i="1"/>
  <c r="AF1496" i="1" s="1"/>
  <c r="X1496" i="1"/>
  <c r="AL1495" i="1"/>
  <c r="AK1495" i="1"/>
  <c r="AJ1495" i="1"/>
  <c r="AF1495" i="1" s="1"/>
  <c r="X1495" i="1"/>
  <c r="AJ1494" i="1"/>
  <c r="AF1494" i="1" s="1"/>
  <c r="AL1493" i="1"/>
  <c r="AK1493" i="1"/>
  <c r="AJ1493" i="1"/>
  <c r="AF1493" i="1" s="1"/>
  <c r="X1493" i="1"/>
  <c r="AJ1492" i="1"/>
  <c r="AF1492" i="1" s="1"/>
  <c r="W1492" i="1"/>
  <c r="AL1492" i="1" s="1"/>
  <c r="AJ1491" i="1"/>
  <c r="AF1491" i="1" s="1"/>
  <c r="W1491" i="1"/>
  <c r="AK1491" i="1" s="1"/>
  <c r="AJ1490" i="1"/>
  <c r="AF1490" i="1" s="1"/>
  <c r="W1490" i="1"/>
  <c r="AK1490" i="1" s="1"/>
  <c r="AJ1489" i="1"/>
  <c r="AF1489" i="1" s="1"/>
  <c r="AJ1488" i="1"/>
  <c r="AF1488" i="1" s="1"/>
  <c r="AJ1487" i="1"/>
  <c r="AF1487" i="1" s="1"/>
  <c r="AJ1486" i="1"/>
  <c r="AF1486" i="1" s="1"/>
  <c r="AJ1485" i="1"/>
  <c r="AF1485" i="1" s="1"/>
  <c r="W1485" i="1"/>
  <c r="AJ1484" i="1"/>
  <c r="AF1484" i="1" s="1"/>
  <c r="W1484" i="1"/>
  <c r="X1484" i="1" s="1"/>
  <c r="AL1483" i="1"/>
  <c r="AK1483" i="1"/>
  <c r="AJ1483" i="1"/>
  <c r="AF1483" i="1" s="1"/>
  <c r="X1483" i="1"/>
  <c r="AL1482" i="1"/>
  <c r="AK1482" i="1"/>
  <c r="AJ1482" i="1"/>
  <c r="AF1482" i="1" s="1"/>
  <c r="X1482" i="1"/>
  <c r="AJ1481" i="1"/>
  <c r="AF1481" i="1" s="1"/>
  <c r="AJ1480" i="1"/>
  <c r="AF1480" i="1" s="1"/>
  <c r="AL1479" i="1"/>
  <c r="AK1479" i="1"/>
  <c r="AJ1479" i="1"/>
  <c r="AF1479" i="1" s="1"/>
  <c r="X1479" i="1"/>
  <c r="AJ1478" i="1"/>
  <c r="AF1478" i="1" s="1"/>
  <c r="AJ1477" i="1"/>
  <c r="AF1477" i="1" s="1"/>
  <c r="W1477" i="1"/>
  <c r="AJ1476" i="1"/>
  <c r="AF1476" i="1" s="1"/>
  <c r="W1476" i="1"/>
  <c r="AL1476" i="1" s="1"/>
  <c r="AJ1475" i="1"/>
  <c r="AF1475" i="1" s="1"/>
  <c r="W1475" i="1"/>
  <c r="X1475" i="1" s="1"/>
  <c r="AJ1474" i="1"/>
  <c r="AF1474" i="1" s="1"/>
  <c r="AJ1473" i="1"/>
  <c r="AF1473" i="1" s="1"/>
  <c r="AJ1472" i="1"/>
  <c r="AF1472" i="1" s="1"/>
  <c r="AL1471" i="1"/>
  <c r="AK1471" i="1"/>
  <c r="AJ1471" i="1"/>
  <c r="AF1471" i="1" s="1"/>
  <c r="X1471" i="1"/>
  <c r="AJ1470" i="1"/>
  <c r="AF1470" i="1" s="1"/>
  <c r="AL1469" i="1"/>
  <c r="AK1469" i="1"/>
  <c r="AJ1469" i="1"/>
  <c r="AF1469" i="1" s="1"/>
  <c r="X1469" i="1"/>
  <c r="AL1468" i="1"/>
  <c r="AK1468" i="1"/>
  <c r="AJ1468" i="1"/>
  <c r="AF1468" i="1" s="1"/>
  <c r="X1468" i="1"/>
  <c r="AL1467" i="1"/>
  <c r="AK1467" i="1"/>
  <c r="AJ1467" i="1"/>
  <c r="AF1467" i="1" s="1"/>
  <c r="X1467" i="1"/>
  <c r="AJ1466" i="1"/>
  <c r="AF1466" i="1" s="1"/>
  <c r="AJ1465" i="1"/>
  <c r="AF1465" i="1" s="1"/>
  <c r="AL1464" i="1"/>
  <c r="AK1464" i="1"/>
  <c r="AJ1464" i="1"/>
  <c r="AF1464" i="1" s="1"/>
  <c r="X1464" i="1"/>
  <c r="AJ1463" i="1"/>
  <c r="AF1463" i="1" s="1"/>
  <c r="W1463" i="1"/>
  <c r="X1463" i="1" s="1"/>
  <c r="AL1462" i="1"/>
  <c r="AK1462" i="1"/>
  <c r="AJ1462" i="1"/>
  <c r="AF1462" i="1" s="1"/>
  <c r="X1462" i="1"/>
  <c r="AL1461" i="1"/>
  <c r="AK1461" i="1"/>
  <c r="AJ1461" i="1"/>
  <c r="AF1461" i="1" s="1"/>
  <c r="X1461" i="1"/>
  <c r="AJ1460" i="1"/>
  <c r="AF1460" i="1" s="1"/>
  <c r="AL1459" i="1"/>
  <c r="AK1459" i="1"/>
  <c r="AJ1459" i="1"/>
  <c r="AF1459" i="1" s="1"/>
  <c r="X1459" i="1"/>
  <c r="AJ1458" i="1"/>
  <c r="AF1458" i="1" s="1"/>
  <c r="AJ1457" i="1"/>
  <c r="AF1457" i="1" s="1"/>
  <c r="AL1456" i="1"/>
  <c r="AK1456" i="1"/>
  <c r="AJ1456" i="1"/>
  <c r="AF1456" i="1" s="1"/>
  <c r="X1456" i="1"/>
  <c r="AJ1455" i="1"/>
  <c r="AF1455" i="1" s="1"/>
  <c r="AJ1454" i="1"/>
  <c r="AF1454" i="1" s="1"/>
  <c r="AL1453" i="1"/>
  <c r="AK1453" i="1"/>
  <c r="AJ1453" i="1"/>
  <c r="AF1453" i="1" s="1"/>
  <c r="X1453" i="1"/>
  <c r="AJ1452" i="1"/>
  <c r="AF1452" i="1" s="1"/>
  <c r="AL1451" i="1"/>
  <c r="AK1451" i="1"/>
  <c r="AJ1451" i="1"/>
  <c r="AF1451" i="1" s="1"/>
  <c r="X1451" i="1"/>
  <c r="AL1450" i="1"/>
  <c r="AK1450" i="1"/>
  <c r="AJ1450" i="1"/>
  <c r="AF1450" i="1" s="1"/>
  <c r="X1450" i="1"/>
  <c r="AJ1449" i="1"/>
  <c r="AF1449" i="1" s="1"/>
  <c r="W1449" i="1"/>
  <c r="AJ1448" i="1"/>
  <c r="AF1448" i="1" s="1"/>
  <c r="AJ1447" i="1"/>
  <c r="AF1447" i="1" s="1"/>
  <c r="AL1446" i="1"/>
  <c r="AK1446" i="1"/>
  <c r="AJ1446" i="1"/>
  <c r="AF1446" i="1" s="1"/>
  <c r="X1446" i="1"/>
  <c r="AL1445" i="1"/>
  <c r="AK1445" i="1"/>
  <c r="AJ1445" i="1"/>
  <c r="AF1445" i="1" s="1"/>
  <c r="X1445" i="1"/>
  <c r="AL1444" i="1"/>
  <c r="AK1444" i="1"/>
  <c r="AJ1444" i="1"/>
  <c r="AF1444" i="1" s="1"/>
  <c r="X1444" i="1"/>
  <c r="AL1443" i="1"/>
  <c r="AK1443" i="1"/>
  <c r="AJ1443" i="1"/>
  <c r="AF1443" i="1" s="1"/>
  <c r="X1443" i="1"/>
  <c r="AJ1442" i="1"/>
  <c r="AF1442" i="1" s="1"/>
  <c r="AL1441" i="1"/>
  <c r="AK1441" i="1"/>
  <c r="AJ1441" i="1"/>
  <c r="AF1441" i="1" s="1"/>
  <c r="X1441" i="1"/>
  <c r="AL1440" i="1"/>
  <c r="AK1440" i="1"/>
  <c r="AJ1440" i="1"/>
  <c r="AF1440" i="1" s="1"/>
  <c r="X1440" i="1"/>
  <c r="AJ1439" i="1"/>
  <c r="AF1439" i="1" s="1"/>
  <c r="AL1438" i="1"/>
  <c r="AK1438" i="1"/>
  <c r="AJ1438" i="1"/>
  <c r="AF1438" i="1" s="1"/>
  <c r="X1438" i="1"/>
  <c r="AJ1437" i="1"/>
  <c r="AF1437" i="1" s="1"/>
  <c r="W1437" i="1"/>
  <c r="AL1437" i="1" s="1"/>
  <c r="AL1436" i="1"/>
  <c r="AK1436" i="1"/>
  <c r="AJ1436" i="1"/>
  <c r="AF1436" i="1" s="1"/>
  <c r="X1436" i="1"/>
  <c r="AL1435" i="1"/>
  <c r="AK1435" i="1"/>
  <c r="AJ1435" i="1"/>
  <c r="AF1435" i="1" s="1"/>
  <c r="X1435" i="1"/>
  <c r="AJ1434" i="1"/>
  <c r="AF1434" i="1" s="1"/>
  <c r="AJ1433" i="1"/>
  <c r="AF1433" i="1" s="1"/>
  <c r="AJ1432" i="1"/>
  <c r="AF1432" i="1" s="1"/>
  <c r="W1432" i="1"/>
  <c r="X1432" i="1" s="1"/>
  <c r="AJ1431" i="1"/>
  <c r="AF1431" i="1" s="1"/>
  <c r="W1431" i="1"/>
  <c r="X1431" i="1" s="1"/>
  <c r="AJ1430" i="1"/>
  <c r="AF1430" i="1" s="1"/>
  <c r="W1430" i="1"/>
  <c r="AJ1429" i="1"/>
  <c r="AF1429" i="1" s="1"/>
  <c r="AL1428" i="1"/>
  <c r="AK1428" i="1"/>
  <c r="AJ1428" i="1"/>
  <c r="AF1428" i="1" s="1"/>
  <c r="X1428" i="1"/>
  <c r="AJ1427" i="1"/>
  <c r="AF1427" i="1" s="1"/>
  <c r="W1427" i="1"/>
  <c r="AK1427" i="1" s="1"/>
  <c r="AJ1426" i="1"/>
  <c r="AF1426" i="1" s="1"/>
  <c r="W1426" i="1"/>
  <c r="X1426" i="1" s="1"/>
  <c r="AJ1425" i="1"/>
  <c r="AF1425" i="1" s="1"/>
  <c r="AJ1424" i="1"/>
  <c r="AF1424" i="1" s="1"/>
  <c r="W1424" i="1"/>
  <c r="AL1424" i="1" s="1"/>
  <c r="AJ1423" i="1"/>
  <c r="AF1423" i="1" s="1"/>
  <c r="W1423" i="1"/>
  <c r="AK1423" i="1" s="1"/>
  <c r="AJ1422" i="1"/>
  <c r="AF1422" i="1" s="1"/>
  <c r="W1422" i="1"/>
  <c r="AL1422" i="1" s="1"/>
  <c r="AL1421" i="1"/>
  <c r="AK1421" i="1"/>
  <c r="AJ1421" i="1"/>
  <c r="AF1421" i="1" s="1"/>
  <c r="X1421" i="1"/>
  <c r="AL1420" i="1"/>
  <c r="AK1420" i="1"/>
  <c r="AJ1420" i="1"/>
  <c r="AF1420" i="1" s="1"/>
  <c r="X1420" i="1"/>
  <c r="AJ1419" i="1"/>
  <c r="AF1419" i="1" s="1"/>
  <c r="W1419" i="1"/>
  <c r="X1419" i="1" s="1"/>
  <c r="AJ1418" i="1"/>
  <c r="AF1418" i="1" s="1"/>
  <c r="AJ1417" i="1"/>
  <c r="AF1417" i="1" s="1"/>
  <c r="AJ1416" i="1"/>
  <c r="AF1416" i="1" s="1"/>
  <c r="W1416" i="1"/>
  <c r="AL1415" i="1"/>
  <c r="AK1415" i="1"/>
  <c r="AJ1415" i="1"/>
  <c r="AF1415" i="1" s="1"/>
  <c r="X1415" i="1"/>
  <c r="AL1414" i="1"/>
  <c r="AK1414" i="1"/>
  <c r="AJ1414" i="1"/>
  <c r="AF1414" i="1" s="1"/>
  <c r="X1414" i="1"/>
  <c r="AL1413" i="1"/>
  <c r="AK1413" i="1"/>
  <c r="AJ1413" i="1"/>
  <c r="AF1413" i="1" s="1"/>
  <c r="X1413" i="1"/>
  <c r="AL1412" i="1"/>
  <c r="AK1412" i="1"/>
  <c r="AJ1412" i="1"/>
  <c r="AF1412" i="1" s="1"/>
  <c r="X1412" i="1"/>
  <c r="AJ1411" i="1"/>
  <c r="AF1411" i="1" s="1"/>
  <c r="W1411" i="1"/>
  <c r="X1411" i="1" s="1"/>
  <c r="AJ1410" i="1"/>
  <c r="AF1410" i="1" s="1"/>
  <c r="AJ1409" i="1"/>
  <c r="AF1409" i="1" s="1"/>
  <c r="AL1408" i="1"/>
  <c r="AK1408" i="1"/>
  <c r="AJ1408" i="1"/>
  <c r="AF1408" i="1" s="1"/>
  <c r="X1408" i="1"/>
  <c r="AL1407" i="1"/>
  <c r="AK1407" i="1"/>
  <c r="AJ1407" i="1"/>
  <c r="AF1407" i="1" s="1"/>
  <c r="X1407" i="1"/>
  <c r="AL1406" i="1"/>
  <c r="AK1406" i="1"/>
  <c r="AJ1406" i="1"/>
  <c r="AF1406" i="1" s="1"/>
  <c r="X1406" i="1"/>
  <c r="AL1405" i="1"/>
  <c r="AK1405" i="1"/>
  <c r="AJ1405" i="1"/>
  <c r="AF1405" i="1" s="1"/>
  <c r="X1405" i="1"/>
  <c r="AL1404" i="1"/>
  <c r="AK1404" i="1"/>
  <c r="AJ1404" i="1"/>
  <c r="AF1404" i="1" s="1"/>
  <c r="X1404" i="1"/>
  <c r="AL1403" i="1"/>
  <c r="AK1403" i="1"/>
  <c r="AJ1403" i="1"/>
  <c r="AF1403" i="1" s="1"/>
  <c r="X1403" i="1"/>
  <c r="AL1402" i="1"/>
  <c r="AK1402" i="1"/>
  <c r="AJ1402" i="1"/>
  <c r="AF1402" i="1" s="1"/>
  <c r="X1402" i="1"/>
  <c r="AL1401" i="1"/>
  <c r="AK1401" i="1"/>
  <c r="AJ1401" i="1"/>
  <c r="AF1401" i="1" s="1"/>
  <c r="X1401" i="1"/>
  <c r="AL1400" i="1"/>
  <c r="AK1400" i="1"/>
  <c r="AJ1400" i="1"/>
  <c r="AF1400" i="1" s="1"/>
  <c r="X1400" i="1"/>
  <c r="AJ1399" i="1"/>
  <c r="AF1399" i="1" s="1"/>
  <c r="AJ1398" i="1"/>
  <c r="AF1398" i="1" s="1"/>
  <c r="AJ1397" i="1"/>
  <c r="AF1397" i="1" s="1"/>
  <c r="W1397" i="1"/>
  <c r="X1397" i="1" s="1"/>
  <c r="AL1396" i="1"/>
  <c r="AK1396" i="1"/>
  <c r="AJ1396" i="1"/>
  <c r="AF1396" i="1" s="1"/>
  <c r="X1396" i="1"/>
  <c r="AL1395" i="1"/>
  <c r="AK1395" i="1"/>
  <c r="AJ1395" i="1"/>
  <c r="AF1395" i="1" s="1"/>
  <c r="X1395" i="1"/>
  <c r="AL1394" i="1"/>
  <c r="AK1394" i="1"/>
  <c r="AJ1394" i="1"/>
  <c r="AF1394" i="1" s="1"/>
  <c r="X1394" i="1"/>
  <c r="AL1393" i="1"/>
  <c r="AK1393" i="1"/>
  <c r="AJ1393" i="1"/>
  <c r="AF1393" i="1" s="1"/>
  <c r="X1393" i="1"/>
  <c r="AL1392" i="1"/>
  <c r="AK1392" i="1"/>
  <c r="AJ1392" i="1"/>
  <c r="AF1392" i="1" s="1"/>
  <c r="X1392" i="1"/>
  <c r="AJ1391" i="1"/>
  <c r="AF1391" i="1" s="1"/>
  <c r="AL1390" i="1"/>
  <c r="AK1390" i="1"/>
  <c r="AJ1390" i="1"/>
  <c r="AF1390" i="1" s="1"/>
  <c r="X1390" i="1"/>
  <c r="AL1389" i="1"/>
  <c r="AK1389" i="1"/>
  <c r="AJ1389" i="1"/>
  <c r="AF1389" i="1" s="1"/>
  <c r="AG1389" i="1"/>
  <c r="X1389" i="1"/>
  <c r="AL1388" i="1"/>
  <c r="AK1388" i="1"/>
  <c r="AJ1388" i="1"/>
  <c r="AF1388" i="1" s="1"/>
  <c r="X1388" i="1"/>
  <c r="AJ1387" i="1"/>
  <c r="AF1387" i="1" s="1"/>
  <c r="AJ1386" i="1"/>
  <c r="AF1386" i="1" s="1"/>
  <c r="AL1385" i="1"/>
  <c r="AK1385" i="1"/>
  <c r="AJ1385" i="1"/>
  <c r="AF1385" i="1" s="1"/>
  <c r="X1385" i="1"/>
  <c r="AJ1384" i="1"/>
  <c r="AF1384" i="1" s="1"/>
  <c r="AL1383" i="1"/>
  <c r="AK1383" i="1"/>
  <c r="AJ1383" i="1"/>
  <c r="AF1383" i="1" s="1"/>
  <c r="X1383" i="1"/>
  <c r="AJ1382" i="1"/>
  <c r="AF1382" i="1" s="1"/>
  <c r="AJ1381" i="1"/>
  <c r="AF1381" i="1" s="1"/>
  <c r="AJ1380" i="1"/>
  <c r="AF1380" i="1" s="1"/>
  <c r="AL1379" i="1"/>
  <c r="AK1379" i="1"/>
  <c r="AJ1379" i="1"/>
  <c r="AF1379" i="1" s="1"/>
  <c r="X1379" i="1"/>
  <c r="AJ1378" i="1"/>
  <c r="AF1378" i="1" s="1"/>
  <c r="AJ1377" i="1"/>
  <c r="AF1377" i="1" s="1"/>
  <c r="AJ1376" i="1"/>
  <c r="AF1376" i="1" s="1"/>
  <c r="AK1375" i="1"/>
  <c r="AJ1375" i="1"/>
  <c r="AF1375" i="1" s="1"/>
  <c r="AL1374" i="1"/>
  <c r="AK1374" i="1"/>
  <c r="AJ1374" i="1"/>
  <c r="AF1374" i="1" s="1"/>
  <c r="X1374" i="1"/>
  <c r="AJ1373" i="1"/>
  <c r="AF1373" i="1" s="1"/>
  <c r="W1373" i="1"/>
  <c r="AK1373" i="1" s="1"/>
  <c r="AJ1372" i="1"/>
  <c r="AF1372" i="1" s="1"/>
  <c r="W1372" i="1"/>
  <c r="AJ1371" i="1"/>
  <c r="AF1371" i="1" s="1"/>
  <c r="AJ1370" i="1"/>
  <c r="AF1370" i="1" s="1"/>
  <c r="AL1369" i="1"/>
  <c r="AK1369" i="1"/>
  <c r="AJ1369" i="1"/>
  <c r="AF1369" i="1" s="1"/>
  <c r="X1369" i="1"/>
  <c r="AL1368" i="1"/>
  <c r="AK1368" i="1"/>
  <c r="AJ1368" i="1"/>
  <c r="AF1368" i="1" s="1"/>
  <c r="X1368" i="1"/>
  <c r="AJ1367" i="1"/>
  <c r="AF1367" i="1" s="1"/>
  <c r="W1367" i="1"/>
  <c r="AJ1366" i="1"/>
  <c r="AF1366" i="1" s="1"/>
  <c r="W1366" i="1"/>
  <c r="AL1366" i="1" s="1"/>
  <c r="AJ1365" i="1"/>
  <c r="AF1365" i="1" s="1"/>
  <c r="W1365" i="1"/>
  <c r="X1365" i="1" s="1"/>
  <c r="AJ1364" i="1"/>
  <c r="AF1364" i="1" s="1"/>
  <c r="AJ1363" i="1"/>
  <c r="AF1363" i="1" s="1"/>
  <c r="AJ1362" i="1"/>
  <c r="AF1362" i="1" s="1"/>
  <c r="AJ1361" i="1"/>
  <c r="AF1361" i="1" s="1"/>
  <c r="AJ1360" i="1"/>
  <c r="AF1360" i="1" s="1"/>
  <c r="AJ1359" i="1"/>
  <c r="AF1359" i="1" s="1"/>
  <c r="W1359" i="1"/>
  <c r="AL1359" i="1" s="1"/>
  <c r="AJ1358" i="1"/>
  <c r="AF1358" i="1" s="1"/>
  <c r="W1358" i="1"/>
  <c r="X1358" i="1" s="1"/>
  <c r="AJ1357" i="1"/>
  <c r="AF1357" i="1" s="1"/>
  <c r="W1357" i="1"/>
  <c r="AK1357" i="1" s="1"/>
  <c r="AJ1356" i="1"/>
  <c r="AF1356" i="1" s="1"/>
  <c r="AJ1355" i="1"/>
  <c r="AF1355" i="1" s="1"/>
  <c r="AJ1354" i="1"/>
  <c r="AF1354" i="1" s="1"/>
  <c r="AJ1353" i="1"/>
  <c r="AF1353" i="1" s="1"/>
  <c r="AJ1352" i="1"/>
  <c r="AF1352" i="1" s="1"/>
  <c r="AJ1351" i="1"/>
  <c r="AF1351" i="1" s="1"/>
  <c r="AL1350" i="1"/>
  <c r="AK1350" i="1"/>
  <c r="AJ1350" i="1"/>
  <c r="AF1350" i="1" s="1"/>
  <c r="X1350" i="1"/>
  <c r="AL1349" i="1"/>
  <c r="AK1349" i="1"/>
  <c r="AJ1349" i="1"/>
  <c r="AF1349" i="1" s="1"/>
  <c r="X1349" i="1"/>
  <c r="AL1348" i="1"/>
  <c r="AK1348" i="1"/>
  <c r="AJ1348" i="1"/>
  <c r="AF1348" i="1" s="1"/>
  <c r="X1348" i="1"/>
  <c r="AJ1347" i="1"/>
  <c r="AF1347" i="1" s="1"/>
  <c r="AL1346" i="1"/>
  <c r="AK1346" i="1"/>
  <c r="AJ1346" i="1"/>
  <c r="AF1346" i="1" s="1"/>
  <c r="X1346" i="1"/>
  <c r="AL1345" i="1"/>
  <c r="AK1345" i="1"/>
  <c r="AJ1345" i="1"/>
  <c r="AF1345" i="1" s="1"/>
  <c r="X1345" i="1"/>
  <c r="AL1344" i="1"/>
  <c r="AK1344" i="1"/>
  <c r="AJ1344" i="1"/>
  <c r="AF1344" i="1" s="1"/>
  <c r="X1344" i="1"/>
  <c r="AL1343" i="1"/>
  <c r="AK1343" i="1"/>
  <c r="AJ1343" i="1"/>
  <c r="AF1343" i="1" s="1"/>
  <c r="X1343" i="1"/>
  <c r="AJ1342" i="1"/>
  <c r="AF1342" i="1" s="1"/>
  <c r="W1342" i="1"/>
  <c r="AJ1341" i="1"/>
  <c r="AF1341" i="1" s="1"/>
  <c r="W1341" i="1"/>
  <c r="AJ1340" i="1"/>
  <c r="AF1340" i="1" s="1"/>
  <c r="AJ1339" i="1"/>
  <c r="AF1339" i="1" s="1"/>
  <c r="AJ1338" i="1"/>
  <c r="AF1338" i="1" s="1"/>
  <c r="AL1337" i="1"/>
  <c r="AK1337" i="1"/>
  <c r="AJ1337" i="1"/>
  <c r="AF1337" i="1" s="1"/>
  <c r="X1337" i="1"/>
  <c r="AL1336" i="1"/>
  <c r="AK1336" i="1"/>
  <c r="AJ1336" i="1"/>
  <c r="AF1336" i="1" s="1"/>
  <c r="X1336" i="1"/>
  <c r="AL1335" i="1"/>
  <c r="AK1335" i="1"/>
  <c r="AJ1335" i="1"/>
  <c r="AF1335" i="1" s="1"/>
  <c r="AL1334" i="1"/>
  <c r="AK1334" i="1"/>
  <c r="AJ1334" i="1"/>
  <c r="AF1334" i="1" s="1"/>
  <c r="X1334" i="1"/>
  <c r="AL1333" i="1"/>
  <c r="AK1333" i="1"/>
  <c r="AJ1333" i="1"/>
  <c r="AF1333" i="1" s="1"/>
  <c r="X1333" i="1"/>
  <c r="AL1332" i="1"/>
  <c r="AK1332" i="1"/>
  <c r="AJ1332" i="1"/>
  <c r="AF1332" i="1" s="1"/>
  <c r="AL1331" i="1"/>
  <c r="AK1331" i="1"/>
  <c r="AJ1331" i="1"/>
  <c r="AF1331" i="1" s="1"/>
  <c r="AG1331" i="1"/>
  <c r="X1331" i="1"/>
  <c r="AJ1330" i="1"/>
  <c r="AF1330" i="1" s="1"/>
  <c r="AJ1329" i="1"/>
  <c r="AF1329" i="1" s="1"/>
  <c r="AL1328" i="1"/>
  <c r="AK1328" i="1"/>
  <c r="AJ1328" i="1"/>
  <c r="AF1328" i="1" s="1"/>
  <c r="X1328" i="1"/>
  <c r="AL1327" i="1"/>
  <c r="AK1327" i="1"/>
  <c r="AJ1327" i="1"/>
  <c r="AF1327" i="1" s="1"/>
  <c r="X1327" i="1"/>
  <c r="AL1326" i="1"/>
  <c r="AK1326" i="1"/>
  <c r="AJ1326" i="1"/>
  <c r="AF1326" i="1" s="1"/>
  <c r="X1326" i="1"/>
  <c r="AL1325" i="1"/>
  <c r="AK1325" i="1"/>
  <c r="AJ1325" i="1"/>
  <c r="AF1325" i="1" s="1"/>
  <c r="X1325" i="1"/>
  <c r="AJ1324" i="1"/>
  <c r="AF1324" i="1" s="1"/>
  <c r="AJ1323" i="1"/>
  <c r="AF1323" i="1" s="1"/>
  <c r="AJ1322" i="1"/>
  <c r="AF1322" i="1" s="1"/>
  <c r="AL1321" i="1"/>
  <c r="AK1321" i="1"/>
  <c r="AJ1321" i="1"/>
  <c r="AF1321" i="1" s="1"/>
  <c r="X1321" i="1"/>
  <c r="AL1320" i="1"/>
  <c r="AK1320" i="1"/>
  <c r="AJ1320" i="1"/>
  <c r="AF1320" i="1" s="1"/>
  <c r="X1320" i="1"/>
  <c r="AJ1319" i="1"/>
  <c r="AF1319" i="1" s="1"/>
  <c r="AJ1318" i="1"/>
  <c r="AF1318" i="1" s="1"/>
  <c r="AL1317" i="1"/>
  <c r="AK1317" i="1"/>
  <c r="AJ1317" i="1"/>
  <c r="AF1317" i="1" s="1"/>
  <c r="X1317" i="1"/>
  <c r="AL1316" i="1"/>
  <c r="AK1316" i="1"/>
  <c r="AJ1316" i="1"/>
  <c r="AF1316" i="1" s="1"/>
  <c r="X1316" i="1"/>
  <c r="AL1315" i="1"/>
  <c r="AK1315" i="1"/>
  <c r="AJ1315" i="1"/>
  <c r="AF1315" i="1" s="1"/>
  <c r="X1315" i="1"/>
  <c r="AL1314" i="1"/>
  <c r="AK1314" i="1"/>
  <c r="AJ1314" i="1"/>
  <c r="AF1314" i="1" s="1"/>
  <c r="X1314" i="1"/>
  <c r="AL1313" i="1"/>
  <c r="AK1313" i="1"/>
  <c r="AJ1313" i="1"/>
  <c r="AF1313" i="1" s="1"/>
  <c r="X1313" i="1"/>
  <c r="AJ1312" i="1"/>
  <c r="AF1312" i="1" s="1"/>
  <c r="AJ1311" i="1"/>
  <c r="AF1311" i="1" s="1"/>
  <c r="AL1310" i="1"/>
  <c r="AK1310" i="1"/>
  <c r="AJ1310" i="1"/>
  <c r="AF1310" i="1" s="1"/>
  <c r="X1310" i="1"/>
  <c r="AJ1309" i="1"/>
  <c r="AF1309" i="1" s="1"/>
  <c r="AL1308" i="1"/>
  <c r="AK1308" i="1"/>
  <c r="AJ1308" i="1"/>
  <c r="AF1308" i="1" s="1"/>
  <c r="X1308" i="1"/>
  <c r="AL1307" i="1"/>
  <c r="AK1307" i="1"/>
  <c r="AJ1307" i="1"/>
  <c r="AF1307" i="1" s="1"/>
  <c r="X1307" i="1"/>
  <c r="AL1306" i="1"/>
  <c r="AK1306" i="1"/>
  <c r="AJ1306" i="1"/>
  <c r="AF1306" i="1" s="1"/>
  <c r="X1306" i="1"/>
  <c r="AJ1305" i="1"/>
  <c r="AF1305" i="1" s="1"/>
  <c r="AJ1304" i="1"/>
  <c r="AF1304" i="1" s="1"/>
  <c r="AL1303" i="1"/>
  <c r="AK1303" i="1"/>
  <c r="AJ1303" i="1"/>
  <c r="AF1303" i="1" s="1"/>
  <c r="X1303" i="1"/>
  <c r="AL1302" i="1"/>
  <c r="AK1302" i="1"/>
  <c r="AJ1302" i="1"/>
  <c r="AF1302" i="1" s="1"/>
  <c r="X1302" i="1"/>
  <c r="AL1301" i="1"/>
  <c r="AK1301" i="1"/>
  <c r="AJ1301" i="1"/>
  <c r="AF1301" i="1" s="1"/>
  <c r="X1301" i="1"/>
  <c r="AJ1300" i="1"/>
  <c r="AF1300" i="1" s="1"/>
  <c r="AJ1299" i="1"/>
  <c r="AF1299" i="1" s="1"/>
  <c r="AJ1298" i="1"/>
  <c r="AF1298" i="1" s="1"/>
  <c r="W1298" i="1"/>
  <c r="AK1298" i="1" s="1"/>
  <c r="AJ1297" i="1"/>
  <c r="AF1297" i="1" s="1"/>
  <c r="W1297" i="1"/>
  <c r="AL1297" i="1" s="1"/>
  <c r="AJ1296" i="1"/>
  <c r="AF1296" i="1" s="1"/>
  <c r="W1296" i="1"/>
  <c r="AJ1295" i="1"/>
  <c r="AF1295" i="1" s="1"/>
  <c r="W1295" i="1"/>
  <c r="AL1295" i="1" s="1"/>
  <c r="AL1294" i="1"/>
  <c r="AK1294" i="1"/>
  <c r="AJ1294" i="1"/>
  <c r="AF1294" i="1" s="1"/>
  <c r="X1294" i="1"/>
  <c r="AL1293" i="1"/>
  <c r="AK1293" i="1"/>
  <c r="AJ1293" i="1"/>
  <c r="AF1293" i="1" s="1"/>
  <c r="X1293" i="1"/>
  <c r="AJ1292" i="1"/>
  <c r="AF1292" i="1" s="1"/>
  <c r="AJ1291" i="1"/>
  <c r="AF1291" i="1" s="1"/>
  <c r="AL1290" i="1"/>
  <c r="AK1290" i="1"/>
  <c r="AJ1290" i="1"/>
  <c r="AF1290" i="1" s="1"/>
  <c r="X1290" i="1"/>
  <c r="AJ1289" i="1"/>
  <c r="AF1289" i="1" s="1"/>
  <c r="AJ1288" i="1"/>
  <c r="AF1288" i="1" s="1"/>
  <c r="AL1287" i="1"/>
  <c r="AK1287" i="1"/>
  <c r="AJ1287" i="1"/>
  <c r="AF1287" i="1" s="1"/>
  <c r="X1287" i="1"/>
  <c r="AL1286" i="1"/>
  <c r="AK1286" i="1"/>
  <c r="AJ1286" i="1"/>
  <c r="AF1286" i="1" s="1"/>
  <c r="X1286" i="1"/>
  <c r="AJ1285" i="1"/>
  <c r="AF1285" i="1" s="1"/>
  <c r="AJ1284" i="1"/>
  <c r="AF1284" i="1" s="1"/>
  <c r="AL1283" i="1"/>
  <c r="AK1283" i="1"/>
  <c r="AJ1283" i="1"/>
  <c r="AF1283" i="1" s="1"/>
  <c r="X1283" i="1"/>
  <c r="AL1282" i="1"/>
  <c r="AK1282" i="1"/>
  <c r="AJ1282" i="1"/>
  <c r="AF1282" i="1" s="1"/>
  <c r="X1282" i="1"/>
  <c r="AJ1281" i="1"/>
  <c r="AF1281" i="1" s="1"/>
  <c r="AJ1280" i="1"/>
  <c r="AF1280" i="1" s="1"/>
  <c r="AK1279" i="1"/>
  <c r="AJ1279" i="1"/>
  <c r="AF1279" i="1" s="1"/>
  <c r="AJ1278" i="1"/>
  <c r="AF1278" i="1" s="1"/>
  <c r="AJ1277" i="1"/>
  <c r="AF1277" i="1" s="1"/>
  <c r="AL1276" i="1"/>
  <c r="AK1276" i="1"/>
  <c r="AJ1276" i="1"/>
  <c r="AF1276" i="1" s="1"/>
  <c r="X1276" i="1"/>
  <c r="AJ1275" i="1"/>
  <c r="AF1275" i="1" s="1"/>
  <c r="AJ1274" i="1"/>
  <c r="AF1274" i="1" s="1"/>
  <c r="AL1273" i="1"/>
  <c r="AK1273" i="1"/>
  <c r="AJ1273" i="1"/>
  <c r="AF1273" i="1" s="1"/>
  <c r="X1273" i="1"/>
  <c r="AL1272" i="1"/>
  <c r="AK1272" i="1"/>
  <c r="AJ1272" i="1"/>
  <c r="AF1272" i="1" s="1"/>
  <c r="X1272" i="1"/>
  <c r="AJ1271" i="1"/>
  <c r="AF1271" i="1" s="1"/>
  <c r="AJ1270" i="1"/>
  <c r="AF1270" i="1" s="1"/>
  <c r="AL1269" i="1"/>
  <c r="AK1269" i="1"/>
  <c r="AJ1269" i="1"/>
  <c r="AF1269" i="1" s="1"/>
  <c r="X1269" i="1"/>
  <c r="AL1268" i="1"/>
  <c r="AK1268" i="1"/>
  <c r="AJ1268" i="1"/>
  <c r="AF1268" i="1" s="1"/>
  <c r="X1268" i="1"/>
  <c r="AL1267" i="1"/>
  <c r="AK1267" i="1"/>
  <c r="AJ1267" i="1"/>
  <c r="AF1267" i="1" s="1"/>
  <c r="X1267" i="1"/>
  <c r="AJ1266" i="1"/>
  <c r="AF1266" i="1" s="1"/>
  <c r="AL1265" i="1"/>
  <c r="AK1265" i="1"/>
  <c r="AJ1265" i="1"/>
  <c r="AF1265" i="1" s="1"/>
  <c r="X1265" i="1"/>
  <c r="AL1264" i="1"/>
  <c r="AK1264" i="1"/>
  <c r="AJ1264" i="1"/>
  <c r="AF1264" i="1" s="1"/>
  <c r="X1264" i="1"/>
  <c r="AL1263" i="1"/>
  <c r="AK1263" i="1"/>
  <c r="AJ1263" i="1"/>
  <c r="AF1263" i="1" s="1"/>
  <c r="X1263" i="1"/>
  <c r="AL1262" i="1"/>
  <c r="AK1262" i="1"/>
  <c r="AJ1262" i="1"/>
  <c r="AF1262" i="1" s="1"/>
  <c r="X1262" i="1"/>
  <c r="AL1261" i="1"/>
  <c r="AK1261" i="1"/>
  <c r="AJ1261" i="1"/>
  <c r="AF1261" i="1" s="1"/>
  <c r="X1261" i="1"/>
  <c r="AL1260" i="1"/>
  <c r="AK1260" i="1"/>
  <c r="AJ1260" i="1"/>
  <c r="AF1260" i="1" s="1"/>
  <c r="AK1259" i="1"/>
  <c r="AJ1259" i="1"/>
  <c r="AF1259" i="1" s="1"/>
  <c r="AJ1258" i="1"/>
  <c r="AF1258" i="1" s="1"/>
  <c r="AJ1257" i="1"/>
  <c r="AF1257" i="1" s="1"/>
  <c r="AL1256" i="1"/>
  <c r="AK1256" i="1"/>
  <c r="AJ1256" i="1"/>
  <c r="AF1256" i="1" s="1"/>
  <c r="X1256" i="1"/>
  <c r="AL1255" i="1"/>
  <c r="AK1255" i="1"/>
  <c r="AJ1255" i="1"/>
  <c r="AF1255" i="1" s="1"/>
  <c r="X1255" i="1"/>
  <c r="AJ1254" i="1"/>
  <c r="AF1254" i="1" s="1"/>
  <c r="AJ1253" i="1"/>
  <c r="AF1253" i="1" s="1"/>
  <c r="AL1252" i="1"/>
  <c r="AK1252" i="1"/>
  <c r="AJ1252" i="1"/>
  <c r="AF1252" i="1" s="1"/>
  <c r="X1252" i="1"/>
  <c r="AL1251" i="1"/>
  <c r="AK1251" i="1"/>
  <c r="AJ1251" i="1"/>
  <c r="AF1251" i="1" s="1"/>
  <c r="X1251" i="1"/>
  <c r="AJ1250" i="1"/>
  <c r="AF1250" i="1" s="1"/>
  <c r="AL1249" i="1"/>
  <c r="AK1249" i="1"/>
  <c r="AJ1249" i="1"/>
  <c r="AF1249" i="1" s="1"/>
  <c r="X1249" i="1"/>
  <c r="AJ1248" i="1"/>
  <c r="AF1248" i="1" s="1"/>
  <c r="AJ1247" i="1"/>
  <c r="AF1247" i="1" s="1"/>
  <c r="W1247" i="1"/>
  <c r="X1247" i="1" s="1"/>
  <c r="AL1246" i="1"/>
  <c r="AK1246" i="1"/>
  <c r="AJ1246" i="1"/>
  <c r="AF1246" i="1" s="1"/>
  <c r="X1246" i="1"/>
  <c r="AJ1245" i="1"/>
  <c r="AF1245" i="1" s="1"/>
  <c r="W1245" i="1"/>
  <c r="X1245" i="1" s="1"/>
  <c r="AJ1244" i="1"/>
  <c r="AF1244" i="1" s="1"/>
  <c r="W1244" i="1"/>
  <c r="AJ1243" i="1"/>
  <c r="AF1243" i="1" s="1"/>
  <c r="AL1242" i="1"/>
  <c r="AK1242" i="1"/>
  <c r="AJ1242" i="1"/>
  <c r="AF1242" i="1" s="1"/>
  <c r="X1242" i="1"/>
  <c r="AL1241" i="1"/>
  <c r="AK1241" i="1"/>
  <c r="AJ1241" i="1"/>
  <c r="AF1241" i="1" s="1"/>
  <c r="X1241" i="1"/>
  <c r="AJ1240" i="1"/>
  <c r="AF1240" i="1" s="1"/>
  <c r="AJ1239" i="1"/>
  <c r="AF1239" i="1" s="1"/>
  <c r="W1239" i="1"/>
  <c r="AJ1238" i="1"/>
  <c r="AF1238" i="1" s="1"/>
  <c r="W1238" i="1"/>
  <c r="AJ1237" i="1"/>
  <c r="AF1237" i="1" s="1"/>
  <c r="W1237" i="1"/>
  <c r="AJ1236" i="1"/>
  <c r="AF1236" i="1" s="1"/>
  <c r="W1236" i="1"/>
  <c r="AJ1235" i="1"/>
  <c r="AF1235" i="1" s="1"/>
  <c r="W1235" i="1"/>
  <c r="AK1235" i="1" s="1"/>
  <c r="AL1234" i="1"/>
  <c r="AK1234" i="1"/>
  <c r="AJ1234" i="1"/>
  <c r="AF1234" i="1" s="1"/>
  <c r="X1234" i="1"/>
  <c r="AJ1233" i="1"/>
  <c r="AF1233" i="1" s="1"/>
  <c r="W1233" i="1"/>
  <c r="X1233" i="1" s="1"/>
  <c r="AL1232" i="1"/>
  <c r="AK1232" i="1"/>
  <c r="AJ1232" i="1"/>
  <c r="AF1232" i="1" s="1"/>
  <c r="X1232" i="1"/>
  <c r="AL1231" i="1"/>
  <c r="AK1231" i="1"/>
  <c r="AJ1231" i="1"/>
  <c r="AF1231" i="1" s="1"/>
  <c r="X1231" i="1"/>
  <c r="AJ1230" i="1"/>
  <c r="AF1230" i="1" s="1"/>
  <c r="AJ1229" i="1"/>
  <c r="AF1229" i="1" s="1"/>
  <c r="W1229" i="1"/>
  <c r="AL1229" i="1" s="1"/>
  <c r="AJ1228" i="1"/>
  <c r="AF1228" i="1" s="1"/>
  <c r="W1228" i="1"/>
  <c r="AK1228" i="1" s="1"/>
  <c r="AL1227" i="1"/>
  <c r="AK1227" i="1"/>
  <c r="AJ1227" i="1"/>
  <c r="AF1227" i="1" s="1"/>
  <c r="X1227" i="1"/>
  <c r="AJ1226" i="1"/>
  <c r="AF1226" i="1" s="1"/>
  <c r="AL1225" i="1"/>
  <c r="AK1225" i="1"/>
  <c r="AJ1225" i="1"/>
  <c r="AF1225" i="1" s="1"/>
  <c r="X1225" i="1"/>
  <c r="AL1224" i="1"/>
  <c r="AK1224" i="1"/>
  <c r="AJ1224" i="1"/>
  <c r="AF1224" i="1" s="1"/>
  <c r="X1224" i="1"/>
  <c r="AL1223" i="1"/>
  <c r="AK1223" i="1"/>
  <c r="AJ1223" i="1"/>
  <c r="AF1223" i="1" s="1"/>
  <c r="X1223" i="1"/>
  <c r="AL1222" i="1"/>
  <c r="AK1222" i="1"/>
  <c r="AJ1222" i="1"/>
  <c r="AF1222" i="1" s="1"/>
  <c r="X1222" i="1"/>
  <c r="AJ1221" i="1"/>
  <c r="AF1221" i="1" s="1"/>
  <c r="AJ1220" i="1"/>
  <c r="AF1220" i="1" s="1"/>
  <c r="AK1219" i="1"/>
  <c r="AJ1219" i="1"/>
  <c r="AF1219" i="1" s="1"/>
  <c r="AL1218" i="1"/>
  <c r="AK1218" i="1"/>
  <c r="AJ1218" i="1"/>
  <c r="AF1218" i="1" s="1"/>
  <c r="X1218" i="1"/>
  <c r="AJ1217" i="1"/>
  <c r="AF1217" i="1" s="1"/>
  <c r="AL1216" i="1"/>
  <c r="AK1216" i="1"/>
  <c r="AJ1216" i="1"/>
  <c r="AF1216" i="1" s="1"/>
  <c r="X1216" i="1"/>
  <c r="AL1215" i="1"/>
  <c r="AK1215" i="1"/>
  <c r="AJ1215" i="1"/>
  <c r="AF1215" i="1" s="1"/>
  <c r="X1215" i="1"/>
  <c r="AL1214" i="1"/>
  <c r="AK1214" i="1"/>
  <c r="AJ1214" i="1"/>
  <c r="AF1214" i="1" s="1"/>
  <c r="X1214" i="1"/>
  <c r="AJ1213" i="1"/>
  <c r="AF1213" i="1" s="1"/>
  <c r="W1213" i="1"/>
  <c r="AL1213" i="1" s="1"/>
  <c r="AJ1212" i="1"/>
  <c r="AF1212" i="1" s="1"/>
  <c r="AJ1211" i="1"/>
  <c r="AF1211" i="1" s="1"/>
  <c r="AJ1210" i="1"/>
  <c r="AF1210" i="1" s="1"/>
  <c r="AJ1209" i="1"/>
  <c r="AF1209" i="1" s="1"/>
  <c r="AJ1208" i="1"/>
  <c r="AF1208" i="1" s="1"/>
  <c r="AL1207" i="1"/>
  <c r="AK1207" i="1"/>
  <c r="AJ1207" i="1"/>
  <c r="AF1207" i="1" s="1"/>
  <c r="X1207" i="1"/>
  <c r="AJ1206" i="1"/>
  <c r="AF1206" i="1" s="1"/>
  <c r="W1206" i="1"/>
  <c r="AJ1205" i="1"/>
  <c r="AF1205" i="1" s="1"/>
  <c r="AJ1204" i="1"/>
  <c r="AF1204" i="1" s="1"/>
  <c r="W1204" i="1"/>
  <c r="AJ1203" i="1"/>
  <c r="AF1203" i="1" s="1"/>
  <c r="W1203" i="1"/>
  <c r="X1203" i="1" s="1"/>
  <c r="AJ1202" i="1"/>
  <c r="AF1202" i="1" s="1"/>
  <c r="AL1201" i="1"/>
  <c r="AK1201" i="1"/>
  <c r="AJ1201" i="1"/>
  <c r="AF1201" i="1" s="1"/>
  <c r="X1201" i="1"/>
  <c r="AL1200" i="1"/>
  <c r="AK1200" i="1"/>
  <c r="AJ1200" i="1"/>
  <c r="AF1200" i="1" s="1"/>
  <c r="X1200" i="1"/>
  <c r="AJ1199" i="1"/>
  <c r="AF1199" i="1" s="1"/>
  <c r="W1199" i="1"/>
  <c r="AL1198" i="1"/>
  <c r="AK1198" i="1"/>
  <c r="AJ1198" i="1"/>
  <c r="AF1198" i="1" s="1"/>
  <c r="X1198" i="1"/>
  <c r="AJ1197" i="1"/>
  <c r="AF1197" i="1" s="1"/>
  <c r="AL1196" i="1"/>
  <c r="AK1196" i="1"/>
  <c r="AJ1196" i="1"/>
  <c r="AF1196" i="1" s="1"/>
  <c r="X1196" i="1"/>
  <c r="AJ1195" i="1"/>
  <c r="AF1195" i="1" s="1"/>
  <c r="AL1194" i="1"/>
  <c r="AK1194" i="1"/>
  <c r="AJ1194" i="1"/>
  <c r="AF1194" i="1" s="1"/>
  <c r="X1194" i="1"/>
  <c r="AL1193" i="1"/>
  <c r="AK1193" i="1"/>
  <c r="AJ1193" i="1"/>
  <c r="AF1193" i="1" s="1"/>
  <c r="X1193" i="1"/>
  <c r="AJ1192" i="1"/>
  <c r="AF1192" i="1" s="1"/>
  <c r="W1192" i="1"/>
  <c r="AL1192" i="1" s="1"/>
  <c r="AJ1191" i="1"/>
  <c r="AF1191" i="1" s="1"/>
  <c r="W1191" i="1"/>
  <c r="X1191" i="1" s="1"/>
  <c r="AL1190" i="1"/>
  <c r="AK1190" i="1"/>
  <c r="AJ1190" i="1"/>
  <c r="AF1190" i="1" s="1"/>
  <c r="X1190" i="1"/>
  <c r="AJ1189" i="1"/>
  <c r="AF1189" i="1" s="1"/>
  <c r="AJ1188" i="1"/>
  <c r="AF1188" i="1" s="1"/>
  <c r="AJ1187" i="1"/>
  <c r="AF1187" i="1" s="1"/>
  <c r="W1187" i="1"/>
  <c r="X1187" i="1" s="1"/>
  <c r="AJ1186" i="1"/>
  <c r="AF1186" i="1" s="1"/>
  <c r="W1186" i="1"/>
  <c r="AL1185" i="1"/>
  <c r="AK1185" i="1"/>
  <c r="AJ1185" i="1"/>
  <c r="AF1185" i="1" s="1"/>
  <c r="X1185" i="1"/>
  <c r="AL1184" i="1"/>
  <c r="AK1184" i="1"/>
  <c r="AJ1184" i="1"/>
  <c r="AF1184" i="1" s="1"/>
  <c r="X1184" i="1"/>
  <c r="AJ1183" i="1"/>
  <c r="AF1183" i="1" s="1"/>
  <c r="AJ1182" i="1"/>
  <c r="AF1182" i="1" s="1"/>
  <c r="AL1181" i="1"/>
  <c r="AK1181" i="1"/>
  <c r="AJ1181" i="1"/>
  <c r="AF1181" i="1" s="1"/>
  <c r="X1181" i="1"/>
  <c r="AL1180" i="1"/>
  <c r="AK1180" i="1"/>
  <c r="AJ1180" i="1"/>
  <c r="AF1180" i="1" s="1"/>
  <c r="X1180" i="1"/>
  <c r="AJ1179" i="1"/>
  <c r="AF1179" i="1" s="1"/>
  <c r="W1179" i="1"/>
  <c r="AL1179" i="1" s="1"/>
  <c r="AJ1178" i="1"/>
  <c r="AF1178" i="1" s="1"/>
  <c r="W1178" i="1"/>
  <c r="AK1178" i="1" s="1"/>
  <c r="AL1177" i="1"/>
  <c r="AK1177" i="1"/>
  <c r="AJ1177" i="1"/>
  <c r="AF1177" i="1" s="1"/>
  <c r="X1177" i="1"/>
  <c r="AL1176" i="1"/>
  <c r="AK1176" i="1"/>
  <c r="AJ1176" i="1"/>
  <c r="AF1176" i="1" s="1"/>
  <c r="X1176" i="1"/>
  <c r="AJ1175" i="1"/>
  <c r="AF1175" i="1" s="1"/>
  <c r="W1175" i="1"/>
  <c r="X1175" i="1" s="1"/>
  <c r="AJ1174" i="1"/>
  <c r="AF1174" i="1" s="1"/>
  <c r="W1174" i="1"/>
  <c r="AJ1173" i="1"/>
  <c r="AF1173" i="1" s="1"/>
  <c r="W1173" i="1"/>
  <c r="AL1172" i="1"/>
  <c r="AK1172" i="1"/>
  <c r="AJ1172" i="1"/>
  <c r="AF1172" i="1" s="1"/>
  <c r="X1172" i="1"/>
  <c r="AL1171" i="1"/>
  <c r="AK1171" i="1"/>
  <c r="AJ1171" i="1"/>
  <c r="AF1171" i="1" s="1"/>
  <c r="X1171" i="1"/>
  <c r="AJ1170" i="1"/>
  <c r="AF1170" i="1" s="1"/>
  <c r="W1170" i="1"/>
  <c r="AJ1169" i="1"/>
  <c r="AF1169" i="1" s="1"/>
  <c r="W1169" i="1"/>
  <c r="AL1169" i="1" s="1"/>
  <c r="AJ1168" i="1"/>
  <c r="AF1168" i="1" s="1"/>
  <c r="W1168" i="1"/>
  <c r="AK1168" i="1" s="1"/>
  <c r="AJ1167" i="1"/>
  <c r="AF1167" i="1" s="1"/>
  <c r="W1167" i="1"/>
  <c r="AJ1166" i="1"/>
  <c r="AF1166" i="1" s="1"/>
  <c r="W1166" i="1"/>
  <c r="AJ1165" i="1"/>
  <c r="AF1165" i="1" s="1"/>
  <c r="AJ1164" i="1"/>
  <c r="AF1164" i="1" s="1"/>
  <c r="AJ1163" i="1"/>
  <c r="AF1163" i="1" s="1"/>
  <c r="AJ1162" i="1"/>
  <c r="AF1162" i="1" s="1"/>
  <c r="AJ1161" i="1"/>
  <c r="AF1161" i="1" s="1"/>
  <c r="AJ1160" i="1"/>
  <c r="AF1160" i="1" s="1"/>
  <c r="AL1159" i="1"/>
  <c r="AK1159" i="1"/>
  <c r="AJ1159" i="1"/>
  <c r="AF1159" i="1" s="1"/>
  <c r="X1159" i="1"/>
  <c r="AL1158" i="1"/>
  <c r="AK1158" i="1"/>
  <c r="AJ1158" i="1"/>
  <c r="AF1158" i="1" s="1"/>
  <c r="AG1158" i="1"/>
  <c r="X1158" i="1"/>
  <c r="AL1157" i="1"/>
  <c r="AK1157" i="1"/>
  <c r="AJ1157" i="1"/>
  <c r="AF1157" i="1" s="1"/>
  <c r="X1157" i="1"/>
  <c r="AL1156" i="1"/>
  <c r="AK1156" i="1"/>
  <c r="AJ1156" i="1"/>
  <c r="AF1156" i="1" s="1"/>
  <c r="X1156" i="1"/>
  <c r="AJ1155" i="1"/>
  <c r="AF1155" i="1" s="1"/>
  <c r="AJ1154" i="1"/>
  <c r="AF1154" i="1" s="1"/>
  <c r="AL1153" i="1"/>
  <c r="AK1153" i="1"/>
  <c r="AJ1153" i="1"/>
  <c r="AF1153" i="1" s="1"/>
  <c r="X1153" i="1"/>
  <c r="AL1152" i="1"/>
  <c r="AK1152" i="1"/>
  <c r="AJ1152" i="1"/>
  <c r="AF1152" i="1" s="1"/>
  <c r="X1152" i="1"/>
  <c r="AL1151" i="1"/>
  <c r="AK1151" i="1"/>
  <c r="AJ1151" i="1"/>
  <c r="AF1151" i="1" s="1"/>
  <c r="X1151" i="1"/>
  <c r="AL1150" i="1"/>
  <c r="AK1150" i="1"/>
  <c r="AJ1150" i="1"/>
  <c r="AF1150" i="1" s="1"/>
  <c r="X1150" i="1"/>
  <c r="AL1149" i="1"/>
  <c r="AK1149" i="1"/>
  <c r="AJ1149" i="1"/>
  <c r="AF1149" i="1" s="1"/>
  <c r="X1149" i="1"/>
  <c r="AL1148" i="1"/>
  <c r="AK1148" i="1"/>
  <c r="AJ1148" i="1"/>
  <c r="AF1148" i="1" s="1"/>
  <c r="X1148" i="1"/>
  <c r="AL1147" i="1"/>
  <c r="AK1147" i="1"/>
  <c r="AJ1147" i="1"/>
  <c r="AF1147" i="1" s="1"/>
  <c r="X1147" i="1"/>
  <c r="AL1146" i="1"/>
  <c r="AK1146" i="1"/>
  <c r="AJ1146" i="1"/>
  <c r="AF1146" i="1" s="1"/>
  <c r="X1146" i="1"/>
  <c r="AJ1145" i="1"/>
  <c r="AF1145" i="1" s="1"/>
  <c r="W1145" i="1"/>
  <c r="X1145" i="1" s="1"/>
  <c r="AJ1144" i="1"/>
  <c r="AF1144" i="1" s="1"/>
  <c r="W1144" i="1"/>
  <c r="AL1144" i="1" s="1"/>
  <c r="AJ1143" i="1"/>
  <c r="AF1143" i="1" s="1"/>
  <c r="W1143" i="1"/>
  <c r="AJ1142" i="1"/>
  <c r="AF1142" i="1" s="1"/>
  <c r="W1142" i="1"/>
  <c r="AJ1141" i="1"/>
  <c r="AF1141" i="1" s="1"/>
  <c r="W1141" i="1"/>
  <c r="X1141" i="1" s="1"/>
  <c r="AJ1140" i="1"/>
  <c r="AF1140" i="1" s="1"/>
  <c r="W1140" i="1"/>
  <c r="AK1140" i="1" s="1"/>
  <c r="AL1139" i="1"/>
  <c r="AK1139" i="1"/>
  <c r="AJ1139" i="1"/>
  <c r="AF1139" i="1" s="1"/>
  <c r="X1139" i="1"/>
  <c r="AL1138" i="1"/>
  <c r="AK1138" i="1"/>
  <c r="AJ1138" i="1"/>
  <c r="AF1138" i="1" s="1"/>
  <c r="X1138" i="1"/>
  <c r="AL1137" i="1"/>
  <c r="AK1137" i="1"/>
  <c r="AJ1137" i="1"/>
  <c r="AF1137" i="1" s="1"/>
  <c r="X1137" i="1"/>
  <c r="AJ1136" i="1"/>
  <c r="AF1136" i="1" s="1"/>
  <c r="AJ1135" i="1"/>
  <c r="AF1135" i="1" s="1"/>
  <c r="W1135" i="1"/>
  <c r="X1135" i="1" s="1"/>
  <c r="AL1134" i="1"/>
  <c r="AK1134" i="1"/>
  <c r="AJ1134" i="1"/>
  <c r="AF1134" i="1" s="1"/>
  <c r="X1134" i="1"/>
  <c r="AJ1133" i="1"/>
  <c r="AF1133" i="1" s="1"/>
  <c r="AJ1132" i="1"/>
  <c r="AF1132" i="1" s="1"/>
  <c r="W1132" i="1"/>
  <c r="AL1132" i="1" s="1"/>
  <c r="AJ1131" i="1"/>
  <c r="AF1131" i="1" s="1"/>
  <c r="AJ1130" i="1"/>
  <c r="AF1130" i="1" s="1"/>
  <c r="AJ1129" i="1"/>
  <c r="AF1129" i="1" s="1"/>
  <c r="AL1128" i="1"/>
  <c r="AK1128" i="1"/>
  <c r="AJ1128" i="1"/>
  <c r="AF1128" i="1" s="1"/>
  <c r="X1128" i="1"/>
  <c r="AL1127" i="1"/>
  <c r="AK1127" i="1"/>
  <c r="AJ1127" i="1"/>
  <c r="AF1127" i="1" s="1"/>
  <c r="X1127" i="1"/>
  <c r="AL1126" i="1"/>
  <c r="AK1126" i="1"/>
  <c r="AJ1126" i="1"/>
  <c r="AF1126" i="1" s="1"/>
  <c r="X1126" i="1"/>
  <c r="AL1125" i="1"/>
  <c r="AK1125" i="1"/>
  <c r="AJ1125" i="1"/>
  <c r="AF1125" i="1" s="1"/>
  <c r="X1125" i="1"/>
  <c r="AL1124" i="1"/>
  <c r="AK1124" i="1"/>
  <c r="AJ1124" i="1"/>
  <c r="AF1124" i="1" s="1"/>
  <c r="X1124" i="1"/>
  <c r="AL1123" i="1"/>
  <c r="AK1123" i="1"/>
  <c r="AJ1123" i="1"/>
  <c r="AF1123" i="1" s="1"/>
  <c r="X1123" i="1"/>
  <c r="AL1120" i="1"/>
  <c r="AK1120" i="1"/>
  <c r="AJ1120" i="1"/>
  <c r="AF1120" i="1" s="1"/>
  <c r="X1120" i="1"/>
  <c r="AJ1119" i="1"/>
  <c r="AF1119" i="1" s="1"/>
  <c r="AL1118" i="1"/>
  <c r="AK1118" i="1"/>
  <c r="AJ1118" i="1"/>
  <c r="AF1118" i="1" s="1"/>
  <c r="X1118" i="1"/>
  <c r="AL1117" i="1"/>
  <c r="AK1117" i="1"/>
  <c r="AJ1117" i="1"/>
  <c r="AF1117" i="1" s="1"/>
  <c r="X1117" i="1"/>
  <c r="AL1116" i="1"/>
  <c r="AK1116" i="1"/>
  <c r="AJ1116" i="1"/>
  <c r="AF1116" i="1" s="1"/>
  <c r="X1116" i="1"/>
  <c r="AL1115" i="1"/>
  <c r="AK1115" i="1"/>
  <c r="AJ1115" i="1"/>
  <c r="AF1115" i="1" s="1"/>
  <c r="X1115" i="1"/>
  <c r="AJ1114" i="1"/>
  <c r="AF1114" i="1" s="1"/>
  <c r="W1114" i="1"/>
  <c r="AJ1113" i="1"/>
  <c r="AF1113" i="1" s="1"/>
  <c r="AJ1112" i="1"/>
  <c r="AF1112" i="1" s="1"/>
  <c r="AL1111" i="1"/>
  <c r="AK1111" i="1"/>
  <c r="AJ1111" i="1"/>
  <c r="AF1111" i="1" s="1"/>
  <c r="X1111" i="1"/>
  <c r="AL1110" i="1"/>
  <c r="AK1110" i="1"/>
  <c r="AJ1110" i="1"/>
  <c r="AF1110" i="1" s="1"/>
  <c r="X1110" i="1"/>
  <c r="AL1109" i="1"/>
  <c r="AK1109" i="1"/>
  <c r="AJ1109" i="1"/>
  <c r="AF1109" i="1" s="1"/>
  <c r="X1109" i="1"/>
  <c r="AJ1108" i="1"/>
  <c r="AF1108" i="1" s="1"/>
  <c r="AJ1107" i="1"/>
  <c r="AF1107" i="1" s="1"/>
  <c r="AL1106" i="1"/>
  <c r="AK1106" i="1"/>
  <c r="AJ1106" i="1"/>
  <c r="AF1106" i="1" s="1"/>
  <c r="X1106" i="1"/>
  <c r="AJ1105" i="1"/>
  <c r="AF1105" i="1" s="1"/>
  <c r="W1105" i="1"/>
  <c r="AJ1104" i="1"/>
  <c r="AF1104" i="1" s="1"/>
  <c r="AJ1103" i="1"/>
  <c r="AF1103" i="1" s="1"/>
  <c r="AJ1102" i="1"/>
  <c r="AF1102" i="1" s="1"/>
  <c r="W1102" i="1"/>
  <c r="X1102" i="1" s="1"/>
  <c r="AJ1101" i="1"/>
  <c r="AF1101" i="1" s="1"/>
  <c r="AJ1100" i="1"/>
  <c r="AF1100" i="1" s="1"/>
  <c r="AJ1099" i="1"/>
  <c r="AF1099" i="1" s="1"/>
  <c r="AJ1098" i="1"/>
  <c r="AF1098" i="1" s="1"/>
  <c r="AJ1097" i="1"/>
  <c r="AF1097" i="1" s="1"/>
  <c r="W1097" i="1"/>
  <c r="AL1097" i="1" s="1"/>
  <c r="AJ1096" i="1"/>
  <c r="AF1096" i="1" s="1"/>
  <c r="W1096" i="1"/>
  <c r="AL1095" i="1"/>
  <c r="AK1095" i="1"/>
  <c r="AJ1095" i="1"/>
  <c r="AF1095" i="1" s="1"/>
  <c r="X1095" i="1"/>
  <c r="AJ1094" i="1"/>
  <c r="AF1094" i="1" s="1"/>
  <c r="AJ1093" i="1"/>
  <c r="AF1093" i="1" s="1"/>
  <c r="AJ1092" i="1"/>
  <c r="AF1092" i="1" s="1"/>
  <c r="AL1091" i="1"/>
  <c r="AK1091" i="1"/>
  <c r="AJ1091" i="1"/>
  <c r="AF1091" i="1" s="1"/>
  <c r="X1091" i="1"/>
  <c r="AL1090" i="1"/>
  <c r="AK1090" i="1"/>
  <c r="AJ1090" i="1"/>
  <c r="AF1090" i="1" s="1"/>
  <c r="X1090" i="1"/>
  <c r="AL1089" i="1"/>
  <c r="AK1089" i="1"/>
  <c r="AJ1089" i="1"/>
  <c r="AF1089" i="1" s="1"/>
  <c r="X1089" i="1"/>
  <c r="AL1088" i="1"/>
  <c r="AK1088" i="1"/>
  <c r="AJ1088" i="1"/>
  <c r="AF1088" i="1" s="1"/>
  <c r="X1088" i="1"/>
  <c r="AJ1087" i="1"/>
  <c r="AF1087" i="1" s="1"/>
  <c r="W1087" i="1"/>
  <c r="AK1087" i="1" s="1"/>
  <c r="AL1086" i="1"/>
  <c r="AK1086" i="1"/>
  <c r="AJ1086" i="1"/>
  <c r="AF1086" i="1" s="1"/>
  <c r="X1086" i="1"/>
  <c r="AL1085" i="1"/>
  <c r="AK1085" i="1"/>
  <c r="AJ1085" i="1"/>
  <c r="AF1085" i="1" s="1"/>
  <c r="X1085" i="1"/>
  <c r="AL1084" i="1"/>
  <c r="AK1084" i="1"/>
  <c r="AJ1084" i="1"/>
  <c r="AF1084" i="1" s="1"/>
  <c r="X1084" i="1"/>
  <c r="AJ1083" i="1"/>
  <c r="AF1083" i="1" s="1"/>
  <c r="AL1082" i="1"/>
  <c r="AK1082" i="1"/>
  <c r="AJ1082" i="1"/>
  <c r="AF1082" i="1" s="1"/>
  <c r="X1082" i="1"/>
  <c r="AL1081" i="1"/>
  <c r="AK1081" i="1"/>
  <c r="AJ1081" i="1"/>
  <c r="AF1081" i="1" s="1"/>
  <c r="X1081" i="1"/>
  <c r="AL1080" i="1"/>
  <c r="AK1080" i="1"/>
  <c r="AJ1080" i="1"/>
  <c r="AF1080" i="1" s="1"/>
  <c r="X1080" i="1"/>
  <c r="AJ1079" i="1"/>
  <c r="AF1079" i="1" s="1"/>
  <c r="AL1078" i="1"/>
  <c r="AK1078" i="1"/>
  <c r="AJ1078" i="1"/>
  <c r="AF1078" i="1" s="1"/>
  <c r="X1078" i="1"/>
  <c r="AJ1077" i="1"/>
  <c r="AF1077" i="1" s="1"/>
  <c r="AL1076" i="1"/>
  <c r="AK1076" i="1"/>
  <c r="AJ1076" i="1"/>
  <c r="AF1076" i="1" s="1"/>
  <c r="X1076" i="1"/>
  <c r="AL1075" i="1"/>
  <c r="AK1075" i="1"/>
  <c r="AJ1075" i="1"/>
  <c r="AF1075" i="1" s="1"/>
  <c r="X1075" i="1"/>
  <c r="AJ1074" i="1"/>
  <c r="AF1074" i="1" s="1"/>
  <c r="AL1073" i="1"/>
  <c r="AK1073" i="1"/>
  <c r="AJ1073" i="1"/>
  <c r="AF1073" i="1" s="1"/>
  <c r="X1073" i="1"/>
  <c r="AL1072" i="1"/>
  <c r="AK1072" i="1"/>
  <c r="AJ1072" i="1"/>
  <c r="AF1072" i="1" s="1"/>
  <c r="X1072" i="1"/>
  <c r="AJ1071" i="1"/>
  <c r="AF1071" i="1" s="1"/>
  <c r="W1071" i="1"/>
  <c r="X1071" i="1" s="1"/>
  <c r="AJ1070" i="1"/>
  <c r="AF1070" i="1" s="1"/>
  <c r="AJ1069" i="1"/>
  <c r="AF1069" i="1" s="1"/>
  <c r="AL1068" i="1"/>
  <c r="AK1068" i="1"/>
  <c r="AJ1068" i="1"/>
  <c r="AF1068" i="1" s="1"/>
  <c r="X1068" i="1"/>
  <c r="AL1067" i="1"/>
  <c r="AK1067" i="1"/>
  <c r="AJ1067" i="1"/>
  <c r="AF1067" i="1" s="1"/>
  <c r="X1067" i="1"/>
  <c r="AL1066" i="1"/>
  <c r="AK1066" i="1"/>
  <c r="AJ1066" i="1"/>
  <c r="AF1066" i="1" s="1"/>
  <c r="X1066" i="1"/>
  <c r="AL1065" i="1"/>
  <c r="AK1065" i="1"/>
  <c r="AJ1065" i="1"/>
  <c r="AF1065" i="1" s="1"/>
  <c r="X1065" i="1"/>
  <c r="AL1064" i="1"/>
  <c r="AK1064" i="1"/>
  <c r="AJ1064" i="1"/>
  <c r="AF1064" i="1" s="1"/>
  <c r="X1064" i="1"/>
  <c r="AL1063" i="1"/>
  <c r="AK1063" i="1"/>
  <c r="AJ1063" i="1"/>
  <c r="AF1063" i="1" s="1"/>
  <c r="X1063" i="1"/>
  <c r="AJ1062" i="1"/>
  <c r="AF1062" i="1" s="1"/>
  <c r="W1062" i="1"/>
  <c r="AL1061" i="1"/>
  <c r="AK1061" i="1"/>
  <c r="AJ1061" i="1"/>
  <c r="AF1061" i="1" s="1"/>
  <c r="X1061" i="1"/>
  <c r="AL1060" i="1"/>
  <c r="AK1060" i="1"/>
  <c r="AJ1060" i="1"/>
  <c r="AF1060" i="1" s="1"/>
  <c r="X1060" i="1"/>
  <c r="AL1059" i="1"/>
  <c r="AK1059" i="1"/>
  <c r="AJ1059" i="1"/>
  <c r="AF1059" i="1" s="1"/>
  <c r="X1059" i="1"/>
  <c r="AJ1058" i="1"/>
  <c r="AF1058" i="1" s="1"/>
  <c r="AJ1057" i="1"/>
  <c r="AF1057" i="1" s="1"/>
  <c r="AJ1056" i="1"/>
  <c r="AF1056" i="1" s="1"/>
  <c r="W1056" i="1"/>
  <c r="X1056" i="1" s="1"/>
  <c r="AJ1055" i="1"/>
  <c r="AF1055" i="1" s="1"/>
  <c r="W1055" i="1"/>
  <c r="X1055" i="1" s="1"/>
  <c r="AL1054" i="1"/>
  <c r="AK1054" i="1"/>
  <c r="AJ1054" i="1"/>
  <c r="AF1054" i="1" s="1"/>
  <c r="X1054" i="1"/>
  <c r="AL1053" i="1"/>
  <c r="AK1053" i="1"/>
  <c r="AJ1053" i="1"/>
  <c r="AF1053" i="1" s="1"/>
  <c r="X1053" i="1"/>
  <c r="AL1052" i="1"/>
  <c r="AK1052" i="1"/>
  <c r="AJ1052" i="1"/>
  <c r="AF1052" i="1" s="1"/>
  <c r="X1052" i="1"/>
  <c r="AL1051" i="1"/>
  <c r="AK1051" i="1"/>
  <c r="AJ1051" i="1"/>
  <c r="AF1051" i="1" s="1"/>
  <c r="X1051" i="1"/>
  <c r="AJ1050" i="1"/>
  <c r="AF1050" i="1" s="1"/>
  <c r="AL1049" i="1"/>
  <c r="AK1049" i="1"/>
  <c r="AJ1049" i="1"/>
  <c r="AF1049" i="1" s="1"/>
  <c r="X1049" i="1"/>
  <c r="AL1048" i="1"/>
  <c r="AK1048" i="1"/>
  <c r="AJ1048" i="1"/>
  <c r="AF1048" i="1" s="1"/>
  <c r="X1048" i="1"/>
  <c r="AL1047" i="1"/>
  <c r="AK1047" i="1"/>
  <c r="AJ1047" i="1"/>
  <c r="AF1047" i="1" s="1"/>
  <c r="X1047" i="1"/>
  <c r="AL1046" i="1"/>
  <c r="AK1046" i="1"/>
  <c r="AJ1046" i="1"/>
  <c r="AF1046" i="1" s="1"/>
  <c r="X1046" i="1"/>
  <c r="AL1045" i="1"/>
  <c r="AK1045" i="1"/>
  <c r="AJ1045" i="1"/>
  <c r="AF1045" i="1" s="1"/>
  <c r="X1045" i="1"/>
  <c r="AL1044" i="1"/>
  <c r="AK1044" i="1"/>
  <c r="AJ1044" i="1"/>
  <c r="AF1044" i="1" s="1"/>
  <c r="X1044" i="1"/>
  <c r="AJ1043" i="1"/>
  <c r="AF1043" i="1" s="1"/>
  <c r="AJ1042" i="1"/>
  <c r="AF1042" i="1" s="1"/>
  <c r="W1042" i="1"/>
  <c r="AJ1041" i="1"/>
  <c r="AF1041" i="1" s="1"/>
  <c r="AJ1040" i="1"/>
  <c r="AF1040" i="1" s="1"/>
  <c r="AL1039" i="1"/>
  <c r="AK1039" i="1"/>
  <c r="AJ1039" i="1"/>
  <c r="AF1039" i="1" s="1"/>
  <c r="X1039" i="1"/>
  <c r="AL1038" i="1"/>
  <c r="AK1038" i="1"/>
  <c r="AJ1038" i="1"/>
  <c r="AF1038" i="1" s="1"/>
  <c r="X1038" i="1"/>
  <c r="AL1037" i="1"/>
  <c r="AK1037" i="1"/>
  <c r="AJ1037" i="1"/>
  <c r="AF1037" i="1" s="1"/>
  <c r="X1037" i="1"/>
  <c r="AJ1036" i="1"/>
  <c r="AF1036" i="1" s="1"/>
  <c r="AJ1035" i="1"/>
  <c r="AF1035" i="1" s="1"/>
  <c r="AL1034" i="1"/>
  <c r="AK1034" i="1"/>
  <c r="AJ1034" i="1"/>
  <c r="AF1034" i="1" s="1"/>
  <c r="X1034" i="1"/>
  <c r="AL1033" i="1"/>
  <c r="AK1033" i="1"/>
  <c r="AJ1033" i="1"/>
  <c r="AF1033" i="1" s="1"/>
  <c r="X1033" i="1"/>
  <c r="AL1032" i="1"/>
  <c r="AK1032" i="1"/>
  <c r="AJ1032" i="1"/>
  <c r="AF1032" i="1" s="1"/>
  <c r="X1032" i="1"/>
  <c r="AJ1031" i="1"/>
  <c r="AF1031" i="1" s="1"/>
  <c r="AJ1030" i="1"/>
  <c r="AF1030" i="1" s="1"/>
  <c r="AL1029" i="1"/>
  <c r="AK1029" i="1"/>
  <c r="AJ1029" i="1"/>
  <c r="AF1029" i="1" s="1"/>
  <c r="X1029" i="1"/>
  <c r="AL1028" i="1"/>
  <c r="AK1028" i="1"/>
  <c r="AJ1028" i="1"/>
  <c r="AF1028" i="1" s="1"/>
  <c r="X1028" i="1"/>
  <c r="AJ1027" i="1"/>
  <c r="AF1027" i="1" s="1"/>
  <c r="W1027" i="1"/>
  <c r="X1027" i="1" s="1"/>
  <c r="AJ1026" i="1"/>
  <c r="AF1026" i="1" s="1"/>
  <c r="W1026" i="1"/>
  <c r="AJ1025" i="1"/>
  <c r="AF1025" i="1" s="1"/>
  <c r="W1025" i="1"/>
  <c r="AL1025" i="1" s="1"/>
  <c r="AL1024" i="1"/>
  <c r="AK1024" i="1"/>
  <c r="AJ1024" i="1"/>
  <c r="AF1024" i="1" s="1"/>
  <c r="X1024" i="1"/>
  <c r="AL1023" i="1"/>
  <c r="AK1023" i="1"/>
  <c r="AJ1023" i="1"/>
  <c r="AF1023" i="1" s="1"/>
  <c r="X1023" i="1"/>
  <c r="AJ1022" i="1"/>
  <c r="AF1022" i="1" s="1"/>
  <c r="W1022" i="1"/>
  <c r="AK1022" i="1" s="1"/>
  <c r="AJ1021" i="1"/>
  <c r="AF1021" i="1" s="1"/>
  <c r="AJ1020" i="1"/>
  <c r="AF1020" i="1" s="1"/>
  <c r="AJ1019" i="1"/>
  <c r="AF1019" i="1" s="1"/>
  <c r="W1019" i="1"/>
  <c r="AJ1018" i="1"/>
  <c r="AF1018" i="1" s="1"/>
  <c r="AJ1017" i="1"/>
  <c r="AF1017" i="1" s="1"/>
  <c r="AL1016" i="1"/>
  <c r="AK1016" i="1"/>
  <c r="AJ1016" i="1"/>
  <c r="AF1016" i="1" s="1"/>
  <c r="X1016" i="1"/>
  <c r="AL1015" i="1"/>
  <c r="AK1015" i="1"/>
  <c r="AJ1015" i="1"/>
  <c r="AF1015" i="1" s="1"/>
  <c r="X1015" i="1"/>
  <c r="AL1014" i="1"/>
  <c r="AK1014" i="1"/>
  <c r="AJ1014" i="1"/>
  <c r="AF1014" i="1" s="1"/>
  <c r="AG1014" i="1"/>
  <c r="X1014" i="1"/>
  <c r="AL1013" i="1"/>
  <c r="AK1013" i="1"/>
  <c r="AJ1013" i="1"/>
  <c r="AF1013" i="1" s="1"/>
  <c r="X1013" i="1"/>
  <c r="AL1012" i="1"/>
  <c r="AK1012" i="1"/>
  <c r="AJ1012" i="1"/>
  <c r="AF1012" i="1" s="1"/>
  <c r="X1012" i="1"/>
  <c r="AJ1011" i="1"/>
  <c r="AF1011" i="1" s="1"/>
  <c r="AJ1010" i="1"/>
  <c r="AF1010" i="1" s="1"/>
  <c r="AL1009" i="1"/>
  <c r="AK1009" i="1"/>
  <c r="AJ1009" i="1"/>
  <c r="AF1009" i="1" s="1"/>
  <c r="X1009" i="1"/>
  <c r="AJ1008" i="1"/>
  <c r="AF1008" i="1" s="1"/>
  <c r="W1008" i="1"/>
  <c r="X1008" i="1" s="1"/>
  <c r="AJ1007" i="1"/>
  <c r="AF1007" i="1" s="1"/>
  <c r="W1007" i="1"/>
  <c r="AL1006" i="1"/>
  <c r="AK1006" i="1"/>
  <c r="AJ1006" i="1"/>
  <c r="AF1006" i="1" s="1"/>
  <c r="X1006" i="1"/>
  <c r="AJ1005" i="1"/>
  <c r="AF1005" i="1" s="1"/>
  <c r="W1005" i="1"/>
  <c r="AJ1004" i="1"/>
  <c r="AF1004" i="1" s="1"/>
  <c r="W1004" i="1"/>
  <c r="AJ1003" i="1"/>
  <c r="AF1003" i="1" s="1"/>
  <c r="AL1002" i="1"/>
  <c r="AK1002" i="1"/>
  <c r="AJ1002" i="1"/>
  <c r="AF1002" i="1" s="1"/>
  <c r="X1002" i="1"/>
  <c r="AL1001" i="1"/>
  <c r="AK1001" i="1"/>
  <c r="AJ1001" i="1"/>
  <c r="AF1001" i="1" s="1"/>
  <c r="X1001" i="1"/>
  <c r="AJ1000" i="1"/>
  <c r="AF1000" i="1" s="1"/>
  <c r="W1000" i="1"/>
  <c r="X1000" i="1" s="1"/>
  <c r="AL999" i="1"/>
  <c r="AK999" i="1"/>
  <c r="AJ999" i="1"/>
  <c r="AF999" i="1" s="1"/>
  <c r="X999" i="1"/>
  <c r="AL998" i="1"/>
  <c r="AK998" i="1"/>
  <c r="AJ998" i="1"/>
  <c r="AF998" i="1" s="1"/>
  <c r="X998" i="1"/>
  <c r="AL997" i="1"/>
  <c r="AK997" i="1"/>
  <c r="AJ997" i="1"/>
  <c r="AF997" i="1" s="1"/>
  <c r="X997" i="1"/>
  <c r="AJ996" i="1"/>
  <c r="AF996" i="1" s="1"/>
  <c r="W996" i="1"/>
  <c r="AJ995" i="1"/>
  <c r="AF995" i="1" s="1"/>
  <c r="W995" i="1"/>
  <c r="AK995" i="1" s="1"/>
  <c r="AJ994" i="1"/>
  <c r="AF994" i="1" s="1"/>
  <c r="AJ993" i="1"/>
  <c r="AF993" i="1" s="1"/>
  <c r="AJ992" i="1"/>
  <c r="AF992" i="1" s="1"/>
  <c r="AJ991" i="1"/>
  <c r="AF991" i="1" s="1"/>
  <c r="AL990" i="1"/>
  <c r="AK990" i="1"/>
  <c r="AJ990" i="1"/>
  <c r="AF990" i="1" s="1"/>
  <c r="X990" i="1"/>
  <c r="AJ989" i="1"/>
  <c r="AF989" i="1" s="1"/>
  <c r="AL988" i="1"/>
  <c r="AK988" i="1"/>
  <c r="AJ988" i="1"/>
  <c r="AF988" i="1" s="1"/>
  <c r="X988" i="1"/>
  <c r="AK987" i="1"/>
  <c r="AJ987" i="1"/>
  <c r="AF987" i="1" s="1"/>
  <c r="AL986" i="1"/>
  <c r="AK986" i="1"/>
  <c r="AJ986" i="1"/>
  <c r="AF986" i="1" s="1"/>
  <c r="X986" i="1"/>
  <c r="AJ985" i="1"/>
  <c r="AF985" i="1" s="1"/>
  <c r="AJ984" i="1"/>
  <c r="AF984" i="1" s="1"/>
  <c r="AL983" i="1"/>
  <c r="AK983" i="1"/>
  <c r="AJ983" i="1"/>
  <c r="AF983" i="1" s="1"/>
  <c r="X983" i="1"/>
  <c r="AL982" i="1"/>
  <c r="AK982" i="1"/>
  <c r="AJ982" i="1"/>
  <c r="AF982" i="1" s="1"/>
  <c r="X982" i="1"/>
  <c r="AL981" i="1"/>
  <c r="AK981" i="1"/>
  <c r="AJ981" i="1"/>
  <c r="AF981" i="1" s="1"/>
  <c r="X981" i="1"/>
  <c r="AL980" i="1"/>
  <c r="AK980" i="1"/>
  <c r="AJ980" i="1"/>
  <c r="AF980" i="1" s="1"/>
  <c r="X980" i="1"/>
  <c r="AJ979" i="1"/>
  <c r="AF979" i="1" s="1"/>
  <c r="AL978" i="1"/>
  <c r="AK978" i="1"/>
  <c r="AJ978" i="1"/>
  <c r="AF978" i="1" s="1"/>
  <c r="X978" i="1"/>
  <c r="AL977" i="1"/>
  <c r="AK977" i="1"/>
  <c r="AJ977" i="1"/>
  <c r="AF977" i="1" s="1"/>
  <c r="X977" i="1"/>
  <c r="AJ976" i="1"/>
  <c r="AF976" i="1" s="1"/>
  <c r="W976" i="1"/>
  <c r="AK976" i="1" s="1"/>
  <c r="AJ975" i="1"/>
  <c r="AF975" i="1" s="1"/>
  <c r="W975" i="1"/>
  <c r="AL975" i="1" s="1"/>
  <c r="AK974" i="1"/>
  <c r="AJ974" i="1"/>
  <c r="AF974" i="1" s="1"/>
  <c r="X974" i="1"/>
  <c r="AJ973" i="1"/>
  <c r="AF973" i="1" s="1"/>
  <c r="W973" i="1"/>
  <c r="AJ972" i="1"/>
  <c r="AF972" i="1" s="1"/>
  <c r="W972" i="1"/>
  <c r="AL971" i="1"/>
  <c r="AK971" i="1"/>
  <c r="AJ971" i="1"/>
  <c r="AF971" i="1" s="1"/>
  <c r="X971" i="1"/>
  <c r="AL970" i="1"/>
  <c r="AK970" i="1"/>
  <c r="AJ970" i="1"/>
  <c r="AF970" i="1" s="1"/>
  <c r="X970" i="1"/>
  <c r="AL969" i="1"/>
  <c r="AK969" i="1"/>
  <c r="AJ969" i="1"/>
  <c r="AF969" i="1" s="1"/>
  <c r="X969" i="1"/>
  <c r="AL968" i="1"/>
  <c r="AK968" i="1"/>
  <c r="AJ968" i="1"/>
  <c r="AF968" i="1" s="1"/>
  <c r="X968" i="1"/>
  <c r="AL967" i="1"/>
  <c r="AK967" i="1"/>
  <c r="AJ967" i="1"/>
  <c r="AF967" i="1" s="1"/>
  <c r="X967" i="1"/>
  <c r="AJ966" i="1"/>
  <c r="AF966" i="1" s="1"/>
  <c r="AL965" i="1"/>
  <c r="AK965" i="1"/>
  <c r="AJ965" i="1"/>
  <c r="AF965" i="1" s="1"/>
  <c r="X965" i="1"/>
  <c r="AJ964" i="1"/>
  <c r="AF964" i="1" s="1"/>
  <c r="AJ963" i="1"/>
  <c r="AF963" i="1" s="1"/>
  <c r="W963" i="1"/>
  <c r="AL963" i="1" s="1"/>
  <c r="AK962" i="1"/>
  <c r="AJ962" i="1"/>
  <c r="AF962" i="1" s="1"/>
  <c r="AJ961" i="1"/>
  <c r="AF961" i="1" s="1"/>
  <c r="W961" i="1"/>
  <c r="X961" i="1" s="1"/>
  <c r="AJ960" i="1"/>
  <c r="AF960" i="1" s="1"/>
  <c r="W960" i="1"/>
  <c r="AL959" i="1"/>
  <c r="AK959" i="1"/>
  <c r="AJ959" i="1"/>
  <c r="AF959" i="1" s="1"/>
  <c r="X959" i="1"/>
  <c r="AL958" i="1"/>
  <c r="AK958" i="1"/>
  <c r="AJ958" i="1"/>
  <c r="AF958" i="1" s="1"/>
  <c r="X958" i="1"/>
  <c r="AJ957" i="1"/>
  <c r="AF957" i="1" s="1"/>
  <c r="W957" i="1"/>
  <c r="X957" i="1" s="1"/>
  <c r="AJ956" i="1"/>
  <c r="AF956" i="1" s="1"/>
  <c r="AJ955" i="1"/>
  <c r="AF955" i="1" s="1"/>
  <c r="W955" i="1"/>
  <c r="AJ954" i="1"/>
  <c r="AF954" i="1" s="1"/>
  <c r="W954" i="1"/>
  <c r="AL954" i="1" s="1"/>
  <c r="AJ953" i="1"/>
  <c r="AF953" i="1" s="1"/>
  <c r="W953" i="1"/>
  <c r="AL953" i="1" s="1"/>
  <c r="AJ952" i="1"/>
  <c r="AF952" i="1" s="1"/>
  <c r="W952" i="1"/>
  <c r="AK952" i="1" s="1"/>
  <c r="AJ951" i="1"/>
  <c r="AF951" i="1" s="1"/>
  <c r="AJ950" i="1"/>
  <c r="AF950" i="1" s="1"/>
  <c r="AJ949" i="1"/>
  <c r="AF949" i="1" s="1"/>
  <c r="W949" i="1"/>
  <c r="AJ948" i="1"/>
  <c r="AF948" i="1" s="1"/>
  <c r="W948" i="1"/>
  <c r="X948" i="1" s="1"/>
  <c r="AL947" i="1"/>
  <c r="AK947" i="1"/>
  <c r="AJ947" i="1"/>
  <c r="AF947" i="1" s="1"/>
  <c r="X947" i="1"/>
  <c r="AL946" i="1"/>
  <c r="AK946" i="1"/>
  <c r="AJ946" i="1"/>
  <c r="AF946" i="1" s="1"/>
  <c r="AJ945" i="1"/>
  <c r="AF945" i="1" s="1"/>
  <c r="AJ944" i="1"/>
  <c r="AF944" i="1" s="1"/>
  <c r="AJ943" i="1"/>
  <c r="AF943" i="1" s="1"/>
  <c r="AJ942" i="1"/>
  <c r="AF942" i="1" s="1"/>
  <c r="AJ941" i="1"/>
  <c r="AF941" i="1" s="1"/>
  <c r="AJ940" i="1"/>
  <c r="AF940" i="1" s="1"/>
  <c r="AJ939" i="1"/>
  <c r="AF939" i="1" s="1"/>
  <c r="AJ938" i="1"/>
  <c r="AF938" i="1" s="1"/>
  <c r="AJ937" i="1"/>
  <c r="AF937" i="1" s="1"/>
  <c r="W937" i="1"/>
  <c r="AL937" i="1" s="1"/>
  <c r="U937" i="1"/>
  <c r="V937" i="1" s="1"/>
  <c r="AJ936" i="1"/>
  <c r="AF936" i="1" s="1"/>
  <c r="W936" i="1"/>
  <c r="AK936" i="1" s="1"/>
  <c r="U936" i="1"/>
  <c r="V936" i="1" s="1"/>
  <c r="AJ935" i="1"/>
  <c r="AF935" i="1" s="1"/>
  <c r="W935" i="1"/>
  <c r="AL935" i="1" s="1"/>
  <c r="U935" i="1"/>
  <c r="V935" i="1" s="1"/>
  <c r="AL934" i="1"/>
  <c r="AK934" i="1"/>
  <c r="AJ934" i="1"/>
  <c r="AF934" i="1" s="1"/>
  <c r="X934" i="1"/>
  <c r="AL933" i="1"/>
  <c r="AK933" i="1"/>
  <c r="AJ933" i="1"/>
  <c r="AF933" i="1" s="1"/>
  <c r="X933" i="1"/>
  <c r="AL932" i="1"/>
  <c r="AK932" i="1"/>
  <c r="AJ932" i="1"/>
  <c r="AF932" i="1" s="1"/>
  <c r="X932" i="1"/>
  <c r="AL931" i="1"/>
  <c r="AK931" i="1"/>
  <c r="AJ931" i="1"/>
  <c r="AF931" i="1" s="1"/>
  <c r="X931" i="1"/>
  <c r="AJ930" i="1"/>
  <c r="AF930" i="1" s="1"/>
  <c r="AL929" i="1"/>
  <c r="AK929" i="1"/>
  <c r="AJ929" i="1"/>
  <c r="AF929" i="1" s="1"/>
  <c r="X929" i="1"/>
  <c r="AL928" i="1"/>
  <c r="AK928" i="1"/>
  <c r="AJ928" i="1"/>
  <c r="AF928" i="1" s="1"/>
  <c r="X928" i="1"/>
  <c r="AL927" i="1"/>
  <c r="AK927" i="1"/>
  <c r="AJ927" i="1"/>
  <c r="AF927" i="1" s="1"/>
  <c r="X927" i="1"/>
  <c r="AJ926" i="1"/>
  <c r="AF926" i="1" s="1"/>
  <c r="AJ925" i="1"/>
  <c r="AF925" i="1" s="1"/>
  <c r="W925" i="1"/>
  <c r="AL925" i="1" s="1"/>
  <c r="U925" i="1"/>
  <c r="V925" i="1" s="1"/>
  <c r="AL924" i="1"/>
  <c r="AK924" i="1"/>
  <c r="AJ924" i="1"/>
  <c r="AF924" i="1" s="1"/>
  <c r="X924" i="1"/>
  <c r="AJ923" i="1"/>
  <c r="AF923" i="1" s="1"/>
  <c r="AJ922" i="1"/>
  <c r="AF922" i="1" s="1"/>
  <c r="AL921" i="1"/>
  <c r="AK921" i="1"/>
  <c r="AJ921" i="1"/>
  <c r="AF921" i="1" s="1"/>
  <c r="X921" i="1"/>
  <c r="AL920" i="1"/>
  <c r="AK920" i="1"/>
  <c r="AJ920" i="1"/>
  <c r="AF920" i="1" s="1"/>
  <c r="X920" i="1"/>
  <c r="AL919" i="1"/>
  <c r="AK919" i="1"/>
  <c r="AJ919" i="1"/>
  <c r="AF919" i="1" s="1"/>
  <c r="X919" i="1"/>
  <c r="AL918" i="1"/>
  <c r="AK918" i="1"/>
  <c r="AJ918" i="1"/>
  <c r="AF918" i="1" s="1"/>
  <c r="X918" i="1"/>
  <c r="AL917" i="1"/>
  <c r="AK917" i="1"/>
  <c r="AJ917" i="1"/>
  <c r="AF917" i="1" s="1"/>
  <c r="X917" i="1"/>
  <c r="AL916" i="1"/>
  <c r="AK916" i="1"/>
  <c r="AJ916" i="1"/>
  <c r="AF916" i="1" s="1"/>
  <c r="AL915" i="1"/>
  <c r="AK915" i="1"/>
  <c r="AJ915" i="1"/>
  <c r="AF915" i="1" s="1"/>
  <c r="AL914" i="1"/>
  <c r="AK914" i="1"/>
  <c r="AJ914" i="1"/>
  <c r="AF914" i="1" s="1"/>
  <c r="X914" i="1"/>
  <c r="AL913" i="1"/>
  <c r="AK913" i="1"/>
  <c r="AJ913" i="1"/>
  <c r="AF913" i="1" s="1"/>
  <c r="AJ912" i="1"/>
  <c r="AF912" i="1" s="1"/>
  <c r="AJ911" i="1"/>
  <c r="AF911" i="1" s="1"/>
  <c r="AJ910" i="1"/>
  <c r="AF910" i="1" s="1"/>
  <c r="AL909" i="1"/>
  <c r="AK909" i="1"/>
  <c r="AJ909" i="1"/>
  <c r="AF909" i="1" s="1"/>
  <c r="X909" i="1"/>
  <c r="AL908" i="1"/>
  <c r="AK908" i="1"/>
  <c r="AJ908" i="1"/>
  <c r="AF908" i="1" s="1"/>
  <c r="X908" i="1"/>
  <c r="AL907" i="1"/>
  <c r="AK907" i="1"/>
  <c r="AJ907" i="1"/>
  <c r="AF907" i="1" s="1"/>
  <c r="X907" i="1"/>
  <c r="AL906" i="1"/>
  <c r="AK906" i="1"/>
  <c r="AJ906" i="1"/>
  <c r="AF906" i="1" s="1"/>
  <c r="X906" i="1"/>
  <c r="AL905" i="1"/>
  <c r="AK905" i="1"/>
  <c r="AJ905" i="1"/>
  <c r="AF905" i="1" s="1"/>
  <c r="X905" i="1"/>
  <c r="AJ904" i="1"/>
  <c r="AF904" i="1" s="1"/>
  <c r="AJ903" i="1"/>
  <c r="AF903" i="1" s="1"/>
  <c r="AJ902" i="1"/>
  <c r="AF902" i="1" s="1"/>
  <c r="AL901" i="1"/>
  <c r="AK901" i="1"/>
  <c r="AJ901" i="1"/>
  <c r="AF901" i="1" s="1"/>
  <c r="X901" i="1"/>
  <c r="AJ900" i="1"/>
  <c r="AF900" i="1" s="1"/>
  <c r="AL899" i="1"/>
  <c r="AK899" i="1"/>
  <c r="AJ899" i="1"/>
  <c r="AF899" i="1" s="1"/>
  <c r="X899" i="1"/>
  <c r="AL898" i="1"/>
  <c r="AK898" i="1"/>
  <c r="AJ898" i="1"/>
  <c r="AF898" i="1" s="1"/>
  <c r="X898" i="1"/>
  <c r="AL897" i="1"/>
  <c r="AK897" i="1"/>
  <c r="AJ897" i="1"/>
  <c r="AF897" i="1" s="1"/>
  <c r="X897" i="1"/>
  <c r="AL896" i="1"/>
  <c r="AK896" i="1"/>
  <c r="AJ896" i="1"/>
  <c r="AF896" i="1" s="1"/>
  <c r="X896" i="1"/>
  <c r="AJ895" i="1"/>
  <c r="AF895" i="1" s="1"/>
  <c r="W895" i="1"/>
  <c r="AJ894" i="1"/>
  <c r="AF894" i="1" s="1"/>
  <c r="AJ893" i="1"/>
  <c r="AF893" i="1" s="1"/>
  <c r="W893" i="1"/>
  <c r="X893" i="1" s="1"/>
  <c r="AJ892" i="1"/>
  <c r="AF892" i="1" s="1"/>
  <c r="W892" i="1"/>
  <c r="U892" i="1"/>
  <c r="V892" i="1" s="1"/>
  <c r="AJ891" i="1"/>
  <c r="AF891" i="1" s="1"/>
  <c r="W891" i="1"/>
  <c r="U891" i="1"/>
  <c r="V891" i="1" s="1"/>
  <c r="AJ890" i="1"/>
  <c r="AF890" i="1" s="1"/>
  <c r="W890" i="1"/>
  <c r="AL890" i="1" s="1"/>
  <c r="AJ889" i="1"/>
  <c r="AF889" i="1" s="1"/>
  <c r="W889" i="1"/>
  <c r="AK889" i="1" s="1"/>
  <c r="U889" i="1"/>
  <c r="V889" i="1" s="1"/>
  <c r="AL888" i="1"/>
  <c r="AK888" i="1"/>
  <c r="AJ888" i="1"/>
  <c r="AF888" i="1" s="1"/>
  <c r="X888" i="1"/>
  <c r="AL887" i="1"/>
  <c r="AK887" i="1"/>
  <c r="AJ887" i="1"/>
  <c r="AF887" i="1" s="1"/>
  <c r="X887" i="1"/>
  <c r="AL886" i="1"/>
  <c r="AK886" i="1"/>
  <c r="AJ886" i="1"/>
  <c r="AF886" i="1" s="1"/>
  <c r="X886" i="1"/>
  <c r="AL885" i="1"/>
  <c r="AK885" i="1"/>
  <c r="AJ885" i="1"/>
  <c r="AF885" i="1" s="1"/>
  <c r="X885" i="1"/>
  <c r="AL884" i="1"/>
  <c r="AK884" i="1"/>
  <c r="AJ884" i="1"/>
  <c r="AF884" i="1" s="1"/>
  <c r="X884" i="1"/>
  <c r="AL883" i="1"/>
  <c r="AK883" i="1"/>
  <c r="AJ883" i="1"/>
  <c r="AF883" i="1" s="1"/>
  <c r="X883" i="1"/>
  <c r="AL882" i="1"/>
  <c r="AK882" i="1"/>
  <c r="AJ882" i="1"/>
  <c r="AF882" i="1" s="1"/>
  <c r="X882" i="1"/>
  <c r="AL881" i="1"/>
  <c r="AK881" i="1"/>
  <c r="AJ881" i="1"/>
  <c r="AF881" i="1" s="1"/>
  <c r="X881" i="1"/>
  <c r="AL880" i="1"/>
  <c r="AK880" i="1"/>
  <c r="AJ880" i="1"/>
  <c r="AF880" i="1" s="1"/>
  <c r="X880" i="1"/>
  <c r="AL879" i="1"/>
  <c r="AK879" i="1"/>
  <c r="AJ879" i="1"/>
  <c r="AF879" i="1" s="1"/>
  <c r="AG879" i="1"/>
  <c r="X879" i="1"/>
  <c r="AL878" i="1"/>
  <c r="AK878" i="1"/>
  <c r="AJ878" i="1"/>
  <c r="AF878" i="1" s="1"/>
  <c r="X878" i="1"/>
  <c r="AJ877" i="1"/>
  <c r="AF877" i="1" s="1"/>
  <c r="AJ876" i="1"/>
  <c r="AF876" i="1" s="1"/>
  <c r="AJ875" i="1"/>
  <c r="AF875" i="1" s="1"/>
  <c r="W875" i="1"/>
  <c r="U875" i="1"/>
  <c r="V875" i="1" s="1"/>
  <c r="AL874" i="1"/>
  <c r="AK874" i="1"/>
  <c r="AJ874" i="1"/>
  <c r="AF874" i="1" s="1"/>
  <c r="X874" i="1"/>
  <c r="AL873" i="1"/>
  <c r="AK873" i="1"/>
  <c r="AJ873" i="1"/>
  <c r="AF873" i="1" s="1"/>
  <c r="X873" i="1"/>
  <c r="AL872" i="1"/>
  <c r="AK872" i="1"/>
  <c r="AJ872" i="1"/>
  <c r="AF872" i="1" s="1"/>
  <c r="X872" i="1"/>
  <c r="AL871" i="1"/>
  <c r="AK871" i="1"/>
  <c r="AJ871" i="1"/>
  <c r="AF871" i="1" s="1"/>
  <c r="X871" i="1"/>
  <c r="AJ870" i="1"/>
  <c r="AF870" i="1" s="1"/>
  <c r="W870" i="1"/>
  <c r="AL870" i="1" s="1"/>
  <c r="U870" i="1"/>
  <c r="V870" i="1" s="1"/>
  <c r="AJ869" i="1"/>
  <c r="AF869" i="1" s="1"/>
  <c r="W869" i="1"/>
  <c r="AL869" i="1" s="1"/>
  <c r="U869" i="1"/>
  <c r="V869" i="1" s="1"/>
  <c r="AJ868" i="1"/>
  <c r="AF868" i="1" s="1"/>
  <c r="W868" i="1"/>
  <c r="AK868" i="1" s="1"/>
  <c r="U868" i="1"/>
  <c r="V868" i="1" s="1"/>
  <c r="AL867" i="1"/>
  <c r="AK867" i="1"/>
  <c r="AJ867" i="1"/>
  <c r="AF867" i="1" s="1"/>
  <c r="X867" i="1"/>
  <c r="AL866" i="1"/>
  <c r="AK866" i="1"/>
  <c r="AJ866" i="1"/>
  <c r="AF866" i="1" s="1"/>
  <c r="X866" i="1"/>
  <c r="AL865" i="1"/>
  <c r="AK865" i="1"/>
  <c r="AJ865" i="1"/>
  <c r="AF865" i="1" s="1"/>
  <c r="X865" i="1"/>
  <c r="AL864" i="1"/>
  <c r="AK864" i="1"/>
  <c r="AJ864" i="1"/>
  <c r="AF864" i="1" s="1"/>
  <c r="X864" i="1"/>
  <c r="AL863" i="1"/>
  <c r="AK863" i="1"/>
  <c r="AJ863" i="1"/>
  <c r="AF863" i="1" s="1"/>
  <c r="X863" i="1"/>
  <c r="AL862" i="1"/>
  <c r="AK862" i="1"/>
  <c r="AJ862" i="1"/>
  <c r="AF862" i="1" s="1"/>
  <c r="X862" i="1"/>
  <c r="AJ861" i="1"/>
  <c r="AF861" i="1" s="1"/>
  <c r="AJ860" i="1"/>
  <c r="AF860" i="1" s="1"/>
  <c r="AL859" i="1"/>
  <c r="AK859" i="1"/>
  <c r="AJ859" i="1"/>
  <c r="AF859" i="1" s="1"/>
  <c r="X859" i="1"/>
  <c r="AJ858" i="1"/>
  <c r="AF858" i="1" s="1"/>
  <c r="W858" i="1"/>
  <c r="AL858" i="1" s="1"/>
  <c r="U858" i="1"/>
  <c r="V858" i="1" s="1"/>
  <c r="AL857" i="1"/>
  <c r="AK857" i="1"/>
  <c r="AJ857" i="1"/>
  <c r="AF857" i="1" s="1"/>
  <c r="X857" i="1"/>
  <c r="AL856" i="1"/>
  <c r="AK856" i="1"/>
  <c r="AJ856" i="1"/>
  <c r="AF856" i="1" s="1"/>
  <c r="X856" i="1"/>
  <c r="AL855" i="1"/>
  <c r="AK855" i="1"/>
  <c r="AJ855" i="1"/>
  <c r="AF855" i="1" s="1"/>
  <c r="X855" i="1"/>
  <c r="AL854" i="1"/>
  <c r="AK854" i="1"/>
  <c r="AJ854" i="1"/>
  <c r="AF854" i="1" s="1"/>
  <c r="X854" i="1"/>
  <c r="AJ853" i="1"/>
  <c r="AF853" i="1" s="1"/>
  <c r="W853" i="1"/>
  <c r="X853" i="1" s="1"/>
  <c r="U853" i="1"/>
  <c r="V853" i="1" s="1"/>
  <c r="AJ852" i="1"/>
  <c r="AF852" i="1" s="1"/>
  <c r="AJ851" i="1"/>
  <c r="AF851" i="1" s="1"/>
  <c r="AJ850" i="1"/>
  <c r="AF850" i="1" s="1"/>
  <c r="AJ849" i="1"/>
  <c r="AF849" i="1" s="1"/>
  <c r="AJ848" i="1"/>
  <c r="AF848" i="1" s="1"/>
  <c r="AL847" i="1"/>
  <c r="AK847" i="1"/>
  <c r="AJ847" i="1"/>
  <c r="AF847" i="1" s="1"/>
  <c r="X847" i="1"/>
  <c r="AL846" i="1"/>
  <c r="AK846" i="1"/>
  <c r="AJ846" i="1"/>
  <c r="AF846" i="1" s="1"/>
  <c r="X846" i="1"/>
  <c r="AJ845" i="1"/>
  <c r="AF845" i="1" s="1"/>
  <c r="W845" i="1"/>
  <c r="AL845" i="1" s="1"/>
  <c r="U845" i="1"/>
  <c r="V845" i="1" s="1"/>
  <c r="AJ844" i="1"/>
  <c r="AF844" i="1" s="1"/>
  <c r="W844" i="1"/>
  <c r="AL843" i="1"/>
  <c r="AK843" i="1"/>
  <c r="AJ843" i="1"/>
  <c r="AF843" i="1" s="1"/>
  <c r="X843" i="1"/>
  <c r="AJ842" i="1"/>
  <c r="AF842" i="1" s="1"/>
  <c r="W842" i="1"/>
  <c r="X842" i="1" s="1"/>
  <c r="U842" i="1"/>
  <c r="V842" i="1" s="1"/>
  <c r="AJ841" i="1"/>
  <c r="AF841" i="1" s="1"/>
  <c r="W841" i="1"/>
  <c r="X841" i="1" s="1"/>
  <c r="U841" i="1"/>
  <c r="V841" i="1" s="1"/>
  <c r="AJ840" i="1"/>
  <c r="AF840" i="1" s="1"/>
  <c r="AL839" i="1"/>
  <c r="AK839" i="1"/>
  <c r="AJ839" i="1"/>
  <c r="AF839" i="1" s="1"/>
  <c r="X839" i="1"/>
  <c r="AL838" i="1"/>
  <c r="AK838" i="1"/>
  <c r="AJ838" i="1"/>
  <c r="AF838" i="1" s="1"/>
  <c r="X838" i="1"/>
  <c r="AJ837" i="1"/>
  <c r="AF837" i="1" s="1"/>
  <c r="AJ836" i="1"/>
  <c r="AF836" i="1" s="1"/>
  <c r="AL835" i="1"/>
  <c r="AK835" i="1"/>
  <c r="AJ835" i="1"/>
  <c r="AF835" i="1" s="1"/>
  <c r="X835" i="1"/>
  <c r="AL834" i="1"/>
  <c r="AK834" i="1"/>
  <c r="AJ834" i="1"/>
  <c r="AF834" i="1" s="1"/>
  <c r="X834" i="1"/>
  <c r="AL833" i="1"/>
  <c r="AK833" i="1"/>
  <c r="AJ833" i="1"/>
  <c r="AF833" i="1" s="1"/>
  <c r="X833" i="1"/>
  <c r="AL832" i="1"/>
  <c r="AK832" i="1"/>
  <c r="AJ832" i="1"/>
  <c r="AF832" i="1" s="1"/>
  <c r="X832" i="1"/>
  <c r="AJ831" i="1"/>
  <c r="AF831" i="1" s="1"/>
  <c r="W831" i="1"/>
  <c r="AJ830" i="1"/>
  <c r="AF830" i="1" s="1"/>
  <c r="AL829" i="1"/>
  <c r="AK829" i="1"/>
  <c r="AJ829" i="1"/>
  <c r="AF829" i="1" s="1"/>
  <c r="X829" i="1"/>
  <c r="AJ828" i="1"/>
  <c r="AF828" i="1" s="1"/>
  <c r="AL827" i="1"/>
  <c r="AK827" i="1"/>
  <c r="AJ827" i="1"/>
  <c r="AF827" i="1" s="1"/>
  <c r="X827" i="1"/>
  <c r="AL826" i="1"/>
  <c r="AK826" i="1"/>
  <c r="AJ826" i="1"/>
  <c r="AF826" i="1" s="1"/>
  <c r="X826" i="1"/>
  <c r="AL825" i="1"/>
  <c r="AK825" i="1"/>
  <c r="AJ825" i="1"/>
  <c r="AF825" i="1" s="1"/>
  <c r="X825" i="1"/>
  <c r="AL824" i="1"/>
  <c r="AK824" i="1"/>
  <c r="AJ824" i="1"/>
  <c r="AF824" i="1" s="1"/>
  <c r="AG824" i="1"/>
  <c r="X824" i="1"/>
  <c r="AJ823" i="1"/>
  <c r="AF823" i="1" s="1"/>
  <c r="W823" i="1"/>
  <c r="X823" i="1" s="1"/>
  <c r="AJ822" i="1"/>
  <c r="AF822" i="1" s="1"/>
  <c r="W822" i="1"/>
  <c r="U822" i="1"/>
  <c r="V822" i="1" s="1"/>
  <c r="AJ821" i="1"/>
  <c r="AF821" i="1" s="1"/>
  <c r="W821" i="1"/>
  <c r="X821" i="1" s="1"/>
  <c r="U821" i="1"/>
  <c r="V821" i="1" s="1"/>
  <c r="AL820" i="1"/>
  <c r="AK820" i="1"/>
  <c r="AJ820" i="1"/>
  <c r="AF820" i="1" s="1"/>
  <c r="X820" i="1"/>
  <c r="U820" i="1"/>
  <c r="V820" i="1" s="1"/>
  <c r="AJ819" i="1"/>
  <c r="AF819" i="1" s="1"/>
  <c r="W819" i="1"/>
  <c r="AL819" i="1" s="1"/>
  <c r="AJ818" i="1"/>
  <c r="AF818" i="1" s="1"/>
  <c r="W818" i="1"/>
  <c r="AL818" i="1" s="1"/>
  <c r="U818" i="1"/>
  <c r="V818" i="1" s="1"/>
  <c r="AJ817" i="1"/>
  <c r="AF817" i="1" s="1"/>
  <c r="AJ816" i="1"/>
  <c r="AF816" i="1" s="1"/>
  <c r="AL815" i="1"/>
  <c r="AK815" i="1"/>
  <c r="AJ815" i="1"/>
  <c r="AF815" i="1" s="1"/>
  <c r="X815" i="1"/>
  <c r="AL814" i="1"/>
  <c r="AK814" i="1"/>
  <c r="AJ814" i="1"/>
  <c r="AF814" i="1" s="1"/>
  <c r="X814" i="1"/>
  <c r="AL813" i="1"/>
  <c r="AK813" i="1"/>
  <c r="AJ813" i="1"/>
  <c r="AF813" i="1" s="1"/>
  <c r="X813" i="1"/>
  <c r="AL812" i="1"/>
  <c r="AK812" i="1"/>
  <c r="AJ812" i="1"/>
  <c r="AF812" i="1" s="1"/>
  <c r="X812" i="1"/>
  <c r="AL811" i="1"/>
  <c r="AK811" i="1"/>
  <c r="AJ811" i="1"/>
  <c r="AF811" i="1" s="1"/>
  <c r="X811" i="1"/>
  <c r="AL810" i="1"/>
  <c r="AK810" i="1"/>
  <c r="AJ810" i="1"/>
  <c r="AF810" i="1" s="1"/>
  <c r="X810" i="1"/>
  <c r="AL809" i="1"/>
  <c r="AK809" i="1"/>
  <c r="AJ809" i="1"/>
  <c r="AF809" i="1" s="1"/>
  <c r="X809" i="1"/>
  <c r="AL808" i="1"/>
  <c r="AK808" i="1"/>
  <c r="AJ808" i="1"/>
  <c r="AF808" i="1" s="1"/>
  <c r="X808" i="1"/>
  <c r="AJ807" i="1"/>
  <c r="AF807" i="1" s="1"/>
  <c r="W807" i="1"/>
  <c r="AJ806" i="1"/>
  <c r="AF806" i="1" s="1"/>
  <c r="U806" i="1"/>
  <c r="V806" i="1" s="1"/>
  <c r="AJ805" i="1"/>
  <c r="AF805" i="1" s="1"/>
  <c r="W805" i="1"/>
  <c r="X805" i="1" s="1"/>
  <c r="U805" i="1"/>
  <c r="V805" i="1" s="1"/>
  <c r="AL804" i="1"/>
  <c r="AK804" i="1"/>
  <c r="AJ804" i="1"/>
  <c r="AF804" i="1" s="1"/>
  <c r="X804" i="1"/>
  <c r="AL803" i="1"/>
  <c r="AK803" i="1"/>
  <c r="AJ803" i="1"/>
  <c r="AF803" i="1" s="1"/>
  <c r="X803" i="1"/>
  <c r="AL802" i="1"/>
  <c r="AK802" i="1"/>
  <c r="AJ802" i="1"/>
  <c r="AF802" i="1" s="1"/>
  <c r="AJ801" i="1"/>
  <c r="AF801" i="1" s="1"/>
  <c r="AL800" i="1"/>
  <c r="AK800" i="1"/>
  <c r="AJ800" i="1"/>
  <c r="AF800" i="1" s="1"/>
  <c r="X800" i="1"/>
  <c r="AL799" i="1"/>
  <c r="AK799" i="1"/>
  <c r="AJ799" i="1"/>
  <c r="AF799" i="1" s="1"/>
  <c r="X799" i="1"/>
  <c r="AL798" i="1"/>
  <c r="AK798" i="1"/>
  <c r="AJ798" i="1"/>
  <c r="AF798" i="1" s="1"/>
  <c r="X798" i="1"/>
  <c r="AL797" i="1"/>
  <c r="AK797" i="1"/>
  <c r="AJ797" i="1"/>
  <c r="AF797" i="1" s="1"/>
  <c r="X797" i="1"/>
  <c r="AL796" i="1"/>
  <c r="AK796" i="1"/>
  <c r="AJ796" i="1"/>
  <c r="AF796" i="1" s="1"/>
  <c r="X796" i="1"/>
  <c r="AJ795" i="1"/>
  <c r="AF795" i="1" s="1"/>
  <c r="AJ794" i="1"/>
  <c r="AF794" i="1" s="1"/>
  <c r="AL793" i="1"/>
  <c r="AK793" i="1"/>
  <c r="AJ793" i="1"/>
  <c r="AF793" i="1" s="1"/>
  <c r="X793" i="1"/>
  <c r="AL792" i="1"/>
  <c r="AK792" i="1"/>
  <c r="AJ792" i="1"/>
  <c r="AF792" i="1" s="1"/>
  <c r="X792" i="1"/>
  <c r="AL791" i="1"/>
  <c r="AK791" i="1"/>
  <c r="AJ791" i="1"/>
  <c r="AF791" i="1" s="1"/>
  <c r="X791" i="1"/>
  <c r="AL790" i="1"/>
  <c r="AK790" i="1"/>
  <c r="AJ790" i="1"/>
  <c r="AF790" i="1" s="1"/>
  <c r="X790" i="1"/>
  <c r="AL789" i="1"/>
  <c r="AK789" i="1"/>
  <c r="AJ789" i="1"/>
  <c r="AF789" i="1" s="1"/>
  <c r="X789" i="1"/>
  <c r="AL788" i="1"/>
  <c r="AK788" i="1"/>
  <c r="AJ788" i="1"/>
  <c r="AF788" i="1" s="1"/>
  <c r="AJ787" i="1"/>
  <c r="AF787" i="1" s="1"/>
  <c r="W787" i="1"/>
  <c r="U787" i="1"/>
  <c r="V787" i="1" s="1"/>
  <c r="AJ786" i="1"/>
  <c r="AF786" i="1" s="1"/>
  <c r="AJ785" i="1"/>
  <c r="AF785" i="1" s="1"/>
  <c r="AJ784" i="1"/>
  <c r="AF784" i="1" s="1"/>
  <c r="AJ783" i="1"/>
  <c r="AF783" i="1" s="1"/>
  <c r="AL782" i="1"/>
  <c r="AK782" i="1"/>
  <c r="AJ782" i="1"/>
  <c r="AF782" i="1" s="1"/>
  <c r="X782" i="1"/>
  <c r="AJ781" i="1"/>
  <c r="AF781" i="1" s="1"/>
  <c r="AL780" i="1"/>
  <c r="AK780" i="1"/>
  <c r="AJ780" i="1"/>
  <c r="AF780" i="1" s="1"/>
  <c r="X780" i="1"/>
  <c r="AL779" i="1"/>
  <c r="AK779" i="1"/>
  <c r="AJ779" i="1"/>
  <c r="AF779" i="1" s="1"/>
  <c r="X779" i="1"/>
  <c r="AJ778" i="1"/>
  <c r="AF778" i="1" s="1"/>
  <c r="AJ777" i="1"/>
  <c r="AF777" i="1" s="1"/>
  <c r="AJ776" i="1"/>
  <c r="AF776" i="1" s="1"/>
  <c r="AJ775" i="1"/>
  <c r="AF775" i="1" s="1"/>
  <c r="AJ774" i="1"/>
  <c r="AF774" i="1" s="1"/>
  <c r="AL773" i="1"/>
  <c r="AK773" i="1"/>
  <c r="AJ773" i="1"/>
  <c r="AF773" i="1" s="1"/>
  <c r="X773" i="1"/>
  <c r="AL772" i="1"/>
  <c r="AK772" i="1"/>
  <c r="AJ772" i="1"/>
  <c r="AF772" i="1" s="1"/>
  <c r="X772" i="1"/>
  <c r="AL771" i="1"/>
  <c r="AK771" i="1"/>
  <c r="AJ771" i="1"/>
  <c r="AF771" i="1" s="1"/>
  <c r="AL770" i="1"/>
  <c r="AK770" i="1"/>
  <c r="AJ770" i="1"/>
  <c r="AF770" i="1" s="1"/>
  <c r="X770" i="1"/>
  <c r="AL769" i="1"/>
  <c r="AK769" i="1"/>
  <c r="AJ769" i="1"/>
  <c r="AF769" i="1" s="1"/>
  <c r="X769" i="1"/>
  <c r="AL768" i="1"/>
  <c r="AK768" i="1"/>
  <c r="AJ768" i="1"/>
  <c r="AF768" i="1" s="1"/>
  <c r="X768" i="1"/>
  <c r="AJ767" i="1"/>
  <c r="AF767" i="1" s="1"/>
  <c r="AJ766" i="1"/>
  <c r="AF766" i="1" s="1"/>
  <c r="AJ765" i="1"/>
  <c r="AF765" i="1" s="1"/>
  <c r="AL764" i="1"/>
  <c r="AK764" i="1"/>
  <c r="AJ764" i="1"/>
  <c r="AF764" i="1" s="1"/>
  <c r="X764" i="1"/>
  <c r="U764" i="1"/>
  <c r="V764" i="1" s="1"/>
  <c r="AJ763" i="1"/>
  <c r="AF763" i="1" s="1"/>
  <c r="W763" i="1"/>
  <c r="X763" i="1" s="1"/>
  <c r="AL762" i="1"/>
  <c r="AK762" i="1"/>
  <c r="AJ762" i="1"/>
  <c r="AF762" i="1" s="1"/>
  <c r="X762" i="1"/>
  <c r="AJ761" i="1"/>
  <c r="AF761" i="1" s="1"/>
  <c r="AJ760" i="1"/>
  <c r="AF760" i="1" s="1"/>
  <c r="AL759" i="1"/>
  <c r="AK759" i="1"/>
  <c r="AJ759" i="1"/>
  <c r="AF759" i="1" s="1"/>
  <c r="X759" i="1"/>
  <c r="AL758" i="1"/>
  <c r="AK758" i="1"/>
  <c r="AJ758" i="1"/>
  <c r="AF758" i="1" s="1"/>
  <c r="AL757" i="1"/>
  <c r="AK757" i="1"/>
  <c r="AJ757" i="1"/>
  <c r="AF757" i="1" s="1"/>
  <c r="X757" i="1"/>
  <c r="AL756" i="1"/>
  <c r="AK756" i="1"/>
  <c r="AJ756" i="1"/>
  <c r="AF756" i="1" s="1"/>
  <c r="X756" i="1"/>
  <c r="AL755" i="1"/>
  <c r="AK755" i="1"/>
  <c r="AJ755" i="1"/>
  <c r="AF755" i="1" s="1"/>
  <c r="AL754" i="1"/>
  <c r="AK754" i="1"/>
  <c r="AJ754" i="1"/>
  <c r="AF754" i="1" s="1"/>
  <c r="X754" i="1"/>
  <c r="AL753" i="1"/>
  <c r="AK753" i="1"/>
  <c r="AJ753" i="1"/>
  <c r="AF753" i="1" s="1"/>
  <c r="X753" i="1"/>
  <c r="AL752" i="1"/>
  <c r="AJ752" i="1"/>
  <c r="AF752" i="1" s="1"/>
  <c r="AJ751" i="1"/>
  <c r="AF751" i="1" s="1"/>
  <c r="W751" i="1"/>
  <c r="AL751" i="1" s="1"/>
  <c r="AL750" i="1"/>
  <c r="AK750" i="1"/>
  <c r="AJ750" i="1"/>
  <c r="AF750" i="1" s="1"/>
  <c r="X750" i="1"/>
  <c r="AJ749" i="1"/>
  <c r="AF749" i="1" s="1"/>
  <c r="W749" i="1"/>
  <c r="X749" i="1" s="1"/>
  <c r="AJ748" i="1"/>
  <c r="AF748" i="1" s="1"/>
  <c r="W748" i="1"/>
  <c r="AL748" i="1" s="1"/>
  <c r="AJ747" i="1"/>
  <c r="AF747" i="1" s="1"/>
  <c r="W747" i="1"/>
  <c r="AJ746" i="1"/>
  <c r="AF746" i="1" s="1"/>
  <c r="W746" i="1"/>
  <c r="AL746" i="1" s="1"/>
  <c r="AJ745" i="1"/>
  <c r="AF745" i="1" s="1"/>
  <c r="W745" i="1"/>
  <c r="X745" i="1" s="1"/>
  <c r="AJ744" i="1"/>
  <c r="AF744" i="1" s="1"/>
  <c r="W744" i="1"/>
  <c r="AL744" i="1" s="1"/>
  <c r="AJ743" i="1"/>
  <c r="AF743" i="1" s="1"/>
  <c r="W743" i="1"/>
  <c r="X743" i="1" s="1"/>
  <c r="AJ742" i="1"/>
  <c r="AF742" i="1" s="1"/>
  <c r="W742" i="1"/>
  <c r="AJ741" i="1"/>
  <c r="AF741" i="1" s="1"/>
  <c r="W741" i="1"/>
  <c r="AJ740" i="1"/>
  <c r="AF740" i="1" s="1"/>
  <c r="AL739" i="1"/>
  <c r="AK739" i="1"/>
  <c r="AJ739" i="1"/>
  <c r="AF739" i="1" s="1"/>
  <c r="X739" i="1"/>
  <c r="AL738" i="1"/>
  <c r="AK738" i="1"/>
  <c r="AJ738" i="1"/>
  <c r="AF738" i="1" s="1"/>
  <c r="AL737" i="1"/>
  <c r="AK737" i="1"/>
  <c r="AJ737" i="1"/>
  <c r="AF737" i="1" s="1"/>
  <c r="X737" i="1"/>
  <c r="AJ736" i="1"/>
  <c r="AF736" i="1" s="1"/>
  <c r="W736" i="1"/>
  <c r="AL735" i="1"/>
  <c r="AK735" i="1"/>
  <c r="AJ735" i="1"/>
  <c r="AF735" i="1" s="1"/>
  <c r="X735" i="1"/>
  <c r="AJ734" i="1"/>
  <c r="AF734" i="1" s="1"/>
  <c r="AJ733" i="1"/>
  <c r="AF733" i="1" s="1"/>
  <c r="AL732" i="1"/>
  <c r="AK732" i="1"/>
  <c r="AJ732" i="1"/>
  <c r="AF732" i="1" s="1"/>
  <c r="X732" i="1"/>
  <c r="AL731" i="1"/>
  <c r="AK731" i="1"/>
  <c r="AJ731" i="1"/>
  <c r="AF731" i="1" s="1"/>
  <c r="X731" i="1"/>
  <c r="AL730" i="1"/>
  <c r="AK730" i="1"/>
  <c r="AJ730" i="1"/>
  <c r="AF730" i="1" s="1"/>
  <c r="X730" i="1"/>
  <c r="AL729" i="1"/>
  <c r="AK729" i="1"/>
  <c r="AJ729" i="1"/>
  <c r="AF729" i="1" s="1"/>
  <c r="X729" i="1"/>
  <c r="AJ728" i="1"/>
  <c r="AF728" i="1" s="1"/>
  <c r="AJ727" i="1"/>
  <c r="AF727" i="1" s="1"/>
  <c r="AL726" i="1"/>
  <c r="AK726" i="1"/>
  <c r="AJ726" i="1"/>
  <c r="AF726" i="1" s="1"/>
  <c r="X726" i="1"/>
  <c r="AL725" i="1"/>
  <c r="AK725" i="1"/>
  <c r="AJ725" i="1"/>
  <c r="AF725" i="1" s="1"/>
  <c r="X725" i="1"/>
  <c r="AL724" i="1"/>
  <c r="AK724" i="1"/>
  <c r="AJ724" i="1"/>
  <c r="AF724" i="1" s="1"/>
  <c r="X724" i="1"/>
  <c r="AJ723" i="1"/>
  <c r="AF723" i="1" s="1"/>
  <c r="AJ722" i="1"/>
  <c r="AF722" i="1" s="1"/>
  <c r="AJ721" i="1"/>
  <c r="AF721" i="1" s="1"/>
  <c r="W721" i="1"/>
  <c r="X721" i="1" s="1"/>
  <c r="AJ720" i="1"/>
  <c r="AF720" i="1" s="1"/>
  <c r="AJ719" i="1"/>
  <c r="AF719" i="1" s="1"/>
  <c r="AJ718" i="1"/>
  <c r="AF718" i="1" s="1"/>
  <c r="W718" i="1"/>
  <c r="AL717" i="1"/>
  <c r="AK717" i="1"/>
  <c r="AJ717" i="1"/>
  <c r="AF717" i="1" s="1"/>
  <c r="X717" i="1"/>
  <c r="AJ716" i="1"/>
  <c r="AF716" i="1" s="1"/>
  <c r="AL715" i="1"/>
  <c r="AK715" i="1"/>
  <c r="AJ715" i="1"/>
  <c r="AF715" i="1" s="1"/>
  <c r="X715" i="1"/>
  <c r="AJ714" i="1"/>
  <c r="AF714" i="1" s="1"/>
  <c r="AJ713" i="1"/>
  <c r="AF713" i="1" s="1"/>
  <c r="W713" i="1"/>
  <c r="X713" i="1" s="1"/>
  <c r="AJ712" i="1"/>
  <c r="AF712" i="1" s="1"/>
  <c r="W712" i="1"/>
  <c r="AJ711" i="1"/>
  <c r="AF711" i="1" s="1"/>
  <c r="W711" i="1"/>
  <c r="X711" i="1" s="1"/>
  <c r="AJ710" i="1"/>
  <c r="AF710" i="1" s="1"/>
  <c r="W710" i="1"/>
  <c r="AL710" i="1" s="1"/>
  <c r="AJ709" i="1"/>
  <c r="AF709" i="1" s="1"/>
  <c r="W709" i="1"/>
  <c r="AK709" i="1" s="1"/>
  <c r="AJ708" i="1"/>
  <c r="AF708" i="1" s="1"/>
  <c r="W708" i="1"/>
  <c r="AL708" i="1" s="1"/>
  <c r="AJ707" i="1"/>
  <c r="AF707" i="1" s="1"/>
  <c r="AJ706" i="1"/>
  <c r="AF706" i="1" s="1"/>
  <c r="AL705" i="1"/>
  <c r="AK705" i="1"/>
  <c r="AJ705" i="1"/>
  <c r="AF705" i="1" s="1"/>
  <c r="X705" i="1"/>
  <c r="AL704" i="1"/>
  <c r="AK704" i="1"/>
  <c r="AJ704" i="1"/>
  <c r="AF704" i="1" s="1"/>
  <c r="X704" i="1"/>
  <c r="AJ703" i="1"/>
  <c r="AF703" i="1" s="1"/>
  <c r="AL702" i="1"/>
  <c r="AK702" i="1"/>
  <c r="AJ702" i="1"/>
  <c r="AF702" i="1" s="1"/>
  <c r="X702" i="1"/>
  <c r="AL701" i="1"/>
  <c r="AK701" i="1"/>
  <c r="AJ701" i="1"/>
  <c r="AF701" i="1" s="1"/>
  <c r="X701" i="1"/>
  <c r="AJ700" i="1"/>
  <c r="AF700" i="1" s="1"/>
  <c r="AJ699" i="1"/>
  <c r="AF699" i="1" s="1"/>
  <c r="AJ698" i="1"/>
  <c r="AF698" i="1" s="1"/>
  <c r="AL697" i="1"/>
  <c r="AK697" i="1"/>
  <c r="AJ697" i="1"/>
  <c r="AF697" i="1" s="1"/>
  <c r="X697" i="1"/>
  <c r="AL696" i="1"/>
  <c r="AK696" i="1"/>
  <c r="AJ696" i="1"/>
  <c r="AF696" i="1" s="1"/>
  <c r="X696" i="1"/>
  <c r="AL695" i="1"/>
  <c r="AK695" i="1"/>
  <c r="AJ695" i="1"/>
  <c r="AF695" i="1" s="1"/>
  <c r="X695" i="1"/>
  <c r="AL694" i="1"/>
  <c r="AK694" i="1"/>
  <c r="AJ694" i="1"/>
  <c r="AF694" i="1" s="1"/>
  <c r="X694" i="1"/>
  <c r="AJ693" i="1"/>
  <c r="AF693" i="1" s="1"/>
  <c r="AJ692" i="1"/>
  <c r="AF692" i="1" s="1"/>
  <c r="AL691" i="1"/>
  <c r="AK691" i="1"/>
  <c r="AJ691" i="1"/>
  <c r="AF691" i="1" s="1"/>
  <c r="X691" i="1"/>
  <c r="AJ690" i="1"/>
  <c r="AF690" i="1" s="1"/>
  <c r="AJ689" i="1"/>
  <c r="AF689" i="1" s="1"/>
  <c r="AJ688" i="1"/>
  <c r="AF688" i="1" s="1"/>
  <c r="AL687" i="1"/>
  <c r="AK687" i="1"/>
  <c r="AJ687" i="1"/>
  <c r="AF687" i="1" s="1"/>
  <c r="X687" i="1"/>
  <c r="AL686" i="1"/>
  <c r="AK686" i="1"/>
  <c r="AJ686" i="1"/>
  <c r="AF686" i="1" s="1"/>
  <c r="X686" i="1"/>
  <c r="AL685" i="1"/>
  <c r="AK685" i="1"/>
  <c r="AJ685" i="1"/>
  <c r="AF685" i="1" s="1"/>
  <c r="X685" i="1"/>
  <c r="AL684" i="1"/>
  <c r="AK684" i="1"/>
  <c r="AJ684" i="1"/>
  <c r="AF684" i="1" s="1"/>
  <c r="X684" i="1"/>
  <c r="AL683" i="1"/>
  <c r="AK683" i="1"/>
  <c r="AJ683" i="1"/>
  <c r="AF683" i="1" s="1"/>
  <c r="AG683" i="1"/>
  <c r="X683" i="1"/>
  <c r="AJ682" i="1"/>
  <c r="AF682" i="1" s="1"/>
  <c r="AL681" i="1"/>
  <c r="AK681" i="1"/>
  <c r="AJ681" i="1"/>
  <c r="AF681" i="1" s="1"/>
  <c r="X681" i="1"/>
  <c r="AJ680" i="1"/>
  <c r="AF680" i="1" s="1"/>
  <c r="AL679" i="1"/>
  <c r="AK679" i="1"/>
  <c r="AJ679" i="1"/>
  <c r="AF679" i="1" s="1"/>
  <c r="X679" i="1"/>
  <c r="AL678" i="1"/>
  <c r="AK678" i="1"/>
  <c r="AJ678" i="1"/>
  <c r="AF678" i="1" s="1"/>
  <c r="X678" i="1"/>
  <c r="AJ677" i="1"/>
  <c r="AF677" i="1" s="1"/>
  <c r="W677" i="1"/>
  <c r="AJ676" i="1"/>
  <c r="AF676" i="1" s="1"/>
  <c r="W676" i="1"/>
  <c r="X676" i="1" s="1"/>
  <c r="AJ675" i="1"/>
  <c r="AF675" i="1" s="1"/>
  <c r="AJ674" i="1"/>
  <c r="AF674" i="1" s="1"/>
  <c r="AJ673" i="1"/>
  <c r="AF673" i="1" s="1"/>
  <c r="AJ672" i="1"/>
  <c r="AF672" i="1" s="1"/>
  <c r="W672" i="1"/>
  <c r="AL672" i="1" s="1"/>
  <c r="AJ671" i="1"/>
  <c r="AF671" i="1" s="1"/>
  <c r="W671" i="1"/>
  <c r="AL670" i="1"/>
  <c r="AK670" i="1"/>
  <c r="AJ670" i="1"/>
  <c r="AF670" i="1" s="1"/>
  <c r="X670" i="1"/>
  <c r="AL669" i="1"/>
  <c r="AK669" i="1"/>
  <c r="AJ669" i="1"/>
  <c r="AF669" i="1" s="1"/>
  <c r="X669" i="1"/>
  <c r="AL668" i="1"/>
  <c r="AK668" i="1"/>
  <c r="AJ668" i="1"/>
  <c r="AF668" i="1" s="1"/>
  <c r="X668" i="1"/>
  <c r="AL667" i="1"/>
  <c r="AK667" i="1"/>
  <c r="AJ667" i="1"/>
  <c r="AF667" i="1" s="1"/>
  <c r="X667" i="1"/>
  <c r="AL666" i="1"/>
  <c r="AK666" i="1"/>
  <c r="AJ666" i="1"/>
  <c r="AF666" i="1" s="1"/>
  <c r="X666" i="1"/>
  <c r="AL665" i="1"/>
  <c r="AK665" i="1"/>
  <c r="AJ665" i="1"/>
  <c r="AF665" i="1" s="1"/>
  <c r="X665" i="1"/>
  <c r="AJ664" i="1"/>
  <c r="AF664" i="1" s="1"/>
  <c r="W664" i="1"/>
  <c r="AJ663" i="1"/>
  <c r="AF663" i="1" s="1"/>
  <c r="AJ662" i="1"/>
  <c r="AF662" i="1" s="1"/>
  <c r="AJ661" i="1"/>
  <c r="AF661" i="1" s="1"/>
  <c r="AJ660" i="1"/>
  <c r="AF660" i="1" s="1"/>
  <c r="AJ659" i="1"/>
  <c r="AF659" i="1" s="1"/>
  <c r="AL658" i="1"/>
  <c r="AK658" i="1"/>
  <c r="AJ658" i="1"/>
  <c r="AF658" i="1" s="1"/>
  <c r="X658" i="1"/>
  <c r="AJ657" i="1"/>
  <c r="AF657" i="1" s="1"/>
  <c r="AL656" i="1"/>
  <c r="AK656" i="1"/>
  <c r="AJ656" i="1"/>
  <c r="AF656" i="1" s="1"/>
  <c r="X656" i="1"/>
  <c r="AJ655" i="1"/>
  <c r="AF655" i="1" s="1"/>
  <c r="W655" i="1"/>
  <c r="AL654" i="1"/>
  <c r="AK654" i="1"/>
  <c r="AJ654" i="1"/>
  <c r="AF654" i="1" s="1"/>
  <c r="X654" i="1"/>
  <c r="AL653" i="1"/>
  <c r="AK653" i="1"/>
  <c r="AJ653" i="1"/>
  <c r="AF653" i="1" s="1"/>
  <c r="X653" i="1"/>
  <c r="AL652" i="1"/>
  <c r="AK652" i="1"/>
  <c r="AJ652" i="1"/>
  <c r="AF652" i="1" s="1"/>
  <c r="X652" i="1"/>
  <c r="AL651" i="1"/>
  <c r="AK651" i="1"/>
  <c r="AJ651" i="1"/>
  <c r="AF651" i="1" s="1"/>
  <c r="X651" i="1"/>
  <c r="AL650" i="1"/>
  <c r="AK650" i="1"/>
  <c r="AJ650" i="1"/>
  <c r="AF650" i="1" s="1"/>
  <c r="X650" i="1"/>
  <c r="AJ649" i="1"/>
  <c r="AF649" i="1" s="1"/>
  <c r="AJ648" i="1"/>
  <c r="AF648" i="1" s="1"/>
  <c r="AJ647" i="1"/>
  <c r="AF647" i="1" s="1"/>
  <c r="AJ646" i="1"/>
  <c r="AF646" i="1" s="1"/>
  <c r="AL645" i="1"/>
  <c r="AK645" i="1"/>
  <c r="AJ645" i="1"/>
  <c r="AF645" i="1" s="1"/>
  <c r="X645" i="1"/>
  <c r="AL644" i="1"/>
  <c r="AK644" i="1"/>
  <c r="AJ644" i="1"/>
  <c r="AF644" i="1" s="1"/>
  <c r="X644" i="1"/>
  <c r="AL643" i="1"/>
  <c r="AK643" i="1"/>
  <c r="AJ643" i="1"/>
  <c r="AF643" i="1" s="1"/>
  <c r="X643" i="1"/>
  <c r="AL642" i="1"/>
  <c r="AK642" i="1"/>
  <c r="AJ642" i="1"/>
  <c r="AF642" i="1" s="1"/>
  <c r="X642" i="1"/>
  <c r="AJ641" i="1"/>
  <c r="AF641" i="1" s="1"/>
  <c r="AJ640" i="1"/>
  <c r="AF640" i="1" s="1"/>
  <c r="AL639" i="1"/>
  <c r="AK639" i="1"/>
  <c r="AJ639" i="1"/>
  <c r="AF639" i="1" s="1"/>
  <c r="X639" i="1"/>
  <c r="AL638" i="1"/>
  <c r="AK638" i="1"/>
  <c r="AJ638" i="1"/>
  <c r="AF638" i="1" s="1"/>
  <c r="X638" i="1"/>
  <c r="AL637" i="1"/>
  <c r="AK637" i="1"/>
  <c r="AJ637" i="1"/>
  <c r="AF637" i="1" s="1"/>
  <c r="X637" i="1"/>
  <c r="AL636" i="1"/>
  <c r="AK636" i="1"/>
  <c r="AJ636" i="1"/>
  <c r="AF636" i="1" s="1"/>
  <c r="X636" i="1"/>
  <c r="AJ635" i="1"/>
  <c r="AF635" i="1" s="1"/>
  <c r="AJ634" i="1"/>
  <c r="AF634" i="1" s="1"/>
  <c r="AL633" i="1"/>
  <c r="AK633" i="1"/>
  <c r="AJ633" i="1"/>
  <c r="AF633" i="1" s="1"/>
  <c r="X633" i="1"/>
  <c r="AL632" i="1"/>
  <c r="AK632" i="1"/>
  <c r="AJ632" i="1"/>
  <c r="AF632" i="1" s="1"/>
  <c r="X632" i="1"/>
  <c r="AL631" i="1"/>
  <c r="AK631" i="1"/>
  <c r="AJ631" i="1"/>
  <c r="AF631" i="1" s="1"/>
  <c r="X631" i="1"/>
  <c r="AJ630" i="1"/>
  <c r="AF630" i="1" s="1"/>
  <c r="W630" i="1"/>
  <c r="X630" i="1" s="1"/>
  <c r="AJ629" i="1"/>
  <c r="AF629" i="1" s="1"/>
  <c r="AJ628" i="1"/>
  <c r="AF628" i="1" s="1"/>
  <c r="W628" i="1"/>
  <c r="AL628" i="1" s="1"/>
  <c r="AJ627" i="1"/>
  <c r="AF627" i="1" s="1"/>
  <c r="W627" i="1"/>
  <c r="X627" i="1" s="1"/>
  <c r="AJ626" i="1"/>
  <c r="AF626" i="1" s="1"/>
  <c r="W626" i="1"/>
  <c r="AL626" i="1" s="1"/>
  <c r="AJ625" i="1"/>
  <c r="AF625" i="1" s="1"/>
  <c r="W625" i="1"/>
  <c r="AL624" i="1"/>
  <c r="AK624" i="1"/>
  <c r="AJ624" i="1"/>
  <c r="AF624" i="1" s="1"/>
  <c r="X624" i="1"/>
  <c r="AJ623" i="1"/>
  <c r="AF623" i="1" s="1"/>
  <c r="AJ622" i="1"/>
  <c r="AF622" i="1" s="1"/>
  <c r="AL621" i="1"/>
  <c r="AK621" i="1"/>
  <c r="AJ621" i="1"/>
  <c r="AF621" i="1" s="1"/>
  <c r="X621" i="1"/>
  <c r="AJ620" i="1"/>
  <c r="AF620" i="1" s="1"/>
  <c r="AJ619" i="1"/>
  <c r="AF619" i="1" s="1"/>
  <c r="AL618" i="1"/>
  <c r="AK618" i="1"/>
  <c r="AJ618" i="1"/>
  <c r="AF618" i="1" s="1"/>
  <c r="X618" i="1"/>
  <c r="AJ617" i="1"/>
  <c r="AF617" i="1" s="1"/>
  <c r="W617" i="1"/>
  <c r="AL617" i="1" s="1"/>
  <c r="AJ616" i="1"/>
  <c r="AF616" i="1" s="1"/>
  <c r="W616" i="1"/>
  <c r="AK616" i="1" s="1"/>
  <c r="AJ615" i="1"/>
  <c r="AF615" i="1" s="1"/>
  <c r="AJ614" i="1"/>
  <c r="AF614" i="1" s="1"/>
  <c r="AL613" i="1"/>
  <c r="AK613" i="1"/>
  <c r="AJ613" i="1"/>
  <c r="AF613" i="1" s="1"/>
  <c r="X613" i="1"/>
  <c r="AJ612" i="1"/>
  <c r="AF612" i="1" s="1"/>
  <c r="AL611" i="1"/>
  <c r="AK611" i="1"/>
  <c r="AJ611" i="1"/>
  <c r="AF611" i="1" s="1"/>
  <c r="X611" i="1"/>
  <c r="AJ610" i="1"/>
  <c r="AF610" i="1" s="1"/>
  <c r="AJ609" i="1"/>
  <c r="AF609" i="1" s="1"/>
  <c r="AL608" i="1"/>
  <c r="AK608" i="1"/>
  <c r="AJ608" i="1"/>
  <c r="AF608" i="1" s="1"/>
  <c r="X608" i="1"/>
  <c r="AL607" i="1"/>
  <c r="AK607" i="1"/>
  <c r="AJ607" i="1"/>
  <c r="AF607" i="1" s="1"/>
  <c r="X607" i="1"/>
  <c r="AJ606" i="1"/>
  <c r="AF606" i="1" s="1"/>
  <c r="AJ605" i="1"/>
  <c r="AF605" i="1" s="1"/>
  <c r="AL604" i="1"/>
  <c r="AK604" i="1"/>
  <c r="AJ604" i="1"/>
  <c r="AF604" i="1" s="1"/>
  <c r="X604" i="1"/>
  <c r="AL603" i="1"/>
  <c r="AK603" i="1"/>
  <c r="AJ603" i="1"/>
  <c r="AF603" i="1" s="1"/>
  <c r="X603" i="1"/>
  <c r="AL602" i="1"/>
  <c r="AK602" i="1"/>
  <c r="AJ602" i="1"/>
  <c r="AF602" i="1" s="1"/>
  <c r="X602" i="1"/>
  <c r="AL601" i="1"/>
  <c r="AK601" i="1"/>
  <c r="AJ601" i="1"/>
  <c r="AF601" i="1" s="1"/>
  <c r="X601" i="1"/>
  <c r="AJ600" i="1"/>
  <c r="AF600" i="1" s="1"/>
  <c r="AL599" i="1"/>
  <c r="AK599" i="1"/>
  <c r="AJ599" i="1"/>
  <c r="AF599" i="1" s="1"/>
  <c r="X599" i="1"/>
  <c r="AJ598" i="1"/>
  <c r="AF598" i="1" s="1"/>
  <c r="AJ597" i="1"/>
  <c r="AF597" i="1" s="1"/>
  <c r="AL596" i="1"/>
  <c r="AK596" i="1"/>
  <c r="AJ596" i="1"/>
  <c r="AF596" i="1" s="1"/>
  <c r="X596" i="1"/>
  <c r="AJ595" i="1"/>
  <c r="AF595" i="1" s="1"/>
  <c r="AL594" i="1"/>
  <c r="AK594" i="1"/>
  <c r="AJ594" i="1"/>
  <c r="AF594" i="1" s="1"/>
  <c r="X594" i="1"/>
  <c r="AJ593" i="1"/>
  <c r="AF593" i="1" s="1"/>
  <c r="W593" i="1"/>
  <c r="AL593" i="1" s="1"/>
  <c r="AL592" i="1"/>
  <c r="AK592" i="1"/>
  <c r="AJ592" i="1"/>
  <c r="AF592" i="1" s="1"/>
  <c r="X592" i="1"/>
  <c r="AL591" i="1"/>
  <c r="AK591" i="1"/>
  <c r="AJ591" i="1"/>
  <c r="AF591" i="1" s="1"/>
  <c r="X591" i="1"/>
  <c r="AL590" i="1"/>
  <c r="AK590" i="1"/>
  <c r="AJ590" i="1"/>
  <c r="AF590" i="1" s="1"/>
  <c r="X590" i="1"/>
  <c r="AJ589" i="1"/>
  <c r="AF589" i="1" s="1"/>
  <c r="W589" i="1"/>
  <c r="AJ588" i="1"/>
  <c r="AF588" i="1" s="1"/>
  <c r="W588" i="1"/>
  <c r="AL588" i="1" s="1"/>
  <c r="AJ587" i="1"/>
  <c r="AF587" i="1" s="1"/>
  <c r="W587" i="1"/>
  <c r="AL587" i="1" s="1"/>
  <c r="AJ586" i="1"/>
  <c r="AF586" i="1" s="1"/>
  <c r="AJ585" i="1"/>
  <c r="AF585" i="1" s="1"/>
  <c r="AL584" i="1"/>
  <c r="AK584" i="1"/>
  <c r="AJ584" i="1"/>
  <c r="AF584" i="1" s="1"/>
  <c r="AG584" i="1"/>
  <c r="X584" i="1"/>
  <c r="AJ583" i="1"/>
  <c r="AF583" i="1" s="1"/>
  <c r="AJ582" i="1"/>
  <c r="AF582" i="1" s="1"/>
  <c r="AJ581" i="1"/>
  <c r="AF581" i="1" s="1"/>
  <c r="AJ580" i="1"/>
  <c r="AF580" i="1" s="1"/>
  <c r="AJ579" i="1"/>
  <c r="AF579" i="1" s="1"/>
  <c r="AL578" i="1"/>
  <c r="AK578" i="1"/>
  <c r="AJ578" i="1"/>
  <c r="AF578" i="1" s="1"/>
  <c r="X578" i="1"/>
  <c r="AL577" i="1"/>
  <c r="AK577" i="1"/>
  <c r="AJ577" i="1"/>
  <c r="AF577" i="1" s="1"/>
  <c r="X577" i="1"/>
  <c r="AL576" i="1"/>
  <c r="AK576" i="1"/>
  <c r="AJ576" i="1"/>
  <c r="AF576" i="1" s="1"/>
  <c r="X576" i="1"/>
  <c r="AJ575" i="1"/>
  <c r="AF575" i="1" s="1"/>
  <c r="W575" i="1"/>
  <c r="AK575" i="1" s="1"/>
  <c r="AJ574" i="1"/>
  <c r="AF574" i="1" s="1"/>
  <c r="AJ573" i="1"/>
  <c r="AF573" i="1" s="1"/>
  <c r="AL572" i="1"/>
  <c r="AK572" i="1"/>
  <c r="AJ572" i="1"/>
  <c r="AF572" i="1" s="1"/>
  <c r="X572" i="1"/>
  <c r="AL571" i="1"/>
  <c r="AK571" i="1"/>
  <c r="AJ571" i="1"/>
  <c r="AF571" i="1" s="1"/>
  <c r="X571" i="1"/>
  <c r="AL570" i="1"/>
  <c r="AK570" i="1"/>
  <c r="AJ570" i="1"/>
  <c r="AF570" i="1" s="1"/>
  <c r="X570" i="1"/>
  <c r="AL569" i="1"/>
  <c r="AK569" i="1"/>
  <c r="AJ569" i="1"/>
  <c r="AF569" i="1" s="1"/>
  <c r="X569" i="1"/>
  <c r="AL568" i="1"/>
  <c r="AK568" i="1"/>
  <c r="AJ568" i="1"/>
  <c r="AF568" i="1" s="1"/>
  <c r="X568" i="1"/>
  <c r="AL567" i="1"/>
  <c r="AK567" i="1"/>
  <c r="AJ567" i="1"/>
  <c r="AF567" i="1" s="1"/>
  <c r="X567" i="1"/>
  <c r="AJ566" i="1"/>
  <c r="AF566" i="1" s="1"/>
  <c r="AL565" i="1"/>
  <c r="AK565" i="1"/>
  <c r="AJ565" i="1"/>
  <c r="AF565" i="1" s="1"/>
  <c r="X565" i="1"/>
  <c r="AL564" i="1"/>
  <c r="AK564" i="1"/>
  <c r="AJ564" i="1"/>
  <c r="AF564" i="1" s="1"/>
  <c r="X564" i="1"/>
  <c r="AJ563" i="1"/>
  <c r="AF563" i="1" s="1"/>
  <c r="AJ562" i="1"/>
  <c r="AF562" i="1" s="1"/>
  <c r="AL561" i="1"/>
  <c r="AK561" i="1"/>
  <c r="AJ561" i="1"/>
  <c r="AF561" i="1" s="1"/>
  <c r="X561" i="1"/>
  <c r="AL560" i="1"/>
  <c r="AK560" i="1"/>
  <c r="AJ560" i="1"/>
  <c r="AF560" i="1" s="1"/>
  <c r="X560" i="1"/>
  <c r="AJ559" i="1"/>
  <c r="AF559" i="1" s="1"/>
  <c r="W559" i="1"/>
  <c r="AJ558" i="1"/>
  <c r="AF558" i="1" s="1"/>
  <c r="AJ557" i="1"/>
  <c r="AF557" i="1" s="1"/>
  <c r="AJ556" i="1"/>
  <c r="AF556" i="1" s="1"/>
  <c r="AJ555" i="1"/>
  <c r="AF555" i="1" s="1"/>
  <c r="W555" i="1"/>
  <c r="X555" i="1" s="1"/>
  <c r="AJ554" i="1"/>
  <c r="AF554" i="1" s="1"/>
  <c r="AJ553" i="1"/>
  <c r="AF553" i="1" s="1"/>
  <c r="AL552" i="1"/>
  <c r="AK552" i="1"/>
  <c r="AJ552" i="1"/>
  <c r="AF552" i="1" s="1"/>
  <c r="X552" i="1"/>
  <c r="AJ551" i="1"/>
  <c r="AF551" i="1" s="1"/>
  <c r="AJ550" i="1"/>
  <c r="AF550" i="1" s="1"/>
  <c r="AJ549" i="1"/>
  <c r="AF549" i="1" s="1"/>
  <c r="W549" i="1"/>
  <c r="AL549" i="1" s="1"/>
  <c r="AJ548" i="1"/>
  <c r="AF548" i="1" s="1"/>
  <c r="W548" i="1"/>
  <c r="X548" i="1" s="1"/>
  <c r="AL547" i="1"/>
  <c r="AK547" i="1"/>
  <c r="AJ547" i="1"/>
  <c r="AF547" i="1" s="1"/>
  <c r="X547" i="1"/>
  <c r="AL546" i="1"/>
  <c r="AK546" i="1"/>
  <c r="AJ546" i="1"/>
  <c r="AF546" i="1" s="1"/>
  <c r="X546" i="1"/>
  <c r="AJ545" i="1"/>
  <c r="AF545" i="1" s="1"/>
  <c r="W545" i="1"/>
  <c r="AK545" i="1" s="1"/>
  <c r="AJ544" i="1"/>
  <c r="AF544" i="1" s="1"/>
  <c r="W544" i="1"/>
  <c r="X544" i="1" s="1"/>
  <c r="AL543" i="1"/>
  <c r="AK543" i="1"/>
  <c r="AJ543" i="1"/>
  <c r="AF543" i="1" s="1"/>
  <c r="X543" i="1"/>
  <c r="AL542" i="1"/>
  <c r="AK542" i="1"/>
  <c r="AJ542" i="1"/>
  <c r="AF542" i="1" s="1"/>
  <c r="X542" i="1"/>
  <c r="AJ541" i="1"/>
  <c r="AF541" i="1" s="1"/>
  <c r="AL540" i="1"/>
  <c r="AK540" i="1"/>
  <c r="AJ540" i="1"/>
  <c r="AF540" i="1" s="1"/>
  <c r="AJ539" i="1"/>
  <c r="AF539" i="1" s="1"/>
  <c r="AJ538" i="1"/>
  <c r="AF538" i="1" s="1"/>
  <c r="W538" i="1"/>
  <c r="X538" i="1" s="1"/>
  <c r="AJ537" i="1"/>
  <c r="AF537" i="1" s="1"/>
  <c r="W537" i="1"/>
  <c r="X537" i="1" s="1"/>
  <c r="AJ536" i="1"/>
  <c r="AF536" i="1" s="1"/>
  <c r="W536" i="1"/>
  <c r="X536" i="1" s="1"/>
  <c r="AJ535" i="1"/>
  <c r="AF535" i="1" s="1"/>
  <c r="AJ534" i="1"/>
  <c r="AF534" i="1" s="1"/>
  <c r="AL533" i="1"/>
  <c r="AK533" i="1"/>
  <c r="AJ533" i="1"/>
  <c r="AF533" i="1" s="1"/>
  <c r="X533" i="1"/>
  <c r="AL532" i="1"/>
  <c r="AK532" i="1"/>
  <c r="AJ532" i="1"/>
  <c r="AF532" i="1" s="1"/>
  <c r="X532" i="1"/>
  <c r="AL531" i="1"/>
  <c r="AK531" i="1"/>
  <c r="AJ531" i="1"/>
  <c r="AF531" i="1" s="1"/>
  <c r="X531" i="1"/>
  <c r="AJ530" i="1"/>
  <c r="AF530" i="1" s="1"/>
  <c r="AJ529" i="1"/>
  <c r="AF529" i="1" s="1"/>
  <c r="AL528" i="1"/>
  <c r="AK528" i="1"/>
  <c r="AJ528" i="1"/>
  <c r="AF528" i="1" s="1"/>
  <c r="X528" i="1"/>
  <c r="AL527" i="1"/>
  <c r="AK527" i="1"/>
  <c r="AJ527" i="1"/>
  <c r="AF527" i="1" s="1"/>
  <c r="X527" i="1"/>
  <c r="AJ526" i="1"/>
  <c r="AF526" i="1" s="1"/>
  <c r="W526" i="1"/>
  <c r="AL526" i="1" s="1"/>
  <c r="AJ525" i="1"/>
  <c r="AF525" i="1" s="1"/>
  <c r="AJ524" i="1"/>
  <c r="AF524" i="1" s="1"/>
  <c r="AL523" i="1"/>
  <c r="AK523" i="1"/>
  <c r="AJ523" i="1"/>
  <c r="AF523" i="1" s="1"/>
  <c r="X523" i="1"/>
  <c r="AL522" i="1"/>
  <c r="AK522" i="1"/>
  <c r="AJ522" i="1"/>
  <c r="AF522" i="1" s="1"/>
  <c r="X522" i="1"/>
  <c r="AJ521" i="1"/>
  <c r="AF521" i="1" s="1"/>
  <c r="AJ520" i="1"/>
  <c r="AF520" i="1" s="1"/>
  <c r="AJ519" i="1"/>
  <c r="AF519" i="1" s="1"/>
  <c r="AJ518" i="1"/>
  <c r="AF518" i="1" s="1"/>
  <c r="W518" i="1"/>
  <c r="AJ517" i="1"/>
  <c r="AF517" i="1" s="1"/>
  <c r="W517" i="1"/>
  <c r="AL517" i="1" s="1"/>
  <c r="AJ516" i="1"/>
  <c r="AF516" i="1" s="1"/>
  <c r="W516" i="1"/>
  <c r="AK516" i="1" s="1"/>
  <c r="AL515" i="1"/>
  <c r="AK515" i="1"/>
  <c r="AJ515" i="1"/>
  <c r="AF515" i="1" s="1"/>
  <c r="X515" i="1"/>
  <c r="AL514" i="1"/>
  <c r="AK514" i="1"/>
  <c r="AJ514" i="1"/>
  <c r="AF514" i="1" s="1"/>
  <c r="X514" i="1"/>
  <c r="AJ513" i="1"/>
  <c r="AF513" i="1" s="1"/>
  <c r="W513" i="1"/>
  <c r="AK513" i="1" s="1"/>
  <c r="AJ512" i="1"/>
  <c r="AF512" i="1" s="1"/>
  <c r="W512" i="1"/>
  <c r="X512" i="1" s="1"/>
  <c r="AL511" i="1"/>
  <c r="AK511" i="1"/>
  <c r="AJ511" i="1"/>
  <c r="AF511" i="1" s="1"/>
  <c r="X511" i="1"/>
  <c r="AL510" i="1"/>
  <c r="AK510" i="1"/>
  <c r="AJ510" i="1"/>
  <c r="AF510" i="1" s="1"/>
  <c r="X510" i="1"/>
  <c r="AL509" i="1"/>
  <c r="AK509" i="1"/>
  <c r="AJ509" i="1"/>
  <c r="AF509" i="1" s="1"/>
  <c r="AJ508" i="1"/>
  <c r="AF508" i="1" s="1"/>
  <c r="AJ507" i="1"/>
  <c r="AF507" i="1" s="1"/>
  <c r="W507" i="1"/>
  <c r="X507" i="1" s="1"/>
  <c r="AJ506" i="1"/>
  <c r="AF506" i="1" s="1"/>
  <c r="AL505" i="1"/>
  <c r="AK505" i="1"/>
  <c r="AJ505" i="1"/>
  <c r="AF505" i="1" s="1"/>
  <c r="X505" i="1"/>
  <c r="AL504" i="1"/>
  <c r="AK504" i="1"/>
  <c r="AJ504" i="1"/>
  <c r="AF504" i="1" s="1"/>
  <c r="X504" i="1"/>
  <c r="AL503" i="1"/>
  <c r="AK503" i="1"/>
  <c r="AJ503" i="1"/>
  <c r="AF503" i="1" s="1"/>
  <c r="X503" i="1"/>
  <c r="AL502" i="1"/>
  <c r="AK502" i="1"/>
  <c r="AJ502" i="1"/>
  <c r="AF502" i="1" s="1"/>
  <c r="X502" i="1"/>
  <c r="AL501" i="1"/>
  <c r="AK501" i="1"/>
  <c r="AJ501" i="1"/>
  <c r="AF501" i="1" s="1"/>
  <c r="X501" i="1"/>
  <c r="AL500" i="1"/>
  <c r="AK500" i="1"/>
  <c r="AJ500" i="1"/>
  <c r="AF500" i="1" s="1"/>
  <c r="X500" i="1"/>
  <c r="AJ499" i="1"/>
  <c r="AF499" i="1" s="1"/>
  <c r="W499" i="1"/>
  <c r="AJ498" i="1"/>
  <c r="AF498" i="1" s="1"/>
  <c r="W498" i="1"/>
  <c r="AL497" i="1"/>
  <c r="AK497" i="1"/>
  <c r="AJ497" i="1"/>
  <c r="AF497" i="1" s="1"/>
  <c r="X497" i="1"/>
  <c r="AL496" i="1"/>
  <c r="AK496" i="1"/>
  <c r="AJ496" i="1"/>
  <c r="AF496" i="1" s="1"/>
  <c r="X496" i="1"/>
  <c r="AL495" i="1"/>
  <c r="AK495" i="1"/>
  <c r="AJ495" i="1"/>
  <c r="AF495" i="1" s="1"/>
  <c r="X495" i="1"/>
  <c r="AJ494" i="1"/>
  <c r="AF494" i="1" s="1"/>
  <c r="W494" i="1"/>
  <c r="AK494" i="1" s="1"/>
  <c r="AJ493" i="1"/>
  <c r="AF493" i="1" s="1"/>
  <c r="AJ492" i="1"/>
  <c r="AF492" i="1" s="1"/>
  <c r="AJ491" i="1"/>
  <c r="AF491" i="1" s="1"/>
  <c r="AJ490" i="1"/>
  <c r="AF490" i="1" s="1"/>
  <c r="AL489" i="1"/>
  <c r="AK489" i="1"/>
  <c r="AJ489" i="1"/>
  <c r="AF489" i="1" s="1"/>
  <c r="X489" i="1"/>
  <c r="AK488" i="1"/>
  <c r="AJ488" i="1"/>
  <c r="AF488" i="1" s="1"/>
  <c r="AJ487" i="1"/>
  <c r="AF487" i="1" s="1"/>
  <c r="AJ486" i="1"/>
  <c r="AF486" i="1" s="1"/>
  <c r="AL485" i="1"/>
  <c r="AK485" i="1"/>
  <c r="AJ485" i="1"/>
  <c r="AF485" i="1" s="1"/>
  <c r="X485" i="1"/>
  <c r="AJ484" i="1"/>
  <c r="AF484" i="1" s="1"/>
  <c r="AJ483" i="1"/>
  <c r="AF483" i="1" s="1"/>
  <c r="W483" i="1"/>
  <c r="AL483" i="1" s="1"/>
  <c r="AL482" i="1"/>
  <c r="AK482" i="1"/>
  <c r="AJ482" i="1"/>
  <c r="AF482" i="1" s="1"/>
  <c r="X482" i="1"/>
  <c r="AL481" i="1"/>
  <c r="AK481" i="1"/>
  <c r="AJ481" i="1"/>
  <c r="AF481" i="1" s="1"/>
  <c r="X481" i="1"/>
  <c r="AJ480" i="1"/>
  <c r="AF480" i="1" s="1"/>
  <c r="AJ479" i="1"/>
  <c r="AF479" i="1" s="1"/>
  <c r="W479" i="1"/>
  <c r="AK479" i="1" s="1"/>
  <c r="AL478" i="1"/>
  <c r="AK478" i="1"/>
  <c r="AJ478" i="1"/>
  <c r="AF478" i="1" s="1"/>
  <c r="AL477" i="1"/>
  <c r="AK477" i="1"/>
  <c r="AJ477" i="1"/>
  <c r="AF477" i="1" s="1"/>
  <c r="X477" i="1"/>
  <c r="AJ476" i="1"/>
  <c r="AF476" i="1" s="1"/>
  <c r="AJ475" i="1"/>
  <c r="AF475" i="1" s="1"/>
  <c r="AJ474" i="1"/>
  <c r="AF474" i="1" s="1"/>
  <c r="AJ473" i="1"/>
  <c r="AF473" i="1" s="1"/>
  <c r="W473" i="1"/>
  <c r="AJ472" i="1"/>
  <c r="AF472" i="1" s="1"/>
  <c r="AL471" i="1"/>
  <c r="AK471" i="1"/>
  <c r="AJ471" i="1"/>
  <c r="AF471" i="1" s="1"/>
  <c r="X471" i="1"/>
  <c r="AL470" i="1"/>
  <c r="AK470" i="1"/>
  <c r="AJ470" i="1"/>
  <c r="AF470" i="1" s="1"/>
  <c r="X470" i="1"/>
  <c r="AL469" i="1"/>
  <c r="AK469" i="1"/>
  <c r="AJ469" i="1"/>
  <c r="AF469" i="1" s="1"/>
  <c r="AL468" i="1"/>
  <c r="AK468" i="1"/>
  <c r="AJ468" i="1"/>
  <c r="AF468" i="1" s="1"/>
  <c r="AL467" i="1"/>
  <c r="AK467" i="1"/>
  <c r="AJ467" i="1"/>
  <c r="AF467" i="1" s="1"/>
  <c r="X467" i="1"/>
  <c r="AL466" i="1"/>
  <c r="AK466" i="1"/>
  <c r="AJ466" i="1"/>
  <c r="AF466" i="1" s="1"/>
  <c r="X466" i="1"/>
  <c r="AJ465" i="1"/>
  <c r="AF465" i="1" s="1"/>
  <c r="W465" i="1"/>
  <c r="AK465" i="1" s="1"/>
  <c r="AJ464" i="1"/>
  <c r="AF464" i="1" s="1"/>
  <c r="W464" i="1"/>
  <c r="AK464" i="1" s="1"/>
  <c r="AJ463" i="1"/>
  <c r="AF463" i="1" s="1"/>
  <c r="W463" i="1"/>
  <c r="AL463" i="1" s="1"/>
  <c r="AL462" i="1"/>
  <c r="AK462" i="1"/>
  <c r="AJ462" i="1"/>
  <c r="AF462" i="1" s="1"/>
  <c r="X462" i="1"/>
  <c r="AJ461" i="1"/>
  <c r="AF461" i="1" s="1"/>
  <c r="AJ460" i="1"/>
  <c r="AF460" i="1" s="1"/>
  <c r="AL459" i="1"/>
  <c r="AK459" i="1"/>
  <c r="AJ459" i="1"/>
  <c r="AF459" i="1" s="1"/>
  <c r="X459" i="1"/>
  <c r="AL458" i="1"/>
  <c r="AK458" i="1"/>
  <c r="AJ458" i="1"/>
  <c r="AF458" i="1" s="1"/>
  <c r="X458" i="1"/>
  <c r="AJ457" i="1"/>
  <c r="AF457" i="1" s="1"/>
  <c r="AL456" i="1"/>
  <c r="AK456" i="1"/>
  <c r="AJ456" i="1"/>
  <c r="AF456" i="1" s="1"/>
  <c r="X456" i="1"/>
  <c r="AJ455" i="1"/>
  <c r="AF455" i="1" s="1"/>
  <c r="AJ454" i="1"/>
  <c r="AF454" i="1" s="1"/>
  <c r="AL453" i="1"/>
  <c r="AK453" i="1"/>
  <c r="AJ453" i="1"/>
  <c r="AF453" i="1" s="1"/>
  <c r="X453" i="1"/>
  <c r="AL452" i="1"/>
  <c r="AK452" i="1"/>
  <c r="AJ452" i="1"/>
  <c r="AF452" i="1" s="1"/>
  <c r="X452" i="1"/>
  <c r="AL451" i="1"/>
  <c r="AK451" i="1"/>
  <c r="AJ451" i="1"/>
  <c r="AF451" i="1" s="1"/>
  <c r="X451" i="1"/>
  <c r="AL450" i="1"/>
  <c r="AK450" i="1"/>
  <c r="AJ450" i="1"/>
  <c r="AF450" i="1" s="1"/>
  <c r="X450" i="1"/>
  <c r="AL449" i="1"/>
  <c r="AK449" i="1"/>
  <c r="AJ449" i="1"/>
  <c r="AF449" i="1" s="1"/>
  <c r="X449" i="1"/>
  <c r="AJ448" i="1"/>
  <c r="AF448" i="1" s="1"/>
  <c r="AJ447" i="1"/>
  <c r="AF447" i="1" s="1"/>
  <c r="AJ446" i="1"/>
  <c r="AF446" i="1" s="1"/>
  <c r="AL445" i="1"/>
  <c r="AK445" i="1"/>
  <c r="AJ445" i="1"/>
  <c r="AF445" i="1" s="1"/>
  <c r="X445" i="1"/>
  <c r="AJ444" i="1"/>
  <c r="AF444" i="1" s="1"/>
  <c r="W444" i="1"/>
  <c r="X444" i="1" s="1"/>
  <c r="AJ443" i="1"/>
  <c r="AF443" i="1" s="1"/>
  <c r="W443" i="1"/>
  <c r="AJ442" i="1"/>
  <c r="AF442" i="1" s="1"/>
  <c r="W442" i="1"/>
  <c r="AJ441" i="1"/>
  <c r="AF441" i="1" s="1"/>
  <c r="AL440" i="1"/>
  <c r="AK440" i="1"/>
  <c r="AJ440" i="1"/>
  <c r="AF440" i="1" s="1"/>
  <c r="X440" i="1"/>
  <c r="AL439" i="1"/>
  <c r="AK439" i="1"/>
  <c r="AJ439" i="1"/>
  <c r="AF439" i="1" s="1"/>
  <c r="X439" i="1"/>
  <c r="AL438" i="1"/>
  <c r="AK438" i="1"/>
  <c r="AJ438" i="1"/>
  <c r="AF438" i="1" s="1"/>
  <c r="X438" i="1"/>
  <c r="AL437" i="1"/>
  <c r="AK437" i="1"/>
  <c r="AJ437" i="1"/>
  <c r="AF437" i="1" s="1"/>
  <c r="X437" i="1"/>
  <c r="AJ436" i="1"/>
  <c r="AF436" i="1" s="1"/>
  <c r="AJ435" i="1"/>
  <c r="AF435" i="1" s="1"/>
  <c r="AL434" i="1"/>
  <c r="AK434" i="1"/>
  <c r="AJ434" i="1"/>
  <c r="AF434" i="1" s="1"/>
  <c r="X434" i="1"/>
  <c r="AJ433" i="1"/>
  <c r="AF433" i="1" s="1"/>
  <c r="AJ432" i="1"/>
  <c r="AF432" i="1" s="1"/>
  <c r="AL431" i="1"/>
  <c r="AK431" i="1"/>
  <c r="AJ431" i="1"/>
  <c r="AF431" i="1" s="1"/>
  <c r="X431" i="1"/>
  <c r="AL430" i="1"/>
  <c r="AK430" i="1"/>
  <c r="AJ430" i="1"/>
  <c r="AF430" i="1" s="1"/>
  <c r="X430" i="1"/>
  <c r="AJ429" i="1"/>
  <c r="AF429" i="1" s="1"/>
  <c r="AJ428" i="1"/>
  <c r="AF428" i="1" s="1"/>
  <c r="W428" i="1"/>
  <c r="AL428" i="1" s="1"/>
  <c r="AL427" i="1"/>
  <c r="AK427" i="1"/>
  <c r="AJ427" i="1"/>
  <c r="AF427" i="1" s="1"/>
  <c r="X427" i="1"/>
  <c r="AL426" i="1"/>
  <c r="AK426" i="1"/>
  <c r="AJ426" i="1"/>
  <c r="AF426" i="1" s="1"/>
  <c r="X426" i="1"/>
  <c r="AL425" i="1"/>
  <c r="AK425" i="1"/>
  <c r="AJ425" i="1"/>
  <c r="AF425" i="1" s="1"/>
  <c r="X425" i="1"/>
  <c r="AJ424" i="1"/>
  <c r="AF424" i="1" s="1"/>
  <c r="AJ423" i="1"/>
  <c r="AF423" i="1" s="1"/>
  <c r="AJ422" i="1"/>
  <c r="AF422" i="1" s="1"/>
  <c r="AJ421" i="1"/>
  <c r="AF421" i="1" s="1"/>
  <c r="AJ420" i="1"/>
  <c r="AF420" i="1" s="1"/>
  <c r="AJ419" i="1"/>
  <c r="AF419" i="1" s="1"/>
  <c r="AL418" i="1"/>
  <c r="AK418" i="1"/>
  <c r="AJ418" i="1"/>
  <c r="AF418" i="1" s="1"/>
  <c r="X418" i="1"/>
  <c r="AL417" i="1"/>
  <c r="AK417" i="1"/>
  <c r="AJ417" i="1"/>
  <c r="AF417" i="1" s="1"/>
  <c r="X417" i="1"/>
  <c r="AJ416" i="1"/>
  <c r="AF416" i="1" s="1"/>
  <c r="AL415" i="1"/>
  <c r="AK415" i="1"/>
  <c r="AJ415" i="1"/>
  <c r="AF415" i="1" s="1"/>
  <c r="X415" i="1"/>
  <c r="AL414" i="1"/>
  <c r="AK414" i="1"/>
  <c r="AJ414" i="1"/>
  <c r="AF414" i="1" s="1"/>
  <c r="X414" i="1"/>
  <c r="AL413" i="1"/>
  <c r="AK413" i="1"/>
  <c r="AJ413" i="1"/>
  <c r="AF413" i="1" s="1"/>
  <c r="X413" i="1"/>
  <c r="AJ412" i="1"/>
  <c r="AF412" i="1" s="1"/>
  <c r="AJ411" i="1"/>
  <c r="AF411" i="1" s="1"/>
  <c r="AJ410" i="1"/>
  <c r="AF410" i="1" s="1"/>
  <c r="AL409" i="1"/>
  <c r="AK409" i="1"/>
  <c r="AJ409" i="1"/>
  <c r="AF409" i="1" s="1"/>
  <c r="X409" i="1"/>
  <c r="AL408" i="1"/>
  <c r="AK408" i="1"/>
  <c r="AJ408" i="1"/>
  <c r="AF408" i="1" s="1"/>
  <c r="X408" i="1"/>
  <c r="AL407" i="1"/>
  <c r="AK407" i="1"/>
  <c r="AJ407" i="1"/>
  <c r="AF407" i="1" s="1"/>
  <c r="X407" i="1"/>
  <c r="AJ406" i="1"/>
  <c r="AF406" i="1" s="1"/>
  <c r="W406" i="1"/>
  <c r="AJ405" i="1"/>
  <c r="AF405" i="1" s="1"/>
  <c r="W405" i="1"/>
  <c r="X405" i="1" s="1"/>
  <c r="AL404" i="1"/>
  <c r="AK404" i="1"/>
  <c r="AJ404" i="1"/>
  <c r="AF404" i="1" s="1"/>
  <c r="X404" i="1"/>
  <c r="AL403" i="1"/>
  <c r="AK403" i="1"/>
  <c r="AJ403" i="1"/>
  <c r="AF403" i="1" s="1"/>
  <c r="X403" i="1"/>
  <c r="AL402" i="1"/>
  <c r="AK402" i="1"/>
  <c r="AJ402" i="1"/>
  <c r="AF402" i="1" s="1"/>
  <c r="X402" i="1"/>
  <c r="AJ401" i="1"/>
  <c r="AF401" i="1" s="1"/>
  <c r="AJ400" i="1"/>
  <c r="AF400" i="1" s="1"/>
  <c r="AL399" i="1"/>
  <c r="AK399" i="1"/>
  <c r="AJ399" i="1"/>
  <c r="AF399" i="1" s="1"/>
  <c r="X399" i="1"/>
  <c r="AL398" i="1"/>
  <c r="AK398" i="1"/>
  <c r="AJ398" i="1"/>
  <c r="AF398" i="1" s="1"/>
  <c r="X398" i="1"/>
  <c r="AJ397" i="1"/>
  <c r="AF397" i="1" s="1"/>
  <c r="AJ396" i="1"/>
  <c r="AF396" i="1" s="1"/>
  <c r="AL395" i="1"/>
  <c r="AK395" i="1"/>
  <c r="AJ395" i="1"/>
  <c r="AF395" i="1" s="1"/>
  <c r="X395" i="1"/>
  <c r="AL394" i="1"/>
  <c r="AK394" i="1"/>
  <c r="AJ394" i="1"/>
  <c r="AF394" i="1" s="1"/>
  <c r="X394" i="1"/>
  <c r="AJ393" i="1"/>
  <c r="AF393" i="1" s="1"/>
  <c r="AL392" i="1"/>
  <c r="AK392" i="1"/>
  <c r="AJ392" i="1"/>
  <c r="AF392" i="1" s="1"/>
  <c r="X392" i="1"/>
  <c r="AJ391" i="1"/>
  <c r="AF391" i="1" s="1"/>
  <c r="AJ390" i="1"/>
  <c r="AF390" i="1" s="1"/>
  <c r="AJ389" i="1"/>
  <c r="AF389" i="1" s="1"/>
  <c r="AL388" i="1"/>
  <c r="AK388" i="1"/>
  <c r="AJ388" i="1"/>
  <c r="AF388" i="1" s="1"/>
  <c r="X388" i="1"/>
  <c r="AL387" i="1"/>
  <c r="AK387" i="1"/>
  <c r="AJ387" i="1"/>
  <c r="AF387" i="1" s="1"/>
  <c r="X387" i="1"/>
  <c r="AL386" i="1"/>
  <c r="AK386" i="1"/>
  <c r="AJ386" i="1"/>
  <c r="AF386" i="1" s="1"/>
  <c r="X386" i="1"/>
  <c r="AL385" i="1"/>
  <c r="AK385" i="1"/>
  <c r="AJ385" i="1"/>
  <c r="AF385" i="1" s="1"/>
  <c r="AG385" i="1"/>
  <c r="X385" i="1"/>
  <c r="AL384" i="1"/>
  <c r="AK384" i="1"/>
  <c r="AJ384" i="1"/>
  <c r="AF384" i="1" s="1"/>
  <c r="X384" i="1"/>
  <c r="AJ383" i="1"/>
  <c r="AF383" i="1" s="1"/>
  <c r="AJ382" i="1"/>
  <c r="AF382" i="1" s="1"/>
  <c r="AJ381" i="1"/>
  <c r="AF381" i="1" s="1"/>
  <c r="W381" i="1"/>
  <c r="AL381" i="1" s="1"/>
  <c r="AJ380" i="1"/>
  <c r="AF380" i="1" s="1"/>
  <c r="AJ379" i="1"/>
  <c r="AF379" i="1" s="1"/>
  <c r="W379" i="1"/>
  <c r="AK379" i="1" s="1"/>
  <c r="AJ378" i="1"/>
  <c r="AF378" i="1" s="1"/>
  <c r="AL377" i="1"/>
  <c r="AK377" i="1"/>
  <c r="AJ377" i="1"/>
  <c r="AF377" i="1" s="1"/>
  <c r="X377" i="1"/>
  <c r="AL376" i="1"/>
  <c r="AK376" i="1"/>
  <c r="AJ376" i="1"/>
  <c r="AF376" i="1" s="1"/>
  <c r="X376" i="1"/>
  <c r="AJ375" i="1"/>
  <c r="AF375" i="1" s="1"/>
  <c r="W375" i="1"/>
  <c r="AL375" i="1" s="1"/>
  <c r="AL374" i="1"/>
  <c r="AK374" i="1"/>
  <c r="AJ374" i="1"/>
  <c r="AF374" i="1" s="1"/>
  <c r="X374" i="1"/>
  <c r="AJ373" i="1"/>
  <c r="AF373" i="1" s="1"/>
  <c r="AL372" i="1"/>
  <c r="AK372" i="1"/>
  <c r="AJ372" i="1"/>
  <c r="AF372" i="1" s="1"/>
  <c r="X372" i="1"/>
  <c r="AJ371" i="1"/>
  <c r="AF371" i="1" s="1"/>
  <c r="AL370" i="1"/>
  <c r="AK370" i="1"/>
  <c r="AJ370" i="1"/>
  <c r="AF370" i="1" s="1"/>
  <c r="X370" i="1"/>
  <c r="AJ369" i="1"/>
  <c r="AF369" i="1" s="1"/>
  <c r="AJ368" i="1"/>
  <c r="AF368" i="1" s="1"/>
  <c r="AL367" i="1"/>
  <c r="AK367" i="1"/>
  <c r="AJ367" i="1"/>
  <c r="AF367" i="1" s="1"/>
  <c r="X367" i="1"/>
  <c r="AJ366" i="1"/>
  <c r="AF366" i="1" s="1"/>
  <c r="AL365" i="1"/>
  <c r="AK365" i="1"/>
  <c r="AJ365" i="1"/>
  <c r="AF365" i="1" s="1"/>
  <c r="X365" i="1"/>
  <c r="AL364" i="1"/>
  <c r="AK364" i="1"/>
  <c r="AJ364" i="1"/>
  <c r="AF364" i="1" s="1"/>
  <c r="X364" i="1"/>
  <c r="AL363" i="1"/>
  <c r="AK363" i="1"/>
  <c r="AJ363" i="1"/>
  <c r="AF363" i="1" s="1"/>
  <c r="X363" i="1"/>
  <c r="AL362" i="1"/>
  <c r="AK362" i="1"/>
  <c r="AJ362" i="1"/>
  <c r="AF362" i="1" s="1"/>
  <c r="X362" i="1"/>
  <c r="AL361" i="1"/>
  <c r="AK361" i="1"/>
  <c r="AJ361" i="1"/>
  <c r="AF361" i="1" s="1"/>
  <c r="X361" i="1"/>
  <c r="AL360" i="1"/>
  <c r="AK360" i="1"/>
  <c r="AJ360" i="1"/>
  <c r="AF360" i="1" s="1"/>
  <c r="X360" i="1"/>
  <c r="AK359" i="1"/>
  <c r="AJ359" i="1"/>
  <c r="AF359" i="1" s="1"/>
  <c r="AJ358" i="1"/>
  <c r="AF358" i="1" s="1"/>
  <c r="W358" i="1"/>
  <c r="AK358" i="1" s="1"/>
  <c r="AL357" i="1"/>
  <c r="AK357" i="1"/>
  <c r="AJ357" i="1"/>
  <c r="AF357" i="1" s="1"/>
  <c r="X357" i="1"/>
  <c r="AJ356" i="1"/>
  <c r="AF356" i="1" s="1"/>
  <c r="W356" i="1"/>
  <c r="X356" i="1" s="1"/>
  <c r="AJ355" i="1"/>
  <c r="AF355" i="1" s="1"/>
  <c r="AJ354" i="1"/>
  <c r="AF354" i="1" s="1"/>
  <c r="AJ353" i="1"/>
  <c r="AF353" i="1" s="1"/>
  <c r="AJ352" i="1"/>
  <c r="AF352" i="1" s="1"/>
  <c r="AJ351" i="1"/>
  <c r="AF351" i="1" s="1"/>
  <c r="AJ350" i="1"/>
  <c r="AF350" i="1" s="1"/>
  <c r="AL349" i="1"/>
  <c r="AK349" i="1"/>
  <c r="AJ349" i="1"/>
  <c r="AF349" i="1" s="1"/>
  <c r="X349" i="1"/>
  <c r="AJ348" i="1"/>
  <c r="AF348" i="1" s="1"/>
  <c r="W348" i="1"/>
  <c r="AK348" i="1" s="1"/>
  <c r="AJ347" i="1"/>
  <c r="AF347" i="1" s="1"/>
  <c r="W347" i="1"/>
  <c r="AL347" i="1" s="1"/>
  <c r="AJ346" i="1"/>
  <c r="AF346" i="1" s="1"/>
  <c r="W346" i="1"/>
  <c r="X346" i="1" s="1"/>
  <c r="AJ345" i="1"/>
  <c r="AF345" i="1" s="1"/>
  <c r="AJ344" i="1"/>
  <c r="AF344" i="1" s="1"/>
  <c r="AJ343" i="1"/>
  <c r="AF343" i="1" s="1"/>
  <c r="AL342" i="1"/>
  <c r="AK342" i="1"/>
  <c r="AJ342" i="1"/>
  <c r="AF342" i="1" s="1"/>
  <c r="X342" i="1"/>
  <c r="AL341" i="1"/>
  <c r="AK341" i="1"/>
  <c r="AJ341" i="1"/>
  <c r="AF341" i="1" s="1"/>
  <c r="X341" i="1"/>
  <c r="AL340" i="1"/>
  <c r="AK340" i="1"/>
  <c r="AJ340" i="1"/>
  <c r="AF340" i="1" s="1"/>
  <c r="X340" i="1"/>
  <c r="AL339" i="1"/>
  <c r="AK339" i="1"/>
  <c r="AJ339" i="1"/>
  <c r="AF339" i="1" s="1"/>
  <c r="X339" i="1"/>
  <c r="AL338" i="1"/>
  <c r="AK338" i="1"/>
  <c r="AJ338" i="1"/>
  <c r="AF338" i="1" s="1"/>
  <c r="X338" i="1"/>
  <c r="AL337" i="1"/>
  <c r="AK337" i="1"/>
  <c r="AJ337" i="1"/>
  <c r="AF337" i="1" s="1"/>
  <c r="X337" i="1"/>
  <c r="AJ336" i="1"/>
  <c r="AF336" i="1" s="1"/>
  <c r="AJ335" i="1"/>
  <c r="AF335" i="1" s="1"/>
  <c r="AL334" i="1"/>
  <c r="AK334" i="1"/>
  <c r="AJ334" i="1"/>
  <c r="AF334" i="1" s="1"/>
  <c r="X334" i="1"/>
  <c r="AL333" i="1"/>
  <c r="AK333" i="1"/>
  <c r="AJ333" i="1"/>
  <c r="AF333" i="1" s="1"/>
  <c r="X333" i="1"/>
  <c r="AL332" i="1"/>
  <c r="AK332" i="1"/>
  <c r="AJ332" i="1"/>
  <c r="AF332" i="1" s="1"/>
  <c r="X332" i="1"/>
  <c r="AL331" i="1"/>
  <c r="AK331" i="1"/>
  <c r="AJ331" i="1"/>
  <c r="AF331" i="1" s="1"/>
  <c r="X331" i="1"/>
  <c r="AJ330" i="1"/>
  <c r="AF330" i="1" s="1"/>
  <c r="AL329" i="1"/>
  <c r="AK329" i="1"/>
  <c r="AJ329" i="1"/>
  <c r="AF329" i="1" s="1"/>
  <c r="X329" i="1"/>
  <c r="AJ328" i="1"/>
  <c r="AF328" i="1" s="1"/>
  <c r="AJ327" i="1"/>
  <c r="AF327" i="1" s="1"/>
  <c r="AL326" i="1"/>
  <c r="AK326" i="1"/>
  <c r="AJ326" i="1"/>
  <c r="AF326" i="1" s="1"/>
  <c r="X326" i="1"/>
  <c r="AL325" i="1"/>
  <c r="AK325" i="1"/>
  <c r="AJ325" i="1"/>
  <c r="AF325" i="1" s="1"/>
  <c r="X325" i="1"/>
  <c r="AJ324" i="1"/>
  <c r="AF324" i="1" s="1"/>
  <c r="AJ323" i="1"/>
  <c r="AF323" i="1" s="1"/>
  <c r="AJ322" i="1"/>
  <c r="AF322" i="1" s="1"/>
  <c r="AL321" i="1"/>
  <c r="AK321" i="1"/>
  <c r="AJ321" i="1"/>
  <c r="AF321" i="1" s="1"/>
  <c r="X321" i="1"/>
  <c r="AJ320" i="1"/>
  <c r="AF320" i="1" s="1"/>
  <c r="AJ319" i="1"/>
  <c r="AF319" i="1" s="1"/>
  <c r="AJ318" i="1"/>
  <c r="AF318" i="1" s="1"/>
  <c r="AJ317" i="1"/>
  <c r="AF317" i="1" s="1"/>
  <c r="AJ316" i="1"/>
  <c r="AF316" i="1" s="1"/>
  <c r="AL315" i="1"/>
  <c r="AK315" i="1"/>
  <c r="AJ315" i="1"/>
  <c r="AF315" i="1" s="1"/>
  <c r="X315" i="1"/>
  <c r="AL314" i="1"/>
  <c r="AK314" i="1"/>
  <c r="AJ314" i="1"/>
  <c r="AF314" i="1" s="1"/>
  <c r="X314" i="1"/>
  <c r="AL313" i="1"/>
  <c r="AK313" i="1"/>
  <c r="AJ313" i="1"/>
  <c r="AF313" i="1" s="1"/>
  <c r="X313" i="1"/>
  <c r="AL312" i="1"/>
  <c r="AK312" i="1"/>
  <c r="AJ312" i="1"/>
  <c r="AF312" i="1" s="1"/>
  <c r="X312" i="1"/>
  <c r="AJ311" i="1"/>
  <c r="AF311" i="1" s="1"/>
  <c r="W311" i="1"/>
  <c r="AK311" i="1" s="1"/>
  <c r="AL310" i="1"/>
  <c r="AK310" i="1"/>
  <c r="AJ310" i="1"/>
  <c r="AF310" i="1" s="1"/>
  <c r="X310" i="1"/>
  <c r="AL309" i="1"/>
  <c r="AK309" i="1"/>
  <c r="AJ309" i="1"/>
  <c r="AF309" i="1" s="1"/>
  <c r="X309" i="1"/>
  <c r="AK308" i="1"/>
  <c r="AJ308" i="1"/>
  <c r="AF308" i="1" s="1"/>
  <c r="AL307" i="1"/>
  <c r="AK307" i="1"/>
  <c r="AJ307" i="1"/>
  <c r="AF307" i="1" s="1"/>
  <c r="X307" i="1"/>
  <c r="AJ306" i="1"/>
  <c r="AF306" i="1" s="1"/>
  <c r="W306" i="1"/>
  <c r="AL306" i="1" s="1"/>
  <c r="AJ305" i="1"/>
  <c r="AF305" i="1" s="1"/>
  <c r="W305" i="1"/>
  <c r="AJ304" i="1"/>
  <c r="AF304" i="1" s="1"/>
  <c r="W304" i="1"/>
  <c r="AL304" i="1" s="1"/>
  <c r="AJ303" i="1"/>
  <c r="AF303" i="1" s="1"/>
  <c r="AJ302" i="1"/>
  <c r="AF302" i="1" s="1"/>
  <c r="AL301" i="1"/>
  <c r="AK301" i="1"/>
  <c r="AJ301" i="1"/>
  <c r="AF301" i="1" s="1"/>
  <c r="X301" i="1"/>
  <c r="AJ300" i="1"/>
  <c r="AF300" i="1" s="1"/>
  <c r="W300" i="1"/>
  <c r="AL300" i="1" s="1"/>
  <c r="AJ299" i="1"/>
  <c r="AF299" i="1" s="1"/>
  <c r="AJ298" i="1"/>
  <c r="AF298" i="1" s="1"/>
  <c r="AL297" i="1"/>
  <c r="AK297" i="1"/>
  <c r="AJ297" i="1"/>
  <c r="AF297" i="1" s="1"/>
  <c r="X297" i="1"/>
  <c r="AL296" i="1"/>
  <c r="AK296" i="1"/>
  <c r="AJ296" i="1"/>
  <c r="AF296" i="1" s="1"/>
  <c r="AL295" i="1"/>
  <c r="AK295" i="1"/>
  <c r="AJ295" i="1"/>
  <c r="AF295" i="1" s="1"/>
  <c r="X295" i="1"/>
  <c r="AL294" i="1"/>
  <c r="AK294" i="1"/>
  <c r="AJ294" i="1"/>
  <c r="AF294" i="1" s="1"/>
  <c r="AJ293" i="1"/>
  <c r="AF293" i="1" s="1"/>
  <c r="W293" i="1"/>
  <c r="AJ292" i="1"/>
  <c r="AF292" i="1" s="1"/>
  <c r="W292" i="1"/>
  <c r="AL292" i="1" s="1"/>
  <c r="AJ291" i="1"/>
  <c r="AF291" i="1" s="1"/>
  <c r="AJ290" i="1"/>
  <c r="AF290" i="1" s="1"/>
  <c r="W290" i="1"/>
  <c r="AK290" i="1" s="1"/>
  <c r="AJ289" i="1"/>
  <c r="AF289" i="1" s="1"/>
  <c r="AL288" i="1"/>
  <c r="AK288" i="1"/>
  <c r="AJ288" i="1"/>
  <c r="AF288" i="1" s="1"/>
  <c r="X288" i="1"/>
  <c r="AJ287" i="1"/>
  <c r="AF287" i="1" s="1"/>
  <c r="AJ286" i="1"/>
  <c r="AF286" i="1" s="1"/>
  <c r="AJ285" i="1"/>
  <c r="AF285" i="1" s="1"/>
  <c r="AJ284" i="1"/>
  <c r="AF284" i="1" s="1"/>
  <c r="W284" i="1"/>
  <c r="X284" i="1" s="1"/>
  <c r="AJ283" i="1"/>
  <c r="AF283" i="1" s="1"/>
  <c r="AJ282" i="1"/>
  <c r="AF282" i="1" s="1"/>
  <c r="AJ281" i="1"/>
  <c r="AF281" i="1" s="1"/>
  <c r="AL280" i="1"/>
  <c r="AK280" i="1"/>
  <c r="AJ280" i="1"/>
  <c r="AF280" i="1" s="1"/>
  <c r="X280" i="1"/>
  <c r="AJ279" i="1"/>
  <c r="AF279" i="1" s="1"/>
  <c r="AJ278" i="1"/>
  <c r="AF278" i="1" s="1"/>
  <c r="W278" i="1"/>
  <c r="AK278" i="1" s="1"/>
  <c r="AL277" i="1"/>
  <c r="AK277" i="1"/>
  <c r="AJ277" i="1"/>
  <c r="AF277" i="1" s="1"/>
  <c r="X277" i="1"/>
  <c r="AL276" i="1"/>
  <c r="AK276" i="1"/>
  <c r="AJ276" i="1"/>
  <c r="AF276" i="1" s="1"/>
  <c r="X276" i="1"/>
  <c r="AJ275" i="1"/>
  <c r="AF275" i="1" s="1"/>
  <c r="W275" i="1"/>
  <c r="AL275" i="1" s="1"/>
  <c r="AJ274" i="1"/>
  <c r="AF274" i="1" s="1"/>
  <c r="W274" i="1"/>
  <c r="AL274" i="1" s="1"/>
  <c r="AJ273" i="1"/>
  <c r="AF273" i="1" s="1"/>
  <c r="W273" i="1"/>
  <c r="AL273" i="1" s="1"/>
  <c r="AJ272" i="1"/>
  <c r="AF272" i="1" s="1"/>
  <c r="W272" i="1"/>
  <c r="AL272" i="1" s="1"/>
  <c r="AJ271" i="1"/>
  <c r="AF271" i="1" s="1"/>
  <c r="W271" i="1"/>
  <c r="AJ270" i="1"/>
  <c r="AF270" i="1" s="1"/>
  <c r="W270" i="1"/>
  <c r="X270" i="1" s="1"/>
  <c r="AL269" i="1"/>
  <c r="AK269" i="1"/>
  <c r="AJ269" i="1"/>
  <c r="AF269" i="1" s="1"/>
  <c r="X269" i="1"/>
  <c r="AL268" i="1"/>
  <c r="AK268" i="1"/>
  <c r="AJ268" i="1"/>
  <c r="AF268" i="1" s="1"/>
  <c r="X268" i="1"/>
  <c r="AL267" i="1"/>
  <c r="AK267" i="1"/>
  <c r="AJ267" i="1"/>
  <c r="AF267" i="1" s="1"/>
  <c r="X267" i="1"/>
  <c r="AL266" i="1"/>
  <c r="AK266" i="1"/>
  <c r="AJ266" i="1"/>
  <c r="AF266" i="1" s="1"/>
  <c r="X266" i="1"/>
  <c r="AJ265" i="1"/>
  <c r="AF265" i="1" s="1"/>
  <c r="W265" i="1"/>
  <c r="AK265" i="1" s="1"/>
  <c r="AJ264" i="1"/>
  <c r="AF264" i="1" s="1"/>
  <c r="W264" i="1"/>
  <c r="AJ263" i="1"/>
  <c r="AF263" i="1" s="1"/>
  <c r="AJ262" i="1"/>
  <c r="AF262" i="1" s="1"/>
  <c r="AL261" i="1"/>
  <c r="AK261" i="1"/>
  <c r="AJ261" i="1"/>
  <c r="AF261" i="1" s="1"/>
  <c r="X261" i="1"/>
  <c r="AJ260" i="1"/>
  <c r="AF260" i="1" s="1"/>
  <c r="AJ259" i="1"/>
  <c r="AF259" i="1" s="1"/>
  <c r="AJ258" i="1"/>
  <c r="AF258" i="1" s="1"/>
  <c r="W258" i="1"/>
  <c r="AL257" i="1"/>
  <c r="AK257" i="1"/>
  <c r="AJ257" i="1"/>
  <c r="AF257" i="1" s="1"/>
  <c r="X257" i="1"/>
  <c r="AL256" i="1"/>
  <c r="AK256" i="1"/>
  <c r="AJ256" i="1"/>
  <c r="AF256" i="1" s="1"/>
  <c r="X256" i="1"/>
  <c r="AL255" i="1"/>
  <c r="AK255" i="1"/>
  <c r="AJ255" i="1"/>
  <c r="AF255" i="1" s="1"/>
  <c r="X255" i="1"/>
  <c r="AL254" i="1"/>
  <c r="AK254" i="1"/>
  <c r="AJ254" i="1"/>
  <c r="AF254" i="1" s="1"/>
  <c r="X254" i="1"/>
  <c r="AL253" i="1"/>
  <c r="AK253" i="1"/>
  <c r="AJ253" i="1"/>
  <c r="AF253" i="1" s="1"/>
  <c r="X253" i="1"/>
  <c r="AL252" i="1"/>
  <c r="AK252" i="1"/>
  <c r="AJ252" i="1"/>
  <c r="AF252" i="1" s="1"/>
  <c r="X252" i="1"/>
  <c r="AL251" i="1"/>
  <c r="AK251" i="1"/>
  <c r="AJ251" i="1"/>
  <c r="AF251" i="1" s="1"/>
  <c r="X251" i="1"/>
  <c r="AL250" i="1"/>
  <c r="AK250" i="1"/>
  <c r="AJ250" i="1"/>
  <c r="AF250" i="1" s="1"/>
  <c r="X250" i="1"/>
  <c r="AL249" i="1"/>
  <c r="AK249" i="1"/>
  <c r="AJ249" i="1"/>
  <c r="AF249" i="1" s="1"/>
  <c r="X249" i="1"/>
  <c r="AL248" i="1"/>
  <c r="AK248" i="1"/>
  <c r="AJ248" i="1"/>
  <c r="AF248" i="1" s="1"/>
  <c r="X248" i="1"/>
  <c r="AL247" i="1"/>
  <c r="AK247" i="1"/>
  <c r="AJ247" i="1"/>
  <c r="AF247" i="1" s="1"/>
  <c r="X247" i="1"/>
  <c r="AL246" i="1"/>
  <c r="AK246" i="1"/>
  <c r="AJ246" i="1"/>
  <c r="AF246" i="1" s="1"/>
  <c r="X246" i="1"/>
  <c r="AJ245" i="1"/>
  <c r="AF245" i="1" s="1"/>
  <c r="W245" i="1"/>
  <c r="AL245" i="1" s="1"/>
  <c r="AK244" i="1"/>
  <c r="AJ244" i="1"/>
  <c r="AF244" i="1" s="1"/>
  <c r="AL243" i="1"/>
  <c r="AK243" i="1"/>
  <c r="AJ243" i="1"/>
  <c r="AF243" i="1" s="1"/>
  <c r="X243" i="1"/>
  <c r="AL242" i="1"/>
  <c r="AK242" i="1"/>
  <c r="AJ242" i="1"/>
  <c r="AF242" i="1" s="1"/>
  <c r="X242" i="1"/>
  <c r="AL241" i="1"/>
  <c r="AK241" i="1"/>
  <c r="AJ241" i="1"/>
  <c r="AF241" i="1" s="1"/>
  <c r="X241" i="1"/>
  <c r="AL240" i="1"/>
  <c r="AK240" i="1"/>
  <c r="AJ240" i="1"/>
  <c r="AF240" i="1" s="1"/>
  <c r="X240" i="1"/>
  <c r="AL239" i="1"/>
  <c r="AK239" i="1"/>
  <c r="AJ239" i="1"/>
  <c r="AF239" i="1" s="1"/>
  <c r="X239" i="1"/>
  <c r="AL238" i="1"/>
  <c r="AK238" i="1"/>
  <c r="AJ238" i="1"/>
  <c r="AF238" i="1" s="1"/>
  <c r="X238" i="1"/>
  <c r="AL237" i="1"/>
  <c r="AK237" i="1"/>
  <c r="AJ237" i="1"/>
  <c r="AF237" i="1" s="1"/>
  <c r="X237" i="1"/>
  <c r="AL236" i="1"/>
  <c r="AK236" i="1"/>
  <c r="AJ236" i="1"/>
  <c r="AF236" i="1" s="1"/>
  <c r="X236" i="1"/>
  <c r="AJ235" i="1"/>
  <c r="AF235" i="1" s="1"/>
  <c r="AJ234" i="1"/>
  <c r="AF234" i="1" s="1"/>
  <c r="AL233" i="1"/>
  <c r="AK233" i="1"/>
  <c r="AJ233" i="1"/>
  <c r="AF233" i="1" s="1"/>
  <c r="X233" i="1"/>
  <c r="AJ232" i="1"/>
  <c r="AF232" i="1" s="1"/>
  <c r="W232" i="1"/>
  <c r="X232" i="1" s="1"/>
  <c r="AJ231" i="1"/>
  <c r="AF231" i="1" s="1"/>
  <c r="W231" i="1"/>
  <c r="AL231" i="1" s="1"/>
  <c r="AJ230" i="1"/>
  <c r="AF230" i="1" s="1"/>
  <c r="W230" i="1"/>
  <c r="AL230" i="1" s="1"/>
  <c r="AJ229" i="1"/>
  <c r="AF229" i="1" s="1"/>
  <c r="W229" i="1"/>
  <c r="AJ228" i="1"/>
  <c r="AF228" i="1" s="1"/>
  <c r="W228" i="1"/>
  <c r="AJ227" i="1"/>
  <c r="AF227" i="1" s="1"/>
  <c r="AJ226" i="1"/>
  <c r="AF226" i="1" s="1"/>
  <c r="AJ225" i="1"/>
  <c r="AF225" i="1" s="1"/>
  <c r="W225" i="1"/>
  <c r="AK225" i="1" s="1"/>
  <c r="AL224" i="1"/>
  <c r="AK224" i="1"/>
  <c r="AJ224" i="1"/>
  <c r="AF224" i="1" s="1"/>
  <c r="X224" i="1"/>
  <c r="AL223" i="1"/>
  <c r="AK223" i="1"/>
  <c r="AJ223" i="1"/>
  <c r="AF223" i="1" s="1"/>
  <c r="X223" i="1"/>
  <c r="AL222" i="1"/>
  <c r="AK222" i="1"/>
  <c r="AJ222" i="1"/>
  <c r="AF222" i="1" s="1"/>
  <c r="X222" i="1"/>
  <c r="AL221" i="1"/>
  <c r="AK221" i="1"/>
  <c r="AJ221" i="1"/>
  <c r="AF221" i="1" s="1"/>
  <c r="X221" i="1"/>
  <c r="AJ220" i="1"/>
  <c r="AF220" i="1" s="1"/>
  <c r="W220" i="1"/>
  <c r="AL219" i="1"/>
  <c r="AK219" i="1"/>
  <c r="AJ219" i="1"/>
  <c r="AF219" i="1" s="1"/>
  <c r="X219" i="1"/>
  <c r="AL218" i="1"/>
  <c r="AK218" i="1"/>
  <c r="AJ218" i="1"/>
  <c r="AF218" i="1" s="1"/>
  <c r="X218" i="1"/>
  <c r="AL217" i="1"/>
  <c r="AK217" i="1"/>
  <c r="AJ217" i="1"/>
  <c r="AF217" i="1" s="1"/>
  <c r="X217" i="1"/>
  <c r="AL216" i="1"/>
  <c r="AK216" i="1"/>
  <c r="AJ216" i="1"/>
  <c r="AF216" i="1" s="1"/>
  <c r="X216" i="1"/>
  <c r="AJ215" i="1"/>
  <c r="AF215" i="1" s="1"/>
  <c r="AL214" i="1"/>
  <c r="AK214" i="1"/>
  <c r="AJ214" i="1"/>
  <c r="AF214" i="1" s="1"/>
  <c r="AL213" i="1"/>
  <c r="AK213" i="1"/>
  <c r="AJ213" i="1"/>
  <c r="AF213" i="1" s="1"/>
  <c r="AL212" i="1"/>
  <c r="AK212" i="1"/>
  <c r="AJ212" i="1"/>
  <c r="AF212" i="1" s="1"/>
  <c r="X212" i="1"/>
  <c r="AJ211" i="1"/>
  <c r="AF211" i="1" s="1"/>
  <c r="AJ210" i="1"/>
  <c r="AF210" i="1" s="1"/>
  <c r="AJ209" i="1"/>
  <c r="AF209" i="1" s="1"/>
  <c r="W209" i="1"/>
  <c r="AL209" i="1" s="1"/>
  <c r="AJ208" i="1"/>
  <c r="AF208" i="1" s="1"/>
  <c r="W208" i="1"/>
  <c r="AL208" i="1" s="1"/>
  <c r="AJ207" i="1"/>
  <c r="AF207" i="1" s="1"/>
  <c r="W207" i="1"/>
  <c r="AL207" i="1" s="1"/>
  <c r="AJ206" i="1"/>
  <c r="AF206" i="1" s="1"/>
  <c r="W206" i="1"/>
  <c r="AK206" i="1" s="1"/>
  <c r="AJ205" i="1"/>
  <c r="AF205" i="1" s="1"/>
  <c r="AL204" i="1"/>
  <c r="AK204" i="1"/>
  <c r="AJ204" i="1"/>
  <c r="AF204" i="1" s="1"/>
  <c r="X204" i="1"/>
  <c r="AL203" i="1"/>
  <c r="AK203" i="1"/>
  <c r="AJ203" i="1"/>
  <c r="AF203" i="1" s="1"/>
  <c r="X203" i="1"/>
  <c r="AJ202" i="1"/>
  <c r="AF202" i="1" s="1"/>
  <c r="W202" i="1"/>
  <c r="AL202" i="1" s="1"/>
  <c r="AJ201" i="1"/>
  <c r="AF201" i="1" s="1"/>
  <c r="AJ200" i="1"/>
  <c r="AF200" i="1" s="1"/>
  <c r="AL199" i="1"/>
  <c r="AK199" i="1"/>
  <c r="AJ199" i="1"/>
  <c r="AF199" i="1" s="1"/>
  <c r="X199" i="1"/>
  <c r="AL198" i="1"/>
  <c r="AK198" i="1"/>
  <c r="AJ198" i="1"/>
  <c r="AF198" i="1" s="1"/>
  <c r="X198" i="1"/>
  <c r="AJ197" i="1"/>
  <c r="AF197" i="1" s="1"/>
  <c r="AJ196" i="1"/>
  <c r="AF196" i="1" s="1"/>
  <c r="W196" i="1"/>
  <c r="X196" i="1" s="1"/>
  <c r="AJ195" i="1"/>
  <c r="AF195" i="1" s="1"/>
  <c r="W195" i="1"/>
  <c r="AL195" i="1" s="1"/>
  <c r="AL194" i="1"/>
  <c r="AK194" i="1"/>
  <c r="AJ194" i="1"/>
  <c r="AF194" i="1" s="1"/>
  <c r="X194" i="1"/>
  <c r="AL193" i="1"/>
  <c r="AK193" i="1"/>
  <c r="AJ193" i="1"/>
  <c r="AF193" i="1" s="1"/>
  <c r="X193" i="1"/>
  <c r="AL192" i="1"/>
  <c r="AK192" i="1"/>
  <c r="AJ192" i="1"/>
  <c r="AF192" i="1" s="1"/>
  <c r="X192" i="1"/>
  <c r="AL191" i="1"/>
  <c r="AK191" i="1"/>
  <c r="AJ191" i="1"/>
  <c r="AF191" i="1" s="1"/>
  <c r="X191" i="1"/>
  <c r="AL190" i="1"/>
  <c r="AK190" i="1"/>
  <c r="AJ190" i="1"/>
  <c r="AF190" i="1" s="1"/>
  <c r="AG190" i="1"/>
  <c r="X190" i="1"/>
  <c r="AJ189" i="1"/>
  <c r="AF189" i="1" s="1"/>
  <c r="W189" i="1"/>
  <c r="AJ188" i="1"/>
  <c r="AF188" i="1" s="1"/>
  <c r="W188" i="1"/>
  <c r="AL188" i="1" s="1"/>
  <c r="AL187" i="1"/>
  <c r="AK187" i="1"/>
  <c r="AJ187" i="1"/>
  <c r="AF187" i="1" s="1"/>
  <c r="AJ186" i="1"/>
  <c r="AF186" i="1" s="1"/>
  <c r="W186" i="1"/>
  <c r="AK186" i="1" s="1"/>
  <c r="AJ185" i="1"/>
  <c r="AF185" i="1" s="1"/>
  <c r="W185" i="1"/>
  <c r="AK185" i="1" s="1"/>
  <c r="AJ184" i="1"/>
  <c r="AF184" i="1" s="1"/>
  <c r="W184" i="1"/>
  <c r="AL184" i="1" s="1"/>
  <c r="AL183" i="1"/>
  <c r="AK183" i="1"/>
  <c r="AJ183" i="1"/>
  <c r="AF183" i="1" s="1"/>
  <c r="X183" i="1"/>
  <c r="AL182" i="1"/>
  <c r="AK182" i="1"/>
  <c r="AJ182" i="1"/>
  <c r="AF182" i="1" s="1"/>
  <c r="AL181" i="1"/>
  <c r="AK181" i="1"/>
  <c r="AJ181" i="1"/>
  <c r="AF181" i="1" s="1"/>
  <c r="X181" i="1"/>
  <c r="AL180" i="1"/>
  <c r="AK180" i="1"/>
  <c r="AJ180" i="1"/>
  <c r="AF180" i="1" s="1"/>
  <c r="AJ179" i="1"/>
  <c r="AF179" i="1" s="1"/>
  <c r="AJ178" i="1"/>
  <c r="AF178" i="1" s="1"/>
  <c r="AL177" i="1"/>
  <c r="AK177" i="1"/>
  <c r="AJ177" i="1"/>
  <c r="AF177" i="1" s="1"/>
  <c r="X177" i="1"/>
  <c r="AL176" i="1"/>
  <c r="AK176" i="1"/>
  <c r="AJ176" i="1"/>
  <c r="AF176" i="1" s="1"/>
  <c r="X176" i="1"/>
  <c r="AL175" i="1"/>
  <c r="AK175" i="1"/>
  <c r="AJ175" i="1"/>
  <c r="AF175" i="1" s="1"/>
  <c r="X175" i="1"/>
  <c r="AJ174" i="1"/>
  <c r="AF174" i="1" s="1"/>
  <c r="AJ173" i="1"/>
  <c r="AF173" i="1" s="1"/>
  <c r="AL172" i="1"/>
  <c r="AK172" i="1"/>
  <c r="AJ172" i="1"/>
  <c r="AF172" i="1" s="1"/>
  <c r="X172" i="1"/>
  <c r="AJ171" i="1"/>
  <c r="AF171" i="1" s="1"/>
  <c r="AJ170" i="1"/>
  <c r="AF170" i="1" s="1"/>
  <c r="AL169" i="1"/>
  <c r="AK169" i="1"/>
  <c r="AJ169" i="1"/>
  <c r="AF169" i="1" s="1"/>
  <c r="X169" i="1"/>
  <c r="AL168" i="1"/>
  <c r="AK168" i="1"/>
  <c r="AJ168" i="1"/>
  <c r="AF168" i="1" s="1"/>
  <c r="X168" i="1"/>
  <c r="AL167" i="1"/>
  <c r="AK167" i="1"/>
  <c r="AJ167" i="1"/>
  <c r="AF167" i="1" s="1"/>
  <c r="X167" i="1"/>
  <c r="AL166" i="1"/>
  <c r="AK166" i="1"/>
  <c r="AJ166" i="1"/>
  <c r="AF166" i="1" s="1"/>
  <c r="X166" i="1"/>
  <c r="AL165" i="1"/>
  <c r="AK165" i="1"/>
  <c r="AJ165" i="1"/>
  <c r="AF165" i="1" s="1"/>
  <c r="X165" i="1"/>
  <c r="AL164" i="1"/>
  <c r="AK164" i="1"/>
  <c r="AJ164" i="1"/>
  <c r="AF164" i="1" s="1"/>
  <c r="X164" i="1"/>
  <c r="AJ163" i="1"/>
  <c r="AF163" i="1" s="1"/>
  <c r="AJ162" i="1"/>
  <c r="AF162" i="1" s="1"/>
  <c r="AL161" i="1"/>
  <c r="AK161" i="1"/>
  <c r="AJ161" i="1"/>
  <c r="AF161" i="1" s="1"/>
  <c r="X161" i="1"/>
  <c r="AJ160" i="1"/>
  <c r="AF160" i="1" s="1"/>
  <c r="AL159" i="1"/>
  <c r="AK159" i="1"/>
  <c r="AJ159" i="1"/>
  <c r="AF159" i="1" s="1"/>
  <c r="X159" i="1"/>
  <c r="AL158" i="1"/>
  <c r="AK158" i="1"/>
  <c r="AJ158" i="1"/>
  <c r="AF158" i="1" s="1"/>
  <c r="X158" i="1"/>
  <c r="AL157" i="1"/>
  <c r="AK157" i="1"/>
  <c r="AJ157" i="1"/>
  <c r="AF157" i="1" s="1"/>
  <c r="X157" i="1"/>
  <c r="AJ156" i="1"/>
  <c r="AF156" i="1" s="1"/>
  <c r="W156" i="1"/>
  <c r="AL156" i="1" s="1"/>
  <c r="U156" i="1"/>
  <c r="V156" i="1" s="1"/>
  <c r="AJ155" i="1"/>
  <c r="AF155" i="1" s="1"/>
  <c r="W155" i="1"/>
  <c r="X155" i="1" s="1"/>
  <c r="U155" i="1"/>
  <c r="V155" i="1" s="1"/>
  <c r="AJ154" i="1"/>
  <c r="AF154" i="1" s="1"/>
  <c r="AK153" i="1"/>
  <c r="AJ153" i="1"/>
  <c r="AF153" i="1" s="1"/>
  <c r="AL152" i="1"/>
  <c r="AK152" i="1"/>
  <c r="AJ152" i="1"/>
  <c r="AF152" i="1" s="1"/>
  <c r="AL151" i="1"/>
  <c r="AK151" i="1"/>
  <c r="AJ151" i="1"/>
  <c r="AF151" i="1" s="1"/>
  <c r="AJ150" i="1"/>
  <c r="AF150" i="1" s="1"/>
  <c r="W150" i="1"/>
  <c r="AL150" i="1" s="1"/>
  <c r="AJ149" i="1"/>
  <c r="AF149" i="1" s="1"/>
  <c r="AL148" i="1"/>
  <c r="AK148" i="1"/>
  <c r="AJ148" i="1"/>
  <c r="AF148" i="1" s="1"/>
  <c r="X148" i="1"/>
  <c r="AJ147" i="1"/>
  <c r="AF147" i="1" s="1"/>
  <c r="AJ146" i="1"/>
  <c r="AF146" i="1" s="1"/>
  <c r="AJ145" i="1"/>
  <c r="AF145" i="1" s="1"/>
  <c r="AJ144" i="1"/>
  <c r="AF144" i="1" s="1"/>
  <c r="AL143" i="1"/>
  <c r="AK143" i="1"/>
  <c r="AJ143" i="1"/>
  <c r="AF143" i="1" s="1"/>
  <c r="X143" i="1"/>
  <c r="AL142" i="1"/>
  <c r="AK142" i="1"/>
  <c r="AJ142" i="1"/>
  <c r="AF142" i="1" s="1"/>
  <c r="X142" i="1"/>
  <c r="AJ141" i="1"/>
  <c r="AF141" i="1" s="1"/>
  <c r="AJ140" i="1"/>
  <c r="AF140" i="1" s="1"/>
  <c r="W140" i="1"/>
  <c r="AJ139" i="1"/>
  <c r="AF139" i="1" s="1"/>
  <c r="W139" i="1"/>
  <c r="AJ138" i="1"/>
  <c r="AF138" i="1" s="1"/>
  <c r="AL137" i="1"/>
  <c r="AK137" i="1"/>
  <c r="AJ137" i="1"/>
  <c r="AF137" i="1" s="1"/>
  <c r="X137" i="1"/>
  <c r="AJ136" i="1"/>
  <c r="AF136" i="1" s="1"/>
  <c r="W136" i="1"/>
  <c r="AL136" i="1" s="1"/>
  <c r="AJ135" i="1"/>
  <c r="AF135" i="1" s="1"/>
  <c r="AL134" i="1"/>
  <c r="AK134" i="1"/>
  <c r="AJ134" i="1"/>
  <c r="AF134" i="1" s="1"/>
  <c r="X134" i="1"/>
  <c r="AL133" i="1"/>
  <c r="AK133" i="1"/>
  <c r="AJ133" i="1"/>
  <c r="AF133" i="1" s="1"/>
  <c r="X133" i="1"/>
  <c r="AL132" i="1"/>
  <c r="AK132" i="1"/>
  <c r="AJ132" i="1"/>
  <c r="AF132" i="1" s="1"/>
  <c r="X132" i="1"/>
  <c r="AJ131" i="1"/>
  <c r="AF131" i="1" s="1"/>
  <c r="W131" i="1"/>
  <c r="AL131" i="1" s="1"/>
  <c r="AL130" i="1"/>
  <c r="AK130" i="1"/>
  <c r="AJ130" i="1"/>
  <c r="AF130" i="1" s="1"/>
  <c r="X130" i="1"/>
  <c r="AL129" i="1"/>
  <c r="AK129" i="1"/>
  <c r="AJ129" i="1"/>
  <c r="AF129" i="1" s="1"/>
  <c r="X129" i="1"/>
  <c r="AL128" i="1"/>
  <c r="AK128" i="1"/>
  <c r="AJ128" i="1"/>
  <c r="AF128" i="1" s="1"/>
  <c r="X128" i="1"/>
  <c r="AL127" i="1"/>
  <c r="AK127" i="1"/>
  <c r="AJ127" i="1"/>
  <c r="AF127" i="1" s="1"/>
  <c r="X127" i="1"/>
  <c r="AJ126" i="1"/>
  <c r="AF126" i="1" s="1"/>
  <c r="AJ125" i="1"/>
  <c r="AF125" i="1" s="1"/>
  <c r="AL124" i="1"/>
  <c r="AK124" i="1"/>
  <c r="AJ124" i="1"/>
  <c r="AF124" i="1" s="1"/>
  <c r="X124" i="1"/>
  <c r="AL123" i="1"/>
  <c r="AK123" i="1"/>
  <c r="AJ123" i="1"/>
  <c r="AF123" i="1" s="1"/>
  <c r="X123" i="1"/>
  <c r="AL122" i="1"/>
  <c r="AK122" i="1"/>
  <c r="AJ122" i="1"/>
  <c r="AF122" i="1" s="1"/>
  <c r="X122" i="1"/>
  <c r="AJ121" i="1"/>
  <c r="AF121" i="1" s="1"/>
  <c r="AL120" i="1"/>
  <c r="AK120" i="1"/>
  <c r="AJ120" i="1"/>
  <c r="AF120" i="1" s="1"/>
  <c r="X120" i="1"/>
  <c r="AL119" i="1"/>
  <c r="AK119" i="1"/>
  <c r="AJ119" i="1"/>
  <c r="AF119" i="1" s="1"/>
  <c r="X119" i="1"/>
  <c r="AJ118" i="1"/>
  <c r="AF118" i="1" s="1"/>
  <c r="AL117" i="1"/>
  <c r="AK117" i="1"/>
  <c r="AJ117" i="1"/>
  <c r="AF117" i="1" s="1"/>
  <c r="X117" i="1"/>
  <c r="AJ116" i="1"/>
  <c r="AF116" i="1" s="1"/>
  <c r="W116" i="1"/>
  <c r="AL115" i="1"/>
  <c r="AK115" i="1"/>
  <c r="AJ115" i="1"/>
  <c r="AF115" i="1" s="1"/>
  <c r="X115" i="1"/>
  <c r="AJ114" i="1"/>
  <c r="AF114" i="1" s="1"/>
  <c r="AJ113" i="1"/>
  <c r="AF113" i="1" s="1"/>
  <c r="AJ112" i="1"/>
  <c r="AF112" i="1" s="1"/>
  <c r="W112" i="1"/>
  <c r="AL112" i="1" s="1"/>
  <c r="AJ111" i="1"/>
  <c r="AF111" i="1" s="1"/>
  <c r="W111" i="1"/>
  <c r="AJ110" i="1"/>
  <c r="AF110" i="1" s="1"/>
  <c r="AJ109" i="1"/>
  <c r="AF109" i="1" s="1"/>
  <c r="AL108" i="1"/>
  <c r="AK108" i="1"/>
  <c r="AJ108" i="1"/>
  <c r="AF108" i="1" s="1"/>
  <c r="X108" i="1"/>
  <c r="AL107" i="1"/>
  <c r="AK107" i="1"/>
  <c r="AJ107" i="1"/>
  <c r="AF107" i="1" s="1"/>
  <c r="X107" i="1"/>
  <c r="AL106" i="1"/>
  <c r="AK106" i="1"/>
  <c r="AJ106" i="1"/>
  <c r="AF106" i="1" s="1"/>
  <c r="X106" i="1"/>
  <c r="AL105" i="1"/>
  <c r="AK105" i="1"/>
  <c r="AJ105" i="1"/>
  <c r="AF105" i="1" s="1"/>
  <c r="X105" i="1"/>
  <c r="AL104" i="1"/>
  <c r="AK104" i="1"/>
  <c r="AJ104" i="1"/>
  <c r="AF104" i="1" s="1"/>
  <c r="X104" i="1"/>
  <c r="AL103" i="1"/>
  <c r="AK103" i="1"/>
  <c r="AJ103" i="1"/>
  <c r="AF103" i="1" s="1"/>
  <c r="X103" i="1"/>
  <c r="AL102" i="1"/>
  <c r="AK102" i="1"/>
  <c r="AJ102" i="1"/>
  <c r="AF102" i="1" s="1"/>
  <c r="X102" i="1"/>
  <c r="AL101" i="1"/>
  <c r="AK101" i="1"/>
  <c r="AJ101" i="1"/>
  <c r="AF101" i="1" s="1"/>
  <c r="X101" i="1"/>
  <c r="AJ100" i="1"/>
  <c r="AF100" i="1" s="1"/>
  <c r="AL99" i="1"/>
  <c r="AK99" i="1"/>
  <c r="AJ99" i="1"/>
  <c r="AF99" i="1" s="1"/>
  <c r="X99" i="1"/>
  <c r="AJ98" i="1"/>
  <c r="AF98" i="1" s="1"/>
  <c r="W98" i="1"/>
  <c r="AL98" i="1" s="1"/>
  <c r="AJ97" i="1"/>
  <c r="AF97" i="1" s="1"/>
  <c r="W97" i="1"/>
  <c r="AK97" i="1" s="1"/>
  <c r="AJ96" i="1"/>
  <c r="AF96" i="1" s="1"/>
  <c r="AJ95" i="1"/>
  <c r="AF95" i="1" s="1"/>
  <c r="AJ94" i="1"/>
  <c r="AF94" i="1" s="1"/>
  <c r="AJ93" i="1"/>
  <c r="AF93" i="1" s="1"/>
  <c r="AJ92" i="1"/>
  <c r="AF92" i="1" s="1"/>
  <c r="W92" i="1"/>
  <c r="X92" i="1" s="1"/>
  <c r="AJ91" i="1"/>
  <c r="AF91" i="1" s="1"/>
  <c r="W91" i="1"/>
  <c r="AK91" i="1" s="1"/>
  <c r="AJ90" i="1"/>
  <c r="AF90" i="1" s="1"/>
  <c r="AJ89" i="1"/>
  <c r="AF89" i="1" s="1"/>
  <c r="AJ88" i="1"/>
  <c r="AF88" i="1" s="1"/>
  <c r="W88" i="1"/>
  <c r="AL88" i="1" s="1"/>
  <c r="AJ87" i="1"/>
  <c r="AF87" i="1" s="1"/>
  <c r="AJ86" i="1"/>
  <c r="AF86" i="1" s="1"/>
  <c r="AJ85" i="1"/>
  <c r="AF85" i="1" s="1"/>
  <c r="AJ84" i="1"/>
  <c r="AF84" i="1" s="1"/>
  <c r="AJ83" i="1"/>
  <c r="AF83" i="1" s="1"/>
  <c r="AJ82" i="1"/>
  <c r="AF82" i="1" s="1"/>
  <c r="AJ81" i="1"/>
  <c r="AF81" i="1" s="1"/>
  <c r="AL80" i="1"/>
  <c r="AK80" i="1"/>
  <c r="AJ80" i="1"/>
  <c r="AF80" i="1" s="1"/>
  <c r="X80" i="1"/>
  <c r="AL79" i="1"/>
  <c r="AK79" i="1"/>
  <c r="AJ79" i="1"/>
  <c r="AF79" i="1" s="1"/>
  <c r="X79" i="1"/>
  <c r="AJ78" i="1"/>
  <c r="AF78" i="1" s="1"/>
  <c r="AJ77" i="1"/>
  <c r="AF77" i="1" s="1"/>
  <c r="AL76" i="1"/>
  <c r="AK76" i="1"/>
  <c r="AJ76" i="1"/>
  <c r="AF76" i="1" s="1"/>
  <c r="X76" i="1"/>
  <c r="AL75" i="1"/>
  <c r="AK75" i="1"/>
  <c r="AJ75" i="1"/>
  <c r="AF75" i="1" s="1"/>
  <c r="X75" i="1"/>
  <c r="AJ74" i="1"/>
  <c r="AF74" i="1" s="1"/>
  <c r="AL73" i="1"/>
  <c r="AK73" i="1"/>
  <c r="AJ73" i="1"/>
  <c r="AF73" i="1" s="1"/>
  <c r="X73" i="1"/>
  <c r="AL72" i="1"/>
  <c r="AK72" i="1"/>
  <c r="AJ72" i="1"/>
  <c r="AF72" i="1" s="1"/>
  <c r="X72" i="1"/>
  <c r="AL71" i="1"/>
  <c r="AK71" i="1"/>
  <c r="AJ71" i="1"/>
  <c r="AF71" i="1" s="1"/>
  <c r="X71" i="1"/>
  <c r="AJ70" i="1"/>
  <c r="AF70" i="1" s="1"/>
  <c r="AJ69" i="1"/>
  <c r="AF69" i="1" s="1"/>
  <c r="W69" i="1"/>
  <c r="AL69" i="1" s="1"/>
  <c r="AJ68" i="1"/>
  <c r="AF68" i="1" s="1"/>
  <c r="W68" i="1"/>
  <c r="AL68" i="1" s="1"/>
  <c r="AJ67" i="1"/>
  <c r="AF67" i="1" s="1"/>
  <c r="AJ66" i="1"/>
  <c r="AF66" i="1" s="1"/>
  <c r="AJ65" i="1"/>
  <c r="AF65" i="1" s="1"/>
  <c r="AJ64" i="1"/>
  <c r="AF64" i="1" s="1"/>
  <c r="AJ63" i="1"/>
  <c r="AF63" i="1" s="1"/>
  <c r="W63" i="1"/>
  <c r="AL63" i="1" s="1"/>
  <c r="AL62" i="1"/>
  <c r="AK62" i="1"/>
  <c r="AJ62" i="1"/>
  <c r="AF62" i="1" s="1"/>
  <c r="X62" i="1"/>
  <c r="AL61" i="1"/>
  <c r="AK61" i="1"/>
  <c r="AJ61" i="1"/>
  <c r="AF61" i="1" s="1"/>
  <c r="X61" i="1"/>
  <c r="AJ60" i="1"/>
  <c r="AF60" i="1" s="1"/>
  <c r="W60" i="1"/>
  <c r="X60" i="1" s="1"/>
  <c r="AJ59" i="1"/>
  <c r="AF59" i="1" s="1"/>
  <c r="W59" i="1"/>
  <c r="AL59" i="1" s="1"/>
  <c r="AJ58" i="1"/>
  <c r="AF58" i="1" s="1"/>
  <c r="W58" i="1"/>
  <c r="AL58" i="1" s="1"/>
  <c r="AJ57" i="1"/>
  <c r="AF57" i="1" s="1"/>
  <c r="W57" i="1"/>
  <c r="AL57" i="1" s="1"/>
  <c r="AJ56" i="1"/>
  <c r="AF56" i="1" s="1"/>
  <c r="W56" i="1"/>
  <c r="AL55" i="1"/>
  <c r="AK55" i="1"/>
  <c r="AJ55" i="1"/>
  <c r="AF55" i="1" s="1"/>
  <c r="X55" i="1"/>
  <c r="AL54" i="1"/>
  <c r="AK54" i="1"/>
  <c r="AJ54" i="1"/>
  <c r="AF54" i="1" s="1"/>
  <c r="X54" i="1"/>
  <c r="AL53" i="1"/>
  <c r="AK53" i="1"/>
  <c r="AJ53" i="1"/>
  <c r="AF53" i="1" s="1"/>
  <c r="X53" i="1"/>
  <c r="AL52" i="1"/>
  <c r="AK52" i="1"/>
  <c r="AJ52" i="1"/>
  <c r="AF52" i="1" s="1"/>
  <c r="X52" i="1"/>
  <c r="AL51" i="1"/>
  <c r="AK51" i="1"/>
  <c r="AJ51" i="1"/>
  <c r="AF51" i="1" s="1"/>
  <c r="X51" i="1"/>
  <c r="AL50" i="1"/>
  <c r="AK50" i="1"/>
  <c r="AJ50" i="1"/>
  <c r="AF50" i="1" s="1"/>
  <c r="X50" i="1"/>
  <c r="AJ49" i="1"/>
  <c r="AF49" i="1" s="1"/>
  <c r="AJ48" i="1"/>
  <c r="AF48" i="1" s="1"/>
  <c r="AL47" i="1"/>
  <c r="AK47" i="1"/>
  <c r="AJ47" i="1"/>
  <c r="AF47" i="1" s="1"/>
  <c r="X47" i="1"/>
  <c r="AL46" i="1"/>
  <c r="AK46" i="1"/>
  <c r="AJ46" i="1"/>
  <c r="AF46" i="1" s="1"/>
  <c r="X46" i="1"/>
  <c r="AL45" i="1"/>
  <c r="AK45" i="1"/>
  <c r="AJ45" i="1"/>
  <c r="AF45" i="1" s="1"/>
  <c r="X45" i="1"/>
  <c r="AL44" i="1"/>
  <c r="AK44" i="1"/>
  <c r="AJ44" i="1"/>
  <c r="AF44" i="1" s="1"/>
  <c r="X44" i="1"/>
  <c r="AL43" i="1"/>
  <c r="AK43" i="1"/>
  <c r="AJ43" i="1"/>
  <c r="AF43" i="1" s="1"/>
  <c r="AL42" i="1"/>
  <c r="AK42" i="1"/>
  <c r="AJ42" i="1"/>
  <c r="AF42" i="1" s="1"/>
  <c r="X42" i="1"/>
  <c r="AJ41" i="1"/>
  <c r="AF41" i="1" s="1"/>
  <c r="AJ40" i="1"/>
  <c r="AF40" i="1" s="1"/>
  <c r="W40" i="1"/>
  <c r="AK40" i="1" s="1"/>
  <c r="AJ39" i="1"/>
  <c r="AF39" i="1" s="1"/>
  <c r="AJ38" i="1"/>
  <c r="AF38" i="1" s="1"/>
  <c r="W38" i="1"/>
  <c r="AL38" i="1" s="1"/>
  <c r="AJ37" i="1"/>
  <c r="AF37" i="1" s="1"/>
  <c r="W37" i="1"/>
  <c r="AL37" i="1" s="1"/>
  <c r="AJ36" i="1"/>
  <c r="AF36" i="1" s="1"/>
  <c r="W36" i="1"/>
  <c r="AK36" i="1" s="1"/>
  <c r="AJ35" i="1"/>
  <c r="AF35" i="1" s="1"/>
  <c r="AJ34" i="1"/>
  <c r="AF34" i="1" s="1"/>
  <c r="W34" i="1"/>
  <c r="X34" i="1" s="1"/>
  <c r="AJ33" i="1"/>
  <c r="AF33" i="1" s="1"/>
  <c r="W33" i="1"/>
  <c r="X33" i="1" s="1"/>
  <c r="AJ32" i="1"/>
  <c r="AF32" i="1" s="1"/>
  <c r="AL31" i="1"/>
  <c r="AK31" i="1"/>
  <c r="AJ31" i="1"/>
  <c r="AF31" i="1" s="1"/>
  <c r="X31" i="1"/>
  <c r="AL30" i="1"/>
  <c r="AK30" i="1"/>
  <c r="AJ30" i="1"/>
  <c r="AF30" i="1" s="1"/>
  <c r="X30" i="1"/>
  <c r="AL29" i="1"/>
  <c r="AK29" i="1"/>
  <c r="AJ29" i="1"/>
  <c r="AF29" i="1" s="1"/>
  <c r="X29" i="1"/>
  <c r="AJ28" i="1"/>
  <c r="AF28" i="1" s="1"/>
  <c r="AJ27" i="1"/>
  <c r="AF27" i="1" s="1"/>
  <c r="AL26" i="1"/>
  <c r="AK26" i="1"/>
  <c r="AJ26" i="1"/>
  <c r="AF26" i="1" s="1"/>
  <c r="AL25" i="1"/>
  <c r="AK25" i="1"/>
  <c r="AJ25" i="1"/>
  <c r="AF25" i="1" s="1"/>
  <c r="X25" i="1"/>
  <c r="AL24" i="1"/>
  <c r="AK24" i="1"/>
  <c r="AJ24" i="1"/>
  <c r="AF24" i="1" s="1"/>
  <c r="X24" i="1"/>
  <c r="AJ23" i="1"/>
  <c r="AF23" i="1" s="1"/>
  <c r="W23" i="1"/>
  <c r="AJ22" i="1"/>
  <c r="AF22" i="1" s="1"/>
  <c r="W22" i="1"/>
  <c r="AL21" i="1"/>
  <c r="AK21" i="1"/>
  <c r="AJ21" i="1"/>
  <c r="AF21" i="1" s="1"/>
  <c r="X21" i="1"/>
  <c r="AJ20" i="1"/>
  <c r="AF20" i="1" s="1"/>
  <c r="W20" i="1"/>
  <c r="AL20" i="1" s="1"/>
  <c r="AJ19" i="1"/>
  <c r="AF19" i="1" s="1"/>
  <c r="AL18" i="1"/>
  <c r="AK18" i="1"/>
  <c r="AJ18" i="1"/>
  <c r="AF18" i="1" s="1"/>
  <c r="X18" i="1"/>
  <c r="AJ17" i="1"/>
  <c r="AF17" i="1" s="1"/>
  <c r="AL16" i="1"/>
  <c r="AK16" i="1"/>
  <c r="AJ16" i="1"/>
  <c r="AF16" i="1" s="1"/>
  <c r="X16" i="1"/>
  <c r="AJ15" i="1"/>
  <c r="AF15" i="1" s="1"/>
  <c r="AL14" i="1"/>
  <c r="AK14" i="1"/>
  <c r="AJ14" i="1"/>
  <c r="AF14" i="1" s="1"/>
  <c r="AG14" i="1"/>
  <c r="X14" i="1"/>
  <c r="AL13" i="1"/>
  <c r="AK13" i="1"/>
  <c r="AJ13" i="1"/>
  <c r="AF13" i="1" s="1"/>
  <c r="X13" i="1"/>
  <c r="AL12" i="1"/>
  <c r="AK12" i="1"/>
  <c r="AJ12" i="1"/>
  <c r="AF12" i="1" s="1"/>
  <c r="X12" i="1"/>
  <c r="AJ11" i="1"/>
  <c r="AF11" i="1" s="1"/>
  <c r="AJ10" i="1"/>
  <c r="AF10" i="1" s="1"/>
  <c r="W10" i="1"/>
  <c r="X10" i="1" s="1"/>
  <c r="AJ9" i="1"/>
  <c r="AF9" i="1" s="1"/>
  <c r="W9" i="1"/>
  <c r="AK9" i="1" s="1"/>
  <c r="AJ8" i="1"/>
  <c r="AF8" i="1" s="1"/>
  <c r="W8" i="1"/>
  <c r="AL8" i="1" s="1"/>
  <c r="AJ7" i="1"/>
  <c r="AF7" i="1" s="1"/>
  <c r="W7" i="1"/>
  <c r="AJ6" i="1"/>
  <c r="AF6" i="1" s="1"/>
  <c r="W6" i="1"/>
  <c r="AL6" i="1" s="1"/>
  <c r="AJ5" i="1"/>
  <c r="AF5" i="1" s="1"/>
  <c r="W5" i="1"/>
  <c r="AK5" i="1" s="1"/>
  <c r="AJ4" i="1"/>
  <c r="AF4" i="1" s="1"/>
  <c r="AJ3" i="1"/>
  <c r="AF3" i="1" s="1"/>
  <c r="W3" i="1"/>
  <c r="X3" i="1" s="1"/>
  <c r="AL2" i="1"/>
  <c r="AK2" i="1"/>
  <c r="AJ2" i="1"/>
  <c r="AF2" i="1" s="1"/>
  <c r="X2" i="1"/>
  <c r="AL4529" i="1" l="1"/>
  <c r="AK4529" i="1"/>
  <c r="AL4521" i="1"/>
  <c r="AK4521" i="1"/>
  <c r="AK4526" i="1"/>
  <c r="AL4528" i="1"/>
  <c r="AK4528" i="1"/>
  <c r="AL308" i="1"/>
  <c r="X1881" i="1"/>
  <c r="AK1881" i="1"/>
  <c r="AL4522" i="1"/>
  <c r="X4524" i="1"/>
  <c r="X1882" i="1"/>
  <c r="AK1882" i="1"/>
  <c r="X1880" i="1"/>
  <c r="AK1880" i="1"/>
  <c r="AL3890" i="1"/>
  <c r="X4523" i="1"/>
  <c r="AL4523" i="1"/>
  <c r="AL4524" i="1"/>
  <c r="AL4526" i="1"/>
  <c r="X3890" i="1"/>
  <c r="X422" i="1"/>
  <c r="AL421" i="1"/>
  <c r="AL693" i="1"/>
  <c r="AK422" i="1"/>
  <c r="X423" i="1"/>
  <c r="AK423" i="1"/>
  <c r="X693" i="1"/>
  <c r="X541" i="1"/>
  <c r="AK541" i="1"/>
  <c r="AL4519" i="1"/>
  <c r="AK4519" i="1"/>
  <c r="AL4518" i="1"/>
  <c r="X4518" i="1"/>
  <c r="AK286" i="1"/>
  <c r="AK539" i="1"/>
  <c r="X4516" i="1"/>
  <c r="AK4516" i="1"/>
  <c r="X416" i="1"/>
  <c r="AL3497" i="1"/>
  <c r="X286" i="1"/>
  <c r="AK416" i="1"/>
  <c r="X1103" i="1"/>
  <c r="X1230" i="1"/>
  <c r="X3750" i="1"/>
  <c r="AL1230" i="1"/>
  <c r="AL539" i="1"/>
  <c r="AK3750" i="1"/>
  <c r="X3497" i="1"/>
  <c r="AK78" i="1"/>
  <c r="AL78" i="1"/>
  <c r="X1639" i="1"/>
  <c r="AK2784" i="1"/>
  <c r="X2663" i="1"/>
  <c r="AK2880" i="1"/>
  <c r="AL2880" i="1"/>
  <c r="X421" i="1"/>
  <c r="X4153" i="1"/>
  <c r="AK138" i="1"/>
  <c r="X4513" i="1"/>
  <c r="AK4513" i="1"/>
  <c r="AL2929" i="1"/>
  <c r="AL4102" i="1"/>
  <c r="X4514" i="1"/>
  <c r="AK4514" i="1"/>
  <c r="X4235" i="1"/>
  <c r="AL579" i="1"/>
  <c r="X4399" i="1"/>
  <c r="X4098" i="1"/>
  <c r="AL4399" i="1"/>
  <c r="AL4235" i="1"/>
  <c r="AK1103" i="1"/>
  <c r="X966" i="1"/>
  <c r="AK4098" i="1"/>
  <c r="X4104" i="1"/>
  <c r="AL966" i="1"/>
  <c r="AK4102" i="1"/>
  <c r="AL4233" i="1"/>
  <c r="AK4233" i="1"/>
  <c r="AL4232" i="1"/>
  <c r="AK4232" i="1"/>
  <c r="AK4140" i="1"/>
  <c r="AK2663" i="1"/>
  <c r="AK4153" i="1"/>
  <c r="AK3682" i="1"/>
  <c r="AL3682" i="1"/>
  <c r="AL2784" i="1"/>
  <c r="AL581" i="1"/>
  <c r="X4054" i="1"/>
  <c r="AL138" i="1"/>
  <c r="AK2619" i="1"/>
  <c r="AK4054" i="1"/>
  <c r="X2929" i="1"/>
  <c r="AK4104" i="1"/>
  <c r="AL2931" i="1"/>
  <c r="AK2931" i="1"/>
  <c r="AL1212" i="1"/>
  <c r="AL3704" i="1"/>
  <c r="X110" i="1"/>
  <c r="AK110" i="1"/>
  <c r="AK2288" i="1"/>
  <c r="X579" i="1"/>
  <c r="AL3871" i="1"/>
  <c r="X581" i="1"/>
  <c r="AK1165" i="1"/>
  <c r="AK2287" i="1"/>
  <c r="AL2619" i="1"/>
  <c r="AL1210" i="1"/>
  <c r="X86" i="1"/>
  <c r="X1211" i="1"/>
  <c r="X2036" i="1"/>
  <c r="AK3380" i="1"/>
  <c r="X2362" i="1"/>
  <c r="X355" i="1"/>
  <c r="X77" i="1"/>
  <c r="AK355" i="1"/>
  <c r="X1212" i="1"/>
  <c r="AK2362" i="1"/>
  <c r="AK4067" i="1"/>
  <c r="AL4067" i="1"/>
  <c r="X2086" i="1"/>
  <c r="X1165" i="1"/>
  <c r="X3380" i="1"/>
  <c r="AK3704" i="1"/>
  <c r="AL942" i="1"/>
  <c r="AK77" i="1"/>
  <c r="AK4091" i="1"/>
  <c r="AL2469" i="1"/>
  <c r="AL4091" i="1"/>
  <c r="X4512" i="1"/>
  <c r="AK2086" i="1"/>
  <c r="X2579" i="1"/>
  <c r="X1869" i="1"/>
  <c r="AK2036" i="1"/>
  <c r="AK1639" i="1"/>
  <c r="AK1869" i="1"/>
  <c r="X3869" i="1"/>
  <c r="X3396" i="1"/>
  <c r="AK3396" i="1"/>
  <c r="AK942" i="1"/>
  <c r="AK3871" i="1"/>
  <c r="AL4089" i="1"/>
  <c r="X3397" i="1"/>
  <c r="AK3397" i="1"/>
  <c r="AL943" i="1"/>
  <c r="AL2287" i="1"/>
  <c r="AL3675" i="1"/>
  <c r="X2288" i="1"/>
  <c r="AK86" i="1"/>
  <c r="AK1041" i="1"/>
  <c r="X4059" i="1"/>
  <c r="AL2792" i="1"/>
  <c r="AK298" i="1"/>
  <c r="X1210" i="1"/>
  <c r="X4090" i="1"/>
  <c r="AL298" i="1"/>
  <c r="AK940" i="1"/>
  <c r="AK2469" i="1"/>
  <c r="AL1018" i="1"/>
  <c r="AK3946" i="1"/>
  <c r="AL1041" i="1"/>
  <c r="AK4089" i="1"/>
  <c r="X3870" i="1"/>
  <c r="AK3870" i="1"/>
  <c r="AK944" i="1"/>
  <c r="AL944" i="1"/>
  <c r="AL940" i="1"/>
  <c r="AL285" i="1"/>
  <c r="AK353" i="1"/>
  <c r="AK3675" i="1"/>
  <c r="AL2889" i="1"/>
  <c r="AK2889" i="1"/>
  <c r="X1021" i="1"/>
  <c r="X2795" i="1"/>
  <c r="X534" i="1"/>
  <c r="AK285" i="1"/>
  <c r="X85" i="1"/>
  <c r="X353" i="1"/>
  <c r="X784" i="1"/>
  <c r="AK3378" i="1"/>
  <c r="AL3378" i="1"/>
  <c r="X4057" i="1"/>
  <c r="AK784" i="1"/>
  <c r="X4086" i="1"/>
  <c r="AK2375" i="1"/>
  <c r="AK2814" i="1"/>
  <c r="AL2375" i="1"/>
  <c r="AL2814" i="1"/>
  <c r="AL3395" i="1"/>
  <c r="X3149" i="1"/>
  <c r="AL4284" i="1"/>
  <c r="AK4284" i="1"/>
  <c r="AK534" i="1"/>
  <c r="AK786" i="1"/>
  <c r="AK3869" i="1"/>
  <c r="AL3946" i="1"/>
  <c r="AL82" i="1"/>
  <c r="AL786" i="1"/>
  <c r="AK2258" i="1"/>
  <c r="AL4493" i="1"/>
  <c r="X3154" i="1"/>
  <c r="X82" i="1"/>
  <c r="AL2399" i="1"/>
  <c r="AK3154" i="1"/>
  <c r="AK2077" i="1"/>
  <c r="AK4090" i="1"/>
  <c r="AK1018" i="1"/>
  <c r="AL2077" i="1"/>
  <c r="X3881" i="1"/>
  <c r="AK3881" i="1"/>
  <c r="AK4100" i="1"/>
  <c r="AK227" i="1"/>
  <c r="AL227" i="1"/>
  <c r="X3674" i="1"/>
  <c r="X4500" i="1"/>
  <c r="X1834" i="1"/>
  <c r="AK3394" i="1"/>
  <c r="AK4059" i="1"/>
  <c r="X3395" i="1"/>
  <c r="AK3674" i="1"/>
  <c r="X4103" i="1"/>
  <c r="AL4103" i="1"/>
  <c r="AK1834" i="1"/>
  <c r="X943" i="1"/>
  <c r="AK299" i="1"/>
  <c r="AL299" i="1"/>
  <c r="AK1211" i="1"/>
  <c r="X2063" i="1"/>
  <c r="X354" i="1"/>
  <c r="X2234" i="1"/>
  <c r="AK535" i="1"/>
  <c r="AK2063" i="1"/>
  <c r="X535" i="1"/>
  <c r="AK2234" i="1"/>
  <c r="AK354" i="1"/>
  <c r="X554" i="1"/>
  <c r="AK2795" i="1"/>
  <c r="X350" i="1"/>
  <c r="AK554" i="1"/>
  <c r="X2776" i="1"/>
  <c r="X3866" i="1"/>
  <c r="AL39" i="1"/>
  <c r="AL3866" i="1"/>
  <c r="AK350" i="1"/>
  <c r="AL3394" i="1"/>
  <c r="AK1021" i="1"/>
  <c r="X2925" i="1"/>
  <c r="AK2689" i="1"/>
  <c r="X2890" i="1"/>
  <c r="AL2925" i="1"/>
  <c r="AL4100" i="1"/>
  <c r="AL2689" i="1"/>
  <c r="AK2776" i="1"/>
  <c r="AK85" i="1"/>
  <c r="AK2890" i="1"/>
  <c r="AK39" i="1"/>
  <c r="X2691" i="1"/>
  <c r="AK2286" i="1"/>
  <c r="X2286" i="1"/>
  <c r="X2233" i="1"/>
  <c r="AK2233" i="1"/>
  <c r="AK2691" i="1"/>
  <c r="AL3668" i="1"/>
  <c r="X3669" i="1"/>
  <c r="AK2399" i="1"/>
  <c r="AK3669" i="1"/>
  <c r="X74" i="1"/>
  <c r="AK74" i="1"/>
  <c r="AL3389" i="1"/>
  <c r="X3668" i="1"/>
  <c r="AL2258" i="1"/>
  <c r="X3379" i="1"/>
  <c r="X2283" i="1"/>
  <c r="AK4057" i="1"/>
  <c r="X2792" i="1"/>
  <c r="AK3379" i="1"/>
  <c r="AK4086" i="1"/>
  <c r="AK3389" i="1"/>
  <c r="X2891" i="1"/>
  <c r="AK3149" i="1"/>
  <c r="AK2891" i="1"/>
  <c r="AK3155" i="1"/>
  <c r="X282" i="1"/>
  <c r="X1362" i="1"/>
  <c r="X3388" i="1"/>
  <c r="X205" i="1"/>
  <c r="AK282" i="1"/>
  <c r="X1709" i="1"/>
  <c r="AK2579" i="1"/>
  <c r="AK1362" i="1"/>
  <c r="AK2283" i="1"/>
  <c r="AK3388" i="1"/>
  <c r="AK1709" i="1"/>
  <c r="AK205" i="1"/>
  <c r="X2629" i="1"/>
  <c r="X3432" i="1"/>
  <c r="AK2629" i="1"/>
  <c r="X3696" i="1"/>
  <c r="AL4511" i="1"/>
  <c r="AL3696" i="1"/>
  <c r="AK4505" i="1"/>
  <c r="X4504" i="1"/>
  <c r="AL3432" i="1"/>
  <c r="AL4501" i="1"/>
  <c r="X4501" i="1"/>
  <c r="X95" i="1"/>
  <c r="AK95" i="1"/>
  <c r="AK4493" i="1"/>
  <c r="AK4511" i="1"/>
  <c r="AL4512" i="1"/>
  <c r="AK4492" i="1"/>
  <c r="AK4504" i="1"/>
  <c r="AL4492" i="1"/>
  <c r="AL4500" i="1"/>
  <c r="X4505" i="1"/>
  <c r="AL4487" i="1"/>
  <c r="AK4487" i="1"/>
  <c r="X4490" i="1"/>
  <c r="X4498" i="1"/>
  <c r="AL4498" i="1"/>
  <c r="AL4490" i="1"/>
  <c r="X4496" i="1"/>
  <c r="X4497" i="1"/>
  <c r="X4499" i="1"/>
  <c r="AL4497" i="1"/>
  <c r="AL4499" i="1"/>
  <c r="AK4496" i="1"/>
  <c r="AL4495" i="1"/>
  <c r="AK4495" i="1"/>
  <c r="AK2892" i="1"/>
  <c r="X2232" i="1"/>
  <c r="AL2892" i="1"/>
  <c r="AK941" i="1"/>
  <c r="AK3391" i="1"/>
  <c r="AK2232" i="1"/>
  <c r="X1364" i="1"/>
  <c r="X163" i="1"/>
  <c r="AL411" i="1"/>
  <c r="AK610" i="1"/>
  <c r="AL3392" i="1"/>
  <c r="AK411" i="1"/>
  <c r="AL3391" i="1"/>
  <c r="AK1363" i="1"/>
  <c r="AK1209" i="1"/>
  <c r="AK3672" i="1"/>
  <c r="X3695" i="1"/>
  <c r="X3672" i="1"/>
  <c r="AK1364" i="1"/>
  <c r="AL3431" i="1"/>
  <c r="AK3431" i="1"/>
  <c r="AK3695" i="1"/>
  <c r="X1363" i="1"/>
  <c r="AL3670" i="1"/>
  <c r="AK163" i="1"/>
  <c r="X135" i="1"/>
  <c r="AL610" i="1"/>
  <c r="X2779" i="1"/>
  <c r="AK3392" i="1"/>
  <c r="X941" i="1"/>
  <c r="X352" i="1"/>
  <c r="AK378" i="1"/>
  <c r="AK2815" i="1"/>
  <c r="X378" i="1"/>
  <c r="AL2815" i="1"/>
  <c r="X4088" i="1"/>
  <c r="AK352" i="1"/>
  <c r="X2625" i="1"/>
  <c r="X2285" i="1"/>
  <c r="AK2284" i="1"/>
  <c r="AL2284" i="1"/>
  <c r="AK2779" i="1"/>
  <c r="AK1997" i="1"/>
  <c r="AK2625" i="1"/>
  <c r="X3673" i="1"/>
  <c r="X4099" i="1"/>
  <c r="AK3671" i="1"/>
  <c r="AL1997" i="1"/>
  <c r="AK4099" i="1"/>
  <c r="X109" i="1"/>
  <c r="AL83" i="1"/>
  <c r="X3670" i="1"/>
  <c r="AK3673" i="1"/>
  <c r="AK4087" i="1"/>
  <c r="X4087" i="1"/>
  <c r="AL2285" i="1"/>
  <c r="X351" i="1"/>
  <c r="X2373" i="1"/>
  <c r="AK2373" i="1"/>
  <c r="AL2472" i="1"/>
  <c r="X83" i="1"/>
  <c r="AK109" i="1"/>
  <c r="AK3867" i="1"/>
  <c r="X3671" i="1"/>
  <c r="X3867" i="1"/>
  <c r="X3868" i="1"/>
  <c r="X2374" i="1"/>
  <c r="X4058" i="1"/>
  <c r="AK135" i="1"/>
  <c r="X2472" i="1"/>
  <c r="AK3868" i="1"/>
  <c r="X785" i="1"/>
  <c r="AK2374" i="1"/>
  <c r="X1209" i="1"/>
  <c r="X3393" i="1"/>
  <c r="X3390" i="1"/>
  <c r="AK351" i="1"/>
  <c r="AK3151" i="1"/>
  <c r="AK3393" i="1"/>
  <c r="AL3151" i="1"/>
  <c r="AK3390" i="1"/>
  <c r="AK785" i="1"/>
  <c r="AL2793" i="1"/>
  <c r="AL283" i="1"/>
  <c r="X84" i="1"/>
  <c r="AK84" i="1"/>
  <c r="AK4058" i="1"/>
  <c r="AK4088" i="1"/>
  <c r="X3159" i="1"/>
  <c r="X2893" i="1"/>
  <c r="AK3159" i="1"/>
  <c r="X2794" i="1"/>
  <c r="AK2893" i="1"/>
  <c r="AK2794" i="1"/>
  <c r="X283" i="1"/>
  <c r="AK950" i="1"/>
  <c r="AK3157" i="1"/>
  <c r="AL926" i="1"/>
  <c r="AK1208" i="1"/>
  <c r="AL1208" i="1"/>
  <c r="AL950" i="1"/>
  <c r="X2690" i="1"/>
  <c r="AK2690" i="1"/>
  <c r="X3156" i="1"/>
  <c r="X2793" i="1"/>
  <c r="AK3156" i="1"/>
  <c r="X550" i="1"/>
  <c r="AL550" i="1"/>
  <c r="AK2930" i="1"/>
  <c r="AL2930" i="1"/>
  <c r="AK1868" i="1"/>
  <c r="X926" i="1"/>
  <c r="X2085" i="1"/>
  <c r="AK2085" i="1"/>
  <c r="X580" i="1"/>
  <c r="AL580" i="1"/>
  <c r="X1868" i="1"/>
  <c r="AL4374" i="1"/>
  <c r="X3703" i="1"/>
  <c r="X2361" i="1"/>
  <c r="AL2361" i="1"/>
  <c r="X4478" i="1"/>
  <c r="X4378" i="1"/>
  <c r="X2618" i="1"/>
  <c r="AK4283" i="1"/>
  <c r="AL4378" i="1"/>
  <c r="AK2618" i="1"/>
  <c r="X4283" i="1"/>
  <c r="X4477" i="1"/>
  <c r="AK4374" i="1"/>
  <c r="AK4477" i="1"/>
  <c r="AL4477" i="1"/>
  <c r="U4477" i="1"/>
  <c r="V4477" i="1" s="1"/>
  <c r="AK4478" i="1"/>
  <c r="AL4478" i="1"/>
  <c r="AK3703" i="1"/>
  <c r="X1501" i="1"/>
  <c r="AK1501" i="1"/>
  <c r="X1164" i="1"/>
  <c r="AK1164" i="1"/>
  <c r="X1841" i="1"/>
  <c r="X4101" i="1"/>
  <c r="AL4470" i="1"/>
  <c r="AL4476" i="1"/>
  <c r="AK4101" i="1"/>
  <c r="AL4398" i="1"/>
  <c r="X4476" i="1"/>
  <c r="AK4398" i="1"/>
  <c r="AK4470" i="1"/>
  <c r="AK2264" i="1"/>
  <c r="X2722" i="1"/>
  <c r="X4249" i="1"/>
  <c r="AK2722" i="1"/>
  <c r="X2302" i="1"/>
  <c r="X3105" i="1"/>
  <c r="AK4249" i="1"/>
  <c r="AK4074" i="1"/>
  <c r="X1784" i="1"/>
  <c r="AK2302" i="1"/>
  <c r="AK3105" i="1"/>
  <c r="X3852" i="1"/>
  <c r="AL4074" i="1"/>
  <c r="AL1784" i="1"/>
  <c r="AK3852" i="1"/>
  <c r="AK3212" i="1"/>
  <c r="AK4212" i="1"/>
  <c r="X1934" i="1"/>
  <c r="AL3625" i="1"/>
  <c r="X1226" i="1"/>
  <c r="AK1934" i="1"/>
  <c r="AK4475" i="1"/>
  <c r="AL912" i="1"/>
  <c r="AL776" i="1"/>
  <c r="X1969" i="1"/>
  <c r="AL4223" i="1"/>
  <c r="X3507" i="1"/>
  <c r="X215" i="1"/>
  <c r="AL215" i="1"/>
  <c r="AK3506" i="1"/>
  <c r="X2290" i="1"/>
  <c r="AK520" i="1"/>
  <c r="X2279" i="1"/>
  <c r="X2291" i="1"/>
  <c r="X2813" i="1"/>
  <c r="AK3754" i="1"/>
  <c r="AL3754" i="1"/>
  <c r="X595" i="1"/>
  <c r="AK595" i="1"/>
  <c r="X2817" i="1"/>
  <c r="AL520" i="1"/>
  <c r="X945" i="1"/>
  <c r="X3506" i="1"/>
  <c r="AL1360" i="1"/>
  <c r="AL1963" i="1"/>
  <c r="AL1569" i="1"/>
  <c r="X2328" i="1"/>
  <c r="AK1972" i="1"/>
  <c r="AK2328" i="1"/>
  <c r="AL1972" i="1"/>
  <c r="X776" i="1"/>
  <c r="AK2620" i="1"/>
  <c r="AK1829" i="1"/>
  <c r="AK2503" i="1"/>
  <c r="AK912" i="1"/>
  <c r="AL2503" i="1"/>
  <c r="AL3507" i="1"/>
  <c r="AK1360" i="1"/>
  <c r="AK3626" i="1"/>
  <c r="AL3626" i="1"/>
  <c r="AK1504" i="1"/>
  <c r="AL4213" i="1"/>
  <c r="X4420" i="1"/>
  <c r="AL4219" i="1"/>
  <c r="AK4219" i="1"/>
  <c r="X1248" i="1"/>
  <c r="AK1248" i="1"/>
  <c r="AL2580" i="1"/>
  <c r="X767" i="1"/>
  <c r="X3505" i="1"/>
  <c r="AK3505" i="1"/>
  <c r="AL4464" i="1"/>
  <c r="AK767" i="1"/>
  <c r="AK2580" i="1"/>
  <c r="X3503" i="1"/>
  <c r="X3504" i="1"/>
  <c r="AK3503" i="1"/>
  <c r="X4464" i="1"/>
  <c r="AK3504" i="1"/>
  <c r="X448" i="1"/>
  <c r="AK448" i="1"/>
  <c r="X4463" i="1"/>
  <c r="AK1735" i="1"/>
  <c r="AL1735" i="1"/>
  <c r="AK121" i="1"/>
  <c r="AL521" i="1"/>
  <c r="X680" i="1"/>
  <c r="X1429" i="1"/>
  <c r="AL121" i="1"/>
  <c r="AK3617" i="1"/>
  <c r="AK4419" i="1"/>
  <c r="X100" i="1"/>
  <c r="AL2332" i="1"/>
  <c r="X2501" i="1"/>
  <c r="X4212" i="1"/>
  <c r="AL979" i="1"/>
  <c r="AK3731" i="1"/>
  <c r="AK4336" i="1"/>
  <c r="AK680" i="1"/>
  <c r="AK2332" i="1"/>
  <c r="AL2500" i="1"/>
  <c r="X566" i="1"/>
  <c r="AL100" i="1"/>
  <c r="AK371" i="1"/>
  <c r="AK393" i="1"/>
  <c r="AL393" i="1"/>
  <c r="AK1783" i="1"/>
  <c r="AK1338" i="1"/>
  <c r="AL1338" i="1"/>
  <c r="AK1971" i="1"/>
  <c r="AL4365" i="1"/>
  <c r="AL1971" i="1"/>
  <c r="AK3466" i="1"/>
  <c r="AK1309" i="1"/>
  <c r="AL1309" i="1"/>
  <c r="AL1506" i="1"/>
  <c r="AK4463" i="1"/>
  <c r="AK4465" i="1"/>
  <c r="AL4465" i="1"/>
  <c r="AL371" i="1"/>
  <c r="AK956" i="1"/>
  <c r="X318" i="1"/>
  <c r="AL700" i="1"/>
  <c r="X1504" i="1"/>
  <c r="AK2500" i="1"/>
  <c r="AL3617" i="1"/>
  <c r="X4203" i="1"/>
  <c r="AK566" i="1"/>
  <c r="AK1429" i="1"/>
  <c r="AK373" i="1"/>
  <c r="AL688" i="1"/>
  <c r="AL3466" i="1"/>
  <c r="X373" i="1"/>
  <c r="X985" i="1"/>
  <c r="X2494" i="1"/>
  <c r="AK682" i="1"/>
  <c r="X979" i="1"/>
  <c r="AK985" i="1"/>
  <c r="AL1378" i="1"/>
  <c r="AK4068" i="1"/>
  <c r="AK521" i="1"/>
  <c r="AL4068" i="1"/>
  <c r="AL2730" i="1"/>
  <c r="AL4203" i="1"/>
  <c r="X2730" i="1"/>
  <c r="X4458" i="1"/>
  <c r="AL4459" i="1"/>
  <c r="AK4204" i="1"/>
  <c r="AL4204" i="1"/>
  <c r="AL4448" i="1"/>
  <c r="AK4267" i="1"/>
  <c r="X67" i="1"/>
  <c r="X3851" i="1"/>
  <c r="AL4267" i="1"/>
  <c r="AK4459" i="1"/>
  <c r="AL956" i="1"/>
  <c r="AK3481" i="1"/>
  <c r="X4452" i="1"/>
  <c r="AK4448" i="1"/>
  <c r="X4121" i="1"/>
  <c r="X1502" i="1"/>
  <c r="AL4362" i="1"/>
  <c r="AL4447" i="1"/>
  <c r="AK4121" i="1"/>
  <c r="AL67" i="1"/>
  <c r="X457" i="1"/>
  <c r="X1378" i="1"/>
  <c r="AK1974" i="1"/>
  <c r="AK4362" i="1"/>
  <c r="X1567" i="1"/>
  <c r="AK4447" i="1"/>
  <c r="X317" i="1"/>
  <c r="X682" i="1"/>
  <c r="X1442" i="1"/>
  <c r="AK1502" i="1"/>
  <c r="AL1974" i="1"/>
  <c r="AL2747" i="1"/>
  <c r="AK2493" i="1"/>
  <c r="X4461" i="1"/>
  <c r="AK317" i="1"/>
  <c r="AK1442" i="1"/>
  <c r="AK1970" i="1"/>
  <c r="AL4253" i="1"/>
  <c r="X4314" i="1"/>
  <c r="AL2620" i="1"/>
  <c r="X4359" i="1"/>
  <c r="AL4461" i="1"/>
  <c r="AL4458" i="1"/>
  <c r="AL4452" i="1"/>
  <c r="X1266" i="1"/>
  <c r="AK1266" i="1"/>
  <c r="AL4451" i="1"/>
  <c r="AL4462" i="1"/>
  <c r="AK4462" i="1"/>
  <c r="X4451" i="1"/>
  <c r="AK4386" i="1"/>
  <c r="X4386" i="1"/>
  <c r="X4450" i="1"/>
  <c r="AL4450" i="1"/>
  <c r="X4433" i="1"/>
  <c r="AL4433" i="1"/>
  <c r="X1569" i="1"/>
  <c r="X3387" i="1"/>
  <c r="AL4436" i="1"/>
  <c r="AK87" i="1"/>
  <c r="AL87" i="1"/>
  <c r="X4085" i="1"/>
  <c r="AL4440" i="1"/>
  <c r="X4440" i="1"/>
  <c r="X4439" i="1"/>
  <c r="AK4439" i="1"/>
  <c r="AK939" i="1"/>
  <c r="X4436" i="1"/>
  <c r="AL4437" i="1"/>
  <c r="AK4437" i="1"/>
  <c r="X3398" i="1"/>
  <c r="AK3398" i="1"/>
  <c r="AL939" i="1"/>
  <c r="AK3771" i="1"/>
  <c r="AK951" i="1"/>
  <c r="AL951" i="1"/>
  <c r="X4188" i="1"/>
  <c r="AK3385" i="1"/>
  <c r="X4092" i="1"/>
  <c r="AK4092" i="1"/>
  <c r="AL4432" i="1"/>
  <c r="AK3872" i="1"/>
  <c r="AL3872" i="1"/>
  <c r="X3705" i="1"/>
  <c r="AK4432" i="1"/>
  <c r="AL4307" i="1"/>
  <c r="AK2494" i="1"/>
  <c r="AK4307" i="1"/>
  <c r="X3481" i="1"/>
  <c r="X795" i="1"/>
  <c r="X1829" i="1"/>
  <c r="X1924" i="1"/>
  <c r="X1970" i="1"/>
  <c r="X2646" i="1"/>
  <c r="X4419" i="1"/>
  <c r="X4336" i="1"/>
  <c r="AK4417" i="1"/>
  <c r="AL4332" i="1"/>
  <c r="AK4275" i="1"/>
  <c r="X4215" i="1"/>
  <c r="X1776" i="1"/>
  <c r="AK4332" i="1"/>
  <c r="AK795" i="1"/>
  <c r="X1505" i="1"/>
  <c r="AK1870" i="1"/>
  <c r="AL2646" i="1"/>
  <c r="AK2187" i="1"/>
  <c r="X3464" i="1"/>
  <c r="AK3851" i="1"/>
  <c r="X4143" i="1"/>
  <c r="AL4215" i="1"/>
  <c r="AK2981" i="1"/>
  <c r="AK3463" i="1"/>
  <c r="AK318" i="1"/>
  <c r="AL2981" i="1"/>
  <c r="AK4214" i="1"/>
  <c r="AL412" i="1"/>
  <c r="AK692" i="1"/>
  <c r="X930" i="1"/>
  <c r="AL1505" i="1"/>
  <c r="AL2187" i="1"/>
  <c r="AK4216" i="1"/>
  <c r="X692" i="1"/>
  <c r="X1506" i="1"/>
  <c r="AK1827" i="1"/>
  <c r="AL2076" i="1"/>
  <c r="AK4143" i="1"/>
  <c r="AK4276" i="1"/>
  <c r="AK412" i="1"/>
  <c r="AK457" i="1"/>
  <c r="AK930" i="1"/>
  <c r="AL1827" i="1"/>
  <c r="AK1776" i="1"/>
  <c r="AL3463" i="1"/>
  <c r="X1347" i="1"/>
  <c r="AL2493" i="1"/>
  <c r="AK2076" i="1"/>
  <c r="X1708" i="1"/>
  <c r="AL281" i="1"/>
  <c r="X551" i="1"/>
  <c r="AK1708" i="1"/>
  <c r="AL551" i="1"/>
  <c r="AK4085" i="1"/>
  <c r="X410" i="1"/>
  <c r="X81" i="1"/>
  <c r="AK81" i="1"/>
  <c r="X281" i="1"/>
  <c r="AK1202" i="1"/>
  <c r="AK410" i="1"/>
  <c r="AL1877" i="1"/>
  <c r="X3666" i="1"/>
  <c r="X226" i="1"/>
  <c r="AK4188" i="1"/>
  <c r="AK162" i="1"/>
  <c r="X162" i="1"/>
  <c r="AK226" i="1"/>
  <c r="X1877" i="1"/>
  <c r="AL3385" i="1"/>
  <c r="AL3386" i="1"/>
  <c r="X3697" i="1"/>
  <c r="X2062" i="1"/>
  <c r="AK3387" i="1"/>
  <c r="X3667" i="1"/>
  <c r="X70" i="1"/>
  <c r="AK2062" i="1"/>
  <c r="AK3667" i="1"/>
  <c r="X3865" i="1"/>
  <c r="AK1361" i="1"/>
  <c r="X66" i="1"/>
  <c r="AK70" i="1"/>
  <c r="AL1361" i="1"/>
  <c r="AK3865" i="1"/>
  <c r="AL3666" i="1"/>
  <c r="AK1487" i="1"/>
  <c r="AL1487" i="1"/>
  <c r="AL1202" i="1"/>
  <c r="AK3697" i="1"/>
  <c r="AK2290" i="1"/>
  <c r="X1020" i="1"/>
  <c r="X1040" i="1"/>
  <c r="AL96" i="1"/>
  <c r="AK1020" i="1"/>
  <c r="AK1040" i="1"/>
  <c r="AK2886" i="1"/>
  <c r="AK3152" i="1"/>
  <c r="AL3152" i="1"/>
  <c r="AK3705" i="1"/>
  <c r="AK3375" i="1"/>
  <c r="X96" i="1"/>
  <c r="AL3375" i="1"/>
  <c r="X1831" i="1"/>
  <c r="X492" i="1"/>
  <c r="AK492" i="1"/>
  <c r="X2774" i="1"/>
  <c r="AK1017" i="1"/>
  <c r="AK2774" i="1"/>
  <c r="X2576" i="1"/>
  <c r="AK476" i="1"/>
  <c r="AK2154" i="1"/>
  <c r="AK2693" i="1"/>
  <c r="AL2886" i="1"/>
  <c r="X2887" i="1"/>
  <c r="X609" i="1"/>
  <c r="X783" i="1"/>
  <c r="AK2887" i="1"/>
  <c r="AK609" i="1"/>
  <c r="X3147" i="1"/>
  <c r="AL783" i="1"/>
  <c r="AK3147" i="1"/>
  <c r="X2888" i="1"/>
  <c r="X553" i="1"/>
  <c r="AK2888" i="1"/>
  <c r="X3386" i="1"/>
  <c r="AK553" i="1"/>
  <c r="X2248" i="1"/>
  <c r="AK2248" i="1"/>
  <c r="AL65" i="1"/>
  <c r="AK2576" i="1"/>
  <c r="X2693" i="1"/>
  <c r="AK66" i="1"/>
  <c r="AK493" i="1"/>
  <c r="AL1017" i="1"/>
  <c r="AK1831" i="1"/>
  <c r="X4408" i="1"/>
  <c r="AL493" i="1"/>
  <c r="X2331" i="1"/>
  <c r="X4083" i="1"/>
  <c r="X3660" i="1"/>
  <c r="AK629" i="1"/>
  <c r="AL629" i="1"/>
  <c r="AK3660" i="1"/>
  <c r="X476" i="1"/>
  <c r="AK4256" i="1"/>
  <c r="AL4256" i="1"/>
  <c r="AK4408" i="1"/>
  <c r="X4375" i="1"/>
  <c r="AK4375" i="1"/>
  <c r="X65" i="1"/>
  <c r="AK706" i="1"/>
  <c r="AK1410" i="1"/>
  <c r="X279" i="1"/>
  <c r="AL303" i="1"/>
  <c r="X4156" i="1"/>
  <c r="X4252" i="1"/>
  <c r="X303" i="1"/>
  <c r="X706" i="1"/>
  <c r="AL2331" i="1"/>
  <c r="AK474" i="1"/>
  <c r="AK4377" i="1"/>
  <c r="X4377" i="1"/>
  <c r="X1789" i="1"/>
  <c r="AL994" i="1"/>
  <c r="AL3651" i="1"/>
  <c r="AK4083" i="1"/>
  <c r="AL1050" i="1"/>
  <c r="AK1990" i="1"/>
  <c r="X2298" i="1"/>
  <c r="X2154" i="1"/>
  <c r="X994" i="1"/>
  <c r="X1050" i="1"/>
  <c r="AK1791" i="1"/>
  <c r="AK2298" i="1"/>
  <c r="AK1790" i="1"/>
  <c r="AK4156" i="1"/>
  <c r="AK4252" i="1"/>
  <c r="AK2716" i="1"/>
  <c r="AK2468" i="1"/>
  <c r="AL2468" i="1"/>
  <c r="X1908" i="1"/>
  <c r="X3651" i="1"/>
  <c r="AL279" i="1"/>
  <c r="AL4426" i="1"/>
  <c r="AL4281" i="1"/>
  <c r="AK3145" i="1"/>
  <c r="AK4281" i="1"/>
  <c r="AK2763" i="1"/>
  <c r="X2875" i="1"/>
  <c r="AL3145" i="1"/>
  <c r="AL2763" i="1"/>
  <c r="AL3142" i="1"/>
  <c r="X474" i="1"/>
  <c r="AL2791" i="1"/>
  <c r="X4023" i="1"/>
  <c r="X830" i="1"/>
  <c r="AK830" i="1"/>
  <c r="AK2791" i="1"/>
  <c r="AK3142" i="1"/>
  <c r="X2790" i="1"/>
  <c r="AK3143" i="1"/>
  <c r="AL3143" i="1"/>
  <c r="X90" i="1"/>
  <c r="AK90" i="1"/>
  <c r="AL2538" i="1"/>
  <c r="AK2538" i="1"/>
  <c r="AK2090" i="1"/>
  <c r="X4282" i="1"/>
  <c r="AL4406" i="1"/>
  <c r="X3652" i="1"/>
  <c r="AK4406" i="1"/>
  <c r="AL3144" i="1"/>
  <c r="AK3308" i="1"/>
  <c r="X3929" i="1"/>
  <c r="AL3308" i="1"/>
  <c r="AK3652" i="1"/>
  <c r="AL4282" i="1"/>
  <c r="AK4023" i="1"/>
  <c r="AK2790" i="1"/>
  <c r="AL4280" i="1"/>
  <c r="X4426" i="1"/>
  <c r="AK2875" i="1"/>
  <c r="AK3929" i="1"/>
  <c r="AK4280" i="1"/>
  <c r="X3650" i="1"/>
  <c r="X2371" i="1"/>
  <c r="X2876" i="1"/>
  <c r="X3144" i="1"/>
  <c r="AK3650" i="1"/>
  <c r="AK2371" i="1"/>
  <c r="X2716" i="1"/>
  <c r="AK2876" i="1"/>
  <c r="AL1980" i="1"/>
  <c r="X2769" i="1"/>
  <c r="X2090" i="1"/>
  <c r="AK2769" i="1"/>
  <c r="AL1990" i="1"/>
  <c r="X4080" i="1"/>
  <c r="AL4373" i="1"/>
  <c r="X4082" i="1"/>
  <c r="AK4373" i="1"/>
  <c r="AL1410" i="1"/>
  <c r="AL1908" i="1"/>
  <c r="AK1788" i="1"/>
  <c r="X1980" i="1"/>
  <c r="X4140" i="1"/>
  <c r="AK4082" i="1"/>
  <c r="AK4080" i="1"/>
  <c r="AK3641" i="1"/>
  <c r="X4155" i="1"/>
  <c r="AL3641" i="1"/>
  <c r="X4081" i="1"/>
  <c r="AK4081" i="1"/>
  <c r="AK4155" i="1"/>
  <c r="AL3124" i="1"/>
  <c r="AK41" i="1"/>
  <c r="X41" i="1"/>
  <c r="X4407" i="1"/>
  <c r="X4427" i="1"/>
  <c r="X4246" i="1"/>
  <c r="AK1816" i="1"/>
  <c r="X3988" i="1"/>
  <c r="X2504" i="1"/>
  <c r="X4275" i="1"/>
  <c r="AL4214" i="1"/>
  <c r="AL1783" i="1"/>
  <c r="X2765" i="1"/>
  <c r="X156" i="1"/>
  <c r="X1480" i="1"/>
  <c r="AK3988" i="1"/>
  <c r="AK4273" i="1"/>
  <c r="AK1226" i="1"/>
  <c r="AK2504" i="1"/>
  <c r="AK2765" i="1"/>
  <c r="X600" i="1"/>
  <c r="X661" i="1"/>
  <c r="X673" i="1"/>
  <c r="AL1197" i="1"/>
  <c r="AK1347" i="1"/>
  <c r="AK1480" i="1"/>
  <c r="AL1924" i="1"/>
  <c r="AL1969" i="1"/>
  <c r="AL2501" i="1"/>
  <c r="X1973" i="1"/>
  <c r="X2499" i="1"/>
  <c r="X2502" i="1"/>
  <c r="X2505" i="1"/>
  <c r="X3465" i="1"/>
  <c r="X4273" i="1"/>
  <c r="AL4427" i="1"/>
  <c r="AL4407" i="1"/>
  <c r="AK4314" i="1"/>
  <c r="X4276" i="1"/>
  <c r="AK1567" i="1"/>
  <c r="AK3636" i="1"/>
  <c r="AK661" i="1"/>
  <c r="X1478" i="1"/>
  <c r="X1481" i="1"/>
  <c r="X1779" i="1"/>
  <c r="X4141" i="1"/>
  <c r="AL3636" i="1"/>
  <c r="AK155" i="1"/>
  <c r="AK1973" i="1"/>
  <c r="AK2499" i="1"/>
  <c r="AK2502" i="1"/>
  <c r="AK2505" i="1"/>
  <c r="X2747" i="1"/>
  <c r="AK2977" i="1"/>
  <c r="AK3465" i="1"/>
  <c r="X4253" i="1"/>
  <c r="AK156" i="1"/>
  <c r="X1197" i="1"/>
  <c r="AK673" i="1"/>
  <c r="X3844" i="1"/>
  <c r="AK4141" i="1"/>
  <c r="AL4416" i="1"/>
  <c r="AK4365" i="1"/>
  <c r="AK4359" i="1"/>
  <c r="AK600" i="1"/>
  <c r="X1083" i="1"/>
  <c r="X688" i="1"/>
  <c r="X700" i="1"/>
  <c r="X752" i="1"/>
  <c r="AK1083" i="1"/>
  <c r="AK1478" i="1"/>
  <c r="AK1481" i="1"/>
  <c r="AK1779" i="1"/>
  <c r="AK3124" i="1"/>
  <c r="X4416" i="1"/>
  <c r="X1816" i="1"/>
  <c r="AK1815" i="1"/>
  <c r="AL1815" i="1"/>
  <c r="AK3844" i="1"/>
  <c r="X94" i="1"/>
  <c r="AK94" i="1"/>
  <c r="X32" i="1"/>
  <c r="AK32" i="1"/>
  <c r="AL2782" i="1"/>
  <c r="AK1731" i="1"/>
  <c r="X1731" i="1"/>
  <c r="X4243" i="1"/>
  <c r="AK2108" i="1"/>
  <c r="AL2108" i="1"/>
  <c r="AK1562" i="1"/>
  <c r="AK1718" i="1"/>
  <c r="X1718" i="1"/>
  <c r="AL1562" i="1"/>
  <c r="AK1561" i="1"/>
  <c r="X4075" i="1"/>
  <c r="AL2296" i="1"/>
  <c r="X3693" i="1"/>
  <c r="X1043" i="1"/>
  <c r="AK2782" i="1"/>
  <c r="AL380" i="1"/>
  <c r="X1486" i="1"/>
  <c r="AK4075" i="1"/>
  <c r="AL2150" i="1"/>
  <c r="X1659" i="1"/>
  <c r="AK1659" i="1"/>
  <c r="X2148" i="1"/>
  <c r="AK3430" i="1"/>
  <c r="AL3430" i="1"/>
  <c r="AK852" i="1"/>
  <c r="X4095" i="1"/>
  <c r="AK1043" i="1"/>
  <c r="AL2861" i="1"/>
  <c r="AK2148" i="1"/>
  <c r="AK2031" i="1"/>
  <c r="AK3933" i="1"/>
  <c r="X3175" i="1"/>
  <c r="X4428" i="1"/>
  <c r="AK1818" i="1"/>
  <c r="X2329" i="1"/>
  <c r="X2560" i="1"/>
  <c r="X4010" i="1"/>
  <c r="AK2560" i="1"/>
  <c r="X2200" i="1"/>
  <c r="X2632" i="1"/>
  <c r="AK4010" i="1"/>
  <c r="AK3877" i="1"/>
  <c r="X4379" i="1"/>
  <c r="AK4053" i="1"/>
  <c r="AL4053" i="1"/>
  <c r="AK4234" i="1"/>
  <c r="AL4234" i="1"/>
  <c r="AK4243" i="1"/>
  <c r="X4255" i="1"/>
  <c r="AK4095" i="1"/>
  <c r="AL2329" i="1"/>
  <c r="AL4428" i="1"/>
  <c r="AK4255" i="1"/>
  <c r="X380" i="1"/>
  <c r="AK556" i="1"/>
  <c r="AL2817" i="1"/>
  <c r="AK3175" i="1"/>
  <c r="AL93" i="1"/>
  <c r="AK2632" i="1"/>
  <c r="AK4379" i="1"/>
  <c r="X1580" i="1"/>
  <c r="X93" i="1"/>
  <c r="X1818" i="1"/>
  <c r="X3694" i="1"/>
  <c r="X2032" i="1"/>
  <c r="AK2296" i="1"/>
  <c r="X1508" i="1"/>
  <c r="AK2032" i="1"/>
  <c r="X2523" i="1"/>
  <c r="AL2049" i="1"/>
  <c r="AL1474" i="1"/>
  <c r="AK1508" i="1"/>
  <c r="AL2523" i="1"/>
  <c r="AL3429" i="1"/>
  <c r="X2516" i="1"/>
  <c r="AK2516" i="1"/>
  <c r="X1240" i="1"/>
  <c r="AK4096" i="1"/>
  <c r="AL3933" i="1"/>
  <c r="AL4096" i="1"/>
  <c r="X1243" i="1"/>
  <c r="X2861" i="1"/>
  <c r="X556" i="1"/>
  <c r="AL852" i="1"/>
  <c r="AL1243" i="1"/>
  <c r="AK1580" i="1"/>
  <c r="X3877" i="1"/>
  <c r="AK674" i="1"/>
  <c r="X1895" i="1"/>
  <c r="X2150" i="1"/>
  <c r="X3429" i="1"/>
  <c r="AL4226" i="1"/>
  <c r="AL674" i="1"/>
  <c r="X4171" i="1"/>
  <c r="AK4171" i="1"/>
  <c r="AK1895" i="1"/>
  <c r="AK1240" i="1"/>
  <c r="AK1486" i="1"/>
  <c r="X1917" i="1"/>
  <c r="X3176" i="1"/>
  <c r="AK3693" i="1"/>
  <c r="X3428" i="1"/>
  <c r="AL3428" i="1"/>
  <c r="AK3694" i="1"/>
  <c r="AK1917" i="1"/>
  <c r="AK3176" i="1"/>
  <c r="X2049" i="1"/>
  <c r="X4226" i="1"/>
  <c r="AK2789" i="1"/>
  <c r="X3346" i="1"/>
  <c r="X2789" i="1"/>
  <c r="AK3346" i="1"/>
  <c r="X2549" i="1"/>
  <c r="AK3345" i="1"/>
  <c r="AL1630" i="1"/>
  <c r="X1136" i="1"/>
  <c r="X1630" i="1"/>
  <c r="AK1631" i="1"/>
  <c r="X1458" i="1"/>
  <c r="AK1458" i="1"/>
  <c r="X1250" i="1"/>
  <c r="X1631" i="1"/>
  <c r="AK1457" i="1"/>
  <c r="AL1457" i="1"/>
  <c r="AK1599" i="1"/>
  <c r="AK1595" i="1"/>
  <c r="AL1595" i="1"/>
  <c r="AK4209" i="1"/>
  <c r="AL2549" i="1"/>
  <c r="X3345" i="1"/>
  <c r="AL4209" i="1"/>
  <c r="AK1136" i="1"/>
  <c r="X1474" i="1"/>
  <c r="X2206" i="1"/>
  <c r="AK2206" i="1"/>
  <c r="AL2200" i="1"/>
  <c r="X3904" i="1"/>
  <c r="AK3904" i="1"/>
  <c r="AL1561" i="1"/>
  <c r="X2031" i="1"/>
  <c r="X1382" i="1"/>
  <c r="AK1382" i="1"/>
  <c r="AK1250" i="1"/>
  <c r="X287" i="1"/>
  <c r="X1599" i="1"/>
  <c r="X740" i="1"/>
  <c r="X1778" i="1"/>
  <c r="AL1778" i="1"/>
  <c r="AK4385" i="1"/>
  <c r="X1205" i="1"/>
  <c r="AK287" i="1"/>
  <c r="X1530" i="1"/>
  <c r="X2397" i="1"/>
  <c r="AL160" i="1"/>
  <c r="AK160" i="1"/>
  <c r="AK2800" i="1"/>
  <c r="AK454" i="1"/>
  <c r="AK2422" i="1"/>
  <c r="AL454" i="1"/>
  <c r="X259" i="1"/>
  <c r="AL622" i="1"/>
  <c r="AL446" i="1"/>
  <c r="X391" i="1"/>
  <c r="AK391" i="1"/>
  <c r="AL2800" i="1"/>
  <c r="X1531" i="1"/>
  <c r="AK1531" i="1"/>
  <c r="X2244" i="1"/>
  <c r="AK2244" i="1"/>
  <c r="X419" i="1"/>
  <c r="AK1586" i="1"/>
  <c r="AL1586" i="1"/>
  <c r="AK419" i="1"/>
  <c r="AK1854" i="1"/>
  <c r="X2173" i="1"/>
  <c r="AL1854" i="1"/>
  <c r="AK2173" i="1"/>
  <c r="X4405" i="1"/>
  <c r="AL1494" i="1"/>
  <c r="AL2422" i="1"/>
  <c r="X4157" i="1"/>
  <c r="AK4157" i="1"/>
  <c r="AK4405" i="1"/>
  <c r="AK1205" i="1"/>
  <c r="AK2397" i="1"/>
  <c r="X1104" i="1"/>
  <c r="AK1104" i="1"/>
  <c r="AK1530" i="1"/>
  <c r="X2611" i="1"/>
  <c r="X1460" i="1"/>
  <c r="X2411" i="1"/>
  <c r="AK2611" i="1"/>
  <c r="X1494" i="1"/>
  <c r="AK1460" i="1"/>
  <c r="AK2411" i="1"/>
  <c r="X964" i="1"/>
  <c r="AK964" i="1"/>
  <c r="X2252" i="1"/>
  <c r="AK2252" i="1"/>
  <c r="AK2677" i="1"/>
  <c r="X2483" i="1"/>
  <c r="X432" i="1"/>
  <c r="X2135" i="1"/>
  <c r="AK860" i="1"/>
  <c r="AL2117" i="1"/>
  <c r="AK2352" i="1"/>
  <c r="AL582" i="1"/>
  <c r="AL760" i="1"/>
  <c r="AL2151" i="1"/>
  <c r="X1555" i="1"/>
  <c r="AL2065" i="1"/>
  <c r="AL1160" i="1"/>
  <c r="AK922" i="1"/>
  <c r="AG3000" i="1"/>
  <c r="X4410" i="1"/>
  <c r="AK2734" i="1"/>
  <c r="AL733" i="1"/>
  <c r="AL2684" i="1"/>
  <c r="AK4020" i="1"/>
  <c r="X322" i="1"/>
  <c r="AK4192" i="1"/>
  <c r="AL2095" i="1"/>
  <c r="AK1010" i="1"/>
  <c r="X640" i="1"/>
  <c r="X1454" i="1"/>
  <c r="AK486" i="1"/>
  <c r="X2409" i="1"/>
  <c r="AL486" i="1"/>
  <c r="X1182" i="1"/>
  <c r="AL1666" i="1"/>
  <c r="AL4384" i="1"/>
  <c r="X1010" i="1"/>
  <c r="AK1559" i="1"/>
  <c r="AK640" i="1"/>
  <c r="AK2406" i="1"/>
  <c r="AL765" i="1"/>
  <c r="AK2543" i="1"/>
  <c r="X4391" i="1"/>
  <c r="X48" i="1"/>
  <c r="AL4305" i="1"/>
  <c r="AK48" i="1"/>
  <c r="AL634" i="1"/>
  <c r="AK2168" i="1"/>
  <c r="AL2164" i="1"/>
  <c r="AK4312" i="1"/>
  <c r="AK991" i="1"/>
  <c r="AL1848" i="1"/>
  <c r="AK1433" i="1"/>
  <c r="X1666" i="1"/>
  <c r="AK2091" i="1"/>
  <c r="AL2168" i="1"/>
  <c r="AL2543" i="1"/>
  <c r="AL991" i="1"/>
  <c r="AK262" i="1"/>
  <c r="AL1433" i="1"/>
  <c r="AL1559" i="1"/>
  <c r="AL2091" i="1"/>
  <c r="X2406" i="1"/>
  <c r="AK2409" i="1"/>
  <c r="AL1162" i="1"/>
  <c r="X634" i="1"/>
  <c r="X765" i="1"/>
  <c r="X2743" i="1"/>
  <c r="X4312" i="1"/>
  <c r="X1304" i="1"/>
  <c r="AK1454" i="1"/>
  <c r="X1668" i="1"/>
  <c r="X2068" i="1"/>
  <c r="X2333" i="1"/>
  <c r="X2519" i="1"/>
  <c r="AL2743" i="1"/>
  <c r="X4305" i="1"/>
  <c r="AK4384" i="1"/>
  <c r="X460" i="1"/>
  <c r="X1311" i="1"/>
  <c r="AK1557" i="1"/>
  <c r="X1865" i="1"/>
  <c r="X2323" i="1"/>
  <c r="AK3003" i="1"/>
  <c r="AL4382" i="1"/>
  <c r="AK1182" i="1"/>
  <c r="AK1304" i="1"/>
  <c r="AL1557" i="1"/>
  <c r="AK1668" i="1"/>
  <c r="AK2068" i="1"/>
  <c r="AK2333" i="1"/>
  <c r="AK2519" i="1"/>
  <c r="X2748" i="1"/>
  <c r="AL4391" i="1"/>
  <c r="AK4382" i="1"/>
  <c r="AK460" i="1"/>
  <c r="AK1311" i="1"/>
  <c r="X1848" i="1"/>
  <c r="AK1865" i="1"/>
  <c r="X2164" i="1"/>
  <c r="AK2323" i="1"/>
  <c r="AK2748" i="1"/>
  <c r="X3212" i="1"/>
  <c r="AK3464" i="1"/>
  <c r="AK210" i="1"/>
  <c r="AL210" i="1"/>
  <c r="X1129" i="1"/>
  <c r="X4335" i="1"/>
  <c r="AL4311" i="1"/>
  <c r="AK2563" i="1"/>
  <c r="X719" i="1"/>
  <c r="AL2563" i="1"/>
  <c r="X114" i="1"/>
  <c r="AK2178" i="1"/>
  <c r="X557" i="1"/>
  <c r="AK2342" i="1"/>
  <c r="X1355" i="1"/>
  <c r="AK1624" i="1"/>
  <c r="AL2266" i="1"/>
  <c r="AK3919" i="1"/>
  <c r="X597" i="1"/>
  <c r="AL1624" i="1"/>
  <c r="X2117" i="1"/>
  <c r="X4356" i="1"/>
  <c r="AL4356" i="1"/>
  <c r="AK178" i="1"/>
  <c r="AL178" i="1"/>
  <c r="AK597" i="1"/>
  <c r="X860" i="1"/>
  <c r="AK396" i="1"/>
  <c r="AL396" i="1"/>
  <c r="X1274" i="1"/>
  <c r="X2614" i="1"/>
  <c r="AK114" i="1"/>
  <c r="AK719" i="1"/>
  <c r="AK1355" i="1"/>
  <c r="AL2614" i="1"/>
  <c r="AK1274" i="1"/>
  <c r="AK1527" i="1"/>
  <c r="X1698" i="1"/>
  <c r="X2018" i="1"/>
  <c r="AL1527" i="1"/>
  <c r="AK1409" i="1"/>
  <c r="AK1698" i="1"/>
  <c r="AK2018" i="1"/>
  <c r="X2266" i="1"/>
  <c r="AK4311" i="1"/>
  <c r="AL646" i="1"/>
  <c r="X1465" i="1"/>
  <c r="AL1565" i="1"/>
  <c r="X1673" i="1"/>
  <c r="X1874" i="1"/>
  <c r="X1884" i="1"/>
  <c r="X2171" i="1"/>
  <c r="AL2178" i="1"/>
  <c r="AL2342" i="1"/>
  <c r="AL2754" i="1"/>
  <c r="AL322" i="1"/>
  <c r="X524" i="1"/>
  <c r="AK557" i="1"/>
  <c r="AL850" i="1"/>
  <c r="X1677" i="1"/>
  <c r="AL4390" i="1"/>
  <c r="AL1874" i="1"/>
  <c r="AL1884" i="1"/>
  <c r="AL2171" i="1"/>
  <c r="X2436" i="1"/>
  <c r="X2546" i="1"/>
  <c r="X2804" i="1"/>
  <c r="X4390" i="1"/>
  <c r="AK1565" i="1"/>
  <c r="X816" i="1"/>
  <c r="AK1318" i="1"/>
  <c r="AL1677" i="1"/>
  <c r="X2008" i="1"/>
  <c r="X2340" i="1"/>
  <c r="AG4205" i="1"/>
  <c r="AK113" i="1"/>
  <c r="AK1465" i="1"/>
  <c r="AK1673" i="1"/>
  <c r="X1220" i="1"/>
  <c r="AK118" i="1"/>
  <c r="AL343" i="1"/>
  <c r="AL816" i="1"/>
  <c r="AK1035" i="1"/>
  <c r="X1188" i="1"/>
  <c r="AK1322" i="1"/>
  <c r="AK2436" i="1"/>
  <c r="AK2546" i="1"/>
  <c r="AK2804" i="1"/>
  <c r="AL4335" i="1"/>
  <c r="AK646" i="1"/>
  <c r="X1318" i="1"/>
  <c r="AK170" i="1"/>
  <c r="AK648" i="1"/>
  <c r="AL118" i="1"/>
  <c r="AL648" i="1"/>
  <c r="AL1035" i="1"/>
  <c r="AK1220" i="1"/>
  <c r="AL1322" i="1"/>
  <c r="AK1518" i="1"/>
  <c r="AK2340" i="1"/>
  <c r="X2417" i="1"/>
  <c r="AL4410" i="1"/>
  <c r="X343" i="1"/>
  <c r="AL524" i="1"/>
  <c r="AK49" i="1"/>
  <c r="AK777" i="1"/>
  <c r="AK1188" i="1"/>
  <c r="AK1575" i="1"/>
  <c r="X2095" i="1"/>
  <c r="AK2098" i="1"/>
  <c r="X2198" i="1"/>
  <c r="AL113" i="1"/>
  <c r="AL49" i="1"/>
  <c r="AL1575" i="1"/>
  <c r="AL2098" i="1"/>
  <c r="AK2417" i="1"/>
  <c r="X330" i="1"/>
  <c r="AK330" i="1"/>
  <c r="X4417" i="1"/>
  <c r="X582" i="1"/>
  <c r="AK1932" i="1"/>
  <c r="X2811" i="1"/>
  <c r="X1069" i="1"/>
  <c r="AK1069" i="1"/>
  <c r="AL2352" i="1"/>
  <c r="AK2811" i="1"/>
  <c r="X1511" i="1"/>
  <c r="AK1511" i="1"/>
  <c r="X1932" i="1"/>
  <c r="X1685" i="1"/>
  <c r="AG3783" i="1"/>
  <c r="X2443" i="1"/>
  <c r="AL4334" i="1"/>
  <c r="AK1685" i="1"/>
  <c r="X2589" i="1"/>
  <c r="AL4350" i="1"/>
  <c r="X836" i="1"/>
  <c r="X1257" i="1"/>
  <c r="X1584" i="1"/>
  <c r="X2109" i="1"/>
  <c r="X2193" i="1"/>
  <c r="AK2443" i="1"/>
  <c r="AK4350" i="1"/>
  <c r="X848" i="1"/>
  <c r="AK2589" i="1"/>
  <c r="AG3014" i="1"/>
  <c r="AK4348" i="1"/>
  <c r="X382" i="1"/>
  <c r="AK1257" i="1"/>
  <c r="AK1584" i="1"/>
  <c r="AK2109" i="1"/>
  <c r="AK2193" i="1"/>
  <c r="AK689" i="1"/>
  <c r="AK848" i="1"/>
  <c r="AK1351" i="1"/>
  <c r="AK3014" i="1"/>
  <c r="AK382" i="1"/>
  <c r="AK1488" i="1"/>
  <c r="AK2439" i="1"/>
  <c r="X4385" i="1"/>
  <c r="AL4306" i="1"/>
  <c r="AK836" i="1"/>
  <c r="AL1488" i="1"/>
  <c r="X2346" i="1"/>
  <c r="AL2439" i="1"/>
  <c r="AK4334" i="1"/>
  <c r="AK4306" i="1"/>
  <c r="AL4348" i="1"/>
  <c r="AK2346" i="1"/>
  <c r="X662" i="1"/>
  <c r="X1681" i="1"/>
  <c r="X4409" i="1"/>
  <c r="X1253" i="1"/>
  <c r="X2105" i="1"/>
  <c r="X2189" i="1"/>
  <c r="X2583" i="1"/>
  <c r="AK662" i="1"/>
  <c r="X1339" i="1"/>
  <c r="X1578" i="1"/>
  <c r="AK1681" i="1"/>
  <c r="X1902" i="1"/>
  <c r="X368" i="1"/>
  <c r="X573" i="1"/>
  <c r="AK1057" i="1"/>
  <c r="AK1253" i="1"/>
  <c r="AK2105" i="1"/>
  <c r="AK2189" i="1"/>
  <c r="AK2583" i="1"/>
  <c r="X2809" i="1"/>
  <c r="AL4300" i="1"/>
  <c r="AK4409" i="1"/>
  <c r="AK1339" i="1"/>
  <c r="AK1578" i="1"/>
  <c r="AK1902" i="1"/>
  <c r="AK4300" i="1"/>
  <c r="AK573" i="1"/>
  <c r="AK2809" i="1"/>
  <c r="AK368" i="1"/>
  <c r="AK4383" i="1"/>
  <c r="AK4294" i="1"/>
  <c r="AL400" i="1"/>
  <c r="AL1732" i="1"/>
  <c r="X1532" i="1"/>
  <c r="AK4355" i="1"/>
  <c r="AK605" i="1"/>
  <c r="AK1380" i="1"/>
  <c r="AL4383" i="1"/>
  <c r="AL1107" i="1"/>
  <c r="AL1534" i="1"/>
  <c r="AL1633" i="1"/>
  <c r="X2052" i="1"/>
  <c r="X2276" i="1"/>
  <c r="X2388" i="1"/>
  <c r="AK4349" i="1"/>
  <c r="AL903" i="1"/>
  <c r="AL200" i="1"/>
  <c r="AK727" i="1"/>
  <c r="AK1627" i="1"/>
  <c r="AL4372" i="1"/>
  <c r="AK200" i="1"/>
  <c r="AL614" i="1"/>
  <c r="X605" i="1"/>
  <c r="AL727" i="1"/>
  <c r="X1380" i="1"/>
  <c r="AL1627" i="1"/>
  <c r="AK2052" i="1"/>
  <c r="AK2276" i="1"/>
  <c r="AK2388" i="1"/>
  <c r="AL4301" i="1"/>
  <c r="AK4372" i="1"/>
  <c r="AK2045" i="1"/>
  <c r="X1112" i="1"/>
  <c r="X2045" i="1"/>
  <c r="X2677" i="1"/>
  <c r="AK4301" i="1"/>
  <c r="AL4355" i="1"/>
  <c r="X2386" i="1"/>
  <c r="X2638" i="1"/>
  <c r="AL660" i="1"/>
  <c r="AK432" i="1"/>
  <c r="X722" i="1"/>
  <c r="AK1532" i="1"/>
  <c r="AK876" i="1"/>
  <c r="AK1129" i="1"/>
  <c r="X1284" i="1"/>
  <c r="AK2135" i="1"/>
  <c r="AK2273" i="1"/>
  <c r="X2475" i="1"/>
  <c r="AK2483" i="1"/>
  <c r="X2273" i="1"/>
  <c r="AK722" i="1"/>
  <c r="AL876" i="1"/>
  <c r="X1288" i="1"/>
  <c r="X1386" i="1"/>
  <c r="X1761" i="1"/>
  <c r="X2128" i="1"/>
  <c r="AK2386" i="1"/>
  <c r="AK2638" i="1"/>
  <c r="X614" i="1"/>
  <c r="X903" i="1"/>
  <c r="X1107" i="1"/>
  <c r="AK1284" i="1"/>
  <c r="X1534" i="1"/>
  <c r="X1633" i="1"/>
  <c r="AK2475" i="1"/>
  <c r="AK1288" i="1"/>
  <c r="AK1386" i="1"/>
  <c r="AK1761" i="1"/>
  <c r="AK2128" i="1"/>
  <c r="X4349" i="1"/>
  <c r="AL4340" i="1"/>
  <c r="AL4368" i="1"/>
  <c r="AK4340" i="1"/>
  <c r="AK4368" i="1"/>
  <c r="X4294" i="1"/>
  <c r="X435" i="1"/>
  <c r="AK1154" i="1"/>
  <c r="X622" i="1"/>
  <c r="X733" i="1"/>
  <c r="X910" i="1"/>
  <c r="AL922" i="1"/>
  <c r="AL1154" i="1"/>
  <c r="X2065" i="1"/>
  <c r="X2151" i="1"/>
  <c r="AK2403" i="1"/>
  <c r="AL2508" i="1"/>
  <c r="AK234" i="1"/>
  <c r="AK435" i="1"/>
  <c r="AK1555" i="1"/>
  <c r="AL2403" i="1"/>
  <c r="AK2508" i="1"/>
  <c r="AK910" i="1"/>
  <c r="X2734" i="1"/>
  <c r="AL619" i="1"/>
  <c r="X1299" i="1"/>
  <c r="AK259" i="1"/>
  <c r="X1514" i="1"/>
  <c r="AK1548" i="1"/>
  <c r="X2320" i="1"/>
  <c r="AL4371" i="1"/>
  <c r="AK1299" i="1"/>
  <c r="X1417" i="1"/>
  <c r="AK4371" i="1"/>
  <c r="X446" i="1"/>
  <c r="X760" i="1"/>
  <c r="X1160" i="1"/>
  <c r="X1291" i="1"/>
  <c r="AK2320" i="1"/>
  <c r="AG3796" i="1"/>
  <c r="AK1417" i="1"/>
  <c r="AK2491" i="1"/>
  <c r="AL1291" i="1"/>
  <c r="X2057" i="1"/>
  <c r="AL170" i="1"/>
  <c r="AK619" i="1"/>
  <c r="X1092" i="1"/>
  <c r="AL1518" i="1"/>
  <c r="AK1647" i="1"/>
  <c r="AK1695" i="1"/>
  <c r="X2684" i="1"/>
  <c r="X698" i="1"/>
  <c r="X1548" i="1"/>
  <c r="AL1647" i="1"/>
  <c r="AL1695" i="1"/>
  <c r="AK2198" i="1"/>
  <c r="X2491" i="1"/>
  <c r="X2592" i="1"/>
  <c r="X4293" i="1"/>
  <c r="AK1092" i="1"/>
  <c r="X1353" i="1"/>
  <c r="X2317" i="1"/>
  <c r="X4339" i="1"/>
  <c r="AK698" i="1"/>
  <c r="AK2592" i="1"/>
  <c r="AK1353" i="1"/>
  <c r="AK2317" i="1"/>
  <c r="X2359" i="1"/>
  <c r="AL4293" i="1"/>
  <c r="X4367" i="1"/>
  <c r="X585" i="1"/>
  <c r="X1270" i="1"/>
  <c r="AK2057" i="1"/>
  <c r="X2114" i="1"/>
  <c r="X2144" i="1"/>
  <c r="AK2461" i="1"/>
  <c r="AL4347" i="1"/>
  <c r="X2461" i="1"/>
  <c r="X234" i="1"/>
  <c r="X1622" i="1"/>
  <c r="AK2359" i="1"/>
  <c r="X2390" i="1"/>
  <c r="X4347" i="1"/>
  <c r="AK585" i="1"/>
  <c r="AK1270" i="1"/>
  <c r="AK1803" i="1"/>
  <c r="AK2114" i="1"/>
  <c r="AK2144" i="1"/>
  <c r="AK2999" i="1"/>
  <c r="AL4367" i="1"/>
  <c r="AK1622" i="1"/>
  <c r="AK2390" i="1"/>
  <c r="AK389" i="1"/>
  <c r="AL4339" i="1"/>
  <c r="X389" i="1"/>
  <c r="X850" i="1"/>
  <c r="X1409" i="1"/>
  <c r="AL480" i="1"/>
  <c r="X1384" i="1"/>
  <c r="AL1384" i="1"/>
  <c r="AK1370" i="1"/>
  <c r="X1370" i="1"/>
  <c r="AK714" i="1"/>
  <c r="AL2665" i="1"/>
  <c r="X2007" i="1"/>
  <c r="AK2008" i="1"/>
  <c r="X1515" i="1"/>
  <c r="X2082" i="1"/>
  <c r="X2665" i="1"/>
  <c r="X1278" i="1"/>
  <c r="X714" i="1"/>
  <c r="X1371" i="1"/>
  <c r="AK1371" i="1"/>
  <c r="X2204" i="1"/>
  <c r="AL612" i="1"/>
  <c r="AK2204" i="1"/>
  <c r="AK1278" i="1"/>
  <c r="AK1515" i="1"/>
  <c r="X1277" i="1"/>
  <c r="AK1514" i="1"/>
  <c r="X1928" i="1"/>
  <c r="AK1928" i="1"/>
  <c r="X4354" i="1"/>
  <c r="X4353" i="1"/>
  <c r="X4182" i="1"/>
  <c r="X1281" i="1"/>
  <c r="AK1281" i="1"/>
  <c r="X660" i="1"/>
  <c r="X4170" i="1"/>
  <c r="X472" i="1"/>
  <c r="AK472" i="1"/>
  <c r="X480" i="1"/>
  <c r="X612" i="1"/>
  <c r="X1119" i="1"/>
  <c r="X4181" i="1"/>
  <c r="AK1119" i="1"/>
  <c r="AK4181" i="1"/>
  <c r="AK1113" i="1"/>
  <c r="AL1113" i="1"/>
  <c r="AL4354" i="1"/>
  <c r="AK4182" i="1"/>
  <c r="AL4353" i="1"/>
  <c r="AL993" i="1"/>
  <c r="AK1112" i="1"/>
  <c r="AK659" i="1"/>
  <c r="X4159" i="1"/>
  <c r="AL659" i="1"/>
  <c r="AK2082" i="1"/>
  <c r="X894" i="1"/>
  <c r="AK4159" i="1"/>
  <c r="AK894" i="1"/>
  <c r="X1448" i="1"/>
  <c r="X993" i="1"/>
  <c r="AK1448" i="1"/>
  <c r="AL4158" i="1"/>
  <c r="AK4158" i="1"/>
  <c r="AL4387" i="1"/>
  <c r="AK4170" i="1"/>
  <c r="X4387" i="1"/>
  <c r="AL989" i="1"/>
  <c r="AK989" i="1"/>
  <c r="X89" i="1"/>
  <c r="X420" i="1"/>
  <c r="AL89" i="1"/>
  <c r="AK420" i="1"/>
  <c r="X4323" i="1"/>
  <c r="X3858" i="1"/>
  <c r="AK3858" i="1"/>
  <c r="X1439" i="1"/>
  <c r="X4404" i="1"/>
  <c r="AK1439" i="1"/>
  <c r="X4310" i="1"/>
  <c r="AK2911" i="1"/>
  <c r="X2557" i="1"/>
  <c r="X4309" i="1"/>
  <c r="AK4310" i="1"/>
  <c r="AK4309" i="1"/>
  <c r="AK4403" i="1"/>
  <c r="AL3683" i="1"/>
  <c r="X4303" i="1"/>
  <c r="AL4303" i="1"/>
  <c r="AL4404" i="1"/>
  <c r="AK4323" i="1"/>
  <c r="AL4322" i="1"/>
  <c r="AK4322" i="1"/>
  <c r="AK2557" i="1"/>
  <c r="AL2911" i="1"/>
  <c r="X4413" i="1"/>
  <c r="AK4094" i="1"/>
  <c r="X3683" i="1"/>
  <c r="AL4413" i="1"/>
  <c r="AL4094" i="1"/>
  <c r="AK2007" i="1"/>
  <c r="AL2866" i="1"/>
  <c r="X4430" i="1"/>
  <c r="AL4430" i="1"/>
  <c r="AL3351" i="1"/>
  <c r="AK3351" i="1"/>
  <c r="X3874" i="1"/>
  <c r="X2864" i="1"/>
  <c r="X1600" i="1"/>
  <c r="AL2864" i="1"/>
  <c r="AK508" i="1"/>
  <c r="AK1600" i="1"/>
  <c r="AK3354" i="1"/>
  <c r="X4403" i="1"/>
  <c r="X508" i="1"/>
  <c r="AK4431" i="1"/>
  <c r="AK3874" i="1"/>
  <c r="AL4431" i="1"/>
  <c r="AL4402" i="1"/>
  <c r="AL4304" i="1"/>
  <c r="X1280" i="1"/>
  <c r="AK774" i="1"/>
  <c r="X4304" i="1"/>
  <c r="X4402" i="1"/>
  <c r="AL4411" i="1"/>
  <c r="AL774" i="1"/>
  <c r="X4411" i="1"/>
  <c r="X1003" i="1"/>
  <c r="AL4420" i="1"/>
  <c r="X4429" i="1"/>
  <c r="AL4429" i="1"/>
  <c r="X4422" i="1"/>
  <c r="AK1472" i="1"/>
  <c r="AL4422" i="1"/>
  <c r="AK3129" i="1"/>
  <c r="AK2688" i="1"/>
  <c r="X2867" i="1"/>
  <c r="AL1472" i="1"/>
  <c r="AL319" i="1"/>
  <c r="AL3129" i="1"/>
  <c r="X173" i="1"/>
  <c r="AL173" i="1"/>
  <c r="X319" i="1"/>
  <c r="X2295" i="1"/>
  <c r="X4423" i="1"/>
  <c r="AK675" i="1"/>
  <c r="AL675" i="1"/>
  <c r="AK945" i="1"/>
  <c r="AK1003" i="1"/>
  <c r="X1074" i="1"/>
  <c r="X716" i="1"/>
  <c r="AK1074" i="1"/>
  <c r="AK716" i="1"/>
  <c r="AK2295" i="1"/>
  <c r="X3355" i="1"/>
  <c r="AL3132" i="1"/>
  <c r="X3350" i="1"/>
  <c r="AK3350" i="1"/>
  <c r="X2688" i="1"/>
  <c r="X3132" i="1"/>
  <c r="AK3352" i="1"/>
  <c r="X519" i="1"/>
  <c r="AK519" i="1"/>
  <c r="AL4423" i="1"/>
  <c r="X3637" i="1"/>
  <c r="X3131" i="1"/>
  <c r="AK3637" i="1"/>
  <c r="AK3131" i="1"/>
  <c r="AL4290" i="1"/>
  <c r="AK4290" i="1"/>
  <c r="AK4070" i="1"/>
  <c r="AL4070" i="1"/>
  <c r="X2147" i="1"/>
  <c r="X3353" i="1"/>
  <c r="X2866" i="1"/>
  <c r="AK3356" i="1"/>
  <c r="AK2147" i="1"/>
  <c r="AK3353" i="1"/>
  <c r="AL3356" i="1"/>
  <c r="AL3354" i="1"/>
  <c r="AK2149" i="1"/>
  <c r="AK3355" i="1"/>
  <c r="X2107" i="1"/>
  <c r="AL2149" i="1"/>
  <c r="AK1280" i="1"/>
  <c r="AL1376" i="1"/>
  <c r="X1376" i="1"/>
  <c r="AL1725" i="1"/>
  <c r="X2656" i="1"/>
  <c r="X1717" i="1"/>
  <c r="X1447" i="1"/>
  <c r="AK1717" i="1"/>
  <c r="AL1447" i="1"/>
  <c r="AK2107" i="1"/>
  <c r="AK1377" i="1"/>
  <c r="AL1377" i="1"/>
  <c r="AK2656" i="1"/>
  <c r="X3134" i="1"/>
  <c r="X3349" i="1"/>
  <c r="X3352" i="1"/>
  <c r="X2655" i="1"/>
  <c r="AK2867" i="1"/>
  <c r="AK3134" i="1"/>
  <c r="AK3349" i="1"/>
  <c r="X2865" i="1"/>
  <c r="AK2865" i="1"/>
  <c r="AK2655" i="1"/>
  <c r="AK1725" i="1"/>
  <c r="X174" i="1"/>
  <c r="X1957" i="1"/>
  <c r="AK174" i="1"/>
  <c r="X302" i="1"/>
  <c r="AK1277" i="1"/>
  <c r="AK1957" i="1"/>
  <c r="AK740" i="1"/>
  <c r="X1927" i="1"/>
  <c r="AK302" i="1"/>
  <c r="X1958" i="1"/>
  <c r="AL1927" i="1"/>
  <c r="AK1958" i="1"/>
  <c r="X2799" i="1"/>
  <c r="AK2799" i="1"/>
  <c r="AL2465" i="1"/>
  <c r="AK2465" i="1"/>
  <c r="AK4113" i="1"/>
  <c r="AL4113" i="1"/>
  <c r="AL19" i="1"/>
  <c r="AL11" i="1"/>
  <c r="X11" i="1"/>
  <c r="AK900" i="1"/>
  <c r="X900" i="1"/>
  <c r="AK1077" i="1"/>
  <c r="AL1077" i="1"/>
  <c r="X197" i="1"/>
  <c r="X429" i="1"/>
  <c r="AK2275" i="1"/>
  <c r="AL2275" i="1"/>
  <c r="X3701" i="1"/>
  <c r="AK3701" i="1"/>
  <c r="X4186" i="1"/>
  <c r="X3218" i="1"/>
  <c r="X4257" i="1"/>
  <c r="X3366" i="1"/>
  <c r="AL3366" i="1"/>
  <c r="AL4257" i="1"/>
  <c r="AL197" i="1"/>
  <c r="AK27" i="1"/>
  <c r="AK4160" i="1"/>
  <c r="X27" i="1"/>
  <c r="X2831" i="1"/>
  <c r="X2720" i="1"/>
  <c r="AK2831" i="1"/>
  <c r="AL2979" i="1"/>
  <c r="X17" i="1"/>
  <c r="X4160" i="1"/>
  <c r="AK17" i="1"/>
  <c r="AK429" i="1"/>
  <c r="AL155" i="1"/>
  <c r="AK1030" i="1"/>
  <c r="AL1030" i="1"/>
  <c r="X324" i="1"/>
  <c r="AK324" i="1"/>
  <c r="AK4186" i="1"/>
  <c r="X19" i="1"/>
  <c r="AL2704" i="1"/>
  <c r="AK3218" i="1"/>
  <c r="X2977" i="1"/>
  <c r="X3479" i="1"/>
  <c r="AK3970" i="1"/>
  <c r="X4148" i="1"/>
  <c r="AK2979" i="1"/>
  <c r="AL3970" i="1"/>
  <c r="AK3479" i="1"/>
  <c r="X20" i="1"/>
  <c r="AK3085" i="1"/>
  <c r="X3962" i="1"/>
  <c r="X3501" i="1"/>
  <c r="AK2720" i="1"/>
  <c r="X2827" i="1"/>
  <c r="AK3962" i="1"/>
  <c r="X963" i="1"/>
  <c r="AK963" i="1"/>
  <c r="AK2827" i="1"/>
  <c r="AK3501" i="1"/>
  <c r="AK4148" i="1"/>
  <c r="AK20" i="1"/>
  <c r="X336" i="1"/>
  <c r="AK336" i="1"/>
  <c r="AK902" i="1"/>
  <c r="X2221" i="1"/>
  <c r="AK2221" i="1"/>
  <c r="X938" i="1"/>
  <c r="AK1977" i="1"/>
  <c r="AL1977" i="1"/>
  <c r="X657" i="1"/>
  <c r="X902" i="1"/>
  <c r="AK1978" i="1"/>
  <c r="AK657" i="1"/>
  <c r="AL1978" i="1"/>
  <c r="AK15" i="1"/>
  <c r="AL15" i="1"/>
  <c r="X2704" i="1"/>
  <c r="AL938" i="1"/>
  <c r="AL3740" i="1"/>
  <c r="X3739" i="1"/>
  <c r="AK3740" i="1"/>
  <c r="AK3739" i="1"/>
  <c r="AL4247" i="1"/>
  <c r="AK544" i="1"/>
  <c r="AL4062" i="1"/>
  <c r="AK2071" i="1"/>
  <c r="AK3140" i="1"/>
  <c r="AK1426" i="1"/>
  <c r="AL3789" i="1"/>
  <c r="AL711" i="1"/>
  <c r="AK2984" i="1"/>
  <c r="AK1492" i="1"/>
  <c r="AK3253" i="1"/>
  <c r="AK2157" i="1"/>
  <c r="AL3373" i="1"/>
  <c r="AK3184" i="1"/>
  <c r="AL3253" i="1"/>
  <c r="X2016" i="1"/>
  <c r="AL2157" i="1"/>
  <c r="AK1359" i="1"/>
  <c r="AL1108" i="1"/>
  <c r="X3708" i="1"/>
  <c r="X2984" i="1"/>
  <c r="AL2871" i="1"/>
  <c r="AK3373" i="1"/>
  <c r="X766" i="1"/>
  <c r="X1228" i="1"/>
  <c r="AL2544" i="1"/>
  <c r="X746" i="1"/>
  <c r="AK1254" i="1"/>
  <c r="AL1490" i="1"/>
  <c r="X1585" i="1"/>
  <c r="AK1913" i="1"/>
  <c r="X3359" i="1"/>
  <c r="X3707" i="1"/>
  <c r="X3777" i="1"/>
  <c r="AG3966" i="1"/>
  <c r="X3973" i="1"/>
  <c r="X2561" i="1"/>
  <c r="AL1175" i="1"/>
  <c r="AL232" i="1"/>
  <c r="AL1913" i="1"/>
  <c r="X2274" i="1"/>
  <c r="X2277" i="1"/>
  <c r="AK2400" i="1"/>
  <c r="AK2822" i="1"/>
  <c r="AK2924" i="1"/>
  <c r="AK3882" i="1"/>
  <c r="AK3992" i="1"/>
  <c r="X1025" i="1"/>
  <c r="AL1773" i="1"/>
  <c r="AK1701" i="1"/>
  <c r="X2096" i="1"/>
  <c r="AL2561" i="1"/>
  <c r="AK2096" i="1"/>
  <c r="AL1228" i="1"/>
  <c r="AL889" i="1"/>
  <c r="AK1144" i="1"/>
  <c r="AK1872" i="1"/>
  <c r="X1875" i="1"/>
  <c r="X2873" i="1"/>
  <c r="AK2899" i="1"/>
  <c r="AL2924" i="1"/>
  <c r="AL3882" i="1"/>
  <c r="AL3980" i="1"/>
  <c r="AK4050" i="1"/>
  <c r="AL4135" i="1"/>
  <c r="AL206" i="1"/>
  <c r="X1022" i="1"/>
  <c r="X2343" i="1"/>
  <c r="X1678" i="1"/>
  <c r="AK208" i="1"/>
  <c r="AL3" i="1"/>
  <c r="AL179" i="1"/>
  <c r="AL699" i="1"/>
  <c r="AK1000" i="1"/>
  <c r="AL1872" i="1"/>
  <c r="X2247" i="1"/>
  <c r="AL2257" i="1"/>
  <c r="AL2274" i="1"/>
  <c r="AK2277" i="1"/>
  <c r="AK2291" i="1"/>
  <c r="AL2899" i="1"/>
  <c r="X3528" i="1"/>
  <c r="AK3707" i="1"/>
  <c r="AL4144" i="1"/>
  <c r="X904" i="1"/>
  <c r="AK3261" i="1"/>
  <c r="AK1587" i="1"/>
  <c r="AK2522" i="1"/>
  <c r="AL465" i="1"/>
  <c r="AL2343" i="1"/>
  <c r="AL33" i="1"/>
  <c r="AL936" i="1"/>
  <c r="AL1000" i="1"/>
  <c r="AL1455" i="1"/>
  <c r="X1492" i="1"/>
  <c r="AL1875" i="1"/>
  <c r="AK2467" i="1"/>
  <c r="AK3879" i="1"/>
  <c r="X3161" i="1"/>
  <c r="AL3161" i="1"/>
  <c r="AL3180" i="1"/>
  <c r="AK3180" i="1"/>
  <c r="X3180" i="1"/>
  <c r="X3374" i="1"/>
  <c r="AL3374" i="1"/>
  <c r="X4044" i="1"/>
  <c r="AK975" i="1"/>
  <c r="AL1168" i="1"/>
  <c r="AL1728" i="1"/>
  <c r="AL2895" i="1"/>
  <c r="AL2936" i="1"/>
  <c r="AK2985" i="1"/>
  <c r="AL3369" i="1"/>
  <c r="AG3786" i="1"/>
  <c r="AK3786" i="1"/>
  <c r="AG4044" i="1"/>
  <c r="AK228" i="1"/>
  <c r="X228" i="1"/>
  <c r="AL1995" i="1"/>
  <c r="AK1995" i="1"/>
  <c r="X2805" i="1"/>
  <c r="AL2805" i="1"/>
  <c r="X751" i="1"/>
  <c r="X1995" i="1"/>
  <c r="X1744" i="1"/>
  <c r="AK1744" i="1"/>
  <c r="X2256" i="1"/>
  <c r="AK2256" i="1"/>
  <c r="AL2484" i="1"/>
  <c r="X2568" i="1"/>
  <c r="AL2568" i="1"/>
  <c r="AL2581" i="1"/>
  <c r="AK2805" i="1"/>
  <c r="X2985" i="1"/>
  <c r="X3369" i="1"/>
  <c r="X3523" i="1"/>
  <c r="AL3523" i="1"/>
  <c r="AK3523" i="1"/>
  <c r="AK69" i="1"/>
  <c r="AK473" i="1"/>
  <c r="AL473" i="1"/>
  <c r="X2764" i="1"/>
  <c r="AK2764" i="1"/>
  <c r="AL2881" i="1"/>
  <c r="AK2895" i="1"/>
  <c r="AL346" i="1"/>
  <c r="AK4" i="1"/>
  <c r="X781" i="1"/>
  <c r="X889" i="1"/>
  <c r="X1155" i="1"/>
  <c r="AK1155" i="1"/>
  <c r="AK1238" i="1"/>
  <c r="X1238" i="1"/>
  <c r="AK1424" i="1"/>
  <c r="X1424" i="1"/>
  <c r="X2595" i="1"/>
  <c r="AL2727" i="1"/>
  <c r="AK3171" i="1"/>
  <c r="X3253" i="1"/>
  <c r="AK3267" i="1"/>
  <c r="AK3374" i="1"/>
  <c r="AL3439" i="1"/>
  <c r="X3778" i="1"/>
  <c r="AL3778" i="1"/>
  <c r="X4111" i="1"/>
  <c r="AL4111" i="1"/>
  <c r="AK4111" i="1"/>
  <c r="AG4111" i="1"/>
  <c r="AL3436" i="1"/>
  <c r="AK3436" i="1"/>
  <c r="X3849" i="1"/>
  <c r="AL3849" i="1"/>
  <c r="AL7" i="1"/>
  <c r="X7" i="1"/>
  <c r="AL1114" i="1"/>
  <c r="X1114" i="1"/>
  <c r="X2270" i="1"/>
  <c r="AL2270" i="1"/>
  <c r="AK7" i="1"/>
  <c r="X1168" i="1"/>
  <c r="AL1986" i="1"/>
  <c r="AL92" i="1"/>
  <c r="X1566" i="1"/>
  <c r="AK1566" i="1"/>
  <c r="X1876" i="1"/>
  <c r="AK2755" i="1"/>
  <c r="AL2755" i="1"/>
  <c r="AG3245" i="1"/>
  <c r="X3250" i="1"/>
  <c r="X3411" i="1"/>
  <c r="AL2402" i="1"/>
  <c r="AK2402" i="1"/>
  <c r="AL3527" i="1"/>
  <c r="AK3527" i="1"/>
  <c r="AG4206" i="1"/>
  <c r="AL4206" i="1"/>
  <c r="X443" i="1"/>
  <c r="AL443" i="1"/>
  <c r="X4027" i="1"/>
  <c r="AK4027" i="1"/>
  <c r="X516" i="1"/>
  <c r="AK1341" i="1"/>
  <c r="X1341" i="1"/>
  <c r="AK275" i="1"/>
  <c r="AK60" i="1"/>
  <c r="X111" i="1"/>
  <c r="AL111" i="1"/>
  <c r="AK140" i="1"/>
  <c r="X140" i="1"/>
  <c r="X231" i="1"/>
  <c r="AL271" i="1"/>
  <c r="AK271" i="1"/>
  <c r="AL1824" i="1"/>
  <c r="X1824" i="1"/>
  <c r="AK2175" i="1"/>
  <c r="AL2175" i="1"/>
  <c r="X2556" i="1"/>
  <c r="AL2556" i="1"/>
  <c r="AK2556" i="1"/>
  <c r="X2755" i="1"/>
  <c r="X2837" i="1"/>
  <c r="X3187" i="1"/>
  <c r="AG3250" i="1"/>
  <c r="X3264" i="1"/>
  <c r="AL3264" i="1"/>
  <c r="AK3264" i="1"/>
  <c r="AK3849" i="1"/>
  <c r="AL3759" i="1"/>
  <c r="AG3759" i="1"/>
  <c r="X436" i="1"/>
  <c r="AL228" i="1"/>
  <c r="AL630" i="1"/>
  <c r="AK818" i="1"/>
  <c r="X818" i="1"/>
  <c r="AK2797" i="1"/>
  <c r="X2797" i="1"/>
  <c r="AL60" i="1"/>
  <c r="AL1186" i="1"/>
  <c r="X1186" i="1"/>
  <c r="X1319" i="1"/>
  <c r="AK1319" i="1"/>
  <c r="AK2141" i="1"/>
  <c r="X2165" i="1"/>
  <c r="AK2165" i="1"/>
  <c r="AG3009" i="1"/>
  <c r="AK3009" i="1"/>
  <c r="X3363" i="1"/>
  <c r="AL3363" i="1"/>
  <c r="AK3363" i="1"/>
  <c r="AL3411" i="1"/>
  <c r="AK3421" i="1"/>
  <c r="AL3421" i="1"/>
  <c r="AK3521" i="1"/>
  <c r="X4013" i="1"/>
  <c r="AL4013" i="1"/>
  <c r="AK4013" i="1"/>
  <c r="AL225" i="1"/>
  <c r="AK6" i="1"/>
  <c r="X179" i="1"/>
  <c r="AK231" i="1"/>
  <c r="AL289" i="1"/>
  <c r="AK507" i="1"/>
  <c r="X703" i="1"/>
  <c r="AK891" i="1"/>
  <c r="X891" i="1"/>
  <c r="AK1011" i="1"/>
  <c r="X1144" i="1"/>
  <c r="AK1247" i="1"/>
  <c r="AL2837" i="1"/>
  <c r="AL3164" i="1"/>
  <c r="AK3164" i="1"/>
  <c r="AL3187" i="1"/>
  <c r="AK3250" i="1"/>
  <c r="X4138" i="1"/>
  <c r="AL4138" i="1"/>
  <c r="X4269" i="1"/>
  <c r="AG4269" i="1"/>
  <c r="AK4062" i="1"/>
  <c r="AK4247" i="1"/>
  <c r="AL4269" i="1"/>
  <c r="AL3992" i="1"/>
  <c r="AL4050" i="1"/>
  <c r="AL544" i="1"/>
  <c r="AL821" i="1"/>
  <c r="AL837" i="1"/>
  <c r="AL1585" i="1"/>
  <c r="AL1678" i="1"/>
  <c r="AL1701" i="1"/>
  <c r="AL2467" i="1"/>
  <c r="AL2522" i="1"/>
  <c r="X3138" i="1"/>
  <c r="X3174" i="1"/>
  <c r="AL3184" i="1"/>
  <c r="AG3251" i="1"/>
  <c r="AG3255" i="1"/>
  <c r="X3305" i="1"/>
  <c r="AK3359" i="1"/>
  <c r="X3410" i="1"/>
  <c r="X3423" i="1"/>
  <c r="AL4258" i="1"/>
  <c r="AK1614" i="1"/>
  <c r="X2257" i="1"/>
  <c r="AK2391" i="1"/>
  <c r="AK2407" i="1"/>
  <c r="AK2410" i="1"/>
  <c r="AK2877" i="1"/>
  <c r="AK3165" i="1"/>
  <c r="AK3932" i="1"/>
  <c r="AK4040" i="1"/>
  <c r="X801" i="1"/>
  <c r="AL1022" i="1"/>
  <c r="X1087" i="1"/>
  <c r="X1221" i="1"/>
  <c r="AL1942" i="1"/>
  <c r="X1985" i="1"/>
  <c r="X2023" i="1"/>
  <c r="X2069" i="1"/>
  <c r="AL2391" i="1"/>
  <c r="AL2407" i="1"/>
  <c r="X2871" i="1"/>
  <c r="AL2877" i="1"/>
  <c r="AL3165" i="1"/>
  <c r="AK3174" i="1"/>
  <c r="AK3410" i="1"/>
  <c r="X3710" i="1"/>
  <c r="X3714" i="1"/>
  <c r="AL3932" i="1"/>
  <c r="AL3959" i="1"/>
  <c r="X498" i="1"/>
  <c r="AL498" i="1"/>
  <c r="AK518" i="1"/>
  <c r="X518" i="1"/>
  <c r="AL518" i="1"/>
  <c r="AL3514" i="1"/>
  <c r="X3514" i="1"/>
  <c r="AK22" i="1"/>
  <c r="AL22" i="1"/>
  <c r="AK320" i="1"/>
  <c r="AK323" i="1"/>
  <c r="AL344" i="1"/>
  <c r="X344" i="1"/>
  <c r="X406" i="1"/>
  <c r="AL406" i="1"/>
  <c r="AL1623" i="1"/>
  <c r="X1623" i="1"/>
  <c r="X1916" i="1"/>
  <c r="AK1916" i="1"/>
  <c r="AL1916" i="1"/>
  <c r="X4042" i="1"/>
  <c r="AL4042" i="1"/>
  <c r="AK4042" i="1"/>
  <c r="AL139" i="1"/>
  <c r="AK139" i="1"/>
  <c r="X22" i="1"/>
  <c r="AL305" i="1"/>
  <c r="AK305" i="1"/>
  <c r="AL323" i="1"/>
  <c r="X559" i="1"/>
  <c r="AL559" i="1"/>
  <c r="AL718" i="1"/>
  <c r="X718" i="1"/>
  <c r="X2330" i="1"/>
  <c r="AK2330" i="1"/>
  <c r="AL2330" i="1"/>
  <c r="X2604" i="1"/>
  <c r="AL2604" i="1"/>
  <c r="AK2604" i="1"/>
  <c r="AK2909" i="1"/>
  <c r="AL2926" i="1"/>
  <c r="AK2926" i="1"/>
  <c r="X2926" i="1"/>
  <c r="X305" i="1"/>
  <c r="AK406" i="1"/>
  <c r="AL2299" i="1"/>
  <c r="AK2299" i="1"/>
  <c r="X2905" i="1"/>
  <c r="AL2905" i="1"/>
  <c r="AK2905" i="1"/>
  <c r="X2918" i="1"/>
  <c r="AL2918" i="1"/>
  <c r="AL512" i="1"/>
  <c r="AK512" i="1"/>
  <c r="AK559" i="1"/>
  <c r="X628" i="1"/>
  <c r="X712" i="1"/>
  <c r="AL712" i="1"/>
  <c r="AK712" i="1"/>
  <c r="AK1399" i="1"/>
  <c r="X1399" i="1"/>
  <c r="AL1399" i="1"/>
  <c r="AK3418" i="1"/>
  <c r="AL3418" i="1"/>
  <c r="AK116" i="1"/>
  <c r="AL116" i="1"/>
  <c r="X748" i="1"/>
  <c r="AL1099" i="1"/>
  <c r="AK56" i="1"/>
  <c r="AL56" i="1"/>
  <c r="AL220" i="1"/>
  <c r="AK220" i="1"/>
  <c r="AL2237" i="1"/>
  <c r="X2237" i="1"/>
  <c r="AK2237" i="1"/>
  <c r="X56" i="1"/>
  <c r="X116" i="1"/>
  <c r="AK149" i="1"/>
  <c r="AK3016" i="1"/>
  <c r="AL3016" i="1"/>
  <c r="AG3016" i="1"/>
  <c r="AK3027" i="1"/>
  <c r="X5" i="1"/>
  <c r="AL5" i="1"/>
  <c r="AK1071" i="1"/>
  <c r="AL1071" i="1"/>
  <c r="AK2053" i="1"/>
  <c r="X2100" i="1"/>
  <c r="AL2100" i="1"/>
  <c r="AK2100" i="1"/>
  <c r="AL4195" i="1"/>
  <c r="AK4195" i="1"/>
  <c r="X4195" i="1"/>
  <c r="AK146" i="1"/>
  <c r="AK258" i="1"/>
  <c r="AL258" i="1"/>
  <c r="AL1825" i="1"/>
  <c r="X1825" i="1"/>
  <c r="X3017" i="1"/>
  <c r="AL3017" i="1"/>
  <c r="AK3017" i="1"/>
  <c r="AG3017" i="1"/>
  <c r="X3680" i="1"/>
  <c r="AL3680" i="1"/>
  <c r="AK3680" i="1"/>
  <c r="X4161" i="1"/>
  <c r="AL4161" i="1"/>
  <c r="AK4161" i="1"/>
  <c r="AL506" i="1"/>
  <c r="AK506" i="1"/>
  <c r="X744" i="1"/>
  <c r="X1891" i="1"/>
  <c r="AL1891" i="1"/>
  <c r="AK1891" i="1"/>
  <c r="AK2179" i="1"/>
  <c r="AL2179" i="1"/>
  <c r="X2179" i="1"/>
  <c r="X258" i="1"/>
  <c r="AK721" i="1"/>
  <c r="AL721" i="1"/>
  <c r="AL822" i="1"/>
  <c r="X822" i="1"/>
  <c r="AL1720" i="1"/>
  <c r="AK1720" i="1"/>
  <c r="X1720" i="1"/>
  <c r="AL2654" i="1"/>
  <c r="AK2654" i="1"/>
  <c r="X2654" i="1"/>
  <c r="AL4264" i="1"/>
  <c r="AG4264" i="1"/>
  <c r="X2338" i="1"/>
  <c r="AK2338" i="1"/>
  <c r="X2833" i="1"/>
  <c r="AL2833" i="1"/>
  <c r="AK2833" i="1"/>
  <c r="AL2934" i="1"/>
  <c r="AK2934" i="1"/>
  <c r="X2934" i="1"/>
  <c r="AK3241" i="1"/>
  <c r="AG3241" i="1"/>
  <c r="X3241" i="1"/>
  <c r="AL3241" i="1"/>
  <c r="AL3419" i="1"/>
  <c r="AK3419" i="1"/>
  <c r="X3509" i="1"/>
  <c r="AL3509" i="1"/>
  <c r="AK3509" i="1"/>
  <c r="AG3800" i="1"/>
  <c r="X3800" i="1"/>
  <c r="X574" i="1"/>
  <c r="X995" i="1"/>
  <c r="AL1062" i="1"/>
  <c r="X1062" i="1"/>
  <c r="X1179" i="1"/>
  <c r="X1835" i="1"/>
  <c r="X2047" i="1"/>
  <c r="AK2047" i="1"/>
  <c r="AK3282" i="1"/>
  <c r="AL3282" i="1"/>
  <c r="X3419" i="1"/>
  <c r="AG3509" i="1"/>
  <c r="AK548" i="1"/>
  <c r="X870" i="1"/>
  <c r="X992" i="1"/>
  <c r="AL1189" i="1"/>
  <c r="X1189" i="1"/>
  <c r="X1235" i="1"/>
  <c r="AK1989" i="1"/>
  <c r="AL1989" i="1"/>
  <c r="X1989" i="1"/>
  <c r="AL2338" i="1"/>
  <c r="AK2345" i="1"/>
  <c r="AL2345" i="1"/>
  <c r="X2781" i="1"/>
  <c r="AL2812" i="1"/>
  <c r="AK2812" i="1"/>
  <c r="AL3185" i="1"/>
  <c r="X3282" i="1"/>
  <c r="AK3801" i="1"/>
  <c r="AL3801" i="1"/>
  <c r="AG3801" i="1"/>
  <c r="X3801" i="1"/>
  <c r="X3924" i="1"/>
  <c r="AL3924" i="1"/>
  <c r="AK3924" i="1"/>
  <c r="X4258" i="1"/>
  <c r="X4264" i="1"/>
  <c r="AK1297" i="1"/>
  <c r="X1297" i="1"/>
  <c r="AL548" i="1"/>
  <c r="AK1179" i="1"/>
  <c r="AK1835" i="1"/>
  <c r="X2915" i="1"/>
  <c r="AL2915" i="1"/>
  <c r="AK2915" i="1"/>
  <c r="AK3487" i="1"/>
  <c r="X4072" i="1"/>
  <c r="AL4072" i="1"/>
  <c r="AG4072" i="1"/>
  <c r="AL9" i="1"/>
  <c r="AL574" i="1"/>
  <c r="X1772" i="1"/>
  <c r="AK1772" i="1"/>
  <c r="AK2760" i="1"/>
  <c r="AL2760" i="1"/>
  <c r="AK2781" i="1"/>
  <c r="X3217" i="1"/>
  <c r="AL3217" i="1"/>
  <c r="AK3217" i="1"/>
  <c r="AL3808" i="1"/>
  <c r="AG3808" i="1"/>
  <c r="AL4025" i="1"/>
  <c r="AK4025" i="1"/>
  <c r="X4025" i="1"/>
  <c r="AK4264" i="1"/>
  <c r="AK3" i="1"/>
  <c r="AK111" i="1"/>
  <c r="AK131" i="1"/>
  <c r="AL201" i="1"/>
  <c r="AK345" i="1"/>
  <c r="AL348" i="1"/>
  <c r="AK436" i="1"/>
  <c r="X473" i="1"/>
  <c r="X513" i="1"/>
  <c r="AK537" i="1"/>
  <c r="X558" i="1"/>
  <c r="AK707" i="1"/>
  <c r="AK713" i="1"/>
  <c r="AL1087" i="1"/>
  <c r="AL1319" i="1"/>
  <c r="AL1426" i="1"/>
  <c r="AL1614" i="1"/>
  <c r="AK1625" i="1"/>
  <c r="AK1769" i="1"/>
  <c r="AL1769" i="1"/>
  <c r="X1769" i="1"/>
  <c r="X2744" i="1"/>
  <c r="X2760" i="1"/>
  <c r="AL3171" i="1"/>
  <c r="X3404" i="1"/>
  <c r="AL3404" i="1"/>
  <c r="AK3404" i="1"/>
  <c r="AK3440" i="1"/>
  <c r="AL3440" i="1"/>
  <c r="X3677" i="1"/>
  <c r="AL3677" i="1"/>
  <c r="AK3677" i="1"/>
  <c r="X3808" i="1"/>
  <c r="AG4019" i="1"/>
  <c r="AL4019" i="1"/>
  <c r="AK4019" i="1"/>
  <c r="AK4072" i="1"/>
  <c r="AK1163" i="1"/>
  <c r="AL3019" i="1"/>
  <c r="AK3019" i="1"/>
  <c r="X3019" i="1"/>
  <c r="X3163" i="1"/>
  <c r="AL3163" i="1"/>
  <c r="AK3163" i="1"/>
  <c r="AK1762" i="1"/>
  <c r="AL1772" i="1"/>
  <c r="AL2278" i="1"/>
  <c r="AK2278" i="1"/>
  <c r="AK2728" i="1"/>
  <c r="AK2757" i="1"/>
  <c r="AL2757" i="1"/>
  <c r="AK3862" i="1"/>
  <c r="X3862" i="1"/>
  <c r="AL4056" i="1"/>
  <c r="X4056" i="1"/>
  <c r="AK4246" i="1"/>
  <c r="AL995" i="1"/>
  <c r="AK1422" i="1"/>
  <c r="X1422" i="1"/>
  <c r="AK2569" i="1"/>
  <c r="AL2569" i="1"/>
  <c r="AL3768" i="1"/>
  <c r="AK3768" i="1"/>
  <c r="AL40" i="1"/>
  <c r="X91" i="1"/>
  <c r="AL507" i="1"/>
  <c r="AL877" i="1"/>
  <c r="AK877" i="1"/>
  <c r="X877" i="1"/>
  <c r="AL1011" i="1"/>
  <c r="AL1135" i="1"/>
  <c r="AL1235" i="1"/>
  <c r="X1298" i="1"/>
  <c r="X1489" i="1"/>
  <c r="AK1489" i="1"/>
  <c r="X1762" i="1"/>
  <c r="AK58" i="1"/>
  <c r="AK88" i="1"/>
  <c r="AL91" i="1"/>
  <c r="AL537" i="1"/>
  <c r="AK588" i="1"/>
  <c r="AL1244" i="1"/>
  <c r="AK1244" i="1"/>
  <c r="X1244" i="1"/>
  <c r="AL1556" i="1"/>
  <c r="AK1556" i="1"/>
  <c r="AK230" i="1"/>
  <c r="AK274" i="1"/>
  <c r="AK525" i="1"/>
  <c r="AK558" i="1"/>
  <c r="AL615" i="1"/>
  <c r="AK954" i="1"/>
  <c r="X975" i="1"/>
  <c r="AK1133" i="1"/>
  <c r="X1183" i="1"/>
  <c r="X1359" i="1"/>
  <c r="X1556" i="1"/>
  <c r="X2387" i="1"/>
  <c r="AL2387" i="1"/>
  <c r="X2437" i="1"/>
  <c r="AL2437" i="1"/>
  <c r="AK2437" i="1"/>
  <c r="AK2744" i="1"/>
  <c r="AK2997" i="1"/>
  <c r="AL3168" i="1"/>
  <c r="AK3168" i="1"/>
  <c r="X3168" i="1"/>
  <c r="AG3239" i="1"/>
  <c r="AL3986" i="1"/>
  <c r="AK3986" i="1"/>
  <c r="X3990" i="1"/>
  <c r="AL3990" i="1"/>
  <c r="AK3990" i="1"/>
  <c r="AL1765" i="1"/>
  <c r="X1765" i="1"/>
  <c r="X230" i="1"/>
  <c r="X615" i="1"/>
  <c r="X954" i="1"/>
  <c r="AL97" i="1"/>
  <c r="AK555" i="1"/>
  <c r="AL707" i="1"/>
  <c r="AL1489" i="1"/>
  <c r="AK346" i="1"/>
  <c r="AK443" i="1"/>
  <c r="AL513" i="1"/>
  <c r="AL516" i="1"/>
  <c r="AL525" i="1"/>
  <c r="AK630" i="1"/>
  <c r="AK699" i="1"/>
  <c r="AK711" i="1"/>
  <c r="AK720" i="1"/>
  <c r="X819" i="1"/>
  <c r="AK821" i="1"/>
  <c r="X936" i="1"/>
  <c r="AL955" i="1"/>
  <c r="X955" i="1"/>
  <c r="AL1133" i="1"/>
  <c r="AL1588" i="1"/>
  <c r="X1588" i="1"/>
  <c r="X1998" i="1"/>
  <c r="AK1998" i="1"/>
  <c r="AK2016" i="1"/>
  <c r="AK2517" i="1"/>
  <c r="X2517" i="1"/>
  <c r="AK2544" i="1"/>
  <c r="AK2547" i="1"/>
  <c r="X2836" i="1"/>
  <c r="AL2836" i="1"/>
  <c r="X3400" i="1"/>
  <c r="AL3400" i="1"/>
  <c r="AK3400" i="1"/>
  <c r="AK4056" i="1"/>
  <c r="AK2480" i="1"/>
  <c r="AL2480" i="1"/>
  <c r="X2480" i="1"/>
  <c r="AK2564" i="1"/>
  <c r="AL2564" i="1"/>
  <c r="X3433" i="1"/>
  <c r="AK3433" i="1"/>
  <c r="X3437" i="1"/>
  <c r="AL3437" i="1"/>
  <c r="AK3437" i="1"/>
  <c r="AL3528" i="1"/>
  <c r="AK3528" i="1"/>
  <c r="AK3781" i="1"/>
  <c r="AL3781" i="1"/>
  <c r="AG3781" i="1"/>
  <c r="AL4007" i="1"/>
  <c r="AK4007" i="1"/>
  <c r="X4007" i="1"/>
  <c r="AL1221" i="1"/>
  <c r="AL1247" i="1"/>
  <c r="AL1587" i="1"/>
  <c r="AK1824" i="1"/>
  <c r="AL2023" i="1"/>
  <c r="AK2075" i="1"/>
  <c r="AK2094" i="1"/>
  <c r="AL2094" i="1"/>
  <c r="X2111" i="1"/>
  <c r="AL2111" i="1"/>
  <c r="AL2256" i="1"/>
  <c r="AK2530" i="1"/>
  <c r="AL2530" i="1"/>
  <c r="AL2595" i="1"/>
  <c r="X2627" i="1"/>
  <c r="AL2627" i="1"/>
  <c r="AK2718" i="1"/>
  <c r="X2718" i="1"/>
  <c r="AK3423" i="1"/>
  <c r="X4036" i="1"/>
  <c r="AL4036" i="1"/>
  <c r="AK2260" i="1"/>
  <c r="X2260" i="1"/>
  <c r="X2581" i="1"/>
  <c r="X2881" i="1"/>
  <c r="AL3138" i="1"/>
  <c r="X3412" i="1"/>
  <c r="AL3412" i="1"/>
  <c r="AL3805" i="1"/>
  <c r="AG3805" i="1"/>
  <c r="X3918" i="1"/>
  <c r="AL3918" i="1"/>
  <c r="AK3918" i="1"/>
  <c r="AK3973" i="1"/>
  <c r="AG4036" i="1"/>
  <c r="X4224" i="1"/>
  <c r="AL4224" i="1"/>
  <c r="AK4224" i="1"/>
  <c r="AK1432" i="1"/>
  <c r="AL1512" i="1"/>
  <c r="AK1849" i="1"/>
  <c r="X3173" i="1"/>
  <c r="AL3173" i="1"/>
  <c r="AK3173" i="1"/>
  <c r="AL3238" i="1"/>
  <c r="AK3238" i="1"/>
  <c r="AG3238" i="1"/>
  <c r="X3238" i="1"/>
  <c r="X3259" i="1"/>
  <c r="AG3259" i="1"/>
  <c r="AK3416" i="1"/>
  <c r="AL3416" i="1"/>
  <c r="AK3794" i="1"/>
  <c r="X3879" i="1"/>
  <c r="AL3907" i="1"/>
  <c r="AK3907" i="1"/>
  <c r="X3959" i="1"/>
  <c r="AL891" i="1"/>
  <c r="X953" i="1"/>
  <c r="AL1238" i="1"/>
  <c r="X1490" i="1"/>
  <c r="AL2524" i="1"/>
  <c r="AK2524" i="1"/>
  <c r="X2524" i="1"/>
  <c r="AL2628" i="1"/>
  <c r="X2628" i="1"/>
  <c r="AK3412" i="1"/>
  <c r="AK3583" i="1"/>
  <c r="AL3583" i="1"/>
  <c r="AL3794" i="1"/>
  <c r="AK4036" i="1"/>
  <c r="X4196" i="1"/>
  <c r="AL4196" i="1"/>
  <c r="X3140" i="1"/>
  <c r="AK3372" i="1"/>
  <c r="AG3778" i="1"/>
  <c r="AK2048" i="1"/>
  <c r="AL2066" i="1"/>
  <c r="AK2073" i="1"/>
  <c r="AL2796" i="1"/>
  <c r="X2822" i="1"/>
  <c r="X3009" i="1"/>
  <c r="AG3012" i="1"/>
  <c r="AK3303" i="1"/>
  <c r="AL2048" i="1"/>
  <c r="AK2270" i="1"/>
  <c r="X2936" i="1"/>
  <c r="AK3161" i="1"/>
  <c r="X3164" i="1"/>
  <c r="AK3170" i="1"/>
  <c r="AK3260" i="1"/>
  <c r="AG3264" i="1"/>
  <c r="AL3303" i="1"/>
  <c r="AG3523" i="1"/>
  <c r="AL3686" i="1"/>
  <c r="AK3778" i="1"/>
  <c r="AG3789" i="1"/>
  <c r="X2072" i="1"/>
  <c r="AL2072" i="1"/>
  <c r="X139" i="1"/>
  <c r="AL147" i="1"/>
  <c r="AL335" i="1"/>
  <c r="X358" i="1"/>
  <c r="AL358" i="1"/>
  <c r="AK598" i="1"/>
  <c r="X708" i="1"/>
  <c r="AK708" i="1"/>
  <c r="X720" i="1"/>
  <c r="X723" i="1"/>
  <c r="AK723" i="1"/>
  <c r="AL723" i="1"/>
  <c r="X868" i="1"/>
  <c r="AL868" i="1"/>
  <c r="AK893" i="1"/>
  <c r="X925" i="1"/>
  <c r="X1108" i="1"/>
  <c r="AL1342" i="1"/>
  <c r="AK1342" i="1"/>
  <c r="X1342" i="1"/>
  <c r="X1558" i="1"/>
  <c r="AL1558" i="1"/>
  <c r="AK1576" i="1"/>
  <c r="AL1576" i="1"/>
  <c r="X1576" i="1"/>
  <c r="AK1682" i="1"/>
  <c r="AL2321" i="1"/>
  <c r="X2321" i="1"/>
  <c r="AK2321" i="1"/>
  <c r="X2428" i="1"/>
  <c r="AL2428" i="1"/>
  <c r="X2520" i="1"/>
  <c r="AK2520" i="1"/>
  <c r="AL2520" i="1"/>
  <c r="X2680" i="1"/>
  <c r="AL2680" i="1"/>
  <c r="AK2680" i="1"/>
  <c r="X63" i="1"/>
  <c r="AL229" i="1"/>
  <c r="AK229" i="1"/>
  <c r="X98" i="1"/>
  <c r="X125" i="1"/>
  <c r="AL196" i="1"/>
  <c r="X937" i="1"/>
  <c r="X1423" i="1"/>
  <c r="AL1423" i="1"/>
  <c r="X1655" i="1"/>
  <c r="AK1655" i="1"/>
  <c r="AL1655" i="1"/>
  <c r="AK2072" i="1"/>
  <c r="X2300" i="1"/>
  <c r="AK2300" i="1"/>
  <c r="AL2300" i="1"/>
  <c r="X2324" i="1"/>
  <c r="AL2324" i="1"/>
  <c r="AK2324" i="1"/>
  <c r="AL2382" i="1"/>
  <c r="X2382" i="1"/>
  <c r="AK2382" i="1"/>
  <c r="AL2783" i="1"/>
  <c r="AK2783" i="1"/>
  <c r="X2783" i="1"/>
  <c r="X2917" i="1"/>
  <c r="AL2917" i="1"/>
  <c r="AK2917" i="1"/>
  <c r="AL4184" i="1"/>
  <c r="AK4184" i="1"/>
  <c r="AG4184" i="1"/>
  <c r="X4184" i="1"/>
  <c r="X8" i="1"/>
  <c r="AK147" i="1"/>
  <c r="AK150" i="1"/>
  <c r="X300" i="1"/>
  <c r="AK335" i="1"/>
  <c r="AK347" i="1"/>
  <c r="X347" i="1"/>
  <c r="X494" i="1"/>
  <c r="X626" i="1"/>
  <c r="AK817" i="1"/>
  <c r="AL844" i="1"/>
  <c r="X844" i="1"/>
  <c r="AL1036" i="1"/>
  <c r="X1036" i="1"/>
  <c r="AK1036" i="1"/>
  <c r="X1093" i="1"/>
  <c r="AK1093" i="1"/>
  <c r="AL1093" i="1"/>
  <c r="AL1161" i="1"/>
  <c r="AK1161" i="1"/>
  <c r="X1161" i="1"/>
  <c r="AK1271" i="1"/>
  <c r="X1271" i="1"/>
  <c r="AL1271" i="1"/>
  <c r="X1387" i="1"/>
  <c r="AL1387" i="1"/>
  <c r="X1914" i="1"/>
  <c r="AL1914" i="1"/>
  <c r="AK2133" i="1"/>
  <c r="X2133" i="1"/>
  <c r="X2194" i="1"/>
  <c r="AK2194" i="1"/>
  <c r="AL2194" i="1"/>
  <c r="X2337" i="1"/>
  <c r="AL2337" i="1"/>
  <c r="AK2337" i="1"/>
  <c r="AL2427" i="1"/>
  <c r="AK2466" i="1"/>
  <c r="AL2466" i="1"/>
  <c r="X2913" i="1"/>
  <c r="AK2913" i="1"/>
  <c r="AL2913" i="1"/>
  <c r="AK3657" i="1"/>
  <c r="X3657" i="1"/>
  <c r="X6" i="1"/>
  <c r="AK10" i="1"/>
  <c r="AK34" i="1"/>
  <c r="X58" i="1"/>
  <c r="AK63" i="1"/>
  <c r="X69" i="1"/>
  <c r="X4" i="1"/>
  <c r="AK8" i="1"/>
  <c r="AL10" i="1"/>
  <c r="AL34" i="1"/>
  <c r="X88" i="1"/>
  <c r="AK125" i="1"/>
  <c r="AK136" i="1"/>
  <c r="AK184" i="1"/>
  <c r="AK232" i="1"/>
  <c r="AK300" i="1"/>
  <c r="X475" i="1"/>
  <c r="AK475" i="1"/>
  <c r="AL586" i="1"/>
  <c r="AK586" i="1"/>
  <c r="AL598" i="1"/>
  <c r="AL893" i="1"/>
  <c r="AL952" i="1"/>
  <c r="X1105" i="1"/>
  <c r="AL1105" i="1"/>
  <c r="AK1105" i="1"/>
  <c r="X1373" i="1"/>
  <c r="AL1373" i="1"/>
  <c r="AK1387" i="1"/>
  <c r="AL1682" i="1"/>
  <c r="AK1914" i="1"/>
  <c r="AL2133" i="1"/>
  <c r="AL2240" i="1"/>
  <c r="X2240" i="1"/>
  <c r="AL2347" i="1"/>
  <c r="AK2347" i="1"/>
  <c r="X2434" i="1"/>
  <c r="AL2434" i="1"/>
  <c r="AK2434" i="1"/>
  <c r="AL2615" i="1"/>
  <c r="AK2615" i="1"/>
  <c r="X2615" i="1"/>
  <c r="AK2630" i="1"/>
  <c r="AL2630" i="1"/>
  <c r="AK2639" i="1"/>
  <c r="X2711" i="1"/>
  <c r="AL2711" i="1"/>
  <c r="AK2711" i="1"/>
  <c r="AL831" i="1"/>
  <c r="X831" i="1"/>
  <c r="AK1167" i="1"/>
  <c r="AL1167" i="1"/>
  <c r="X1167" i="1"/>
  <c r="AK2279" i="1"/>
  <c r="X817" i="1"/>
  <c r="X184" i="1"/>
  <c r="X229" i="1"/>
  <c r="AK272" i="1"/>
  <c r="X272" i="1"/>
  <c r="AK284" i="1"/>
  <c r="AL284" i="1"/>
  <c r="AK383" i="1"/>
  <c r="X383" i="1"/>
  <c r="AK463" i="1"/>
  <c r="X463" i="1"/>
  <c r="X491" i="1"/>
  <c r="AL491" i="1"/>
  <c r="AL589" i="1"/>
  <c r="AK589" i="1"/>
  <c r="X589" i="1"/>
  <c r="AL742" i="1"/>
  <c r="X742" i="1"/>
  <c r="X952" i="1"/>
  <c r="X35" i="1"/>
  <c r="AL494" i="1"/>
  <c r="AL555" i="1"/>
  <c r="X655" i="1"/>
  <c r="AK655" i="1"/>
  <c r="AL677" i="1"/>
  <c r="X677" i="1"/>
  <c r="X851" i="1"/>
  <c r="AK923" i="1"/>
  <c r="AL1589" i="1"/>
  <c r="AK1589" i="1"/>
  <c r="X1719" i="1"/>
  <c r="AL1719" i="1"/>
  <c r="X1858" i="1"/>
  <c r="AL1903" i="1"/>
  <c r="AK1903" i="1"/>
  <c r="X2155" i="1"/>
  <c r="AL2155" i="1"/>
  <c r="X2389" i="1"/>
  <c r="AK2389" i="1"/>
  <c r="AL2389" i="1"/>
  <c r="X2473" i="1"/>
  <c r="AK2473" i="1"/>
  <c r="X2923" i="1"/>
  <c r="AK2923" i="1"/>
  <c r="AL2923" i="1"/>
  <c r="AG3024" i="1"/>
  <c r="X3024" i="1"/>
  <c r="AL3024" i="1"/>
  <c r="AK3024" i="1"/>
  <c r="X3957" i="1"/>
  <c r="AL3957" i="1"/>
  <c r="AG4262" i="1"/>
  <c r="AL4262" i="1"/>
  <c r="X9" i="1"/>
  <c r="X97" i="1"/>
  <c r="X185" i="1"/>
  <c r="AK189" i="1"/>
  <c r="AL189" i="1"/>
  <c r="AK270" i="1"/>
  <c r="AK292" i="1"/>
  <c r="X292" i="1"/>
  <c r="X304" i="1"/>
  <c r="X348" i="1"/>
  <c r="X587" i="1"/>
  <c r="AK617" i="1"/>
  <c r="X617" i="1"/>
  <c r="AL620" i="1"/>
  <c r="AK620" i="1"/>
  <c r="X911" i="1"/>
  <c r="AK1473" i="1"/>
  <c r="AL1473" i="1"/>
  <c r="X1473" i="1"/>
  <c r="X1589" i="1"/>
  <c r="AL1637" i="1"/>
  <c r="X1637" i="1"/>
  <c r="X1786" i="1"/>
  <c r="AL1786" i="1"/>
  <c r="AK1799" i="1"/>
  <c r="X1799" i="1"/>
  <c r="X1855" i="1"/>
  <c r="X2019" i="1"/>
  <c r="AL2019" i="1"/>
  <c r="X2064" i="1"/>
  <c r="AL2064" i="1"/>
  <c r="AK2064" i="1"/>
  <c r="AK2139" i="1"/>
  <c r="AL2139" i="1"/>
  <c r="X2139" i="1"/>
  <c r="X2401" i="1"/>
  <c r="AL2401" i="1"/>
  <c r="AK2401" i="1"/>
  <c r="AK2444" i="1"/>
  <c r="X2444" i="1"/>
  <c r="X2919" i="1"/>
  <c r="AL2919" i="1"/>
  <c r="AK2919" i="1"/>
  <c r="X647" i="1"/>
  <c r="AK647" i="1"/>
  <c r="X858" i="1"/>
  <c r="AK858" i="1"/>
  <c r="AL875" i="1"/>
  <c r="X875" i="1"/>
  <c r="AL1187" i="1"/>
  <c r="AK1187" i="1"/>
  <c r="AL366" i="1"/>
  <c r="AK366" i="1"/>
  <c r="X1710" i="1"/>
  <c r="AL1710" i="1"/>
  <c r="AK1801" i="1"/>
  <c r="AL1801" i="1"/>
  <c r="X1801" i="1"/>
  <c r="X2038" i="1"/>
  <c r="AL2038" i="1"/>
  <c r="AK2038" i="1"/>
  <c r="AK2599" i="1"/>
  <c r="AL2599" i="1"/>
  <c r="X2599" i="1"/>
  <c r="AK1620" i="1"/>
  <c r="AL1620" i="1"/>
  <c r="X1620" i="1"/>
  <c r="X1745" i="1"/>
  <c r="AK1745" i="1"/>
  <c r="AK1807" i="1"/>
  <c r="AL1885" i="1"/>
  <c r="X1885" i="1"/>
  <c r="AK1987" i="1"/>
  <c r="AL1987" i="1"/>
  <c r="X1987" i="1"/>
  <c r="X2074" i="1"/>
  <c r="AK2074" i="1"/>
  <c r="AL2118" i="1"/>
  <c r="AK2118" i="1"/>
  <c r="AK2404" i="1"/>
  <c r="AL2404" i="1"/>
  <c r="X64" i="1"/>
  <c r="X401" i="1"/>
  <c r="AK401" i="1"/>
  <c r="AK154" i="1"/>
  <c r="AL270" i="1"/>
  <c r="AK356" i="1"/>
  <c r="AL401" i="1"/>
  <c r="AK1237" i="1"/>
  <c r="AL1237" i="1"/>
  <c r="X1237" i="1"/>
  <c r="AL1923" i="1"/>
  <c r="AK1923" i="1"/>
  <c r="AL260" i="1"/>
  <c r="AK260" i="1"/>
  <c r="X171" i="1"/>
  <c r="X447" i="1"/>
  <c r="AL447" i="1"/>
  <c r="X461" i="1"/>
  <c r="AL35" i="1"/>
  <c r="AL734" i="1"/>
  <c r="X734" i="1"/>
  <c r="AK851" i="1"/>
  <c r="X1199" i="1"/>
  <c r="AK1199" i="1"/>
  <c r="AL1199" i="1"/>
  <c r="X1425" i="1"/>
  <c r="AK1425" i="1"/>
  <c r="AK1437" i="1"/>
  <c r="X1634" i="1"/>
  <c r="AK1634" i="1"/>
  <c r="AK1719" i="1"/>
  <c r="AL1814" i="1"/>
  <c r="AK1858" i="1"/>
  <c r="X2046" i="1"/>
  <c r="AL2046" i="1"/>
  <c r="AK2046" i="1"/>
  <c r="AK2155" i="1"/>
  <c r="AL2349" i="1"/>
  <c r="X2349" i="1"/>
  <c r="AL2473" i="1"/>
  <c r="AK3584" i="1"/>
  <c r="AL3584" i="1"/>
  <c r="X3584" i="1"/>
  <c r="AL3788" i="1"/>
  <c r="AK3788" i="1"/>
  <c r="AG3788" i="1"/>
  <c r="X3788" i="1"/>
  <c r="AL64" i="1"/>
  <c r="AL185" i="1"/>
  <c r="X220" i="1"/>
  <c r="AL356" i="1"/>
  <c r="X375" i="1"/>
  <c r="AK375" i="1"/>
  <c r="AK587" i="1"/>
  <c r="X606" i="1"/>
  <c r="AL606" i="1"/>
  <c r="AL655" i="1"/>
  <c r="X869" i="1"/>
  <c r="AL1007" i="1"/>
  <c r="X1007" i="1"/>
  <c r="X1170" i="1"/>
  <c r="AK1170" i="1"/>
  <c r="AK1206" i="1"/>
  <c r="AL1206" i="1"/>
  <c r="X1206" i="1"/>
  <c r="AK1236" i="1"/>
  <c r="AL1236" i="1"/>
  <c r="X1236" i="1"/>
  <c r="X1455" i="1"/>
  <c r="AK1786" i="1"/>
  <c r="AL1999" i="1"/>
  <c r="AK1999" i="1"/>
  <c r="AK2019" i="1"/>
  <c r="AL2106" i="1"/>
  <c r="AK2106" i="1"/>
  <c r="X2106" i="1"/>
  <c r="AK2140" i="1"/>
  <c r="X2140" i="1"/>
  <c r="X2199" i="1"/>
  <c r="AK2199" i="1"/>
  <c r="X2518" i="1"/>
  <c r="AL2518" i="1"/>
  <c r="AK2518" i="1"/>
  <c r="AK2571" i="1"/>
  <c r="AL2571" i="1"/>
  <c r="AL2810" i="1"/>
  <c r="X892" i="1"/>
  <c r="AK892" i="1"/>
  <c r="X2336" i="1"/>
  <c r="AK2336" i="1"/>
  <c r="X2749" i="1"/>
  <c r="AK2749" i="1"/>
  <c r="AK2995" i="1"/>
  <c r="AL487" i="1"/>
  <c r="AK487" i="1"/>
  <c r="AL499" i="1"/>
  <c r="X499" i="1"/>
  <c r="AK2540" i="1"/>
  <c r="AL2540" i="1"/>
  <c r="AL2605" i="1"/>
  <c r="AK2605" i="1"/>
  <c r="X2605" i="1"/>
  <c r="AL3922" i="1"/>
  <c r="AK3922" i="1"/>
  <c r="X3922" i="1"/>
  <c r="AK37" i="1"/>
  <c r="X136" i="1"/>
  <c r="X428" i="1"/>
  <c r="AK428" i="1"/>
  <c r="AL484" i="1"/>
  <c r="AK484" i="1"/>
  <c r="X484" i="1"/>
  <c r="AK273" i="1"/>
  <c r="AK461" i="1"/>
  <c r="AK33" i="1"/>
  <c r="X40" i="1"/>
  <c r="AK92" i="1"/>
  <c r="AL140" i="1"/>
  <c r="AK201" i="1"/>
  <c r="X274" i="1"/>
  <c r="AK293" i="1"/>
  <c r="AL293" i="1"/>
  <c r="X311" i="1"/>
  <c r="AK498" i="1"/>
  <c r="X710" i="1"/>
  <c r="AK710" i="1"/>
  <c r="X895" i="1"/>
  <c r="AL895" i="1"/>
  <c r="AK895" i="1"/>
  <c r="AK1135" i="1"/>
  <c r="AL1419" i="1"/>
  <c r="AK1419" i="1"/>
  <c r="AL1425" i="1"/>
  <c r="AL1634" i="1"/>
  <c r="X1999" i="1"/>
  <c r="AK2190" i="1"/>
  <c r="AL2190" i="1"/>
  <c r="X2462" i="1"/>
  <c r="AL2462" i="1"/>
  <c r="X2559" i="1"/>
  <c r="AK2559" i="1"/>
  <c r="AL2559" i="1"/>
  <c r="AK2770" i="1"/>
  <c r="AL2770" i="1"/>
  <c r="X1305" i="1"/>
  <c r="AK1305" i="1"/>
  <c r="X1466" i="1"/>
  <c r="AK1466" i="1"/>
  <c r="X1785" i="1"/>
  <c r="AK1785" i="1"/>
  <c r="X1939" i="1"/>
  <c r="AL1939" i="1"/>
  <c r="AK2003" i="1"/>
  <c r="AL2003" i="1"/>
  <c r="X2003" i="1"/>
  <c r="AK2169" i="1"/>
  <c r="AL2169" i="1"/>
  <c r="AK2318" i="1"/>
  <c r="AL2318" i="1"/>
  <c r="AK2370" i="1"/>
  <c r="AL2370" i="1"/>
  <c r="AK2425" i="1"/>
  <c r="X2425" i="1"/>
  <c r="AL2916" i="1"/>
  <c r="AK2916" i="1"/>
  <c r="X3020" i="1"/>
  <c r="AL3020" i="1"/>
  <c r="AK3020" i="1"/>
  <c r="AG3020" i="1"/>
  <c r="X3190" i="1"/>
  <c r="AL3190" i="1"/>
  <c r="AK3190" i="1"/>
  <c r="AL3711" i="1"/>
  <c r="AK3711" i="1"/>
  <c r="X3711" i="1"/>
  <c r="AG3772" i="1"/>
  <c r="AL1166" i="1"/>
  <c r="X1166" i="1"/>
  <c r="X1192" i="1"/>
  <c r="AK1192" i="1"/>
  <c r="AL1463" i="1"/>
  <c r="AK1463" i="1"/>
  <c r="X1657" i="1"/>
  <c r="AK1657" i="1"/>
  <c r="X1711" i="1"/>
  <c r="AL1711" i="1"/>
  <c r="AK1711" i="1"/>
  <c r="X1907" i="1"/>
  <c r="AL1907" i="1"/>
  <c r="AK1943" i="1"/>
  <c r="X1943" i="1"/>
  <c r="AL2158" i="1"/>
  <c r="X2158" i="1"/>
  <c r="AK2172" i="1"/>
  <c r="X2353" i="1"/>
  <c r="AK2353" i="1"/>
  <c r="X2435" i="1"/>
  <c r="AK2435" i="1"/>
  <c r="AL2529" i="1"/>
  <c r="AK2529" i="1"/>
  <c r="X2631" i="1"/>
  <c r="AK2631" i="1"/>
  <c r="AL3522" i="1"/>
  <c r="AG3522" i="1"/>
  <c r="X996" i="1"/>
  <c r="AL996" i="1"/>
  <c r="AL1055" i="1"/>
  <c r="AK1055" i="1"/>
  <c r="AK1096" i="1"/>
  <c r="AL1096" i="1"/>
  <c r="X1096" i="1"/>
  <c r="AK1099" i="1"/>
  <c r="AL1254" i="1"/>
  <c r="AK1519" i="1"/>
  <c r="X1519" i="1"/>
  <c r="AL1519" i="1"/>
  <c r="AK1623" i="1"/>
  <c r="X1648" i="1"/>
  <c r="AL1648" i="1"/>
  <c r="X1703" i="1"/>
  <c r="AL1703" i="1"/>
  <c r="AK1703" i="1"/>
  <c r="AK1765" i="1"/>
  <c r="AL1943" i="1"/>
  <c r="AL2047" i="1"/>
  <c r="AK2158" i="1"/>
  <c r="X2521" i="1"/>
  <c r="AL2521" i="1"/>
  <c r="AK2521" i="1"/>
  <c r="X2921" i="1"/>
  <c r="AK2921" i="1"/>
  <c r="AL2921" i="1"/>
  <c r="AL3216" i="1"/>
  <c r="AK3216" i="1"/>
  <c r="X3216" i="1"/>
  <c r="X709" i="1"/>
  <c r="AL709" i="1"/>
  <c r="AL976" i="1"/>
  <c r="X976" i="1"/>
  <c r="AK996" i="1"/>
  <c r="AL1178" i="1"/>
  <c r="X1178" i="1"/>
  <c r="AL1357" i="1"/>
  <c r="X1357" i="1"/>
  <c r="AK1366" i="1"/>
  <c r="X1366" i="1"/>
  <c r="X1372" i="1"/>
  <c r="AK1372" i="1"/>
  <c r="X1491" i="1"/>
  <c r="AL1491" i="1"/>
  <c r="AK1988" i="1"/>
  <c r="X1988" i="1"/>
  <c r="X2132" i="1"/>
  <c r="AK2132" i="1"/>
  <c r="AL2156" i="1"/>
  <c r="AK2156" i="1"/>
  <c r="X2156" i="1"/>
  <c r="AK2182" i="1"/>
  <c r="AL2182" i="1"/>
  <c r="X2182" i="1"/>
  <c r="AK2590" i="1"/>
  <c r="AL2590" i="1"/>
  <c r="AL3530" i="1"/>
  <c r="AK3530" i="1"/>
  <c r="AG3530" i="1"/>
  <c r="X225" i="1"/>
  <c r="X465" i="1"/>
  <c r="AL736" i="1"/>
  <c r="X736" i="1"/>
  <c r="AL778" i="1"/>
  <c r="X778" i="1"/>
  <c r="AL807" i="1"/>
  <c r="X807" i="1"/>
  <c r="AK837" i="1"/>
  <c r="AL973" i="1"/>
  <c r="X973" i="1"/>
  <c r="AK1186" i="1"/>
  <c r="X1285" i="1"/>
  <c r="AK1285" i="1"/>
  <c r="AL1285" i="1"/>
  <c r="X1292" i="1"/>
  <c r="AK1292" i="1"/>
  <c r="AK1295" i="1"/>
  <c r="X1295" i="1"/>
  <c r="AK1800" i="1"/>
  <c r="X1800" i="1"/>
  <c r="AL1813" i="1"/>
  <c r="X2433" i="1"/>
  <c r="AK2433" i="1"/>
  <c r="AK2558" i="1"/>
  <c r="AL2558" i="1"/>
  <c r="X2590" i="1"/>
  <c r="AL2626" i="1"/>
  <c r="X2626" i="1"/>
  <c r="AK2626" i="1"/>
  <c r="X2757" i="1"/>
  <c r="AL2894" i="1"/>
  <c r="AK2894" i="1"/>
  <c r="AL2937" i="1"/>
  <c r="AK2937" i="1"/>
  <c r="X2937" i="1"/>
  <c r="X3258" i="1"/>
  <c r="AG3258" i="1"/>
  <c r="AL3258" i="1"/>
  <c r="AK3258" i="1"/>
  <c r="X3530" i="1"/>
  <c r="X3782" i="1"/>
  <c r="AG3782" i="1"/>
  <c r="AL3806" i="1"/>
  <c r="AG3806" i="1"/>
  <c r="AK3806" i="1"/>
  <c r="AL3172" i="1"/>
  <c r="AK3172" i="1"/>
  <c r="AK3178" i="1"/>
  <c r="AL3178" i="1"/>
  <c r="X3246" i="1"/>
  <c r="AG3246" i="1"/>
  <c r="AL3246" i="1"/>
  <c r="AK3246" i="1"/>
  <c r="AL3510" i="1"/>
  <c r="AG3510" i="1"/>
  <c r="X3510" i="1"/>
  <c r="AL1579" i="1"/>
  <c r="X1579" i="1"/>
  <c r="AL1915" i="1"/>
  <c r="AK1915" i="1"/>
  <c r="X1918" i="1"/>
  <c r="AL1918" i="1"/>
  <c r="AK1918" i="1"/>
  <c r="X1959" i="1"/>
  <c r="AL1959" i="1"/>
  <c r="AK1959" i="1"/>
  <c r="X2102" i="1"/>
  <c r="AL2102" i="1"/>
  <c r="AK2102" i="1"/>
  <c r="AL2280" i="1"/>
  <c r="AK2280" i="1"/>
  <c r="X2901" i="1"/>
  <c r="AK2901" i="1"/>
  <c r="AK2914" i="1"/>
  <c r="AL2914" i="1"/>
  <c r="AK3005" i="1"/>
  <c r="AL3005" i="1"/>
  <c r="AG3005" i="1"/>
  <c r="X3169" i="1"/>
  <c r="AL3169" i="1"/>
  <c r="AK3169" i="1"/>
  <c r="X3172" i="1"/>
  <c r="X3178" i="1"/>
  <c r="AL3478" i="1"/>
  <c r="AK3478" i="1"/>
  <c r="X3681" i="1"/>
  <c r="AL3681" i="1"/>
  <c r="AK3681" i="1"/>
  <c r="X3911" i="1"/>
  <c r="AL3911" i="1"/>
  <c r="AL1140" i="1"/>
  <c r="X1140" i="1"/>
  <c r="AK1175" i="1"/>
  <c r="AL1432" i="1"/>
  <c r="X1560" i="1"/>
  <c r="AK1560" i="1"/>
  <c r="AL1651" i="1"/>
  <c r="X1651" i="1"/>
  <c r="AL1669" i="1"/>
  <c r="AK1669" i="1"/>
  <c r="AK1733" i="1"/>
  <c r="AL1733" i="1"/>
  <c r="AK1773" i="1"/>
  <c r="X1889" i="1"/>
  <c r="AL1889" i="1"/>
  <c r="AL2069" i="1"/>
  <c r="X2369" i="1"/>
  <c r="AK2369" i="1"/>
  <c r="AK2729" i="1"/>
  <c r="AL2729" i="1"/>
  <c r="AL2735" i="1"/>
  <c r="X2735" i="1"/>
  <c r="AL2834" i="1"/>
  <c r="AK2834" i="1"/>
  <c r="X3006" i="1"/>
  <c r="AG3006" i="1"/>
  <c r="AL3006" i="1"/>
  <c r="AK3146" i="1"/>
  <c r="AL3146" i="1"/>
  <c r="X3146" i="1"/>
  <c r="AL3209" i="1"/>
  <c r="AK3209" i="1"/>
  <c r="AK3426" i="1"/>
  <c r="X3426" i="1"/>
  <c r="AL3426" i="1"/>
  <c r="AL3766" i="1"/>
  <c r="AK3766" i="1"/>
  <c r="AG3766" i="1"/>
  <c r="X2426" i="1"/>
  <c r="AL2426" i="1"/>
  <c r="AK2426" i="1"/>
  <c r="AL2598" i="1"/>
  <c r="AK2598" i="1"/>
  <c r="AK2709" i="1"/>
  <c r="X2709" i="1"/>
  <c r="X3027" i="1"/>
  <c r="AG3027" i="1"/>
  <c r="X3167" i="1"/>
  <c r="AL3167" i="1"/>
  <c r="AK3167" i="1"/>
  <c r="AK3408" i="1"/>
  <c r="X3408" i="1"/>
  <c r="AL3408" i="1"/>
  <c r="AG3767" i="1"/>
  <c r="AK3767" i="1"/>
  <c r="X4008" i="1"/>
  <c r="AK4008" i="1"/>
  <c r="AL4008" i="1"/>
  <c r="AL713" i="1"/>
  <c r="AL1341" i="1"/>
  <c r="X1427" i="1"/>
  <c r="AL1427" i="1"/>
  <c r="AK1588" i="1"/>
  <c r="AL1625" i="1"/>
  <c r="AL1744" i="1"/>
  <c r="AL1826" i="1"/>
  <c r="AK1826" i="1"/>
  <c r="AL2369" i="1"/>
  <c r="AL2517" i="1"/>
  <c r="AL3150" i="1"/>
  <c r="AK3150" i="1"/>
  <c r="AK3361" i="1"/>
  <c r="X3361" i="1"/>
  <c r="X3371" i="1"/>
  <c r="AL3371" i="1"/>
  <c r="X3679" i="1"/>
  <c r="AL3679" i="1"/>
  <c r="AK3679" i="1"/>
  <c r="AL3166" i="1"/>
  <c r="AK3166" i="1"/>
  <c r="X3182" i="1"/>
  <c r="AL3182" i="1"/>
  <c r="AK3182" i="1"/>
  <c r="AL3252" i="1"/>
  <c r="AG3252" i="1"/>
  <c r="X3252" i="1"/>
  <c r="X3365" i="1"/>
  <c r="AK3365" i="1"/>
  <c r="AL3365" i="1"/>
  <c r="AL3442" i="1"/>
  <c r="X3442" i="1"/>
  <c r="AL3676" i="1"/>
  <c r="X3676" i="1"/>
  <c r="X2539" i="1"/>
  <c r="AL2539" i="1"/>
  <c r="AK2932" i="1"/>
  <c r="X2932" i="1"/>
  <c r="AK3252" i="1"/>
  <c r="AK3266" i="1"/>
  <c r="AG3266" i="1"/>
  <c r="AL3266" i="1"/>
  <c r="AK3427" i="1"/>
  <c r="AL3427" i="1"/>
  <c r="AK3442" i="1"/>
  <c r="AK3516" i="1"/>
  <c r="AG3516" i="1"/>
  <c r="X3516" i="1"/>
  <c r="AG3529" i="1"/>
  <c r="AL3602" i="1"/>
  <c r="AG3602" i="1"/>
  <c r="AK3676" i="1"/>
  <c r="AK3878" i="1"/>
  <c r="X3878" i="1"/>
  <c r="AL4270" i="1"/>
  <c r="X4270" i="1"/>
  <c r="AK3589" i="1"/>
  <c r="AL3589" i="1"/>
  <c r="X3769" i="1"/>
  <c r="AL3769" i="1"/>
  <c r="AG3769" i="1"/>
  <c r="AL1985" i="1"/>
  <c r="AK2247" i="1"/>
  <c r="AL2260" i="1"/>
  <c r="AL3013" i="1"/>
  <c r="AK3013" i="1"/>
  <c r="AG3013" i="1"/>
  <c r="AL3257" i="1"/>
  <c r="AK3257" i="1"/>
  <c r="AG3257" i="1"/>
  <c r="X3267" i="1"/>
  <c r="AG3267" i="1"/>
  <c r="AK3305" i="1"/>
  <c r="X3406" i="1"/>
  <c r="AL3406" i="1"/>
  <c r="AL3524" i="1"/>
  <c r="AG3524" i="1"/>
  <c r="X3589" i="1"/>
  <c r="AL3756" i="1"/>
  <c r="AG3756" i="1"/>
  <c r="X3756" i="1"/>
  <c r="AK3756" i="1"/>
  <c r="AK3773" i="1"/>
  <c r="AG3773" i="1"/>
  <c r="X3773" i="1"/>
  <c r="AL3773" i="1"/>
  <c r="AK3791" i="1"/>
  <c r="AG3791" i="1"/>
  <c r="AL3791" i="1"/>
  <c r="AL3795" i="1"/>
  <c r="AG3795" i="1"/>
  <c r="X3795" i="1"/>
  <c r="X3883" i="1"/>
  <c r="AK3883" i="1"/>
  <c r="X3900" i="1"/>
  <c r="AL3900" i="1"/>
  <c r="AK3900" i="1"/>
  <c r="AL2813" i="1"/>
  <c r="AK2816" i="1"/>
  <c r="AL2816" i="1"/>
  <c r="AL3010" i="1"/>
  <c r="AG3010" i="1"/>
  <c r="X3243" i="1"/>
  <c r="AK3243" i="1"/>
  <c r="AG3243" i="1"/>
  <c r="AK3678" i="1"/>
  <c r="X3678" i="1"/>
  <c r="AK3769" i="1"/>
  <c r="AL3855" i="1"/>
  <c r="AK3855" i="1"/>
  <c r="X3982" i="1"/>
  <c r="AL3982" i="1"/>
  <c r="X1686" i="1"/>
  <c r="X1714" i="1"/>
  <c r="X1728" i="1"/>
  <c r="X2066" i="1"/>
  <c r="X2136" i="1"/>
  <c r="X2175" i="1"/>
  <c r="X2547" i="1"/>
  <c r="X2564" i="1"/>
  <c r="X3010" i="1"/>
  <c r="AG3025" i="1"/>
  <c r="AL3136" i="1"/>
  <c r="X3136" i="1"/>
  <c r="AG3514" i="1"/>
  <c r="AK3514" i="1"/>
  <c r="X3706" i="1"/>
  <c r="X3713" i="1"/>
  <c r="AL3713" i="1"/>
  <c r="AL3757" i="1"/>
  <c r="AG3757" i="1"/>
  <c r="AL3774" i="1"/>
  <c r="AG3774" i="1"/>
  <c r="X3855" i="1"/>
  <c r="AK3880" i="1"/>
  <c r="X3880" i="1"/>
  <c r="X3887" i="1"/>
  <c r="AL3887" i="1"/>
  <c r="AK3887" i="1"/>
  <c r="AK3930" i="1"/>
  <c r="X3930" i="1"/>
  <c r="AL3979" i="1"/>
  <c r="AG3979" i="1"/>
  <c r="AG3982" i="1"/>
  <c r="AL4029" i="1"/>
  <c r="AK4029" i="1"/>
  <c r="X4029" i="1"/>
  <c r="AG4071" i="1"/>
  <c r="X4071" i="1"/>
  <c r="X4225" i="1"/>
  <c r="AL4225" i="1"/>
  <c r="AK4225" i="1"/>
  <c r="AL4254" i="1"/>
  <c r="AK4254" i="1"/>
  <c r="X4254" i="1"/>
  <c r="X3188" i="1"/>
  <c r="AK3188" i="1"/>
  <c r="AK3383" i="1"/>
  <c r="AL3383" i="1"/>
  <c r="AL3417" i="1"/>
  <c r="AK3417" i="1"/>
  <c r="AK3420" i="1"/>
  <c r="AL3420" i="1"/>
  <c r="AK3443" i="1"/>
  <c r="X3443" i="1"/>
  <c r="X3847" i="1"/>
  <c r="AK3847" i="1"/>
  <c r="AL3847" i="1"/>
  <c r="X3931" i="1"/>
  <c r="AL3931" i="1"/>
  <c r="AK3931" i="1"/>
  <c r="X3944" i="1"/>
  <c r="AL3944" i="1"/>
  <c r="X4185" i="1"/>
  <c r="AL4185" i="1"/>
  <c r="AK4185" i="1"/>
  <c r="AK2692" i="1"/>
  <c r="AL2692" i="1"/>
  <c r="AL2717" i="1"/>
  <c r="X2717" i="1"/>
  <c r="X3185" i="1"/>
  <c r="X3245" i="1"/>
  <c r="X3383" i="1"/>
  <c r="AK3407" i="1"/>
  <c r="AL3407" i="1"/>
  <c r="X3417" i="1"/>
  <c r="AG3515" i="1"/>
  <c r="AL3987" i="1"/>
  <c r="X3987" i="1"/>
  <c r="AL3162" i="1"/>
  <c r="AK3162" i="1"/>
  <c r="AK3183" i="1"/>
  <c r="AL3183" i="1"/>
  <c r="X3186" i="1"/>
  <c r="AK3186" i="1"/>
  <c r="AL3240" i="1"/>
  <c r="AG3240" i="1"/>
  <c r="AL3245" i="1"/>
  <c r="AL3372" i="1"/>
  <c r="AG3526" i="1"/>
  <c r="X3526" i="1"/>
  <c r="AL3917" i="1"/>
  <c r="AK3917" i="1"/>
  <c r="AL4238" i="1"/>
  <c r="AK4238" i="1"/>
  <c r="X4238" i="1"/>
  <c r="X2798" i="1"/>
  <c r="AK2798" i="1"/>
  <c r="AK3240" i="1"/>
  <c r="AK3367" i="1"/>
  <c r="AL3367" i="1"/>
  <c r="X3477" i="1"/>
  <c r="AL3477" i="1"/>
  <c r="AK3477" i="1"/>
  <c r="AL3526" i="1"/>
  <c r="X3745" i="1"/>
  <c r="AL3745" i="1"/>
  <c r="AK3745" i="1"/>
  <c r="AL3770" i="1"/>
  <c r="AG3770" i="1"/>
  <c r="AL3790" i="1"/>
  <c r="AG3790" i="1"/>
  <c r="X3845" i="1"/>
  <c r="AL3845" i="1"/>
  <c r="AK3845" i="1"/>
  <c r="AL4027" i="1"/>
  <c r="AL4040" i="1"/>
  <c r="AL3777" i="1"/>
  <c r="AG3777" i="1"/>
  <c r="AK3792" i="1"/>
  <c r="AG3792" i="1"/>
  <c r="AL4028" i="1"/>
  <c r="AK4028" i="1"/>
  <c r="X4028" i="1"/>
  <c r="AL4045" i="1"/>
  <c r="AK4045" i="1"/>
  <c r="AG4045" i="1"/>
  <c r="X4063" i="1"/>
  <c r="AL4063" i="1"/>
  <c r="X4168" i="1"/>
  <c r="AG4168" i="1"/>
  <c r="AL3764" i="1"/>
  <c r="AK3764" i="1"/>
  <c r="AL3809" i="1"/>
  <c r="AK3809" i="1"/>
  <c r="AL3875" i="1"/>
  <c r="X3875" i="1"/>
  <c r="AK4063" i="1"/>
  <c r="AL4168" i="1"/>
  <c r="AL4265" i="1"/>
  <c r="AK4265" i="1"/>
  <c r="X4265" i="1"/>
  <c r="X3001" i="1"/>
  <c r="AL3001" i="1"/>
  <c r="AK3001" i="1"/>
  <c r="AK3424" i="1"/>
  <c r="X3424" i="1"/>
  <c r="X3991" i="1"/>
  <c r="AL3991" i="1"/>
  <c r="AK3991" i="1"/>
  <c r="AL4208" i="1"/>
  <c r="AK4208" i="1"/>
  <c r="AG4208" i="1"/>
  <c r="AG4246" i="1"/>
  <c r="X3255" i="1"/>
  <c r="AL3255" i="1"/>
  <c r="AL3775" i="1"/>
  <c r="AK3775" i="1"/>
  <c r="AG3775" i="1"/>
  <c r="AL3800" i="1"/>
  <c r="AK3800" i="1"/>
  <c r="AG3809" i="1"/>
  <c r="AL4026" i="1"/>
  <c r="AK4026" i="1"/>
  <c r="X4026" i="1"/>
  <c r="AK4196" i="1"/>
  <c r="AG4015" i="1"/>
  <c r="AL4015" i="1"/>
  <c r="X4038" i="1"/>
  <c r="AL4038" i="1"/>
  <c r="AK4038" i="1"/>
  <c r="X4177" i="1"/>
  <c r="AL4177" i="1"/>
  <c r="AL3709" i="1"/>
  <c r="AK3709" i="1"/>
  <c r="AG3804" i="1"/>
  <c r="AL3804" i="1"/>
  <c r="AK3804" i="1"/>
  <c r="AL4009" i="1"/>
  <c r="AK4009" i="1"/>
  <c r="AK4024" i="1"/>
  <c r="X4024" i="1"/>
  <c r="X3418" i="1"/>
  <c r="X3436" i="1"/>
  <c r="X3663" i="1"/>
  <c r="AL3663" i="1"/>
  <c r="X3709" i="1"/>
  <c r="X3761" i="1"/>
  <c r="X3804" i="1"/>
  <c r="AL3909" i="1"/>
  <c r="AK3909" i="1"/>
  <c r="X3909" i="1"/>
  <c r="X3942" i="1"/>
  <c r="AL3942" i="1"/>
  <c r="AK3942" i="1"/>
  <c r="X4009" i="1"/>
  <c r="AK4015" i="1"/>
  <c r="AL4030" i="1"/>
  <c r="AK4030" i="1"/>
  <c r="X4030" i="1"/>
  <c r="AG4051" i="1"/>
  <c r="AK4051" i="1"/>
  <c r="AL4174" i="1"/>
  <c r="AK4174" i="1"/>
  <c r="AK4177" i="1"/>
  <c r="X3759" i="1"/>
  <c r="X3781" i="1"/>
  <c r="X3903" i="1"/>
  <c r="AG3980" i="1"/>
  <c r="X3986" i="1"/>
  <c r="X3712" i="1"/>
  <c r="AL36" i="1"/>
  <c r="AL141" i="1"/>
  <c r="AL186" i="1"/>
  <c r="AL265" i="1"/>
  <c r="AL278" i="1"/>
  <c r="AL290" i="1"/>
  <c r="X293" i="1"/>
  <c r="AL379" i="1"/>
  <c r="AL464" i="1"/>
  <c r="AL741" i="1"/>
  <c r="AK741" i="1"/>
  <c r="AL747" i="1"/>
  <c r="AK747" i="1"/>
  <c r="AK761" i="1"/>
  <c r="X761" i="1"/>
  <c r="AL761" i="1"/>
  <c r="AK1004" i="1"/>
  <c r="AL1004" i="1"/>
  <c r="X1004" i="1"/>
  <c r="AL1026" i="1"/>
  <c r="AK1026" i="1"/>
  <c r="AK1142" i="1"/>
  <c r="X1142" i="1"/>
  <c r="AL1477" i="1"/>
  <c r="AK1477" i="1"/>
  <c r="X1477" i="1"/>
  <c r="X189" i="1"/>
  <c r="X208" i="1"/>
  <c r="AK263" i="1"/>
  <c r="AK344" i="1"/>
  <c r="AL433" i="1"/>
  <c r="AK433" i="1"/>
  <c r="AL538" i="1"/>
  <c r="AK538" i="1"/>
  <c r="X575" i="1"/>
  <c r="AK672" i="1"/>
  <c r="X672" i="1"/>
  <c r="X741" i="1"/>
  <c r="X747" i="1"/>
  <c r="X1026" i="1"/>
  <c r="X1430" i="1"/>
  <c r="AL1430" i="1"/>
  <c r="AK1430" i="1"/>
  <c r="X37" i="1"/>
  <c r="AK98" i="1"/>
  <c r="AL149" i="1"/>
  <c r="AK196" i="1"/>
  <c r="X206" i="1"/>
  <c r="X320" i="1"/>
  <c r="AL479" i="1"/>
  <c r="AK517" i="1"/>
  <c r="AL545" i="1"/>
  <c r="X583" i="1"/>
  <c r="AL583" i="1"/>
  <c r="AK583" i="1"/>
  <c r="AK593" i="1"/>
  <c r="AK623" i="1"/>
  <c r="X623" i="1"/>
  <c r="AK649" i="1"/>
  <c r="X649" i="1"/>
  <c r="AL1142" i="1"/>
  <c r="AK1352" i="1"/>
  <c r="AL1352" i="1"/>
  <c r="X1352" i="1"/>
  <c r="AL264" i="1"/>
  <c r="AK264" i="1"/>
  <c r="AK663" i="1"/>
  <c r="X663" i="1"/>
  <c r="AK960" i="1"/>
  <c r="AL960" i="1"/>
  <c r="X960" i="1"/>
  <c r="AL1005" i="1"/>
  <c r="AK1005" i="1"/>
  <c r="AL1143" i="1"/>
  <c r="AK1143" i="1"/>
  <c r="X1143" i="1"/>
  <c r="AK1173" i="1"/>
  <c r="X1173" i="1"/>
  <c r="AL1258" i="1"/>
  <c r="AK1258" i="1"/>
  <c r="X1258" i="1"/>
  <c r="AL1275" i="1"/>
  <c r="AK1275" i="1"/>
  <c r="AL23" i="1"/>
  <c r="AK23" i="1"/>
  <c r="X150" i="1"/>
  <c r="X264" i="1"/>
  <c r="X271" i="1"/>
  <c r="X273" i="1"/>
  <c r="X275" i="1"/>
  <c r="X345" i="1"/>
  <c r="X366" i="1"/>
  <c r="X487" i="1"/>
  <c r="AL536" i="1"/>
  <c r="AK536" i="1"/>
  <c r="AL575" i="1"/>
  <c r="AK635" i="1"/>
  <c r="AL649" i="1"/>
  <c r="AL745" i="1"/>
  <c r="AK745" i="1"/>
  <c r="AK935" i="1"/>
  <c r="X935" i="1"/>
  <c r="X1005" i="1"/>
  <c r="X1275" i="1"/>
  <c r="AL1358" i="1"/>
  <c r="AK1358" i="1"/>
  <c r="X23" i="1"/>
  <c r="X68" i="1"/>
  <c r="AL126" i="1"/>
  <c r="AK126" i="1"/>
  <c r="X131" i="1"/>
  <c r="X211" i="1"/>
  <c r="X235" i="1"/>
  <c r="X245" i="1"/>
  <c r="AK289" i="1"/>
  <c r="X306" i="1"/>
  <c r="X390" i="1"/>
  <c r="X397" i="1"/>
  <c r="X424" i="1"/>
  <c r="X441" i="1"/>
  <c r="AL627" i="1"/>
  <c r="AK627" i="1"/>
  <c r="AK641" i="1"/>
  <c r="X641" i="1"/>
  <c r="AL641" i="1"/>
  <c r="AL663" i="1"/>
  <c r="AL842" i="1"/>
  <c r="AK842" i="1"/>
  <c r="AL861" i="1"/>
  <c r="AK861" i="1"/>
  <c r="AL1173" i="1"/>
  <c r="AK1204" i="1"/>
  <c r="X1204" i="1"/>
  <c r="AK1533" i="1"/>
  <c r="AL1533" i="1"/>
  <c r="X1533" i="1"/>
  <c r="AL2183" i="1"/>
  <c r="AK2183" i="1"/>
  <c r="X2183" i="1"/>
  <c r="AL2418" i="1"/>
  <c r="AK2418" i="1"/>
  <c r="X2418" i="1"/>
  <c r="X57" i="1"/>
  <c r="X188" i="1"/>
  <c r="X195" i="1"/>
  <c r="X381" i="1"/>
  <c r="X526" i="1"/>
  <c r="AK787" i="1"/>
  <c r="X787" i="1"/>
  <c r="X1031" i="1"/>
  <c r="AL1031" i="1"/>
  <c r="AK1031" i="1"/>
  <c r="AL4263" i="1"/>
  <c r="AK4263" i="1"/>
  <c r="AG4263" i="1"/>
  <c r="X4263" i="1"/>
  <c r="X36" i="1"/>
  <c r="AK68" i="1"/>
  <c r="X112" i="1"/>
  <c r="X141" i="1"/>
  <c r="AK171" i="1"/>
  <c r="X186" i="1"/>
  <c r="X207" i="1"/>
  <c r="AL211" i="1"/>
  <c r="AK235" i="1"/>
  <c r="AK245" i="1"/>
  <c r="X265" i="1"/>
  <c r="X278" i="1"/>
  <c r="X290" i="1"/>
  <c r="AK306" i="1"/>
  <c r="AK369" i="1"/>
  <c r="X379" i="1"/>
  <c r="AK390" i="1"/>
  <c r="AK397" i="1"/>
  <c r="AL405" i="1"/>
  <c r="AK405" i="1"/>
  <c r="AL424" i="1"/>
  <c r="AK441" i="1"/>
  <c r="AL444" i="1"/>
  <c r="AK444" i="1"/>
  <c r="X464" i="1"/>
  <c r="AK499" i="1"/>
  <c r="AL743" i="1"/>
  <c r="AK743" i="1"/>
  <c r="AL749" i="1"/>
  <c r="AK749" i="1"/>
  <c r="AK845" i="1"/>
  <c r="X845" i="1"/>
  <c r="AL1204" i="1"/>
  <c r="AL1804" i="1"/>
  <c r="AK1804" i="1"/>
  <c r="X1804" i="1"/>
  <c r="AL2137" i="1"/>
  <c r="AK2137" i="1"/>
  <c r="X2137" i="1"/>
  <c r="AK664" i="1"/>
  <c r="X664" i="1"/>
  <c r="AL664" i="1"/>
  <c r="AL806" i="1"/>
  <c r="AK806" i="1"/>
  <c r="AL961" i="1"/>
  <c r="AK961" i="1"/>
  <c r="AL1019" i="1"/>
  <c r="AK1019" i="1"/>
  <c r="AL1042" i="1"/>
  <c r="AK1042" i="1"/>
  <c r="X1042" i="1"/>
  <c r="AL1102" i="1"/>
  <c r="AK1102" i="1"/>
  <c r="AL1174" i="1"/>
  <c r="AK1174" i="1"/>
  <c r="X1174" i="1"/>
  <c r="X1239" i="1"/>
  <c r="AL1239" i="1"/>
  <c r="AK1239" i="1"/>
  <c r="X38" i="1"/>
  <c r="X59" i="1"/>
  <c r="X202" i="1"/>
  <c r="X209" i="1"/>
  <c r="X483" i="1"/>
  <c r="X549" i="1"/>
  <c r="X616" i="1"/>
  <c r="AL763" i="1"/>
  <c r="AK763" i="1"/>
  <c r="X806" i="1"/>
  <c r="X972" i="1"/>
  <c r="AL972" i="1"/>
  <c r="AK972" i="1"/>
  <c r="X1019" i="1"/>
  <c r="AK2058" i="1"/>
  <c r="AL2058" i="1"/>
  <c r="X2058" i="1"/>
  <c r="AK209" i="1"/>
  <c r="AK304" i="1"/>
  <c r="AL311" i="1"/>
  <c r="AL369" i="1"/>
  <c r="AL787" i="1"/>
  <c r="AK38" i="1"/>
  <c r="AK57" i="1"/>
  <c r="AK59" i="1"/>
  <c r="AK188" i="1"/>
  <c r="AK195" i="1"/>
  <c r="AK202" i="1"/>
  <c r="AK207" i="1"/>
  <c r="AK381" i="1"/>
  <c r="AL442" i="1"/>
  <c r="AK442" i="1"/>
  <c r="AK483" i="1"/>
  <c r="AK526" i="1"/>
  <c r="AK549" i="1"/>
  <c r="AL616" i="1"/>
  <c r="AL625" i="1"/>
  <c r="AK625" i="1"/>
  <c r="AK890" i="1"/>
  <c r="X890" i="1"/>
  <c r="AL1367" i="1"/>
  <c r="AK1367" i="1"/>
  <c r="X1367" i="1"/>
  <c r="AK112" i="1"/>
  <c r="AL144" i="1"/>
  <c r="AK144" i="1"/>
  <c r="X442" i="1"/>
  <c r="X479" i="1"/>
  <c r="X517" i="1"/>
  <c r="X545" i="1"/>
  <c r="X593" i="1"/>
  <c r="X625" i="1"/>
  <c r="AK671" i="1"/>
  <c r="X671" i="1"/>
  <c r="AL671" i="1"/>
  <c r="AK1130" i="1"/>
  <c r="AL1130" i="1"/>
  <c r="X1130" i="1"/>
  <c r="X1696" i="1"/>
  <c r="AL1696" i="1"/>
  <c r="AK1696" i="1"/>
  <c r="AL1991" i="1"/>
  <c r="AK1991" i="1"/>
  <c r="X1991" i="1"/>
  <c r="AK2334" i="1"/>
  <c r="AL2334" i="1"/>
  <c r="X2334" i="1"/>
  <c r="AK676" i="1"/>
  <c r="AK690" i="1"/>
  <c r="AK728" i="1"/>
  <c r="AK805" i="1"/>
  <c r="AK823" i="1"/>
  <c r="AK841" i="1"/>
  <c r="AK849" i="1"/>
  <c r="AK853" i="1"/>
  <c r="AK948" i="1"/>
  <c r="AK957" i="1"/>
  <c r="AK1027" i="1"/>
  <c r="AK1132" i="1"/>
  <c r="AL1170" i="1"/>
  <c r="AK1191" i="1"/>
  <c r="AK1233" i="1"/>
  <c r="AK1245" i="1"/>
  <c r="AL1372" i="1"/>
  <c r="AL676" i="1"/>
  <c r="AL690" i="1"/>
  <c r="AL728" i="1"/>
  <c r="AL805" i="1"/>
  <c r="AL823" i="1"/>
  <c r="AL841" i="1"/>
  <c r="AL849" i="1"/>
  <c r="AL853" i="1"/>
  <c r="AL948" i="1"/>
  <c r="AL957" i="1"/>
  <c r="AL1027" i="1"/>
  <c r="AK1166" i="1"/>
  <c r="AL1191" i="1"/>
  <c r="AL1233" i="1"/>
  <c r="AL1245" i="1"/>
  <c r="AL1300" i="1"/>
  <c r="AK1300" i="1"/>
  <c r="AL1365" i="1"/>
  <c r="AK1365" i="1"/>
  <c r="AK1431" i="1"/>
  <c r="AL1431" i="1"/>
  <c r="AK1715" i="1"/>
  <c r="AL1715" i="1"/>
  <c r="X1715" i="1"/>
  <c r="X586" i="1"/>
  <c r="X588" i="1"/>
  <c r="X620" i="1"/>
  <c r="AK626" i="1"/>
  <c r="AK628" i="1"/>
  <c r="AK742" i="1"/>
  <c r="AK744" i="1"/>
  <c r="AK746" i="1"/>
  <c r="AK748" i="1"/>
  <c r="AK766" i="1"/>
  <c r="AK778" i="1"/>
  <c r="AK801" i="1"/>
  <c r="AK807" i="1"/>
  <c r="AK870" i="1"/>
  <c r="AL949" i="1"/>
  <c r="AK949" i="1"/>
  <c r="AK953" i="1"/>
  <c r="AK955" i="1"/>
  <c r="AK992" i="1"/>
  <c r="AK1025" i="1"/>
  <c r="AK1062" i="1"/>
  <c r="AK1189" i="1"/>
  <c r="AL1381" i="1"/>
  <c r="AK1381" i="1"/>
  <c r="X1381" i="1"/>
  <c r="AL1434" i="1"/>
  <c r="AK1434" i="1"/>
  <c r="AK1618" i="1"/>
  <c r="AL1618" i="1"/>
  <c r="X949" i="1"/>
  <c r="X1070" i="1"/>
  <c r="X1097" i="1"/>
  <c r="AL1145" i="1"/>
  <c r="AK1145" i="1"/>
  <c r="X1169" i="1"/>
  <c r="X1229" i="1"/>
  <c r="AL1305" i="1"/>
  <c r="X1340" i="1"/>
  <c r="AL1418" i="1"/>
  <c r="AK1418" i="1"/>
  <c r="X1434" i="1"/>
  <c r="X1618" i="1"/>
  <c r="AK1699" i="1"/>
  <c r="AL1699" i="1"/>
  <c r="X1699" i="1"/>
  <c r="X1729" i="1"/>
  <c r="AK1729" i="1"/>
  <c r="AL1729" i="1"/>
  <c r="AK677" i="1"/>
  <c r="AK718" i="1"/>
  <c r="AK736" i="1"/>
  <c r="AK781" i="1"/>
  <c r="AK822" i="1"/>
  <c r="AK831" i="1"/>
  <c r="AK869" i="1"/>
  <c r="AK875" i="1"/>
  <c r="AL892" i="1"/>
  <c r="AK911" i="1"/>
  <c r="AK925" i="1"/>
  <c r="AK937" i="1"/>
  <c r="AK1058" i="1"/>
  <c r="AK1070" i="1"/>
  <c r="AK1097" i="1"/>
  <c r="AK1114" i="1"/>
  <c r="AL1155" i="1"/>
  <c r="AK1169" i="1"/>
  <c r="AK1229" i="1"/>
  <c r="AK1296" i="1"/>
  <c r="AL1296" i="1"/>
  <c r="AK1340" i="1"/>
  <c r="AL1416" i="1"/>
  <c r="AK1416" i="1"/>
  <c r="AK1760" i="1"/>
  <c r="AL1760" i="1"/>
  <c r="X1760" i="1"/>
  <c r="X1906" i="1"/>
  <c r="AL1906" i="1"/>
  <c r="AK1906" i="1"/>
  <c r="AK703" i="1"/>
  <c r="AK734" i="1"/>
  <c r="AK751" i="1"/>
  <c r="AK819" i="1"/>
  <c r="AK844" i="1"/>
  <c r="AK904" i="1"/>
  <c r="AK973" i="1"/>
  <c r="AK1007" i="1"/>
  <c r="AL1056" i="1"/>
  <c r="AK1056" i="1"/>
  <c r="AL1100" i="1"/>
  <c r="AK1100" i="1"/>
  <c r="AL1141" i="1"/>
  <c r="AK1141" i="1"/>
  <c r="AL1183" i="1"/>
  <c r="AL1203" i="1"/>
  <c r="AK1203" i="1"/>
  <c r="AK1213" i="1"/>
  <c r="X1213" i="1"/>
  <c r="X1296" i="1"/>
  <c r="AL1298" i="1"/>
  <c r="AL1411" i="1"/>
  <c r="AK1411" i="1"/>
  <c r="X1416" i="1"/>
  <c r="AK1476" i="1"/>
  <c r="X1476" i="1"/>
  <c r="AL1577" i="1"/>
  <c r="AK1577" i="1"/>
  <c r="X1787" i="1"/>
  <c r="AL1787" i="1"/>
  <c r="AK1787" i="1"/>
  <c r="AL2129" i="1"/>
  <c r="AK2129" i="1"/>
  <c r="X2129" i="1"/>
  <c r="X1312" i="1"/>
  <c r="AK1312" i="1"/>
  <c r="AL1811" i="1"/>
  <c r="AK1811" i="1"/>
  <c r="AL1008" i="1"/>
  <c r="AK1008" i="1"/>
  <c r="X1132" i="1"/>
  <c r="AL1289" i="1"/>
  <c r="AK1289" i="1"/>
  <c r="AL1354" i="1"/>
  <c r="AK1354" i="1"/>
  <c r="AL1449" i="1"/>
  <c r="AK1449" i="1"/>
  <c r="X1449" i="1"/>
  <c r="AK1485" i="1"/>
  <c r="AL1485" i="1"/>
  <c r="X1485" i="1"/>
  <c r="AL1952" i="1"/>
  <c r="AK1952" i="1"/>
  <c r="X1952" i="1"/>
  <c r="AK2553" i="1"/>
  <c r="AL2553" i="1"/>
  <c r="X2553" i="1"/>
  <c r="AL1484" i="1"/>
  <c r="AK1484" i="1"/>
  <c r="AL1528" i="1"/>
  <c r="AK1528" i="1"/>
  <c r="AK1752" i="1"/>
  <c r="X1752" i="1"/>
  <c r="AL2034" i="1"/>
  <c r="AK2034" i="1"/>
  <c r="X2034" i="1"/>
  <c r="AK2360" i="1"/>
  <c r="X2360" i="1"/>
  <c r="AL2360" i="1"/>
  <c r="AK1512" i="1"/>
  <c r="AL1549" i="1"/>
  <c r="AK1549" i="1"/>
  <c r="AL1621" i="1"/>
  <c r="AK1621" i="1"/>
  <c r="X1621" i="1"/>
  <c r="AK1781" i="1"/>
  <c r="X1781" i="1"/>
  <c r="AK2226" i="1"/>
  <c r="X2226" i="1"/>
  <c r="AL2226" i="1"/>
  <c r="AL2253" i="1"/>
  <c r="AK2253" i="1"/>
  <c r="X2253" i="1"/>
  <c r="AL1667" i="1"/>
  <c r="AK1667" i="1"/>
  <c r="X1667" i="1"/>
  <c r="AK1843" i="1"/>
  <c r="X1843" i="1"/>
  <c r="AL1356" i="1"/>
  <c r="AK1356" i="1"/>
  <c r="AL1466" i="1"/>
  <c r="AL1560" i="1"/>
  <c r="AL1843" i="1"/>
  <c r="X1860" i="1"/>
  <c r="AL1860" i="1"/>
  <c r="AK1860" i="1"/>
  <c r="X1866" i="1"/>
  <c r="AL1866" i="1"/>
  <c r="AK1866" i="1"/>
  <c r="AK2022" i="1"/>
  <c r="AL2022" i="1"/>
  <c r="AL2268" i="1"/>
  <c r="AK2268" i="1"/>
  <c r="X2268" i="1"/>
  <c r="AK2379" i="1"/>
  <c r="X2379" i="1"/>
  <c r="AL2379" i="1"/>
  <c r="AL1323" i="1"/>
  <c r="AK1323" i="1"/>
  <c r="AL1475" i="1"/>
  <c r="AK1475" i="1"/>
  <c r="AL1638" i="1"/>
  <c r="AK1638" i="1"/>
  <c r="AK1706" i="1"/>
  <c r="X1706" i="1"/>
  <c r="AL1954" i="1"/>
  <c r="AK1954" i="1"/>
  <c r="X1954" i="1"/>
  <c r="X2246" i="1"/>
  <c r="AL2246" i="1"/>
  <c r="AK2246" i="1"/>
  <c r="AL1759" i="1"/>
  <c r="AK1759" i="1"/>
  <c r="AK1802" i="1"/>
  <c r="AL1802" i="1"/>
  <c r="AL1397" i="1"/>
  <c r="AK1397" i="1"/>
  <c r="X1437" i="1"/>
  <c r="AL1535" i="1"/>
  <c r="AK1535" i="1"/>
  <c r="X1652" i="1"/>
  <c r="AL1652" i="1"/>
  <c r="AK1652" i="1"/>
  <c r="AK1658" i="1"/>
  <c r="X1658" i="1"/>
  <c r="AL1674" i="1"/>
  <c r="AK1674" i="1"/>
  <c r="X1674" i="1"/>
  <c r="X1759" i="1"/>
  <c r="X1802" i="1"/>
  <c r="AL2185" i="1"/>
  <c r="AK2185" i="1"/>
  <c r="X2185" i="1"/>
  <c r="AK2348" i="1"/>
  <c r="X2348" i="1"/>
  <c r="AL2348" i="1"/>
  <c r="AK2174" i="1"/>
  <c r="X2174" i="1"/>
  <c r="AL2289" i="1"/>
  <c r="AK2289" i="1"/>
  <c r="AL2341" i="1"/>
  <c r="AK2341" i="1"/>
  <c r="X2341" i="1"/>
  <c r="X1814" i="1"/>
  <c r="AL1846" i="1"/>
  <c r="AK1846" i="1"/>
  <c r="X1942" i="1"/>
  <c r="AL1993" i="1"/>
  <c r="AK1993" i="1"/>
  <c r="X1993" i="1"/>
  <c r="AL2492" i="1"/>
  <c r="AK2492" i="1"/>
  <c r="AK2870" i="1"/>
  <c r="X2870" i="1"/>
  <c r="AL2870" i="1"/>
  <c r="AL1822" i="1"/>
  <c r="AK1822" i="1"/>
  <c r="AL1953" i="1"/>
  <c r="AK1953" i="1"/>
  <c r="AL2033" i="1"/>
  <c r="AK2033" i="1"/>
  <c r="AL2092" i="1"/>
  <c r="AK2092" i="1"/>
  <c r="AK2297" i="1"/>
  <c r="AL2297" i="1"/>
  <c r="X2297" i="1"/>
  <c r="AL2423" i="1"/>
  <c r="AK2423" i="1"/>
  <c r="X2423" i="1"/>
  <c r="AL2479" i="1"/>
  <c r="AK2479" i="1"/>
  <c r="X2479" i="1"/>
  <c r="X2492" i="1"/>
  <c r="X1892" i="1"/>
  <c r="AL1892" i="1"/>
  <c r="X1940" i="1"/>
  <c r="AL1940" i="1"/>
  <c r="X2112" i="1"/>
  <c r="AL2112" i="1"/>
  <c r="X2123" i="1"/>
  <c r="AL2123" i="1"/>
  <c r="AK2123" i="1"/>
  <c r="AK2476" i="1"/>
  <c r="X2476" i="1"/>
  <c r="AK2664" i="1"/>
  <c r="AL2664" i="1"/>
  <c r="X2101" i="1"/>
  <c r="AL2101" i="1"/>
  <c r="AL2115" i="1"/>
  <c r="AK2115" i="1"/>
  <c r="X2115" i="1"/>
  <c r="X2570" i="1"/>
  <c r="AL2570" i="1"/>
  <c r="AK2570" i="1"/>
  <c r="AK1686" i="1"/>
  <c r="AK1700" i="1"/>
  <c r="AK1768" i="1"/>
  <c r="AL1799" i="1"/>
  <c r="AL1805" i="1"/>
  <c r="AK1805" i="1"/>
  <c r="AL1876" i="1"/>
  <c r="X1890" i="1"/>
  <c r="AL1890" i="1"/>
  <c r="AL1988" i="1"/>
  <c r="X2110" i="1"/>
  <c r="AL2110" i="1"/>
  <c r="AL2440" i="1"/>
  <c r="AK2440" i="1"/>
  <c r="AK3028" i="1"/>
  <c r="AG3028" i="1"/>
  <c r="AL3028" i="1"/>
  <c r="X3028" i="1"/>
  <c r="AK1637" i="1"/>
  <c r="AK1651" i="1"/>
  <c r="AL1700" i="1"/>
  <c r="AK1714" i="1"/>
  <c r="AL1768" i="1"/>
  <c r="X1805" i="1"/>
  <c r="X1813" i="1"/>
  <c r="X1986" i="1"/>
  <c r="X2152" i="1"/>
  <c r="AL2152" i="1"/>
  <c r="AK2152" i="1"/>
  <c r="AL2184" i="1"/>
  <c r="AK2184" i="1"/>
  <c r="X2184" i="1"/>
  <c r="AL2267" i="1"/>
  <c r="AK2267" i="1"/>
  <c r="X2267" i="1"/>
  <c r="X2440" i="1"/>
  <c r="AK2509" i="1"/>
  <c r="X2509" i="1"/>
  <c r="AL1845" i="1"/>
  <c r="AK1845" i="1"/>
  <c r="AL1992" i="1"/>
  <c r="AK1992" i="1"/>
  <c r="AL2035" i="1"/>
  <c r="AK2035" i="1"/>
  <c r="X2099" i="1"/>
  <c r="AL2099" i="1"/>
  <c r="AK2138" i="1"/>
  <c r="AL2138" i="1"/>
  <c r="X2138" i="1"/>
  <c r="AL2254" i="1"/>
  <c r="AK2254" i="1"/>
  <c r="AL2446" i="1"/>
  <c r="AK2446" i="1"/>
  <c r="X2446" i="1"/>
  <c r="AL2478" i="1"/>
  <c r="AK2478" i="1"/>
  <c r="X2572" i="1"/>
  <c r="AK2572" i="1"/>
  <c r="AL2572" i="1"/>
  <c r="AL2165" i="1"/>
  <c r="AL2353" i="1"/>
  <c r="AL2410" i="1"/>
  <c r="X2768" i="1"/>
  <c r="AL2768" i="1"/>
  <c r="AK2768" i="1"/>
  <c r="AL3189" i="1"/>
  <c r="X3189" i="1"/>
  <c r="X2477" i="1"/>
  <c r="AL2584" i="1"/>
  <c r="AK2584" i="1"/>
  <c r="AK2685" i="1"/>
  <c r="X2685" i="1"/>
  <c r="AK2821" i="1"/>
  <c r="X2821" i="1"/>
  <c r="AL2821" i="1"/>
  <c r="X2347" i="1"/>
  <c r="X2484" i="1"/>
  <c r="X2584" i="1"/>
  <c r="AL2818" i="1"/>
  <c r="AK2818" i="1"/>
  <c r="AK2145" i="1"/>
  <c r="X2402" i="1"/>
  <c r="X2529" i="1"/>
  <c r="AK2541" i="1"/>
  <c r="AK2874" i="1"/>
  <c r="X2874" i="1"/>
  <c r="AL2874" i="1"/>
  <c r="X1903" i="1"/>
  <c r="X1923" i="1"/>
  <c r="X2071" i="1"/>
  <c r="X2073" i="1"/>
  <c r="X2075" i="1"/>
  <c r="X2118" i="1"/>
  <c r="AL2136" i="1"/>
  <c r="X2141" i="1"/>
  <c r="AK2349" i="1"/>
  <c r="X2400" i="1"/>
  <c r="X2466" i="1"/>
  <c r="AK2477" i="1"/>
  <c r="AL2541" i="1"/>
  <c r="X2613" i="1"/>
  <c r="AL2613" i="1"/>
  <c r="AL2685" i="1"/>
  <c r="AK3189" i="1"/>
  <c r="AL2706" i="1"/>
  <c r="AK2706" i="1"/>
  <c r="AL3026" i="1"/>
  <c r="AK3026" i="1"/>
  <c r="AG3026" i="1"/>
  <c r="X3026" i="1"/>
  <c r="AL3135" i="1"/>
  <c r="AK3135" i="1"/>
  <c r="X3135" i="1"/>
  <c r="AK1825" i="1"/>
  <c r="AK1855" i="1"/>
  <c r="AK1885" i="1"/>
  <c r="AL2199" i="1"/>
  <c r="AK2240" i="1"/>
  <c r="X2530" i="1"/>
  <c r="X2706" i="1"/>
  <c r="AL2933" i="1"/>
  <c r="AK2933" i="1"/>
  <c r="X2933" i="1"/>
  <c r="AG2998" i="1"/>
  <c r="AL2998" i="1"/>
  <c r="AK2998" i="1"/>
  <c r="X2998" i="1"/>
  <c r="X3362" i="1"/>
  <c r="AL3362" i="1"/>
  <c r="AK3362" i="1"/>
  <c r="AK3690" i="1"/>
  <c r="AL3690" i="1"/>
  <c r="X3690" i="1"/>
  <c r="X2318" i="1"/>
  <c r="AK2643" i="1"/>
  <c r="X2643" i="1"/>
  <c r="AL2904" i="1"/>
  <c r="AK2904" i="1"/>
  <c r="AK2920" i="1"/>
  <c r="AL2920" i="1"/>
  <c r="AK3511" i="1"/>
  <c r="AG3511" i="1"/>
  <c r="X3511" i="1"/>
  <c r="AL3511" i="1"/>
  <c r="X2299" i="1"/>
  <c r="X2370" i="1"/>
  <c r="X2427" i="1"/>
  <c r="AK2462" i="1"/>
  <c r="AG3237" i="1"/>
  <c r="AL3237" i="1"/>
  <c r="AK3237" i="1"/>
  <c r="AL2593" i="1"/>
  <c r="AK2593" i="1"/>
  <c r="AL2883" i="1"/>
  <c r="AK2883" i="1"/>
  <c r="X3011" i="1"/>
  <c r="AL3011" i="1"/>
  <c r="AK3011" i="1"/>
  <c r="AL3021" i="1"/>
  <c r="AK3021" i="1"/>
  <c r="AG3021" i="1"/>
  <c r="X3021" i="1"/>
  <c r="AG3249" i="1"/>
  <c r="AL3249" i="1"/>
  <c r="AK3249" i="1"/>
  <c r="X3249" i="1"/>
  <c r="X3358" i="1"/>
  <c r="AL3358" i="1"/>
  <c r="AK3358" i="1"/>
  <c r="AK3415" i="1"/>
  <c r="AL3415" i="1"/>
  <c r="AG3513" i="1"/>
  <c r="X3513" i="1"/>
  <c r="AL3513" i="1"/>
  <c r="AK3513" i="1"/>
  <c r="AG3760" i="1"/>
  <c r="AL3760" i="1"/>
  <c r="AK3760" i="1"/>
  <c r="X3760" i="1"/>
  <c r="AK2820" i="1"/>
  <c r="AG2820" i="1"/>
  <c r="AL2897" i="1"/>
  <c r="AK2897" i="1"/>
  <c r="AL2903" i="1"/>
  <c r="AK2903" i="1"/>
  <c r="AL3401" i="1"/>
  <c r="AK3401" i="1"/>
  <c r="AK3688" i="1"/>
  <c r="AL3688" i="1"/>
  <c r="X3688" i="1"/>
  <c r="AL3803" i="1"/>
  <c r="AG3803" i="1"/>
  <c r="AK3803" i="1"/>
  <c r="X3803" i="1"/>
  <c r="X2820" i="1"/>
  <c r="X2897" i="1"/>
  <c r="X2903" i="1"/>
  <c r="AL2907" i="1"/>
  <c r="AK2907" i="1"/>
  <c r="X2907" i="1"/>
  <c r="AL3083" i="1"/>
  <c r="AK3083" i="1"/>
  <c r="AG3265" i="1"/>
  <c r="X3265" i="1"/>
  <c r="AL3265" i="1"/>
  <c r="AK3265" i="1"/>
  <c r="X3401" i="1"/>
  <c r="AK3684" i="1"/>
  <c r="AL3684" i="1"/>
  <c r="X3684" i="1"/>
  <c r="AL3698" i="1"/>
  <c r="AK3698" i="1"/>
  <c r="AK3779" i="1"/>
  <c r="AG3779" i="1"/>
  <c r="X2692" i="1"/>
  <c r="X2770" i="1"/>
  <c r="AL2798" i="1"/>
  <c r="AL2822" i="1"/>
  <c r="AL2922" i="1"/>
  <c r="AK2922" i="1"/>
  <c r="AL2935" i="1"/>
  <c r="AK2935" i="1"/>
  <c r="AG3022" i="1"/>
  <c r="X3022" i="1"/>
  <c r="AL3022" i="1"/>
  <c r="X3083" i="1"/>
  <c r="AG3236" i="1"/>
  <c r="X3236" i="1"/>
  <c r="AL3236" i="1"/>
  <c r="AK3236" i="1"/>
  <c r="AG3244" i="1"/>
  <c r="X3244" i="1"/>
  <c r="AL3244" i="1"/>
  <c r="AK3244" i="1"/>
  <c r="AK3525" i="1"/>
  <c r="AG3525" i="1"/>
  <c r="AL3525" i="1"/>
  <c r="X3698" i="1"/>
  <c r="AK2796" i="1"/>
  <c r="AL2873" i="1"/>
  <c r="AL2884" i="1"/>
  <c r="AK2884" i="1"/>
  <c r="AL2898" i="1"/>
  <c r="AK2898" i="1"/>
  <c r="AL2908" i="1"/>
  <c r="AK2908" i="1"/>
  <c r="AL3007" i="1"/>
  <c r="AK3007" i="1"/>
  <c r="AG3007" i="1"/>
  <c r="AL3141" i="1"/>
  <c r="AK3141" i="1"/>
  <c r="AG3587" i="1"/>
  <c r="AL3587" i="1"/>
  <c r="AK3587" i="1"/>
  <c r="X3654" i="1"/>
  <c r="AL3654" i="1"/>
  <c r="AK3654" i="1"/>
  <c r="AK2872" i="1"/>
  <c r="X2872" i="1"/>
  <c r="AL2885" i="1"/>
  <c r="AK2885" i="1"/>
  <c r="AL2901" i="1"/>
  <c r="AG3008" i="1"/>
  <c r="AL3008" i="1"/>
  <c r="AK3008" i="1"/>
  <c r="AK3047" i="1"/>
  <c r="AL3047" i="1"/>
  <c r="AK3441" i="1"/>
  <c r="AL3441" i="1"/>
  <c r="X3368" i="1"/>
  <c r="AL3368" i="1"/>
  <c r="AK3368" i="1"/>
  <c r="X3435" i="1"/>
  <c r="AL3435" i="1"/>
  <c r="AK3435" i="1"/>
  <c r="AL2678" i="1"/>
  <c r="AK2678" i="1"/>
  <c r="AL2707" i="1"/>
  <c r="AK2707" i="1"/>
  <c r="AL2819" i="1"/>
  <c r="AK2819" i="1"/>
  <c r="AL2896" i="1"/>
  <c r="AK2896" i="1"/>
  <c r="X2896" i="1"/>
  <c r="AG3518" i="1"/>
  <c r="X3518" i="1"/>
  <c r="AL3518" i="1"/>
  <c r="AK3518" i="1"/>
  <c r="AL2631" i="1"/>
  <c r="AL2728" i="1"/>
  <c r="AL2749" i="1"/>
  <c r="AL2906" i="1"/>
  <c r="AK2906" i="1"/>
  <c r="X2927" i="1"/>
  <c r="AL2927" i="1"/>
  <c r="AG3018" i="1"/>
  <c r="AL3018" i="1"/>
  <c r="AK3018" i="1"/>
  <c r="AG3248" i="1"/>
  <c r="X3248" i="1"/>
  <c r="X3370" i="1"/>
  <c r="AL3370" i="1"/>
  <c r="AK3658" i="1"/>
  <c r="AL3658" i="1"/>
  <c r="AK3685" i="1"/>
  <c r="X3685" i="1"/>
  <c r="AL3685" i="1"/>
  <c r="X2598" i="1"/>
  <c r="X2639" i="1"/>
  <c r="X2812" i="1"/>
  <c r="X2834" i="1"/>
  <c r="X2894" i="1"/>
  <c r="X2906" i="1"/>
  <c r="X2916" i="1"/>
  <c r="X3012" i="1"/>
  <c r="X3018" i="1"/>
  <c r="AG3023" i="1"/>
  <c r="AL3023" i="1"/>
  <c r="AG3260" i="1"/>
  <c r="X3260" i="1"/>
  <c r="AK3263" i="1"/>
  <c r="AG3263" i="1"/>
  <c r="X3360" i="1"/>
  <c r="AL3360" i="1"/>
  <c r="AK3422" i="1"/>
  <c r="AL3422" i="1"/>
  <c r="X3658" i="1"/>
  <c r="AL3848" i="1"/>
  <c r="AK3848" i="1"/>
  <c r="X3848" i="1"/>
  <c r="X2540" i="1"/>
  <c r="X2558" i="1"/>
  <c r="X2569" i="1"/>
  <c r="X2571" i="1"/>
  <c r="X2630" i="1"/>
  <c r="X2727" i="1"/>
  <c r="X2729" i="1"/>
  <c r="X2810" i="1"/>
  <c r="X2909" i="1"/>
  <c r="X2914" i="1"/>
  <c r="AK2927" i="1"/>
  <c r="AG2996" i="1"/>
  <c r="AG3001" i="1"/>
  <c r="X3016" i="1"/>
  <c r="X3023" i="1"/>
  <c r="X3179" i="1"/>
  <c r="AL3179" i="1"/>
  <c r="AK3248" i="1"/>
  <c r="X3263" i="1"/>
  <c r="X3304" i="1"/>
  <c r="AL3304" i="1"/>
  <c r="X3402" i="1"/>
  <c r="AL3402" i="1"/>
  <c r="AK3402" i="1"/>
  <c r="X3422" i="1"/>
  <c r="AK3624" i="1"/>
  <c r="AL3624" i="1"/>
  <c r="AL2902" i="1"/>
  <c r="AK2902" i="1"/>
  <c r="AK3012" i="1"/>
  <c r="AL3139" i="1"/>
  <c r="AK3139" i="1"/>
  <c r="X3177" i="1"/>
  <c r="AL3177" i="1"/>
  <c r="AG3256" i="1"/>
  <c r="X3256" i="1"/>
  <c r="AL3256" i="1"/>
  <c r="AK3256" i="1"/>
  <c r="AG3261" i="1"/>
  <c r="AL3261" i="1"/>
  <c r="X3302" i="1"/>
  <c r="AL3302" i="1"/>
  <c r="AL3403" i="1"/>
  <c r="AK3403" i="1"/>
  <c r="AL3434" i="1"/>
  <c r="AK3434" i="1"/>
  <c r="AK3691" i="1"/>
  <c r="X3691" i="1"/>
  <c r="AL3691" i="1"/>
  <c r="AL3934" i="1"/>
  <c r="AK3934" i="1"/>
  <c r="X3934" i="1"/>
  <c r="AL4064" i="1"/>
  <c r="AK4064" i="1"/>
  <c r="AG4064" i="1"/>
  <c r="X4064" i="1"/>
  <c r="AL2910" i="1"/>
  <c r="AK2910" i="1"/>
  <c r="AG3002" i="1"/>
  <c r="AL3002" i="1"/>
  <c r="AK3242" i="1"/>
  <c r="AG3242" i="1"/>
  <c r="X3434" i="1"/>
  <c r="AG3532" i="1"/>
  <c r="AL3532" i="1"/>
  <c r="AK3532" i="1"/>
  <c r="X3581" i="1"/>
  <c r="AL3581" i="1"/>
  <c r="AK3581" i="1"/>
  <c r="AK3687" i="1"/>
  <c r="X3687" i="1"/>
  <c r="AL3687" i="1"/>
  <c r="AL3892" i="1"/>
  <c r="AK3892" i="1"/>
  <c r="AG3892" i="1"/>
  <c r="AL2900" i="1"/>
  <c r="AK2900" i="1"/>
  <c r="X2910" i="1"/>
  <c r="X3002" i="1"/>
  <c r="AK3098" i="1"/>
  <c r="X3098" i="1"/>
  <c r="AL3137" i="1"/>
  <c r="AK3137" i="1"/>
  <c r="X3242" i="1"/>
  <c r="AL3247" i="1"/>
  <c r="AK3247" i="1"/>
  <c r="AK3254" i="1"/>
  <c r="AG3254" i="1"/>
  <c r="X3364" i="1"/>
  <c r="AL3364" i="1"/>
  <c r="AL3409" i="1"/>
  <c r="AK3409" i="1"/>
  <c r="X3409" i="1"/>
  <c r="AL3850" i="1"/>
  <c r="AK3850" i="1"/>
  <c r="X3850" i="1"/>
  <c r="X2900" i="1"/>
  <c r="AL2997" i="1"/>
  <c r="X3137" i="1"/>
  <c r="AK3177" i="1"/>
  <c r="X3247" i="1"/>
  <c r="X3254" i="1"/>
  <c r="AL3259" i="1"/>
  <c r="AK3259" i="1"/>
  <c r="AK3302" i="1"/>
  <c r="AL4176" i="1"/>
  <c r="AK4176" i="1"/>
  <c r="AG4176" i="1"/>
  <c r="AK3399" i="1"/>
  <c r="AK3425" i="1"/>
  <c r="AK3531" i="1"/>
  <c r="AG3531" i="1"/>
  <c r="AL3590" i="1"/>
  <c r="AL3646" i="1"/>
  <c r="AK3646" i="1"/>
  <c r="AL3649" i="1"/>
  <c r="AK3649" i="1"/>
  <c r="AL3656" i="1"/>
  <c r="AL3763" i="1"/>
  <c r="AG3763" i="1"/>
  <c r="AK3776" i="1"/>
  <c r="AL3776" i="1"/>
  <c r="AK3025" i="1"/>
  <c r="AK3093" i="1"/>
  <c r="AK3239" i="1"/>
  <c r="AK3251" i="1"/>
  <c r="X3407" i="1"/>
  <c r="X3416" i="1"/>
  <c r="X3421" i="1"/>
  <c r="AL3425" i="1"/>
  <c r="X3440" i="1"/>
  <c r="X3512" i="1"/>
  <c r="AG3519" i="1"/>
  <c r="X3519" i="1"/>
  <c r="X3531" i="1"/>
  <c r="X3646" i="1"/>
  <c r="X3649" i="1"/>
  <c r="X3763" i="1"/>
  <c r="X3776" i="1"/>
  <c r="AL3908" i="1"/>
  <c r="AK3908" i="1"/>
  <c r="X3908" i="1"/>
  <c r="AL4110" i="1"/>
  <c r="AK4110" i="1"/>
  <c r="AG4110" i="1"/>
  <c r="X4110" i="1"/>
  <c r="AL3025" i="1"/>
  <c r="AL3093" i="1"/>
  <c r="AL3239" i="1"/>
  <c r="AL3251" i="1"/>
  <c r="AK3517" i="1"/>
  <c r="AG3517" i="1"/>
  <c r="AL3748" i="1"/>
  <c r="AK3748" i="1"/>
  <c r="AK3758" i="1"/>
  <c r="AL3758" i="1"/>
  <c r="AG3776" i="1"/>
  <c r="X3799" i="1"/>
  <c r="AK3799" i="1"/>
  <c r="AG3799" i="1"/>
  <c r="AK3512" i="1"/>
  <c r="X3517" i="1"/>
  <c r="AK3519" i="1"/>
  <c r="AG3527" i="1"/>
  <c r="X3527" i="1"/>
  <c r="AK3689" i="1"/>
  <c r="X3689" i="1"/>
  <c r="AL3692" i="1"/>
  <c r="AK3692" i="1"/>
  <c r="X3748" i="1"/>
  <c r="X3758" i="1"/>
  <c r="AK3761" i="1"/>
  <c r="AG3761" i="1"/>
  <c r="AK3763" i="1"/>
  <c r="AG3787" i="1"/>
  <c r="X3787" i="1"/>
  <c r="AL3787" i="1"/>
  <c r="AL3433" i="1"/>
  <c r="AL3512" i="1"/>
  <c r="AL3519" i="1"/>
  <c r="AL3531" i="1"/>
  <c r="AL3644" i="1"/>
  <c r="AK3644" i="1"/>
  <c r="AL3647" i="1"/>
  <c r="AK3647" i="1"/>
  <c r="AL3657" i="1"/>
  <c r="X3686" i="1"/>
  <c r="X3692" i="1"/>
  <c r="AG3764" i="1"/>
  <c r="X3764" i="1"/>
  <c r="AL3799" i="1"/>
  <c r="AL3645" i="1"/>
  <c r="AK3645" i="1"/>
  <c r="AL3648" i="1"/>
  <c r="AK3648" i="1"/>
  <c r="X3762" i="1"/>
  <c r="AK3762" i="1"/>
  <c r="AG3762" i="1"/>
  <c r="AL3983" i="1"/>
  <c r="AK3983" i="1"/>
  <c r="AG3983" i="1"/>
  <c r="X3983" i="1"/>
  <c r="X3399" i="1"/>
  <c r="X3420" i="1"/>
  <c r="X3439" i="1"/>
  <c r="X3590" i="1"/>
  <c r="X3645" i="1"/>
  <c r="X3648" i="1"/>
  <c r="X3656" i="1"/>
  <c r="AG3765" i="1"/>
  <c r="X3765" i="1"/>
  <c r="AL3765" i="1"/>
  <c r="AG3780" i="1"/>
  <c r="AK3780" i="1"/>
  <c r="AL3956" i="1"/>
  <c r="AK3956" i="1"/>
  <c r="AL4047" i="1"/>
  <c r="AK4047" i="1"/>
  <c r="AG3521" i="1"/>
  <c r="X3521" i="1"/>
  <c r="X3583" i="1"/>
  <c r="AK3699" i="1"/>
  <c r="AL3699" i="1"/>
  <c r="AL3857" i="1"/>
  <c r="AK3857" i="1"/>
  <c r="X3857" i="1"/>
  <c r="X3956" i="1"/>
  <c r="X4047" i="1"/>
  <c r="AL4136" i="1"/>
  <c r="AK4136" i="1"/>
  <c r="AG4136" i="1"/>
  <c r="X4136" i="1"/>
  <c r="X3802" i="1"/>
  <c r="AK3802" i="1"/>
  <c r="AG3807" i="1"/>
  <c r="AL3807" i="1"/>
  <c r="AK3807" i="1"/>
  <c r="AL4012" i="1"/>
  <c r="AK4012" i="1"/>
  <c r="X4012" i="1"/>
  <c r="AL4222" i="1"/>
  <c r="AK4222" i="1"/>
  <c r="X4222" i="1"/>
  <c r="X3786" i="1"/>
  <c r="X3794" i="1"/>
  <c r="AG3802" i="1"/>
  <c r="X3807" i="1"/>
  <c r="AL3873" i="1"/>
  <c r="AK3873" i="1"/>
  <c r="AL3925" i="1"/>
  <c r="AK3925" i="1"/>
  <c r="AL4179" i="1"/>
  <c r="AK4179" i="1"/>
  <c r="AG4179" i="1"/>
  <c r="X3522" i="1"/>
  <c r="X3766" i="1"/>
  <c r="X3768" i="1"/>
  <c r="X3790" i="1"/>
  <c r="AL3798" i="1"/>
  <c r="AK3798" i="1"/>
  <c r="AK3805" i="1"/>
  <c r="X3805" i="1"/>
  <c r="X3873" i="1"/>
  <c r="AL3888" i="1"/>
  <c r="AK3888" i="1"/>
  <c r="X3925" i="1"/>
  <c r="AL3945" i="1"/>
  <c r="AK3945" i="1"/>
  <c r="X3945" i="1"/>
  <c r="AL4035" i="1"/>
  <c r="AK4035" i="1"/>
  <c r="AG4035" i="1"/>
  <c r="AL4071" i="1"/>
  <c r="AK4071" i="1"/>
  <c r="AL4117" i="1"/>
  <c r="AK4117" i="1"/>
  <c r="AG4117" i="1"/>
  <c r="X4179" i="1"/>
  <c r="X3478" i="1"/>
  <c r="X3487" i="1"/>
  <c r="X3515" i="1"/>
  <c r="X3529" i="1"/>
  <c r="X3602" i="1"/>
  <c r="X3770" i="1"/>
  <c r="X3774" i="1"/>
  <c r="X3798" i="1"/>
  <c r="AL3802" i="1"/>
  <c r="X3888" i="1"/>
  <c r="AL3912" i="1"/>
  <c r="AK3912" i="1"/>
  <c r="AL3949" i="1"/>
  <c r="AK3949" i="1"/>
  <c r="AL4016" i="1"/>
  <c r="AK4016" i="1"/>
  <c r="AG4016" i="1"/>
  <c r="X4016" i="1"/>
  <c r="AK3515" i="1"/>
  <c r="AK3529" i="1"/>
  <c r="AK3602" i="1"/>
  <c r="AK3706" i="1"/>
  <c r="AK3708" i="1"/>
  <c r="AK3710" i="1"/>
  <c r="AK3712" i="1"/>
  <c r="AK3714" i="1"/>
  <c r="AK3770" i="1"/>
  <c r="AK3774" i="1"/>
  <c r="AK3782" i="1"/>
  <c r="AL3886" i="1"/>
  <c r="AK3886" i="1"/>
  <c r="AL4163" i="1"/>
  <c r="AK4163" i="1"/>
  <c r="AG4163" i="1"/>
  <c r="AL4202" i="1"/>
  <c r="AK4202" i="1"/>
  <c r="X4202" i="1"/>
  <c r="AL4207" i="1"/>
  <c r="AK4207" i="1"/>
  <c r="AG4207" i="1"/>
  <c r="X4207" i="1"/>
  <c r="AK3510" i="1"/>
  <c r="AK3524" i="1"/>
  <c r="AK3757" i="1"/>
  <c r="AK3759" i="1"/>
  <c r="AL3782" i="1"/>
  <c r="AL3792" i="1"/>
  <c r="AK3808" i="1"/>
  <c r="AL3943" i="1"/>
  <c r="AK3943" i="1"/>
  <c r="X3943" i="1"/>
  <c r="AL3947" i="1"/>
  <c r="AK3947" i="1"/>
  <c r="X3789" i="1"/>
  <c r="AG3793" i="1"/>
  <c r="AL3846" i="1"/>
  <c r="AK3846" i="1"/>
  <c r="AL3899" i="1"/>
  <c r="AK3899" i="1"/>
  <c r="X3947" i="1"/>
  <c r="AL4167" i="1"/>
  <c r="AK4167" i="1"/>
  <c r="AG4167" i="1"/>
  <c r="AL3862" i="1"/>
  <c r="AK3876" i="1"/>
  <c r="AL3878" i="1"/>
  <c r="AL3880" i="1"/>
  <c r="AK3969" i="1"/>
  <c r="X4050" i="1"/>
  <c r="AK4116" i="1"/>
  <c r="AK4126" i="1"/>
  <c r="AK4162" i="1"/>
  <c r="AK4165" i="1"/>
  <c r="AK4178" i="1"/>
  <c r="AG4185" i="1"/>
  <c r="AG4225" i="1"/>
  <c r="AK4230" i="1"/>
  <c r="AG4247" i="1"/>
  <c r="AK4251" i="1"/>
  <c r="X3806" i="1"/>
  <c r="AL3876" i="1"/>
  <c r="AK3891" i="1"/>
  <c r="AK3967" i="1"/>
  <c r="AL3969" i="1"/>
  <c r="AK3980" i="1"/>
  <c r="AK3982" i="1"/>
  <c r="AL4051" i="1"/>
  <c r="AL4116" i="1"/>
  <c r="AL4126" i="1"/>
  <c r="AK4135" i="1"/>
  <c r="AK4138" i="1"/>
  <c r="AK4144" i="1"/>
  <c r="AL4162" i="1"/>
  <c r="AL4165" i="1"/>
  <c r="AL4178" i="1"/>
  <c r="AK4206" i="1"/>
  <c r="AL4230" i="1"/>
  <c r="AL4251" i="1"/>
  <c r="AK4262" i="1"/>
  <c r="AL3891" i="1"/>
  <c r="AK3957" i="1"/>
  <c r="X3966" i="1"/>
  <c r="AL3967" i="1"/>
  <c r="AK3875" i="1"/>
  <c r="AK3903" i="1"/>
  <c r="AK3966" i="1"/>
  <c r="AK3979" i="1"/>
  <c r="AK3987" i="1"/>
  <c r="AG4270" i="1"/>
  <c r="AK4044" i="1"/>
  <c r="X4142" i="1"/>
  <c r="X4197" i="1"/>
  <c r="X4051" i="1"/>
  <c r="AK4270" i="1"/>
  <c r="X3891" i="1"/>
  <c r="X3967" i="1"/>
  <c r="X4116" i="1"/>
  <c r="X4162" i="1"/>
  <c r="X4178" i="1"/>
  <c r="X4206" i="1"/>
  <c r="X4135" i="1"/>
  <c r="AK4142" i="1"/>
  <c r="AK4197" i="1"/>
  <c r="X4262" i="1"/>
</calcChain>
</file>

<file path=xl/sharedStrings.xml><?xml version="1.0" encoding="utf-8"?>
<sst xmlns="http://schemas.openxmlformats.org/spreadsheetml/2006/main" count="58952" uniqueCount="3497">
  <si>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</si>
  <si>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</si>
  <si>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</si>
  <si>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</si>
  <si>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</si>
  <si>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</si>
  <si>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</si>
  <si>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</si>
  <si>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</si>
  <si>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</si>
  <si>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</si>
  <si>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</si>
  <si>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</si>
  <si>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</si>
  <si>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</si>
  <si>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</si>
  <si>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</si>
  <si>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</si>
  <si>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</si>
  <si>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</si>
  <si>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</si>
  <si>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</si>
  <si>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</si>
  <si>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</si>
  <si>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</si>
  <si>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</si>
  <si>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</si>
  <si>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</si>
  <si>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</si>
  <si>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</si>
  <si>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</si>
  <si>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</si>
  <si>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</si>
  <si>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</si>
  <si>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</si>
  <si>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</si>
  <si>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</si>
  <si>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</si>
  <si>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</si>
  <si>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</si>
  <si>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</si>
  <si>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</si>
  <si>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</si>
  <si>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</si>
  <si>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</si>
  <si>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</si>
  <si>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</si>
  <si>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</si>
  <si>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</si>
  <si>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</si>
  <si>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</si>
  <si>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</si>
  <si>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</si>
  <si>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</si>
  <si>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</si>
  <si>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</si>
  <si>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</si>
  <si>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</si>
  <si>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</si>
  <si>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</si>
  <si>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</si>
  <si>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</si>
  <si>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</si>
  <si>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</si>
  <si>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</si>
  <si>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</si>
  <si>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</si>
  <si>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</si>
  <si>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</si>
  <si>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</si>
  <si>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</si>
  <si>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</si>
  <si>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</si>
  <si>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</si>
  <si>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</si>
  <si>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</si>
  <si>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</si>
  <si>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</si>
  <si>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</si>
  <si>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</si>
  <si>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</si>
  <si>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</si>
  <si>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</si>
  <si>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</si>
  <si>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</si>
  <si>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</si>
  <si>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</si>
  <si>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</si>
  <si>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</si>
  <si>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</si>
  <si>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</si>
  <si>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</si>
  <si>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</si>
  <si>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</si>
  <si>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</si>
  <si>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</si>
  <si>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</si>
  <si>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</si>
  <si>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</si>
  <si>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</si>
  <si>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</si>
  <si>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</si>
  <si>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</si>
  <si>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</si>
  <si>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</si>
  <si>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</si>
  <si>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</si>
  <si>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</si>
  <si>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</si>
  <si>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</si>
  <si>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</si>
  <si>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</si>
  <si>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</si>
  <si>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</si>
  <si>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</si>
  <si>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</si>
  <si>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</si>
  <si>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</si>
  <si>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</si>
  <si>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</si>
  <si>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</si>
  <si>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</si>
  <si>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</si>
  <si>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</si>
  <si>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</si>
  <si>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</si>
  <si>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</si>
  <si>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</si>
  <si>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</si>
  <si>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</si>
  <si>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</si>
  <si>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</si>
  <si>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</si>
  <si>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</si>
  <si>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</si>
  <si>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</si>
  <si>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</si>
  <si>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</si>
  <si>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</si>
  <si>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</si>
  <si>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</si>
  <si>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</si>
  <si>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</si>
  <si>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</si>
  <si>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</si>
  <si>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</si>
  <si>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</si>
  <si>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</si>
  <si>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</si>
  <si>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</si>
  <si>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</si>
  <si>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</si>
  <si>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</si>
  <si>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</si>
  <si>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</si>
  <si>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</si>
  <si>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</si>
  <si>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</si>
  <si>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</si>
  <si>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</si>
  <si>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</si>
  <si>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</si>
  <si>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</si>
  <si>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</si>
  <si>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</si>
  <si>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</si>
  <si>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</si>
  <si>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</si>
  <si>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</si>
  <si>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</si>
  <si>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</si>
  <si>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</si>
  <si>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</si>
  <si>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</si>
  <si>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</si>
  <si>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</si>
  <si>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</si>
  <si>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</si>
  <si>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</si>
  <si>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</si>
  <si>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</si>
  <si>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</si>
  <si>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</si>
  <si>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</si>
  <si>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</si>
  <si>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</si>
  <si>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</si>
  <si>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</si>
  <si>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</si>
  <si>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</si>
  <si>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</si>
  <si>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</si>
  <si>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</si>
  <si>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</si>
  <si>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</si>
  <si>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</si>
  <si>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</si>
  <si>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</si>
  <si>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</si>
  <si>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</si>
  <si>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</si>
  <si>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</si>
  <si>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</si>
  <si>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</si>
  <si>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</si>
  <si>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</si>
  <si>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</si>
  <si>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</si>
  <si>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</si>
  <si>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</si>
  <si>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</si>
  <si>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</si>
  <si>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</si>
  <si>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</si>
  <si>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</si>
  <si>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</si>
  <si>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</si>
  <si>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</si>
  <si>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</si>
  <si>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</si>
  <si>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</si>
  <si>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</si>
  <si>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</si>
  <si>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</si>
  <si>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</si>
  <si>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</si>
  <si>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</si>
  <si>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</si>
  <si>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</si>
  <si>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</si>
  <si>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</si>
  <si>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</si>
  <si>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</si>
  <si>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</si>
  <si>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</si>
  <si>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</si>
  <si>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</si>
  <si>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</si>
  <si>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</si>
  <si>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</si>
  <si>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</si>
  <si>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</si>
  <si>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</si>
  <si>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</si>
  <si>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</si>
  <si>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</si>
  <si>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</si>
  <si>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</si>
  <si>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</si>
  <si>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</si>
  <si>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</si>
  <si>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</si>
  <si>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</si>
  <si>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</si>
  <si>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</si>
  <si>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</si>
  <si>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</si>
  <si>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</si>
  <si>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</si>
  <si>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</si>
  <si>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</si>
  <si>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</si>
  <si>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</si>
  <si>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</si>
  <si>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</si>
  <si>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</si>
  <si>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</si>
  <si>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</si>
  <si>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</si>
  <si>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</si>
  <si>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</si>
  <si>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</si>
  <si>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</si>
  <si>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</si>
  <si>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</si>
  <si>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</si>
  <si>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</si>
  <si>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</si>
  <si>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</si>
  <si>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</si>
  <si>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</si>
  <si>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</si>
  <si>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</si>
  <si>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</si>
  <si>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</si>
  <si>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</si>
  <si>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</si>
  <si>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</si>
  <si>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</si>
  <si>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</si>
  <si>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</si>
  <si>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</si>
  <si>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</si>
  <si>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</si>
  <si>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</si>
  <si>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</si>
  <si>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</si>
  <si>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</si>
  <si>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</si>
  <si>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</si>
  <si>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</si>
  <si>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</si>
  <si>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</si>
  <si>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</si>
  <si>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</si>
  <si>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</si>
  <si>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</si>
  <si>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</si>
  <si>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</si>
  <si>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</si>
  <si>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</si>
  <si>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</si>
  <si>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</si>
  <si>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</si>
  <si>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</si>
  <si>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</si>
  <si>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</si>
  <si>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</si>
  <si>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</si>
  <si>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</si>
  <si>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</si>
  <si>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</si>
  <si>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</si>
  <si>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</si>
  <si>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</si>
  <si>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</si>
  <si>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</si>
  <si>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</si>
  <si>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</si>
  <si>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</si>
  <si>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</si>
  <si>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</si>
  <si>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</si>
  <si>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</si>
  <si>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</si>
  <si>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</si>
  <si>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</si>
  <si>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</si>
  <si>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</si>
  <si>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</si>
  <si>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</si>
  <si>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</si>
  <si>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</si>
  <si>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</si>
  <si>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</si>
  <si>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</si>
  <si>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</si>
  <si>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</si>
  <si>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</si>
  <si>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</si>
  <si>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</si>
  <si>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</si>
  <si>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</si>
  <si>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</si>
  <si>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</si>
  <si>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</si>
  <si>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</si>
  <si>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</si>
  <si>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</si>
  <si>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</si>
  <si>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</si>
  <si>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</si>
  <si>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</si>
  <si>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</si>
  <si>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</si>
  <si>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</si>
  <si>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</si>
  <si>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</si>
  <si>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</si>
  <si>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</si>
  <si>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</si>
  <si>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</si>
  <si>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</si>
  <si>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</si>
  <si>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</si>
  <si>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</si>
  <si>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</si>
  <si>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</si>
  <si>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</si>
  <si>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</si>
  <si>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</si>
  <si>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</si>
  <si>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</si>
  <si>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</si>
  <si>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</si>
  <si>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</si>
  <si>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</si>
  <si>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</si>
  <si>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</si>
  <si>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</si>
  <si>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</si>
  <si>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</si>
  <si>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</si>
  <si>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</si>
  <si>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</si>
  <si>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</si>
  <si>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</si>
  <si>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</si>
  <si>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</si>
  <si>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</si>
  <si>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</si>
  <si>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</si>
  <si>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</si>
  <si>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</si>
  <si>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</si>
  <si>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</si>
  <si>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</si>
  <si>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</si>
  <si>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</si>
  <si>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</si>
  <si>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</si>
  <si>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</si>
  <si>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</si>
  <si>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</si>
  <si>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</si>
  <si>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</si>
  <si>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</si>
  <si>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</si>
  <si>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</si>
  <si>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</si>
  <si>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</si>
  <si>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</si>
  <si>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</si>
  <si>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</si>
  <si>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</si>
  <si>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</si>
  <si>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</si>
  <si>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</si>
  <si>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</si>
  <si>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</si>
  <si>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</si>
  <si>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</si>
  <si>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</si>
  <si>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</si>
  <si>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</si>
  <si>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</si>
  <si>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</si>
  <si>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</si>
  <si>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</si>
  <si>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</si>
  <si>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</si>
  <si>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</si>
  <si>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</si>
  <si>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</si>
  <si>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</si>
  <si>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</si>
  <si>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</si>
  <si>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</si>
  <si>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</si>
  <si>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</si>
  <si>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</si>
  <si>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</si>
  <si>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</si>
  <si>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</si>
  <si>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</si>
  <si>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</si>
  <si>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</si>
  <si>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</si>
  <si>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</si>
  <si>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</si>
  <si>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</si>
  <si>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</si>
  <si>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</si>
  <si>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</si>
  <si>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</si>
  <si>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</si>
  <si>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</si>
  <si>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</si>
  <si>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</si>
  <si>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</si>
  <si>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</si>
  <si>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</si>
  <si>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</si>
  <si>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</si>
  <si>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</si>
  <si>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</si>
  <si>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</si>
  <si>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</si>
  <si>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</si>
  <si>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</si>
  <si>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</si>
  <si>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</si>
  <si>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</si>
  <si>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</si>
  <si>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</si>
  <si>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</si>
  <si>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</si>
  <si>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</si>
  <si>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</si>
  <si>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</si>
  <si>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</si>
  <si>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</si>
  <si>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</si>
  <si>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</si>
  <si>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</si>
  <si>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</si>
  <si>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</si>
  <si>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</si>
  <si>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</si>
  <si>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</si>
  <si>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</si>
  <si>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</si>
  <si>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</si>
  <si>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</si>
  <si>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</si>
  <si>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</si>
  <si>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</si>
  <si>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</si>
  <si>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</si>
  <si>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</si>
  <si>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</si>
  <si>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</si>
  <si>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</si>
  <si>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</si>
  <si>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</si>
  <si>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</si>
  <si>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</si>
  <si>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</si>
  <si>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</si>
  <si>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</si>
  <si>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</si>
  <si>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</si>
  <si>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</si>
  <si>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</si>
  <si>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</si>
  <si>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</si>
  <si>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</si>
  <si>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</si>
  <si>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</si>
  <si>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</si>
  <si>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</si>
  <si>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</si>
  <si>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</si>
  <si>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</si>
  <si>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</si>
  <si>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</si>
  <si>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</si>
  <si>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</si>
  <si>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</si>
  <si>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</si>
  <si>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</si>
  <si>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</si>
  <si>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</si>
  <si>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</si>
  <si>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</si>
  <si>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</si>
  <si>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</si>
  <si>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</si>
  <si>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</si>
  <si>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</si>
  <si>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</si>
  <si>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</si>
  <si>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</si>
  <si>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</si>
  <si>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</si>
  <si>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</si>
  <si>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</si>
  <si>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</si>
  <si>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</si>
  <si>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</si>
  <si>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</si>
  <si>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</si>
  <si>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</si>
  <si>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</si>
  <si>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</si>
  <si>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</si>
  <si>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</si>
  <si>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</si>
  <si>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</si>
  <si>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</si>
  <si>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</si>
  <si>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</si>
  <si>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</si>
  <si>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</si>
  <si>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</si>
  <si>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</si>
  <si>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</si>
  <si>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</si>
  <si>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</si>
  <si>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</si>
  <si>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</si>
  <si>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</si>
  <si>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</si>
  <si>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</si>
  <si>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</si>
  <si>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</si>
  <si>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</si>
  <si>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</si>
  <si>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</si>
  <si>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</si>
  <si>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</si>
  <si>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</si>
  <si>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</si>
  <si>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</si>
  <si>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</si>
  <si>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</si>
  <si>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</si>
  <si>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</si>
  <si>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</si>
  <si>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</si>
  <si>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</si>
  <si>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</si>
  <si>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</si>
  <si>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</si>
  <si>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</si>
  <si>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</si>
  <si>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</si>
  <si>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</si>
  <si>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</si>
  <si>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</si>
  <si>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</si>
  <si>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</si>
  <si>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</si>
  <si>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</si>
  <si>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</si>
  <si>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</si>
  <si>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</si>
  <si>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</si>
  <si>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</si>
  <si>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</si>
  <si>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</si>
  <si>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</si>
  <si>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</si>
  <si>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</si>
  <si>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</si>
  <si>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</si>
  <si>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</si>
  <si>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</si>
  <si>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</si>
  <si>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</si>
  <si>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</si>
  <si>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</si>
  <si>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</si>
  <si>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</si>
  <si>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</si>
  <si>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</si>
  <si>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</si>
  <si>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</si>
  <si>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</si>
  <si>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</si>
  <si>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</si>
  <si>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</si>
  <si>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</si>
  <si>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</si>
  <si>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</si>
  <si>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</si>
  <si>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</si>
  <si>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</si>
  <si>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</si>
  <si>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</si>
  <si>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</si>
  <si>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</si>
  <si>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</si>
  <si>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</si>
  <si>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</si>
  <si>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</si>
  <si>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</si>
  <si>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</si>
  <si>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</si>
  <si>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</si>
  <si>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</si>
  <si>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</si>
  <si>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</si>
  <si>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</si>
  <si>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</si>
  <si>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</si>
  <si>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</si>
  <si>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</si>
  <si>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</si>
  <si>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</si>
  <si>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</si>
  <si>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</si>
  <si>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</si>
  <si>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</si>
  <si>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</si>
  <si>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</si>
  <si>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</si>
  <si>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</si>
  <si>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</si>
  <si>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</si>
  <si>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</si>
  <si>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</si>
  <si>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</si>
  <si>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</si>
  <si>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</si>
  <si>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</si>
  <si>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</si>
  <si>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</si>
  <si>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</si>
  <si>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</si>
  <si>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</si>
  <si>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</si>
  <si>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</si>
  <si>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</si>
  <si>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</si>
  <si>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</si>
  <si>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</si>
  <si>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</si>
  <si>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</si>
  <si>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</si>
  <si>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</si>
  <si>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</si>
  <si>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</si>
  <si>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</si>
  <si>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</si>
  <si>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</si>
  <si>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</si>
  <si>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</si>
  <si>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</si>
  <si>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</si>
  <si>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</si>
  <si>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</si>
  <si>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</si>
  <si>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</si>
  <si>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</si>
  <si>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</si>
  <si>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</si>
  <si>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</si>
  <si>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</si>
  <si>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</si>
  <si>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</si>
  <si>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</si>
  <si>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</si>
  <si>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</si>
  <si>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</si>
  <si>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</si>
  <si>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</si>
  <si>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</si>
  <si>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</si>
  <si>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</si>
  <si>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</si>
  <si>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</si>
  <si>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</si>
  <si>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</si>
  <si>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</si>
  <si>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</si>
  <si>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</si>
  <si>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</si>
  <si>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</si>
  <si>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</si>
  <si>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</si>
  <si>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</si>
  <si>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</si>
  <si>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</si>
  <si>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</si>
  <si>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</si>
  <si>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</si>
  <si>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</si>
  <si>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</si>
  <si>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</si>
  <si>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</si>
  <si>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</si>
  <si>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</si>
  <si>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</si>
  <si>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</si>
  <si>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</si>
  <si>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</si>
  <si>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</si>
  <si>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</si>
  <si>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</si>
  <si>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</si>
  <si>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</si>
  <si>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</si>
  <si>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</si>
  <si>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</si>
  <si>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</si>
  <si>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</si>
  <si>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</si>
  <si>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</si>
  <si>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</si>
  <si>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</si>
  <si>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</si>
  <si>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</si>
  <si>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</si>
  <si>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</si>
  <si>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</si>
  <si>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</si>
  <si>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</si>
  <si>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</si>
  <si>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</si>
  <si>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</si>
  <si>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</si>
  <si>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</si>
  <si>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</si>
  <si>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</si>
  <si>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</si>
  <si>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</si>
  <si>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</si>
  <si>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</si>
  <si>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</si>
  <si>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</si>
  <si>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</si>
  <si>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</si>
  <si>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</si>
  <si>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</si>
  <si>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</si>
  <si>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</si>
  <si>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</si>
  <si>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</si>
  <si>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</si>
  <si>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</si>
  <si>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</si>
  <si>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</si>
  <si>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</si>
  <si>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</si>
  <si>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</si>
  <si>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</si>
  <si>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</si>
  <si>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</si>
  <si>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</si>
  <si>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</si>
  <si>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</si>
  <si>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</si>
  <si>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</si>
  <si>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</si>
  <si>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</si>
  <si>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</si>
  <si>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</si>
  <si>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</si>
  <si>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</si>
  <si>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</si>
  <si>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</si>
  <si>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</si>
  <si>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</si>
  <si>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</si>
  <si>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</si>
  <si>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</si>
  <si>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</si>
  <si>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</si>
  <si>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</si>
  <si>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</si>
  <si>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</si>
  <si>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</si>
  <si>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</si>
  <si>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</si>
  <si>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</si>
  <si>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</si>
  <si>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</si>
  <si>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</si>
  <si>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</si>
  <si>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</si>
  <si>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</si>
  <si>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</si>
  <si>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</si>
  <si>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</si>
  <si>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</si>
  <si>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</si>
  <si>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</si>
  <si>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</si>
  <si>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</si>
  <si>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</si>
  <si>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</si>
  <si>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</si>
  <si>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</si>
  <si>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</si>
  <si>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</si>
  <si>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</si>
  <si>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</si>
  <si>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</si>
  <si>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</si>
  <si>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</si>
  <si>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</si>
  <si>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</si>
  <si>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</si>
  <si>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</si>
  <si>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</si>
  <si>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</si>
  <si>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</si>
  <si>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</si>
  <si>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</si>
  <si>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</si>
  <si>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</si>
  <si>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</si>
  <si>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</si>
  <si>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</si>
  <si>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</si>
  <si>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</si>
  <si>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</si>
  <si>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</si>
  <si>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</si>
  <si>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</si>
  <si>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</si>
  <si>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</si>
  <si>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</si>
  <si>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</si>
  <si>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</si>
  <si>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</si>
  <si>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</si>
  <si>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</si>
  <si>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</si>
  <si>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</si>
  <si>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</si>
  <si>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</si>
  <si>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</si>
  <si>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</si>
  <si>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</si>
  <si>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</si>
  <si>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</si>
  <si>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</si>
  <si>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</si>
  <si>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</si>
  <si>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</si>
  <si>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</si>
  <si>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</si>
  <si>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</si>
  <si>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</si>
  <si>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</si>
  <si>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</si>
  <si>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</si>
  <si>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</si>
  <si>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</si>
  <si>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</si>
  <si>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</si>
  <si>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</si>
  <si>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</si>
  <si>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</si>
  <si>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</si>
  <si>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</si>
  <si>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</si>
  <si>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</si>
  <si>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</si>
  <si>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</si>
  <si>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</si>
  <si>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</si>
  <si>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</si>
  <si>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</si>
  <si>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</si>
  <si>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</si>
  <si>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</si>
  <si>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</si>
  <si>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</si>
  <si>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</si>
  <si>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</si>
  <si>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</si>
  <si>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</si>
  <si>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</si>
  <si>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</si>
  <si>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</si>
  <si>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</si>
  <si>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</si>
  <si>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</si>
  <si>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</si>
  <si>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</si>
  <si>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</si>
  <si>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</si>
  <si>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</si>
  <si>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</si>
  <si>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</si>
  <si>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</si>
  <si>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</si>
  <si>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</si>
  <si>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</si>
  <si>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</si>
  <si>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</si>
  <si>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</si>
  <si>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</si>
  <si>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</si>
  <si>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</si>
  <si>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</si>
  <si>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</si>
  <si>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</si>
  <si>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</si>
  <si>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</si>
  <si>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</si>
  <si>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</si>
  <si>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</si>
  <si>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</si>
  <si>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</si>
  <si>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</si>
  <si>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</si>
  <si>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</si>
  <si>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</si>
  <si>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</si>
  <si>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</si>
  <si>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</si>
  <si>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</si>
  <si>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</si>
  <si>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</si>
  <si>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</si>
  <si>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</si>
  <si>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</si>
  <si>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</si>
  <si>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</si>
  <si>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</si>
  <si>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</si>
  <si>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</si>
  <si>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</si>
  <si>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</si>
  <si>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</si>
  <si>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</si>
  <si>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</si>
  <si>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</si>
  <si>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</si>
  <si>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</si>
  <si>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</si>
  <si>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</si>
  <si>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</si>
  <si>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</si>
  <si>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</si>
  <si>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</si>
  <si>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</si>
  <si>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</si>
  <si>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</si>
  <si>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</si>
  <si>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</si>
  <si>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</si>
  <si>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</si>
  <si>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</si>
  <si>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</si>
  <si>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</si>
  <si>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</si>
  <si>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</si>
  <si>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</si>
  <si>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</si>
  <si>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</si>
  <si>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</si>
  <si>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</si>
  <si>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</si>
  <si>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</si>
  <si>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</si>
  <si>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</si>
  <si>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</si>
  <si>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</si>
  <si>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</si>
  <si>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</si>
  <si>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</si>
  <si>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</si>
  <si>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</si>
  <si>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</si>
  <si>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</si>
  <si>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</si>
  <si>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</si>
  <si>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</si>
  <si>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</si>
  <si>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</si>
  <si>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</si>
  <si>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</si>
  <si>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</si>
  <si>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</si>
  <si>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</si>
  <si>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</si>
  <si>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</si>
  <si>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</si>
  <si>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</si>
  <si>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</si>
  <si>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</si>
  <si>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</si>
  <si>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</si>
  <si>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</si>
  <si>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</si>
  <si>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</si>
  <si>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</si>
  <si>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</si>
  <si>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</si>
  <si>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</si>
  <si>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</si>
  <si>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</si>
  <si>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</si>
  <si>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</si>
  <si>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</si>
  <si>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</si>
  <si>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</si>
  <si>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</si>
  <si>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</si>
  <si>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</si>
  <si>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</si>
  <si>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</si>
  <si>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</si>
  <si>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</si>
  <si>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</si>
  <si>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</si>
  <si>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</si>
  <si>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</si>
  <si>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</si>
  <si>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</si>
  <si>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</si>
  <si>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</si>
  <si>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</si>
  <si>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</si>
  <si>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</si>
  <si>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</si>
  <si>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</si>
  <si>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</si>
  <si>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</si>
  <si>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</si>
  <si>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</si>
  <si>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</si>
  <si>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</si>
  <si>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</si>
  <si>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</si>
  <si>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</si>
  <si>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</si>
  <si>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</si>
  <si>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</si>
  <si>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</si>
  <si>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</si>
  <si>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</si>
  <si>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</si>
  <si>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</si>
  <si>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</si>
  <si>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</si>
  <si>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</si>
  <si>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</si>
  <si>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</si>
  <si>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</si>
  <si>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</si>
  <si>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</si>
  <si>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</si>
  <si>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</si>
  <si>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</si>
  <si>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</si>
  <si>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</si>
  <si>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</si>
  <si>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</si>
  <si>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</si>
  <si>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</si>
  <si>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</si>
  <si>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</si>
  <si>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</si>
  <si>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</si>
  <si>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</si>
  <si>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</si>
  <si>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</si>
  <si>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</si>
  <si>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</si>
  <si>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</si>
  <si>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</si>
  <si>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</si>
  <si>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</si>
  <si>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</si>
  <si>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</si>
  <si>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</si>
  <si>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</si>
  <si>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</si>
  <si>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</si>
  <si>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</si>
  <si>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</si>
  <si>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</si>
  <si>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</si>
  <si>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</si>
  <si>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</si>
  <si>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</si>
  <si>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</si>
  <si>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</si>
  <si>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</si>
  <si>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</si>
  <si>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</si>
  <si>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</si>
  <si>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</si>
  <si>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</si>
  <si>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</si>
  <si>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</si>
  <si>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</si>
  <si>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</si>
  <si>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</si>
  <si>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</si>
  <si>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</si>
  <si>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</si>
  <si>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</si>
  <si>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</si>
  <si>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</si>
  <si>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</si>
  <si>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</si>
  <si>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</si>
  <si>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</si>
  <si>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</si>
  <si>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</si>
  <si>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</si>
  <si>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</si>
  <si>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</si>
  <si>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</si>
  <si>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</si>
  <si>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</si>
  <si>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</si>
  <si>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</si>
  <si>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</si>
  <si>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</si>
  <si>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</si>
  <si>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</si>
  <si>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</si>
  <si>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</si>
  <si>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</si>
  <si>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</si>
  <si>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</si>
  <si>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</si>
  <si>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</si>
  <si>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</si>
  <si>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</si>
  <si>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</si>
  <si>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</si>
  <si>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</si>
  <si>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</si>
  <si>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</si>
  <si>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</si>
  <si>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</si>
  <si>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</si>
  <si>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</si>
  <si>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</si>
  <si>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</si>
  <si>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</si>
  <si>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</si>
  <si>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</si>
  <si>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</si>
  <si>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</si>
  <si>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</si>
  <si>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</si>
  <si>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</si>
  <si>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</si>
  <si>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</si>
  <si>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</si>
  <si>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</si>
  <si>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</si>
  <si>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</si>
  <si>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</si>
  <si>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</si>
  <si>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</si>
  <si>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</si>
  <si>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</si>
  <si>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</si>
  <si>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</si>
  <si>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</si>
  <si>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</si>
  <si>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</si>
  <si>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</si>
  <si>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</si>
  <si>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</si>
  <si>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</si>
  <si>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</si>
  <si>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</si>
  <si>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</si>
  <si>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</si>
  <si>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</si>
  <si>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</si>
  <si>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</si>
  <si>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</si>
  <si>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</si>
  <si>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</si>
  <si>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</si>
  <si>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</si>
  <si>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</si>
  <si>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</si>
  <si>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</si>
  <si>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</si>
  <si>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</si>
  <si>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</si>
  <si>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</si>
  <si>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</si>
  <si>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</si>
  <si>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</si>
  <si>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</si>
  <si>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</si>
  <si>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</si>
  <si>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</si>
  <si>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</si>
  <si>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</si>
  <si>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</si>
  <si>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</si>
  <si>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</si>
  <si>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</si>
  <si>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</si>
  <si>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</si>
  <si>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</si>
  <si>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</si>
  <si>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</si>
  <si>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</si>
  <si>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</si>
  <si>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</si>
  <si>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</si>
  <si>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</si>
  <si>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</si>
  <si>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</si>
  <si>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</si>
  <si>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</si>
  <si>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</si>
  <si>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</si>
  <si>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</si>
  <si>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</si>
  <si>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</si>
  <si>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</si>
  <si>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</si>
  <si>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</si>
  <si>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</si>
  <si>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</si>
  <si>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</si>
  <si>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</si>
  <si>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</si>
  <si>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</si>
  <si>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</si>
  <si>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</si>
  <si>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</si>
  <si>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</si>
  <si>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</si>
  <si>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</si>
  <si>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</si>
  <si>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</si>
  <si>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</si>
  <si>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</si>
  <si>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</si>
  <si>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</si>
  <si>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</si>
  <si>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</si>
  <si>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</si>
  <si>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</si>
  <si>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</si>
  <si>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</si>
  <si>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</si>
  <si>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</si>
  <si>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</si>
  <si>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</si>
  <si>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</si>
  <si>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</si>
  <si>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</si>
  <si>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</si>
  <si>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</si>
  <si>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</si>
  <si>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</si>
  <si>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</si>
  <si>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</si>
  <si>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</si>
  <si>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</si>
  <si>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</si>
  <si>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</si>
  <si>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</si>
  <si>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</si>
  <si>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</si>
  <si>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</si>
  <si>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</si>
  <si>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</si>
  <si>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</si>
  <si>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</si>
  <si>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</si>
  <si>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</si>
  <si>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</si>
  <si>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</si>
  <si>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</si>
  <si>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</si>
  <si>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</si>
  <si>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</si>
  <si>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</si>
  <si>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</si>
  <si>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</si>
  <si>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</si>
  <si>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</si>
  <si>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</si>
  <si>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</si>
  <si>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</si>
  <si>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</si>
  <si>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</si>
  <si>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</si>
  <si>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</si>
  <si>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</si>
  <si>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</si>
  <si>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</si>
  <si>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</si>
  <si>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</si>
  <si>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</si>
  <si>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</si>
  <si>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</si>
  <si>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</si>
  <si>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</si>
  <si>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</si>
  <si>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</si>
  <si>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</si>
  <si>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</si>
  <si>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</si>
  <si>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</si>
  <si>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</si>
  <si>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</si>
  <si>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</si>
  <si>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</si>
  <si>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</si>
  <si>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</si>
  <si>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</si>
  <si>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</si>
  <si>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</si>
  <si>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</si>
  <si>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</si>
  <si>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</si>
  <si>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</si>
  <si>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</si>
  <si>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</si>
  <si>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</si>
  <si>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</si>
  <si>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</si>
  <si>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</si>
  <si>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</si>
  <si>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</si>
  <si>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</si>
  <si>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</si>
  <si>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</si>
  <si>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</si>
  <si>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</si>
  <si>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</si>
  <si>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</si>
  <si>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</si>
  <si>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</si>
  <si>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</si>
  <si>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</si>
  <si>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</si>
  <si>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</si>
  <si>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</si>
  <si>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</si>
  <si>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</si>
  <si>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</si>
  <si>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</si>
  <si>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</si>
  <si>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</si>
  <si>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</si>
  <si>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</si>
  <si>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</si>
  <si>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</si>
  <si>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</si>
  <si>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</si>
  <si>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</si>
  <si>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</si>
  <si>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</si>
  <si>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</si>
  <si>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</si>
  <si>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</si>
  <si>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</si>
  <si>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</si>
  <si>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</si>
  <si>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</si>
  <si>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</si>
  <si>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</si>
  <si>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</si>
  <si>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</si>
  <si>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</si>
  <si>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</si>
  <si>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</si>
  <si>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</si>
  <si>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</si>
  <si>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</si>
  <si>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</si>
  <si>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</si>
  <si>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</si>
  <si>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</si>
  <si>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</si>
  <si>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</si>
  <si>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</si>
  <si>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</si>
  <si>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</si>
  <si>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</si>
  <si>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</si>
  <si>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</si>
  <si>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</si>
  <si>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</si>
  <si>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</si>
  <si>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</si>
  <si>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</si>
  <si>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</si>
  <si>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</si>
  <si>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</si>
  <si>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</si>
  <si>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</si>
  <si>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</si>
  <si>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</si>
  <si>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</si>
  <si>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</si>
  <si>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</si>
  <si>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</si>
  <si>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</si>
  <si>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</si>
  <si>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</si>
  <si>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</si>
  <si>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</si>
  <si>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</si>
  <si>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</si>
  <si>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</si>
  <si>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</si>
  <si>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</si>
  <si>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</si>
  <si>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</si>
  <si>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</si>
  <si>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</si>
  <si>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</si>
  <si>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</si>
  <si>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</si>
  <si>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</si>
  <si>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</si>
  <si>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</si>
  <si>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</si>
  <si>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</si>
  <si>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</si>
  <si>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</si>
  <si>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</si>
  <si>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</si>
  <si>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</si>
  <si>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</si>
  <si>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</si>
  <si>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</si>
  <si>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</si>
  <si>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</si>
  <si>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</si>
  <si>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</si>
  <si>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</si>
  <si>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</si>
  <si>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</si>
  <si>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</si>
  <si>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</si>
  <si>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</si>
  <si>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</si>
  <si>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</si>
  <si>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</si>
  <si>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</si>
  <si>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</si>
  <si>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</si>
  <si>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</si>
  <si>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</si>
  <si>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</si>
  <si>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</si>
  <si>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</si>
  <si>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</si>
  <si>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</si>
  <si>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</si>
  <si>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</si>
  <si>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</si>
  <si>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</si>
  <si>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</si>
  <si>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</si>
  <si>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</si>
  <si>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</si>
  <si>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</si>
  <si>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</si>
  <si>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</si>
  <si>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</si>
  <si>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</si>
  <si>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</si>
  <si>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</si>
  <si>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</si>
  <si>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</si>
  <si>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</si>
  <si>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</si>
  <si>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</si>
  <si>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</si>
  <si>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</si>
  <si>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</si>
  <si>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</si>
  <si>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</si>
  <si>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</si>
  <si>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</si>
  <si>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</si>
  <si>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</si>
  <si>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</si>
  <si>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</si>
  <si>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</si>
  <si>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</si>
  <si>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</si>
  <si>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</si>
  <si>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</si>
  <si>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</si>
  <si>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</si>
  <si>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</si>
  <si>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</si>
  <si>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</si>
  <si>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</si>
  <si>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</si>
  <si>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</si>
  <si>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</si>
  <si>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</si>
  <si>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</si>
  <si>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</si>
  <si>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</si>
  <si>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</si>
  <si>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</si>
  <si>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</si>
  <si>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</si>
  <si>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</si>
  <si>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</si>
  <si>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</si>
  <si>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</si>
  <si>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</si>
  <si>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</si>
  <si>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</si>
  <si>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</si>
  <si>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</si>
  <si>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</si>
  <si>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</si>
  <si>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</si>
  <si>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</si>
  <si>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</si>
  <si>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</si>
  <si>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</si>
  <si>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</si>
  <si>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</si>
  <si>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</si>
  <si>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</si>
  <si>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</si>
  <si>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</si>
  <si>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</si>
  <si>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</si>
  <si>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</si>
  <si>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</si>
  <si>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</si>
  <si>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</si>
  <si>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</si>
  <si>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</si>
  <si>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</si>
  <si>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</si>
  <si>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</si>
  <si>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</si>
  <si>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</si>
  <si>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</si>
  <si>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</si>
  <si>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</si>
  <si>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</si>
  <si>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</si>
  <si>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</si>
  <si>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</si>
  <si>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</si>
  <si>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</si>
  <si>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</si>
  <si>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</si>
  <si>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</si>
  <si>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</si>
  <si>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</si>
  <si>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</si>
  <si>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</si>
  <si>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</si>
  <si>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</si>
  <si>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</si>
  <si>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</si>
  <si>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</si>
  <si>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</si>
  <si>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</si>
  <si>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</si>
  <si>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</si>
  <si>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</si>
  <si>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</si>
  <si>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</si>
  <si>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</si>
  <si>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</si>
  <si>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</si>
  <si>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</si>
  <si>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</si>
  <si>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</si>
  <si>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</si>
  <si>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</si>
  <si>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</si>
  <si>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</si>
  <si>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</si>
  <si>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</si>
  <si>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</si>
  <si>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</si>
  <si>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</si>
  <si>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</si>
  <si>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</si>
  <si>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</si>
  <si>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</si>
  <si>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</si>
  <si>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</si>
  <si>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</si>
  <si>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</si>
  <si>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</si>
  <si>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</si>
  <si>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</si>
  <si>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</si>
  <si>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</si>
  <si>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</si>
  <si>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</si>
  <si>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</si>
  <si>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</si>
  <si>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</si>
  <si>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</si>
  <si>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</si>
  <si>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</si>
  <si>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</si>
  <si>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</si>
  <si>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</si>
  <si>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</si>
  <si>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</si>
  <si>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</si>
  <si>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</si>
  <si>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</si>
  <si>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</si>
  <si>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</si>
  <si>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</si>
  <si>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</si>
  <si>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</si>
  <si>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</si>
  <si>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</si>
  <si>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</si>
  <si>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</si>
  <si>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</si>
  <si>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</si>
  <si>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</si>
  <si>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</si>
  <si>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</si>
  <si>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</si>
  <si>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</si>
  <si>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</si>
  <si>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</si>
  <si>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</si>
  <si>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</si>
  <si>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</si>
  <si>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</si>
  <si>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</si>
  <si>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</si>
  <si>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</si>
  <si>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</si>
  <si>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</si>
  <si>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</si>
  <si>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</si>
  <si>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</si>
  <si>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</si>
  <si>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</si>
  <si>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</si>
  <si>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</si>
  <si>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</si>
  <si>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</si>
  <si>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</si>
  <si>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</si>
  <si>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</si>
  <si>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</si>
  <si>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</si>
  <si>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</si>
  <si>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</si>
  <si>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</si>
  <si>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</si>
  <si>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</si>
  <si>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</si>
  <si>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</si>
  <si>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</si>
  <si>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</si>
  <si>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</si>
  <si>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</si>
  <si>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</si>
  <si>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</si>
  <si>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</si>
  <si>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</si>
  <si>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</si>
  <si>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</si>
  <si>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</si>
  <si>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</si>
  <si>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</si>
  <si>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</si>
  <si>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</si>
  <si>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</si>
  <si>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</si>
  <si>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</si>
  <si>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</si>
  <si>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</si>
  <si>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</si>
  <si>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</si>
  <si>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</si>
  <si>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</si>
  <si>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</si>
  <si>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</si>
  <si>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</si>
  <si>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</si>
  <si>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</si>
  <si>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</si>
  <si>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</si>
  <si>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</si>
  <si>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</si>
  <si>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</si>
  <si>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</si>
  <si>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</si>
  <si>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</si>
  <si>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</si>
  <si>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</si>
  <si>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</si>
  <si>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</si>
  <si>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</si>
  <si>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</si>
  <si>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</si>
  <si>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</si>
  <si>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</si>
  <si>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</si>
  <si>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</si>
  <si>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</si>
  <si>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</si>
  <si>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</si>
  <si>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</si>
  <si>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</si>
  <si>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</si>
  <si>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</si>
  <si>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</si>
  <si>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</si>
  <si>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</si>
  <si>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</si>
  <si>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</si>
  <si>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</si>
  <si>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</si>
  <si>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</si>
  <si>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</si>
  <si>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</si>
  <si>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</si>
  <si>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</si>
  <si>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</si>
  <si>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</si>
  <si>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</si>
  <si>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</si>
  <si>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</si>
  <si>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</si>
  <si>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</si>
  <si>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</si>
  <si>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</si>
  <si>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</si>
  <si>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</si>
  <si>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</si>
  <si>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</si>
  <si>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</si>
  <si>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</si>
  <si>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</si>
  <si>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</si>
  <si>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</si>
  <si>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</si>
  <si>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</si>
  <si>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</si>
  <si>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</si>
  <si>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</si>
  <si>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</si>
  <si>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</si>
  <si>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</si>
  <si>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</si>
  <si>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</si>
  <si>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</si>
  <si>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</si>
  <si>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</si>
  <si>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</si>
  <si>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</si>
  <si>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</si>
  <si>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</si>
  <si>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</si>
  <si>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</si>
  <si>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</si>
  <si>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</si>
  <si>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</si>
  <si>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</si>
  <si>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</si>
  <si>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</si>
  <si>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</si>
  <si>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</si>
  <si>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</si>
  <si>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</si>
  <si>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</si>
  <si>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</si>
  <si>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</si>
  <si>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</si>
  <si>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</si>
  <si>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</si>
  <si>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</si>
  <si>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</si>
  <si>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</si>
  <si>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</si>
  <si>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</si>
  <si>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</si>
  <si>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</si>
  <si>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</si>
  <si>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</si>
  <si>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</si>
  <si>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</si>
  <si>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</si>
  <si>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</si>
  <si>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</si>
  <si>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</si>
  <si>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</si>
  <si>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</si>
  <si>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</si>
  <si>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</si>
  <si>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</si>
  <si>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</si>
  <si>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</si>
  <si>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</si>
  <si>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</si>
  <si>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</si>
  <si>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</si>
  <si>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</si>
  <si>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</si>
  <si>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</si>
  <si>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</si>
  <si>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</si>
  <si>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</si>
  <si>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</si>
  <si>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</si>
  <si>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</si>
  <si>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</si>
  <si>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</si>
  <si>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</si>
  <si>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</si>
  <si>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</si>
  <si>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</si>
  <si>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</si>
  <si>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</si>
  <si>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</si>
  <si>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</si>
  <si>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</si>
  <si>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</si>
  <si>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</si>
  <si>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</si>
  <si>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</si>
  <si>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</si>
  <si>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</si>
  <si>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</si>
  <si>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</si>
  <si>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</si>
  <si>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</si>
  <si>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</si>
  <si>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</si>
  <si>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</si>
  <si>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</si>
  <si>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</si>
  <si>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</si>
  <si>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</si>
  <si>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</si>
  <si>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</si>
  <si>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</si>
  <si>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</si>
  <si>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</si>
  <si>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</si>
  <si>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</si>
  <si>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</si>
  <si>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</si>
  <si>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</si>
  <si>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</si>
  <si>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</si>
  <si>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</si>
  <si>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</si>
  <si>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</si>
  <si>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</si>
  <si>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</si>
  <si>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</si>
  <si>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</si>
  <si>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</si>
  <si>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</si>
  <si>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</si>
  <si>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</si>
  <si>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</si>
  <si>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</si>
  <si>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</si>
  <si>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</si>
  <si>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</si>
  <si>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</si>
  <si>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</si>
  <si>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</si>
  <si>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</si>
  <si>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</si>
  <si>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</si>
  <si>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</si>
  <si>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</si>
  <si>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</si>
  <si>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</si>
  <si>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</si>
  <si>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</si>
  <si>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</si>
  <si>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</si>
  <si>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</si>
  <si>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</si>
  <si>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</si>
  <si>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</si>
  <si>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</si>
  <si>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</si>
  <si>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</si>
  <si>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</si>
  <si>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</si>
  <si>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</si>
  <si>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</si>
  <si>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</si>
  <si>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</si>
  <si>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</si>
  <si>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</si>
  <si>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</si>
  <si>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</si>
  <si>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</si>
  <si>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</si>
  <si>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</si>
  <si>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</si>
  <si>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</si>
  <si>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</si>
  <si>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</si>
  <si>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</si>
  <si>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</si>
  <si>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</si>
  <si>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</si>
  <si>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</si>
  <si>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</si>
  <si>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</si>
  <si>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</si>
  <si>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</si>
  <si>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</si>
  <si>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</si>
  <si>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</si>
  <si>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</si>
  <si>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</si>
  <si>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</si>
  <si>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</si>
  <si>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</si>
  <si>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</si>
  <si>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</si>
  <si>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</si>
  <si>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</si>
  <si>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</si>
  <si>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</si>
  <si>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</si>
  <si>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</si>
  <si>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</si>
  <si>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</si>
  <si>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</si>
  <si>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</si>
  <si>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</si>
  <si>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</si>
  <si>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</si>
  <si>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</si>
  <si>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</si>
  <si>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</si>
  <si>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</si>
  <si>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</si>
  <si>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</si>
  <si>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</si>
  <si>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</si>
  <si>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</si>
  <si>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</si>
  <si>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</si>
  <si>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</si>
  <si>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</si>
  <si>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</si>
  <si>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</si>
  <si>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</si>
  <si>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</si>
  <si>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</si>
  <si>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</si>
  <si>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</si>
  <si>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</si>
  <si>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</si>
  <si>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</si>
  <si>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</si>
  <si>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</si>
  <si>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</si>
  <si>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</si>
  <si>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</si>
  <si>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</si>
  <si>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</si>
  <si>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</si>
  <si>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</si>
  <si>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</si>
  <si>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</si>
  <si>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</si>
  <si>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</si>
  <si>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</si>
  <si>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</si>
  <si>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</si>
  <si>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</si>
  <si>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</si>
  <si>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</si>
  <si>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</si>
  <si>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</si>
  <si>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</si>
  <si>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</si>
  <si>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</si>
  <si>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</si>
  <si>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</si>
  <si>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</si>
  <si>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</si>
  <si>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</si>
  <si>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</si>
  <si>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</si>
  <si>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</si>
  <si>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</si>
  <si>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</si>
  <si>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</si>
  <si>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</si>
  <si>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</si>
  <si>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</si>
  <si>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</si>
  <si>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</si>
  <si>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</si>
  <si>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</si>
  <si>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</si>
  <si>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</si>
  <si>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</si>
  <si>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</si>
  <si>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</si>
  <si>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</si>
  <si>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</si>
  <si>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</si>
  <si>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</si>
  <si>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</si>
  <si>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</si>
  <si>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</si>
  <si>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</si>
  <si>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</si>
  <si>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</si>
  <si>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</si>
  <si>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44-126695205120</t>
  </si>
  <si>
    <t>JANTE 9.5X20 5X120 ET45 F.1266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</si>
  <si>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</si>
  <si>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</si>
  <si>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</si>
  <si>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</si>
  <si>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</si>
  <si>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</si>
  <si>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</si>
  <si>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</si>
  <si>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</si>
  <si>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</si>
  <si>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</si>
  <si>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</si>
  <si>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</si>
  <si>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</si>
  <si>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</si>
  <si>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</si>
  <si>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</si>
  <si>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</si>
  <si>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</si>
  <si>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</si>
  <si>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</si>
  <si>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</si>
  <si>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</si>
  <si>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</si>
  <si>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</si>
  <si>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</si>
  <si>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</si>
  <si>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</si>
  <si>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</si>
  <si>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</si>
  <si>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</si>
  <si>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</si>
  <si>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</si>
  <si>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</si>
  <si>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</si>
  <si>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</si>
  <si>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</si>
  <si>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</si>
  <si>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</si>
  <si>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</si>
  <si>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</si>
  <si>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</si>
  <si>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</si>
  <si>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</si>
  <si>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</si>
  <si>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</si>
  <si>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</si>
  <si>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</si>
  <si>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</si>
  <si>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</si>
  <si>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</si>
  <si>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</si>
  <si>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</si>
  <si>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</si>
  <si>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</si>
  <si>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</si>
  <si>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</si>
  <si>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</si>
  <si>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</si>
  <si>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</si>
  <si>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</si>
  <si>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</si>
  <si>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</si>
  <si>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</si>
  <si>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</si>
  <si>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</si>
  <si>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</si>
  <si>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</si>
  <si>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</si>
  <si>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</si>
  <si>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</si>
  <si>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</si>
  <si>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</si>
  <si>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</si>
  <si>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</si>
  <si>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</si>
  <si>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</si>
  <si>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</si>
  <si>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</si>
  <si>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</si>
  <si>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</si>
  <si>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</si>
  <si>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</si>
  <si>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</si>
  <si>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</si>
  <si>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</si>
  <si>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</si>
  <si>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</si>
  <si>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</si>
  <si>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</si>
  <si>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</si>
  <si>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</si>
  <si>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</si>
  <si>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</si>
  <si>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</si>
  <si>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</si>
  <si>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</si>
  <si>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</si>
  <si>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</si>
  <si>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</si>
  <si>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</si>
  <si>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</si>
  <si>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</si>
  <si>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</si>
  <si>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</si>
  <si>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</si>
  <si>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</si>
  <si>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</si>
  <si>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</si>
  <si>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</si>
  <si>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</si>
  <si>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</si>
  <si>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</si>
  <si>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</si>
  <si>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</si>
  <si>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</si>
  <si>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</si>
  <si>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</si>
  <si>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</si>
  <si>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</si>
  <si>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</si>
  <si>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</si>
  <si>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</si>
  <si>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</si>
  <si>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</si>
  <si>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</si>
  <si>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</si>
  <si>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</si>
  <si>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</si>
  <si>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</si>
  <si>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</si>
  <si>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</si>
  <si>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</si>
  <si>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</si>
  <si>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</si>
  <si>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</si>
  <si>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</si>
  <si>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</si>
  <si>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</si>
  <si>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</si>
  <si>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</si>
  <si>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</si>
  <si>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</si>
  <si>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</si>
  <si>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</si>
  <si>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</si>
  <si>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</si>
  <si>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</si>
  <si>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</si>
  <si>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</si>
  <si>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</si>
  <si>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</si>
  <si>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</si>
  <si>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</si>
  <si>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</si>
  <si>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</si>
  <si>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</si>
  <si>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</si>
  <si>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</si>
  <si>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</si>
  <si>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</si>
  <si>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</si>
  <si>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</si>
  <si>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</si>
  <si>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</si>
  <si>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</si>
  <si>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</si>
  <si>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</si>
  <si>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</si>
  <si>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</si>
  <si>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</si>
  <si>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</si>
  <si>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</si>
  <si>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</si>
  <si>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</si>
  <si>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</si>
  <si>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</si>
  <si>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</si>
  <si>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</si>
  <si>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</si>
  <si>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</si>
  <si>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</si>
  <si>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</si>
  <si>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</si>
  <si>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</si>
  <si>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</si>
  <si>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</si>
  <si>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</si>
  <si>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</si>
  <si>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</si>
  <si>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</si>
  <si>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</si>
  <si>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</si>
  <si>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</si>
  <si>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</si>
  <si>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</si>
  <si>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</si>
  <si>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</si>
  <si>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</si>
  <si>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</si>
  <si>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</si>
  <si>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</si>
  <si>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</si>
  <si>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</si>
  <si>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</si>
  <si>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</si>
  <si>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</si>
  <si>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</si>
  <si>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</si>
  <si>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</si>
  <si>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</si>
  <si>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</si>
  <si>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</si>
  <si>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</si>
  <si>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</si>
  <si>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</si>
  <si>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</si>
  <si>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</si>
  <si>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</si>
  <si>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</si>
  <si>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</si>
  <si>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</si>
  <si>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</si>
  <si>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</si>
  <si>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</si>
  <si>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</si>
  <si>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</si>
  <si>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</si>
  <si>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</si>
  <si>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</si>
  <si>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</si>
  <si>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</si>
  <si>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</si>
  <si>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</si>
  <si>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</si>
  <si>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</si>
  <si>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</si>
  <si>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</si>
  <si>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</si>
  <si>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</si>
  <si>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</si>
  <si>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</si>
  <si>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</si>
  <si>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</si>
  <si>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</si>
  <si>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</si>
  <si>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</si>
  <si>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</si>
  <si>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</si>
  <si>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</si>
  <si>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</si>
  <si>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</si>
  <si>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</si>
  <si>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</si>
  <si>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</si>
  <si>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</si>
  <si>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</si>
  <si>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</si>
  <si>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</si>
  <si>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</si>
  <si>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</si>
  <si>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</si>
  <si>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</si>
  <si>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</si>
  <si>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</si>
  <si>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</si>
  <si>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</si>
  <si>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</si>
  <si>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</si>
  <si>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</si>
  <si>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</si>
  <si>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</si>
  <si>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</si>
  <si>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</si>
  <si>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</si>
  <si>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</si>
  <si>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</si>
  <si>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</si>
  <si>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</si>
  <si>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</si>
  <si>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</si>
  <si>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</si>
  <si>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</si>
  <si>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</si>
  <si>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</si>
  <si>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</si>
  <si>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</si>
  <si>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</si>
  <si>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</si>
  <si>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</si>
  <si>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</si>
  <si>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</si>
  <si>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</si>
  <si>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</si>
  <si>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</si>
  <si>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</si>
  <si>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</si>
  <si>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</si>
  <si>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</si>
  <si>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</si>
  <si>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</si>
  <si>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</si>
  <si>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</si>
  <si>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</si>
  <si>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</si>
  <si>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</si>
  <si>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</si>
  <si>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</si>
  <si>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</si>
  <si>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</si>
  <si>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</si>
  <si>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</si>
  <si>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</si>
  <si>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</si>
  <si>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</si>
  <si>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</si>
  <si>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</si>
  <si>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</si>
  <si>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</si>
  <si>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</si>
  <si>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</si>
  <si>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</si>
  <si>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</si>
  <si>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</si>
  <si>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</si>
  <si>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</si>
  <si>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</si>
  <si>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</si>
  <si>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</si>
  <si>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</si>
  <si>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</si>
  <si>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</si>
  <si>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</si>
  <si>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</si>
  <si>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</si>
  <si>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</si>
  <si>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</si>
  <si>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</si>
  <si>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</si>
  <si>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</si>
  <si>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</si>
  <si>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</si>
  <si>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</si>
  <si>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</si>
  <si>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</si>
  <si>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</si>
  <si>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</si>
  <si>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</si>
  <si>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</si>
  <si>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</si>
  <si>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</si>
  <si>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</si>
  <si>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</si>
  <si>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</si>
  <si>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</si>
  <si>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</si>
  <si>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</si>
  <si>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</si>
  <si>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</si>
  <si>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</si>
  <si>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</si>
  <si>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</si>
  <si>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</si>
  <si>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</si>
  <si>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</si>
  <si>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</si>
  <si>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</si>
  <si>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</si>
  <si>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</si>
  <si>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</si>
  <si>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</si>
  <si>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</si>
  <si>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</si>
  <si>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</si>
  <si>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</si>
  <si>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</si>
  <si>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</si>
  <si>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</si>
  <si>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</si>
  <si>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</si>
  <si>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</si>
  <si>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</si>
  <si>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</si>
  <si>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</si>
  <si>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</si>
  <si>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</si>
  <si>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</si>
  <si>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</si>
  <si>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</si>
  <si>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</si>
  <si>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</si>
  <si>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</si>
  <si>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</si>
  <si>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</si>
  <si>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</si>
  <si>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</si>
  <si>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</si>
  <si>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</si>
  <si>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</si>
  <si>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</si>
  <si>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</si>
  <si>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</si>
  <si>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</si>
  <si>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</si>
  <si>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</si>
  <si>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</si>
  <si>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</si>
  <si>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</si>
  <si>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</si>
  <si>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</si>
  <si>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</si>
  <si>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</si>
  <si>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</si>
  <si>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</si>
  <si>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</si>
  <si>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</si>
  <si>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</si>
  <si>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</si>
  <si>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</si>
  <si>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</si>
  <si>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</si>
  <si>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</si>
  <si>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</si>
  <si>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</si>
  <si>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</si>
  <si>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</si>
  <si>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</si>
  <si>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</si>
  <si>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</si>
  <si>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</si>
  <si>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</si>
  <si>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</si>
  <si>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</si>
  <si>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</si>
  <si>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</si>
  <si>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</si>
  <si>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</si>
  <si>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</si>
  <si>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</si>
  <si>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</si>
  <si>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</si>
  <si>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</si>
  <si>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</si>
  <si>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</si>
  <si>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</si>
  <si>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</si>
  <si>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</si>
  <si>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</si>
  <si>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</si>
  <si>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</si>
  <si>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</si>
  <si>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</si>
  <si>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</si>
  <si>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</si>
  <si>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</si>
  <si>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</si>
  <si>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</si>
  <si>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</si>
  <si>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</si>
  <si>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</si>
  <si>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</si>
  <si>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</si>
  <si>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</si>
  <si>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</si>
  <si>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</si>
  <si>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</si>
  <si>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</si>
  <si>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</si>
  <si>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</si>
  <si>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</si>
  <si>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</si>
  <si>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</si>
  <si>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</si>
  <si>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</si>
  <si>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</si>
  <si>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</si>
  <si>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</si>
  <si>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</si>
  <si>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</si>
  <si>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</si>
  <si>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</si>
  <si>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</si>
  <si>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</si>
  <si>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</si>
  <si>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</si>
  <si>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</si>
  <si>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</si>
  <si>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</si>
  <si>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</si>
  <si>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</si>
  <si>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</si>
  <si>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</si>
  <si>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</si>
  <si>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</si>
  <si>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</si>
  <si>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</si>
  <si>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</si>
  <si>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</si>
  <si>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</si>
  <si>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</si>
  <si>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</si>
  <si>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</si>
  <si>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</si>
  <si>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</si>
  <si>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</si>
  <si>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</si>
  <si>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</si>
  <si>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</si>
  <si>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</si>
  <si>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</si>
  <si>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</si>
  <si>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</si>
  <si>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</si>
  <si>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</si>
  <si>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</si>
  <si>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</si>
  <si>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</si>
  <si>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</si>
  <si>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</si>
  <si>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</si>
  <si>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</si>
  <si>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</si>
  <si>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</si>
  <si>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</si>
  <si>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</si>
  <si>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</si>
  <si>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</si>
  <si>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</si>
  <si>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</si>
  <si>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</si>
  <si>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</si>
  <si>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</si>
  <si>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</si>
  <si>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</si>
  <si>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</si>
  <si>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</si>
  <si>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</si>
  <si>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</si>
  <si>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</si>
  <si>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</si>
  <si>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</si>
  <si>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</si>
  <si>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</si>
  <si>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</si>
  <si>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</si>
  <si>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</si>
  <si>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</si>
  <si>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</si>
  <si>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</si>
  <si>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</si>
  <si>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</si>
  <si>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</si>
  <si>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</si>
  <si>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</si>
  <si>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</si>
  <si>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</si>
  <si>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</si>
  <si>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</si>
  <si>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</si>
  <si>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</si>
  <si>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</si>
  <si>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</si>
  <si>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</si>
  <si>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</si>
  <si>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</si>
  <si>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</si>
  <si>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</si>
  <si>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</si>
  <si>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</si>
  <si>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</si>
  <si>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</si>
  <si>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</si>
  <si>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</si>
  <si>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</si>
  <si>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</si>
  <si>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</si>
  <si>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</si>
  <si>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</si>
  <si>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</si>
  <si>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</si>
  <si>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</si>
  <si>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</si>
  <si>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</si>
  <si>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</si>
  <si>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</si>
  <si>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</si>
  <si>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</si>
  <si>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</si>
  <si>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</si>
  <si>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</si>
  <si>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</si>
  <si>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</si>
  <si>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</si>
  <si>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</si>
  <si>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</si>
  <si>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</si>
  <si>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</si>
  <si>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</si>
  <si>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</si>
  <si>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</si>
  <si>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</si>
  <si>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</si>
  <si>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</si>
  <si>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</si>
  <si>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</si>
  <si>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</si>
  <si>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</si>
  <si>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</si>
  <si>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</si>
  <si>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</si>
  <si>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</si>
  <si>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</si>
  <si>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</si>
  <si>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</si>
  <si>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</si>
  <si>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</si>
  <si>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</si>
  <si>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</si>
  <si>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</si>
  <si>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</si>
  <si>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</si>
  <si>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</si>
  <si>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</si>
  <si>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</si>
  <si>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</si>
  <si>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</si>
  <si>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</si>
  <si>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</si>
  <si>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</si>
  <si>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</si>
  <si>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</si>
  <si>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</si>
  <si>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</si>
  <si>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</si>
  <si>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</si>
  <si>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</si>
  <si>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</si>
  <si>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</si>
  <si>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</si>
  <si>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</si>
  <si>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</si>
  <si>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</si>
  <si>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</si>
  <si>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</si>
  <si>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</si>
  <si>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</si>
  <si>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</si>
  <si>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</si>
  <si>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</si>
  <si>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</si>
  <si>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</si>
  <si>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</si>
  <si>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</si>
  <si>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</si>
  <si>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</si>
  <si>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</si>
  <si>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</si>
  <si>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</si>
  <si>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</si>
  <si>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</si>
  <si>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</si>
  <si>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</si>
  <si>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</si>
  <si>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</si>
  <si>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</si>
  <si>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</si>
  <si>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</si>
  <si>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</si>
  <si>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</si>
  <si>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</si>
  <si>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</si>
  <si>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</si>
  <si>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</si>
  <si>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</si>
  <si>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</si>
  <si>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</si>
  <si>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</si>
  <si>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</si>
  <si>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</si>
  <si>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</si>
  <si>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</si>
  <si>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</si>
  <si>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</si>
  <si>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</si>
  <si>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</si>
  <si>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</si>
  <si>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</si>
  <si>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</si>
  <si>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</si>
  <si>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</si>
  <si>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</si>
  <si>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</si>
  <si>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</si>
  <si>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</si>
  <si>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</si>
  <si>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</si>
  <si>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</si>
  <si>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</si>
  <si>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</si>
  <si>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</si>
  <si>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</si>
  <si>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</si>
  <si>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</si>
  <si>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</si>
  <si>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</si>
  <si>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</si>
  <si>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</si>
  <si>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</si>
  <si>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</si>
  <si>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</si>
  <si>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</si>
  <si>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</si>
  <si>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</si>
  <si>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</si>
  <si>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</si>
  <si>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</si>
  <si>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</si>
  <si>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</si>
  <si>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</si>
  <si>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</si>
  <si>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</si>
  <si>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</si>
  <si>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</si>
  <si>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</si>
  <si>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</si>
  <si>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</si>
  <si>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</si>
  <si>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</si>
  <si>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</si>
  <si>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</si>
  <si>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</si>
  <si>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</si>
  <si>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</si>
  <si>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</si>
  <si>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</si>
  <si>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</si>
  <si>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</si>
  <si>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</si>
  <si>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</si>
  <si>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</si>
  <si>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</si>
  <si>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</si>
  <si>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</si>
  <si>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</si>
  <si>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</si>
  <si>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</si>
  <si>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</si>
  <si>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</si>
  <si>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</si>
  <si>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</si>
  <si>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</si>
  <si>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</si>
  <si>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</si>
  <si>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</si>
  <si>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</si>
  <si>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</si>
  <si>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</si>
  <si>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</si>
  <si>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</si>
  <si>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</si>
  <si>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</si>
  <si>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</si>
  <si>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</si>
  <si>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</si>
  <si>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</si>
  <si>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</si>
  <si>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</si>
  <si>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</si>
  <si>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</si>
  <si>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</si>
  <si>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</si>
  <si>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</si>
  <si>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</si>
  <si>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</si>
  <si>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</si>
  <si>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</si>
  <si>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</si>
  <si>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</si>
  <si>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</si>
  <si>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</si>
  <si>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</si>
  <si>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</si>
  <si>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</si>
  <si>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</si>
  <si>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</si>
  <si>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</si>
  <si>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</si>
  <si>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</si>
  <si>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</si>
  <si>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</si>
  <si>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</si>
  <si>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</si>
  <si>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</si>
  <si>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</si>
  <si>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</si>
  <si>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</si>
  <si>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</si>
  <si>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</si>
  <si>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</si>
  <si>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</si>
  <si>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</si>
  <si>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</si>
  <si>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</si>
  <si>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</si>
  <si>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</si>
  <si>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</si>
  <si>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</si>
  <si>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</si>
  <si>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</si>
  <si>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</si>
  <si>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</si>
  <si>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</si>
  <si>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</si>
  <si>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</si>
  <si>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</si>
  <si>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</si>
  <si>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</si>
  <si>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</si>
  <si>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</si>
  <si>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</si>
  <si>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</si>
  <si>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</si>
  <si>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</si>
  <si>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</si>
  <si>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</si>
  <si>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</si>
  <si>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</si>
  <si>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</si>
  <si>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</si>
  <si>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</si>
  <si>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</si>
  <si>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</si>
  <si>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</si>
  <si>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</si>
  <si>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</si>
  <si>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</si>
  <si>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</si>
  <si>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</si>
  <si>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</si>
  <si>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</si>
  <si>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</si>
  <si>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</si>
  <si>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</si>
  <si>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</si>
  <si>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</si>
  <si>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</si>
  <si>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</si>
  <si>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</si>
  <si>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</si>
  <si>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</si>
  <si>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</si>
  <si>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</si>
  <si>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</si>
  <si>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</si>
  <si>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</si>
  <si>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</si>
  <si>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</si>
  <si>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</si>
  <si>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</si>
  <si>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</si>
  <si>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</si>
  <si>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</si>
  <si>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</si>
  <si>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</si>
  <si>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</si>
  <si>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</si>
  <si>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</si>
  <si>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</si>
  <si>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</si>
  <si>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</si>
  <si>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</si>
  <si>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</si>
  <si>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</si>
  <si>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UL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</si>
  <si>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</si>
  <si>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</si>
  <si>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</si>
  <si>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</si>
  <si>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</si>
  <si>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</si>
  <si>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</si>
  <si>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</si>
  <si>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</si>
  <si>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</si>
  <si>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</si>
  <si>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</si>
  <si>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</si>
  <si>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</si>
  <si>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</si>
  <si>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</si>
  <si>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</si>
  <si>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</si>
  <si>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</si>
  <si>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</si>
  <si>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</si>
  <si>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</si>
  <si>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</si>
  <si>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</si>
  <si>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</si>
  <si>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</si>
  <si>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</si>
  <si>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</si>
  <si>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</si>
  <si>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</si>
  <si>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</si>
  <si>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</si>
  <si>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</si>
  <si>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</si>
  <si>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</si>
  <si>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</si>
  <si>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</si>
  <si>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</si>
  <si>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</si>
  <si>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</si>
  <si>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</si>
  <si>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</si>
  <si>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</si>
  <si>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</si>
  <si>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</si>
  <si>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</si>
  <si>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</si>
  <si>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</si>
  <si>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</si>
  <si>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</si>
  <si>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</si>
  <si>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</si>
  <si>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</si>
  <si>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</si>
  <si>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</si>
  <si>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</si>
  <si>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</si>
  <si>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</si>
  <si>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</si>
  <si>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</si>
  <si>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</si>
  <si>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</si>
  <si>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</si>
  <si>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</si>
  <si>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</si>
  <si>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</si>
  <si>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</si>
  <si>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</si>
  <si>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</si>
  <si>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</si>
  <si>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</si>
  <si>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</si>
  <si>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</si>
  <si>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</si>
  <si>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</si>
  <si>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</si>
  <si>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</si>
  <si>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</si>
  <si>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</si>
  <si>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</si>
  <si>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</si>
  <si>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</si>
  <si>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</si>
  <si>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</si>
  <si>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</si>
  <si>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</si>
  <si>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</si>
  <si>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</si>
  <si>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</si>
  <si>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</si>
  <si>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</si>
  <si>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</si>
  <si>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</si>
  <si>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</si>
  <si>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</si>
  <si>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</si>
  <si>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</si>
  <si>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</si>
  <si>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</si>
  <si>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</si>
  <si>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</si>
  <si>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</si>
  <si>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</si>
  <si>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</si>
  <si>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</si>
  <si>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</si>
  <si>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</si>
  <si>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</si>
  <si>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</si>
  <si>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</si>
  <si>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</si>
  <si>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</si>
  <si>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</si>
  <si>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</si>
  <si>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</si>
  <si>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</si>
  <si>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</si>
  <si>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</si>
  <si>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</si>
  <si>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</si>
  <si>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</si>
  <si>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</si>
  <si>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</si>
  <si>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</si>
  <si>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</si>
  <si>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</si>
  <si>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</si>
  <si>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</si>
  <si>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</si>
  <si>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</si>
  <si>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</si>
  <si>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</si>
  <si>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</si>
  <si>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</si>
  <si>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</si>
  <si>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</si>
  <si>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</si>
  <si>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</si>
  <si>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</si>
  <si>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</si>
  <si>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</si>
  <si>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</si>
  <si>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</si>
  <si>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</si>
  <si>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</si>
  <si>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</si>
  <si>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</si>
  <si>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</si>
  <si>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</si>
  <si>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</si>
  <si>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</si>
  <si>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</si>
  <si>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</si>
  <si>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</si>
  <si>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</si>
  <si>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</si>
  <si>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</si>
  <si>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</si>
  <si>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</si>
  <si>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</si>
  <si>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</si>
  <si>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</si>
  <si>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</si>
  <si>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</si>
  <si>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</si>
  <si>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</si>
  <si>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</si>
  <si>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</si>
  <si>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</si>
  <si>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</si>
  <si>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</si>
  <si>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</si>
  <si>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</si>
  <si>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</si>
  <si>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</si>
  <si>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</si>
  <si>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</si>
  <si>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</si>
  <si>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</si>
  <si>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</si>
  <si>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</si>
  <si>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</si>
  <si>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</si>
  <si>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</si>
  <si>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</si>
  <si>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</si>
  <si>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</si>
  <si>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</si>
  <si>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</si>
  <si>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</si>
  <si>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</si>
  <si>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</si>
  <si>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</si>
  <si>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</si>
  <si>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</si>
  <si>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</si>
  <si>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</si>
  <si>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</si>
  <si>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</si>
  <si>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</si>
  <si>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</si>
  <si>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</si>
  <si>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</si>
  <si>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</si>
  <si>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</si>
  <si>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</si>
  <si>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</si>
  <si>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</si>
  <si>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</si>
  <si>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</si>
  <si>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</si>
  <si>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</si>
  <si>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</si>
  <si>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</si>
  <si>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</si>
  <si>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</si>
  <si>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</si>
  <si>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</si>
  <si>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</si>
  <si>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</si>
  <si>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</si>
  <si>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</si>
  <si>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</si>
  <si>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</si>
  <si>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</si>
  <si>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</si>
  <si>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</si>
  <si>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</si>
  <si>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</si>
  <si>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</si>
  <si>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</si>
  <si>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</si>
  <si>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</si>
  <si>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</si>
  <si>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</si>
  <si>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</si>
  <si>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</si>
  <si>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</si>
  <si>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</si>
  <si>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</si>
  <si>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</si>
  <si>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</si>
  <si>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</si>
  <si>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</si>
  <si>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</si>
  <si>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</si>
  <si>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</si>
  <si>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</si>
  <si>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</si>
  <si>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</si>
  <si>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</si>
  <si>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</si>
  <si>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</si>
  <si>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</si>
  <si>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</si>
  <si>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</si>
  <si>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</si>
  <si>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</si>
  <si>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</si>
  <si>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</si>
  <si>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</si>
  <si>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</si>
  <si>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</si>
  <si>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</si>
  <si>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</si>
  <si>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</si>
  <si>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</si>
  <si>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</si>
  <si>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</si>
  <si>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</si>
  <si>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</si>
  <si>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</si>
  <si>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</si>
  <si>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</si>
  <si>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</si>
  <si>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</si>
  <si>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</si>
  <si>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</si>
  <si>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</si>
  <si>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</si>
  <si>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</si>
  <si>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</si>
  <si>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</si>
  <si>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</si>
  <si>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</si>
  <si>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</si>
  <si>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</si>
  <si>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</si>
  <si>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</si>
  <si>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</si>
  <si>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</si>
  <si>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</si>
  <si>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</si>
  <si>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</si>
  <si>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</si>
  <si>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</si>
  <si>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</si>
  <si>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</si>
  <si>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</si>
  <si>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</si>
  <si>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</si>
  <si>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</si>
  <si>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</si>
  <si>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</si>
  <si>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b800P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</si>
  <si>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</si>
  <si>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</si>
  <si>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</si>
  <si>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</si>
  <si>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</si>
  <si>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</si>
  <si>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</si>
  <si>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</si>
  <si>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</si>
  <si>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</si>
  <si>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</si>
  <si>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</si>
  <si>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</si>
  <si>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</si>
  <si>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</si>
  <si>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</si>
  <si>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</si>
  <si>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</si>
  <si>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</si>
  <si>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</si>
  <si>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</si>
  <si>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</si>
  <si>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FANZERES</t>
  </si>
  <si>
    <t>FTT1039</t>
  </si>
  <si>
    <t>MOITA</t>
  </si>
  <si>
    <t>FT2376</t>
  </si>
  <si>
    <t>FTT1054</t>
  </si>
  <si>
    <t>RESIDUOS</t>
  </si>
  <si>
    <t>SEMANA</t>
  </si>
  <si>
    <t>S27(29JUNHO-5JULHO 2026)</t>
  </si>
  <si>
    <t>S28(6JULHO-12JULHO 2026)</t>
  </si>
  <si>
    <t>S29(13JULHO-19JULHO 2026)</t>
  </si>
  <si>
    <t>SHAMAL</t>
  </si>
  <si>
    <t>S21(19MAIO-25MAIO 2025)</t>
  </si>
  <si>
    <t>FAIA</t>
  </si>
  <si>
    <t>S6(2FEVEREIRO-8FEVEREIRO 2026)</t>
  </si>
  <si>
    <t>PEDRO JESUS</t>
  </si>
  <si>
    <t>FT1018</t>
  </si>
  <si>
    <t>L. LOPES - COM. DE PNEUS E ACES. AUTO, UNIP., LDA.(LIQUIDO, SA)</t>
  </si>
  <si>
    <t>S7(10FEVEREIRO-17FEVEREIRO 2025 )</t>
  </si>
  <si>
    <t>FT1047</t>
  </si>
  <si>
    <t>AUTO PNEUS SENHOR ROUBADO COM. PNEUS LDA(LIQUIDO, SA)</t>
  </si>
  <si>
    <t>S5(27JANEIRO-2FEVEREIRO 2025)</t>
  </si>
  <si>
    <t>S9(24FEVEREIRO-2MARÇO 2025 )</t>
  </si>
  <si>
    <t>AUTO CARVIDE - SOLUÇÕES DE MOBILIDADE, LDA(LIQUIDO, SA)</t>
  </si>
  <si>
    <t>EDUARDO CATARINO REGO UNIPESSOAL LDA(LIQUIDO, SA)</t>
  </si>
  <si>
    <t>S16(14ABRIL-20ABRIL 2025)</t>
  </si>
  <si>
    <t>PAULO JORGE FERREIRA UNIPESSOAL LIMITADA(LIQUIDO, SA)</t>
  </si>
  <si>
    <t>MYCARBOX-UNIPESSOAL,LDA(LIQUIDO, SA)</t>
  </si>
  <si>
    <t>PNEUDIA UNIPESSOAL, LDA(LIQUIDO, SA)</t>
  </si>
  <si>
    <t>S19(5MAIO-11MAIO 2025)</t>
  </si>
  <si>
    <t>S31(29JULHO-3AGOSTO 2025)</t>
  </si>
  <si>
    <t>MAXI TYRES,LDA(LIQUIDO, SA)</t>
  </si>
  <si>
    <t>S32(4AGOSTO-10AGOSTO 2025)</t>
  </si>
  <si>
    <t>S16(13ABRIL-19ABRIL 2026)</t>
  </si>
  <si>
    <t>S12(16MARÇO-22MARÇO 2026)</t>
  </si>
  <si>
    <t>S9(23FEVEREIRO-1MARÇO 2026)</t>
  </si>
  <si>
    <t>S17(21ABRIL-27ABRIL 2025)</t>
  </si>
  <si>
    <t>S24(8JUNHO-14JUNHO 2026)</t>
  </si>
  <si>
    <t>S25(16JUNHO-22JUNHO 2025)</t>
  </si>
  <si>
    <t>S22(26MAIO-1JUNHO 2025)</t>
  </si>
  <si>
    <t>S1(29DEZEMBRO-4JANEIRO 2025)</t>
  </si>
  <si>
    <t>S5(26JANEIRO-1FEVEREIRO 2026)</t>
  </si>
  <si>
    <t>CHARNECAUTO PNEUS, LDA.(GRENKE RENTING S.A.)</t>
  </si>
  <si>
    <t>MYCARBOX-UNIPESSOAL,LDA(GRENKE RENTING S.A.)</t>
  </si>
  <si>
    <t>PNEUS NACIONAL 201 - PNEUS PEÇAS E ACESSORIOS LDA(GRENKE RENTING S.A.)</t>
  </si>
  <si>
    <t>S25(115JUNHO-21JUNHO 2026)</t>
  </si>
  <si>
    <t>FOXWELL(XTOOL)</t>
  </si>
  <si>
    <t>AUTO PNEUS DA GRANJA, LDA</t>
  </si>
  <si>
    <t>AUTO RECTA PENICHENSE - REPARAÇÕES DE AUTOMOVEIS LDA</t>
  </si>
  <si>
    <t>ELECTRO AMADEU REPARAÇÕES ELECTRICAS AUTO LDA</t>
  </si>
  <si>
    <t>JORGE MARTINS-PNEUS E ACESSORIOS PARA VEICULOS AUTOMOVEIS UNIPESSOAL LDA</t>
  </si>
  <si>
    <t>LEANDRO DOS PNEUS, LDA.</t>
  </si>
  <si>
    <t>LUCIFRANCO-REPARAÇÃO AUTOMOVEIS,LDA</t>
  </si>
  <si>
    <t>MACONPNEUS-COM.DE PNEUS UNIPESSOAL.,LDA</t>
  </si>
  <si>
    <t>MUDARUNIVERSO - LDA</t>
  </si>
  <si>
    <t>RAFAEL AUGUSTO RABAÇO</t>
  </si>
  <si>
    <t>RAMOS &amp; PEREIRA LDA</t>
  </si>
  <si>
    <t>TRAJETORIA BINARIA UNIPESSOAL LDA</t>
  </si>
  <si>
    <t>VARIPECAS COMERCIO PECAS AUTO MILHEIRO E BETO LDA</t>
  </si>
  <si>
    <t>34-R78K00R610B</t>
  </si>
  <si>
    <t>JANTE / PNEU DE SOCORRO 155/85 18 NPK 610B</t>
  </si>
  <si>
    <t>01-4029502</t>
  </si>
  <si>
    <t>VALVE REGISTER LOCKINGS, YELLOW BUTTON</t>
  </si>
  <si>
    <t>34-N702DA</t>
  </si>
  <si>
    <t>01-4026235</t>
  </si>
  <si>
    <t>Transducer</t>
  </si>
  <si>
    <t>13-1010601928XX</t>
  </si>
  <si>
    <t>MAHLE - TechPRO DIGITAL ADAS 2.0 EXTRA</t>
  </si>
  <si>
    <t>01-14144</t>
  </si>
  <si>
    <t>SUPPORT LOWER CLAMP</t>
  </si>
  <si>
    <t>34-N430</t>
  </si>
  <si>
    <t>34-N604D</t>
  </si>
  <si>
    <t>01-EAA0439G18A</t>
  </si>
  <si>
    <t>41-X0845</t>
  </si>
  <si>
    <t>RIM LOCKING PIN, HCV, DOUBLE END, TUBE &amp; TUBELESS</t>
  </si>
  <si>
    <t>01-4029323</t>
  </si>
  <si>
    <t>MOUNTIN-DEMOUNTING TOOL</t>
  </si>
  <si>
    <t>01-32048</t>
  </si>
  <si>
    <t>GUIDE TERMINALS, CENTRE CONVERG</t>
  </si>
  <si>
    <t>01-4025004</t>
  </si>
  <si>
    <t>MANIFOLD REVOLVING ASSY</t>
  </si>
  <si>
    <t>01-7040229</t>
  </si>
  <si>
    <t>PIN DOWEL4X10</t>
  </si>
  <si>
    <t>SENDIM</t>
  </si>
  <si>
    <t>S22(25MAIO-31MAIO 2026)</t>
  </si>
  <si>
    <t>VILA NOVA DE CERVEIRA</t>
  </si>
  <si>
    <t>S21(18MAIO-24MAIO 2026)</t>
  </si>
  <si>
    <t>FTT1057</t>
  </si>
  <si>
    <t>FT2386</t>
  </si>
  <si>
    <t>ARGONCILHE</t>
  </si>
  <si>
    <t>FTT1056</t>
  </si>
  <si>
    <t>OFICINA ELETRICA</t>
  </si>
  <si>
    <t>S23(1JUNHO-7JUNHO 2026)</t>
  </si>
  <si>
    <t xml:space="preserve">CONSUMIVEIS </t>
  </si>
  <si>
    <t>VENDAS</t>
  </si>
  <si>
    <t>MAHLE-DIAGNOSTICOS</t>
  </si>
  <si>
    <t>ANTI-ROUBOS</t>
  </si>
  <si>
    <t>JANTES CAMIÃO</t>
  </si>
  <si>
    <t xml:space="preserve">ALUMINIO </t>
  </si>
  <si>
    <t>SPEEDLINE</t>
  </si>
  <si>
    <t>FOSHAN</t>
  </si>
  <si>
    <t>ALKATEC</t>
  </si>
  <si>
    <t>BENAVENTE</t>
  </si>
  <si>
    <t>FERRO</t>
  </si>
  <si>
    <t>ACCURIDE</t>
  </si>
  <si>
    <t>S23(2JUNHO-8JUNHO 2025)</t>
  </si>
  <si>
    <t>S25(15JUNHO-21JUNHO 2026)</t>
  </si>
  <si>
    <t>S26(23JUNHO-29JUNHO 2025)</t>
  </si>
  <si>
    <t>S46(10NOVEMBRO-16NOVEMBRO 2025)</t>
  </si>
  <si>
    <t>FENIX</t>
  </si>
  <si>
    <t>ARCEO</t>
  </si>
  <si>
    <t>DE PARAFUSO</t>
  </si>
  <si>
    <t>MARCIO ASSUNÇÃO UNIPESSOAL LDA(LIQUIDO, SA)</t>
  </si>
  <si>
    <t>S29(14JULHO-20JULHO 2025)</t>
  </si>
  <si>
    <t>S28(7JULHO-13JULHO 2025)</t>
  </si>
  <si>
    <t/>
  </si>
  <si>
    <t>S6(3FEVEREIRO-9-FEVERIRO 2025)</t>
  </si>
  <si>
    <t>ACESS.CONSUMIVEIS MAHLE</t>
  </si>
  <si>
    <t>S41(6OUTUBRO-12OUTUBRO 2025)</t>
  </si>
  <si>
    <t>XTOOL</t>
  </si>
  <si>
    <t>ANTÓNIO CARLOS S.R. CARVALHO, UNIPESSOAL, LDA(GRENKE RENTING S.A.)</t>
  </si>
  <si>
    <t>CRAVO MARTINS &amp; SANTOS, LDA(GRENKE RENTING S.A.)</t>
  </si>
  <si>
    <t>S18(28ABRIL-4MAIO 2025)</t>
  </si>
  <si>
    <t>FUROPNEU-COMERCIO E REPARAÇÃO DE PNEUS UNIPESSOAL,LDA(GRENKE RENTING S.A.)</t>
  </si>
  <si>
    <t>S35(25AGOSTO-31AGOSTO 2025)</t>
  </si>
  <si>
    <t>S40(29SETEMBRO-5OUTUBRO 2025)</t>
  </si>
  <si>
    <t>S7(9FEVEREIRO-15FEVEREIRO 2026)</t>
  </si>
  <si>
    <t>S44(27OUTUBRO-2NOVEMBRO 2025)</t>
  </si>
  <si>
    <t>S29(13JULHO-19JULHO 2025)</t>
  </si>
  <si>
    <t>MARIPNEUS,LDA(LIQUIDO, SA)</t>
  </si>
  <si>
    <t>J23M CAR ACADEMY - FORMAÇÃO E CONSULTORIA LDA(BANCO COMERCIAL PORTUGUÊS, SA)</t>
  </si>
  <si>
    <t>S27(30JUNHO-6JULHO 2025)</t>
  </si>
  <si>
    <t>STATIONFML-CENTRO MANUTENÇÃO(LIQUIDO, SA)</t>
  </si>
  <si>
    <t>STATION</t>
  </si>
  <si>
    <t>ROADY</t>
  </si>
  <si>
    <t>S10(2MARÇO-8MARÇO 2026)</t>
  </si>
  <si>
    <t xml:space="preserve">MAQUINAS DE EQUILIBRAR </t>
  </si>
  <si>
    <t>600P</t>
  </si>
  <si>
    <t>S30(21JULHO-27JULHO 2025)</t>
  </si>
  <si>
    <t>S30(20JULHO-26JULHO 2026)</t>
  </si>
  <si>
    <t>CANTO &amp; CANTO, LDA</t>
  </si>
  <si>
    <t>34-R78K00R648S</t>
  </si>
  <si>
    <t>JANTE / PNEU DE SOCORRO 155/85 18 NPK 648S</t>
  </si>
  <si>
    <t>34-R78K00R623S</t>
  </si>
  <si>
    <t>JANTE / PNEU DE SOCORRO 155/85 18 NPK 623D</t>
  </si>
  <si>
    <t>43-F6050MMBM40F</t>
  </si>
  <si>
    <t>JANTE 6.5X15 5X114 ET40 MAGMA</t>
  </si>
  <si>
    <t>34-R78K00R725B</t>
  </si>
  <si>
    <t>JANTE / PNEU DE SOCORRO 135/90 17 NPK 725B</t>
  </si>
  <si>
    <t>S20(11MAIO-17MAIO 2026)</t>
  </si>
  <si>
    <t>CROFIL</t>
  </si>
  <si>
    <t>B300L</t>
  </si>
  <si>
    <t>B400L</t>
  </si>
  <si>
    <t>S28(5JULHO-12JULHO 2026)</t>
  </si>
  <si>
    <t>S45(3NOVEMBRO-9NOVEMBRO 2025)</t>
  </si>
  <si>
    <t>S38(15SETEMBRO-21SETEMBRO 2025)</t>
  </si>
  <si>
    <t>S48(24NOVEMBRO-30NOVEMBRO 2025)</t>
  </si>
  <si>
    <t>S51(15DEZEMBRO-21DEZEMBRO 2025)</t>
  </si>
  <si>
    <t>S14(30MARÇO-5ABRIL 2026)</t>
  </si>
  <si>
    <t>DRIVER</t>
  </si>
  <si>
    <t>S17(20ABRIL-26ABRIL 2026)</t>
  </si>
  <si>
    <t>S26(22JUNHO-28JUNHO 2026)</t>
  </si>
  <si>
    <t>FUROPNEU-COMERCIO E REPARAÇÃO DE PNEUS UNIPESSOAL,LDA(LIQUIDO, SA)</t>
  </si>
  <si>
    <t>DRYLOOK UNIPESSOAL LDA(LIQUIDO, SA)</t>
  </si>
  <si>
    <t>S19(4MAIO-10MAIO 2026)</t>
  </si>
  <si>
    <t>S18(27ABRIL-3MAIO 2026)</t>
  </si>
  <si>
    <t>S4(19JANEIRO-25JANEIRO 2026)</t>
  </si>
  <si>
    <t>S47(17NOVEMBRO-23NOVEMBRO 2025)</t>
  </si>
  <si>
    <t>S12(17MARÇO-23MARÇO 2025)</t>
  </si>
  <si>
    <t>S8(16FEVEREIRO-22FEVEIRO 2026)</t>
  </si>
  <si>
    <t>S3(13JANEIRO-19JANEIRO 2025)</t>
  </si>
  <si>
    <t>S13(24MARÇO-30MARÇO 2025)</t>
  </si>
  <si>
    <t>FRANCISCO GOMES RODRIGUES &amp; FILHOS, LDA.(LIQUIDO, SA)</t>
  </si>
  <si>
    <t>GFCMOTOR - GARAGEM DE REPARAÇÃO AUTO UNIPESSOAL, LDA(LIQUIDO, SA)</t>
  </si>
  <si>
    <t>S49(1DEZEMBRO-7DEZEMBRO 2025)</t>
  </si>
  <si>
    <t>PNEUCERTO UNIPESSOAL,LDA(LIQUIDO, SA)</t>
  </si>
  <si>
    <t>ESCAPES BARCELINHOS - COM.MONTAGEM ESCAPES, LDA(LIQUIDO, SA)</t>
  </si>
  <si>
    <t>TIAGO CONDE UNIPESSOAL LDA</t>
  </si>
  <si>
    <t>99ALINHAR1253</t>
  </si>
  <si>
    <t>MAQ. DE ALINHAR JOHN BEAN MOD. 3D2 ULTRA TORRE MOVEL</t>
  </si>
  <si>
    <t>PNEUS RIO VEZ,LDA(LIQUIDO, SA)</t>
  </si>
  <si>
    <t>RESGATE</t>
  </si>
  <si>
    <t>GRENKE</t>
  </si>
  <si>
    <t>S15(6ABRIL-12ABRIL 2026)</t>
  </si>
  <si>
    <t>S31(28JULHO-3AGOSTO 2025)</t>
  </si>
  <si>
    <t>S34(18AGOSTO-24AGOSTO 2025)</t>
  </si>
  <si>
    <t>S8(17FEVEREIRO-23FEVEREIRO 2025)</t>
  </si>
  <si>
    <t>S10(3MARÇO-9MARÇO 2025)</t>
  </si>
  <si>
    <t>S3(12JANEIRO-18JANEIRO 2026)</t>
  </si>
  <si>
    <t>S37(8SETEMBRO-14SETEMBRO 2025)</t>
  </si>
  <si>
    <t>S31(31JULHO-2AGOSTO 2026)</t>
  </si>
  <si>
    <t>METALAGRSTE(2902CLIENTE)</t>
  </si>
  <si>
    <t>AUTO BOA NOITE de FERNANDO JORGE MACHADO DA SILVA</t>
  </si>
  <si>
    <t>01-3-81226AF1</t>
  </si>
  <si>
    <t>MICRO SD CARD PROGRAMMED</t>
  </si>
  <si>
    <t>RM DRIVE UNIPESSOAL LDA</t>
  </si>
  <si>
    <t>PCL</t>
  </si>
  <si>
    <t>ANTONIO RUIZ ROMAN</t>
  </si>
  <si>
    <t>36-C0422</t>
  </si>
  <si>
    <t>VALVULA PARA SENSOR TPMS</t>
  </si>
  <si>
    <t>MAQUINAD DE DESMONTAR</t>
  </si>
  <si>
    <t>BARMA PNEUS UNIPESSOAL, LDA(BANCO BIC PORTUGUÊS, S.A.)</t>
  </si>
  <si>
    <t>S39(22SETEMBRO-28SETEMBRO 2025)</t>
  </si>
  <si>
    <t>S43(20OUTUBRO-26OUTUBRO 2025)</t>
  </si>
  <si>
    <t>S33(10AGOSTO-16AGOSTO 2026)</t>
  </si>
  <si>
    <t>B500</t>
  </si>
  <si>
    <t>S4(20JANEIRO-26JANEIRO 2025)</t>
  </si>
  <si>
    <t>S33(11AGOSTO-17AGOSTO 2025)</t>
  </si>
  <si>
    <t>S52(22DEZEMBRO-28DEZEMBRO 2025)</t>
  </si>
  <si>
    <t>JOSÉ RUI</t>
  </si>
  <si>
    <t>MARIO LEAL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</si>
</sst>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23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03">
    <xf numFmtId="0" fontId="0" fillId="0" borderId="0"/>
    <xf numFmtId="0" fontId="7" fillId="0" borderId="0" applyNumberFormat="0" applyFill="0" applyBorder="0" applyAlignment="0" applyProtection="0"/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0" fillId="0" borderId="0" applyNumberFormat="0" applyFill="0" applyBorder="0" applyAlignment="0" applyProtection="0"/>
    <xf numFmtId="0" fontId="11" fillId="4" borderId="0" applyNumberFormat="0" applyBorder="0" applyAlignment="0" applyProtection="0"/>
    <xf numFmtId="0" fontId="12" fillId="5" borderId="0" applyNumberFormat="0" applyBorder="0" applyAlignment="0" applyProtection="0"/>
    <xf numFmtId="0" fontId="13" fillId="6" borderId="0" applyNumberFormat="0" applyBorder="0" applyAlignment="0" applyProtection="0"/>
    <xf numFmtId="0" fontId="14" fillId="7" borderId="5" applyNumberFormat="0" applyAlignment="0" applyProtection="0"/>
    <xf numFmtId="0" fontId="15" fillId="8" borderId="6" applyNumberFormat="0" applyAlignment="0" applyProtection="0"/>
    <xf numFmtId="0" fontId="16" fillId="8" borderId="5" applyNumberFormat="0" applyAlignment="0" applyProtection="0"/>
    <xf numFmtId="0" fontId="17" fillId="0" borderId="7" applyNumberFormat="0" applyFill="0" applyAlignment="0" applyProtection="0"/>
    <xf numFmtId="0" fontId="18" fillId="9" borderId="8" applyNumberFormat="0" applyAlignment="0" applyProtection="0"/>
    <xf numFmtId="0" fontId="1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10" applyNumberFormat="0" applyFill="0" applyAlignment="0" applyProtection="0"/>
    <xf numFmtId="0" fontId="22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22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22" fillId="19" borderId="0" applyNumberFormat="0" applyBorder="0" applyAlignment="0" applyProtection="0"/>
    <xf numFmtId="0" fontId="4" fillId="20" borderId="0" applyNumberFormat="0" applyBorder="0" applyAlignment="0" applyProtection="0"/>
    <xf numFmtId="0" fontId="4" fillId="21" borderId="0" applyNumberFormat="0" applyBorder="0" applyAlignment="0" applyProtection="0"/>
    <xf numFmtId="0" fontId="4" fillId="22" borderId="0" applyNumberFormat="0" applyBorder="0" applyAlignment="0" applyProtection="0"/>
    <xf numFmtId="0" fontId="22" fillId="23" borderId="0" applyNumberFormat="0" applyBorder="0" applyAlignment="0" applyProtection="0"/>
    <xf numFmtId="0" fontId="4" fillId="24" borderId="0" applyNumberFormat="0" applyBorder="0" applyAlignment="0" applyProtection="0"/>
    <xf numFmtId="0" fontId="4" fillId="25" borderId="0" applyNumberFormat="0" applyBorder="0" applyAlignment="0" applyProtection="0"/>
    <xf numFmtId="0" fontId="4" fillId="26" borderId="0" applyNumberFormat="0" applyBorder="0" applyAlignment="0" applyProtection="0"/>
    <xf numFmtId="0" fontId="22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0" borderId="0" applyNumberFormat="0" applyBorder="0" applyAlignment="0" applyProtection="0"/>
    <xf numFmtId="0" fontId="22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4" borderId="0" applyNumberFormat="0" applyBorder="0" applyAlignment="0" applyProtection="0"/>
    <xf numFmtId="0" fontId="4" fillId="0" borderId="0"/>
    <xf numFmtId="0" fontId="4" fillId="10" borderId="9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20" borderId="0" applyNumberFormat="0" applyBorder="0" applyAlignment="0" applyProtection="0"/>
    <xf numFmtId="0" fontId="3" fillId="24" borderId="0" applyNumberFormat="0" applyBorder="0" applyAlignment="0" applyProtection="0"/>
    <xf numFmtId="0" fontId="3" fillId="28" borderId="0" applyNumberFormat="0" applyBorder="0" applyAlignment="0" applyProtection="0"/>
    <xf numFmtId="0" fontId="3" fillId="32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21" borderId="0" applyNumberFormat="0" applyBorder="0" applyAlignment="0" applyProtection="0"/>
    <xf numFmtId="0" fontId="3" fillId="25" borderId="0" applyNumberFormat="0" applyBorder="0" applyAlignment="0" applyProtection="0"/>
    <xf numFmtId="0" fontId="3" fillId="29" borderId="0" applyNumberFormat="0" applyBorder="0" applyAlignment="0" applyProtection="0"/>
    <xf numFmtId="0" fontId="3" fillId="33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34" borderId="0" applyNumberFormat="0" applyBorder="0" applyAlignment="0" applyProtection="0"/>
    <xf numFmtId="0" fontId="3" fillId="10" borderId="9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20" borderId="0" applyNumberFormat="0" applyBorder="0" applyAlignment="0" applyProtection="0"/>
    <xf numFmtId="0" fontId="2" fillId="24" borderId="0" applyNumberFormat="0" applyBorder="0" applyAlignment="0" applyProtection="0"/>
    <xf numFmtId="0" fontId="2" fillId="28" borderId="0" applyNumberFormat="0" applyBorder="0" applyAlignment="0" applyProtection="0"/>
    <xf numFmtId="0" fontId="2" fillId="3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21" borderId="0" applyNumberFormat="0" applyBorder="0" applyAlignment="0" applyProtection="0"/>
    <xf numFmtId="0" fontId="2" fillId="25" borderId="0" applyNumberFormat="0" applyBorder="0" applyAlignment="0" applyProtection="0"/>
    <xf numFmtId="0" fontId="2" fillId="29" borderId="0" applyNumberFormat="0" applyBorder="0" applyAlignment="0" applyProtection="0"/>
    <xf numFmtId="0" fontId="2" fillId="3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4" borderId="0" applyNumberFormat="0" applyBorder="0" applyAlignment="0" applyProtection="0"/>
    <xf numFmtId="0" fontId="2" fillId="10" borderId="9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10" borderId="9" applyNumberFormat="0" applyFont="0" applyAlignment="0" applyProtection="0"/>
  </cellStyleXfs>
  <cellXfs count="35">
    <xf numFmtId="0" fontId="0" fillId="0" borderId="0" xfId="0"/>
    <xf numFmtId="0" fontId="5" fillId="0" borderId="1" xfId="0" applyFont="1" applyBorder="1" applyAlignment="1">
      <alignment horizontal="center" vertical="top"/>
    </xf>
    <xf numFmtId="0" fontId="6" fillId="0" borderId="0" xfId="0" applyFont="1"/>
    <xf numFmtId="0" fontId="5" fillId="0" borderId="1" xfId="0" applyFont="1" applyBorder="1" applyAlignment="1">
      <alignment horizontal="left" vertical="top"/>
    </xf>
    <xf numFmtId="10" fontId="5" fillId="0" borderId="1" xfId="0" applyNumberFormat="1" applyFont="1" applyBorder="1" applyAlignment="1">
      <alignment horizontal="center" vertical="top"/>
    </xf>
    <xf numFmtId="10" fontId="6" fillId="0" borderId="0" xfId="0" applyNumberFormat="1" applyFont="1"/>
    <xf numFmtId="0" fontId="6" fillId="0" borderId="0" xfId="0" applyFont="1" applyAlignment="1">
      <alignment horizontal="left"/>
    </xf>
    <xf numFmtId="3" fontId="6" fillId="0" borderId="0" xfId="0" applyNumberFormat="1" applyFont="1"/>
    <xf numFmtId="1" fontId="6" fillId="0" borderId="0" xfId="0" applyNumberFormat="1" applyFont="1"/>
    <xf numFmtId="2" fontId="6" fillId="0" borderId="0" xfId="0" applyNumberFormat="1" applyFont="1"/>
    <xf numFmtId="4" fontId="6" fillId="0" borderId="0" xfId="0" applyNumberFormat="1" applyFont="1"/>
    <xf numFmtId="1" fontId="5" fillId="0" borderId="1" xfId="0" applyNumberFormat="1" applyFont="1" applyBorder="1" applyAlignment="1">
      <alignment horizontal="center" vertical="top"/>
    </xf>
    <xf numFmtId="166" fontId="6" fillId="0" borderId="0" xfId="0" applyNumberFormat="1" applyFont="1"/>
    <xf numFmtId="164" fontId="6" fillId="0" borderId="0" xfId="0" applyNumberFormat="1" applyFont="1"/>
    <xf numFmtId="165" fontId="6" fillId="0" borderId="0" xfId="0" applyNumberFormat="1" applyFont="1"/>
    <xf numFmtId="0" fontId="6" fillId="0" borderId="0" xfId="0" applyFont="1" applyAlignment="1">
      <alignment wrapText="1"/>
    </xf>
    <xf numFmtId="49" fontId="6" fillId="0" borderId="0" xfId="0" applyNumberFormat="1" applyFont="1" applyAlignment="1">
      <alignment wrapText="1"/>
    </xf>
    <xf numFmtId="0" fontId="6" fillId="2" borderId="0" xfId="0" applyFont="1" applyFill="1"/>
    <xf numFmtId="10" fontId="6" fillId="2" borderId="0" xfId="0" applyNumberFormat="1" applyFont="1" applyFill="1"/>
    <xf numFmtId="10" fontId="6" fillId="3" borderId="0" xfId="0" applyNumberFormat="1" applyFont="1" applyFill="1"/>
    <xf numFmtId="10" fontId="6" fillId="0" borderId="0" xfId="0" quotePrefix="1" applyNumberFormat="1" applyFont="1"/>
    <xf numFmtId="164" fontId="6" fillId="0" borderId="0" xfId="41" applyNumberFormat="1" applyFont="1"/>
    <xf numFmtId="165" fontId="6" fillId="0" borderId="0" xfId="41" applyNumberFormat="1" applyFont="1"/>
    <xf numFmtId="0" fontId="6" fillId="0" borderId="0" xfId="41" applyFont="1"/>
    <xf numFmtId="0" fontId="6" fillId="0" borderId="0" xfId="43" applyFont="1"/>
    <xf numFmtId="164" fontId="6" fillId="0" borderId="0" xfId="43" applyNumberFormat="1" applyFont="1"/>
    <xf numFmtId="165" fontId="6" fillId="0" borderId="0" xfId="43" applyNumberFormat="1" applyFont="1"/>
    <xf numFmtId="165" fontId="6" fillId="0" borderId="0" xfId="63" applyNumberFormat="1" applyFont="1"/>
    <xf numFmtId="164" fontId="6" fillId="0" borderId="0" xfId="63" applyNumberFormat="1" applyFont="1"/>
    <xf numFmtId="0" fontId="6" fillId="0" borderId="0" xfId="63" applyFont="1"/>
    <xf numFmtId="0" fontId="6" fillId="0" borderId="0" xfId="83" applyFont="1" applyAlignment="1">
      <alignment horizontal="left"/>
    </xf>
    <xf numFmtId="165" fontId="6" fillId="0" borderId="0" xfId="83" applyNumberFormat="1" applyFont="1"/>
    <xf numFmtId="164" fontId="6" fillId="0" borderId="0" xfId="83" applyNumberFormat="1" applyFont="1"/>
    <xf numFmtId="0" fontId="6" fillId="0" borderId="0" xfId="83" applyFont="1"/>
    <xf numFmtId="10" fontId="6" fillId="35" borderId="0" xfId="0" applyNumberFormat="1" applyFont="1" applyFill="1"/>
  </cellXfs>
  <cellStyles count="103">
    <cellStyle name="20% - Cor1" xfId="18" builtinId="30" customBuiltin="1"/>
    <cellStyle name="20% - Cor1 2" xfId="44" xr:uid="{E1FB5F7F-5C5A-415E-9D77-E80A873B1849}"/>
    <cellStyle name="20% - Cor1 3" xfId="64" xr:uid="{F917F57C-0EFF-40C2-B89C-6CAAD6102839}"/>
    <cellStyle name="20% - Cor1 4" xfId="84" xr:uid="{4FC3F695-8B05-4CAF-B57B-BDF0D72EF80A}"/>
    <cellStyle name="20% - Cor2" xfId="22" builtinId="34" customBuiltin="1"/>
    <cellStyle name="20% - Cor2 2" xfId="45" xr:uid="{7D41E263-55BD-458B-9945-64BE9E28C48C}"/>
    <cellStyle name="20% - Cor2 3" xfId="65" xr:uid="{F3D513AA-3835-4F11-BEB5-9199D3640532}"/>
    <cellStyle name="20% - Cor2 4" xfId="85" xr:uid="{86A26E66-39DC-4FEA-A9A4-E8E4EEA8DB86}"/>
    <cellStyle name="20% - Cor3" xfId="26" builtinId="38" customBuiltin="1"/>
    <cellStyle name="20% - Cor3 2" xfId="46" xr:uid="{19A3B827-0F6E-4E1A-8EFD-57D04FC17724}"/>
    <cellStyle name="20% - Cor3 3" xfId="66" xr:uid="{AE6A1C5F-FBD1-4E27-99A3-0AD0DE00F70C}"/>
    <cellStyle name="20% - Cor3 4" xfId="86" xr:uid="{493CF999-3418-44BA-B9FB-50B6ECE9345C}"/>
    <cellStyle name="20% - Cor4" xfId="30" builtinId="42" customBuiltin="1"/>
    <cellStyle name="20% - Cor4 2" xfId="47" xr:uid="{78181C26-292C-41FC-B15F-29B79A5F5FB4}"/>
    <cellStyle name="20% - Cor4 3" xfId="67" xr:uid="{40CC8F5D-F5F1-4C5E-974E-3F9AEE5DCA47}"/>
    <cellStyle name="20% - Cor4 4" xfId="87" xr:uid="{43E5F0C3-DA55-473A-8471-03A4B065EEE4}"/>
    <cellStyle name="20% - Cor5" xfId="34" builtinId="46" customBuiltin="1"/>
    <cellStyle name="20% - Cor5 2" xfId="48" xr:uid="{061F8B37-9D8B-4FE9-8943-4ACB58A7BB6D}"/>
    <cellStyle name="20% - Cor5 3" xfId="68" xr:uid="{1E205E40-0468-4A62-A544-2FB12DD514EC}"/>
    <cellStyle name="20% - Cor5 4" xfId="88" xr:uid="{C770E19F-D6E5-4C13-BA3A-AA08B8505735}"/>
    <cellStyle name="20% - Cor6" xfId="38" builtinId="50" customBuiltin="1"/>
    <cellStyle name="20% - Cor6 2" xfId="49" xr:uid="{08B934EB-E65A-4CC5-80D3-2C16B1B7C127}"/>
    <cellStyle name="20% - Cor6 3" xfId="69" xr:uid="{3FCF423F-05CB-4F41-BF66-3885F03257B0}"/>
    <cellStyle name="20% - Cor6 4" xfId="89" xr:uid="{3F8D8E92-5EC9-4B99-9101-742668E26C7E}"/>
    <cellStyle name="40% - Cor1" xfId="19" builtinId="31" customBuiltin="1"/>
    <cellStyle name="40% - Cor1 2" xfId="50" xr:uid="{8AFA9211-F63C-442E-A44D-4E7FC37DF752}"/>
    <cellStyle name="40% - Cor1 3" xfId="70" xr:uid="{2EC81D86-9198-42AB-AD78-304A1F7102B5}"/>
    <cellStyle name="40% - Cor1 4" xfId="90" xr:uid="{02A26ECD-7B40-4AAD-9D31-499F45512428}"/>
    <cellStyle name="40% - Cor2" xfId="23" builtinId="35" customBuiltin="1"/>
    <cellStyle name="40% - Cor2 2" xfId="51" xr:uid="{B1C89A42-4E35-4CFB-B58F-B026E7336F88}"/>
    <cellStyle name="40% - Cor2 3" xfId="71" xr:uid="{2ECDBB30-DCA3-4744-86A7-942C738F7B15}"/>
    <cellStyle name="40% - Cor2 4" xfId="91" xr:uid="{6F3855DA-00E1-4BCC-BE68-8103C3945C34}"/>
    <cellStyle name="40% - Cor3" xfId="27" builtinId="39" customBuiltin="1"/>
    <cellStyle name="40% - Cor3 2" xfId="52" xr:uid="{8B6A9729-0F8D-4DF7-AA57-65A5C0568B33}"/>
    <cellStyle name="40% - Cor3 3" xfId="72" xr:uid="{ACBC298D-9401-48AC-95F2-260D629DC0EF}"/>
    <cellStyle name="40% - Cor3 4" xfId="92" xr:uid="{12C6C168-EC6C-4468-B182-57E981C55676}"/>
    <cellStyle name="40% - Cor4" xfId="31" builtinId="43" customBuiltin="1"/>
    <cellStyle name="40% - Cor4 2" xfId="53" xr:uid="{A0763C18-6FED-428D-8F2A-CABD859F1742}"/>
    <cellStyle name="40% - Cor4 3" xfId="73" xr:uid="{FFB94086-EF02-479F-88EB-D0EC44B2661A}"/>
    <cellStyle name="40% - Cor4 4" xfId="93" xr:uid="{60DF1836-75D2-4C7C-9C86-D82AD2ED20DB}"/>
    <cellStyle name="40% - Cor5" xfId="35" builtinId="47" customBuiltin="1"/>
    <cellStyle name="40% - Cor5 2" xfId="54" xr:uid="{D7BE0C5C-7C43-4F77-AE4B-394BCAB2FC3C}"/>
    <cellStyle name="40% - Cor5 3" xfId="74" xr:uid="{723AD209-5C57-493D-B560-17844E3B0B33}"/>
    <cellStyle name="40% - Cor5 4" xfId="94" xr:uid="{4B930228-64C8-4AA6-BF4F-1D3BD3F3B548}"/>
    <cellStyle name="40% - Cor6" xfId="39" builtinId="51" customBuiltin="1"/>
    <cellStyle name="40% - Cor6 2" xfId="55" xr:uid="{2BF4CBF2-1CC6-438D-A3ED-6A5F56F3253C}"/>
    <cellStyle name="40% - Cor6 3" xfId="75" xr:uid="{401F21FC-4195-48EC-9AD9-13EA2C3C9B80}"/>
    <cellStyle name="40% - Cor6 4" xfId="95" xr:uid="{A119967E-E94E-4955-B9A4-F1D0583D3409}"/>
    <cellStyle name="60% - Cor1" xfId="20" builtinId="32" customBuiltin="1"/>
    <cellStyle name="60% - Cor1 2" xfId="56" xr:uid="{C636C8F8-576F-40D8-AFF5-4977E2E2C13D}"/>
    <cellStyle name="60% - Cor1 3" xfId="76" xr:uid="{3B647A52-EB6C-4922-A63A-E2DA0EC4F31B}"/>
    <cellStyle name="60% - Cor1 4" xfId="96" xr:uid="{053A51C8-8FCB-47C0-A89E-71B78DE40F10}"/>
    <cellStyle name="60% - Cor2" xfId="24" builtinId="36" customBuiltin="1"/>
    <cellStyle name="60% - Cor2 2" xfId="57" xr:uid="{B34E2AD2-DBC8-4A8F-8C24-1941B7DBF66A}"/>
    <cellStyle name="60% - Cor2 3" xfId="77" xr:uid="{BB419531-63E6-41FA-8783-5D11F1CC4140}"/>
    <cellStyle name="60% - Cor2 4" xfId="97" xr:uid="{A31022E9-023A-4B33-B048-3D13FE0F402C}"/>
    <cellStyle name="60% - Cor3" xfId="28" builtinId="40" customBuiltin="1"/>
    <cellStyle name="60% - Cor3 2" xfId="58" xr:uid="{779236A1-F935-4690-8F71-090405031367}"/>
    <cellStyle name="60% - Cor3 3" xfId="78" xr:uid="{3E64FC72-B724-4959-8CC8-E344CAF13119}"/>
    <cellStyle name="60% - Cor3 4" xfId="98" xr:uid="{4AB537F4-E36E-4442-961B-1ED3AB71E24D}"/>
    <cellStyle name="60% - Cor4" xfId="32" builtinId="44" customBuiltin="1"/>
    <cellStyle name="60% - Cor4 2" xfId="59" xr:uid="{7B0B0F73-C6BB-4D59-A58A-BAFDBB999DC8}"/>
    <cellStyle name="60% - Cor4 3" xfId="79" xr:uid="{7A06607E-A827-4EDF-9E01-313670687C98}"/>
    <cellStyle name="60% - Cor4 4" xfId="99" xr:uid="{7789F834-B309-4CD6-8AF1-694918CBCFC6}"/>
    <cellStyle name="60% - Cor5" xfId="36" builtinId="48" customBuiltin="1"/>
    <cellStyle name="60% - Cor5 2" xfId="60" xr:uid="{2BCC25BB-AD8C-48F8-829A-93EF9522F5AA}"/>
    <cellStyle name="60% - Cor5 3" xfId="80" xr:uid="{F320E41F-B5CC-434D-9983-A63D20D7039F}"/>
    <cellStyle name="60% - Cor5 4" xfId="100" xr:uid="{A576657C-7B90-434E-8B0D-53F249F0DE08}"/>
    <cellStyle name="60% - Cor6" xfId="40" builtinId="52" customBuiltin="1"/>
    <cellStyle name="60% - Cor6 2" xfId="61" xr:uid="{E5643370-BF22-4B48-97CC-0D656751AD68}"/>
    <cellStyle name="60% - Cor6 3" xfId="81" xr:uid="{BD351B58-D0FE-468C-8EDA-3112AD6CA131}"/>
    <cellStyle name="60% - Cor6 4" xfId="101" xr:uid="{24C19357-E9CB-43C5-BDB5-A4DF2136A878}"/>
    <cellStyle name="Cabeçalho 1" xfId="2" builtinId="16" customBuiltin="1"/>
    <cellStyle name="Cabeçalho 2" xfId="3" builtinId="17" customBuiltin="1"/>
    <cellStyle name="Cabeçalho 3" xfId="4" builtinId="18" customBuiltin="1"/>
    <cellStyle name="Cabeçalho 4" xfId="5" builtinId="19" customBuiltin="1"/>
    <cellStyle name="Cálculo" xfId="11" builtinId="22" customBuiltin="1"/>
    <cellStyle name="Célula Ligada" xfId="12" builtinId="24" customBuiltin="1"/>
    <cellStyle name="Cor1" xfId="17" builtinId="29" customBuiltin="1"/>
    <cellStyle name="Cor2" xfId="21" builtinId="33" customBuiltin="1"/>
    <cellStyle name="Cor3" xfId="25" builtinId="37" customBuiltin="1"/>
    <cellStyle name="Cor4" xfId="29" builtinId="41" customBuiltin="1"/>
    <cellStyle name="Cor5" xfId="33" builtinId="45" customBuiltin="1"/>
    <cellStyle name="Cor6" xfId="37" builtinId="49" customBuiltin="1"/>
    <cellStyle name="Correto" xfId="6" builtinId="26" customBuiltin="1"/>
    <cellStyle name="Entrada" xfId="9" builtinId="20" customBuiltin="1"/>
    <cellStyle name="Incorreto" xfId="7" builtinId="27" customBuiltin="1"/>
    <cellStyle name="Neutro" xfId="8" builtinId="28" customBuiltin="1"/>
    <cellStyle name="Normal" xfId="0" builtinId="0"/>
    <cellStyle name="Normal 2" xfId="41" xr:uid="{6228663C-60E3-433C-A658-ACED511CE94B}"/>
    <cellStyle name="Normal 3" xfId="43" xr:uid="{59A7DEA8-52F8-41BD-84D7-200E0005D7D7}"/>
    <cellStyle name="Normal 4" xfId="63" xr:uid="{B9DF537D-DFD6-4786-A66B-EF1229DB3E2C}"/>
    <cellStyle name="Normal 5" xfId="83" xr:uid="{AD397FBF-6593-46ED-BF7A-D1745B066FAC}"/>
    <cellStyle name="Nota 2" xfId="42" xr:uid="{B10ED945-6AC2-457D-9920-F6FD2C78ABDB}"/>
    <cellStyle name="Nota 3" xfId="62" xr:uid="{AE69EB27-59CB-4130-B3F3-88980003F244}"/>
    <cellStyle name="Nota 4" xfId="82" xr:uid="{888F1F64-0C42-4574-873D-9DC10170ADA3}"/>
    <cellStyle name="Nota 5" xfId="102" xr:uid="{BFB67193-521D-4FDC-9D2D-5DA1FF48466D}"/>
    <cellStyle name="Saída" xfId="10" builtinId="21" customBuiltin="1"/>
    <cellStyle name="Texto de Aviso" xfId="14" builtinId="11" customBuiltin="1"/>
    <cellStyle name="Texto Explicativo" xfId="15" builtinId="53" customBuiltin="1"/>
    <cellStyle name="Título" xfId="1" builtinId="15" customBuiltin="1"/>
    <cellStyle name="Total" xfId="16" builtinId="25" customBuiltin="1"/>
    <cellStyle name="Verificar Célula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529"/>
  <sheetViews>
    <sheetView tabSelected="1" workbookViewId="0">
      <pane ySplit="1" topLeftCell="A716" activePane="bottomLeft" state="frozen"/>
      <selection pane="bottomLeft" activeCell="D716" sqref="D715:D716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28.85546875" style="2" bestFit="1" customWidth="1"/>
    <col min="4" max="4" width="74.42578125" style="2" customWidth="1"/>
    <col min="5" max="5" width="23.5703125" style="2" customWidth="1"/>
    <col min="6" max="6" width="19.7109375" style="2" customWidth="1"/>
    <col min="7" max="7" width="9.28515625" style="2" customWidth="1"/>
    <col min="8" max="8" width="11.140625" style="2" customWidth="1"/>
    <col min="9" max="9" width="11.85546875" style="2" customWidth="1"/>
    <col min="10" max="10" width="18.28515625" style="2" customWidth="1"/>
    <col min="11" max="11" width="9" style="2" customWidth="1"/>
    <col min="12" max="12" width="15.7109375" style="2" customWidth="1"/>
    <col min="13" max="13" width="15.140625" style="2" customWidth="1"/>
    <col min="14" max="14" width="3.140625" style="2" customWidth="1"/>
    <col min="15" max="15" width="17" style="2" customWidth="1"/>
    <col min="16" max="16" width="20.42578125" style="2" customWidth="1"/>
    <col min="17" max="17" width="17.5703125" style="6" customWidth="1"/>
    <col min="18" max="18" width="52.5703125" style="2" customWidth="1"/>
    <col min="19" max="19" width="15.28515625" style="8" bestFit="1" customWidth="1"/>
    <col min="20" max="20" width="17.7109375" style="2" bestFit="1" customWidth="1"/>
    <col min="21" max="21" width="9.28515625" style="2" customWidth="1"/>
    <col min="22" max="22" width="12.140625" style="2" customWidth="1"/>
    <col min="23" max="23" width="8.7109375" style="2" customWidth="1"/>
    <col min="24" max="24" width="20" style="5" customWidth="1"/>
    <col min="25" max="25" width="14.140625" style="2" bestFit="1" customWidth="1"/>
    <col min="26" max="26" width="14.85546875" style="2" customWidth="1"/>
    <col min="27" max="27" width="24.140625" style="2" customWidth="1"/>
    <col min="28" max="28" width="20.140625" style="2" customWidth="1"/>
    <col min="29" max="29" width="16" style="2" bestFit="1" customWidth="1"/>
    <col min="30" max="30" width="10.85546875" style="2" customWidth="1"/>
    <col min="31" max="31" width="9.5703125" style="2" customWidth="1"/>
    <col min="32" max="32" width="6" style="2" customWidth="1"/>
    <col min="33" max="33" width="8.85546875" style="2" customWidth="1"/>
    <col min="34" max="34" width="9.28515625" style="2" customWidth="1"/>
    <col min="35" max="35" width="17.42578125" style="5" customWidth="1"/>
    <col min="36" max="36" width="15.85546875" style="2" customWidth="1"/>
    <col min="37" max="37" width="8.5703125" style="2" customWidth="1"/>
    <col min="38" max="38" width="15.85546875" style="5" customWidth="1"/>
    <col min="39" max="16384" width="9.140625" style="2"/>
  </cols>
  <sheetData>
    <row r="1" spans="1:38" x14ac:dyDescent="0.2">
      <c r="A1" s="1" t="s">
        <v>0</v>
      </c>
      <c r="B1" s="1" t="s">
        <v>1</v>
      </c>
      <c r="C1" s="1" t="s">
        <v>3293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3" t="s">
        <v>15</v>
      </c>
      <c r="R1" s="1" t="s">
        <v>16</v>
      </c>
      <c r="S1" s="1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4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4" t="s">
        <v>33</v>
      </c>
      <c r="AJ1" s="1" t="s">
        <v>34</v>
      </c>
      <c r="AK1" s="1" t="s">
        <v>35</v>
      </c>
      <c r="AL1" s="4" t="s">
        <v>36</v>
      </c>
    </row>
    <row r="2" spans="1:38" x14ac:dyDescent="0.2">
      <c r="A2" s="2">
        <v>2025</v>
      </c>
      <c r="B2" s="2">
        <v>1</v>
      </c>
      <c r="D2" s="2" t="s">
        <v>37</v>
      </c>
      <c r="E2" s="2" t="s">
        <v>38</v>
      </c>
      <c r="F2" s="2" t="s">
        <v>39</v>
      </c>
      <c r="H2" s="2" t="s">
        <v>40</v>
      </c>
      <c r="L2" s="2" t="s">
        <v>3270</v>
      </c>
      <c r="M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>
        <v>1</v>
      </c>
      <c r="T2" s="2">
        <v>25.2</v>
      </c>
      <c r="U2" s="2">
        <v>5.7960000000000003</v>
      </c>
      <c r="V2" s="2">
        <v>30.995999999999999</v>
      </c>
      <c r="W2" s="2">
        <v>14.535</v>
      </c>
      <c r="X2" s="5">
        <f t="shared" ref="X2:X25" si="0">(T2-W2)/T2</f>
        <v>0.42321428571428571</v>
      </c>
      <c r="Z2" s="2" t="s">
        <v>3227</v>
      </c>
      <c r="AA2" s="2" t="s">
        <v>46</v>
      </c>
      <c r="AB2" s="2" t="s">
        <v>47</v>
      </c>
      <c r="AC2" s="2" t="s">
        <v>57</v>
      </c>
      <c r="AF2" s="2">
        <f t="shared" ref="AF2:AF65" si="1">AJ2</f>
        <v>0</v>
      </c>
      <c r="AG2" s="2">
        <v>14.535</v>
      </c>
      <c r="AH2" s="2">
        <v>25.2</v>
      </c>
      <c r="AI2" s="5">
        <v>0</v>
      </c>
      <c r="AJ2" s="2">
        <f t="shared" ref="AJ2:AJ65" si="2">AI2*T2</f>
        <v>0</v>
      </c>
      <c r="AK2" s="2">
        <f t="shared" ref="AK2:AK27" si="3">T2-W2</f>
        <v>10.664999999999999</v>
      </c>
      <c r="AL2" s="5">
        <f t="shared" ref="AL2:AL27" si="4">(T2-W2)/T2</f>
        <v>0.42321428571428571</v>
      </c>
    </row>
    <row r="3" spans="1:38" x14ac:dyDescent="0.2">
      <c r="A3" s="2">
        <v>2025</v>
      </c>
      <c r="B3" s="2">
        <v>1</v>
      </c>
      <c r="D3" s="2" t="s">
        <v>37</v>
      </c>
      <c r="E3" s="2" t="s">
        <v>38</v>
      </c>
      <c r="F3" s="2" t="s">
        <v>39</v>
      </c>
      <c r="H3" s="2" t="s">
        <v>40</v>
      </c>
      <c r="P3" s="2" t="s">
        <v>43</v>
      </c>
      <c r="Q3" s="2" t="s">
        <v>48</v>
      </c>
      <c r="R3" s="2" t="s">
        <v>49</v>
      </c>
      <c r="S3" s="2">
        <v>6</v>
      </c>
      <c r="T3" s="2">
        <v>67</v>
      </c>
      <c r="U3" s="2">
        <v>15.41</v>
      </c>
      <c r="V3" s="2">
        <v>82.41</v>
      </c>
      <c r="W3" s="2">
        <f>6.6267*S3</f>
        <v>39.760199999999998</v>
      </c>
      <c r="X3" s="5">
        <f t="shared" si="0"/>
        <v>0.40656417910447767</v>
      </c>
      <c r="Z3" s="2" t="s">
        <v>3227</v>
      </c>
      <c r="AA3" s="2" t="s">
        <v>46</v>
      </c>
      <c r="AB3" s="2" t="s">
        <v>47</v>
      </c>
      <c r="AC3" s="2" t="s">
        <v>57</v>
      </c>
      <c r="AF3" s="2">
        <f t="shared" si="1"/>
        <v>0</v>
      </c>
      <c r="AG3" s="2">
        <v>6.6266999999999996</v>
      </c>
      <c r="AH3" s="2">
        <v>12</v>
      </c>
      <c r="AJ3" s="2">
        <f t="shared" si="2"/>
        <v>0</v>
      </c>
      <c r="AK3" s="2">
        <f t="shared" si="3"/>
        <v>27.239800000000002</v>
      </c>
      <c r="AL3" s="5">
        <f t="shared" si="4"/>
        <v>0.40656417910447767</v>
      </c>
    </row>
    <row r="4" spans="1:38" x14ac:dyDescent="0.2">
      <c r="A4" s="2">
        <v>2025</v>
      </c>
      <c r="B4" s="2">
        <v>1</v>
      </c>
      <c r="D4" s="2" t="s">
        <v>37</v>
      </c>
      <c r="E4" s="2" t="s">
        <v>38</v>
      </c>
      <c r="F4" s="2" t="s">
        <v>39</v>
      </c>
      <c r="H4" s="2" t="s">
        <v>40</v>
      </c>
      <c r="P4" s="2" t="s">
        <v>43</v>
      </c>
      <c r="Q4" s="2" t="s">
        <v>50</v>
      </c>
      <c r="R4" s="2" t="s">
        <v>51</v>
      </c>
      <c r="S4" s="2">
        <v>1</v>
      </c>
      <c r="T4" s="2">
        <v>15.96</v>
      </c>
      <c r="U4" s="2">
        <v>3.6707999999999998</v>
      </c>
      <c r="V4" s="2">
        <v>19.630800000000001</v>
      </c>
      <c r="W4" s="2">
        <f>14.4*S4</f>
        <v>14.4</v>
      </c>
      <c r="X4" s="5">
        <f t="shared" si="0"/>
        <v>9.7744360902255661E-2</v>
      </c>
      <c r="Z4" s="2" t="s">
        <v>3227</v>
      </c>
      <c r="AA4" s="2" t="s">
        <v>46</v>
      </c>
      <c r="AB4" s="2" t="s">
        <v>47</v>
      </c>
      <c r="AC4" s="2" t="s">
        <v>57</v>
      </c>
      <c r="AF4" s="2">
        <f t="shared" si="1"/>
        <v>0</v>
      </c>
      <c r="AG4" s="2">
        <v>10.2346</v>
      </c>
      <c r="AH4" s="2">
        <v>18</v>
      </c>
      <c r="AJ4" s="2">
        <f t="shared" si="2"/>
        <v>0</v>
      </c>
      <c r="AK4" s="2">
        <f t="shared" si="3"/>
        <v>1.5600000000000005</v>
      </c>
      <c r="AL4" s="5">
        <f t="shared" si="4"/>
        <v>9.7744360902255661E-2</v>
      </c>
    </row>
    <row r="5" spans="1:38" x14ac:dyDescent="0.2">
      <c r="A5" s="2">
        <v>2025</v>
      </c>
      <c r="B5" s="2">
        <v>1</v>
      </c>
      <c r="D5" s="2" t="s">
        <v>37</v>
      </c>
      <c r="E5" s="2" t="s">
        <v>38</v>
      </c>
      <c r="F5" s="2" t="s">
        <v>39</v>
      </c>
      <c r="H5" s="2" t="s">
        <v>40</v>
      </c>
      <c r="P5" s="2" t="s">
        <v>43</v>
      </c>
      <c r="Q5" s="2" t="s">
        <v>52</v>
      </c>
      <c r="R5" s="2" t="s">
        <v>53</v>
      </c>
      <c r="S5" s="2">
        <v>1</v>
      </c>
      <c r="T5" s="2">
        <v>9.1199999999999992</v>
      </c>
      <c r="U5" s="2">
        <v>2.0975999999999999</v>
      </c>
      <c r="V5" s="2">
        <v>11.217599999999999</v>
      </c>
      <c r="W5" s="2">
        <f>5.2973*S5</f>
        <v>5.2972999999999999</v>
      </c>
      <c r="X5" s="5">
        <f t="shared" si="0"/>
        <v>0.41915570175438593</v>
      </c>
      <c r="Z5" s="2" t="s">
        <v>3227</v>
      </c>
      <c r="AA5" s="2" t="s">
        <v>46</v>
      </c>
      <c r="AB5" s="2" t="s">
        <v>47</v>
      </c>
      <c r="AC5" s="2" t="s">
        <v>57</v>
      </c>
      <c r="AF5" s="2">
        <f t="shared" si="1"/>
        <v>0</v>
      </c>
      <c r="AG5" s="2">
        <v>5.2972999999999999</v>
      </c>
      <c r="AH5" s="2">
        <v>10.8</v>
      </c>
      <c r="AJ5" s="2">
        <f t="shared" si="2"/>
        <v>0</v>
      </c>
      <c r="AK5" s="2">
        <f t="shared" si="3"/>
        <v>3.8226999999999993</v>
      </c>
      <c r="AL5" s="5">
        <f t="shared" si="4"/>
        <v>0.41915570175438593</v>
      </c>
    </row>
    <row r="6" spans="1:38" x14ac:dyDescent="0.2">
      <c r="A6" s="2">
        <v>2025</v>
      </c>
      <c r="B6" s="2">
        <v>1</v>
      </c>
      <c r="D6" s="2" t="s">
        <v>37</v>
      </c>
      <c r="E6" s="2" t="s">
        <v>38</v>
      </c>
      <c r="F6" s="2" t="s">
        <v>39</v>
      </c>
      <c r="H6" s="2" t="s">
        <v>40</v>
      </c>
      <c r="P6" s="2" t="s">
        <v>43</v>
      </c>
      <c r="Q6" s="2" t="s">
        <v>54</v>
      </c>
      <c r="R6" s="2" t="s">
        <v>55</v>
      </c>
      <c r="S6" s="2">
        <v>18</v>
      </c>
      <c r="T6" s="2">
        <v>296</v>
      </c>
      <c r="U6" s="2">
        <v>68.08</v>
      </c>
      <c r="V6" s="2">
        <v>364.08</v>
      </c>
      <c r="W6" s="2">
        <f>10.6*S6</f>
        <v>190.79999999999998</v>
      </c>
      <c r="X6" s="5">
        <f t="shared" si="0"/>
        <v>0.35540540540540544</v>
      </c>
      <c r="Z6" s="2" t="s">
        <v>3227</v>
      </c>
      <c r="AA6" s="2" t="s">
        <v>46</v>
      </c>
      <c r="AB6" s="2" t="s">
        <v>56</v>
      </c>
      <c r="AC6" s="2" t="s">
        <v>57</v>
      </c>
      <c r="AF6" s="2">
        <f t="shared" si="1"/>
        <v>0</v>
      </c>
      <c r="AG6" s="2">
        <v>10.6</v>
      </c>
      <c r="AH6" s="2">
        <v>18</v>
      </c>
      <c r="AJ6" s="2">
        <f t="shared" si="2"/>
        <v>0</v>
      </c>
      <c r="AK6" s="2">
        <f t="shared" si="3"/>
        <v>105.20000000000002</v>
      </c>
      <c r="AL6" s="5">
        <f t="shared" si="4"/>
        <v>0.35540540540540544</v>
      </c>
    </row>
    <row r="7" spans="1:38" x14ac:dyDescent="0.2">
      <c r="A7" s="2">
        <v>2025</v>
      </c>
      <c r="B7" s="2">
        <v>1</v>
      </c>
      <c r="D7" s="2" t="s">
        <v>37</v>
      </c>
      <c r="E7" s="2" t="s">
        <v>38</v>
      </c>
      <c r="F7" s="2" t="s">
        <v>39</v>
      </c>
      <c r="H7" s="2" t="s">
        <v>40</v>
      </c>
      <c r="P7" s="2" t="s">
        <v>43</v>
      </c>
      <c r="Q7" s="2" t="s">
        <v>58</v>
      </c>
      <c r="R7" s="2" t="s">
        <v>59</v>
      </c>
      <c r="S7" s="2">
        <v>100</v>
      </c>
      <c r="T7" s="2">
        <v>13</v>
      </c>
      <c r="U7" s="2">
        <v>2.99</v>
      </c>
      <c r="V7" s="2">
        <v>15.99</v>
      </c>
      <c r="W7" s="2">
        <f>0.0914*S7</f>
        <v>9.1399999999999988</v>
      </c>
      <c r="X7" s="5">
        <f t="shared" si="0"/>
        <v>0.29692307692307701</v>
      </c>
      <c r="Z7" s="2" t="s">
        <v>3227</v>
      </c>
      <c r="AA7" s="2" t="s">
        <v>46</v>
      </c>
      <c r="AB7" s="2" t="s">
        <v>60</v>
      </c>
      <c r="AC7" s="2" t="s">
        <v>57</v>
      </c>
      <c r="AF7" s="2">
        <f t="shared" si="1"/>
        <v>0</v>
      </c>
      <c r="AG7" s="2">
        <v>9.14</v>
      </c>
      <c r="AH7" s="2">
        <v>16</v>
      </c>
      <c r="AJ7" s="2">
        <f t="shared" si="2"/>
        <v>0</v>
      </c>
      <c r="AK7" s="2">
        <f t="shared" si="3"/>
        <v>3.8600000000000012</v>
      </c>
      <c r="AL7" s="5">
        <f t="shared" si="4"/>
        <v>0.29692307692307701</v>
      </c>
    </row>
    <row r="8" spans="1:38" x14ac:dyDescent="0.2">
      <c r="A8" s="2">
        <v>2025</v>
      </c>
      <c r="B8" s="2">
        <v>1</v>
      </c>
      <c r="D8" s="2" t="s">
        <v>37</v>
      </c>
      <c r="E8" s="2" t="s">
        <v>38</v>
      </c>
      <c r="F8" s="2" t="s">
        <v>39</v>
      </c>
      <c r="H8" s="2" t="s">
        <v>40</v>
      </c>
      <c r="P8" s="2" t="s">
        <v>43</v>
      </c>
      <c r="Q8" s="2" t="s">
        <v>61</v>
      </c>
      <c r="R8" s="2" t="s">
        <v>62</v>
      </c>
      <c r="S8" s="2">
        <v>3300</v>
      </c>
      <c r="T8" s="2">
        <v>369</v>
      </c>
      <c r="U8" s="2">
        <v>84.87</v>
      </c>
      <c r="V8" s="2">
        <v>453.87</v>
      </c>
      <c r="W8" s="2">
        <f>0.082*S8</f>
        <v>270.60000000000002</v>
      </c>
      <c r="X8" s="5">
        <f t="shared" si="0"/>
        <v>0.26666666666666661</v>
      </c>
      <c r="Z8" s="2" t="s">
        <v>3227</v>
      </c>
      <c r="AA8" s="2" t="s">
        <v>46</v>
      </c>
      <c r="AB8" s="2" t="s">
        <v>60</v>
      </c>
      <c r="AC8" s="2" t="s">
        <v>57</v>
      </c>
      <c r="AF8" s="2">
        <f t="shared" si="1"/>
        <v>0</v>
      </c>
      <c r="AG8" s="2">
        <v>8.1999999999999993</v>
      </c>
      <c r="AH8" s="2">
        <v>13</v>
      </c>
      <c r="AJ8" s="2">
        <f t="shared" si="2"/>
        <v>0</v>
      </c>
      <c r="AK8" s="2">
        <f t="shared" si="3"/>
        <v>98.399999999999977</v>
      </c>
      <c r="AL8" s="5">
        <f t="shared" si="4"/>
        <v>0.26666666666666661</v>
      </c>
    </row>
    <row r="9" spans="1:38" x14ac:dyDescent="0.2">
      <c r="A9" s="2">
        <v>2025</v>
      </c>
      <c r="B9" s="2">
        <v>1</v>
      </c>
      <c r="D9" s="2" t="s">
        <v>37</v>
      </c>
      <c r="E9" s="2" t="s">
        <v>38</v>
      </c>
      <c r="F9" s="2" t="s">
        <v>39</v>
      </c>
      <c r="H9" s="2" t="s">
        <v>40</v>
      </c>
      <c r="P9" s="2" t="s">
        <v>43</v>
      </c>
      <c r="Q9" s="2" t="s">
        <v>63</v>
      </c>
      <c r="R9" s="2" t="s">
        <v>64</v>
      </c>
      <c r="S9" s="2">
        <v>20</v>
      </c>
      <c r="T9" s="2">
        <v>36</v>
      </c>
      <c r="U9" s="2">
        <v>8.2800000000000011</v>
      </c>
      <c r="V9" s="2">
        <v>44.28</v>
      </c>
      <c r="W9" s="2">
        <f>0.8561*S9</f>
        <v>17.122</v>
      </c>
      <c r="X9" s="5">
        <f t="shared" si="0"/>
        <v>0.5243888888888889</v>
      </c>
      <c r="Z9" s="2" t="s">
        <v>3227</v>
      </c>
      <c r="AA9" s="2" t="s">
        <v>46</v>
      </c>
      <c r="AB9" s="2" t="s">
        <v>60</v>
      </c>
      <c r="AC9" s="2" t="s">
        <v>57</v>
      </c>
      <c r="AF9" s="2">
        <f t="shared" si="1"/>
        <v>0</v>
      </c>
      <c r="AG9" s="2">
        <v>0.85609999999999997</v>
      </c>
      <c r="AH9" s="2">
        <v>1.8</v>
      </c>
      <c r="AJ9" s="2">
        <f t="shared" si="2"/>
        <v>0</v>
      </c>
      <c r="AK9" s="2">
        <f t="shared" si="3"/>
        <v>18.878</v>
      </c>
      <c r="AL9" s="5">
        <f t="shared" si="4"/>
        <v>0.5243888888888889</v>
      </c>
    </row>
    <row r="10" spans="1:38" x14ac:dyDescent="0.2">
      <c r="A10" s="2">
        <v>2025</v>
      </c>
      <c r="B10" s="2">
        <v>1</v>
      </c>
      <c r="D10" s="2" t="s">
        <v>37</v>
      </c>
      <c r="E10" s="2" t="s">
        <v>38</v>
      </c>
      <c r="F10" s="2" t="s">
        <v>39</v>
      </c>
      <c r="H10" s="2" t="s">
        <v>40</v>
      </c>
      <c r="P10" s="2" t="s">
        <v>43</v>
      </c>
      <c r="Q10" s="2" t="s">
        <v>65</v>
      </c>
      <c r="R10" s="2" t="s">
        <v>66</v>
      </c>
      <c r="S10" s="2">
        <v>1</v>
      </c>
      <c r="T10" s="2">
        <v>23</v>
      </c>
      <c r="U10" s="2">
        <v>5.29</v>
      </c>
      <c r="V10" s="2">
        <v>28.29</v>
      </c>
      <c r="W10" s="2">
        <f>15.0203*S10</f>
        <v>15.020300000000001</v>
      </c>
      <c r="X10" s="5">
        <f t="shared" si="0"/>
        <v>0.34694347826086952</v>
      </c>
      <c r="Z10" s="2" t="s">
        <v>3227</v>
      </c>
      <c r="AA10" s="2" t="s">
        <v>46</v>
      </c>
      <c r="AB10" s="2" t="s">
        <v>67</v>
      </c>
      <c r="AC10" s="2" t="s">
        <v>57</v>
      </c>
      <c r="AF10" s="2">
        <f t="shared" si="1"/>
        <v>0</v>
      </c>
      <c r="AG10" s="2">
        <v>15.020300000000001</v>
      </c>
      <c r="AH10" s="2">
        <v>27.6</v>
      </c>
      <c r="AJ10" s="2">
        <f t="shared" si="2"/>
        <v>0</v>
      </c>
      <c r="AK10" s="2">
        <f t="shared" si="3"/>
        <v>7.9796999999999993</v>
      </c>
      <c r="AL10" s="5">
        <f t="shared" si="4"/>
        <v>0.34694347826086952</v>
      </c>
    </row>
    <row r="11" spans="1:38" x14ac:dyDescent="0.2">
      <c r="A11" s="2">
        <v>2025</v>
      </c>
      <c r="B11" s="2">
        <v>1</v>
      </c>
      <c r="D11" s="2" t="s">
        <v>37</v>
      </c>
      <c r="E11" s="2" t="s">
        <v>38</v>
      </c>
      <c r="F11" s="2" t="s">
        <v>39</v>
      </c>
      <c r="H11" s="2" t="s">
        <v>40</v>
      </c>
      <c r="P11" s="2" t="s">
        <v>68</v>
      </c>
      <c r="Q11" s="2" t="s">
        <v>69</v>
      </c>
      <c r="R11" s="2" t="s">
        <v>70</v>
      </c>
      <c r="S11" s="2">
        <v>2</v>
      </c>
      <c r="T11" s="2">
        <v>13.68</v>
      </c>
      <c r="U11" s="2">
        <v>3.1463999999999999</v>
      </c>
      <c r="V11" s="2">
        <v>16.8264</v>
      </c>
      <c r="W11" s="2">
        <f>5.472*S11</f>
        <v>10.944000000000001</v>
      </c>
      <c r="X11" s="5">
        <f t="shared" si="0"/>
        <v>0.19999999999999993</v>
      </c>
      <c r="Z11" s="2" t="s">
        <v>3227</v>
      </c>
      <c r="AA11" s="2" t="s">
        <v>71</v>
      </c>
      <c r="AB11" s="2" t="s">
        <v>68</v>
      </c>
      <c r="AC11" s="2" t="s">
        <v>3231</v>
      </c>
      <c r="AF11" s="2">
        <f t="shared" si="1"/>
        <v>0</v>
      </c>
      <c r="AG11" s="2">
        <v>5.4720000000000004</v>
      </c>
      <c r="AJ11" s="2">
        <f t="shared" si="2"/>
        <v>0</v>
      </c>
      <c r="AK11" s="2">
        <f t="shared" si="3"/>
        <v>2.7359999999999989</v>
      </c>
      <c r="AL11" s="5">
        <f t="shared" si="4"/>
        <v>0.19999999999999993</v>
      </c>
    </row>
    <row r="12" spans="1:38" x14ac:dyDescent="0.2">
      <c r="A12" s="2">
        <v>2025</v>
      </c>
      <c r="B12" s="2">
        <v>1</v>
      </c>
      <c r="D12" s="2" t="s">
        <v>37</v>
      </c>
      <c r="E12" s="2" t="s">
        <v>38</v>
      </c>
      <c r="F12" s="2" t="s">
        <v>39</v>
      </c>
      <c r="H12" s="2" t="s">
        <v>40</v>
      </c>
      <c r="P12" s="2" t="s">
        <v>72</v>
      </c>
      <c r="Q12" s="2" t="s">
        <v>73</v>
      </c>
      <c r="R12" s="2" t="s">
        <v>74</v>
      </c>
      <c r="S12" s="2">
        <v>2</v>
      </c>
      <c r="T12" s="2">
        <v>419.7</v>
      </c>
      <c r="U12" s="2">
        <v>96.531000000000006</v>
      </c>
      <c r="V12" s="2">
        <v>516.23099999999999</v>
      </c>
      <c r="W12" s="2">
        <v>234.90600000000001</v>
      </c>
      <c r="X12" s="5">
        <f t="shared" si="0"/>
        <v>0.4403002144388849</v>
      </c>
      <c r="Z12" s="2" t="s">
        <v>3227</v>
      </c>
      <c r="AA12" s="2" t="s">
        <v>75</v>
      </c>
      <c r="AB12" s="2" t="s">
        <v>76</v>
      </c>
      <c r="AC12" s="2" t="s">
        <v>77</v>
      </c>
      <c r="AF12" s="2">
        <f t="shared" si="1"/>
        <v>0</v>
      </c>
      <c r="AG12" s="2">
        <v>117.453</v>
      </c>
      <c r="AH12" s="2">
        <v>220</v>
      </c>
      <c r="AJ12" s="2">
        <f t="shared" si="2"/>
        <v>0</v>
      </c>
      <c r="AK12" s="2">
        <f t="shared" si="3"/>
        <v>184.79399999999998</v>
      </c>
      <c r="AL12" s="5">
        <f t="shared" si="4"/>
        <v>0.4403002144388849</v>
      </c>
    </row>
    <row r="13" spans="1:38" x14ac:dyDescent="0.2">
      <c r="A13" s="2">
        <v>2025</v>
      </c>
      <c r="B13" s="2">
        <v>1</v>
      </c>
      <c r="D13" s="2" t="s">
        <v>37</v>
      </c>
      <c r="E13" s="2" t="s">
        <v>38</v>
      </c>
      <c r="F13" s="2" t="s">
        <v>39</v>
      </c>
      <c r="H13" s="2" t="s">
        <v>40</v>
      </c>
      <c r="L13" s="2" t="s">
        <v>3270</v>
      </c>
      <c r="M13" s="2" t="s">
        <v>80</v>
      </c>
      <c r="O13" s="2" t="s">
        <v>3198</v>
      </c>
      <c r="P13" s="2" t="s">
        <v>72</v>
      </c>
      <c r="Q13" s="2" t="s">
        <v>78</v>
      </c>
      <c r="R13" s="2" t="s">
        <v>79</v>
      </c>
      <c r="S13" s="2">
        <v>1</v>
      </c>
      <c r="T13" s="2">
        <v>202</v>
      </c>
      <c r="U13" s="2">
        <v>46.46</v>
      </c>
      <c r="V13" s="2">
        <v>248.46</v>
      </c>
      <c r="W13" s="2">
        <v>111.98</v>
      </c>
      <c r="X13" s="5">
        <f t="shared" si="0"/>
        <v>0.44564356435643565</v>
      </c>
      <c r="Z13" s="2" t="s">
        <v>3227</v>
      </c>
      <c r="AA13" s="2" t="s">
        <v>75</v>
      </c>
      <c r="AB13" s="2" t="s">
        <v>76</v>
      </c>
      <c r="AC13" s="2" t="s">
        <v>77</v>
      </c>
      <c r="AF13" s="2">
        <f t="shared" si="1"/>
        <v>0</v>
      </c>
      <c r="AG13" s="2">
        <v>111.98</v>
      </c>
      <c r="AH13" s="2">
        <v>210</v>
      </c>
      <c r="AJ13" s="2">
        <f t="shared" si="2"/>
        <v>0</v>
      </c>
      <c r="AK13" s="2">
        <f t="shared" si="3"/>
        <v>90.02</v>
      </c>
      <c r="AL13" s="5">
        <f t="shared" si="4"/>
        <v>0.44564356435643565</v>
      </c>
    </row>
    <row r="14" spans="1:38" x14ac:dyDescent="0.2">
      <c r="A14" s="2">
        <v>2025</v>
      </c>
      <c r="B14" s="2">
        <v>1</v>
      </c>
      <c r="D14" s="2" t="s">
        <v>37</v>
      </c>
      <c r="E14" s="2" t="s">
        <v>38</v>
      </c>
      <c r="F14" s="2" t="s">
        <v>39</v>
      </c>
      <c r="H14" s="2" t="s">
        <v>40</v>
      </c>
      <c r="L14" s="2" t="s">
        <v>3270</v>
      </c>
      <c r="M14" s="2" t="s">
        <v>80</v>
      </c>
      <c r="O14" s="2" t="s">
        <v>81</v>
      </c>
      <c r="P14" s="2" t="s">
        <v>72</v>
      </c>
      <c r="Q14" s="2" t="s">
        <v>82</v>
      </c>
      <c r="R14" s="2" t="s">
        <v>83</v>
      </c>
      <c r="S14" s="2">
        <v>1</v>
      </c>
      <c r="T14" s="2">
        <v>226.55</v>
      </c>
      <c r="U14" s="2">
        <v>52.106499999999997</v>
      </c>
      <c r="V14" s="2">
        <v>278.65649999999999</v>
      </c>
      <c r="W14" s="2">
        <v>208.69</v>
      </c>
      <c r="X14" s="5">
        <f t="shared" si="0"/>
        <v>7.8834694327962973E-2</v>
      </c>
      <c r="Z14" s="2" t="s">
        <v>3227</v>
      </c>
      <c r="AA14" s="2" t="s">
        <v>75</v>
      </c>
      <c r="AB14" s="2" t="s">
        <v>76</v>
      </c>
      <c r="AC14" s="2" t="s">
        <v>77</v>
      </c>
      <c r="AF14" s="2">
        <f t="shared" si="1"/>
        <v>0</v>
      </c>
      <c r="AG14" s="2">
        <f>198.32+10.37</f>
        <v>208.69</v>
      </c>
      <c r="AH14" s="2">
        <v>340</v>
      </c>
      <c r="AJ14" s="2">
        <f t="shared" si="2"/>
        <v>0</v>
      </c>
      <c r="AK14" s="2">
        <f t="shared" si="3"/>
        <v>17.860000000000014</v>
      </c>
      <c r="AL14" s="5">
        <f t="shared" si="4"/>
        <v>7.8834694327962973E-2</v>
      </c>
    </row>
    <row r="15" spans="1:38" x14ac:dyDescent="0.2">
      <c r="A15" s="2">
        <v>2025</v>
      </c>
      <c r="B15" s="2">
        <v>1</v>
      </c>
      <c r="D15" s="2" t="s">
        <v>37</v>
      </c>
      <c r="E15" s="2" t="s">
        <v>38</v>
      </c>
      <c r="F15" s="2" t="s">
        <v>39</v>
      </c>
      <c r="H15" s="2" t="s">
        <v>40</v>
      </c>
      <c r="L15" s="2" t="s">
        <v>3270</v>
      </c>
      <c r="M15" s="2" t="s">
        <v>41</v>
      </c>
      <c r="O15" s="2" t="s">
        <v>3146</v>
      </c>
      <c r="P15" s="2" t="s">
        <v>84</v>
      </c>
      <c r="Q15" s="2" t="s">
        <v>85</v>
      </c>
      <c r="R15" s="2" t="s">
        <v>86</v>
      </c>
      <c r="S15" s="2">
        <v>25</v>
      </c>
      <c r="T15" s="2">
        <v>18</v>
      </c>
      <c r="U15" s="2">
        <v>4.1400000000000006</v>
      </c>
      <c r="V15" s="2">
        <v>22.14</v>
      </c>
      <c r="W15" s="2">
        <f>0.3995*S15</f>
        <v>9.9875000000000007</v>
      </c>
      <c r="X15" s="5">
        <f t="shared" si="0"/>
        <v>0.44513888888888886</v>
      </c>
      <c r="Z15" s="2" t="s">
        <v>3227</v>
      </c>
      <c r="AA15" s="2" t="s">
        <v>87</v>
      </c>
      <c r="AB15" s="2" t="s">
        <v>60</v>
      </c>
      <c r="AC15" s="2" t="s">
        <v>84</v>
      </c>
      <c r="AF15" s="2">
        <f t="shared" si="1"/>
        <v>0</v>
      </c>
      <c r="AG15" s="2">
        <f>0.3995</f>
        <v>0.39950000000000002</v>
      </c>
      <c r="AH15" s="2">
        <v>0.72</v>
      </c>
      <c r="AJ15" s="2">
        <f t="shared" si="2"/>
        <v>0</v>
      </c>
      <c r="AK15" s="2">
        <f t="shared" si="3"/>
        <v>8.0124999999999993</v>
      </c>
      <c r="AL15" s="5">
        <f t="shared" si="4"/>
        <v>0.44513888888888886</v>
      </c>
    </row>
    <row r="16" spans="1:38" x14ac:dyDescent="0.2">
      <c r="A16" s="2">
        <v>2025</v>
      </c>
      <c r="B16" s="2">
        <v>1</v>
      </c>
      <c r="D16" s="2" t="s">
        <v>37</v>
      </c>
      <c r="E16" s="2" t="s">
        <v>38</v>
      </c>
      <c r="F16" s="2" t="s">
        <v>39</v>
      </c>
      <c r="H16" s="2" t="s">
        <v>40</v>
      </c>
      <c r="P16" s="2" t="s">
        <v>84</v>
      </c>
      <c r="Q16" s="2" t="s">
        <v>88</v>
      </c>
      <c r="R16" s="2" t="s">
        <v>89</v>
      </c>
      <c r="S16" s="2">
        <v>1</v>
      </c>
      <c r="T16" s="2">
        <v>7.41</v>
      </c>
      <c r="U16" s="2">
        <v>1.7042999999999999</v>
      </c>
      <c r="V16" s="2">
        <v>9.1143000000000001</v>
      </c>
      <c r="W16" s="2">
        <v>3.5966999999999998</v>
      </c>
      <c r="X16" s="5">
        <f t="shared" si="0"/>
        <v>0.5146153846153847</v>
      </c>
      <c r="Z16" s="2" t="s">
        <v>3227</v>
      </c>
      <c r="AA16" s="2" t="s">
        <v>87</v>
      </c>
      <c r="AB16" s="2" t="s">
        <v>90</v>
      </c>
      <c r="AC16" s="2" t="s">
        <v>84</v>
      </c>
      <c r="AF16" s="2">
        <f t="shared" si="1"/>
        <v>0</v>
      </c>
      <c r="AG16" s="2">
        <v>3.5966999999999998</v>
      </c>
      <c r="AH16" s="2">
        <v>7.2</v>
      </c>
      <c r="AJ16" s="2">
        <f t="shared" si="2"/>
        <v>0</v>
      </c>
      <c r="AK16" s="2">
        <f t="shared" si="3"/>
        <v>3.8133000000000004</v>
      </c>
      <c r="AL16" s="5">
        <f t="shared" si="4"/>
        <v>0.5146153846153847</v>
      </c>
    </row>
    <row r="17" spans="1:38" x14ac:dyDescent="0.2">
      <c r="A17" s="2">
        <v>2025</v>
      </c>
      <c r="B17" s="2">
        <v>1</v>
      </c>
      <c r="D17" s="2" t="s">
        <v>37</v>
      </c>
      <c r="E17" s="2" t="s">
        <v>38</v>
      </c>
      <c r="F17" s="2" t="s">
        <v>39</v>
      </c>
      <c r="H17" s="2" t="s">
        <v>40</v>
      </c>
      <c r="P17" s="2" t="s">
        <v>84</v>
      </c>
      <c r="Q17" s="2" t="s">
        <v>91</v>
      </c>
      <c r="R17" s="2" t="s">
        <v>92</v>
      </c>
      <c r="S17" s="2">
        <v>4</v>
      </c>
      <c r="T17" s="2">
        <v>16.8</v>
      </c>
      <c r="U17" s="2">
        <v>3.8639999999999999</v>
      </c>
      <c r="V17" s="2">
        <v>20.664000000000001</v>
      </c>
      <c r="W17" s="2">
        <f>2.475*S17</f>
        <v>9.9</v>
      </c>
      <c r="X17" s="5">
        <f t="shared" si="0"/>
        <v>0.4107142857142857</v>
      </c>
      <c r="Z17" s="2" t="s">
        <v>3227</v>
      </c>
      <c r="AA17" s="2" t="s">
        <v>87</v>
      </c>
      <c r="AB17" s="2" t="s">
        <v>90</v>
      </c>
      <c r="AC17" s="2" t="s">
        <v>84</v>
      </c>
      <c r="AF17" s="2">
        <f t="shared" si="1"/>
        <v>0</v>
      </c>
      <c r="AG17" s="2">
        <v>2.4750000000000001</v>
      </c>
      <c r="AH17" s="2">
        <v>3.6</v>
      </c>
      <c r="AJ17" s="2">
        <f t="shared" si="2"/>
        <v>0</v>
      </c>
      <c r="AK17" s="2">
        <f t="shared" si="3"/>
        <v>6.9</v>
      </c>
      <c r="AL17" s="5">
        <f t="shared" si="4"/>
        <v>0.4107142857142857</v>
      </c>
    </row>
    <row r="18" spans="1:38" x14ac:dyDescent="0.2">
      <c r="A18" s="2">
        <v>2025</v>
      </c>
      <c r="B18" s="2">
        <v>1</v>
      </c>
      <c r="D18" s="2" t="s">
        <v>37</v>
      </c>
      <c r="E18" s="2" t="s">
        <v>38</v>
      </c>
      <c r="F18" s="2" t="s">
        <v>39</v>
      </c>
      <c r="H18" s="2" t="s">
        <v>40</v>
      </c>
      <c r="P18" s="2" t="s">
        <v>93</v>
      </c>
      <c r="Q18" s="2" t="s">
        <v>94</v>
      </c>
      <c r="R18" s="2" t="s">
        <v>95</v>
      </c>
      <c r="S18" s="2">
        <v>4</v>
      </c>
      <c r="T18" s="2">
        <v>4.5599999999999996</v>
      </c>
      <c r="U18" s="2">
        <v>1.0488</v>
      </c>
      <c r="V18" s="2">
        <v>5.6087999999999996</v>
      </c>
      <c r="W18" s="2">
        <v>4.5599999999999996</v>
      </c>
      <c r="X18" s="5">
        <f t="shared" si="0"/>
        <v>0</v>
      </c>
      <c r="Z18" s="2" t="s">
        <v>3227</v>
      </c>
      <c r="AA18" s="2" t="s">
        <v>96</v>
      </c>
      <c r="AB18" s="2" t="s">
        <v>76</v>
      </c>
      <c r="AC18" s="2" t="s">
        <v>93</v>
      </c>
      <c r="AF18" s="2">
        <f t="shared" si="1"/>
        <v>0</v>
      </c>
      <c r="AG18" s="2">
        <v>1.1399999999999999</v>
      </c>
      <c r="AH18" s="2">
        <v>1.1399999999999999</v>
      </c>
      <c r="AJ18" s="2">
        <f t="shared" si="2"/>
        <v>0</v>
      </c>
      <c r="AK18" s="2">
        <f t="shared" si="3"/>
        <v>0</v>
      </c>
      <c r="AL18" s="5">
        <f t="shared" si="4"/>
        <v>0</v>
      </c>
    </row>
    <row r="19" spans="1:38" x14ac:dyDescent="0.2">
      <c r="A19" s="2">
        <v>2025</v>
      </c>
      <c r="B19" s="2">
        <v>1</v>
      </c>
      <c r="D19" s="2" t="s">
        <v>97</v>
      </c>
      <c r="E19" s="2" t="s">
        <v>98</v>
      </c>
      <c r="F19" s="2" t="s">
        <v>39</v>
      </c>
      <c r="G19" s="2">
        <v>517450925</v>
      </c>
      <c r="H19" s="2" t="s">
        <v>40</v>
      </c>
      <c r="I19" s="2" t="s">
        <v>99</v>
      </c>
      <c r="J19" s="2" t="s">
        <v>100</v>
      </c>
      <c r="L19" s="2" t="s">
        <v>99</v>
      </c>
      <c r="M19" s="2" t="s">
        <v>40</v>
      </c>
      <c r="O19" s="2" t="s">
        <v>3172</v>
      </c>
      <c r="P19" s="2" t="s">
        <v>101</v>
      </c>
      <c r="Q19" s="2" t="s">
        <v>102</v>
      </c>
      <c r="R19" s="2" t="s">
        <v>103</v>
      </c>
      <c r="S19" s="2">
        <v>2</v>
      </c>
      <c r="T19" s="2">
        <v>4406</v>
      </c>
      <c r="U19" s="2">
        <v>1013.38</v>
      </c>
      <c r="V19" s="2">
        <v>5419.38</v>
      </c>
      <c r="W19" s="2">
        <f>1985.04*S19</f>
        <v>3970.08</v>
      </c>
      <c r="X19" s="5">
        <f t="shared" si="0"/>
        <v>9.8937812074443951E-2</v>
      </c>
      <c r="Z19" s="2" t="s">
        <v>104</v>
      </c>
      <c r="AA19" s="2" t="s">
        <v>105</v>
      </c>
      <c r="AB19" s="2" t="s">
        <v>106</v>
      </c>
      <c r="AC19" s="2" t="s">
        <v>101</v>
      </c>
      <c r="AF19" s="2">
        <f t="shared" si="1"/>
        <v>0</v>
      </c>
      <c r="AG19" s="2">
        <f>1873.3+111.74</f>
        <v>1985.04</v>
      </c>
      <c r="AJ19" s="2">
        <f t="shared" si="2"/>
        <v>0</v>
      </c>
      <c r="AK19" s="2">
        <f t="shared" si="3"/>
        <v>435.92000000000007</v>
      </c>
      <c r="AL19" s="5">
        <f t="shared" si="4"/>
        <v>9.8937812074443951E-2</v>
      </c>
    </row>
    <row r="20" spans="1:38" x14ac:dyDescent="0.2">
      <c r="A20" s="2">
        <v>2025</v>
      </c>
      <c r="B20" s="2">
        <v>1</v>
      </c>
      <c r="D20" s="2" t="s">
        <v>107</v>
      </c>
      <c r="E20" s="2" t="s">
        <v>108</v>
      </c>
      <c r="F20" s="2" t="s">
        <v>39</v>
      </c>
      <c r="G20" s="2">
        <v>507499760</v>
      </c>
      <c r="H20" s="2" t="s">
        <v>109</v>
      </c>
      <c r="I20" s="2" t="s">
        <v>110</v>
      </c>
      <c r="J20" s="2" t="s">
        <v>111</v>
      </c>
      <c r="K20" s="2">
        <v>962002636</v>
      </c>
      <c r="L20" s="2" t="s">
        <v>112</v>
      </c>
      <c r="M20" s="2" t="s">
        <v>40</v>
      </c>
      <c r="O20" s="2" t="s">
        <v>113</v>
      </c>
      <c r="P20" s="2" t="s">
        <v>114</v>
      </c>
      <c r="Q20" s="2" t="s">
        <v>115</v>
      </c>
      <c r="R20" s="2" t="s">
        <v>116</v>
      </c>
      <c r="S20" s="2">
        <v>1</v>
      </c>
      <c r="T20" s="2">
        <v>7.39</v>
      </c>
      <c r="U20" s="2">
        <v>1.6997</v>
      </c>
      <c r="V20" s="2">
        <v>9.0897000000000006</v>
      </c>
      <c r="W20" s="2">
        <f>3.35</f>
        <v>3.35</v>
      </c>
      <c r="X20" s="5">
        <f t="shared" si="0"/>
        <v>0.54668470906630573</v>
      </c>
      <c r="Z20" s="2" t="s">
        <v>117</v>
      </c>
      <c r="AA20" s="2" t="s">
        <v>118</v>
      </c>
      <c r="AB20" s="2" t="s">
        <v>119</v>
      </c>
      <c r="AC20" s="2" t="s">
        <v>114</v>
      </c>
      <c r="AF20" s="2">
        <f t="shared" si="1"/>
        <v>0</v>
      </c>
      <c r="AG20" s="2">
        <v>3.35</v>
      </c>
      <c r="AJ20" s="2">
        <f t="shared" si="2"/>
        <v>0</v>
      </c>
      <c r="AK20" s="2">
        <f t="shared" si="3"/>
        <v>4.0399999999999991</v>
      </c>
      <c r="AL20" s="5">
        <f t="shared" si="4"/>
        <v>0.54668470906630573</v>
      </c>
    </row>
    <row r="21" spans="1:38" x14ac:dyDescent="0.2">
      <c r="A21" s="2">
        <v>2025</v>
      </c>
      <c r="B21" s="2">
        <v>1</v>
      </c>
      <c r="D21" s="2" t="s">
        <v>107</v>
      </c>
      <c r="E21" s="2" t="s">
        <v>108</v>
      </c>
      <c r="F21" s="2" t="s">
        <v>39</v>
      </c>
      <c r="G21" s="2">
        <v>507499760</v>
      </c>
      <c r="H21" s="2" t="s">
        <v>109</v>
      </c>
      <c r="I21" s="2" t="s">
        <v>110</v>
      </c>
      <c r="J21" s="2" t="s">
        <v>111</v>
      </c>
      <c r="K21" s="2">
        <v>962002636</v>
      </c>
      <c r="L21" s="2" t="s">
        <v>112</v>
      </c>
      <c r="M21" s="2" t="s">
        <v>40</v>
      </c>
      <c r="O21" s="2" t="s">
        <v>113</v>
      </c>
      <c r="P21" s="2" t="s">
        <v>114</v>
      </c>
      <c r="Q21" s="2" t="s">
        <v>120</v>
      </c>
      <c r="R21" s="2" t="s">
        <v>121</v>
      </c>
      <c r="S21" s="2">
        <v>1</v>
      </c>
      <c r="T21" s="2">
        <v>14.69</v>
      </c>
      <c r="U21" s="2">
        <v>3.3786999999999998</v>
      </c>
      <c r="V21" s="2">
        <v>18.0687</v>
      </c>
      <c r="W21" s="2">
        <v>6.66</v>
      </c>
      <c r="X21" s="5">
        <f t="shared" si="0"/>
        <v>0.54663036078965277</v>
      </c>
      <c r="Z21" s="2" t="s">
        <v>117</v>
      </c>
      <c r="AA21" s="2" t="s">
        <v>118</v>
      </c>
      <c r="AB21" s="2" t="s">
        <v>119</v>
      </c>
      <c r="AC21" s="2" t="s">
        <v>114</v>
      </c>
      <c r="AF21" s="2">
        <f t="shared" si="1"/>
        <v>0</v>
      </c>
      <c r="AG21" s="2">
        <v>6.66</v>
      </c>
      <c r="AJ21" s="2">
        <f t="shared" si="2"/>
        <v>0</v>
      </c>
      <c r="AK21" s="2">
        <f t="shared" si="3"/>
        <v>8.0299999999999994</v>
      </c>
      <c r="AL21" s="5">
        <f t="shared" si="4"/>
        <v>0.54663036078965277</v>
      </c>
    </row>
    <row r="22" spans="1:38" x14ac:dyDescent="0.2">
      <c r="A22" s="2">
        <v>2025</v>
      </c>
      <c r="B22" s="2">
        <v>1</v>
      </c>
      <c r="D22" s="2" t="s">
        <v>107</v>
      </c>
      <c r="E22" s="2" t="s">
        <v>108</v>
      </c>
      <c r="F22" s="2" t="s">
        <v>39</v>
      </c>
      <c r="G22" s="2">
        <v>507499760</v>
      </c>
      <c r="H22" s="2" t="s">
        <v>109</v>
      </c>
      <c r="I22" s="2" t="s">
        <v>110</v>
      </c>
      <c r="J22" s="2" t="s">
        <v>111</v>
      </c>
      <c r="K22" s="2">
        <v>962002636</v>
      </c>
      <c r="L22" s="2" t="s">
        <v>112</v>
      </c>
      <c r="M22" s="2" t="s">
        <v>40</v>
      </c>
      <c r="O22" s="2" t="s">
        <v>113</v>
      </c>
      <c r="P22" s="2" t="s">
        <v>114</v>
      </c>
      <c r="Q22" s="2" t="s">
        <v>122</v>
      </c>
      <c r="R22" s="2" t="s">
        <v>123</v>
      </c>
      <c r="S22" s="2">
        <v>2</v>
      </c>
      <c r="T22" s="2">
        <v>96.74</v>
      </c>
      <c r="U22" s="2">
        <v>22.2502</v>
      </c>
      <c r="V22" s="2">
        <v>118.9902</v>
      </c>
      <c r="W22" s="2">
        <f>21.94*S22</f>
        <v>43.88</v>
      </c>
      <c r="X22" s="5">
        <f t="shared" si="0"/>
        <v>0.54641306594996897</v>
      </c>
      <c r="Z22" s="2" t="s">
        <v>117</v>
      </c>
      <c r="AA22" s="2" t="s">
        <v>118</v>
      </c>
      <c r="AB22" s="2" t="s">
        <v>119</v>
      </c>
      <c r="AC22" s="2" t="s">
        <v>114</v>
      </c>
      <c r="AF22" s="2">
        <f t="shared" si="1"/>
        <v>0</v>
      </c>
      <c r="AG22" s="2">
        <v>21.94</v>
      </c>
      <c r="AJ22" s="2">
        <f t="shared" si="2"/>
        <v>0</v>
      </c>
      <c r="AK22" s="2">
        <f t="shared" si="3"/>
        <v>52.859999999999992</v>
      </c>
      <c r="AL22" s="5">
        <f t="shared" si="4"/>
        <v>0.54641306594996897</v>
      </c>
    </row>
    <row r="23" spans="1:38" x14ac:dyDescent="0.2">
      <c r="A23" s="2">
        <v>2025</v>
      </c>
      <c r="B23" s="2">
        <v>1</v>
      </c>
      <c r="D23" s="2" t="s">
        <v>107</v>
      </c>
      <c r="E23" s="2" t="s">
        <v>108</v>
      </c>
      <c r="F23" s="2" t="s">
        <v>39</v>
      </c>
      <c r="G23" s="2">
        <v>507499760</v>
      </c>
      <c r="H23" s="2" t="s">
        <v>109</v>
      </c>
      <c r="I23" s="2" t="s">
        <v>110</v>
      </c>
      <c r="J23" s="2" t="s">
        <v>111</v>
      </c>
      <c r="K23" s="2">
        <v>962002636</v>
      </c>
      <c r="L23" s="2" t="s">
        <v>112</v>
      </c>
      <c r="M23" s="2" t="s">
        <v>40</v>
      </c>
      <c r="O23" s="2" t="s">
        <v>113</v>
      </c>
      <c r="P23" s="2" t="s">
        <v>114</v>
      </c>
      <c r="Q23" s="2" t="s">
        <v>124</v>
      </c>
      <c r="R23" s="2" t="s">
        <v>125</v>
      </c>
      <c r="S23" s="2">
        <v>2</v>
      </c>
      <c r="T23" s="2">
        <v>16.170000000000002</v>
      </c>
      <c r="U23" s="2">
        <v>3.719100000000001</v>
      </c>
      <c r="V23" s="2">
        <v>19.889099999999999</v>
      </c>
      <c r="W23" s="2">
        <f>3.35*S23</f>
        <v>6.7</v>
      </c>
      <c r="X23" s="5">
        <f t="shared" si="0"/>
        <v>0.58565244279530004</v>
      </c>
      <c r="Z23" s="2" t="s">
        <v>117</v>
      </c>
      <c r="AA23" s="2" t="s">
        <v>118</v>
      </c>
      <c r="AB23" s="2" t="s">
        <v>119</v>
      </c>
      <c r="AC23" s="2" t="s">
        <v>114</v>
      </c>
      <c r="AF23" s="2">
        <f t="shared" si="1"/>
        <v>0</v>
      </c>
      <c r="AG23" s="2">
        <v>3.35</v>
      </c>
      <c r="AJ23" s="2">
        <f t="shared" si="2"/>
        <v>0</v>
      </c>
      <c r="AK23" s="2">
        <f t="shared" si="3"/>
        <v>9.4700000000000024</v>
      </c>
      <c r="AL23" s="5">
        <f t="shared" si="4"/>
        <v>0.58565244279530004</v>
      </c>
    </row>
    <row r="24" spans="1:38" x14ac:dyDescent="0.2">
      <c r="A24" s="2">
        <v>2025</v>
      </c>
      <c r="B24" s="2">
        <v>1</v>
      </c>
      <c r="D24" s="2" t="s">
        <v>107</v>
      </c>
      <c r="E24" s="2" t="s">
        <v>108</v>
      </c>
      <c r="F24" s="2" t="s">
        <v>39</v>
      </c>
      <c r="G24" s="2">
        <v>507499760</v>
      </c>
      <c r="H24" s="2" t="s">
        <v>109</v>
      </c>
      <c r="I24" s="2" t="s">
        <v>110</v>
      </c>
      <c r="J24" s="2" t="s">
        <v>111</v>
      </c>
      <c r="K24" s="2">
        <v>962002636</v>
      </c>
      <c r="L24" s="2" t="s">
        <v>112</v>
      </c>
      <c r="M24" s="2" t="s">
        <v>40</v>
      </c>
      <c r="O24" s="2" t="s">
        <v>113</v>
      </c>
      <c r="P24" s="2" t="s">
        <v>114</v>
      </c>
      <c r="Q24" s="6" t="s">
        <v>126</v>
      </c>
      <c r="R24" s="2" t="s">
        <v>127</v>
      </c>
      <c r="S24" s="2">
        <v>1</v>
      </c>
      <c r="T24" s="2">
        <v>7.11</v>
      </c>
      <c r="U24" s="2">
        <v>1.6353</v>
      </c>
      <c r="V24" s="2">
        <v>8.7453000000000003</v>
      </c>
      <c r="W24" s="2">
        <v>3.3595999999999999</v>
      </c>
      <c r="X24" s="5">
        <f t="shared" si="0"/>
        <v>0.52748241912798877</v>
      </c>
      <c r="Z24" s="2" t="s">
        <v>117</v>
      </c>
      <c r="AA24" s="2" t="s">
        <v>118</v>
      </c>
      <c r="AB24" s="2" t="s">
        <v>119</v>
      </c>
      <c r="AC24" s="2" t="s">
        <v>114</v>
      </c>
      <c r="AF24" s="2">
        <f t="shared" si="1"/>
        <v>0</v>
      </c>
      <c r="AG24" s="2">
        <v>3.3595999999999999</v>
      </c>
      <c r="AJ24" s="2">
        <f t="shared" si="2"/>
        <v>0</v>
      </c>
      <c r="AK24" s="2">
        <f t="shared" si="3"/>
        <v>3.7504000000000004</v>
      </c>
      <c r="AL24" s="5">
        <f t="shared" si="4"/>
        <v>0.52748241912798877</v>
      </c>
    </row>
    <row r="25" spans="1:38" x14ac:dyDescent="0.2">
      <c r="A25" s="2">
        <v>2025</v>
      </c>
      <c r="B25" s="2">
        <v>1</v>
      </c>
      <c r="D25" s="2" t="s">
        <v>107</v>
      </c>
      <c r="E25" s="2" t="s">
        <v>108</v>
      </c>
      <c r="F25" s="2" t="s">
        <v>39</v>
      </c>
      <c r="G25" s="2">
        <v>507499760</v>
      </c>
      <c r="H25" s="2" t="s">
        <v>109</v>
      </c>
      <c r="I25" s="2" t="s">
        <v>110</v>
      </c>
      <c r="J25" s="2" t="s">
        <v>111</v>
      </c>
      <c r="K25" s="2">
        <v>962002636</v>
      </c>
      <c r="L25" s="2" t="s">
        <v>112</v>
      </c>
      <c r="M25" s="2" t="s">
        <v>40</v>
      </c>
      <c r="O25" s="2" t="s">
        <v>113</v>
      </c>
      <c r="P25" s="2" t="s">
        <v>114</v>
      </c>
      <c r="Q25" s="2" t="s">
        <v>128</v>
      </c>
      <c r="R25" s="2" t="s">
        <v>129</v>
      </c>
      <c r="S25" s="2">
        <v>1</v>
      </c>
      <c r="T25" s="2">
        <v>11.07</v>
      </c>
      <c r="U25" s="2">
        <v>2.5461</v>
      </c>
      <c r="V25" s="2">
        <v>13.616099999999999</v>
      </c>
      <c r="X25" s="5">
        <f t="shared" si="0"/>
        <v>1</v>
      </c>
      <c r="Z25" s="2" t="s">
        <v>117</v>
      </c>
      <c r="AA25" s="2" t="s">
        <v>118</v>
      </c>
      <c r="AB25" s="2" t="s">
        <v>119</v>
      </c>
      <c r="AC25" s="2" t="s">
        <v>114</v>
      </c>
      <c r="AF25" s="2">
        <f t="shared" si="1"/>
        <v>0</v>
      </c>
      <c r="AJ25" s="2">
        <f t="shared" si="2"/>
        <v>0</v>
      </c>
      <c r="AK25" s="2">
        <f t="shared" si="3"/>
        <v>11.07</v>
      </c>
      <c r="AL25" s="5">
        <f t="shared" si="4"/>
        <v>1</v>
      </c>
    </row>
    <row r="26" spans="1:38" x14ac:dyDescent="0.2">
      <c r="A26" s="2">
        <v>2025</v>
      </c>
      <c r="B26" s="2">
        <v>1</v>
      </c>
      <c r="D26" s="2" t="s">
        <v>130</v>
      </c>
      <c r="E26" s="2" t="s">
        <v>38</v>
      </c>
      <c r="F26" s="2" t="s">
        <v>39</v>
      </c>
      <c r="G26" s="2">
        <v>503989959</v>
      </c>
      <c r="H26" s="2" t="s">
        <v>109</v>
      </c>
      <c r="I26" s="2" t="s">
        <v>131</v>
      </c>
      <c r="J26" s="2" t="s">
        <v>132</v>
      </c>
      <c r="L26" s="2" t="s">
        <v>133</v>
      </c>
      <c r="M26" s="2" t="s">
        <v>40</v>
      </c>
      <c r="O26" s="2" t="s">
        <v>134</v>
      </c>
      <c r="P26" s="2" t="s">
        <v>114</v>
      </c>
      <c r="Q26" s="2" t="s">
        <v>135</v>
      </c>
      <c r="R26" s="2" t="s">
        <v>136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5">
        <v>0</v>
      </c>
      <c r="Z26" s="2" t="s">
        <v>117</v>
      </c>
      <c r="AA26" s="2" t="s">
        <v>118</v>
      </c>
      <c r="AB26" s="2" t="s">
        <v>119</v>
      </c>
      <c r="AC26" s="2" t="s">
        <v>114</v>
      </c>
      <c r="AF26" s="2">
        <f t="shared" si="1"/>
        <v>0</v>
      </c>
      <c r="AJ26" s="2">
        <f t="shared" si="2"/>
        <v>0</v>
      </c>
      <c r="AK26" s="2">
        <f t="shared" si="3"/>
        <v>0</v>
      </c>
      <c r="AL26" s="5" t="e">
        <f t="shared" si="4"/>
        <v>#DIV/0!</v>
      </c>
    </row>
    <row r="27" spans="1:38" x14ac:dyDescent="0.2">
      <c r="A27" s="2">
        <v>2025</v>
      </c>
      <c r="B27" s="2">
        <v>1</v>
      </c>
      <c r="D27" s="2" t="s">
        <v>130</v>
      </c>
      <c r="E27" s="2" t="s">
        <v>38</v>
      </c>
      <c r="F27" s="2" t="s">
        <v>39</v>
      </c>
      <c r="G27" s="2">
        <v>503989959</v>
      </c>
      <c r="H27" s="2" t="s">
        <v>109</v>
      </c>
      <c r="I27" s="2" t="s">
        <v>131</v>
      </c>
      <c r="J27" s="2" t="s">
        <v>132</v>
      </c>
      <c r="L27" s="2" t="s">
        <v>133</v>
      </c>
      <c r="M27" s="2" t="s">
        <v>40</v>
      </c>
      <c r="O27" s="2" t="s">
        <v>134</v>
      </c>
      <c r="P27" s="2" t="s">
        <v>114</v>
      </c>
      <c r="Q27" s="2" t="s">
        <v>137</v>
      </c>
      <c r="R27" s="2" t="s">
        <v>138</v>
      </c>
      <c r="S27" s="2">
        <v>1</v>
      </c>
      <c r="T27" s="2">
        <v>4075.64</v>
      </c>
      <c r="U27" s="2">
        <v>937.3972</v>
      </c>
      <c r="V27" s="2">
        <v>5013.0371999999998</v>
      </c>
      <c r="W27" s="2">
        <f>1346.9279</f>
        <v>1346.9278999999999</v>
      </c>
      <c r="X27" s="5">
        <f>(T27-W27)/T27</f>
        <v>0.66951745002011953</v>
      </c>
      <c r="Z27" s="2" t="s">
        <v>117</v>
      </c>
      <c r="AA27" s="2" t="s">
        <v>118</v>
      </c>
      <c r="AB27" s="2" t="s">
        <v>119</v>
      </c>
      <c r="AC27" s="2" t="s">
        <v>114</v>
      </c>
      <c r="AF27" s="2">
        <f t="shared" si="1"/>
        <v>0</v>
      </c>
      <c r="AG27" s="2">
        <f>1329.3279+17.6</f>
        <v>1346.9278999999999</v>
      </c>
      <c r="AJ27" s="2">
        <f t="shared" si="2"/>
        <v>0</v>
      </c>
      <c r="AK27" s="2">
        <f t="shared" si="3"/>
        <v>2728.7120999999997</v>
      </c>
      <c r="AL27" s="5">
        <f t="shared" si="4"/>
        <v>0.66951745002011953</v>
      </c>
    </row>
    <row r="28" spans="1:38" x14ac:dyDescent="0.2">
      <c r="A28" s="2">
        <v>2025</v>
      </c>
      <c r="B28" s="2">
        <v>1</v>
      </c>
      <c r="D28" s="2" t="s">
        <v>130</v>
      </c>
      <c r="E28" s="2" t="s">
        <v>38</v>
      </c>
      <c r="G28" s="2">
        <v>503989959</v>
      </c>
      <c r="H28" s="2" t="s">
        <v>109</v>
      </c>
      <c r="I28" s="2" t="s">
        <v>131</v>
      </c>
      <c r="J28" s="2" t="s">
        <v>132</v>
      </c>
      <c r="L28" s="2" t="s">
        <v>133</v>
      </c>
      <c r="M28" s="2" t="s">
        <v>40</v>
      </c>
      <c r="N28" s="2" t="s">
        <v>139</v>
      </c>
      <c r="O28" s="2" t="s">
        <v>134</v>
      </c>
      <c r="P28" s="2" t="s">
        <v>40</v>
      </c>
      <c r="Q28" s="2" t="s">
        <v>140</v>
      </c>
      <c r="R28" s="2" t="s">
        <v>141</v>
      </c>
      <c r="S28" s="2">
        <v>-1</v>
      </c>
      <c r="T28" s="2">
        <v>-1222.69</v>
      </c>
      <c r="U28" s="2">
        <v>-281.21870000000001</v>
      </c>
      <c r="V28" s="2">
        <v>-1503.9087</v>
      </c>
      <c r="Z28" s="2" t="s">
        <v>119</v>
      </c>
      <c r="AA28" s="2" t="s">
        <v>142</v>
      </c>
      <c r="AF28" s="2">
        <f t="shared" si="1"/>
        <v>0</v>
      </c>
      <c r="AJ28" s="2">
        <f t="shared" si="2"/>
        <v>0</v>
      </c>
    </row>
    <row r="29" spans="1:38" x14ac:dyDescent="0.2">
      <c r="A29" s="2">
        <v>2025</v>
      </c>
      <c r="B29" s="2">
        <v>1</v>
      </c>
      <c r="D29" s="2" t="s">
        <v>143</v>
      </c>
      <c r="M29" s="2" t="s">
        <v>80</v>
      </c>
      <c r="P29" s="2" t="s">
        <v>72</v>
      </c>
      <c r="Q29" s="2" t="s">
        <v>73</v>
      </c>
      <c r="R29" s="2" t="s">
        <v>74</v>
      </c>
      <c r="S29" s="2">
        <v>1</v>
      </c>
      <c r="T29" s="2">
        <v>200</v>
      </c>
      <c r="U29" s="2">
        <v>46</v>
      </c>
      <c r="V29" s="2">
        <v>246</v>
      </c>
      <c r="W29" s="2">
        <v>117.453</v>
      </c>
      <c r="X29" s="5">
        <f t="shared" ref="X29:X60" si="5">(T29-W29)/T29</f>
        <v>0.41273499999999996</v>
      </c>
      <c r="Z29" s="2" t="s">
        <v>3227</v>
      </c>
      <c r="AA29" s="2" t="s">
        <v>75</v>
      </c>
      <c r="AB29" s="2" t="s">
        <v>76</v>
      </c>
      <c r="AC29" s="2" t="s">
        <v>77</v>
      </c>
      <c r="AF29" s="2">
        <f t="shared" si="1"/>
        <v>0</v>
      </c>
      <c r="AG29" s="2">
        <v>117.453</v>
      </c>
      <c r="AH29" s="2">
        <v>220</v>
      </c>
      <c r="AJ29" s="2">
        <f t="shared" si="2"/>
        <v>0</v>
      </c>
      <c r="AK29" s="2">
        <f t="shared" ref="AK29:AK60" si="6">T29-W29</f>
        <v>82.546999999999997</v>
      </c>
      <c r="AL29" s="5">
        <f t="shared" ref="AL29:AL60" si="7">(T29-W29)/T29</f>
        <v>0.41273499999999996</v>
      </c>
    </row>
    <row r="30" spans="1:38" x14ac:dyDescent="0.2">
      <c r="A30" s="2">
        <v>2025</v>
      </c>
      <c r="B30" s="2">
        <v>1</v>
      </c>
      <c r="D30" s="2" t="s">
        <v>143</v>
      </c>
      <c r="M30" s="2" t="s">
        <v>80</v>
      </c>
      <c r="P30" s="2" t="s">
        <v>93</v>
      </c>
      <c r="Q30" s="2" t="s">
        <v>94</v>
      </c>
      <c r="R30" s="2" t="s">
        <v>95</v>
      </c>
      <c r="S30" s="2">
        <v>1</v>
      </c>
      <c r="T30" s="2">
        <v>1.1399999999999999</v>
      </c>
      <c r="U30" s="2">
        <v>0.26219999999999999</v>
      </c>
      <c r="V30" s="2">
        <v>1.4021999999999999</v>
      </c>
      <c r="W30" s="2">
        <v>1.1399999999999999</v>
      </c>
      <c r="X30" s="5">
        <f t="shared" si="5"/>
        <v>0</v>
      </c>
      <c r="Z30" s="2" t="s">
        <v>3227</v>
      </c>
      <c r="AA30" s="2" t="s">
        <v>96</v>
      </c>
      <c r="AB30" s="2" t="s">
        <v>76</v>
      </c>
      <c r="AC30" s="2" t="s">
        <v>93</v>
      </c>
      <c r="AF30" s="2">
        <f t="shared" si="1"/>
        <v>0</v>
      </c>
      <c r="AJ30" s="2">
        <f t="shared" si="2"/>
        <v>0</v>
      </c>
      <c r="AK30" s="2">
        <f t="shared" si="6"/>
        <v>0</v>
      </c>
      <c r="AL30" s="5">
        <f t="shared" si="7"/>
        <v>0</v>
      </c>
    </row>
    <row r="31" spans="1:38" x14ac:dyDescent="0.2">
      <c r="A31" s="2">
        <v>2025</v>
      </c>
      <c r="B31" s="2">
        <v>1</v>
      </c>
      <c r="D31" s="2" t="s">
        <v>144</v>
      </c>
      <c r="E31" s="2" t="s">
        <v>38</v>
      </c>
      <c r="F31" s="2" t="s">
        <v>39</v>
      </c>
      <c r="G31" s="2">
        <v>505883970</v>
      </c>
      <c r="H31" s="2" t="s">
        <v>41</v>
      </c>
      <c r="I31" s="2" t="s">
        <v>145</v>
      </c>
      <c r="J31" s="2" t="s">
        <v>146</v>
      </c>
      <c r="L31" s="2" t="s">
        <v>99</v>
      </c>
      <c r="M31" s="2" t="s">
        <v>41</v>
      </c>
      <c r="O31" s="2" t="s">
        <v>147</v>
      </c>
      <c r="P31" s="2" t="s">
        <v>114</v>
      </c>
      <c r="Q31" s="2" t="s">
        <v>148</v>
      </c>
      <c r="R31" s="2" t="s">
        <v>149</v>
      </c>
      <c r="S31" s="2">
        <v>1</v>
      </c>
      <c r="T31" s="2">
        <v>3200</v>
      </c>
      <c r="U31" s="2">
        <v>736</v>
      </c>
      <c r="V31" s="2">
        <v>3936</v>
      </c>
      <c r="W31" s="2">
        <v>2997.97</v>
      </c>
      <c r="X31" s="5">
        <f t="shared" si="5"/>
        <v>6.3134375000000062E-2</v>
      </c>
      <c r="Z31" s="2" t="s">
        <v>104</v>
      </c>
      <c r="AA31" s="2" t="s">
        <v>150</v>
      </c>
      <c r="AB31" s="2" t="s">
        <v>151</v>
      </c>
      <c r="AC31" s="2" t="s">
        <v>114</v>
      </c>
      <c r="AF31" s="2">
        <f t="shared" si="1"/>
        <v>0</v>
      </c>
      <c r="AJ31" s="2">
        <f t="shared" si="2"/>
        <v>0</v>
      </c>
      <c r="AK31" s="2">
        <f t="shared" si="6"/>
        <v>202.0300000000002</v>
      </c>
      <c r="AL31" s="5">
        <f t="shared" si="7"/>
        <v>6.3134375000000062E-2</v>
      </c>
    </row>
    <row r="32" spans="1:38" x14ac:dyDescent="0.2">
      <c r="A32" s="2">
        <v>2025</v>
      </c>
      <c r="B32" s="2">
        <v>2</v>
      </c>
      <c r="D32" s="2" t="s">
        <v>37</v>
      </c>
      <c r="E32" s="2" t="s">
        <v>38</v>
      </c>
      <c r="F32" s="2" t="s">
        <v>39</v>
      </c>
      <c r="H32" s="2" t="s">
        <v>40</v>
      </c>
      <c r="P32" s="2" t="s">
        <v>152</v>
      </c>
      <c r="Q32" s="2" t="s">
        <v>153</v>
      </c>
      <c r="R32" s="2" t="s">
        <v>154</v>
      </c>
      <c r="S32" s="2">
        <v>8</v>
      </c>
      <c r="T32" s="2">
        <v>8.16</v>
      </c>
      <c r="U32" s="2">
        <v>1.8768</v>
      </c>
      <c r="V32" s="2">
        <v>10.036799999999999</v>
      </c>
      <c r="W32" s="2">
        <f>0.7*S32</f>
        <v>5.6</v>
      </c>
      <c r="X32" s="5">
        <f t="shared" si="5"/>
        <v>0.31372549019607848</v>
      </c>
      <c r="Z32" s="2" t="s">
        <v>3227</v>
      </c>
      <c r="AA32" s="2" t="s">
        <v>155</v>
      </c>
      <c r="AB32" s="2" t="s">
        <v>154</v>
      </c>
      <c r="AC32" s="2" t="s">
        <v>152</v>
      </c>
      <c r="AF32" s="2">
        <f t="shared" si="1"/>
        <v>0</v>
      </c>
      <c r="AJ32" s="2">
        <f t="shared" si="2"/>
        <v>0</v>
      </c>
      <c r="AK32" s="2">
        <f t="shared" si="6"/>
        <v>2.5600000000000005</v>
      </c>
      <c r="AL32" s="5">
        <f t="shared" si="7"/>
        <v>0.31372549019607848</v>
      </c>
    </row>
    <row r="33" spans="1:38" x14ac:dyDescent="0.2">
      <c r="A33" s="2">
        <v>2025</v>
      </c>
      <c r="B33" s="2">
        <v>2</v>
      </c>
      <c r="D33" s="2" t="s">
        <v>37</v>
      </c>
      <c r="E33" s="2" t="s">
        <v>38</v>
      </c>
      <c r="F33" s="2" t="s">
        <v>39</v>
      </c>
      <c r="H33" s="2" t="s">
        <v>40</v>
      </c>
      <c r="I33" s="2" t="s">
        <v>156</v>
      </c>
      <c r="L33" s="2" t="s">
        <v>99</v>
      </c>
      <c r="M33" s="2" t="s">
        <v>80</v>
      </c>
      <c r="O33" s="2" t="s">
        <v>157</v>
      </c>
      <c r="P33" s="2" t="s">
        <v>43</v>
      </c>
      <c r="Q33" s="2" t="s">
        <v>158</v>
      </c>
      <c r="R33" s="2" t="s">
        <v>159</v>
      </c>
      <c r="S33" s="2">
        <v>2</v>
      </c>
      <c r="T33" s="2">
        <v>38.450000000000003</v>
      </c>
      <c r="U33" s="2">
        <v>8.8435000000000006</v>
      </c>
      <c r="V33" s="2">
        <v>47.293500000000002</v>
      </c>
      <c r="W33" s="2">
        <f>9.3*S33</f>
        <v>18.600000000000001</v>
      </c>
      <c r="X33" s="5">
        <f t="shared" si="5"/>
        <v>0.51625487646293888</v>
      </c>
      <c r="Z33" s="2" t="s">
        <v>3227</v>
      </c>
      <c r="AA33" s="2" t="s">
        <v>46</v>
      </c>
      <c r="AB33" s="2" t="s">
        <v>47</v>
      </c>
      <c r="AC33" s="2" t="s">
        <v>57</v>
      </c>
      <c r="AF33" s="2">
        <f t="shared" si="1"/>
        <v>0</v>
      </c>
      <c r="AG33" s="2">
        <v>9.3000000000000007</v>
      </c>
      <c r="AH33" s="2">
        <v>21</v>
      </c>
      <c r="AJ33" s="2">
        <f t="shared" si="2"/>
        <v>0</v>
      </c>
      <c r="AK33" s="2">
        <f t="shared" si="6"/>
        <v>19.850000000000001</v>
      </c>
      <c r="AL33" s="5">
        <f t="shared" si="7"/>
        <v>0.51625487646293888</v>
      </c>
    </row>
    <row r="34" spans="1:38" x14ac:dyDescent="0.2">
      <c r="A34" s="2">
        <v>2025</v>
      </c>
      <c r="B34" s="2">
        <v>2</v>
      </c>
      <c r="D34" s="2" t="s">
        <v>37</v>
      </c>
      <c r="E34" s="2" t="s">
        <v>38</v>
      </c>
      <c r="F34" s="2" t="s">
        <v>39</v>
      </c>
      <c r="H34" s="2" t="s">
        <v>40</v>
      </c>
      <c r="P34" s="2" t="s">
        <v>43</v>
      </c>
      <c r="Q34" s="2" t="s">
        <v>48</v>
      </c>
      <c r="R34" s="2" t="s">
        <v>49</v>
      </c>
      <c r="S34" s="2">
        <v>2</v>
      </c>
      <c r="T34" s="2">
        <v>24</v>
      </c>
      <c r="U34" s="2">
        <v>5.52</v>
      </c>
      <c r="V34" s="2">
        <v>29.52</v>
      </c>
      <c r="W34" s="2">
        <f>6.6267*S34</f>
        <v>13.253399999999999</v>
      </c>
      <c r="X34" s="5">
        <f t="shared" si="5"/>
        <v>0.44777500000000003</v>
      </c>
      <c r="Z34" s="2" t="s">
        <v>3227</v>
      </c>
      <c r="AA34" s="2" t="s">
        <v>46</v>
      </c>
      <c r="AB34" s="2" t="s">
        <v>47</v>
      </c>
      <c r="AC34" s="2" t="s">
        <v>57</v>
      </c>
      <c r="AF34" s="2">
        <f t="shared" si="1"/>
        <v>0</v>
      </c>
      <c r="AG34" s="2">
        <v>6.6266999999999996</v>
      </c>
      <c r="AH34" s="2">
        <v>12</v>
      </c>
      <c r="AJ34" s="2">
        <f t="shared" si="2"/>
        <v>0</v>
      </c>
      <c r="AK34" s="2">
        <f t="shared" si="6"/>
        <v>10.746600000000001</v>
      </c>
      <c r="AL34" s="5">
        <f t="shared" si="7"/>
        <v>0.44777500000000003</v>
      </c>
    </row>
    <row r="35" spans="1:38" x14ac:dyDescent="0.2">
      <c r="A35" s="2">
        <v>2025</v>
      </c>
      <c r="B35" s="2">
        <v>2</v>
      </c>
      <c r="D35" s="2" t="s">
        <v>37</v>
      </c>
      <c r="E35" s="2" t="s">
        <v>38</v>
      </c>
      <c r="F35" s="2" t="s">
        <v>39</v>
      </c>
      <c r="H35" s="2" t="s">
        <v>40</v>
      </c>
      <c r="P35" s="2" t="s">
        <v>43</v>
      </c>
      <c r="Q35" s="2" t="s">
        <v>50</v>
      </c>
      <c r="R35" s="2" t="s">
        <v>51</v>
      </c>
      <c r="S35" s="2">
        <v>2</v>
      </c>
      <c r="T35" s="2">
        <v>31</v>
      </c>
      <c r="U35" s="2">
        <v>7.13</v>
      </c>
      <c r="V35" s="2">
        <v>38.130000000000003</v>
      </c>
      <c r="W35" s="2">
        <f>14.4*S35</f>
        <v>28.8</v>
      </c>
      <c r="X35" s="5">
        <f t="shared" si="5"/>
        <v>7.0967741935483844E-2</v>
      </c>
      <c r="Z35" s="2" t="s">
        <v>3227</v>
      </c>
      <c r="AA35" s="2" t="s">
        <v>46</v>
      </c>
      <c r="AB35" s="2" t="s">
        <v>47</v>
      </c>
      <c r="AC35" s="2" t="s">
        <v>57</v>
      </c>
      <c r="AF35" s="2">
        <f t="shared" si="1"/>
        <v>0</v>
      </c>
      <c r="AG35" s="2">
        <v>10.2346</v>
      </c>
      <c r="AH35" s="2">
        <v>18</v>
      </c>
      <c r="AJ35" s="2">
        <f t="shared" si="2"/>
        <v>0</v>
      </c>
      <c r="AK35" s="2">
        <f t="shared" si="6"/>
        <v>2.1999999999999993</v>
      </c>
      <c r="AL35" s="5">
        <f t="shared" si="7"/>
        <v>7.0967741935483844E-2</v>
      </c>
    </row>
    <row r="36" spans="1:38" x14ac:dyDescent="0.2">
      <c r="A36" s="2">
        <v>2025</v>
      </c>
      <c r="B36" s="2">
        <v>2</v>
      </c>
      <c r="D36" s="2" t="s">
        <v>37</v>
      </c>
      <c r="E36" s="2" t="s">
        <v>38</v>
      </c>
      <c r="F36" s="2" t="s">
        <v>39</v>
      </c>
      <c r="H36" s="2" t="s">
        <v>40</v>
      </c>
      <c r="P36" s="2" t="s">
        <v>43</v>
      </c>
      <c r="Q36" s="2" t="s">
        <v>160</v>
      </c>
      <c r="R36" s="2" t="s">
        <v>161</v>
      </c>
      <c r="S36" s="2">
        <v>2</v>
      </c>
      <c r="T36" s="2">
        <v>15.6</v>
      </c>
      <c r="U36" s="2">
        <v>3.5880000000000001</v>
      </c>
      <c r="V36" s="2">
        <v>19.187999999999999</v>
      </c>
      <c r="W36" s="2">
        <f>3.7358*S36</f>
        <v>7.4715999999999996</v>
      </c>
      <c r="X36" s="5">
        <f t="shared" si="5"/>
        <v>0.52105128205128204</v>
      </c>
      <c r="Z36" s="2" t="s">
        <v>3227</v>
      </c>
      <c r="AA36" s="2" t="s">
        <v>46</v>
      </c>
      <c r="AB36" s="2" t="s">
        <v>47</v>
      </c>
      <c r="AC36" s="2" t="s">
        <v>57</v>
      </c>
      <c r="AF36" s="2">
        <f t="shared" si="1"/>
        <v>0</v>
      </c>
      <c r="AG36" s="2">
        <v>3.7357999999999998</v>
      </c>
      <c r="AH36" s="2">
        <v>9</v>
      </c>
      <c r="AJ36" s="2">
        <f t="shared" si="2"/>
        <v>0</v>
      </c>
      <c r="AK36" s="2">
        <f t="shared" si="6"/>
        <v>8.1283999999999992</v>
      </c>
      <c r="AL36" s="5">
        <f t="shared" si="7"/>
        <v>0.52105128205128204</v>
      </c>
    </row>
    <row r="37" spans="1:38" x14ac:dyDescent="0.2">
      <c r="A37" s="2">
        <v>2025</v>
      </c>
      <c r="B37" s="2">
        <v>2</v>
      </c>
      <c r="D37" s="2" t="s">
        <v>37</v>
      </c>
      <c r="E37" s="2" t="s">
        <v>38</v>
      </c>
      <c r="F37" s="2" t="s">
        <v>39</v>
      </c>
      <c r="H37" s="2" t="s">
        <v>40</v>
      </c>
      <c r="P37" s="2" t="s">
        <v>43</v>
      </c>
      <c r="Q37" s="2" t="s">
        <v>52</v>
      </c>
      <c r="R37" s="2" t="s">
        <v>53</v>
      </c>
      <c r="S37" s="2">
        <v>3</v>
      </c>
      <c r="T37" s="2">
        <v>27.8</v>
      </c>
      <c r="U37" s="2">
        <v>6.3940000000000001</v>
      </c>
      <c r="V37" s="2">
        <v>34.194000000000003</v>
      </c>
      <c r="W37" s="2">
        <f>5.2973*S37</f>
        <v>15.8919</v>
      </c>
      <c r="X37" s="5">
        <f t="shared" si="5"/>
        <v>0.42834892086330939</v>
      </c>
      <c r="Z37" s="2" t="s">
        <v>3227</v>
      </c>
      <c r="AA37" s="2" t="s">
        <v>46</v>
      </c>
      <c r="AB37" s="2" t="s">
        <v>47</v>
      </c>
      <c r="AC37" s="2" t="s">
        <v>57</v>
      </c>
      <c r="AF37" s="2">
        <f t="shared" si="1"/>
        <v>0</v>
      </c>
      <c r="AG37" s="2">
        <v>5.2972999999999999</v>
      </c>
      <c r="AH37" s="2">
        <v>10.8</v>
      </c>
      <c r="AJ37" s="2">
        <f t="shared" si="2"/>
        <v>0</v>
      </c>
      <c r="AK37" s="2">
        <f t="shared" si="6"/>
        <v>11.908100000000001</v>
      </c>
      <c r="AL37" s="5">
        <f t="shared" si="7"/>
        <v>0.42834892086330939</v>
      </c>
    </row>
    <row r="38" spans="1:38" x14ac:dyDescent="0.2">
      <c r="A38" s="2">
        <v>2025</v>
      </c>
      <c r="B38" s="2">
        <v>2</v>
      </c>
      <c r="D38" s="2" t="s">
        <v>37</v>
      </c>
      <c r="E38" s="2" t="s">
        <v>38</v>
      </c>
      <c r="F38" s="2" t="s">
        <v>39</v>
      </c>
      <c r="H38" s="2" t="s">
        <v>40</v>
      </c>
      <c r="P38" s="2" t="s">
        <v>43</v>
      </c>
      <c r="Q38" s="2" t="s">
        <v>61</v>
      </c>
      <c r="R38" s="2" t="s">
        <v>62</v>
      </c>
      <c r="S38" s="2">
        <v>1300</v>
      </c>
      <c r="T38" s="2">
        <v>143.19999999999999</v>
      </c>
      <c r="U38" s="2">
        <v>32.936</v>
      </c>
      <c r="V38" s="2">
        <v>176.136</v>
      </c>
      <c r="W38" s="2">
        <f>0.082*S38</f>
        <v>106.60000000000001</v>
      </c>
      <c r="X38" s="5">
        <f t="shared" si="5"/>
        <v>0.25558659217877083</v>
      </c>
      <c r="Z38" s="2" t="s">
        <v>3227</v>
      </c>
      <c r="AA38" s="2" t="s">
        <v>46</v>
      </c>
      <c r="AB38" s="2" t="s">
        <v>60</v>
      </c>
      <c r="AC38" s="2" t="s">
        <v>57</v>
      </c>
      <c r="AF38" s="2">
        <f t="shared" si="1"/>
        <v>0</v>
      </c>
      <c r="AG38" s="2">
        <v>8.1999999999999993</v>
      </c>
      <c r="AH38" s="2">
        <v>13</v>
      </c>
      <c r="AJ38" s="2">
        <f t="shared" si="2"/>
        <v>0</v>
      </c>
      <c r="AK38" s="2">
        <f t="shared" si="6"/>
        <v>36.59999999999998</v>
      </c>
      <c r="AL38" s="5">
        <f t="shared" si="7"/>
        <v>0.25558659217877083</v>
      </c>
    </row>
    <row r="39" spans="1:38" x14ac:dyDescent="0.2">
      <c r="A39" s="2">
        <v>2025</v>
      </c>
      <c r="B39" s="2">
        <v>2</v>
      </c>
      <c r="D39" s="2" t="s">
        <v>37</v>
      </c>
      <c r="E39" s="2" t="s">
        <v>38</v>
      </c>
      <c r="F39" s="2" t="s">
        <v>39</v>
      </c>
      <c r="H39" s="2" t="s">
        <v>40</v>
      </c>
      <c r="P39" s="2" t="s">
        <v>43</v>
      </c>
      <c r="Q39" s="2" t="s">
        <v>162</v>
      </c>
      <c r="R39" s="2" t="s">
        <v>163</v>
      </c>
      <c r="S39" s="2">
        <v>2</v>
      </c>
      <c r="T39" s="2">
        <v>40.5</v>
      </c>
      <c r="U39" s="2">
        <v>9.3150000000000013</v>
      </c>
      <c r="V39" s="2">
        <v>49.814999999999998</v>
      </c>
      <c r="W39" s="2">
        <f>8*S39</f>
        <v>16</v>
      </c>
      <c r="X39" s="5">
        <f t="shared" si="5"/>
        <v>0.60493827160493829</v>
      </c>
      <c r="Z39" s="2" t="s">
        <v>3227</v>
      </c>
      <c r="AA39" s="2" t="s">
        <v>46</v>
      </c>
      <c r="AB39" s="2" t="s">
        <v>47</v>
      </c>
      <c r="AC39" s="2" t="s">
        <v>57</v>
      </c>
      <c r="AF39" s="2">
        <f t="shared" si="1"/>
        <v>0</v>
      </c>
      <c r="AJ39" s="2">
        <f t="shared" si="2"/>
        <v>0</v>
      </c>
      <c r="AK39" s="2">
        <f t="shared" si="6"/>
        <v>24.5</v>
      </c>
      <c r="AL39" s="5">
        <f t="shared" si="7"/>
        <v>0.60493827160493829</v>
      </c>
    </row>
    <row r="40" spans="1:38" x14ac:dyDescent="0.2">
      <c r="A40" s="2">
        <v>2025</v>
      </c>
      <c r="B40" s="2">
        <v>2</v>
      </c>
      <c r="D40" s="2" t="s">
        <v>37</v>
      </c>
      <c r="E40" s="2" t="s">
        <v>38</v>
      </c>
      <c r="F40" s="2" t="s">
        <v>39</v>
      </c>
      <c r="H40" s="2" t="s">
        <v>40</v>
      </c>
      <c r="P40" s="2" t="s">
        <v>43</v>
      </c>
      <c r="Q40" s="2" t="s">
        <v>164</v>
      </c>
      <c r="R40" s="2" t="s">
        <v>165</v>
      </c>
      <c r="S40" s="2">
        <v>2</v>
      </c>
      <c r="T40" s="2">
        <v>32.39</v>
      </c>
      <c r="U40" s="2">
        <v>7.4497000000000009</v>
      </c>
      <c r="V40" s="2">
        <v>39.839700000000001</v>
      </c>
      <c r="W40" s="2">
        <f>7.9612*S40</f>
        <v>15.9224</v>
      </c>
      <c r="X40" s="5">
        <f t="shared" si="5"/>
        <v>0.50841617783266446</v>
      </c>
      <c r="Z40" s="2" t="s">
        <v>3227</v>
      </c>
      <c r="AA40" s="2" t="s">
        <v>46</v>
      </c>
      <c r="AB40" s="2" t="s">
        <v>67</v>
      </c>
      <c r="AC40" s="2" t="s">
        <v>57</v>
      </c>
      <c r="AF40" s="2">
        <f t="shared" si="1"/>
        <v>0</v>
      </c>
      <c r="AG40" s="2">
        <v>7.9611999999999998</v>
      </c>
      <c r="AH40" s="2">
        <v>14.4</v>
      </c>
      <c r="AJ40" s="2">
        <f t="shared" si="2"/>
        <v>0</v>
      </c>
      <c r="AK40" s="2">
        <f t="shared" si="6"/>
        <v>16.467600000000001</v>
      </c>
      <c r="AL40" s="5">
        <f t="shared" si="7"/>
        <v>0.50841617783266446</v>
      </c>
    </row>
    <row r="41" spans="1:38" x14ac:dyDescent="0.2">
      <c r="A41" s="2">
        <v>2025</v>
      </c>
      <c r="B41" s="2">
        <v>2</v>
      </c>
      <c r="D41" s="2" t="s">
        <v>37</v>
      </c>
      <c r="E41" s="2" t="s">
        <v>38</v>
      </c>
      <c r="F41" s="2" t="s">
        <v>39</v>
      </c>
      <c r="H41" s="2" t="s">
        <v>40</v>
      </c>
      <c r="P41" s="2" t="s">
        <v>166</v>
      </c>
      <c r="Q41" s="2" t="s">
        <v>167</v>
      </c>
      <c r="R41" s="2" t="s">
        <v>168</v>
      </c>
      <c r="S41" s="2">
        <v>5</v>
      </c>
      <c r="T41" s="2">
        <v>25.85</v>
      </c>
      <c r="U41" s="2">
        <v>5.9455000000000009</v>
      </c>
      <c r="V41" s="2">
        <v>31.795500000000001</v>
      </c>
      <c r="W41" s="2">
        <f>3.52*S41</f>
        <v>17.600000000000001</v>
      </c>
      <c r="X41" s="5">
        <f t="shared" si="5"/>
        <v>0.31914893617021273</v>
      </c>
      <c r="Z41" s="2" t="s">
        <v>3227</v>
      </c>
      <c r="AA41" s="2" t="s">
        <v>46</v>
      </c>
      <c r="AB41" s="2" t="s">
        <v>60</v>
      </c>
      <c r="AC41" s="2" t="s">
        <v>166</v>
      </c>
      <c r="AF41" s="2">
        <f t="shared" si="1"/>
        <v>0</v>
      </c>
      <c r="AJ41" s="2">
        <f t="shared" si="2"/>
        <v>0</v>
      </c>
      <c r="AK41" s="2">
        <f t="shared" si="6"/>
        <v>8.25</v>
      </c>
      <c r="AL41" s="5">
        <f t="shared" si="7"/>
        <v>0.31914893617021273</v>
      </c>
    </row>
    <row r="42" spans="1:38" x14ac:dyDescent="0.2">
      <c r="A42" s="2">
        <v>2025</v>
      </c>
      <c r="B42" s="2">
        <v>2</v>
      </c>
      <c r="D42" s="2" t="s">
        <v>37</v>
      </c>
      <c r="E42" s="2" t="s">
        <v>38</v>
      </c>
      <c r="F42" s="2" t="s">
        <v>39</v>
      </c>
      <c r="H42" s="2" t="s">
        <v>40</v>
      </c>
      <c r="P42" s="2" t="s">
        <v>72</v>
      </c>
      <c r="Q42" s="2" t="s">
        <v>73</v>
      </c>
      <c r="R42" s="2" t="s">
        <v>74</v>
      </c>
      <c r="S42" s="2">
        <v>2</v>
      </c>
      <c r="T42" s="2">
        <v>403.7</v>
      </c>
      <c r="U42" s="2">
        <v>92.850999999999999</v>
      </c>
      <c r="V42" s="2">
        <v>496.55099999999999</v>
      </c>
      <c r="W42" s="2">
        <v>234.90600000000001</v>
      </c>
      <c r="X42" s="5">
        <f t="shared" si="5"/>
        <v>0.41811741392122859</v>
      </c>
      <c r="Z42" s="2" t="s">
        <v>3227</v>
      </c>
      <c r="AA42" s="2" t="s">
        <v>75</v>
      </c>
      <c r="AB42" s="2" t="s">
        <v>76</v>
      </c>
      <c r="AC42" s="2" t="s">
        <v>77</v>
      </c>
      <c r="AF42" s="2">
        <f t="shared" si="1"/>
        <v>0</v>
      </c>
      <c r="AG42" s="2">
        <v>117.453</v>
      </c>
      <c r="AH42" s="2">
        <v>220</v>
      </c>
      <c r="AJ42" s="2">
        <f t="shared" si="2"/>
        <v>0</v>
      </c>
      <c r="AK42" s="2">
        <f t="shared" si="6"/>
        <v>168.79399999999998</v>
      </c>
      <c r="AL42" s="5">
        <f t="shared" si="7"/>
        <v>0.41811741392122859</v>
      </c>
    </row>
    <row r="43" spans="1:38" x14ac:dyDescent="0.2">
      <c r="A43" s="2">
        <v>2025</v>
      </c>
      <c r="B43" s="2">
        <v>2</v>
      </c>
      <c r="D43" s="2" t="s">
        <v>37</v>
      </c>
      <c r="E43" s="2" t="s">
        <v>38</v>
      </c>
      <c r="F43" s="2" t="s">
        <v>39</v>
      </c>
      <c r="H43" s="2" t="s">
        <v>40</v>
      </c>
      <c r="P43" s="2" t="s">
        <v>169</v>
      </c>
      <c r="Q43" s="2" t="s">
        <v>170</v>
      </c>
      <c r="R43" s="2" t="s">
        <v>170</v>
      </c>
      <c r="S43" s="2">
        <v>1</v>
      </c>
      <c r="T43" s="2">
        <v>8</v>
      </c>
      <c r="U43" s="2">
        <v>1.84</v>
      </c>
      <c r="V43" s="2">
        <v>9.84</v>
      </c>
      <c r="W43" s="2">
        <v>6</v>
      </c>
      <c r="X43" s="5">
        <f t="shared" si="5"/>
        <v>0.25</v>
      </c>
      <c r="Z43" s="2" t="s">
        <v>169</v>
      </c>
      <c r="AA43" s="2" t="s">
        <v>169</v>
      </c>
      <c r="AF43" s="2">
        <f t="shared" si="1"/>
        <v>0</v>
      </c>
      <c r="AJ43" s="2">
        <f t="shared" si="2"/>
        <v>0</v>
      </c>
      <c r="AK43" s="2">
        <f t="shared" si="6"/>
        <v>2</v>
      </c>
      <c r="AL43" s="5">
        <f t="shared" si="7"/>
        <v>0.25</v>
      </c>
    </row>
    <row r="44" spans="1:38" x14ac:dyDescent="0.2">
      <c r="A44" s="2">
        <v>2025</v>
      </c>
      <c r="B44" s="2">
        <v>2</v>
      </c>
      <c r="D44" s="2" t="s">
        <v>37</v>
      </c>
      <c r="E44" s="2" t="s">
        <v>38</v>
      </c>
      <c r="F44" s="2" t="s">
        <v>39</v>
      </c>
      <c r="H44" s="2" t="s">
        <v>40</v>
      </c>
      <c r="P44" s="2" t="s">
        <v>93</v>
      </c>
      <c r="Q44" s="2" t="s">
        <v>94</v>
      </c>
      <c r="R44" s="2" t="s">
        <v>95</v>
      </c>
      <c r="S44" s="2">
        <v>2</v>
      </c>
      <c r="T44" s="2">
        <v>2.2799999999999998</v>
      </c>
      <c r="U44" s="2">
        <v>0.52439999999999998</v>
      </c>
      <c r="V44" s="2">
        <v>2.8043999999999998</v>
      </c>
      <c r="W44" s="2">
        <v>2.2799999999999998</v>
      </c>
      <c r="X44" s="5">
        <f t="shared" si="5"/>
        <v>0</v>
      </c>
      <c r="Z44" s="2" t="s">
        <v>3227</v>
      </c>
      <c r="AA44" s="2" t="s">
        <v>96</v>
      </c>
      <c r="AB44" s="2" t="s">
        <v>76</v>
      </c>
      <c r="AC44" s="2" t="s">
        <v>93</v>
      </c>
      <c r="AF44" s="2">
        <f t="shared" si="1"/>
        <v>0</v>
      </c>
      <c r="AJ44" s="2">
        <f t="shared" si="2"/>
        <v>0</v>
      </c>
      <c r="AK44" s="2">
        <f t="shared" si="6"/>
        <v>0</v>
      </c>
      <c r="AL44" s="5">
        <f t="shared" si="7"/>
        <v>0</v>
      </c>
    </row>
    <row r="45" spans="1:38" x14ac:dyDescent="0.2">
      <c r="A45" s="2">
        <v>2025</v>
      </c>
      <c r="B45" s="2">
        <v>2</v>
      </c>
      <c r="D45" s="2" t="s">
        <v>107</v>
      </c>
      <c r="E45" s="2" t="s">
        <v>108</v>
      </c>
      <c r="F45" s="2" t="s">
        <v>39</v>
      </c>
      <c r="G45" s="2">
        <v>507499760</v>
      </c>
      <c r="H45" s="2" t="s">
        <v>109</v>
      </c>
      <c r="I45" s="2" t="s">
        <v>110</v>
      </c>
      <c r="J45" s="2" t="s">
        <v>111</v>
      </c>
      <c r="K45" s="2">
        <v>962002636</v>
      </c>
      <c r="L45" s="2" t="s">
        <v>112</v>
      </c>
      <c r="M45" s="2" t="s">
        <v>40</v>
      </c>
      <c r="O45" s="2" t="s">
        <v>171</v>
      </c>
      <c r="P45" s="2" t="s">
        <v>114</v>
      </c>
      <c r="Q45" s="2" t="s">
        <v>172</v>
      </c>
      <c r="R45" s="2" t="s">
        <v>173</v>
      </c>
      <c r="S45" s="2">
        <v>1</v>
      </c>
      <c r="T45" s="2">
        <v>291.23</v>
      </c>
      <c r="U45" s="2">
        <v>66.982900000000001</v>
      </c>
      <c r="V45" s="2">
        <v>358.21289999999999</v>
      </c>
      <c r="W45" s="2">
        <v>18.68</v>
      </c>
      <c r="X45" s="5">
        <f t="shared" si="5"/>
        <v>0.93585825636095177</v>
      </c>
      <c r="Z45" s="2" t="s">
        <v>117</v>
      </c>
      <c r="AA45" s="2" t="s">
        <v>118</v>
      </c>
      <c r="AB45" s="2" t="s">
        <v>151</v>
      </c>
      <c r="AC45" s="2" t="s">
        <v>114</v>
      </c>
      <c r="AF45" s="2">
        <f t="shared" si="1"/>
        <v>0</v>
      </c>
      <c r="AJ45" s="2">
        <f t="shared" si="2"/>
        <v>0</v>
      </c>
      <c r="AK45" s="2">
        <f t="shared" si="6"/>
        <v>272.55</v>
      </c>
      <c r="AL45" s="5">
        <f t="shared" si="7"/>
        <v>0.93585825636095177</v>
      </c>
    </row>
    <row r="46" spans="1:38" x14ac:dyDescent="0.2">
      <c r="A46" s="2">
        <v>2025</v>
      </c>
      <c r="B46" s="2">
        <v>2</v>
      </c>
      <c r="D46" s="2" t="s">
        <v>174</v>
      </c>
      <c r="E46" s="2" t="s">
        <v>38</v>
      </c>
      <c r="G46" s="2">
        <v>507685261</v>
      </c>
      <c r="H46" s="2" t="s">
        <v>41</v>
      </c>
      <c r="I46" s="2" t="s">
        <v>175</v>
      </c>
      <c r="J46" s="2" t="s">
        <v>176</v>
      </c>
      <c r="K46" s="2">
        <v>932748418</v>
      </c>
      <c r="L46" s="2" t="s">
        <v>177</v>
      </c>
      <c r="M46" s="2" t="s">
        <v>40</v>
      </c>
      <c r="O46" s="2" t="s">
        <v>178</v>
      </c>
      <c r="P46" s="2" t="s">
        <v>114</v>
      </c>
      <c r="Q46" s="2" t="s">
        <v>179</v>
      </c>
      <c r="R46" s="2" t="s">
        <v>180</v>
      </c>
      <c r="S46" s="2">
        <v>1</v>
      </c>
      <c r="T46" s="2">
        <v>699.3</v>
      </c>
      <c r="U46" s="2">
        <v>160.839</v>
      </c>
      <c r="V46" s="2">
        <v>860.1389999999999</v>
      </c>
      <c r="W46" s="2">
        <v>346.57</v>
      </c>
      <c r="X46" s="5">
        <f t="shared" si="5"/>
        <v>0.50440440440440437</v>
      </c>
      <c r="Z46" s="2" t="s">
        <v>117</v>
      </c>
      <c r="AA46" s="2" t="s">
        <v>181</v>
      </c>
      <c r="AB46" s="2" t="s">
        <v>119</v>
      </c>
      <c r="AC46" s="2" t="s">
        <v>114</v>
      </c>
      <c r="AF46" s="2">
        <f t="shared" si="1"/>
        <v>0</v>
      </c>
      <c r="AJ46" s="2">
        <f t="shared" si="2"/>
        <v>0</v>
      </c>
      <c r="AK46" s="2">
        <f t="shared" si="6"/>
        <v>352.72999999999996</v>
      </c>
      <c r="AL46" s="5">
        <f t="shared" si="7"/>
        <v>0.50440440440440437</v>
      </c>
    </row>
    <row r="47" spans="1:38" x14ac:dyDescent="0.2">
      <c r="A47" s="2">
        <v>2025</v>
      </c>
      <c r="B47" s="2">
        <v>2</v>
      </c>
      <c r="D47" s="2" t="s">
        <v>182</v>
      </c>
      <c r="E47" s="2" t="s">
        <v>183</v>
      </c>
      <c r="F47" s="2" t="s">
        <v>184</v>
      </c>
      <c r="G47" s="2">
        <v>503116920</v>
      </c>
      <c r="H47" s="2" t="s">
        <v>41</v>
      </c>
      <c r="I47" s="2" t="s">
        <v>185</v>
      </c>
      <c r="J47" s="2" t="s">
        <v>186</v>
      </c>
      <c r="K47" s="2">
        <v>919591406</v>
      </c>
      <c r="L47" s="2" t="s">
        <v>99</v>
      </c>
      <c r="M47" s="2" t="s">
        <v>40</v>
      </c>
      <c r="P47" s="2" t="s">
        <v>114</v>
      </c>
      <c r="Q47" s="2" t="s">
        <v>179</v>
      </c>
      <c r="R47" s="2" t="s">
        <v>180</v>
      </c>
      <c r="S47" s="2">
        <v>1</v>
      </c>
      <c r="T47" s="2">
        <v>699.3</v>
      </c>
      <c r="U47" s="2">
        <v>160.839</v>
      </c>
      <c r="V47" s="2">
        <v>860.1389999999999</v>
      </c>
      <c r="W47" s="2">
        <v>346.57</v>
      </c>
      <c r="X47" s="5">
        <f t="shared" si="5"/>
        <v>0.50440440440440437</v>
      </c>
      <c r="Z47" s="2" t="s">
        <v>117</v>
      </c>
      <c r="AA47" s="2" t="s">
        <v>181</v>
      </c>
      <c r="AB47" s="2" t="s">
        <v>119</v>
      </c>
      <c r="AC47" s="2" t="s">
        <v>114</v>
      </c>
      <c r="AF47" s="2">
        <f t="shared" si="1"/>
        <v>0</v>
      </c>
      <c r="AJ47" s="2">
        <f t="shared" si="2"/>
        <v>0</v>
      </c>
      <c r="AK47" s="2">
        <f t="shared" si="6"/>
        <v>352.72999999999996</v>
      </c>
      <c r="AL47" s="5">
        <f t="shared" si="7"/>
        <v>0.50440440440440437</v>
      </c>
    </row>
    <row r="48" spans="1:38" x14ac:dyDescent="0.2">
      <c r="A48" s="2">
        <v>2025</v>
      </c>
      <c r="B48" s="2">
        <v>1</v>
      </c>
      <c r="D48" s="2" t="s">
        <v>130</v>
      </c>
      <c r="E48" s="2" t="s">
        <v>38</v>
      </c>
      <c r="G48" s="2">
        <v>503989959</v>
      </c>
      <c r="H48" s="2" t="s">
        <v>109</v>
      </c>
      <c r="I48" s="2" t="s">
        <v>131</v>
      </c>
      <c r="J48" s="2" t="s">
        <v>132</v>
      </c>
      <c r="L48" s="2" t="s">
        <v>133</v>
      </c>
      <c r="M48" s="2" t="s">
        <v>40</v>
      </c>
      <c r="O48" s="2" t="s">
        <v>134</v>
      </c>
      <c r="P48" s="2" t="s">
        <v>187</v>
      </c>
      <c r="Q48" s="2" t="s">
        <v>188</v>
      </c>
      <c r="R48" s="2" t="s">
        <v>189</v>
      </c>
      <c r="S48" s="2">
        <v>1</v>
      </c>
      <c r="T48" s="2">
        <v>103</v>
      </c>
      <c r="U48" s="2">
        <v>23.69</v>
      </c>
      <c r="V48" s="2">
        <v>126.69</v>
      </c>
      <c r="W48" s="2">
        <f>T48*40%</f>
        <v>41.2</v>
      </c>
      <c r="X48" s="5">
        <f t="shared" si="5"/>
        <v>0.6</v>
      </c>
      <c r="Z48" s="2" t="s">
        <v>117</v>
      </c>
      <c r="AA48" s="2" t="s">
        <v>190</v>
      </c>
      <c r="AB48" s="2" t="s">
        <v>189</v>
      </c>
      <c r="AC48" s="2" t="s">
        <v>40</v>
      </c>
      <c r="AF48" s="2">
        <f t="shared" si="1"/>
        <v>0</v>
      </c>
      <c r="AJ48" s="2">
        <f t="shared" si="2"/>
        <v>0</v>
      </c>
      <c r="AK48" s="2">
        <f t="shared" si="6"/>
        <v>61.8</v>
      </c>
      <c r="AL48" s="5">
        <f t="shared" si="7"/>
        <v>0.6</v>
      </c>
    </row>
    <row r="49" spans="1:38" x14ac:dyDescent="0.2">
      <c r="A49" s="2">
        <v>2025</v>
      </c>
      <c r="B49" s="2">
        <v>1</v>
      </c>
      <c r="D49" s="2" t="s">
        <v>130</v>
      </c>
      <c r="E49" s="2" t="s">
        <v>38</v>
      </c>
      <c r="G49" s="2">
        <v>503989959</v>
      </c>
      <c r="H49" s="2" t="s">
        <v>109</v>
      </c>
      <c r="I49" s="2" t="s">
        <v>131</v>
      </c>
      <c r="J49" s="2" t="s">
        <v>132</v>
      </c>
      <c r="L49" s="2" t="s">
        <v>133</v>
      </c>
      <c r="M49" s="2" t="s">
        <v>40</v>
      </c>
      <c r="O49" s="2" t="s">
        <v>134</v>
      </c>
      <c r="P49" s="2" t="s">
        <v>187</v>
      </c>
      <c r="Q49" s="2" t="s">
        <v>191</v>
      </c>
      <c r="R49" s="2" t="s">
        <v>190</v>
      </c>
      <c r="S49" s="2">
        <v>2</v>
      </c>
      <c r="T49" s="2">
        <v>100</v>
      </c>
      <c r="U49" s="2">
        <v>23</v>
      </c>
      <c r="V49" s="2">
        <v>123</v>
      </c>
      <c r="W49" s="2">
        <f>T49*50%</f>
        <v>50</v>
      </c>
      <c r="X49" s="5">
        <f t="shared" si="5"/>
        <v>0.5</v>
      </c>
      <c r="Z49" s="2" t="s">
        <v>117</v>
      </c>
      <c r="AA49" s="2" t="s">
        <v>190</v>
      </c>
      <c r="AB49" s="2" t="s">
        <v>190</v>
      </c>
      <c r="AC49" s="2" t="s">
        <v>40</v>
      </c>
      <c r="AF49" s="2">
        <f t="shared" si="1"/>
        <v>0</v>
      </c>
      <c r="AJ49" s="2">
        <f t="shared" si="2"/>
        <v>0</v>
      </c>
      <c r="AK49" s="2">
        <f t="shared" si="6"/>
        <v>50</v>
      </c>
      <c r="AL49" s="5">
        <f t="shared" si="7"/>
        <v>0.5</v>
      </c>
    </row>
    <row r="50" spans="1:38" x14ac:dyDescent="0.2">
      <c r="A50" s="2">
        <v>2025</v>
      </c>
      <c r="B50" s="2">
        <v>2</v>
      </c>
      <c r="D50" s="2" t="s">
        <v>192</v>
      </c>
      <c r="E50" s="2" t="s">
        <v>108</v>
      </c>
      <c r="F50" s="2" t="s">
        <v>193</v>
      </c>
      <c r="G50" s="2">
        <v>502044411</v>
      </c>
      <c r="H50" s="2" t="s">
        <v>40</v>
      </c>
      <c r="I50" s="2" t="s">
        <v>156</v>
      </c>
      <c r="J50" s="2" t="s">
        <v>194</v>
      </c>
      <c r="L50" s="2" t="s">
        <v>99</v>
      </c>
      <c r="M50" s="2" t="s">
        <v>80</v>
      </c>
      <c r="O50" s="2" t="s">
        <v>195</v>
      </c>
      <c r="P50" s="2" t="s">
        <v>72</v>
      </c>
      <c r="Q50" s="2" t="s">
        <v>196</v>
      </c>
      <c r="R50" s="2" t="s">
        <v>197</v>
      </c>
      <c r="S50" s="2">
        <v>1</v>
      </c>
      <c r="T50" s="2">
        <v>345</v>
      </c>
      <c r="U50" s="2">
        <v>79.350000000000009</v>
      </c>
      <c r="V50" s="2">
        <v>424.35</v>
      </c>
      <c r="W50" s="2">
        <v>187.99</v>
      </c>
      <c r="X50" s="5">
        <f t="shared" si="5"/>
        <v>0.45510144927536228</v>
      </c>
      <c r="Z50" s="2" t="s">
        <v>3227</v>
      </c>
      <c r="AA50" s="2" t="s">
        <v>75</v>
      </c>
      <c r="AB50" s="2" t="s">
        <v>76</v>
      </c>
      <c r="AC50" s="2" t="s">
        <v>77</v>
      </c>
      <c r="AF50" s="2">
        <f t="shared" si="1"/>
        <v>0</v>
      </c>
      <c r="AG50" s="2">
        <v>187.99</v>
      </c>
      <c r="AJ50" s="2">
        <f t="shared" si="2"/>
        <v>0</v>
      </c>
      <c r="AK50" s="2">
        <f t="shared" si="6"/>
        <v>157.01</v>
      </c>
      <c r="AL50" s="5">
        <f t="shared" si="7"/>
        <v>0.45510144927536228</v>
      </c>
    </row>
    <row r="51" spans="1:38" x14ac:dyDescent="0.2">
      <c r="A51" s="2">
        <v>2025</v>
      </c>
      <c r="B51" s="2">
        <v>2</v>
      </c>
      <c r="D51" s="2" t="s">
        <v>192</v>
      </c>
      <c r="E51" s="2" t="s">
        <v>108</v>
      </c>
      <c r="F51" s="2" t="s">
        <v>193</v>
      </c>
      <c r="G51" s="2">
        <v>502044411</v>
      </c>
      <c r="H51" s="2" t="s">
        <v>40</v>
      </c>
      <c r="I51" s="2" t="s">
        <v>156</v>
      </c>
      <c r="J51" s="2" t="s">
        <v>194</v>
      </c>
      <c r="L51" s="2" t="s">
        <v>99</v>
      </c>
      <c r="M51" s="2" t="s">
        <v>80</v>
      </c>
      <c r="O51" s="2" t="s">
        <v>195</v>
      </c>
      <c r="P51" s="2" t="s">
        <v>93</v>
      </c>
      <c r="Q51" s="2" t="s">
        <v>94</v>
      </c>
      <c r="R51" s="2" t="s">
        <v>95</v>
      </c>
      <c r="S51" s="2">
        <v>1</v>
      </c>
      <c r="T51" s="2">
        <v>1.1399999999999999</v>
      </c>
      <c r="U51" s="2">
        <v>0.26219999999999999</v>
      </c>
      <c r="V51" s="2">
        <v>1.4021999999999999</v>
      </c>
      <c r="W51" s="2">
        <v>1.1399999999999999</v>
      </c>
      <c r="X51" s="5">
        <f t="shared" si="5"/>
        <v>0</v>
      </c>
      <c r="Z51" s="2" t="s">
        <v>3227</v>
      </c>
      <c r="AA51" s="2" t="s">
        <v>96</v>
      </c>
      <c r="AB51" s="2" t="s">
        <v>76</v>
      </c>
      <c r="AC51" s="2" t="s">
        <v>93</v>
      </c>
      <c r="AF51" s="2">
        <f t="shared" si="1"/>
        <v>0</v>
      </c>
      <c r="AJ51" s="2">
        <f t="shared" si="2"/>
        <v>0</v>
      </c>
      <c r="AK51" s="2">
        <f t="shared" si="6"/>
        <v>0</v>
      </c>
      <c r="AL51" s="5">
        <f t="shared" si="7"/>
        <v>0</v>
      </c>
    </row>
    <row r="52" spans="1:38" x14ac:dyDescent="0.2">
      <c r="A52" s="2">
        <v>2025</v>
      </c>
      <c r="B52" s="2">
        <v>2</v>
      </c>
      <c r="D52" s="2" t="s">
        <v>198</v>
      </c>
      <c r="E52" s="2" t="s">
        <v>108</v>
      </c>
      <c r="G52" s="2">
        <v>507541120</v>
      </c>
      <c r="H52" s="2" t="s">
        <v>40</v>
      </c>
      <c r="I52" s="2" t="s">
        <v>199</v>
      </c>
      <c r="J52" s="2" t="s">
        <v>200</v>
      </c>
      <c r="L52" s="2" t="s">
        <v>201</v>
      </c>
      <c r="M52" s="2" t="s">
        <v>41</v>
      </c>
      <c r="P52" s="2" t="s">
        <v>72</v>
      </c>
      <c r="Q52" s="2" t="s">
        <v>73</v>
      </c>
      <c r="R52" s="2" t="s">
        <v>74</v>
      </c>
      <c r="S52" s="2">
        <v>1</v>
      </c>
      <c r="T52" s="2">
        <v>185</v>
      </c>
      <c r="U52" s="2">
        <v>42.55</v>
      </c>
      <c r="V52" s="2">
        <v>227.55</v>
      </c>
      <c r="W52" s="2">
        <v>117.453</v>
      </c>
      <c r="X52" s="5">
        <f t="shared" si="5"/>
        <v>0.3651189189189189</v>
      </c>
      <c r="Z52" s="2" t="s">
        <v>3227</v>
      </c>
      <c r="AA52" s="2" t="s">
        <v>75</v>
      </c>
      <c r="AB52" s="2" t="s">
        <v>76</v>
      </c>
      <c r="AC52" s="2" t="s">
        <v>77</v>
      </c>
      <c r="AF52" s="2">
        <f t="shared" si="1"/>
        <v>0</v>
      </c>
      <c r="AG52" s="2">
        <v>117.453</v>
      </c>
      <c r="AH52" s="2">
        <v>220</v>
      </c>
      <c r="AJ52" s="2">
        <f t="shared" si="2"/>
        <v>0</v>
      </c>
      <c r="AK52" s="2">
        <f t="shared" si="6"/>
        <v>67.546999999999997</v>
      </c>
      <c r="AL52" s="5">
        <f t="shared" si="7"/>
        <v>0.3651189189189189</v>
      </c>
    </row>
    <row r="53" spans="1:38" x14ac:dyDescent="0.2">
      <c r="A53" s="2">
        <v>2025</v>
      </c>
      <c r="B53" s="2">
        <v>2</v>
      </c>
      <c r="D53" s="2" t="s">
        <v>198</v>
      </c>
      <c r="E53" s="2" t="s">
        <v>108</v>
      </c>
      <c r="G53" s="2">
        <v>507541120</v>
      </c>
      <c r="H53" s="2" t="s">
        <v>40</v>
      </c>
      <c r="I53" s="2" t="s">
        <v>199</v>
      </c>
      <c r="J53" s="2" t="s">
        <v>200</v>
      </c>
      <c r="L53" s="2" t="s">
        <v>201</v>
      </c>
      <c r="M53" s="2" t="s">
        <v>41</v>
      </c>
      <c r="P53" s="2" t="s">
        <v>72</v>
      </c>
      <c r="Q53" s="2" t="s">
        <v>202</v>
      </c>
      <c r="R53" s="2" t="s">
        <v>197</v>
      </c>
      <c r="S53" s="8">
        <v>1</v>
      </c>
      <c r="T53" s="2">
        <v>260</v>
      </c>
      <c r="U53" s="2">
        <v>59.8</v>
      </c>
      <c r="V53" s="2">
        <v>319.8</v>
      </c>
      <c r="W53" s="2">
        <v>152.85</v>
      </c>
      <c r="X53" s="5">
        <f t="shared" si="5"/>
        <v>0.41211538461538466</v>
      </c>
      <c r="Z53" s="2" t="s">
        <v>3227</v>
      </c>
      <c r="AA53" s="2" t="s">
        <v>75</v>
      </c>
      <c r="AB53" s="2" t="s">
        <v>76</v>
      </c>
      <c r="AC53" s="2" t="s">
        <v>77</v>
      </c>
      <c r="AF53" s="2">
        <f t="shared" si="1"/>
        <v>0</v>
      </c>
      <c r="AG53" s="2">
        <v>152.85</v>
      </c>
      <c r="AH53" s="2">
        <v>260</v>
      </c>
      <c r="AJ53" s="2">
        <f t="shared" si="2"/>
        <v>0</v>
      </c>
      <c r="AK53" s="2">
        <f t="shared" si="6"/>
        <v>107.15</v>
      </c>
      <c r="AL53" s="5">
        <f t="shared" si="7"/>
        <v>0.41211538461538466</v>
      </c>
    </row>
    <row r="54" spans="1:38" x14ac:dyDescent="0.2">
      <c r="A54" s="2">
        <v>2025</v>
      </c>
      <c r="B54" s="2">
        <v>2</v>
      </c>
      <c r="D54" s="2" t="s">
        <v>198</v>
      </c>
      <c r="E54" s="2" t="s">
        <v>108</v>
      </c>
      <c r="G54" s="2">
        <v>507541120</v>
      </c>
      <c r="H54" s="2" t="s">
        <v>40</v>
      </c>
      <c r="I54" s="2" t="s">
        <v>199</v>
      </c>
      <c r="J54" s="2" t="s">
        <v>200</v>
      </c>
      <c r="L54" s="2" t="s">
        <v>201</v>
      </c>
      <c r="M54" s="2" t="s">
        <v>41</v>
      </c>
      <c r="P54" s="2" t="s">
        <v>93</v>
      </c>
      <c r="Q54" s="2" t="s">
        <v>94</v>
      </c>
      <c r="R54" s="2" t="s">
        <v>95</v>
      </c>
      <c r="S54" s="2">
        <v>2</v>
      </c>
      <c r="T54" s="2">
        <v>2.2799999999999998</v>
      </c>
      <c r="U54" s="2">
        <v>0.52439999999999998</v>
      </c>
      <c r="V54" s="2">
        <v>2.8043999999999998</v>
      </c>
      <c r="W54" s="2">
        <v>2.2799999999999998</v>
      </c>
      <c r="X54" s="5">
        <f t="shared" si="5"/>
        <v>0</v>
      </c>
      <c r="Z54" s="2" t="s">
        <v>3227</v>
      </c>
      <c r="AA54" s="2" t="s">
        <v>96</v>
      </c>
      <c r="AB54" s="2" t="s">
        <v>76</v>
      </c>
      <c r="AC54" s="2" t="s">
        <v>93</v>
      </c>
      <c r="AF54" s="2">
        <f t="shared" si="1"/>
        <v>0</v>
      </c>
      <c r="AJ54" s="2">
        <f t="shared" si="2"/>
        <v>0</v>
      </c>
      <c r="AK54" s="2">
        <f t="shared" si="6"/>
        <v>0</v>
      </c>
      <c r="AL54" s="5">
        <f t="shared" si="7"/>
        <v>0</v>
      </c>
    </row>
    <row r="55" spans="1:38" x14ac:dyDescent="0.2">
      <c r="A55" s="2">
        <v>2025</v>
      </c>
      <c r="B55" s="2">
        <v>3</v>
      </c>
      <c r="D55" s="2" t="s">
        <v>37</v>
      </c>
      <c r="E55" s="2" t="s">
        <v>38</v>
      </c>
      <c r="F55" s="2" t="s">
        <v>39</v>
      </c>
      <c r="H55" s="2" t="s">
        <v>40</v>
      </c>
      <c r="L55" s="2" t="s">
        <v>3270</v>
      </c>
      <c r="M55" s="2" t="s">
        <v>41</v>
      </c>
      <c r="O55" s="2" t="s">
        <v>203</v>
      </c>
      <c r="P55" s="2" t="s">
        <v>43</v>
      </c>
      <c r="Q55" s="2" t="s">
        <v>44</v>
      </c>
      <c r="R55" s="2" t="s">
        <v>45</v>
      </c>
      <c r="S55" s="2">
        <v>1</v>
      </c>
      <c r="T55" s="2">
        <v>25.2</v>
      </c>
      <c r="U55" s="2">
        <v>5.7960000000000003</v>
      </c>
      <c r="V55" s="2">
        <v>30.995999999999999</v>
      </c>
      <c r="W55" s="2">
        <v>14.535</v>
      </c>
      <c r="X55" s="5">
        <f t="shared" si="5"/>
        <v>0.42321428571428571</v>
      </c>
      <c r="Z55" s="2" t="s">
        <v>3227</v>
      </c>
      <c r="AA55" s="2" t="s">
        <v>46</v>
      </c>
      <c r="AB55" s="2" t="s">
        <v>47</v>
      </c>
      <c r="AC55" s="2" t="s">
        <v>57</v>
      </c>
      <c r="AF55" s="2">
        <f t="shared" si="1"/>
        <v>0</v>
      </c>
      <c r="AG55" s="2">
        <v>14.535</v>
      </c>
      <c r="AH55" s="2">
        <v>25.2</v>
      </c>
      <c r="AJ55" s="2">
        <f t="shared" si="2"/>
        <v>0</v>
      </c>
      <c r="AK55" s="2">
        <f t="shared" si="6"/>
        <v>10.664999999999999</v>
      </c>
      <c r="AL55" s="5">
        <f t="shared" si="7"/>
        <v>0.42321428571428571</v>
      </c>
    </row>
    <row r="56" spans="1:38" x14ac:dyDescent="0.2">
      <c r="A56" s="2">
        <v>2025</v>
      </c>
      <c r="B56" s="2">
        <v>3</v>
      </c>
      <c r="D56" s="2" t="s">
        <v>37</v>
      </c>
      <c r="E56" s="2" t="s">
        <v>38</v>
      </c>
      <c r="F56" s="2" t="s">
        <v>39</v>
      </c>
      <c r="H56" s="2" t="s">
        <v>40</v>
      </c>
      <c r="P56" s="2" t="s">
        <v>43</v>
      </c>
      <c r="Q56" s="2" t="s">
        <v>48</v>
      </c>
      <c r="R56" s="2" t="s">
        <v>49</v>
      </c>
      <c r="S56" s="2">
        <v>3</v>
      </c>
      <c r="T56" s="2">
        <v>30</v>
      </c>
      <c r="U56" s="2">
        <v>6.9</v>
      </c>
      <c r="V56" s="2">
        <v>36.9</v>
      </c>
      <c r="W56" s="2">
        <f>6.6267*S56</f>
        <v>19.880099999999999</v>
      </c>
      <c r="X56" s="5">
        <f t="shared" si="5"/>
        <v>0.33733000000000002</v>
      </c>
      <c r="Z56" s="2" t="s">
        <v>3227</v>
      </c>
      <c r="AA56" s="2" t="s">
        <v>46</v>
      </c>
      <c r="AB56" s="2" t="s">
        <v>47</v>
      </c>
      <c r="AC56" s="2" t="s">
        <v>57</v>
      </c>
      <c r="AF56" s="2">
        <f t="shared" si="1"/>
        <v>0</v>
      </c>
      <c r="AG56" s="2">
        <v>6.6266999999999996</v>
      </c>
      <c r="AH56" s="2">
        <v>12</v>
      </c>
      <c r="AJ56" s="2">
        <f t="shared" si="2"/>
        <v>0</v>
      </c>
      <c r="AK56" s="2">
        <f t="shared" si="6"/>
        <v>10.119900000000001</v>
      </c>
      <c r="AL56" s="5">
        <f t="shared" si="7"/>
        <v>0.33733000000000002</v>
      </c>
    </row>
    <row r="57" spans="1:38" x14ac:dyDescent="0.2">
      <c r="A57" s="2">
        <v>2025</v>
      </c>
      <c r="B57" s="2">
        <v>3</v>
      </c>
      <c r="D57" s="2" t="s">
        <v>37</v>
      </c>
      <c r="E57" s="2" t="s">
        <v>38</v>
      </c>
      <c r="F57" s="2" t="s">
        <v>39</v>
      </c>
      <c r="H57" s="2" t="s">
        <v>40</v>
      </c>
      <c r="P57" s="2" t="s">
        <v>43</v>
      </c>
      <c r="Q57" s="2" t="s">
        <v>54</v>
      </c>
      <c r="R57" s="2" t="s">
        <v>55</v>
      </c>
      <c r="S57" s="2">
        <v>4</v>
      </c>
      <c r="T57" s="2">
        <v>66</v>
      </c>
      <c r="U57" s="2">
        <v>15.18</v>
      </c>
      <c r="V57" s="2">
        <v>81.180000000000007</v>
      </c>
      <c r="W57" s="2">
        <f>10.6*S57</f>
        <v>42.4</v>
      </c>
      <c r="X57" s="5">
        <f t="shared" si="5"/>
        <v>0.3575757575757576</v>
      </c>
      <c r="Z57" s="2" t="s">
        <v>3227</v>
      </c>
      <c r="AA57" s="2" t="s">
        <v>46</v>
      </c>
      <c r="AB57" s="2" t="s">
        <v>56</v>
      </c>
      <c r="AC57" s="2" t="s">
        <v>57</v>
      </c>
      <c r="AF57" s="2">
        <f t="shared" si="1"/>
        <v>0</v>
      </c>
      <c r="AG57" s="2">
        <v>10.6</v>
      </c>
      <c r="AH57" s="2">
        <v>18</v>
      </c>
      <c r="AJ57" s="2">
        <f t="shared" si="2"/>
        <v>0</v>
      </c>
      <c r="AK57" s="2">
        <f t="shared" si="6"/>
        <v>23.6</v>
      </c>
      <c r="AL57" s="5">
        <f t="shared" si="7"/>
        <v>0.3575757575757576</v>
      </c>
    </row>
    <row r="58" spans="1:38" x14ac:dyDescent="0.2">
      <c r="A58" s="2">
        <v>2025</v>
      </c>
      <c r="B58" s="2">
        <v>3</v>
      </c>
      <c r="D58" s="2" t="s">
        <v>37</v>
      </c>
      <c r="E58" s="2" t="s">
        <v>38</v>
      </c>
      <c r="F58" s="2" t="s">
        <v>39</v>
      </c>
      <c r="H58" s="2" t="s">
        <v>40</v>
      </c>
      <c r="P58" s="2" t="s">
        <v>43</v>
      </c>
      <c r="Q58" s="2" t="s">
        <v>61</v>
      </c>
      <c r="R58" s="2" t="s">
        <v>62</v>
      </c>
      <c r="S58" s="2">
        <v>1300</v>
      </c>
      <c r="T58" s="2">
        <v>143</v>
      </c>
      <c r="U58" s="2">
        <v>32.89</v>
      </c>
      <c r="V58" s="2">
        <v>175.89</v>
      </c>
      <c r="W58" s="2">
        <f>0.082*S58</f>
        <v>106.60000000000001</v>
      </c>
      <c r="X58" s="5">
        <f t="shared" si="5"/>
        <v>0.25454545454545446</v>
      </c>
      <c r="Z58" s="2" t="s">
        <v>3227</v>
      </c>
      <c r="AA58" s="2" t="s">
        <v>46</v>
      </c>
      <c r="AB58" s="2" t="s">
        <v>60</v>
      </c>
      <c r="AC58" s="2" t="s">
        <v>57</v>
      </c>
      <c r="AF58" s="2">
        <f t="shared" si="1"/>
        <v>0</v>
      </c>
      <c r="AG58" s="2">
        <v>8.1999999999999993</v>
      </c>
      <c r="AH58" s="2">
        <v>13</v>
      </c>
      <c r="AJ58" s="2">
        <f t="shared" si="2"/>
        <v>0</v>
      </c>
      <c r="AK58" s="2">
        <f t="shared" si="6"/>
        <v>36.399999999999991</v>
      </c>
      <c r="AL58" s="5">
        <f t="shared" si="7"/>
        <v>0.25454545454545446</v>
      </c>
    </row>
    <row r="59" spans="1:38" x14ac:dyDescent="0.2">
      <c r="A59" s="2">
        <v>2025</v>
      </c>
      <c r="B59" s="2">
        <v>3</v>
      </c>
      <c r="D59" s="2" t="s">
        <v>37</v>
      </c>
      <c r="E59" s="2" t="s">
        <v>38</v>
      </c>
      <c r="F59" s="2" t="s">
        <v>39</v>
      </c>
      <c r="H59" s="2" t="s">
        <v>40</v>
      </c>
      <c r="P59" s="2" t="s">
        <v>43</v>
      </c>
      <c r="Q59" s="2" t="s">
        <v>204</v>
      </c>
      <c r="R59" s="2" t="s">
        <v>205</v>
      </c>
      <c r="S59" s="2">
        <v>2</v>
      </c>
      <c r="T59" s="2">
        <v>4.8</v>
      </c>
      <c r="U59" s="2">
        <v>1.1040000000000001</v>
      </c>
      <c r="V59" s="2">
        <v>5.9039999999999999</v>
      </c>
      <c r="W59" s="2">
        <f>1.832*S59</f>
        <v>3.6640000000000001</v>
      </c>
      <c r="X59" s="5">
        <f t="shared" si="5"/>
        <v>0.23666666666666661</v>
      </c>
      <c r="Z59" s="2" t="s">
        <v>3227</v>
      </c>
      <c r="AA59" s="2" t="s">
        <v>46</v>
      </c>
      <c r="AB59" s="2" t="s">
        <v>60</v>
      </c>
      <c r="AC59" s="2" t="s">
        <v>57</v>
      </c>
      <c r="AF59" s="2">
        <f t="shared" si="1"/>
        <v>0</v>
      </c>
      <c r="AG59" s="2">
        <v>1.8320000000000001</v>
      </c>
      <c r="AH59" s="2">
        <v>2.4</v>
      </c>
      <c r="AJ59" s="2">
        <f t="shared" si="2"/>
        <v>0</v>
      </c>
      <c r="AK59" s="2">
        <f t="shared" si="6"/>
        <v>1.1359999999999997</v>
      </c>
      <c r="AL59" s="5">
        <f t="shared" si="7"/>
        <v>0.23666666666666661</v>
      </c>
    </row>
    <row r="60" spans="1:38" x14ac:dyDescent="0.2">
      <c r="A60" s="2">
        <v>2025</v>
      </c>
      <c r="B60" s="2">
        <v>3</v>
      </c>
      <c r="D60" s="2" t="s">
        <v>37</v>
      </c>
      <c r="E60" s="2" t="s">
        <v>38</v>
      </c>
      <c r="F60" s="2" t="s">
        <v>39</v>
      </c>
      <c r="H60" s="2" t="s">
        <v>40</v>
      </c>
      <c r="P60" s="2" t="s">
        <v>72</v>
      </c>
      <c r="Q60" s="2" t="s">
        <v>206</v>
      </c>
      <c r="R60" s="2" t="s">
        <v>207</v>
      </c>
      <c r="S60" s="2">
        <v>1</v>
      </c>
      <c r="T60" s="2">
        <v>560</v>
      </c>
      <c r="U60" s="2">
        <v>128.80000000000001</v>
      </c>
      <c r="V60" s="2">
        <v>688.8</v>
      </c>
      <c r="W60" s="2">
        <f>291.59*S60</f>
        <v>291.58999999999997</v>
      </c>
      <c r="X60" s="5">
        <f t="shared" si="5"/>
        <v>0.4793035714285715</v>
      </c>
      <c r="Z60" s="2" t="s">
        <v>3227</v>
      </c>
      <c r="AA60" s="2" t="s">
        <v>75</v>
      </c>
      <c r="AB60" s="2" t="s">
        <v>76</v>
      </c>
      <c r="AC60" s="2" t="s">
        <v>77</v>
      </c>
      <c r="AF60" s="2">
        <f t="shared" si="1"/>
        <v>0</v>
      </c>
      <c r="AG60" s="2">
        <v>291.58999999999997</v>
      </c>
      <c r="AH60" s="2">
        <v>450</v>
      </c>
      <c r="AJ60" s="2">
        <f t="shared" si="2"/>
        <v>0</v>
      </c>
      <c r="AK60" s="2">
        <f t="shared" si="6"/>
        <v>268.41000000000003</v>
      </c>
      <c r="AL60" s="5">
        <f t="shared" si="7"/>
        <v>0.4793035714285715</v>
      </c>
    </row>
    <row r="61" spans="1:38" x14ac:dyDescent="0.2">
      <c r="A61" s="2">
        <v>2025</v>
      </c>
      <c r="B61" s="2">
        <v>3</v>
      </c>
      <c r="D61" s="2" t="s">
        <v>37</v>
      </c>
      <c r="E61" s="2" t="s">
        <v>38</v>
      </c>
      <c r="F61" s="2" t="s">
        <v>39</v>
      </c>
      <c r="H61" s="2" t="s">
        <v>40</v>
      </c>
      <c r="P61" s="2" t="s">
        <v>93</v>
      </c>
      <c r="Q61" s="2" t="s">
        <v>94</v>
      </c>
      <c r="R61" s="2" t="s">
        <v>95</v>
      </c>
      <c r="S61" s="2">
        <v>1</v>
      </c>
      <c r="T61" s="2">
        <v>1.1399999999999999</v>
      </c>
      <c r="U61" s="2">
        <v>0.26219999999999999</v>
      </c>
      <c r="V61" s="2">
        <v>1.4021999999999999</v>
      </c>
      <c r="W61" s="2">
        <v>1.1399999999999999</v>
      </c>
      <c r="X61" s="5">
        <f t="shared" ref="X61:X92" si="8">(T61-W61)/T61</f>
        <v>0</v>
      </c>
      <c r="Z61" s="2" t="s">
        <v>3227</v>
      </c>
      <c r="AA61" s="2" t="s">
        <v>96</v>
      </c>
      <c r="AB61" s="2" t="s">
        <v>76</v>
      </c>
      <c r="AC61" s="2" t="s">
        <v>93</v>
      </c>
      <c r="AF61" s="2">
        <f t="shared" si="1"/>
        <v>0</v>
      </c>
      <c r="AJ61" s="2">
        <f t="shared" si="2"/>
        <v>0</v>
      </c>
      <c r="AK61" s="2">
        <f t="shared" ref="AK61:AK92" si="9">T61-W61</f>
        <v>0</v>
      </c>
      <c r="AL61" s="5">
        <f t="shared" ref="AL61:AL92" si="10">(T61-W61)/T61</f>
        <v>0</v>
      </c>
    </row>
    <row r="62" spans="1:38" x14ac:dyDescent="0.2">
      <c r="A62" s="2">
        <v>2025</v>
      </c>
      <c r="B62" s="2">
        <v>3</v>
      </c>
      <c r="D62" s="2" t="s">
        <v>97</v>
      </c>
      <c r="E62" s="2" t="s">
        <v>98</v>
      </c>
      <c r="F62" s="2" t="s">
        <v>39</v>
      </c>
      <c r="G62" s="2">
        <v>517450925</v>
      </c>
      <c r="H62" s="2" t="s">
        <v>40</v>
      </c>
      <c r="I62" s="2" t="s">
        <v>99</v>
      </c>
      <c r="J62" s="2" t="s">
        <v>100</v>
      </c>
      <c r="L62" s="2" t="s">
        <v>99</v>
      </c>
      <c r="M62" s="2" t="s">
        <v>40</v>
      </c>
      <c r="P62" s="2" t="s">
        <v>114</v>
      </c>
      <c r="Q62" s="2" t="s">
        <v>179</v>
      </c>
      <c r="R62" s="2" t="s">
        <v>180</v>
      </c>
      <c r="S62" s="2">
        <v>1</v>
      </c>
      <c r="T62" s="2">
        <v>525</v>
      </c>
      <c r="U62" s="2">
        <v>120.75</v>
      </c>
      <c r="V62" s="2">
        <v>645.75</v>
      </c>
      <c r="W62" s="2">
        <v>346.57</v>
      </c>
      <c r="X62" s="5">
        <f t="shared" si="8"/>
        <v>0.33986666666666671</v>
      </c>
      <c r="Z62" s="2" t="s">
        <v>117</v>
      </c>
      <c r="AA62" s="2" t="s">
        <v>181</v>
      </c>
      <c r="AB62" s="2" t="s">
        <v>119</v>
      </c>
      <c r="AC62" s="2" t="s">
        <v>114</v>
      </c>
      <c r="AF62" s="2">
        <f t="shared" si="1"/>
        <v>0</v>
      </c>
      <c r="AJ62" s="2">
        <f t="shared" si="2"/>
        <v>0</v>
      </c>
      <c r="AK62" s="2">
        <f t="shared" si="9"/>
        <v>178.43</v>
      </c>
      <c r="AL62" s="5">
        <f t="shared" si="10"/>
        <v>0.33986666666666671</v>
      </c>
    </row>
    <row r="63" spans="1:38" x14ac:dyDescent="0.2">
      <c r="A63" s="2">
        <v>2025</v>
      </c>
      <c r="B63" s="2">
        <v>3</v>
      </c>
      <c r="D63" s="2" t="s">
        <v>97</v>
      </c>
      <c r="E63" s="2" t="s">
        <v>98</v>
      </c>
      <c r="F63" s="2" t="s">
        <v>39</v>
      </c>
      <c r="G63" s="2">
        <v>517450925</v>
      </c>
      <c r="H63" s="2" t="s">
        <v>40</v>
      </c>
      <c r="I63" s="2" t="s">
        <v>99</v>
      </c>
      <c r="J63" s="2" t="s">
        <v>100</v>
      </c>
      <c r="L63" s="2" t="s">
        <v>99</v>
      </c>
      <c r="M63" s="2" t="s">
        <v>40</v>
      </c>
      <c r="O63" s="2" t="s">
        <v>3114</v>
      </c>
      <c r="P63" s="2" t="s">
        <v>43</v>
      </c>
      <c r="Q63" s="2" t="s">
        <v>48</v>
      </c>
      <c r="R63" s="2" t="s">
        <v>49</v>
      </c>
      <c r="S63" s="2">
        <v>2</v>
      </c>
      <c r="T63" s="2">
        <v>20.399999999999999</v>
      </c>
      <c r="U63" s="2">
        <v>4.6920000000000002</v>
      </c>
      <c r="V63" s="2">
        <v>25.091999999999999</v>
      </c>
      <c r="W63" s="2">
        <f>6.6267*S63</f>
        <v>13.253399999999999</v>
      </c>
      <c r="X63" s="5">
        <f t="shared" si="8"/>
        <v>0.3503235294117647</v>
      </c>
      <c r="Z63" s="2" t="s">
        <v>3227</v>
      </c>
      <c r="AA63" s="2" t="s">
        <v>46</v>
      </c>
      <c r="AB63" s="2" t="s">
        <v>47</v>
      </c>
      <c r="AC63" s="2" t="s">
        <v>57</v>
      </c>
      <c r="AF63" s="2">
        <f t="shared" si="1"/>
        <v>0</v>
      </c>
      <c r="AG63" s="2">
        <v>6.6266999999999996</v>
      </c>
      <c r="AH63" s="2">
        <v>12</v>
      </c>
      <c r="AJ63" s="2">
        <f t="shared" si="2"/>
        <v>0</v>
      </c>
      <c r="AK63" s="2">
        <f t="shared" si="9"/>
        <v>7.1465999999999994</v>
      </c>
      <c r="AL63" s="5">
        <f t="shared" si="10"/>
        <v>0.3503235294117647</v>
      </c>
    </row>
    <row r="64" spans="1:38" x14ac:dyDescent="0.2">
      <c r="A64" s="2">
        <v>2025</v>
      </c>
      <c r="B64" s="2">
        <v>3</v>
      </c>
      <c r="D64" s="2" t="s">
        <v>97</v>
      </c>
      <c r="E64" s="2" t="s">
        <v>98</v>
      </c>
      <c r="F64" s="2" t="s">
        <v>39</v>
      </c>
      <c r="G64" s="2">
        <v>517450925</v>
      </c>
      <c r="H64" s="2" t="s">
        <v>40</v>
      </c>
      <c r="I64" s="2" t="s">
        <v>99</v>
      </c>
      <c r="J64" s="2" t="s">
        <v>100</v>
      </c>
      <c r="L64" s="2" t="s">
        <v>99</v>
      </c>
      <c r="M64" s="2" t="s">
        <v>40</v>
      </c>
      <c r="O64" s="2" t="s">
        <v>3114</v>
      </c>
      <c r="P64" s="2" t="s">
        <v>43</v>
      </c>
      <c r="Q64" s="2" t="s">
        <v>50</v>
      </c>
      <c r="R64" s="2" t="s">
        <v>51</v>
      </c>
      <c r="S64" s="2">
        <v>1</v>
      </c>
      <c r="T64" s="2">
        <v>14.28</v>
      </c>
      <c r="U64" s="2">
        <v>3.2844000000000002</v>
      </c>
      <c r="V64" s="2">
        <v>17.564399999999999</v>
      </c>
      <c r="W64" s="2">
        <f>14.4*S64</f>
        <v>14.4</v>
      </c>
      <c r="X64" s="5">
        <f t="shared" si="8"/>
        <v>-8.4033613445378859E-3</v>
      </c>
      <c r="Z64" s="2" t="s">
        <v>3227</v>
      </c>
      <c r="AA64" s="2" t="s">
        <v>46</v>
      </c>
      <c r="AB64" s="2" t="s">
        <v>47</v>
      </c>
      <c r="AC64" s="2" t="s">
        <v>57</v>
      </c>
      <c r="AF64" s="2">
        <f t="shared" si="1"/>
        <v>0</v>
      </c>
      <c r="AG64" s="2">
        <v>10.2346</v>
      </c>
      <c r="AH64" s="2">
        <v>18</v>
      </c>
      <c r="AJ64" s="2">
        <f t="shared" si="2"/>
        <v>0</v>
      </c>
      <c r="AK64" s="2">
        <f t="shared" si="9"/>
        <v>-0.12000000000000099</v>
      </c>
      <c r="AL64" s="5">
        <f t="shared" si="10"/>
        <v>-8.4033613445378859E-3</v>
      </c>
    </row>
    <row r="65" spans="1:38" x14ac:dyDescent="0.2">
      <c r="A65" s="2">
        <v>2025</v>
      </c>
      <c r="B65" s="2">
        <v>3</v>
      </c>
      <c r="D65" s="2" t="s">
        <v>97</v>
      </c>
      <c r="E65" s="2" t="s">
        <v>98</v>
      </c>
      <c r="F65" s="2" t="s">
        <v>39</v>
      </c>
      <c r="G65" s="2">
        <v>517450925</v>
      </c>
      <c r="H65" s="2" t="s">
        <v>40</v>
      </c>
      <c r="I65" s="2" t="s">
        <v>99</v>
      </c>
      <c r="J65" s="2" t="s">
        <v>100</v>
      </c>
      <c r="L65" s="2" t="s">
        <v>99</v>
      </c>
      <c r="M65" s="2" t="s">
        <v>40</v>
      </c>
      <c r="O65" s="2" t="s">
        <v>3114</v>
      </c>
      <c r="P65" s="2" t="s">
        <v>43</v>
      </c>
      <c r="Q65" s="2" t="s">
        <v>208</v>
      </c>
      <c r="R65" s="2" t="s">
        <v>209</v>
      </c>
      <c r="S65" s="2">
        <v>1</v>
      </c>
      <c r="T65" s="2">
        <v>17.34</v>
      </c>
      <c r="U65" s="2">
        <v>3.9882</v>
      </c>
      <c r="V65" s="2">
        <v>21.328199999999999</v>
      </c>
      <c r="W65" s="2">
        <f>9.8308*S65</f>
        <v>9.8308</v>
      </c>
      <c r="X65" s="5">
        <f t="shared" si="8"/>
        <v>0.43305651672433682</v>
      </c>
      <c r="Z65" s="2" t="s">
        <v>3227</v>
      </c>
      <c r="AA65" s="2" t="s">
        <v>46</v>
      </c>
      <c r="AB65" s="2" t="s">
        <v>47</v>
      </c>
      <c r="AC65" s="2" t="s">
        <v>57</v>
      </c>
      <c r="AF65" s="2">
        <f t="shared" si="1"/>
        <v>0</v>
      </c>
      <c r="AJ65" s="2">
        <f t="shared" si="2"/>
        <v>0</v>
      </c>
      <c r="AK65" s="2">
        <f t="shared" si="9"/>
        <v>7.5091999999999999</v>
      </c>
      <c r="AL65" s="5">
        <f t="shared" si="10"/>
        <v>0.43305651672433682</v>
      </c>
    </row>
    <row r="66" spans="1:38" x14ac:dyDescent="0.2">
      <c r="A66" s="2">
        <v>2025</v>
      </c>
      <c r="B66" s="2">
        <v>3</v>
      </c>
      <c r="D66" s="2" t="s">
        <v>97</v>
      </c>
      <c r="E66" s="2" t="s">
        <v>98</v>
      </c>
      <c r="F66" s="2" t="s">
        <v>39</v>
      </c>
      <c r="G66" s="2">
        <v>517450925</v>
      </c>
      <c r="H66" s="2" t="s">
        <v>40</v>
      </c>
      <c r="I66" s="2" t="s">
        <v>99</v>
      </c>
      <c r="J66" s="2" t="s">
        <v>100</v>
      </c>
      <c r="L66" s="2" t="s">
        <v>99</v>
      </c>
      <c r="M66" s="2" t="s">
        <v>40</v>
      </c>
      <c r="O66" s="2" t="s">
        <v>3114</v>
      </c>
      <c r="P66" s="2" t="s">
        <v>43</v>
      </c>
      <c r="Q66" s="2" t="s">
        <v>210</v>
      </c>
      <c r="R66" s="2" t="s">
        <v>211</v>
      </c>
      <c r="S66" s="2">
        <v>1</v>
      </c>
      <c r="T66" s="2">
        <v>18.87</v>
      </c>
      <c r="U66" s="2">
        <v>4.3401000000000014</v>
      </c>
      <c r="V66" s="2">
        <v>23.210100000000001</v>
      </c>
      <c r="W66" s="2">
        <f>12.1*S66</f>
        <v>12.1</v>
      </c>
      <c r="X66" s="5">
        <f t="shared" si="8"/>
        <v>0.35877053524112351</v>
      </c>
      <c r="Z66" s="2" t="s">
        <v>3227</v>
      </c>
      <c r="AA66" s="2" t="s">
        <v>46</v>
      </c>
      <c r="AB66" s="2" t="s">
        <v>47</v>
      </c>
      <c r="AC66" s="2" t="s">
        <v>57</v>
      </c>
      <c r="AF66" s="2">
        <f t="shared" ref="AF66:AF129" si="11">AJ66</f>
        <v>0</v>
      </c>
      <c r="AJ66" s="2">
        <f t="shared" ref="AJ66:AJ129" si="12">AI66*T66</f>
        <v>0</v>
      </c>
      <c r="AK66" s="2">
        <f t="shared" si="9"/>
        <v>6.7700000000000014</v>
      </c>
      <c r="AL66" s="5">
        <f t="shared" si="10"/>
        <v>0.35877053524112351</v>
      </c>
    </row>
    <row r="67" spans="1:38" x14ac:dyDescent="0.2">
      <c r="A67" s="2">
        <v>2025</v>
      </c>
      <c r="B67" s="2">
        <v>3</v>
      </c>
      <c r="D67" s="2" t="s">
        <v>97</v>
      </c>
      <c r="E67" s="2" t="s">
        <v>98</v>
      </c>
      <c r="F67" s="2" t="s">
        <v>39</v>
      </c>
      <c r="G67" s="2">
        <v>517450925</v>
      </c>
      <c r="H67" s="2" t="s">
        <v>40</v>
      </c>
      <c r="I67" s="2" t="s">
        <v>99</v>
      </c>
      <c r="J67" s="2" t="s">
        <v>100</v>
      </c>
      <c r="L67" s="2" t="s">
        <v>99</v>
      </c>
      <c r="M67" s="2" t="s">
        <v>40</v>
      </c>
      <c r="O67" s="2" t="s">
        <v>3114</v>
      </c>
      <c r="P67" s="2" t="s">
        <v>43</v>
      </c>
      <c r="Q67" s="2" t="s">
        <v>212</v>
      </c>
      <c r="R67" s="2" t="s">
        <v>213</v>
      </c>
      <c r="S67" s="2">
        <v>1</v>
      </c>
      <c r="T67" s="2">
        <v>37.74</v>
      </c>
      <c r="U67" s="2">
        <v>8.680200000000001</v>
      </c>
      <c r="V67" s="2">
        <v>46.420200000000001</v>
      </c>
      <c r="W67" s="2">
        <f>25.6</f>
        <v>25.6</v>
      </c>
      <c r="X67" s="5">
        <f t="shared" si="8"/>
        <v>0.32167461579226286</v>
      </c>
      <c r="Z67" s="2" t="s">
        <v>3227</v>
      </c>
      <c r="AA67" s="2" t="s">
        <v>46</v>
      </c>
      <c r="AB67" s="2" t="s">
        <v>47</v>
      </c>
      <c r="AC67" s="2" t="s">
        <v>57</v>
      </c>
      <c r="AF67" s="2">
        <f t="shared" si="11"/>
        <v>0</v>
      </c>
      <c r="AJ67" s="2">
        <f t="shared" si="12"/>
        <v>0</v>
      </c>
      <c r="AK67" s="2">
        <f t="shared" si="9"/>
        <v>12.14</v>
      </c>
      <c r="AL67" s="5">
        <f t="shared" si="10"/>
        <v>0.32167461579226286</v>
      </c>
    </row>
    <row r="68" spans="1:38" x14ac:dyDescent="0.2">
      <c r="A68" s="2">
        <v>2025</v>
      </c>
      <c r="B68" s="2">
        <v>3</v>
      </c>
      <c r="D68" s="2" t="s">
        <v>97</v>
      </c>
      <c r="E68" s="2" t="s">
        <v>98</v>
      </c>
      <c r="F68" s="2" t="s">
        <v>39</v>
      </c>
      <c r="G68" s="2">
        <v>517450925</v>
      </c>
      <c r="H68" s="2" t="s">
        <v>40</v>
      </c>
      <c r="I68" s="2" t="s">
        <v>99</v>
      </c>
      <c r="J68" s="2" t="s">
        <v>100</v>
      </c>
      <c r="L68" s="2" t="s">
        <v>99</v>
      </c>
      <c r="M68" s="2" t="s">
        <v>40</v>
      </c>
      <c r="O68" s="2" t="s">
        <v>3114</v>
      </c>
      <c r="P68" s="2" t="s">
        <v>43</v>
      </c>
      <c r="Q68" s="2" t="s">
        <v>160</v>
      </c>
      <c r="R68" s="2" t="s">
        <v>161</v>
      </c>
      <c r="S68" s="2">
        <v>2</v>
      </c>
      <c r="T68" s="2">
        <v>13.26</v>
      </c>
      <c r="U68" s="2">
        <v>3.0497999999999998</v>
      </c>
      <c r="V68" s="2">
        <v>16.309799999999999</v>
      </c>
      <c r="W68" s="2">
        <f>3.7358*S68</f>
        <v>7.4715999999999996</v>
      </c>
      <c r="X68" s="5">
        <f t="shared" si="8"/>
        <v>0.43653092006033184</v>
      </c>
      <c r="Z68" s="2" t="s">
        <v>3227</v>
      </c>
      <c r="AA68" s="2" t="s">
        <v>46</v>
      </c>
      <c r="AB68" s="2" t="s">
        <v>47</v>
      </c>
      <c r="AC68" s="2" t="s">
        <v>57</v>
      </c>
      <c r="AF68" s="2">
        <f t="shared" si="11"/>
        <v>0</v>
      </c>
      <c r="AG68" s="2">
        <v>3.7357999999999998</v>
      </c>
      <c r="AH68" s="2">
        <v>9</v>
      </c>
      <c r="AJ68" s="2">
        <f t="shared" si="12"/>
        <v>0</v>
      </c>
      <c r="AK68" s="2">
        <f t="shared" si="9"/>
        <v>5.7884000000000002</v>
      </c>
      <c r="AL68" s="5">
        <f t="shared" si="10"/>
        <v>0.43653092006033184</v>
      </c>
    </row>
    <row r="69" spans="1:38" x14ac:dyDescent="0.2">
      <c r="A69" s="2">
        <v>2025</v>
      </c>
      <c r="B69" s="2">
        <v>3</v>
      </c>
      <c r="D69" s="2" t="s">
        <v>97</v>
      </c>
      <c r="E69" s="2" t="s">
        <v>98</v>
      </c>
      <c r="F69" s="2" t="s">
        <v>39</v>
      </c>
      <c r="G69" s="2">
        <v>517450925</v>
      </c>
      <c r="H69" s="2" t="s">
        <v>40</v>
      </c>
      <c r="I69" s="2" t="s">
        <v>99</v>
      </c>
      <c r="J69" s="2" t="s">
        <v>100</v>
      </c>
      <c r="L69" s="2" t="s">
        <v>99</v>
      </c>
      <c r="M69" s="2" t="s">
        <v>40</v>
      </c>
      <c r="O69" s="2" t="s">
        <v>3114</v>
      </c>
      <c r="P69" s="2" t="s">
        <v>43</v>
      </c>
      <c r="Q69" s="2" t="s">
        <v>52</v>
      </c>
      <c r="R69" s="2" t="s">
        <v>53</v>
      </c>
      <c r="S69" s="2">
        <v>2</v>
      </c>
      <c r="T69" s="2">
        <v>16.32</v>
      </c>
      <c r="U69" s="2">
        <v>3.7536</v>
      </c>
      <c r="V69" s="2">
        <v>20.073599999999999</v>
      </c>
      <c r="W69" s="2">
        <f>5.2973*S69</f>
        <v>10.5946</v>
      </c>
      <c r="X69" s="5">
        <f t="shared" si="8"/>
        <v>0.35082107843137256</v>
      </c>
      <c r="Z69" s="2" t="s">
        <v>3227</v>
      </c>
      <c r="AA69" s="2" t="s">
        <v>46</v>
      </c>
      <c r="AB69" s="2" t="s">
        <v>47</v>
      </c>
      <c r="AC69" s="2" t="s">
        <v>57</v>
      </c>
      <c r="AF69" s="2">
        <f t="shared" si="11"/>
        <v>0</v>
      </c>
      <c r="AG69" s="2">
        <v>5.2972999999999999</v>
      </c>
      <c r="AH69" s="2">
        <v>10.8</v>
      </c>
      <c r="AJ69" s="2">
        <f t="shared" si="12"/>
        <v>0</v>
      </c>
      <c r="AK69" s="2">
        <f t="shared" si="9"/>
        <v>5.7254000000000005</v>
      </c>
      <c r="AL69" s="5">
        <f t="shared" si="10"/>
        <v>0.35082107843137256</v>
      </c>
    </row>
    <row r="70" spans="1:38" x14ac:dyDescent="0.2">
      <c r="A70" s="2">
        <v>2025</v>
      </c>
      <c r="B70" s="2">
        <v>3</v>
      </c>
      <c r="D70" s="2" t="s">
        <v>97</v>
      </c>
      <c r="E70" s="2" t="s">
        <v>98</v>
      </c>
      <c r="F70" s="2" t="s">
        <v>39</v>
      </c>
      <c r="G70" s="2">
        <v>517450925</v>
      </c>
      <c r="H70" s="2" t="s">
        <v>40</v>
      </c>
      <c r="I70" s="2" t="s">
        <v>99</v>
      </c>
      <c r="J70" s="2" t="s">
        <v>100</v>
      </c>
      <c r="L70" s="2" t="s">
        <v>99</v>
      </c>
      <c r="M70" s="2" t="s">
        <v>40</v>
      </c>
      <c r="O70" s="2" t="s">
        <v>3114</v>
      </c>
      <c r="P70" s="2" t="s">
        <v>43</v>
      </c>
      <c r="Q70" s="2" t="s">
        <v>214</v>
      </c>
      <c r="R70" s="2" t="s">
        <v>215</v>
      </c>
      <c r="S70" s="2">
        <v>1</v>
      </c>
      <c r="T70" s="2">
        <v>11.73</v>
      </c>
      <c r="U70" s="2">
        <v>2.6979000000000002</v>
      </c>
      <c r="V70" s="2">
        <v>14.427899999999999</v>
      </c>
      <c r="W70" s="2">
        <f>7.915*S70</f>
        <v>7.915</v>
      </c>
      <c r="X70" s="5">
        <f t="shared" si="8"/>
        <v>0.32523444160272807</v>
      </c>
      <c r="Z70" s="2" t="s">
        <v>3227</v>
      </c>
      <c r="AA70" s="2" t="s">
        <v>46</v>
      </c>
      <c r="AB70" s="2" t="s">
        <v>56</v>
      </c>
      <c r="AC70" s="2" t="s">
        <v>57</v>
      </c>
      <c r="AF70" s="2">
        <f t="shared" si="11"/>
        <v>0</v>
      </c>
      <c r="AJ70" s="2">
        <f t="shared" si="12"/>
        <v>0</v>
      </c>
      <c r="AK70" s="2">
        <f t="shared" si="9"/>
        <v>3.8150000000000004</v>
      </c>
      <c r="AL70" s="5">
        <f t="shared" si="10"/>
        <v>0.32523444160272807</v>
      </c>
    </row>
    <row r="71" spans="1:38" x14ac:dyDescent="0.2">
      <c r="A71" s="2">
        <v>2025</v>
      </c>
      <c r="B71" s="2">
        <v>3</v>
      </c>
      <c r="D71" s="2" t="s">
        <v>97</v>
      </c>
      <c r="E71" s="2" t="s">
        <v>98</v>
      </c>
      <c r="F71" s="2" t="s">
        <v>39</v>
      </c>
      <c r="G71" s="2">
        <v>517450925</v>
      </c>
      <c r="H71" s="2" t="s">
        <v>40</v>
      </c>
      <c r="I71" s="2" t="s">
        <v>99</v>
      </c>
      <c r="J71" s="2" t="s">
        <v>100</v>
      </c>
      <c r="L71" s="2" t="s">
        <v>99</v>
      </c>
      <c r="M71" s="2" t="s">
        <v>40</v>
      </c>
      <c r="O71" s="2" t="s">
        <v>3114</v>
      </c>
      <c r="P71" s="2" t="s">
        <v>43</v>
      </c>
      <c r="Q71" s="2" t="s">
        <v>216</v>
      </c>
      <c r="R71" s="2" t="s">
        <v>217</v>
      </c>
      <c r="S71" s="2">
        <v>1</v>
      </c>
      <c r="T71" s="2">
        <v>14.79</v>
      </c>
      <c r="U71" s="2">
        <v>3.4016999999999999</v>
      </c>
      <c r="V71" s="2">
        <v>18.191700000000001</v>
      </c>
      <c r="W71" s="2">
        <v>10.035</v>
      </c>
      <c r="X71" s="5">
        <f t="shared" si="8"/>
        <v>0.32150101419878291</v>
      </c>
      <c r="Z71" s="2" t="s">
        <v>3227</v>
      </c>
      <c r="AA71" s="2" t="s">
        <v>46</v>
      </c>
      <c r="AB71" s="2" t="s">
        <v>56</v>
      </c>
      <c r="AC71" s="2" t="s">
        <v>57</v>
      </c>
      <c r="AF71" s="2">
        <f t="shared" si="11"/>
        <v>0</v>
      </c>
      <c r="AJ71" s="2">
        <f t="shared" si="12"/>
        <v>0</v>
      </c>
      <c r="AK71" s="2">
        <f t="shared" si="9"/>
        <v>4.754999999999999</v>
      </c>
      <c r="AL71" s="5">
        <f t="shared" si="10"/>
        <v>0.32150101419878291</v>
      </c>
    </row>
    <row r="72" spans="1:38" x14ac:dyDescent="0.2">
      <c r="A72" s="2">
        <v>2025</v>
      </c>
      <c r="B72" s="2">
        <v>3</v>
      </c>
      <c r="D72" s="2" t="s">
        <v>97</v>
      </c>
      <c r="E72" s="2" t="s">
        <v>98</v>
      </c>
      <c r="F72" s="2" t="s">
        <v>39</v>
      </c>
      <c r="G72" s="2">
        <v>517450925</v>
      </c>
      <c r="H72" s="2" t="s">
        <v>40</v>
      </c>
      <c r="I72" s="2" t="s">
        <v>99</v>
      </c>
      <c r="J72" s="2" t="s">
        <v>100</v>
      </c>
      <c r="L72" s="2" t="s">
        <v>99</v>
      </c>
      <c r="M72" s="2" t="s">
        <v>40</v>
      </c>
      <c r="O72" s="2" t="s">
        <v>3114</v>
      </c>
      <c r="P72" s="2" t="s">
        <v>43</v>
      </c>
      <c r="Q72" s="2" t="s">
        <v>218</v>
      </c>
      <c r="R72" s="2" t="s">
        <v>219</v>
      </c>
      <c r="S72" s="2">
        <v>1</v>
      </c>
      <c r="T72" s="2">
        <v>17.850000000000001</v>
      </c>
      <c r="U72" s="2">
        <v>4.1055000000000001</v>
      </c>
      <c r="V72" s="2">
        <v>21.955500000000001</v>
      </c>
      <c r="W72" s="2">
        <v>12.4434</v>
      </c>
      <c r="X72" s="5">
        <f t="shared" si="8"/>
        <v>0.30289075630252105</v>
      </c>
      <c r="Z72" s="2" t="s">
        <v>3227</v>
      </c>
      <c r="AA72" s="2" t="s">
        <v>46</v>
      </c>
      <c r="AB72" s="2" t="s">
        <v>56</v>
      </c>
      <c r="AC72" s="2" t="s">
        <v>57</v>
      </c>
      <c r="AF72" s="2">
        <f t="shared" si="11"/>
        <v>0</v>
      </c>
      <c r="AJ72" s="2">
        <f t="shared" si="12"/>
        <v>0</v>
      </c>
      <c r="AK72" s="2">
        <f t="shared" si="9"/>
        <v>5.406600000000001</v>
      </c>
      <c r="AL72" s="5">
        <f t="shared" si="10"/>
        <v>0.30289075630252105</v>
      </c>
    </row>
    <row r="73" spans="1:38" x14ac:dyDescent="0.2">
      <c r="A73" s="2">
        <v>2025</v>
      </c>
      <c r="B73" s="2">
        <v>3</v>
      </c>
      <c r="D73" s="2" t="s">
        <v>97</v>
      </c>
      <c r="E73" s="2" t="s">
        <v>98</v>
      </c>
      <c r="F73" s="2" t="s">
        <v>39</v>
      </c>
      <c r="G73" s="2">
        <v>517450925</v>
      </c>
      <c r="H73" s="2" t="s">
        <v>40</v>
      </c>
      <c r="I73" s="2" t="s">
        <v>99</v>
      </c>
      <c r="J73" s="2" t="s">
        <v>100</v>
      </c>
      <c r="L73" s="2" t="s">
        <v>99</v>
      </c>
      <c r="M73" s="2" t="s">
        <v>40</v>
      </c>
      <c r="O73" s="2" t="s">
        <v>3114</v>
      </c>
      <c r="P73" s="2" t="s">
        <v>43</v>
      </c>
      <c r="Q73" s="2" t="s">
        <v>220</v>
      </c>
      <c r="R73" s="2" t="s">
        <v>221</v>
      </c>
      <c r="S73" s="2">
        <v>1</v>
      </c>
      <c r="T73" s="2">
        <v>20.91</v>
      </c>
      <c r="U73" s="2">
        <v>4.8093000000000004</v>
      </c>
      <c r="V73" s="2">
        <v>25.7193</v>
      </c>
      <c r="W73" s="2">
        <v>14.855</v>
      </c>
      <c r="X73" s="5">
        <f t="shared" si="8"/>
        <v>0.28957436633189859</v>
      </c>
      <c r="Z73" s="2" t="s">
        <v>3227</v>
      </c>
      <c r="AA73" s="2" t="s">
        <v>46</v>
      </c>
      <c r="AB73" s="2" t="s">
        <v>56</v>
      </c>
      <c r="AC73" s="2" t="s">
        <v>57</v>
      </c>
      <c r="AF73" s="2">
        <f t="shared" si="11"/>
        <v>0</v>
      </c>
      <c r="AJ73" s="2">
        <f t="shared" si="12"/>
        <v>0</v>
      </c>
      <c r="AK73" s="2">
        <f t="shared" si="9"/>
        <v>6.0549999999999997</v>
      </c>
      <c r="AL73" s="5">
        <f t="shared" si="10"/>
        <v>0.28957436633189859</v>
      </c>
    </row>
    <row r="74" spans="1:38" x14ac:dyDescent="0.2">
      <c r="A74" s="2">
        <v>2025</v>
      </c>
      <c r="B74" s="2">
        <v>3</v>
      </c>
      <c r="D74" s="2" t="s">
        <v>97</v>
      </c>
      <c r="E74" s="2" t="s">
        <v>98</v>
      </c>
      <c r="F74" s="2" t="s">
        <v>39</v>
      </c>
      <c r="G74" s="2">
        <v>517450925</v>
      </c>
      <c r="H74" s="2" t="s">
        <v>40</v>
      </c>
      <c r="I74" s="2" t="s">
        <v>99</v>
      </c>
      <c r="J74" s="2" t="s">
        <v>100</v>
      </c>
      <c r="L74" s="2" t="s">
        <v>99</v>
      </c>
      <c r="M74" s="2" t="s">
        <v>40</v>
      </c>
      <c r="O74" s="2" t="s">
        <v>3114</v>
      </c>
      <c r="P74" s="2" t="s">
        <v>43</v>
      </c>
      <c r="Q74" s="2" t="s">
        <v>222</v>
      </c>
      <c r="R74" s="2" t="s">
        <v>223</v>
      </c>
      <c r="S74" s="2">
        <v>1</v>
      </c>
      <c r="T74" s="2">
        <v>22.95</v>
      </c>
      <c r="U74" s="2">
        <v>5.2785000000000002</v>
      </c>
      <c r="V74" s="2">
        <v>28.2285</v>
      </c>
      <c r="W74" s="2">
        <f>16*S74</f>
        <v>16</v>
      </c>
      <c r="X74" s="5">
        <f t="shared" si="8"/>
        <v>0.30283224400871456</v>
      </c>
      <c r="Z74" s="2" t="s">
        <v>3227</v>
      </c>
      <c r="AA74" s="2" t="s">
        <v>46</v>
      </c>
      <c r="AB74" s="2" t="s">
        <v>56</v>
      </c>
      <c r="AC74" s="2" t="s">
        <v>57</v>
      </c>
      <c r="AF74" s="2">
        <f t="shared" si="11"/>
        <v>0</v>
      </c>
      <c r="AJ74" s="2">
        <f t="shared" si="12"/>
        <v>0</v>
      </c>
      <c r="AK74" s="2">
        <f t="shared" si="9"/>
        <v>6.9499999999999993</v>
      </c>
      <c r="AL74" s="5">
        <f t="shared" si="10"/>
        <v>0.30283224400871456</v>
      </c>
    </row>
    <row r="75" spans="1:38" x14ac:dyDescent="0.2">
      <c r="A75" s="2">
        <v>2025</v>
      </c>
      <c r="B75" s="2">
        <v>3</v>
      </c>
      <c r="D75" s="2" t="s">
        <v>97</v>
      </c>
      <c r="E75" s="2" t="s">
        <v>98</v>
      </c>
      <c r="F75" s="2" t="s">
        <v>39</v>
      </c>
      <c r="G75" s="2">
        <v>517450925</v>
      </c>
      <c r="H75" s="2" t="s">
        <v>40</v>
      </c>
      <c r="I75" s="2" t="s">
        <v>99</v>
      </c>
      <c r="J75" s="2" t="s">
        <v>100</v>
      </c>
      <c r="L75" s="2" t="s">
        <v>99</v>
      </c>
      <c r="M75" s="2" t="s">
        <v>40</v>
      </c>
      <c r="O75" s="2" t="s">
        <v>3114</v>
      </c>
      <c r="P75" s="2" t="s">
        <v>43</v>
      </c>
      <c r="Q75" s="2" t="s">
        <v>224</v>
      </c>
      <c r="R75" s="2" t="s">
        <v>225</v>
      </c>
      <c r="S75" s="2">
        <v>1</v>
      </c>
      <c r="T75" s="2">
        <v>13.26</v>
      </c>
      <c r="U75" s="2">
        <v>3.0497999999999998</v>
      </c>
      <c r="V75" s="2">
        <v>16.309799999999999</v>
      </c>
      <c r="W75" s="2">
        <v>9.06</v>
      </c>
      <c r="X75" s="5">
        <f t="shared" si="8"/>
        <v>0.31674208144796373</v>
      </c>
      <c r="Z75" s="2" t="s">
        <v>3227</v>
      </c>
      <c r="AA75" s="2" t="s">
        <v>46</v>
      </c>
      <c r="AB75" s="2" t="s">
        <v>56</v>
      </c>
      <c r="AC75" s="2" t="s">
        <v>57</v>
      </c>
      <c r="AF75" s="2">
        <f t="shared" si="11"/>
        <v>0</v>
      </c>
      <c r="AJ75" s="2">
        <f t="shared" si="12"/>
        <v>0</v>
      </c>
      <c r="AK75" s="2">
        <f t="shared" si="9"/>
        <v>4.1999999999999993</v>
      </c>
      <c r="AL75" s="5">
        <f t="shared" si="10"/>
        <v>0.31674208144796373</v>
      </c>
    </row>
    <row r="76" spans="1:38" x14ac:dyDescent="0.2">
      <c r="A76" s="2">
        <v>2025</v>
      </c>
      <c r="B76" s="2">
        <v>3</v>
      </c>
      <c r="D76" s="2" t="s">
        <v>97</v>
      </c>
      <c r="E76" s="2" t="s">
        <v>98</v>
      </c>
      <c r="F76" s="2" t="s">
        <v>39</v>
      </c>
      <c r="G76" s="2">
        <v>517450925</v>
      </c>
      <c r="H76" s="2" t="s">
        <v>40</v>
      </c>
      <c r="I76" s="2" t="s">
        <v>99</v>
      </c>
      <c r="J76" s="2" t="s">
        <v>100</v>
      </c>
      <c r="L76" s="2" t="s">
        <v>99</v>
      </c>
      <c r="M76" s="2" t="s">
        <v>40</v>
      </c>
      <c r="O76" s="2" t="s">
        <v>3114</v>
      </c>
      <c r="P76" s="2" t="s">
        <v>43</v>
      </c>
      <c r="Q76" s="2" t="s">
        <v>226</v>
      </c>
      <c r="R76" s="2" t="s">
        <v>227</v>
      </c>
      <c r="S76" s="2">
        <v>1</v>
      </c>
      <c r="T76" s="2">
        <v>14.79</v>
      </c>
      <c r="U76" s="2">
        <v>3.4016999999999999</v>
      </c>
      <c r="V76" s="2">
        <v>18.191700000000001</v>
      </c>
      <c r="W76" s="2">
        <v>10.46</v>
      </c>
      <c r="X76" s="5">
        <f t="shared" si="8"/>
        <v>0.29276538201487484</v>
      </c>
      <c r="Z76" s="2" t="s">
        <v>3227</v>
      </c>
      <c r="AA76" s="2" t="s">
        <v>46</v>
      </c>
      <c r="AB76" s="2" t="s">
        <v>56</v>
      </c>
      <c r="AC76" s="2" t="s">
        <v>57</v>
      </c>
      <c r="AF76" s="2">
        <f t="shared" si="11"/>
        <v>0</v>
      </c>
      <c r="AJ76" s="2">
        <f t="shared" si="12"/>
        <v>0</v>
      </c>
      <c r="AK76" s="2">
        <f t="shared" si="9"/>
        <v>4.3299999999999983</v>
      </c>
      <c r="AL76" s="5">
        <f t="shared" si="10"/>
        <v>0.29276538201487484</v>
      </c>
    </row>
    <row r="77" spans="1:38" x14ac:dyDescent="0.2">
      <c r="A77" s="2">
        <v>2025</v>
      </c>
      <c r="B77" s="2">
        <v>3</v>
      </c>
      <c r="D77" s="2" t="s">
        <v>97</v>
      </c>
      <c r="E77" s="2" t="s">
        <v>98</v>
      </c>
      <c r="F77" s="2" t="s">
        <v>39</v>
      </c>
      <c r="G77" s="2">
        <v>517450925</v>
      </c>
      <c r="H77" s="2" t="s">
        <v>40</v>
      </c>
      <c r="I77" s="2" t="s">
        <v>99</v>
      </c>
      <c r="J77" s="2" t="s">
        <v>100</v>
      </c>
      <c r="L77" s="2" t="s">
        <v>99</v>
      </c>
      <c r="M77" s="2" t="s">
        <v>40</v>
      </c>
      <c r="O77" s="2" t="s">
        <v>3114</v>
      </c>
      <c r="P77" s="2" t="s">
        <v>43</v>
      </c>
      <c r="Q77" s="2" t="s">
        <v>228</v>
      </c>
      <c r="R77" s="2" t="s">
        <v>229</v>
      </c>
      <c r="S77" s="2">
        <v>1</v>
      </c>
      <c r="T77" s="2">
        <v>16.32</v>
      </c>
      <c r="U77" s="2">
        <v>3.7536</v>
      </c>
      <c r="V77" s="2">
        <v>20.073599999999999</v>
      </c>
      <c r="W77" s="2">
        <f>11.23*S77</f>
        <v>11.23</v>
      </c>
      <c r="X77" s="5">
        <f t="shared" si="8"/>
        <v>0.31188725490196079</v>
      </c>
      <c r="Z77" s="2" t="s">
        <v>3227</v>
      </c>
      <c r="AA77" s="2" t="s">
        <v>46</v>
      </c>
      <c r="AB77" s="2" t="s">
        <v>56</v>
      </c>
      <c r="AC77" s="2" t="s">
        <v>57</v>
      </c>
      <c r="AF77" s="2">
        <f t="shared" si="11"/>
        <v>0</v>
      </c>
      <c r="AJ77" s="2">
        <f t="shared" si="12"/>
        <v>0</v>
      </c>
      <c r="AK77" s="2">
        <f t="shared" si="9"/>
        <v>5.09</v>
      </c>
      <c r="AL77" s="5">
        <f t="shared" si="10"/>
        <v>0.31188725490196079</v>
      </c>
    </row>
    <row r="78" spans="1:38" x14ac:dyDescent="0.2">
      <c r="A78" s="2">
        <v>2025</v>
      </c>
      <c r="B78" s="2">
        <v>3</v>
      </c>
      <c r="D78" s="2" t="s">
        <v>97</v>
      </c>
      <c r="E78" s="2" t="s">
        <v>98</v>
      </c>
      <c r="F78" s="2" t="s">
        <v>39</v>
      </c>
      <c r="G78" s="2">
        <v>517450925</v>
      </c>
      <c r="H78" s="2" t="s">
        <v>40</v>
      </c>
      <c r="I78" s="2" t="s">
        <v>99</v>
      </c>
      <c r="J78" s="2" t="s">
        <v>100</v>
      </c>
      <c r="L78" s="2" t="s">
        <v>99</v>
      </c>
      <c r="M78" s="2" t="s">
        <v>40</v>
      </c>
      <c r="O78" s="2" t="s">
        <v>3114</v>
      </c>
      <c r="P78" s="2" t="s">
        <v>43</v>
      </c>
      <c r="Q78" s="2" t="s">
        <v>230</v>
      </c>
      <c r="R78" s="2" t="s">
        <v>231</v>
      </c>
      <c r="S78" s="2">
        <v>1</v>
      </c>
      <c r="T78" s="2">
        <v>10.199999999999999</v>
      </c>
      <c r="U78" s="2">
        <v>2.3460000000000001</v>
      </c>
      <c r="V78" s="2">
        <v>12.545999999999999</v>
      </c>
      <c r="W78" s="2">
        <f>6.605*S78</f>
        <v>6.6050000000000004</v>
      </c>
      <c r="X78" s="5">
        <f t="shared" si="8"/>
        <v>0.35245098039215678</v>
      </c>
      <c r="Z78" s="2" t="s">
        <v>3227</v>
      </c>
      <c r="AA78" s="2" t="s">
        <v>46</v>
      </c>
      <c r="AB78" s="2" t="s">
        <v>56</v>
      </c>
      <c r="AC78" s="2" t="s">
        <v>57</v>
      </c>
      <c r="AF78" s="2">
        <f t="shared" si="11"/>
        <v>0</v>
      </c>
      <c r="AJ78" s="2">
        <f t="shared" si="12"/>
        <v>0</v>
      </c>
      <c r="AK78" s="2">
        <f t="shared" si="9"/>
        <v>3.5949999999999989</v>
      </c>
      <c r="AL78" s="5">
        <f t="shared" si="10"/>
        <v>0.35245098039215678</v>
      </c>
    </row>
    <row r="79" spans="1:38" x14ac:dyDescent="0.2">
      <c r="A79" s="2">
        <v>2025</v>
      </c>
      <c r="B79" s="2">
        <v>3</v>
      </c>
      <c r="D79" s="2" t="s">
        <v>97</v>
      </c>
      <c r="E79" s="2" t="s">
        <v>98</v>
      </c>
      <c r="F79" s="2" t="s">
        <v>39</v>
      </c>
      <c r="G79" s="2">
        <v>517450925</v>
      </c>
      <c r="H79" s="2" t="s">
        <v>40</v>
      </c>
      <c r="I79" s="2" t="s">
        <v>99</v>
      </c>
      <c r="J79" s="2" t="s">
        <v>100</v>
      </c>
      <c r="L79" s="2" t="s">
        <v>99</v>
      </c>
      <c r="M79" s="2" t="s">
        <v>40</v>
      </c>
      <c r="O79" s="2" t="s">
        <v>3114</v>
      </c>
      <c r="P79" s="2" t="s">
        <v>43</v>
      </c>
      <c r="Q79" s="2" t="s">
        <v>232</v>
      </c>
      <c r="R79" s="2" t="s">
        <v>233</v>
      </c>
      <c r="S79" s="2">
        <v>1</v>
      </c>
      <c r="T79" s="2">
        <v>10.199999999999999</v>
      </c>
      <c r="U79" s="2">
        <v>2.3460000000000001</v>
      </c>
      <c r="V79" s="2">
        <v>12.545999999999999</v>
      </c>
      <c r="W79" s="2">
        <v>5.9066999999999998</v>
      </c>
      <c r="X79" s="5">
        <f t="shared" si="8"/>
        <v>0.42091176470588232</v>
      </c>
      <c r="Z79" s="2" t="s">
        <v>3227</v>
      </c>
      <c r="AA79" s="2" t="s">
        <v>46</v>
      </c>
      <c r="AB79" s="2" t="s">
        <v>56</v>
      </c>
      <c r="AC79" s="2" t="s">
        <v>57</v>
      </c>
      <c r="AF79" s="2">
        <f t="shared" si="11"/>
        <v>0</v>
      </c>
      <c r="AG79" s="2">
        <v>5.9066999999999998</v>
      </c>
      <c r="AH79" s="2">
        <v>12.6</v>
      </c>
      <c r="AJ79" s="2">
        <f t="shared" si="12"/>
        <v>0</v>
      </c>
      <c r="AK79" s="2">
        <f t="shared" si="9"/>
        <v>4.2932999999999995</v>
      </c>
      <c r="AL79" s="5">
        <f t="shared" si="10"/>
        <v>0.42091176470588232</v>
      </c>
    </row>
    <row r="80" spans="1:38" x14ac:dyDescent="0.2">
      <c r="A80" s="2">
        <v>2025</v>
      </c>
      <c r="B80" s="2">
        <v>3</v>
      </c>
      <c r="D80" s="2" t="s">
        <v>97</v>
      </c>
      <c r="E80" s="2" t="s">
        <v>98</v>
      </c>
      <c r="F80" s="2" t="s">
        <v>39</v>
      </c>
      <c r="G80" s="2">
        <v>517450925</v>
      </c>
      <c r="H80" s="2" t="s">
        <v>40</v>
      </c>
      <c r="I80" s="2" t="s">
        <v>99</v>
      </c>
      <c r="J80" s="2" t="s">
        <v>100</v>
      </c>
      <c r="L80" s="2" t="s">
        <v>99</v>
      </c>
      <c r="M80" s="2" t="s">
        <v>40</v>
      </c>
      <c r="O80" s="2" t="s">
        <v>3114</v>
      </c>
      <c r="P80" s="2" t="s">
        <v>43</v>
      </c>
      <c r="Q80" s="2" t="s">
        <v>234</v>
      </c>
      <c r="R80" s="2" t="s">
        <v>235</v>
      </c>
      <c r="S80" s="2">
        <v>1</v>
      </c>
      <c r="T80" s="2">
        <v>11.22</v>
      </c>
      <c r="U80" s="2">
        <v>2.5806</v>
      </c>
      <c r="V80" s="2">
        <v>13.800599999999999</v>
      </c>
      <c r="W80" s="2">
        <v>7.2217000000000002</v>
      </c>
      <c r="X80" s="5">
        <f t="shared" si="8"/>
        <v>0.35635472370766491</v>
      </c>
      <c r="Z80" s="2" t="s">
        <v>3227</v>
      </c>
      <c r="AA80" s="2" t="s">
        <v>46</v>
      </c>
      <c r="AB80" s="2" t="s">
        <v>56</v>
      </c>
      <c r="AC80" s="2" t="s">
        <v>57</v>
      </c>
      <c r="AF80" s="2">
        <f t="shared" si="11"/>
        <v>0</v>
      </c>
      <c r="AG80" s="2">
        <v>7.2217000000000002</v>
      </c>
      <c r="AH80" s="2">
        <v>14.4</v>
      </c>
      <c r="AJ80" s="2">
        <f t="shared" si="12"/>
        <v>0</v>
      </c>
      <c r="AK80" s="2">
        <f t="shared" si="9"/>
        <v>3.9983000000000004</v>
      </c>
      <c r="AL80" s="5">
        <f t="shared" si="10"/>
        <v>0.35635472370766491</v>
      </c>
    </row>
    <row r="81" spans="1:38" x14ac:dyDescent="0.2">
      <c r="A81" s="2">
        <v>2025</v>
      </c>
      <c r="B81" s="2">
        <v>3</v>
      </c>
      <c r="D81" s="2" t="s">
        <v>97</v>
      </c>
      <c r="E81" s="2" t="s">
        <v>98</v>
      </c>
      <c r="F81" s="2" t="s">
        <v>39</v>
      </c>
      <c r="G81" s="2">
        <v>517450925</v>
      </c>
      <c r="H81" s="2" t="s">
        <v>40</v>
      </c>
      <c r="I81" s="2" t="s">
        <v>99</v>
      </c>
      <c r="J81" s="2" t="s">
        <v>100</v>
      </c>
      <c r="L81" s="2" t="s">
        <v>99</v>
      </c>
      <c r="M81" s="2" t="s">
        <v>40</v>
      </c>
      <c r="O81" s="2" t="s">
        <v>3114</v>
      </c>
      <c r="P81" s="2" t="s">
        <v>43</v>
      </c>
      <c r="Q81" s="2" t="s">
        <v>236</v>
      </c>
      <c r="R81" s="2" t="s">
        <v>237</v>
      </c>
      <c r="S81" s="2">
        <v>1</v>
      </c>
      <c r="T81" s="2">
        <v>13.77</v>
      </c>
      <c r="U81" s="2">
        <v>3.1671</v>
      </c>
      <c r="V81" s="2">
        <v>16.937100000000001</v>
      </c>
      <c r="W81" s="2">
        <f>9.075*S81</f>
        <v>9.0749999999999993</v>
      </c>
      <c r="X81" s="5">
        <f t="shared" si="8"/>
        <v>0.34095860566448805</v>
      </c>
      <c r="Z81" s="2" t="s">
        <v>3227</v>
      </c>
      <c r="AA81" s="2" t="s">
        <v>46</v>
      </c>
      <c r="AB81" s="2" t="s">
        <v>56</v>
      </c>
      <c r="AC81" s="2" t="s">
        <v>57</v>
      </c>
      <c r="AF81" s="2">
        <f t="shared" si="11"/>
        <v>0</v>
      </c>
      <c r="AJ81" s="2">
        <f t="shared" si="12"/>
        <v>0</v>
      </c>
      <c r="AK81" s="2">
        <f t="shared" si="9"/>
        <v>4.6950000000000003</v>
      </c>
      <c r="AL81" s="5">
        <f t="shared" si="10"/>
        <v>0.34095860566448805</v>
      </c>
    </row>
    <row r="82" spans="1:38" x14ac:dyDescent="0.2">
      <c r="A82" s="2">
        <v>2025</v>
      </c>
      <c r="B82" s="2">
        <v>3</v>
      </c>
      <c r="D82" s="2" t="s">
        <v>97</v>
      </c>
      <c r="E82" s="2" t="s">
        <v>98</v>
      </c>
      <c r="F82" s="2" t="s">
        <v>39</v>
      </c>
      <c r="G82" s="2">
        <v>517450925</v>
      </c>
      <c r="H82" s="2" t="s">
        <v>40</v>
      </c>
      <c r="I82" s="2" t="s">
        <v>99</v>
      </c>
      <c r="J82" s="2" t="s">
        <v>100</v>
      </c>
      <c r="L82" s="2" t="s">
        <v>99</v>
      </c>
      <c r="M82" s="2" t="s">
        <v>40</v>
      </c>
      <c r="O82" s="2" t="s">
        <v>3114</v>
      </c>
      <c r="P82" s="2" t="s">
        <v>43</v>
      </c>
      <c r="Q82" s="2" t="s">
        <v>238</v>
      </c>
      <c r="R82" s="2" t="s">
        <v>239</v>
      </c>
      <c r="S82" s="2">
        <v>1</v>
      </c>
      <c r="T82" s="2">
        <v>16.829999999999998</v>
      </c>
      <c r="U82" s="2">
        <v>3.8708999999999998</v>
      </c>
      <c r="V82" s="2">
        <v>20.700900000000001</v>
      </c>
      <c r="W82" s="2">
        <f>11.045*S82</f>
        <v>11.045</v>
      </c>
      <c r="X82" s="5">
        <f t="shared" si="8"/>
        <v>0.34373143196672601</v>
      </c>
      <c r="Z82" s="2" t="s">
        <v>3227</v>
      </c>
      <c r="AA82" s="2" t="s">
        <v>46</v>
      </c>
      <c r="AB82" s="2" t="s">
        <v>56</v>
      </c>
      <c r="AC82" s="2" t="s">
        <v>57</v>
      </c>
      <c r="AF82" s="2">
        <f t="shared" si="11"/>
        <v>0</v>
      </c>
      <c r="AJ82" s="2">
        <f t="shared" si="12"/>
        <v>0</v>
      </c>
      <c r="AK82" s="2">
        <f t="shared" si="9"/>
        <v>5.7849999999999984</v>
      </c>
      <c r="AL82" s="5">
        <f t="shared" si="10"/>
        <v>0.34373143196672601</v>
      </c>
    </row>
    <row r="83" spans="1:38" x14ac:dyDescent="0.2">
      <c r="A83" s="2">
        <v>2025</v>
      </c>
      <c r="B83" s="2">
        <v>3</v>
      </c>
      <c r="D83" s="2" t="s">
        <v>97</v>
      </c>
      <c r="E83" s="2" t="s">
        <v>98</v>
      </c>
      <c r="F83" s="2" t="s">
        <v>39</v>
      </c>
      <c r="G83" s="2">
        <v>517450925</v>
      </c>
      <c r="H83" s="2" t="s">
        <v>40</v>
      </c>
      <c r="I83" s="2" t="s">
        <v>99</v>
      </c>
      <c r="J83" s="2" t="s">
        <v>100</v>
      </c>
      <c r="L83" s="2" t="s">
        <v>99</v>
      </c>
      <c r="M83" s="2" t="s">
        <v>40</v>
      </c>
      <c r="O83" s="2" t="s">
        <v>3114</v>
      </c>
      <c r="P83" s="2" t="s">
        <v>43</v>
      </c>
      <c r="Q83" s="2" t="s">
        <v>240</v>
      </c>
      <c r="R83" s="2" t="s">
        <v>241</v>
      </c>
      <c r="S83" s="2">
        <v>1</v>
      </c>
      <c r="T83" s="2">
        <v>20.399999999999999</v>
      </c>
      <c r="U83" s="2">
        <v>4.6920000000000002</v>
      </c>
      <c r="V83" s="2">
        <v>25.091999999999999</v>
      </c>
      <c r="W83" s="2">
        <f>13.4067*S83</f>
        <v>13.406700000000001</v>
      </c>
      <c r="X83" s="5">
        <f t="shared" si="8"/>
        <v>0.34280882352941167</v>
      </c>
      <c r="Z83" s="2" t="s">
        <v>3227</v>
      </c>
      <c r="AA83" s="2" t="s">
        <v>46</v>
      </c>
      <c r="AB83" s="2" t="s">
        <v>56</v>
      </c>
      <c r="AC83" s="2" t="s">
        <v>57</v>
      </c>
      <c r="AF83" s="2">
        <f t="shared" si="11"/>
        <v>0</v>
      </c>
      <c r="AJ83" s="2">
        <f t="shared" si="12"/>
        <v>0</v>
      </c>
      <c r="AK83" s="2">
        <f t="shared" si="9"/>
        <v>6.9932999999999979</v>
      </c>
      <c r="AL83" s="5">
        <f t="shared" si="10"/>
        <v>0.34280882352941167</v>
      </c>
    </row>
    <row r="84" spans="1:38" x14ac:dyDescent="0.2">
      <c r="A84" s="2">
        <v>2025</v>
      </c>
      <c r="B84" s="2">
        <v>3</v>
      </c>
      <c r="D84" s="2" t="s">
        <v>97</v>
      </c>
      <c r="E84" s="2" t="s">
        <v>98</v>
      </c>
      <c r="F84" s="2" t="s">
        <v>39</v>
      </c>
      <c r="G84" s="2">
        <v>517450925</v>
      </c>
      <c r="H84" s="2" t="s">
        <v>40</v>
      </c>
      <c r="I84" s="2" t="s">
        <v>99</v>
      </c>
      <c r="J84" s="2" t="s">
        <v>100</v>
      </c>
      <c r="L84" s="2" t="s">
        <v>99</v>
      </c>
      <c r="M84" s="2" t="s">
        <v>40</v>
      </c>
      <c r="O84" s="2" t="s">
        <v>3114</v>
      </c>
      <c r="P84" s="2" t="s">
        <v>43</v>
      </c>
      <c r="Q84" s="2" t="s">
        <v>242</v>
      </c>
      <c r="R84" s="2" t="s">
        <v>243</v>
      </c>
      <c r="S84" s="2">
        <v>1</v>
      </c>
      <c r="T84" s="2">
        <v>24.48</v>
      </c>
      <c r="U84" s="2">
        <v>5.6304000000000007</v>
      </c>
      <c r="V84" s="2">
        <v>30.110399999999998</v>
      </c>
      <c r="W84" s="2">
        <f>16.2249*S84</f>
        <v>16.224900000000002</v>
      </c>
      <c r="X84" s="5">
        <f t="shared" si="8"/>
        <v>0.33721813725490191</v>
      </c>
      <c r="Z84" s="2" t="s">
        <v>3227</v>
      </c>
      <c r="AA84" s="2" t="s">
        <v>46</v>
      </c>
      <c r="AB84" s="2" t="s">
        <v>56</v>
      </c>
      <c r="AC84" s="2" t="s">
        <v>57</v>
      </c>
      <c r="AF84" s="2">
        <f t="shared" si="11"/>
        <v>0</v>
      </c>
      <c r="AJ84" s="2">
        <f t="shared" si="12"/>
        <v>0</v>
      </c>
      <c r="AK84" s="2">
        <f t="shared" si="9"/>
        <v>8.2550999999999988</v>
      </c>
      <c r="AL84" s="5">
        <f t="shared" si="10"/>
        <v>0.33721813725490191</v>
      </c>
    </row>
    <row r="85" spans="1:38" x14ac:dyDescent="0.2">
      <c r="A85" s="2">
        <v>2025</v>
      </c>
      <c r="B85" s="2">
        <v>3</v>
      </c>
      <c r="D85" s="2" t="s">
        <v>97</v>
      </c>
      <c r="E85" s="2" t="s">
        <v>98</v>
      </c>
      <c r="F85" s="2" t="s">
        <v>39</v>
      </c>
      <c r="G85" s="2">
        <v>517450925</v>
      </c>
      <c r="H85" s="2" t="s">
        <v>40</v>
      </c>
      <c r="I85" s="2" t="s">
        <v>99</v>
      </c>
      <c r="J85" s="2" t="s">
        <v>100</v>
      </c>
      <c r="L85" s="2" t="s">
        <v>99</v>
      </c>
      <c r="M85" s="2" t="s">
        <v>40</v>
      </c>
      <c r="O85" s="2" t="s">
        <v>3114</v>
      </c>
      <c r="P85" s="2" t="s">
        <v>43</v>
      </c>
      <c r="Q85" s="2" t="s">
        <v>244</v>
      </c>
      <c r="R85" s="2" t="s">
        <v>245</v>
      </c>
      <c r="S85" s="2">
        <v>1</v>
      </c>
      <c r="T85" s="2">
        <v>14.28</v>
      </c>
      <c r="U85" s="2">
        <v>3.2844000000000002</v>
      </c>
      <c r="V85" s="2">
        <v>17.564399999999999</v>
      </c>
      <c r="W85" s="2">
        <f>9.2346*S85</f>
        <v>9.2346000000000004</v>
      </c>
      <c r="X85" s="5">
        <f t="shared" si="8"/>
        <v>0.35331932773109237</v>
      </c>
      <c r="Z85" s="2" t="s">
        <v>3227</v>
      </c>
      <c r="AA85" s="2" t="s">
        <v>46</v>
      </c>
      <c r="AB85" s="2" t="s">
        <v>56</v>
      </c>
      <c r="AC85" s="2" t="s">
        <v>57</v>
      </c>
      <c r="AF85" s="2">
        <f t="shared" si="11"/>
        <v>0</v>
      </c>
      <c r="AJ85" s="2">
        <f t="shared" si="12"/>
        <v>0</v>
      </c>
      <c r="AK85" s="2">
        <f t="shared" si="9"/>
        <v>5.045399999999999</v>
      </c>
      <c r="AL85" s="5">
        <f t="shared" si="10"/>
        <v>0.35331932773109237</v>
      </c>
    </row>
    <row r="86" spans="1:38" x14ac:dyDescent="0.2">
      <c r="A86" s="2">
        <v>2025</v>
      </c>
      <c r="B86" s="2">
        <v>3</v>
      </c>
      <c r="D86" s="2" t="s">
        <v>97</v>
      </c>
      <c r="E86" s="2" t="s">
        <v>98</v>
      </c>
      <c r="F86" s="2" t="s">
        <v>39</v>
      </c>
      <c r="G86" s="2">
        <v>517450925</v>
      </c>
      <c r="H86" s="2" t="s">
        <v>40</v>
      </c>
      <c r="I86" s="2" t="s">
        <v>99</v>
      </c>
      <c r="J86" s="2" t="s">
        <v>100</v>
      </c>
      <c r="L86" s="2" t="s">
        <v>99</v>
      </c>
      <c r="M86" s="2" t="s">
        <v>40</v>
      </c>
      <c r="O86" s="2" t="s">
        <v>3114</v>
      </c>
      <c r="P86" s="2" t="s">
        <v>43</v>
      </c>
      <c r="Q86" s="2" t="s">
        <v>246</v>
      </c>
      <c r="R86" s="2" t="s">
        <v>247</v>
      </c>
      <c r="S86" s="2">
        <v>1</v>
      </c>
      <c r="T86" s="2">
        <v>16.32</v>
      </c>
      <c r="U86" s="2">
        <v>3.7536</v>
      </c>
      <c r="V86" s="2">
        <v>20.073599999999999</v>
      </c>
      <c r="W86" s="2">
        <f>10.5267*S86</f>
        <v>10.5267</v>
      </c>
      <c r="X86" s="5">
        <f t="shared" si="8"/>
        <v>0.35498161764705882</v>
      </c>
      <c r="Z86" s="2" t="s">
        <v>3227</v>
      </c>
      <c r="AA86" s="2" t="s">
        <v>46</v>
      </c>
      <c r="AB86" s="2" t="s">
        <v>56</v>
      </c>
      <c r="AC86" s="2" t="s">
        <v>57</v>
      </c>
      <c r="AF86" s="2">
        <f t="shared" si="11"/>
        <v>0</v>
      </c>
      <c r="AJ86" s="2">
        <f t="shared" si="12"/>
        <v>0</v>
      </c>
      <c r="AK86" s="2">
        <f t="shared" si="9"/>
        <v>5.7933000000000003</v>
      </c>
      <c r="AL86" s="5">
        <f t="shared" si="10"/>
        <v>0.35498161764705882</v>
      </c>
    </row>
    <row r="87" spans="1:38" x14ac:dyDescent="0.2">
      <c r="A87" s="2">
        <v>2025</v>
      </c>
      <c r="B87" s="2">
        <v>3</v>
      </c>
      <c r="D87" s="2" t="s">
        <v>97</v>
      </c>
      <c r="E87" s="2" t="s">
        <v>98</v>
      </c>
      <c r="F87" s="2" t="s">
        <v>39</v>
      </c>
      <c r="G87" s="2">
        <v>517450925</v>
      </c>
      <c r="H87" s="2" t="s">
        <v>40</v>
      </c>
      <c r="I87" s="2" t="s">
        <v>99</v>
      </c>
      <c r="J87" s="2" t="s">
        <v>100</v>
      </c>
      <c r="L87" s="2" t="s">
        <v>99</v>
      </c>
      <c r="M87" s="2" t="s">
        <v>40</v>
      </c>
      <c r="O87" s="2" t="s">
        <v>3114</v>
      </c>
      <c r="P87" s="2" t="s">
        <v>43</v>
      </c>
      <c r="Q87" s="2" t="s">
        <v>248</v>
      </c>
      <c r="R87" s="2" t="s">
        <v>249</v>
      </c>
      <c r="S87" s="2">
        <v>1</v>
      </c>
      <c r="T87" s="2">
        <v>19.89</v>
      </c>
      <c r="U87" s="2">
        <v>4.5747</v>
      </c>
      <c r="V87" s="2">
        <v>24.464700000000001</v>
      </c>
      <c r="W87" s="2">
        <f>12.71*S87</f>
        <v>12.71</v>
      </c>
      <c r="X87" s="5">
        <f t="shared" si="8"/>
        <v>0.36098541980894921</v>
      </c>
      <c r="Z87" s="2" t="s">
        <v>3227</v>
      </c>
      <c r="AA87" s="2" t="s">
        <v>46</v>
      </c>
      <c r="AB87" s="2" t="s">
        <v>56</v>
      </c>
      <c r="AC87" s="2" t="s">
        <v>57</v>
      </c>
      <c r="AF87" s="2">
        <f t="shared" si="11"/>
        <v>0</v>
      </c>
      <c r="AJ87" s="2">
        <f t="shared" si="12"/>
        <v>0</v>
      </c>
      <c r="AK87" s="2">
        <f t="shared" si="9"/>
        <v>7.18</v>
      </c>
      <c r="AL87" s="5">
        <f t="shared" si="10"/>
        <v>0.36098541980894921</v>
      </c>
    </row>
    <row r="88" spans="1:38" x14ac:dyDescent="0.2">
      <c r="A88" s="2">
        <v>2025</v>
      </c>
      <c r="B88" s="2">
        <v>3</v>
      </c>
      <c r="D88" s="2" t="s">
        <v>97</v>
      </c>
      <c r="E88" s="2" t="s">
        <v>98</v>
      </c>
      <c r="F88" s="2" t="s">
        <v>39</v>
      </c>
      <c r="G88" s="2">
        <v>517450925</v>
      </c>
      <c r="H88" s="2" t="s">
        <v>40</v>
      </c>
      <c r="I88" s="2" t="s">
        <v>99</v>
      </c>
      <c r="J88" s="2" t="s">
        <v>100</v>
      </c>
      <c r="L88" s="2" t="s">
        <v>99</v>
      </c>
      <c r="M88" s="2" t="s">
        <v>40</v>
      </c>
      <c r="O88" s="2" t="s">
        <v>3114</v>
      </c>
      <c r="P88" s="2" t="s">
        <v>43</v>
      </c>
      <c r="Q88" s="2" t="s">
        <v>54</v>
      </c>
      <c r="R88" s="2" t="s">
        <v>55</v>
      </c>
      <c r="S88" s="2">
        <v>2</v>
      </c>
      <c r="T88" s="2">
        <v>27.2</v>
      </c>
      <c r="U88" s="2">
        <v>6.2560000000000002</v>
      </c>
      <c r="V88" s="2">
        <v>33.456000000000003</v>
      </c>
      <c r="W88" s="2">
        <f>10.6*S88</f>
        <v>21.2</v>
      </c>
      <c r="X88" s="5">
        <f t="shared" si="8"/>
        <v>0.22058823529411764</v>
      </c>
      <c r="Z88" s="2" t="s">
        <v>3227</v>
      </c>
      <c r="AA88" s="2" t="s">
        <v>46</v>
      </c>
      <c r="AB88" s="2" t="s">
        <v>56</v>
      </c>
      <c r="AC88" s="2" t="s">
        <v>57</v>
      </c>
      <c r="AF88" s="2">
        <f t="shared" si="11"/>
        <v>0</v>
      </c>
      <c r="AG88" s="2">
        <v>10.6</v>
      </c>
      <c r="AH88" s="2">
        <v>18</v>
      </c>
      <c r="AJ88" s="2">
        <f t="shared" si="12"/>
        <v>0</v>
      </c>
      <c r="AK88" s="2">
        <f t="shared" si="9"/>
        <v>6</v>
      </c>
      <c r="AL88" s="5">
        <f t="shared" si="10"/>
        <v>0.22058823529411764</v>
      </c>
    </row>
    <row r="89" spans="1:38" x14ac:dyDescent="0.2">
      <c r="A89" s="2">
        <v>2025</v>
      </c>
      <c r="B89" s="2">
        <v>3</v>
      </c>
      <c r="D89" s="2" t="s">
        <v>97</v>
      </c>
      <c r="E89" s="2" t="s">
        <v>98</v>
      </c>
      <c r="F89" s="2" t="s">
        <v>39</v>
      </c>
      <c r="G89" s="2">
        <v>517450925</v>
      </c>
      <c r="H89" s="2" t="s">
        <v>40</v>
      </c>
      <c r="I89" s="2" t="s">
        <v>99</v>
      </c>
      <c r="J89" s="2" t="s">
        <v>100</v>
      </c>
      <c r="L89" s="2" t="s">
        <v>99</v>
      </c>
      <c r="M89" s="2" t="s">
        <v>40</v>
      </c>
      <c r="O89" s="2" t="s">
        <v>3114</v>
      </c>
      <c r="P89" s="2" t="s">
        <v>43</v>
      </c>
      <c r="Q89" s="2" t="s">
        <v>250</v>
      </c>
      <c r="R89" s="2" t="s">
        <v>251</v>
      </c>
      <c r="S89" s="2">
        <v>1</v>
      </c>
      <c r="T89" s="2">
        <v>55.25</v>
      </c>
      <c r="U89" s="2">
        <v>12.7075</v>
      </c>
      <c r="V89" s="2">
        <v>67.957499999999996</v>
      </c>
      <c r="W89" s="2">
        <f>25.0958*S89</f>
        <v>25.095800000000001</v>
      </c>
      <c r="X89" s="5">
        <f t="shared" si="8"/>
        <v>0.5457773755656109</v>
      </c>
      <c r="Z89" s="2" t="s">
        <v>3227</v>
      </c>
      <c r="AA89" s="2" t="s">
        <v>46</v>
      </c>
      <c r="AB89" s="2" t="s">
        <v>90</v>
      </c>
      <c r="AC89" s="2" t="s">
        <v>57</v>
      </c>
      <c r="AF89" s="2">
        <f t="shared" si="11"/>
        <v>0</v>
      </c>
      <c r="AJ89" s="2">
        <f t="shared" si="12"/>
        <v>0</v>
      </c>
      <c r="AK89" s="2">
        <f t="shared" si="9"/>
        <v>30.154199999999999</v>
      </c>
      <c r="AL89" s="5">
        <f t="shared" si="10"/>
        <v>0.5457773755656109</v>
      </c>
    </row>
    <row r="90" spans="1:38" x14ac:dyDescent="0.2">
      <c r="A90" s="2">
        <v>2025</v>
      </c>
      <c r="B90" s="2">
        <v>3</v>
      </c>
      <c r="D90" s="2" t="s">
        <v>97</v>
      </c>
      <c r="E90" s="2" t="s">
        <v>98</v>
      </c>
      <c r="F90" s="2" t="s">
        <v>39</v>
      </c>
      <c r="G90" s="2">
        <v>517450925</v>
      </c>
      <c r="H90" s="2" t="s">
        <v>40</v>
      </c>
      <c r="I90" s="2" t="s">
        <v>99</v>
      </c>
      <c r="J90" s="2" t="s">
        <v>100</v>
      </c>
      <c r="L90" s="2" t="s">
        <v>99</v>
      </c>
      <c r="M90" s="2" t="s">
        <v>40</v>
      </c>
      <c r="O90" s="2" t="s">
        <v>3114</v>
      </c>
      <c r="P90" s="2" t="s">
        <v>43</v>
      </c>
      <c r="Q90" s="2" t="s">
        <v>252</v>
      </c>
      <c r="R90" s="2" t="s">
        <v>253</v>
      </c>
      <c r="S90" s="2">
        <v>10</v>
      </c>
      <c r="T90" s="2">
        <v>10.199999999999999</v>
      </c>
      <c r="U90" s="2">
        <v>2.3460000000000001</v>
      </c>
      <c r="V90" s="2">
        <v>12.545999999999999</v>
      </c>
      <c r="W90" s="2">
        <f>0.3342*S90</f>
        <v>3.3420000000000001</v>
      </c>
      <c r="X90" s="5">
        <f t="shared" si="8"/>
        <v>0.67235294117647049</v>
      </c>
      <c r="Z90" s="2" t="s">
        <v>3227</v>
      </c>
      <c r="AA90" s="2" t="s">
        <v>46</v>
      </c>
      <c r="AB90" s="2" t="s">
        <v>60</v>
      </c>
      <c r="AC90" s="2" t="s">
        <v>57</v>
      </c>
      <c r="AF90" s="2">
        <f t="shared" si="11"/>
        <v>0</v>
      </c>
      <c r="AJ90" s="2">
        <f t="shared" si="12"/>
        <v>0</v>
      </c>
      <c r="AK90" s="2">
        <f t="shared" si="9"/>
        <v>6.8579999999999988</v>
      </c>
      <c r="AL90" s="5">
        <f t="shared" si="10"/>
        <v>0.67235294117647049</v>
      </c>
    </row>
    <row r="91" spans="1:38" x14ac:dyDescent="0.2">
      <c r="A91" s="2">
        <v>2025</v>
      </c>
      <c r="B91" s="2">
        <v>3</v>
      </c>
      <c r="D91" s="2" t="s">
        <v>97</v>
      </c>
      <c r="E91" s="2" t="s">
        <v>98</v>
      </c>
      <c r="F91" s="2" t="s">
        <v>39</v>
      </c>
      <c r="G91" s="2">
        <v>517450925</v>
      </c>
      <c r="H91" s="2" t="s">
        <v>40</v>
      </c>
      <c r="I91" s="2" t="s">
        <v>99</v>
      </c>
      <c r="J91" s="2" t="s">
        <v>100</v>
      </c>
      <c r="L91" s="2" t="s">
        <v>99</v>
      </c>
      <c r="M91" s="2" t="s">
        <v>40</v>
      </c>
      <c r="O91" s="2" t="s">
        <v>3114</v>
      </c>
      <c r="P91" s="2" t="s">
        <v>43</v>
      </c>
      <c r="Q91" s="2" t="s">
        <v>58</v>
      </c>
      <c r="R91" s="2" t="s">
        <v>59</v>
      </c>
      <c r="S91" s="2">
        <v>100</v>
      </c>
      <c r="T91" s="2">
        <v>13.6</v>
      </c>
      <c r="U91" s="2">
        <v>3.1280000000000001</v>
      </c>
      <c r="V91" s="2">
        <v>16.728000000000002</v>
      </c>
      <c r="W91" s="2">
        <f>0.0914*S91</f>
        <v>9.1399999999999988</v>
      </c>
      <c r="X91" s="5">
        <f t="shared" si="8"/>
        <v>0.32794117647058829</v>
      </c>
      <c r="Z91" s="2" t="s">
        <v>3227</v>
      </c>
      <c r="AA91" s="2" t="s">
        <v>46</v>
      </c>
      <c r="AB91" s="2" t="s">
        <v>60</v>
      </c>
      <c r="AC91" s="2" t="s">
        <v>57</v>
      </c>
      <c r="AF91" s="2">
        <f t="shared" si="11"/>
        <v>0</v>
      </c>
      <c r="AG91" s="2">
        <v>9.14</v>
      </c>
      <c r="AH91" s="2">
        <v>16</v>
      </c>
      <c r="AJ91" s="2">
        <f t="shared" si="12"/>
        <v>0</v>
      </c>
      <c r="AK91" s="2">
        <f t="shared" si="9"/>
        <v>4.4600000000000009</v>
      </c>
      <c r="AL91" s="5">
        <f t="shared" si="10"/>
        <v>0.32794117647058829</v>
      </c>
    </row>
    <row r="92" spans="1:38" x14ac:dyDescent="0.2">
      <c r="A92" s="2">
        <v>2025</v>
      </c>
      <c r="B92" s="2">
        <v>3</v>
      </c>
      <c r="D92" s="2" t="s">
        <v>97</v>
      </c>
      <c r="E92" s="2" t="s">
        <v>98</v>
      </c>
      <c r="F92" s="2" t="s">
        <v>39</v>
      </c>
      <c r="G92" s="2">
        <v>517450925</v>
      </c>
      <c r="H92" s="2" t="s">
        <v>40</v>
      </c>
      <c r="I92" s="2" t="s">
        <v>99</v>
      </c>
      <c r="J92" s="2" t="s">
        <v>100</v>
      </c>
      <c r="L92" s="2" t="s">
        <v>99</v>
      </c>
      <c r="M92" s="2" t="s">
        <v>40</v>
      </c>
      <c r="O92" s="2" t="s">
        <v>3114</v>
      </c>
      <c r="P92" s="2" t="s">
        <v>43</v>
      </c>
      <c r="Q92" s="2" t="s">
        <v>61</v>
      </c>
      <c r="R92" s="2" t="s">
        <v>62</v>
      </c>
      <c r="S92" s="2">
        <v>100</v>
      </c>
      <c r="T92" s="2">
        <v>11.05</v>
      </c>
      <c r="U92" s="2">
        <v>2.5415000000000001</v>
      </c>
      <c r="V92" s="2">
        <v>13.5915</v>
      </c>
      <c r="W92" s="2">
        <f>0.082*S92</f>
        <v>8.2000000000000011</v>
      </c>
      <c r="X92" s="5">
        <f t="shared" si="8"/>
        <v>0.25791855203619907</v>
      </c>
      <c r="Z92" s="2" t="s">
        <v>3227</v>
      </c>
      <c r="AA92" s="2" t="s">
        <v>46</v>
      </c>
      <c r="AB92" s="2" t="s">
        <v>60</v>
      </c>
      <c r="AC92" s="2" t="s">
        <v>57</v>
      </c>
      <c r="AF92" s="2">
        <f t="shared" si="11"/>
        <v>0</v>
      </c>
      <c r="AG92" s="2">
        <v>8.1999999999999993</v>
      </c>
      <c r="AH92" s="2">
        <v>13</v>
      </c>
      <c r="AJ92" s="2">
        <f t="shared" si="12"/>
        <v>0</v>
      </c>
      <c r="AK92" s="2">
        <f t="shared" si="9"/>
        <v>2.8499999999999996</v>
      </c>
      <c r="AL92" s="5">
        <f t="shared" si="10"/>
        <v>0.25791855203619907</v>
      </c>
    </row>
    <row r="93" spans="1:38" x14ac:dyDescent="0.2">
      <c r="A93" s="2">
        <v>2025</v>
      </c>
      <c r="B93" s="2">
        <v>3</v>
      </c>
      <c r="D93" s="2" t="s">
        <v>97</v>
      </c>
      <c r="E93" s="2" t="s">
        <v>98</v>
      </c>
      <c r="F93" s="2" t="s">
        <v>39</v>
      </c>
      <c r="G93" s="2">
        <v>517450925</v>
      </c>
      <c r="H93" s="2" t="s">
        <v>40</v>
      </c>
      <c r="I93" s="2" t="s">
        <v>99</v>
      </c>
      <c r="J93" s="2" t="s">
        <v>100</v>
      </c>
      <c r="L93" s="2" t="s">
        <v>99</v>
      </c>
      <c r="M93" s="2" t="s">
        <v>40</v>
      </c>
      <c r="O93" s="2" t="s">
        <v>3114</v>
      </c>
      <c r="P93" s="2" t="s">
        <v>43</v>
      </c>
      <c r="Q93" s="2" t="s">
        <v>254</v>
      </c>
      <c r="R93" s="2" t="s">
        <v>255</v>
      </c>
      <c r="S93" s="2">
        <v>100</v>
      </c>
      <c r="T93" s="2">
        <v>13.6</v>
      </c>
      <c r="U93" s="2">
        <v>3.1280000000000001</v>
      </c>
      <c r="V93" s="2">
        <v>16.728000000000002</v>
      </c>
      <c r="W93" s="2">
        <f>0.0914*S93</f>
        <v>9.1399999999999988</v>
      </c>
      <c r="X93" s="5">
        <f t="shared" ref="X93:X124" si="13">(T93-W93)/T93</f>
        <v>0.32794117647058829</v>
      </c>
      <c r="Z93" s="2" t="s">
        <v>3227</v>
      </c>
      <c r="AA93" s="2" t="s">
        <v>46</v>
      </c>
      <c r="AB93" s="2" t="s">
        <v>60</v>
      </c>
      <c r="AC93" s="2" t="s">
        <v>57</v>
      </c>
      <c r="AF93" s="2">
        <f t="shared" si="11"/>
        <v>0</v>
      </c>
      <c r="AJ93" s="2">
        <f t="shared" si="12"/>
        <v>0</v>
      </c>
      <c r="AK93" s="2">
        <f t="shared" ref="AK93:AK124" si="14">T93-W93</f>
        <v>4.4600000000000009</v>
      </c>
      <c r="AL93" s="5">
        <f t="shared" ref="AL93:AL124" si="15">(T93-W93)/T93</f>
        <v>0.32794117647058829</v>
      </c>
    </row>
    <row r="94" spans="1:38" x14ac:dyDescent="0.2">
      <c r="A94" s="2">
        <v>2025</v>
      </c>
      <c r="B94" s="2">
        <v>3</v>
      </c>
      <c r="D94" s="2" t="s">
        <v>97</v>
      </c>
      <c r="E94" s="2" t="s">
        <v>98</v>
      </c>
      <c r="F94" s="2" t="s">
        <v>39</v>
      </c>
      <c r="G94" s="2">
        <v>517450925</v>
      </c>
      <c r="H94" s="2" t="s">
        <v>40</v>
      </c>
      <c r="I94" s="2" t="s">
        <v>99</v>
      </c>
      <c r="J94" s="2" t="s">
        <v>100</v>
      </c>
      <c r="L94" s="2" t="s">
        <v>99</v>
      </c>
      <c r="M94" s="2" t="s">
        <v>40</v>
      </c>
      <c r="O94" s="2" t="s">
        <v>3114</v>
      </c>
      <c r="P94" s="2" t="s">
        <v>43</v>
      </c>
      <c r="Q94" s="2" t="s">
        <v>256</v>
      </c>
      <c r="R94" s="2" t="s">
        <v>257</v>
      </c>
      <c r="S94" s="2">
        <v>2</v>
      </c>
      <c r="T94" s="2">
        <v>5.0999999999999996</v>
      </c>
      <c r="U94" s="2">
        <v>1.173</v>
      </c>
      <c r="V94" s="2">
        <v>6.2729999999999997</v>
      </c>
      <c r="W94" s="2">
        <f>0.98*S94</f>
        <v>1.96</v>
      </c>
      <c r="X94" s="5">
        <f t="shared" si="13"/>
        <v>0.61568627450980395</v>
      </c>
      <c r="Z94" s="2" t="s">
        <v>3227</v>
      </c>
      <c r="AA94" s="2" t="s">
        <v>46</v>
      </c>
      <c r="AB94" s="2" t="s">
        <v>90</v>
      </c>
      <c r="AC94" s="2" t="s">
        <v>57</v>
      </c>
      <c r="AF94" s="2">
        <f t="shared" si="11"/>
        <v>0</v>
      </c>
      <c r="AJ94" s="2">
        <f t="shared" si="12"/>
        <v>0</v>
      </c>
      <c r="AK94" s="2">
        <f t="shared" si="14"/>
        <v>3.1399999999999997</v>
      </c>
      <c r="AL94" s="5">
        <f t="shared" si="15"/>
        <v>0.61568627450980395</v>
      </c>
    </row>
    <row r="95" spans="1:38" x14ac:dyDescent="0.2">
      <c r="A95" s="2">
        <v>2025</v>
      </c>
      <c r="B95" s="2">
        <v>3</v>
      </c>
      <c r="D95" s="2" t="s">
        <v>97</v>
      </c>
      <c r="E95" s="2" t="s">
        <v>98</v>
      </c>
      <c r="F95" s="2" t="s">
        <v>39</v>
      </c>
      <c r="G95" s="2">
        <v>517450925</v>
      </c>
      <c r="H95" s="2" t="s">
        <v>40</v>
      </c>
      <c r="I95" s="2" t="s">
        <v>99</v>
      </c>
      <c r="J95" s="2" t="s">
        <v>100</v>
      </c>
      <c r="L95" s="2" t="s">
        <v>99</v>
      </c>
      <c r="M95" s="2" t="s">
        <v>40</v>
      </c>
      <c r="O95" s="2" t="s">
        <v>3114</v>
      </c>
      <c r="P95" s="2" t="s">
        <v>43</v>
      </c>
      <c r="Q95" s="2" t="s">
        <v>162</v>
      </c>
      <c r="R95" s="2" t="s">
        <v>163</v>
      </c>
      <c r="S95" s="2">
        <v>1</v>
      </c>
      <c r="T95" s="2">
        <v>17.850000000000001</v>
      </c>
      <c r="U95" s="2">
        <v>4.1055000000000001</v>
      </c>
      <c r="V95" s="2">
        <v>21.955500000000001</v>
      </c>
      <c r="W95" s="2">
        <f>8*S95</f>
        <v>8</v>
      </c>
      <c r="X95" s="5">
        <f t="shared" si="13"/>
        <v>0.55182072829131656</v>
      </c>
      <c r="Z95" s="2" t="s">
        <v>3227</v>
      </c>
      <c r="AA95" s="2" t="s">
        <v>46</v>
      </c>
      <c r="AB95" s="2" t="s">
        <v>47</v>
      </c>
      <c r="AC95" s="2" t="s">
        <v>57</v>
      </c>
      <c r="AF95" s="2">
        <f t="shared" si="11"/>
        <v>0</v>
      </c>
      <c r="AJ95" s="2">
        <f t="shared" si="12"/>
        <v>0</v>
      </c>
      <c r="AK95" s="2">
        <f t="shared" si="14"/>
        <v>9.8500000000000014</v>
      </c>
      <c r="AL95" s="5">
        <f t="shared" si="15"/>
        <v>0.55182072829131656</v>
      </c>
    </row>
    <row r="96" spans="1:38" x14ac:dyDescent="0.2">
      <c r="A96" s="2">
        <v>2025</v>
      </c>
      <c r="B96" s="2">
        <v>3</v>
      </c>
      <c r="D96" s="2" t="s">
        <v>97</v>
      </c>
      <c r="E96" s="2" t="s">
        <v>98</v>
      </c>
      <c r="F96" s="2" t="s">
        <v>39</v>
      </c>
      <c r="G96" s="2">
        <v>517450925</v>
      </c>
      <c r="H96" s="2" t="s">
        <v>40</v>
      </c>
      <c r="I96" s="2" t="s">
        <v>99</v>
      </c>
      <c r="J96" s="2" t="s">
        <v>100</v>
      </c>
      <c r="L96" s="2" t="s">
        <v>99</v>
      </c>
      <c r="M96" s="2" t="s">
        <v>40</v>
      </c>
      <c r="O96" s="2" t="s">
        <v>3114</v>
      </c>
      <c r="P96" s="2" t="s">
        <v>43</v>
      </c>
      <c r="Q96" s="2" t="s">
        <v>258</v>
      </c>
      <c r="R96" s="2" t="s">
        <v>259</v>
      </c>
      <c r="S96" s="2">
        <v>1</v>
      </c>
      <c r="T96" s="2">
        <v>20.399999999999999</v>
      </c>
      <c r="U96" s="2">
        <v>4.6920000000000002</v>
      </c>
      <c r="V96" s="2">
        <v>25.091999999999999</v>
      </c>
      <c r="W96" s="2">
        <f>11*S96</f>
        <v>11</v>
      </c>
      <c r="X96" s="5">
        <f t="shared" si="13"/>
        <v>0.46078431372549017</v>
      </c>
      <c r="Z96" s="2" t="s">
        <v>3227</v>
      </c>
      <c r="AA96" s="2" t="s">
        <v>46</v>
      </c>
      <c r="AB96" s="2" t="s">
        <v>47</v>
      </c>
      <c r="AC96" s="2" t="s">
        <v>57</v>
      </c>
      <c r="AF96" s="2">
        <f t="shared" si="11"/>
        <v>0</v>
      </c>
      <c r="AJ96" s="2">
        <f t="shared" si="12"/>
        <v>0</v>
      </c>
      <c r="AK96" s="2">
        <f t="shared" si="14"/>
        <v>9.3999999999999986</v>
      </c>
      <c r="AL96" s="5">
        <f t="shared" si="15"/>
        <v>0.46078431372549017</v>
      </c>
    </row>
    <row r="97" spans="1:38" x14ac:dyDescent="0.2">
      <c r="A97" s="2">
        <v>2025</v>
      </c>
      <c r="B97" s="2">
        <v>3</v>
      </c>
      <c r="D97" s="2" t="s">
        <v>97</v>
      </c>
      <c r="E97" s="2" t="s">
        <v>98</v>
      </c>
      <c r="F97" s="2" t="s">
        <v>39</v>
      </c>
      <c r="G97" s="2">
        <v>517450925</v>
      </c>
      <c r="H97" s="2" t="s">
        <v>40</v>
      </c>
      <c r="I97" s="2" t="s">
        <v>99</v>
      </c>
      <c r="J97" s="2" t="s">
        <v>100</v>
      </c>
      <c r="L97" s="2" t="s">
        <v>99</v>
      </c>
      <c r="M97" s="2" t="s">
        <v>40</v>
      </c>
      <c r="O97" s="2" t="s">
        <v>3114</v>
      </c>
      <c r="P97" s="2" t="s">
        <v>43</v>
      </c>
      <c r="Q97" s="2" t="s">
        <v>65</v>
      </c>
      <c r="R97" s="2" t="s">
        <v>66</v>
      </c>
      <c r="S97" s="2">
        <v>2</v>
      </c>
      <c r="T97" s="2">
        <v>35.700000000000003</v>
      </c>
      <c r="U97" s="2">
        <v>8.2110000000000003</v>
      </c>
      <c r="V97" s="2">
        <v>43.911000000000001</v>
      </c>
      <c r="W97" s="2">
        <f>15.0203*S97</f>
        <v>30.040600000000001</v>
      </c>
      <c r="X97" s="5">
        <f t="shared" si="13"/>
        <v>0.15852661064425774</v>
      </c>
      <c r="Z97" s="2" t="s">
        <v>3227</v>
      </c>
      <c r="AA97" s="2" t="s">
        <v>46</v>
      </c>
      <c r="AB97" s="2" t="s">
        <v>67</v>
      </c>
      <c r="AC97" s="2" t="s">
        <v>57</v>
      </c>
      <c r="AF97" s="2">
        <f t="shared" si="11"/>
        <v>0</v>
      </c>
      <c r="AG97" s="2">
        <v>15.020300000000001</v>
      </c>
      <c r="AH97" s="2">
        <v>27.6</v>
      </c>
      <c r="AJ97" s="2">
        <f t="shared" si="12"/>
        <v>0</v>
      </c>
      <c r="AK97" s="2">
        <f t="shared" si="14"/>
        <v>5.6594000000000015</v>
      </c>
      <c r="AL97" s="5">
        <f t="shared" si="15"/>
        <v>0.15852661064425774</v>
      </c>
    </row>
    <row r="98" spans="1:38" x14ac:dyDescent="0.2">
      <c r="A98" s="2">
        <v>2025</v>
      </c>
      <c r="B98" s="2">
        <v>3</v>
      </c>
      <c r="D98" s="2" t="s">
        <v>97</v>
      </c>
      <c r="E98" s="2" t="s">
        <v>98</v>
      </c>
      <c r="F98" s="2" t="s">
        <v>39</v>
      </c>
      <c r="G98" s="2">
        <v>517450925</v>
      </c>
      <c r="H98" s="2" t="s">
        <v>40</v>
      </c>
      <c r="I98" s="2" t="s">
        <v>99</v>
      </c>
      <c r="J98" s="2" t="s">
        <v>100</v>
      </c>
      <c r="L98" s="2" t="s">
        <v>99</v>
      </c>
      <c r="M98" s="2" t="s">
        <v>40</v>
      </c>
      <c r="O98" s="2" t="s">
        <v>3114</v>
      </c>
      <c r="P98" s="2" t="s">
        <v>43</v>
      </c>
      <c r="Q98" s="2" t="s">
        <v>260</v>
      </c>
      <c r="R98" s="2" t="s">
        <v>261</v>
      </c>
      <c r="S98" s="2">
        <v>2</v>
      </c>
      <c r="T98" s="2">
        <v>25.5</v>
      </c>
      <c r="U98" s="2">
        <v>5.8650000000000002</v>
      </c>
      <c r="V98" s="2">
        <v>31.364999999999998</v>
      </c>
      <c r="W98" s="2">
        <f>8.3145*S98</f>
        <v>16.629000000000001</v>
      </c>
      <c r="X98" s="5">
        <f t="shared" si="13"/>
        <v>0.34788235294117642</v>
      </c>
      <c r="Z98" s="2" t="s">
        <v>3227</v>
      </c>
      <c r="AA98" s="2" t="s">
        <v>46</v>
      </c>
      <c r="AB98" s="2" t="s">
        <v>67</v>
      </c>
      <c r="AC98" s="2" t="s">
        <v>57</v>
      </c>
      <c r="AF98" s="2">
        <f t="shared" si="11"/>
        <v>0</v>
      </c>
      <c r="AG98" s="2">
        <v>8.3145000000000007</v>
      </c>
      <c r="AH98" s="2">
        <v>15</v>
      </c>
      <c r="AJ98" s="2">
        <f t="shared" si="12"/>
        <v>0</v>
      </c>
      <c r="AK98" s="2">
        <f t="shared" si="14"/>
        <v>8.8709999999999987</v>
      </c>
      <c r="AL98" s="5">
        <f t="shared" si="15"/>
        <v>0.34788235294117642</v>
      </c>
    </row>
    <row r="99" spans="1:38" x14ac:dyDescent="0.2">
      <c r="A99" s="2">
        <v>2025</v>
      </c>
      <c r="B99" s="2">
        <v>3</v>
      </c>
      <c r="D99" s="2" t="s">
        <v>97</v>
      </c>
      <c r="E99" s="2" t="s">
        <v>98</v>
      </c>
      <c r="F99" s="2" t="s">
        <v>39</v>
      </c>
      <c r="G99" s="2">
        <v>517450925</v>
      </c>
      <c r="H99" s="2" t="s">
        <v>40</v>
      </c>
      <c r="I99" s="2" t="s">
        <v>99</v>
      </c>
      <c r="J99" s="2" t="s">
        <v>100</v>
      </c>
      <c r="L99" s="2" t="s">
        <v>99</v>
      </c>
      <c r="M99" s="2" t="s">
        <v>40</v>
      </c>
      <c r="P99" s="2" t="s">
        <v>101</v>
      </c>
      <c r="Q99" s="2" t="s">
        <v>262</v>
      </c>
      <c r="R99" s="2" t="s">
        <v>263</v>
      </c>
      <c r="S99" s="2">
        <v>1</v>
      </c>
      <c r="T99" s="2">
        <v>20000</v>
      </c>
      <c r="U99" s="2">
        <v>4600</v>
      </c>
      <c r="V99" s="2">
        <v>24600</v>
      </c>
      <c r="X99" s="5">
        <f t="shared" si="13"/>
        <v>1</v>
      </c>
      <c r="Z99" s="2" t="s">
        <v>104</v>
      </c>
      <c r="AA99" s="2" t="s">
        <v>264</v>
      </c>
      <c r="AB99" s="2" t="s">
        <v>265</v>
      </c>
      <c r="AC99" s="2" t="s">
        <v>101</v>
      </c>
      <c r="AF99" s="2">
        <f t="shared" si="11"/>
        <v>0</v>
      </c>
      <c r="AJ99" s="2">
        <f t="shared" si="12"/>
        <v>0</v>
      </c>
      <c r="AK99" s="2">
        <f t="shared" si="14"/>
        <v>20000</v>
      </c>
      <c r="AL99" s="5">
        <f t="shared" si="15"/>
        <v>1</v>
      </c>
    </row>
    <row r="100" spans="1:38" x14ac:dyDescent="0.2">
      <c r="A100" s="2">
        <v>2025</v>
      </c>
      <c r="B100" s="2">
        <v>3</v>
      </c>
      <c r="D100" s="2" t="s">
        <v>97</v>
      </c>
      <c r="E100" s="2" t="s">
        <v>98</v>
      </c>
      <c r="F100" s="2" t="s">
        <v>39</v>
      </c>
      <c r="G100" s="2">
        <v>517450925</v>
      </c>
      <c r="H100" s="2" t="s">
        <v>40</v>
      </c>
      <c r="I100" s="2" t="s">
        <v>99</v>
      </c>
      <c r="J100" s="2" t="s">
        <v>100</v>
      </c>
      <c r="L100" s="2" t="s">
        <v>99</v>
      </c>
      <c r="M100" s="2" t="s">
        <v>40</v>
      </c>
      <c r="P100" s="2" t="s">
        <v>68</v>
      </c>
      <c r="Q100" s="2" t="s">
        <v>266</v>
      </c>
      <c r="R100" s="2" t="s">
        <v>267</v>
      </c>
      <c r="S100" s="2">
        <v>1</v>
      </c>
      <c r="T100" s="2">
        <v>19.2</v>
      </c>
      <c r="U100" s="2">
        <v>4.4160000000000004</v>
      </c>
      <c r="V100" s="2">
        <v>23.616</v>
      </c>
      <c r="W100" s="2">
        <f>11.94</f>
        <v>11.94</v>
      </c>
      <c r="X100" s="5">
        <f t="shared" si="13"/>
        <v>0.37812499999999999</v>
      </c>
      <c r="Z100" s="2" t="s">
        <v>3227</v>
      </c>
      <c r="AA100" s="2" t="s">
        <v>71</v>
      </c>
      <c r="AB100" s="2" t="s">
        <v>68</v>
      </c>
      <c r="AC100" s="2" t="s">
        <v>3231</v>
      </c>
      <c r="AF100" s="2">
        <f t="shared" si="11"/>
        <v>0</v>
      </c>
      <c r="AJ100" s="2">
        <f t="shared" si="12"/>
        <v>0</v>
      </c>
      <c r="AK100" s="2">
        <f t="shared" si="14"/>
        <v>7.26</v>
      </c>
      <c r="AL100" s="5">
        <f t="shared" si="15"/>
        <v>0.37812499999999999</v>
      </c>
    </row>
    <row r="101" spans="1:38" x14ac:dyDescent="0.2">
      <c r="A101" s="2">
        <v>2025</v>
      </c>
      <c r="B101" s="2">
        <v>3</v>
      </c>
      <c r="D101" s="2" t="s">
        <v>97</v>
      </c>
      <c r="E101" s="2" t="s">
        <v>98</v>
      </c>
      <c r="F101" s="2" t="s">
        <v>39</v>
      </c>
      <c r="G101" s="2">
        <v>517450925</v>
      </c>
      <c r="H101" s="2" t="s">
        <v>40</v>
      </c>
      <c r="I101" s="2" t="s">
        <v>99</v>
      </c>
      <c r="J101" s="2" t="s">
        <v>100</v>
      </c>
      <c r="L101" s="2" t="s">
        <v>99</v>
      </c>
      <c r="M101" s="2" t="s">
        <v>40</v>
      </c>
      <c r="P101" s="2" t="s">
        <v>84</v>
      </c>
      <c r="Q101" s="2" t="s">
        <v>268</v>
      </c>
      <c r="R101" s="2" t="s">
        <v>269</v>
      </c>
      <c r="S101" s="2">
        <v>1</v>
      </c>
      <c r="T101" s="2">
        <v>4.08</v>
      </c>
      <c r="U101" s="2">
        <v>0.93840000000000001</v>
      </c>
      <c r="V101" s="2">
        <v>5.0183999999999997</v>
      </c>
      <c r="W101" s="2">
        <v>2.4154</v>
      </c>
      <c r="X101" s="5">
        <f t="shared" si="13"/>
        <v>0.4079901960784314</v>
      </c>
      <c r="Z101" s="2" t="s">
        <v>3227</v>
      </c>
      <c r="AA101" s="2" t="s">
        <v>87</v>
      </c>
      <c r="AB101" s="2" t="s">
        <v>90</v>
      </c>
      <c r="AC101" s="2" t="s">
        <v>84</v>
      </c>
      <c r="AF101" s="2">
        <f t="shared" si="11"/>
        <v>0</v>
      </c>
      <c r="AJ101" s="2">
        <f t="shared" si="12"/>
        <v>0</v>
      </c>
      <c r="AK101" s="2">
        <f t="shared" si="14"/>
        <v>1.6646000000000001</v>
      </c>
      <c r="AL101" s="5">
        <f t="shared" si="15"/>
        <v>0.4079901960784314</v>
      </c>
    </row>
    <row r="102" spans="1:38" x14ac:dyDescent="0.2">
      <c r="A102" s="2">
        <v>2025</v>
      </c>
      <c r="B102" s="2">
        <v>3</v>
      </c>
      <c r="D102" s="2" t="s">
        <v>97</v>
      </c>
      <c r="E102" s="2" t="s">
        <v>98</v>
      </c>
      <c r="F102" s="2" t="s">
        <v>39</v>
      </c>
      <c r="G102" s="2">
        <v>517450925</v>
      </c>
      <c r="H102" s="2" t="s">
        <v>40</v>
      </c>
      <c r="I102" s="2" t="s">
        <v>99</v>
      </c>
      <c r="J102" s="2" t="s">
        <v>100</v>
      </c>
      <c r="L102" s="2" t="s">
        <v>99</v>
      </c>
      <c r="M102" s="2" t="s">
        <v>40</v>
      </c>
      <c r="P102" s="2" t="s">
        <v>84</v>
      </c>
      <c r="Q102" s="2" t="s">
        <v>270</v>
      </c>
      <c r="R102" s="2" t="s">
        <v>271</v>
      </c>
      <c r="S102" s="2">
        <v>1</v>
      </c>
      <c r="T102" s="2">
        <v>8.67</v>
      </c>
      <c r="U102" s="2">
        <v>1.9941</v>
      </c>
      <c r="V102" s="2">
        <v>10.664099999999999</v>
      </c>
      <c r="W102" s="2">
        <v>6.86</v>
      </c>
      <c r="X102" s="5">
        <f t="shared" si="13"/>
        <v>0.20876585928489039</v>
      </c>
      <c r="Z102" s="2" t="s">
        <v>3227</v>
      </c>
      <c r="AA102" s="2" t="s">
        <v>87</v>
      </c>
      <c r="AB102" s="2" t="s">
        <v>90</v>
      </c>
      <c r="AC102" s="2" t="s">
        <v>84</v>
      </c>
      <c r="AF102" s="2">
        <f t="shared" si="11"/>
        <v>0</v>
      </c>
      <c r="AJ102" s="2">
        <f t="shared" si="12"/>
        <v>0</v>
      </c>
      <c r="AK102" s="2">
        <f t="shared" si="14"/>
        <v>1.8099999999999996</v>
      </c>
      <c r="AL102" s="5">
        <f t="shared" si="15"/>
        <v>0.20876585928489039</v>
      </c>
    </row>
    <row r="103" spans="1:38" x14ac:dyDescent="0.2">
      <c r="A103" s="2">
        <v>2025</v>
      </c>
      <c r="B103" s="2">
        <v>3</v>
      </c>
      <c r="D103" s="2" t="s">
        <v>97</v>
      </c>
      <c r="E103" s="2" t="s">
        <v>98</v>
      </c>
      <c r="F103" s="2" t="s">
        <v>39</v>
      </c>
      <c r="G103" s="2">
        <v>517450925</v>
      </c>
      <c r="H103" s="2" t="s">
        <v>40</v>
      </c>
      <c r="I103" s="2" t="s">
        <v>99</v>
      </c>
      <c r="J103" s="2" t="s">
        <v>100</v>
      </c>
      <c r="L103" s="2" t="s">
        <v>99</v>
      </c>
      <c r="M103" s="2" t="s">
        <v>40</v>
      </c>
      <c r="P103" s="2" t="s">
        <v>84</v>
      </c>
      <c r="Q103" s="2" t="s">
        <v>88</v>
      </c>
      <c r="R103" s="2" t="s">
        <v>89</v>
      </c>
      <c r="S103" s="2">
        <v>1</v>
      </c>
      <c r="T103" s="2">
        <v>5.61</v>
      </c>
      <c r="U103" s="2">
        <v>1.2903</v>
      </c>
      <c r="V103" s="2">
        <v>6.9003000000000014</v>
      </c>
      <c r="W103" s="2">
        <v>3.5966999999999998</v>
      </c>
      <c r="X103" s="5">
        <f t="shared" si="13"/>
        <v>0.35887700534759365</v>
      </c>
      <c r="Z103" s="2" t="s">
        <v>3227</v>
      </c>
      <c r="AA103" s="2" t="s">
        <v>87</v>
      </c>
      <c r="AB103" s="2" t="s">
        <v>90</v>
      </c>
      <c r="AC103" s="2" t="s">
        <v>84</v>
      </c>
      <c r="AF103" s="2">
        <f t="shared" si="11"/>
        <v>0</v>
      </c>
      <c r="AJ103" s="2">
        <f t="shared" si="12"/>
        <v>0</v>
      </c>
      <c r="AK103" s="2">
        <f t="shared" si="14"/>
        <v>2.0133000000000005</v>
      </c>
      <c r="AL103" s="5">
        <f t="shared" si="15"/>
        <v>0.35887700534759365</v>
      </c>
    </row>
    <row r="104" spans="1:38" x14ac:dyDescent="0.2">
      <c r="A104" s="2">
        <v>2025</v>
      </c>
      <c r="B104" s="2">
        <v>3</v>
      </c>
      <c r="D104" s="2" t="s">
        <v>97</v>
      </c>
      <c r="E104" s="2" t="s">
        <v>98</v>
      </c>
      <c r="F104" s="2" t="s">
        <v>39</v>
      </c>
      <c r="G104" s="2">
        <v>517450925</v>
      </c>
      <c r="H104" s="2" t="s">
        <v>40</v>
      </c>
      <c r="I104" s="2" t="s">
        <v>99</v>
      </c>
      <c r="J104" s="2" t="s">
        <v>100</v>
      </c>
      <c r="L104" s="2" t="s">
        <v>99</v>
      </c>
      <c r="M104" s="2" t="s">
        <v>40</v>
      </c>
      <c r="P104" s="2" t="s">
        <v>84</v>
      </c>
      <c r="Q104" s="2" t="s">
        <v>272</v>
      </c>
      <c r="R104" s="2" t="s">
        <v>273</v>
      </c>
      <c r="S104" s="2">
        <v>1</v>
      </c>
      <c r="T104" s="2">
        <v>14.7</v>
      </c>
      <c r="U104" s="2">
        <v>3.3809999999999998</v>
      </c>
      <c r="V104" s="2">
        <v>18.081</v>
      </c>
      <c r="X104" s="5">
        <f t="shared" si="13"/>
        <v>1</v>
      </c>
      <c r="Z104" s="2" t="s">
        <v>3227</v>
      </c>
      <c r="AA104" s="2" t="s">
        <v>87</v>
      </c>
      <c r="AB104" s="2" t="s">
        <v>90</v>
      </c>
      <c r="AC104" s="2" t="s">
        <v>84</v>
      </c>
      <c r="AF104" s="2">
        <f t="shared" si="11"/>
        <v>0</v>
      </c>
      <c r="AJ104" s="2">
        <f t="shared" si="12"/>
        <v>0</v>
      </c>
      <c r="AK104" s="2">
        <f t="shared" si="14"/>
        <v>14.7</v>
      </c>
      <c r="AL104" s="5">
        <f t="shared" si="15"/>
        <v>1</v>
      </c>
    </row>
    <row r="105" spans="1:38" x14ac:dyDescent="0.2">
      <c r="A105" s="2">
        <v>2025</v>
      </c>
      <c r="B105" s="2">
        <v>3</v>
      </c>
      <c r="D105" s="2" t="s">
        <v>97</v>
      </c>
      <c r="E105" s="2" t="s">
        <v>98</v>
      </c>
      <c r="F105" s="2" t="s">
        <v>39</v>
      </c>
      <c r="G105" s="2">
        <v>517450925</v>
      </c>
      <c r="H105" s="2" t="s">
        <v>40</v>
      </c>
      <c r="I105" s="2" t="s">
        <v>99</v>
      </c>
      <c r="J105" s="2" t="s">
        <v>100</v>
      </c>
      <c r="L105" s="2" t="s">
        <v>99</v>
      </c>
      <c r="M105" s="2" t="s">
        <v>40</v>
      </c>
      <c r="P105" s="2" t="s">
        <v>84</v>
      </c>
      <c r="Q105" s="2" t="s">
        <v>274</v>
      </c>
      <c r="R105" s="2" t="s">
        <v>275</v>
      </c>
      <c r="S105" s="2">
        <v>1</v>
      </c>
      <c r="T105" s="2">
        <v>5.0999999999999996</v>
      </c>
      <c r="U105" s="2">
        <v>1.173</v>
      </c>
      <c r="V105" s="2">
        <v>6.2729999999999997</v>
      </c>
      <c r="W105" s="2">
        <v>2.94</v>
      </c>
      <c r="X105" s="5">
        <f t="shared" si="13"/>
        <v>0.42352941176470588</v>
      </c>
      <c r="Z105" s="2" t="s">
        <v>3227</v>
      </c>
      <c r="AA105" s="2" t="s">
        <v>87</v>
      </c>
      <c r="AB105" s="2" t="s">
        <v>90</v>
      </c>
      <c r="AC105" s="2" t="s">
        <v>84</v>
      </c>
      <c r="AF105" s="2">
        <f t="shared" si="11"/>
        <v>0</v>
      </c>
      <c r="AJ105" s="2">
        <f t="shared" si="12"/>
        <v>0</v>
      </c>
      <c r="AK105" s="2">
        <f t="shared" si="14"/>
        <v>2.1599999999999997</v>
      </c>
      <c r="AL105" s="5">
        <f t="shared" si="15"/>
        <v>0.42352941176470588</v>
      </c>
    </row>
    <row r="106" spans="1:38" x14ac:dyDescent="0.2">
      <c r="A106" s="2">
        <v>2025</v>
      </c>
      <c r="B106" s="2">
        <v>3</v>
      </c>
      <c r="D106" s="2" t="s">
        <v>97</v>
      </c>
      <c r="E106" s="2" t="s">
        <v>98</v>
      </c>
      <c r="F106" s="2" t="s">
        <v>39</v>
      </c>
      <c r="G106" s="2">
        <v>517450925</v>
      </c>
      <c r="H106" s="2" t="s">
        <v>40</v>
      </c>
      <c r="I106" s="2" t="s">
        <v>99</v>
      </c>
      <c r="J106" s="2" t="s">
        <v>100</v>
      </c>
      <c r="L106" s="2" t="s">
        <v>99</v>
      </c>
      <c r="M106" s="2" t="s">
        <v>40</v>
      </c>
      <c r="P106" s="2" t="s">
        <v>84</v>
      </c>
      <c r="Q106" s="2" t="s">
        <v>276</v>
      </c>
      <c r="R106" s="2" t="s">
        <v>277</v>
      </c>
      <c r="S106" s="2">
        <v>1</v>
      </c>
      <c r="T106" s="2">
        <v>5.0999999999999996</v>
      </c>
      <c r="U106" s="2">
        <v>1.173</v>
      </c>
      <c r="V106" s="2">
        <v>6.2729999999999997</v>
      </c>
      <c r="W106" s="2">
        <v>2.5051000000000001</v>
      </c>
      <c r="X106" s="5">
        <f t="shared" si="13"/>
        <v>0.50880392156862742</v>
      </c>
      <c r="Z106" s="2" t="s">
        <v>3227</v>
      </c>
      <c r="AA106" s="2" t="s">
        <v>87</v>
      </c>
      <c r="AB106" s="2" t="s">
        <v>90</v>
      </c>
      <c r="AC106" s="2" t="s">
        <v>84</v>
      </c>
      <c r="AF106" s="2">
        <f t="shared" si="11"/>
        <v>0</v>
      </c>
      <c r="AJ106" s="2">
        <f t="shared" si="12"/>
        <v>0</v>
      </c>
      <c r="AK106" s="2">
        <f t="shared" si="14"/>
        <v>2.5948999999999995</v>
      </c>
      <c r="AL106" s="5">
        <f t="shared" si="15"/>
        <v>0.50880392156862742</v>
      </c>
    </row>
    <row r="107" spans="1:38" x14ac:dyDescent="0.2">
      <c r="A107" s="2">
        <v>2025</v>
      </c>
      <c r="B107" s="2">
        <v>1</v>
      </c>
      <c r="D107" s="2" t="s">
        <v>278</v>
      </c>
      <c r="E107" s="2" t="s">
        <v>38</v>
      </c>
      <c r="G107" s="2">
        <v>203419111</v>
      </c>
      <c r="I107" s="2" t="s">
        <v>279</v>
      </c>
      <c r="J107" s="2" t="s">
        <v>280</v>
      </c>
      <c r="L107" s="2" t="s">
        <v>201</v>
      </c>
      <c r="M107" s="2" t="s">
        <v>40</v>
      </c>
      <c r="O107" s="2" t="s">
        <v>281</v>
      </c>
      <c r="P107" s="2" t="s">
        <v>282</v>
      </c>
      <c r="Q107" s="2" t="s">
        <v>283</v>
      </c>
      <c r="R107" s="2" t="s">
        <v>284</v>
      </c>
      <c r="S107" s="2">
        <v>1</v>
      </c>
      <c r="T107" s="2">
        <v>145</v>
      </c>
      <c r="U107" s="2">
        <v>33.35</v>
      </c>
      <c r="V107" s="2">
        <v>178.35</v>
      </c>
      <c r="W107" s="2">
        <v>101.5</v>
      </c>
      <c r="X107" s="5">
        <f t="shared" si="13"/>
        <v>0.3</v>
      </c>
      <c r="Z107" s="2" t="s">
        <v>3227</v>
      </c>
      <c r="AA107" s="2" t="s">
        <v>71</v>
      </c>
      <c r="AB107" s="2" t="s">
        <v>119</v>
      </c>
      <c r="AC107" s="2" t="s">
        <v>119</v>
      </c>
      <c r="AF107" s="2">
        <f t="shared" si="11"/>
        <v>0</v>
      </c>
      <c r="AG107" s="2">
        <v>101.5</v>
      </c>
      <c r="AH107" s="2">
        <v>145</v>
      </c>
      <c r="AJ107" s="2">
        <f t="shared" si="12"/>
        <v>0</v>
      </c>
      <c r="AK107" s="2">
        <f t="shared" si="14"/>
        <v>43.5</v>
      </c>
      <c r="AL107" s="5">
        <f t="shared" si="15"/>
        <v>0.3</v>
      </c>
    </row>
    <row r="108" spans="1:38" x14ac:dyDescent="0.2">
      <c r="A108" s="2">
        <v>2025</v>
      </c>
      <c r="B108" s="2">
        <v>1</v>
      </c>
      <c r="D108" s="2" t="s">
        <v>278</v>
      </c>
      <c r="E108" s="2" t="s">
        <v>38</v>
      </c>
      <c r="G108" s="2">
        <v>203419111</v>
      </c>
      <c r="I108" s="2" t="s">
        <v>279</v>
      </c>
      <c r="J108" s="2" t="s">
        <v>280</v>
      </c>
      <c r="L108" s="2" t="s">
        <v>201</v>
      </c>
      <c r="P108" s="2" t="s">
        <v>43</v>
      </c>
      <c r="Q108" s="2" t="s">
        <v>232</v>
      </c>
      <c r="R108" s="2" t="s">
        <v>233</v>
      </c>
      <c r="S108" s="2">
        <v>1</v>
      </c>
      <c r="T108" s="2">
        <v>12</v>
      </c>
      <c r="U108" s="2">
        <v>2.76</v>
      </c>
      <c r="V108" s="2">
        <v>14.76</v>
      </c>
      <c r="W108" s="2">
        <v>5.9066999999999998</v>
      </c>
      <c r="X108" s="5">
        <f t="shared" si="13"/>
        <v>0.50777499999999998</v>
      </c>
      <c r="Z108" s="2" t="s">
        <v>3227</v>
      </c>
      <c r="AA108" s="2" t="s">
        <v>46</v>
      </c>
      <c r="AB108" s="2" t="s">
        <v>56</v>
      </c>
      <c r="AC108" s="2" t="s">
        <v>57</v>
      </c>
      <c r="AF108" s="2">
        <f t="shared" si="11"/>
        <v>0</v>
      </c>
      <c r="AG108" s="2">
        <v>5.9066999999999998</v>
      </c>
      <c r="AH108" s="2">
        <v>12.6</v>
      </c>
      <c r="AJ108" s="2">
        <f t="shared" si="12"/>
        <v>0</v>
      </c>
      <c r="AK108" s="2">
        <f t="shared" si="14"/>
        <v>6.0933000000000002</v>
      </c>
      <c r="AL108" s="5">
        <f t="shared" si="15"/>
        <v>0.50777499999999998</v>
      </c>
    </row>
    <row r="109" spans="1:38" x14ac:dyDescent="0.2">
      <c r="A109" s="2">
        <v>2025</v>
      </c>
      <c r="B109" s="2">
        <v>1</v>
      </c>
      <c r="D109" s="2" t="s">
        <v>278</v>
      </c>
      <c r="E109" s="2" t="s">
        <v>38</v>
      </c>
      <c r="G109" s="2">
        <v>203419111</v>
      </c>
      <c r="I109" s="2" t="s">
        <v>279</v>
      </c>
      <c r="J109" s="2" t="s">
        <v>280</v>
      </c>
      <c r="L109" s="2" t="s">
        <v>201</v>
      </c>
      <c r="M109" s="2" t="s">
        <v>40</v>
      </c>
      <c r="P109" s="2" t="s">
        <v>43</v>
      </c>
      <c r="Q109" s="2" t="s">
        <v>240</v>
      </c>
      <c r="R109" s="2" t="s">
        <v>241</v>
      </c>
      <c r="S109" s="2">
        <v>1</v>
      </c>
      <c r="T109" s="2">
        <v>24</v>
      </c>
      <c r="U109" s="2">
        <v>5.52</v>
      </c>
      <c r="V109" s="2">
        <v>29.52</v>
      </c>
      <c r="W109" s="2">
        <f>13.4067*S109</f>
        <v>13.406700000000001</v>
      </c>
      <c r="X109" s="5">
        <f t="shared" si="13"/>
        <v>0.44138749999999999</v>
      </c>
      <c r="Z109" s="2" t="s">
        <v>3227</v>
      </c>
      <c r="AA109" s="2" t="s">
        <v>46</v>
      </c>
      <c r="AB109" s="2" t="s">
        <v>56</v>
      </c>
      <c r="AC109" s="2" t="s">
        <v>57</v>
      </c>
      <c r="AF109" s="2">
        <f t="shared" si="11"/>
        <v>0</v>
      </c>
      <c r="AJ109" s="2">
        <f t="shared" si="12"/>
        <v>0</v>
      </c>
      <c r="AK109" s="2">
        <f t="shared" si="14"/>
        <v>10.593299999999999</v>
      </c>
      <c r="AL109" s="5">
        <f t="shared" si="15"/>
        <v>0.44138749999999999</v>
      </c>
    </row>
    <row r="110" spans="1:38" x14ac:dyDescent="0.2">
      <c r="A110" s="2">
        <v>2025</v>
      </c>
      <c r="B110" s="2">
        <v>1</v>
      </c>
      <c r="D110" s="2" t="s">
        <v>278</v>
      </c>
      <c r="E110" s="2" t="s">
        <v>38</v>
      </c>
      <c r="G110" s="2">
        <v>203419111</v>
      </c>
      <c r="I110" s="2" t="s">
        <v>279</v>
      </c>
      <c r="J110" s="2" t="s">
        <v>280</v>
      </c>
      <c r="L110" s="2" t="s">
        <v>201</v>
      </c>
      <c r="P110" s="2" t="s">
        <v>43</v>
      </c>
      <c r="Q110" s="2" t="s">
        <v>285</v>
      </c>
      <c r="R110" s="2" t="s">
        <v>286</v>
      </c>
      <c r="S110" s="2">
        <v>1</v>
      </c>
      <c r="T110" s="2">
        <v>22.2</v>
      </c>
      <c r="U110" s="2">
        <v>5.1059999999999999</v>
      </c>
      <c r="V110" s="2">
        <v>27.306000000000001</v>
      </c>
      <c r="W110" s="2">
        <f>12.2604*S110</f>
        <v>12.260400000000001</v>
      </c>
      <c r="X110" s="5">
        <f t="shared" si="13"/>
        <v>0.44772972972972969</v>
      </c>
      <c r="Z110" s="2" t="s">
        <v>3227</v>
      </c>
      <c r="AA110" s="2" t="s">
        <v>46</v>
      </c>
      <c r="AB110" s="2" t="s">
        <v>56</v>
      </c>
      <c r="AC110" s="2" t="s">
        <v>57</v>
      </c>
      <c r="AF110" s="2">
        <f t="shared" si="11"/>
        <v>0</v>
      </c>
      <c r="AJ110" s="2">
        <f t="shared" si="12"/>
        <v>0</v>
      </c>
      <c r="AK110" s="2">
        <f t="shared" si="14"/>
        <v>9.9395999999999987</v>
      </c>
      <c r="AL110" s="5">
        <f t="shared" si="15"/>
        <v>0.44772972972972969</v>
      </c>
    </row>
    <row r="111" spans="1:38" x14ac:dyDescent="0.2">
      <c r="A111" s="2">
        <v>2025</v>
      </c>
      <c r="B111" s="2">
        <v>1</v>
      </c>
      <c r="D111" s="2" t="s">
        <v>278</v>
      </c>
      <c r="E111" s="2" t="s">
        <v>38</v>
      </c>
      <c r="G111" s="2">
        <v>203419111</v>
      </c>
      <c r="I111" s="2" t="s">
        <v>279</v>
      </c>
      <c r="J111" s="2" t="s">
        <v>280</v>
      </c>
      <c r="L111" s="2" t="s">
        <v>201</v>
      </c>
      <c r="P111" s="2" t="s">
        <v>43</v>
      </c>
      <c r="Q111" s="2" t="s">
        <v>54</v>
      </c>
      <c r="R111" s="2" t="s">
        <v>55</v>
      </c>
      <c r="S111" s="2">
        <v>4</v>
      </c>
      <c r="T111" s="2">
        <v>72</v>
      </c>
      <c r="U111" s="2">
        <v>16.559999999999999</v>
      </c>
      <c r="V111" s="2">
        <v>88.56</v>
      </c>
      <c r="W111" s="2">
        <f>10.6*S111</f>
        <v>42.4</v>
      </c>
      <c r="X111" s="5">
        <f t="shared" si="13"/>
        <v>0.41111111111111115</v>
      </c>
      <c r="Z111" s="2" t="s">
        <v>3227</v>
      </c>
      <c r="AA111" s="2" t="s">
        <v>46</v>
      </c>
      <c r="AB111" s="2" t="s">
        <v>56</v>
      </c>
      <c r="AC111" s="2" t="s">
        <v>57</v>
      </c>
      <c r="AF111" s="2">
        <f t="shared" si="11"/>
        <v>0</v>
      </c>
      <c r="AG111" s="2">
        <v>10.6</v>
      </c>
      <c r="AH111" s="2">
        <v>18</v>
      </c>
      <c r="AJ111" s="2">
        <f t="shared" si="12"/>
        <v>0</v>
      </c>
      <c r="AK111" s="2">
        <f t="shared" si="14"/>
        <v>29.6</v>
      </c>
      <c r="AL111" s="5">
        <f t="shared" si="15"/>
        <v>0.41111111111111115</v>
      </c>
    </row>
    <row r="112" spans="1:38" x14ac:dyDescent="0.2">
      <c r="A112" s="2">
        <v>2025</v>
      </c>
      <c r="B112" s="2">
        <v>1</v>
      </c>
      <c r="D112" s="2" t="s">
        <v>278</v>
      </c>
      <c r="E112" s="2" t="s">
        <v>38</v>
      </c>
      <c r="G112" s="2">
        <v>203419111</v>
      </c>
      <c r="I112" s="2" t="s">
        <v>279</v>
      </c>
      <c r="J112" s="2" t="s">
        <v>280</v>
      </c>
      <c r="L112" s="2" t="s">
        <v>201</v>
      </c>
      <c r="P112" s="2" t="s">
        <v>43</v>
      </c>
      <c r="Q112" s="2" t="s">
        <v>61</v>
      </c>
      <c r="R112" s="2" t="s">
        <v>62</v>
      </c>
      <c r="S112" s="2">
        <v>100</v>
      </c>
      <c r="T112" s="2">
        <v>13</v>
      </c>
      <c r="U112" s="2">
        <v>2.99</v>
      </c>
      <c r="V112" s="2">
        <v>15.99</v>
      </c>
      <c r="W112" s="2">
        <f>0.082*S112</f>
        <v>8.2000000000000011</v>
      </c>
      <c r="X112" s="5">
        <f t="shared" si="13"/>
        <v>0.36923076923076914</v>
      </c>
      <c r="Z112" s="2" t="s">
        <v>3227</v>
      </c>
      <c r="AA112" s="2" t="s">
        <v>46</v>
      </c>
      <c r="AB112" s="2" t="s">
        <v>60</v>
      </c>
      <c r="AC112" s="2" t="s">
        <v>57</v>
      </c>
      <c r="AF112" s="2">
        <f t="shared" si="11"/>
        <v>0</v>
      </c>
      <c r="AG112" s="2">
        <v>8.1999999999999993</v>
      </c>
      <c r="AH112" s="2">
        <v>13</v>
      </c>
      <c r="AJ112" s="2">
        <f t="shared" si="12"/>
        <v>0</v>
      </c>
      <c r="AK112" s="2">
        <f t="shared" si="14"/>
        <v>4.7999999999999989</v>
      </c>
      <c r="AL112" s="5">
        <f t="shared" si="15"/>
        <v>0.36923076923076914</v>
      </c>
    </row>
    <row r="113" spans="1:38" x14ac:dyDescent="0.2">
      <c r="A113" s="2">
        <v>2025</v>
      </c>
      <c r="B113" s="2">
        <v>2</v>
      </c>
      <c r="D113" s="2" t="s">
        <v>174</v>
      </c>
      <c r="E113" s="2" t="s">
        <v>38</v>
      </c>
      <c r="G113" s="2">
        <v>507685261</v>
      </c>
      <c r="H113" s="2" t="s">
        <v>41</v>
      </c>
      <c r="I113" s="2" t="s">
        <v>175</v>
      </c>
      <c r="J113" s="2" t="s">
        <v>176</v>
      </c>
      <c r="K113" s="2">
        <v>932748418</v>
      </c>
      <c r="L113" s="2" t="s">
        <v>177</v>
      </c>
      <c r="M113" s="2" t="s">
        <v>40</v>
      </c>
      <c r="O113" s="2" t="s">
        <v>178</v>
      </c>
      <c r="P113" s="2" t="s">
        <v>187</v>
      </c>
      <c r="Q113" s="2" t="s">
        <v>188</v>
      </c>
      <c r="R113" s="2" t="s">
        <v>189</v>
      </c>
      <c r="S113" s="2">
        <v>1</v>
      </c>
      <c r="T113" s="2">
        <v>60</v>
      </c>
      <c r="U113" s="2">
        <v>13.8</v>
      </c>
      <c r="V113" s="2">
        <v>73.8</v>
      </c>
      <c r="W113" s="2">
        <f>T113*40%</f>
        <v>24</v>
      </c>
      <c r="X113" s="5">
        <f t="shared" si="13"/>
        <v>0.6</v>
      </c>
      <c r="Z113" s="2" t="s">
        <v>117</v>
      </c>
      <c r="AA113" s="2" t="s">
        <v>190</v>
      </c>
      <c r="AB113" s="2" t="s">
        <v>189</v>
      </c>
      <c r="AC113" s="2" t="s">
        <v>40</v>
      </c>
      <c r="AF113" s="2">
        <f t="shared" si="11"/>
        <v>0</v>
      </c>
      <c r="AJ113" s="2">
        <f t="shared" si="12"/>
        <v>0</v>
      </c>
      <c r="AK113" s="2">
        <f t="shared" si="14"/>
        <v>36</v>
      </c>
      <c r="AL113" s="5">
        <f t="shared" si="15"/>
        <v>0.6</v>
      </c>
    </row>
    <row r="114" spans="1:38" x14ac:dyDescent="0.2">
      <c r="A114" s="2">
        <v>2025</v>
      </c>
      <c r="B114" s="2">
        <v>2</v>
      </c>
      <c r="D114" s="2" t="s">
        <v>174</v>
      </c>
      <c r="E114" s="2" t="s">
        <v>38</v>
      </c>
      <c r="G114" s="2">
        <v>507685261</v>
      </c>
      <c r="H114" s="2" t="s">
        <v>41</v>
      </c>
      <c r="I114" s="2" t="s">
        <v>175</v>
      </c>
      <c r="J114" s="2" t="s">
        <v>176</v>
      </c>
      <c r="K114" s="2">
        <v>932748418</v>
      </c>
      <c r="L114" s="2" t="s">
        <v>177</v>
      </c>
      <c r="M114" s="2" t="s">
        <v>40</v>
      </c>
      <c r="O114" s="2" t="s">
        <v>178</v>
      </c>
      <c r="P114" s="2" t="s">
        <v>187</v>
      </c>
      <c r="Q114" s="2" t="s">
        <v>191</v>
      </c>
      <c r="R114" s="2" t="s">
        <v>190</v>
      </c>
      <c r="S114" s="2">
        <v>2</v>
      </c>
      <c r="T114" s="2">
        <v>100</v>
      </c>
      <c r="U114" s="2">
        <v>23</v>
      </c>
      <c r="V114" s="2">
        <v>123</v>
      </c>
      <c r="W114" s="2">
        <f>T114*50%</f>
        <v>50</v>
      </c>
      <c r="X114" s="5">
        <f t="shared" si="13"/>
        <v>0.5</v>
      </c>
      <c r="Z114" s="2" t="s">
        <v>117</v>
      </c>
      <c r="AA114" s="2" t="s">
        <v>190</v>
      </c>
      <c r="AB114" s="2" t="s">
        <v>190</v>
      </c>
      <c r="AC114" s="2" t="s">
        <v>40</v>
      </c>
      <c r="AF114" s="2">
        <f t="shared" si="11"/>
        <v>0</v>
      </c>
      <c r="AJ114" s="2">
        <f t="shared" si="12"/>
        <v>0</v>
      </c>
      <c r="AK114" s="2">
        <f t="shared" si="14"/>
        <v>50</v>
      </c>
      <c r="AL114" s="5">
        <f t="shared" si="15"/>
        <v>0.5</v>
      </c>
    </row>
    <row r="115" spans="1:38" x14ac:dyDescent="0.2">
      <c r="A115" s="2">
        <v>2025</v>
      </c>
      <c r="B115" s="2">
        <v>1</v>
      </c>
      <c r="D115" s="2" t="s">
        <v>182</v>
      </c>
      <c r="E115" s="2" t="s">
        <v>183</v>
      </c>
      <c r="F115" s="2" t="s">
        <v>184</v>
      </c>
      <c r="G115" s="2">
        <v>503116920</v>
      </c>
      <c r="H115" s="2" t="s">
        <v>41</v>
      </c>
      <c r="I115" s="2" t="s">
        <v>185</v>
      </c>
      <c r="J115" s="2" t="s">
        <v>186</v>
      </c>
      <c r="K115" s="2">
        <v>919591406</v>
      </c>
      <c r="L115" s="2" t="s">
        <v>99</v>
      </c>
      <c r="M115" s="2" t="s">
        <v>41</v>
      </c>
      <c r="O115" s="2" t="s">
        <v>3174</v>
      </c>
      <c r="P115" s="2" t="s">
        <v>114</v>
      </c>
      <c r="Q115" s="2" t="s">
        <v>287</v>
      </c>
      <c r="R115" s="2" t="s">
        <v>288</v>
      </c>
      <c r="S115" s="2">
        <v>1</v>
      </c>
      <c r="T115" s="2">
        <v>5000</v>
      </c>
      <c r="U115" s="2">
        <v>1150</v>
      </c>
      <c r="V115" s="2">
        <v>6150</v>
      </c>
      <c r="W115" s="2">
        <v>4275.9799999999996</v>
      </c>
      <c r="X115" s="5">
        <f t="shared" si="13"/>
        <v>0.1448040000000001</v>
      </c>
      <c r="Z115" s="2" t="s">
        <v>104</v>
      </c>
      <c r="AA115" s="2" t="s">
        <v>616</v>
      </c>
      <c r="AB115" s="2" t="s">
        <v>3173</v>
      </c>
      <c r="AC115" s="2" t="s">
        <v>114</v>
      </c>
      <c r="AF115" s="2">
        <f t="shared" si="11"/>
        <v>0</v>
      </c>
      <c r="AG115" s="2">
        <f>4131.6+144.38</f>
        <v>4275.9800000000005</v>
      </c>
      <c r="AJ115" s="2">
        <f t="shared" si="12"/>
        <v>0</v>
      </c>
      <c r="AK115" s="2">
        <f t="shared" si="14"/>
        <v>724.02000000000044</v>
      </c>
      <c r="AL115" s="5">
        <f t="shared" si="15"/>
        <v>0.1448040000000001</v>
      </c>
    </row>
    <row r="116" spans="1:38" x14ac:dyDescent="0.2">
      <c r="A116" s="2">
        <v>2025</v>
      </c>
      <c r="B116" s="2">
        <v>1</v>
      </c>
      <c r="D116" s="2" t="s">
        <v>182</v>
      </c>
      <c r="E116" s="2" t="s">
        <v>183</v>
      </c>
      <c r="F116" s="2" t="s">
        <v>184</v>
      </c>
      <c r="G116" s="2">
        <v>503116920</v>
      </c>
      <c r="H116" s="2" t="s">
        <v>41</v>
      </c>
      <c r="I116" s="2" t="s">
        <v>185</v>
      </c>
      <c r="J116" s="2" t="s">
        <v>186</v>
      </c>
      <c r="K116" s="2">
        <v>919591406</v>
      </c>
      <c r="L116" s="2" t="s">
        <v>99</v>
      </c>
      <c r="P116" s="2" t="s">
        <v>43</v>
      </c>
      <c r="Q116" s="2" t="s">
        <v>164</v>
      </c>
      <c r="R116" s="2" t="s">
        <v>165</v>
      </c>
      <c r="S116" s="2">
        <v>1</v>
      </c>
      <c r="T116" s="2">
        <v>15</v>
      </c>
      <c r="U116" s="2">
        <v>3.45</v>
      </c>
      <c r="V116" s="2">
        <v>18.45</v>
      </c>
      <c r="W116" s="2">
        <f>7.9612*S116</f>
        <v>7.9611999999999998</v>
      </c>
      <c r="X116" s="5">
        <f t="shared" si="13"/>
        <v>0.46925333333333336</v>
      </c>
      <c r="Z116" s="2" t="s">
        <v>3227</v>
      </c>
      <c r="AA116" s="2" t="s">
        <v>46</v>
      </c>
      <c r="AB116" s="2" t="s">
        <v>67</v>
      </c>
      <c r="AC116" s="2" t="s">
        <v>57</v>
      </c>
      <c r="AF116" s="2">
        <f t="shared" si="11"/>
        <v>0</v>
      </c>
      <c r="AG116" s="2">
        <v>7.9611999999999998</v>
      </c>
      <c r="AH116" s="2">
        <v>14.4</v>
      </c>
      <c r="AJ116" s="2">
        <f t="shared" si="12"/>
        <v>0</v>
      </c>
      <c r="AK116" s="2">
        <f t="shared" si="14"/>
        <v>7.0388000000000002</v>
      </c>
      <c r="AL116" s="5">
        <f t="shared" si="15"/>
        <v>0.46925333333333336</v>
      </c>
    </row>
    <row r="117" spans="1:38" x14ac:dyDescent="0.2">
      <c r="A117" s="2">
        <v>2025</v>
      </c>
      <c r="B117" s="2">
        <v>1</v>
      </c>
      <c r="D117" s="2" t="s">
        <v>289</v>
      </c>
      <c r="E117" s="2" t="s">
        <v>108</v>
      </c>
      <c r="F117" s="2" t="s">
        <v>39</v>
      </c>
      <c r="G117" s="2">
        <v>508428300</v>
      </c>
      <c r="H117" s="2" t="s">
        <v>290</v>
      </c>
      <c r="I117" s="2" t="s">
        <v>291</v>
      </c>
      <c r="J117" s="2" t="s">
        <v>292</v>
      </c>
      <c r="K117" s="2">
        <v>917165642</v>
      </c>
      <c r="L117" s="2" t="s">
        <v>293</v>
      </c>
      <c r="M117" s="2" t="s">
        <v>40</v>
      </c>
      <c r="O117" s="2" t="s">
        <v>294</v>
      </c>
      <c r="P117" s="2" t="s">
        <v>114</v>
      </c>
      <c r="Q117" s="2" t="s">
        <v>295</v>
      </c>
      <c r="R117" s="2" t="s">
        <v>296</v>
      </c>
      <c r="S117" s="2">
        <v>1</v>
      </c>
      <c r="T117" s="2">
        <v>660.67</v>
      </c>
      <c r="U117" s="2">
        <v>151.95410000000001</v>
      </c>
      <c r="V117" s="2">
        <v>812.6241</v>
      </c>
      <c r="W117" s="2">
        <v>386</v>
      </c>
      <c r="X117" s="5">
        <f t="shared" si="13"/>
        <v>0.41574462288283104</v>
      </c>
      <c r="Z117" s="2" t="s">
        <v>117</v>
      </c>
      <c r="AA117" s="2" t="s">
        <v>118</v>
      </c>
      <c r="AB117" s="2" t="s">
        <v>119</v>
      </c>
      <c r="AC117" s="2" t="s">
        <v>114</v>
      </c>
      <c r="AF117" s="2">
        <f t="shared" si="11"/>
        <v>0</v>
      </c>
      <c r="AG117" s="2">
        <v>386</v>
      </c>
      <c r="AJ117" s="2">
        <f t="shared" si="12"/>
        <v>0</v>
      </c>
      <c r="AK117" s="2">
        <f t="shared" si="14"/>
        <v>274.66999999999996</v>
      </c>
      <c r="AL117" s="5">
        <f t="shared" si="15"/>
        <v>0.41574462288283104</v>
      </c>
    </row>
    <row r="118" spans="1:38" x14ac:dyDescent="0.2">
      <c r="A118" s="2">
        <v>2025</v>
      </c>
      <c r="B118" s="2">
        <v>1</v>
      </c>
      <c r="D118" s="2" t="s">
        <v>278</v>
      </c>
      <c r="M118" s="2" t="s">
        <v>40</v>
      </c>
      <c r="P118" s="2" t="s">
        <v>187</v>
      </c>
      <c r="Q118" s="2" t="s">
        <v>188</v>
      </c>
      <c r="R118" s="2" t="s">
        <v>189</v>
      </c>
      <c r="S118" s="2">
        <v>1</v>
      </c>
      <c r="T118" s="2">
        <v>70</v>
      </c>
      <c r="U118" s="2">
        <v>16.100000000000001</v>
      </c>
      <c r="V118" s="2">
        <v>86.1</v>
      </c>
      <c r="W118" s="2">
        <f>T118*40%</f>
        <v>28</v>
      </c>
      <c r="X118" s="5">
        <f t="shared" si="13"/>
        <v>0.6</v>
      </c>
      <c r="Z118" s="2" t="s">
        <v>117</v>
      </c>
      <c r="AA118" s="2" t="s">
        <v>190</v>
      </c>
      <c r="AB118" s="2" t="s">
        <v>189</v>
      </c>
      <c r="AC118" s="2" t="s">
        <v>40</v>
      </c>
      <c r="AF118" s="2">
        <f t="shared" si="11"/>
        <v>0</v>
      </c>
      <c r="AJ118" s="2">
        <f t="shared" si="12"/>
        <v>0</v>
      </c>
      <c r="AK118" s="2">
        <f t="shared" si="14"/>
        <v>42</v>
      </c>
      <c r="AL118" s="5">
        <f t="shared" si="15"/>
        <v>0.6</v>
      </c>
    </row>
    <row r="119" spans="1:38" x14ac:dyDescent="0.2">
      <c r="A119" s="2">
        <v>2025</v>
      </c>
      <c r="B119" s="2">
        <v>1</v>
      </c>
      <c r="D119" s="2" t="s">
        <v>297</v>
      </c>
      <c r="E119" s="2" t="s">
        <v>38</v>
      </c>
      <c r="F119" s="2" t="s">
        <v>39</v>
      </c>
      <c r="G119" s="2">
        <v>510939570</v>
      </c>
      <c r="H119" s="2" t="s">
        <v>41</v>
      </c>
      <c r="I119" s="2" t="s">
        <v>298</v>
      </c>
      <c r="J119" s="2" t="s">
        <v>299</v>
      </c>
      <c r="K119" s="2">
        <v>962678129</v>
      </c>
      <c r="L119" s="2" t="s">
        <v>177</v>
      </c>
      <c r="M119" s="2" t="s">
        <v>41</v>
      </c>
      <c r="O119" s="2" t="s">
        <v>300</v>
      </c>
      <c r="P119" s="2" t="s">
        <v>72</v>
      </c>
      <c r="Q119" s="2" t="s">
        <v>301</v>
      </c>
      <c r="R119" s="2" t="s">
        <v>74</v>
      </c>
      <c r="S119" s="2">
        <v>1</v>
      </c>
      <c r="T119" s="2">
        <v>190</v>
      </c>
      <c r="U119" s="2">
        <v>43.7</v>
      </c>
      <c r="V119" s="2">
        <v>233.7</v>
      </c>
      <c r="W119" s="2">
        <v>121.46</v>
      </c>
      <c r="X119" s="5">
        <f t="shared" si="13"/>
        <v>0.36073684210526319</v>
      </c>
      <c r="Z119" s="2" t="s">
        <v>3227</v>
      </c>
      <c r="AA119" s="2" t="s">
        <v>75</v>
      </c>
      <c r="AB119" s="2" t="s">
        <v>76</v>
      </c>
      <c r="AC119" s="2" t="s">
        <v>77</v>
      </c>
      <c r="AF119" s="2">
        <f t="shared" si="11"/>
        <v>0</v>
      </c>
      <c r="AG119" s="2">
        <v>121.46</v>
      </c>
      <c r="AH119" s="2">
        <v>210</v>
      </c>
      <c r="AJ119" s="2">
        <f t="shared" si="12"/>
        <v>0</v>
      </c>
      <c r="AK119" s="2">
        <f t="shared" si="14"/>
        <v>68.540000000000006</v>
      </c>
      <c r="AL119" s="5">
        <f t="shared" si="15"/>
        <v>0.36073684210526319</v>
      </c>
    </row>
    <row r="120" spans="1:38" x14ac:dyDescent="0.2">
      <c r="A120" s="2">
        <v>2025</v>
      </c>
      <c r="B120" s="2">
        <v>1</v>
      </c>
      <c r="D120" s="2" t="s">
        <v>297</v>
      </c>
      <c r="E120" s="2" t="s">
        <v>38</v>
      </c>
      <c r="F120" s="2" t="s">
        <v>39</v>
      </c>
      <c r="G120" s="2">
        <v>510939570</v>
      </c>
      <c r="H120" s="2" t="s">
        <v>41</v>
      </c>
      <c r="I120" s="2" t="s">
        <v>298</v>
      </c>
      <c r="J120" s="2" t="s">
        <v>299</v>
      </c>
      <c r="K120" s="2">
        <v>962678129</v>
      </c>
      <c r="L120" s="2" t="s">
        <v>177</v>
      </c>
      <c r="M120" s="2" t="s">
        <v>41</v>
      </c>
      <c r="O120" s="2" t="s">
        <v>300</v>
      </c>
      <c r="P120" s="2" t="s">
        <v>93</v>
      </c>
      <c r="Q120" s="2" t="s">
        <v>94</v>
      </c>
      <c r="R120" s="2" t="s">
        <v>95</v>
      </c>
      <c r="S120" s="2">
        <v>1</v>
      </c>
      <c r="T120" s="2">
        <v>1.1399999999999999</v>
      </c>
      <c r="U120" s="2">
        <v>0.26219999999999999</v>
      </c>
      <c r="V120" s="2">
        <v>1.4021999999999999</v>
      </c>
      <c r="W120" s="2">
        <v>1.1399999999999999</v>
      </c>
      <c r="X120" s="5">
        <f t="shared" si="13"/>
        <v>0</v>
      </c>
      <c r="Z120" s="2" t="s">
        <v>3227</v>
      </c>
      <c r="AA120" s="2" t="s">
        <v>96</v>
      </c>
      <c r="AB120" s="2" t="s">
        <v>76</v>
      </c>
      <c r="AC120" s="2" t="s">
        <v>93</v>
      </c>
      <c r="AF120" s="2">
        <f t="shared" si="11"/>
        <v>0</v>
      </c>
      <c r="AG120" s="2">
        <v>1.1399999999999999</v>
      </c>
      <c r="AH120" s="2">
        <v>1.1399999999999999</v>
      </c>
      <c r="AJ120" s="2">
        <f t="shared" si="12"/>
        <v>0</v>
      </c>
      <c r="AK120" s="2">
        <f t="shared" si="14"/>
        <v>0</v>
      </c>
      <c r="AL120" s="5">
        <f t="shared" si="15"/>
        <v>0</v>
      </c>
    </row>
    <row r="121" spans="1:38" x14ac:dyDescent="0.2">
      <c r="A121" s="2">
        <v>2025</v>
      </c>
      <c r="B121" s="2">
        <v>1</v>
      </c>
      <c r="C121" s="2" t="s">
        <v>3492</v>
      </c>
      <c r="D121" s="2" t="s">
        <v>302</v>
      </c>
      <c r="E121" s="2" t="s">
        <v>98</v>
      </c>
      <c r="F121" s="2" t="s">
        <v>39</v>
      </c>
      <c r="L121" s="2" t="s">
        <v>339</v>
      </c>
      <c r="M121" s="2" t="s">
        <v>40</v>
      </c>
      <c r="P121" s="2" t="s">
        <v>68</v>
      </c>
      <c r="Q121" s="2" t="s">
        <v>303</v>
      </c>
      <c r="R121" s="2" t="s">
        <v>304</v>
      </c>
      <c r="S121" s="2">
        <v>2</v>
      </c>
      <c r="T121" s="2">
        <v>3383</v>
      </c>
      <c r="U121" s="2">
        <v>778.09</v>
      </c>
      <c r="V121" s="2">
        <v>4161.09</v>
      </c>
      <c r="W121" s="2">
        <f>1130.74*2</f>
        <v>2261.48</v>
      </c>
      <c r="X121" s="5">
        <f t="shared" si="13"/>
        <v>0.33151640555719775</v>
      </c>
      <c r="Z121" s="2" t="s">
        <v>104</v>
      </c>
      <c r="AA121" s="2" t="s">
        <v>105</v>
      </c>
      <c r="AB121" s="2" t="s">
        <v>106</v>
      </c>
      <c r="AC121" s="2" t="s">
        <v>3231</v>
      </c>
      <c r="AF121" s="2">
        <f t="shared" si="11"/>
        <v>0</v>
      </c>
      <c r="AJ121" s="2">
        <f t="shared" si="12"/>
        <v>0</v>
      </c>
      <c r="AK121" s="2">
        <f t="shared" si="14"/>
        <v>1121.52</v>
      </c>
      <c r="AL121" s="5">
        <f t="shared" si="15"/>
        <v>0.33151640555719775</v>
      </c>
    </row>
    <row r="122" spans="1:38" x14ac:dyDescent="0.2">
      <c r="A122" s="2">
        <v>2025</v>
      </c>
      <c r="B122" s="2">
        <v>1</v>
      </c>
      <c r="D122" s="2" t="s">
        <v>198</v>
      </c>
      <c r="E122" s="2" t="s">
        <v>108</v>
      </c>
      <c r="G122" s="2">
        <v>507541120</v>
      </c>
      <c r="H122" s="2" t="s">
        <v>40</v>
      </c>
      <c r="I122" s="2" t="s">
        <v>199</v>
      </c>
      <c r="J122" s="2" t="s">
        <v>200</v>
      </c>
      <c r="L122" s="2" t="s">
        <v>339</v>
      </c>
      <c r="P122" s="2" t="s">
        <v>72</v>
      </c>
      <c r="Q122" s="2" t="s">
        <v>306</v>
      </c>
      <c r="R122" s="2" t="s">
        <v>307</v>
      </c>
      <c r="S122" s="2">
        <v>1</v>
      </c>
      <c r="T122" s="2">
        <v>211.6</v>
      </c>
      <c r="U122" s="2">
        <v>48.667999999999999</v>
      </c>
      <c r="V122" s="2">
        <v>260.26799999999997</v>
      </c>
      <c r="W122" s="2">
        <v>119.33</v>
      </c>
      <c r="X122" s="5">
        <f t="shared" si="13"/>
        <v>0.43605860113421552</v>
      </c>
      <c r="Z122" s="2" t="s">
        <v>3227</v>
      </c>
      <c r="AA122" s="2" t="s">
        <v>75</v>
      </c>
      <c r="AB122" s="2" t="s">
        <v>76</v>
      </c>
      <c r="AC122" s="2" t="s">
        <v>77</v>
      </c>
      <c r="AF122" s="2">
        <f t="shared" si="11"/>
        <v>0</v>
      </c>
      <c r="AG122" s="2">
        <v>119.33</v>
      </c>
      <c r="AH122" s="2">
        <v>220</v>
      </c>
      <c r="AJ122" s="2">
        <f t="shared" si="12"/>
        <v>0</v>
      </c>
      <c r="AK122" s="2">
        <f t="shared" si="14"/>
        <v>92.27</v>
      </c>
      <c r="AL122" s="5">
        <f t="shared" si="15"/>
        <v>0.43605860113421552</v>
      </c>
    </row>
    <row r="123" spans="1:38" x14ac:dyDescent="0.2">
      <c r="A123" s="2">
        <v>2025</v>
      </c>
      <c r="B123" s="2">
        <v>1</v>
      </c>
      <c r="D123" s="2" t="s">
        <v>198</v>
      </c>
      <c r="E123" s="2" t="s">
        <v>108</v>
      </c>
      <c r="G123" s="2">
        <v>507541120</v>
      </c>
      <c r="H123" s="2" t="s">
        <v>40</v>
      </c>
      <c r="I123" s="2" t="s">
        <v>199</v>
      </c>
      <c r="J123" s="2" t="s">
        <v>200</v>
      </c>
      <c r="L123" s="2" t="s">
        <v>339</v>
      </c>
      <c r="P123" s="2" t="s">
        <v>93</v>
      </c>
      <c r="Q123" s="2" t="s">
        <v>94</v>
      </c>
      <c r="R123" s="2" t="s">
        <v>95</v>
      </c>
      <c r="S123" s="2">
        <v>1</v>
      </c>
      <c r="T123" s="2">
        <v>1.1399999999999999</v>
      </c>
      <c r="U123" s="2">
        <v>0.26219999999999999</v>
      </c>
      <c r="V123" s="2">
        <v>1.4021999999999999</v>
      </c>
      <c r="W123" s="2">
        <v>1.1399999999999999</v>
      </c>
      <c r="X123" s="5">
        <f t="shared" si="13"/>
        <v>0</v>
      </c>
      <c r="Z123" s="2" t="s">
        <v>3227</v>
      </c>
      <c r="AA123" s="2" t="s">
        <v>96</v>
      </c>
      <c r="AB123" s="2" t="s">
        <v>76</v>
      </c>
      <c r="AC123" s="2" t="s">
        <v>93</v>
      </c>
      <c r="AF123" s="2">
        <f t="shared" si="11"/>
        <v>0</v>
      </c>
      <c r="AJ123" s="2">
        <f t="shared" si="12"/>
        <v>0</v>
      </c>
      <c r="AK123" s="2">
        <f t="shared" si="14"/>
        <v>0</v>
      </c>
      <c r="AL123" s="5">
        <f t="shared" si="15"/>
        <v>0</v>
      </c>
    </row>
    <row r="124" spans="1:38" x14ac:dyDescent="0.2">
      <c r="A124" s="2">
        <v>2025</v>
      </c>
      <c r="B124" s="2">
        <v>1</v>
      </c>
      <c r="D124" s="2" t="s">
        <v>308</v>
      </c>
      <c r="E124" s="2" t="s">
        <v>108</v>
      </c>
      <c r="F124" s="2" t="s">
        <v>39</v>
      </c>
      <c r="G124" s="2">
        <v>503724300</v>
      </c>
      <c r="H124" s="2" t="s">
        <v>109</v>
      </c>
      <c r="I124" s="2" t="s">
        <v>3115</v>
      </c>
      <c r="J124" s="2" t="s">
        <v>3116</v>
      </c>
      <c r="L124" s="2" t="s">
        <v>339</v>
      </c>
      <c r="M124" s="2" t="s">
        <v>40</v>
      </c>
      <c r="O124" s="2" t="s">
        <v>3117</v>
      </c>
      <c r="P124" s="2" t="s">
        <v>114</v>
      </c>
      <c r="Q124" s="2" t="s">
        <v>309</v>
      </c>
      <c r="R124" s="2" t="s">
        <v>310</v>
      </c>
      <c r="S124" s="2">
        <v>1</v>
      </c>
      <c r="T124" s="2">
        <v>1243.6199999999999</v>
      </c>
      <c r="U124" s="2">
        <v>286.0326</v>
      </c>
      <c r="V124" s="2">
        <v>1529.6525999999999</v>
      </c>
      <c r="W124" s="2">
        <v>601</v>
      </c>
      <c r="X124" s="5">
        <f t="shared" si="13"/>
        <v>0.51673340731091488</v>
      </c>
      <c r="Z124" s="2" t="s">
        <v>117</v>
      </c>
      <c r="AA124" s="2" t="s">
        <v>118</v>
      </c>
      <c r="AB124" s="2" t="s">
        <v>119</v>
      </c>
      <c r="AC124" s="2" t="s">
        <v>114</v>
      </c>
      <c r="AF124" s="2">
        <f t="shared" si="11"/>
        <v>0</v>
      </c>
      <c r="AG124" s="2">
        <v>601</v>
      </c>
      <c r="AJ124" s="2">
        <f t="shared" si="12"/>
        <v>0</v>
      </c>
      <c r="AK124" s="2">
        <f t="shared" si="14"/>
        <v>642.61999999999989</v>
      </c>
      <c r="AL124" s="5">
        <f t="shared" si="15"/>
        <v>0.51673340731091488</v>
      </c>
    </row>
    <row r="125" spans="1:38" x14ac:dyDescent="0.2">
      <c r="A125" s="2">
        <v>2025</v>
      </c>
      <c r="B125" s="2">
        <v>1</v>
      </c>
      <c r="D125" s="2" t="s">
        <v>308</v>
      </c>
      <c r="E125" s="2" t="s">
        <v>108</v>
      </c>
      <c r="F125" s="2" t="s">
        <v>39</v>
      </c>
      <c r="G125" s="2">
        <v>503724300</v>
      </c>
      <c r="H125" s="2" t="s">
        <v>109</v>
      </c>
      <c r="I125" s="2" t="s">
        <v>3115</v>
      </c>
      <c r="J125" s="2" t="s">
        <v>3116</v>
      </c>
      <c r="L125" s="2" t="s">
        <v>339</v>
      </c>
      <c r="M125" s="2" t="s">
        <v>40</v>
      </c>
      <c r="O125" s="2" t="s">
        <v>3117</v>
      </c>
      <c r="P125" s="2" t="s">
        <v>187</v>
      </c>
      <c r="Q125" s="2" t="s">
        <v>188</v>
      </c>
      <c r="R125" s="2" t="s">
        <v>189</v>
      </c>
      <c r="S125" s="2">
        <v>1</v>
      </c>
      <c r="T125" s="2">
        <v>172</v>
      </c>
      <c r="U125" s="2">
        <v>39.56</v>
      </c>
      <c r="V125" s="2">
        <v>211.56</v>
      </c>
      <c r="W125" s="2">
        <f>T125*40%</f>
        <v>68.8</v>
      </c>
      <c r="X125" s="5">
        <f t="shared" ref="X125:X144" si="16">(T125-W125)/T125</f>
        <v>0.6</v>
      </c>
      <c r="Z125" s="2" t="s">
        <v>117</v>
      </c>
      <c r="AA125" s="2" t="s">
        <v>190</v>
      </c>
      <c r="AB125" s="2" t="s">
        <v>189</v>
      </c>
      <c r="AC125" s="2" t="s">
        <v>40</v>
      </c>
      <c r="AF125" s="2">
        <f t="shared" si="11"/>
        <v>0</v>
      </c>
      <c r="AJ125" s="2">
        <f t="shared" si="12"/>
        <v>0</v>
      </c>
      <c r="AK125" s="2">
        <f t="shared" ref="AK125:AK154" si="17">T125-W125</f>
        <v>103.2</v>
      </c>
      <c r="AL125" s="5">
        <f t="shared" ref="AL125:AL144" si="18">(T125-W125)/T125</f>
        <v>0.6</v>
      </c>
    </row>
    <row r="126" spans="1:38" x14ac:dyDescent="0.2">
      <c r="A126" s="2">
        <v>2025</v>
      </c>
      <c r="B126" s="2">
        <v>1</v>
      </c>
      <c r="D126" s="2" t="s">
        <v>308</v>
      </c>
      <c r="E126" s="2" t="s">
        <v>108</v>
      </c>
      <c r="F126" s="2" t="s">
        <v>39</v>
      </c>
      <c r="G126" s="2">
        <v>503724300</v>
      </c>
      <c r="H126" s="2" t="s">
        <v>109</v>
      </c>
      <c r="I126" s="2" t="s">
        <v>3115</v>
      </c>
      <c r="J126" s="2" t="s">
        <v>3116</v>
      </c>
      <c r="L126" s="2" t="s">
        <v>112</v>
      </c>
      <c r="M126" s="2" t="s">
        <v>40</v>
      </c>
      <c r="O126" s="2" t="s">
        <v>3117</v>
      </c>
      <c r="P126" s="2" t="s">
        <v>187</v>
      </c>
      <c r="Q126" s="2" t="s">
        <v>191</v>
      </c>
      <c r="R126" s="2" t="s">
        <v>190</v>
      </c>
      <c r="S126" s="2">
        <v>2</v>
      </c>
      <c r="T126" s="2">
        <v>100</v>
      </c>
      <c r="U126" s="2">
        <v>23</v>
      </c>
      <c r="V126" s="2">
        <v>123</v>
      </c>
      <c r="W126" s="2">
        <f>T126*50%</f>
        <v>50</v>
      </c>
      <c r="X126" s="5">
        <f t="shared" si="16"/>
        <v>0.5</v>
      </c>
      <c r="Z126" s="2" t="s">
        <v>117</v>
      </c>
      <c r="AA126" s="2" t="s">
        <v>190</v>
      </c>
      <c r="AB126" s="2" t="s">
        <v>190</v>
      </c>
      <c r="AC126" s="2" t="s">
        <v>40</v>
      </c>
      <c r="AF126" s="2">
        <f t="shared" si="11"/>
        <v>0</v>
      </c>
      <c r="AJ126" s="2">
        <f t="shared" si="12"/>
        <v>0</v>
      </c>
      <c r="AK126" s="2">
        <f t="shared" si="17"/>
        <v>50</v>
      </c>
      <c r="AL126" s="5">
        <f t="shared" si="18"/>
        <v>0.5</v>
      </c>
    </row>
    <row r="127" spans="1:38" x14ac:dyDescent="0.2">
      <c r="A127" s="2">
        <v>2025</v>
      </c>
      <c r="B127" s="2">
        <v>1</v>
      </c>
      <c r="D127" s="2" t="s">
        <v>311</v>
      </c>
      <c r="P127" s="2" t="s">
        <v>68</v>
      </c>
      <c r="Q127" s="2" t="s">
        <v>312</v>
      </c>
      <c r="R127" s="2" t="s">
        <v>313</v>
      </c>
      <c r="S127" s="2">
        <v>1</v>
      </c>
      <c r="T127" s="2">
        <v>93</v>
      </c>
      <c r="U127" s="2">
        <v>21.39</v>
      </c>
      <c r="V127" s="2">
        <v>114.39</v>
      </c>
      <c r="W127" s="2">
        <v>69.75</v>
      </c>
      <c r="X127" s="5">
        <f t="shared" si="16"/>
        <v>0.25</v>
      </c>
      <c r="Z127" s="2" t="s">
        <v>3227</v>
      </c>
      <c r="AA127" s="2" t="s">
        <v>71</v>
      </c>
      <c r="AB127" s="2" t="s">
        <v>68</v>
      </c>
      <c r="AC127" s="2" t="s">
        <v>3231</v>
      </c>
      <c r="AF127" s="2">
        <f t="shared" si="11"/>
        <v>0</v>
      </c>
      <c r="AG127" s="2">
        <v>69.75</v>
      </c>
      <c r="AJ127" s="2">
        <f t="shared" si="12"/>
        <v>0</v>
      </c>
      <c r="AK127" s="2">
        <f t="shared" si="17"/>
        <v>23.25</v>
      </c>
      <c r="AL127" s="5">
        <f t="shared" si="18"/>
        <v>0.25</v>
      </c>
    </row>
    <row r="128" spans="1:38" x14ac:dyDescent="0.2">
      <c r="A128" s="2">
        <v>2025</v>
      </c>
      <c r="B128" s="2">
        <v>1</v>
      </c>
      <c r="D128" s="2" t="s">
        <v>314</v>
      </c>
      <c r="E128" s="2" t="s">
        <v>108</v>
      </c>
      <c r="G128" s="2">
        <v>503270520</v>
      </c>
      <c r="H128" s="2" t="s">
        <v>40</v>
      </c>
      <c r="I128" s="2" t="s">
        <v>315</v>
      </c>
      <c r="J128" s="2" t="s">
        <v>316</v>
      </c>
      <c r="L128" s="2" t="s">
        <v>99</v>
      </c>
      <c r="M128" s="2" t="s">
        <v>40</v>
      </c>
      <c r="P128" s="2" t="s">
        <v>187</v>
      </c>
      <c r="Q128" s="2" t="s">
        <v>317</v>
      </c>
      <c r="R128" s="2" t="s">
        <v>318</v>
      </c>
      <c r="S128" s="2">
        <v>1</v>
      </c>
      <c r="T128" s="2">
        <v>291</v>
      </c>
      <c r="U128" s="2">
        <v>66.930000000000007</v>
      </c>
      <c r="V128" s="2">
        <v>357.93</v>
      </c>
      <c r="X128" s="5">
        <f t="shared" si="16"/>
        <v>1</v>
      </c>
      <c r="Z128" s="2" t="s">
        <v>117</v>
      </c>
      <c r="AA128" s="2" t="s">
        <v>317</v>
      </c>
      <c r="AF128" s="2">
        <f t="shared" si="11"/>
        <v>0</v>
      </c>
      <c r="AJ128" s="2">
        <f t="shared" si="12"/>
        <v>0</v>
      </c>
      <c r="AK128" s="2">
        <f t="shared" si="17"/>
        <v>291</v>
      </c>
      <c r="AL128" s="5">
        <f t="shared" si="18"/>
        <v>1</v>
      </c>
    </row>
    <row r="129" spans="1:38" x14ac:dyDescent="0.2">
      <c r="A129" s="2">
        <v>2025</v>
      </c>
      <c r="B129" s="2">
        <v>1</v>
      </c>
      <c r="D129" s="2" t="s">
        <v>319</v>
      </c>
      <c r="E129" s="2" t="s">
        <v>38</v>
      </c>
      <c r="F129" s="2" t="s">
        <v>39</v>
      </c>
      <c r="G129" s="2">
        <v>500883262</v>
      </c>
      <c r="H129" s="2" t="s">
        <v>40</v>
      </c>
      <c r="I129" s="2" t="s">
        <v>99</v>
      </c>
      <c r="J129" s="2" t="s">
        <v>320</v>
      </c>
      <c r="L129" s="2" t="s">
        <v>99</v>
      </c>
      <c r="M129" s="2" t="s">
        <v>80</v>
      </c>
      <c r="O129" s="2" t="s">
        <v>321</v>
      </c>
      <c r="P129" s="2" t="s">
        <v>72</v>
      </c>
      <c r="Q129" s="2" t="s">
        <v>73</v>
      </c>
      <c r="R129" s="2" t="s">
        <v>74</v>
      </c>
      <c r="S129" s="2">
        <v>1</v>
      </c>
      <c r="T129" s="2">
        <v>184</v>
      </c>
      <c r="U129" s="2">
        <v>42.32</v>
      </c>
      <c r="V129" s="2">
        <v>226.32</v>
      </c>
      <c r="W129" s="2">
        <v>117.453</v>
      </c>
      <c r="X129" s="5">
        <f t="shared" si="16"/>
        <v>0.36166847826086956</v>
      </c>
      <c r="Z129" s="2" t="s">
        <v>3227</v>
      </c>
      <c r="AA129" s="2" t="s">
        <v>75</v>
      </c>
      <c r="AB129" s="2" t="s">
        <v>76</v>
      </c>
      <c r="AC129" s="2" t="s">
        <v>77</v>
      </c>
      <c r="AE129" s="2">
        <v>0</v>
      </c>
      <c r="AF129" s="2">
        <f t="shared" si="11"/>
        <v>0</v>
      </c>
      <c r="AG129" s="2">
        <v>117.453</v>
      </c>
      <c r="AH129" s="2">
        <v>220</v>
      </c>
      <c r="AI129" s="5">
        <v>0</v>
      </c>
      <c r="AJ129" s="2">
        <f t="shared" si="12"/>
        <v>0</v>
      </c>
      <c r="AK129" s="2">
        <f t="shared" si="17"/>
        <v>66.546999999999997</v>
      </c>
      <c r="AL129" s="5">
        <f t="shared" si="18"/>
        <v>0.36166847826086956</v>
      </c>
    </row>
    <row r="130" spans="1:38" x14ac:dyDescent="0.2">
      <c r="A130" s="2">
        <v>2025</v>
      </c>
      <c r="B130" s="2">
        <v>1</v>
      </c>
      <c r="D130" s="2" t="s">
        <v>319</v>
      </c>
      <c r="E130" s="2" t="s">
        <v>38</v>
      </c>
      <c r="F130" s="2" t="s">
        <v>39</v>
      </c>
      <c r="G130" s="2">
        <v>500883262</v>
      </c>
      <c r="H130" s="2" t="s">
        <v>40</v>
      </c>
      <c r="I130" s="2" t="s">
        <v>99</v>
      </c>
      <c r="J130" s="2" t="s">
        <v>320</v>
      </c>
      <c r="L130" s="2" t="s">
        <v>99</v>
      </c>
      <c r="M130" s="2" t="s">
        <v>80</v>
      </c>
      <c r="O130" s="2" t="s">
        <v>321</v>
      </c>
      <c r="P130" s="2" t="s">
        <v>93</v>
      </c>
      <c r="Q130" s="2" t="s">
        <v>94</v>
      </c>
      <c r="R130" s="2" t="s">
        <v>95</v>
      </c>
      <c r="S130" s="2">
        <v>1</v>
      </c>
      <c r="T130" s="2">
        <v>1.1399999999999999</v>
      </c>
      <c r="U130" s="2">
        <v>0.26219999999999999</v>
      </c>
      <c r="V130" s="2">
        <v>1.4021999999999999</v>
      </c>
      <c r="W130" s="2">
        <v>1.1399999999999999</v>
      </c>
      <c r="X130" s="5">
        <f t="shared" si="16"/>
        <v>0</v>
      </c>
      <c r="Z130" s="2" t="s">
        <v>3227</v>
      </c>
      <c r="AA130" s="2" t="s">
        <v>96</v>
      </c>
      <c r="AB130" s="2" t="s">
        <v>76</v>
      </c>
      <c r="AC130" s="2" t="s">
        <v>93</v>
      </c>
      <c r="AF130" s="2">
        <f t="shared" ref="AF130:AF193" si="19">AJ130</f>
        <v>0</v>
      </c>
      <c r="AJ130" s="2">
        <f t="shared" ref="AJ130:AJ193" si="20">AI130*T130</f>
        <v>0</v>
      </c>
      <c r="AK130" s="2">
        <f t="shared" si="17"/>
        <v>0</v>
      </c>
      <c r="AL130" s="5">
        <f t="shared" si="18"/>
        <v>0</v>
      </c>
    </row>
    <row r="131" spans="1:38" x14ac:dyDescent="0.2">
      <c r="A131" s="2">
        <v>2025</v>
      </c>
      <c r="B131" s="2">
        <v>1</v>
      </c>
      <c r="D131" s="2" t="s">
        <v>322</v>
      </c>
      <c r="E131" s="2" t="s">
        <v>183</v>
      </c>
      <c r="G131" s="2">
        <v>500048894</v>
      </c>
      <c r="H131" s="2" t="s">
        <v>40</v>
      </c>
      <c r="I131" s="2" t="s">
        <v>99</v>
      </c>
      <c r="J131" s="2" t="s">
        <v>323</v>
      </c>
      <c r="L131" s="2" t="s">
        <v>99</v>
      </c>
      <c r="M131" s="2" t="s">
        <v>80</v>
      </c>
      <c r="O131" s="2" t="s">
        <v>324</v>
      </c>
      <c r="P131" s="2" t="s">
        <v>72</v>
      </c>
      <c r="Q131" s="2" t="s">
        <v>325</v>
      </c>
      <c r="R131" s="2" t="s">
        <v>79</v>
      </c>
      <c r="S131" s="2">
        <v>1</v>
      </c>
      <c r="T131" s="2">
        <v>188.6</v>
      </c>
      <c r="U131" s="2">
        <v>43.378</v>
      </c>
      <c r="V131" s="2">
        <v>231.97800000000001</v>
      </c>
      <c r="W131" s="2">
        <f>110.68*S131</f>
        <v>110.68</v>
      </c>
      <c r="X131" s="5">
        <f t="shared" si="16"/>
        <v>0.41314952279957579</v>
      </c>
      <c r="Z131" s="2" t="s">
        <v>3227</v>
      </c>
      <c r="AA131" s="2" t="s">
        <v>75</v>
      </c>
      <c r="AB131" s="2" t="s">
        <v>76</v>
      </c>
      <c r="AC131" s="2" t="s">
        <v>77</v>
      </c>
      <c r="AF131" s="2">
        <f t="shared" si="19"/>
        <v>0</v>
      </c>
      <c r="AG131" s="2">
        <v>110.68</v>
      </c>
      <c r="AH131" s="2">
        <v>210</v>
      </c>
      <c r="AJ131" s="2">
        <f t="shared" si="20"/>
        <v>0</v>
      </c>
      <c r="AK131" s="2">
        <f t="shared" si="17"/>
        <v>77.919999999999987</v>
      </c>
      <c r="AL131" s="5">
        <f t="shared" si="18"/>
        <v>0.41314952279957579</v>
      </c>
    </row>
    <row r="132" spans="1:38" x14ac:dyDescent="0.2">
      <c r="A132" s="2">
        <v>2025</v>
      </c>
      <c r="B132" s="2">
        <v>1</v>
      </c>
      <c r="D132" s="2" t="s">
        <v>322</v>
      </c>
      <c r="E132" s="2" t="s">
        <v>183</v>
      </c>
      <c r="G132" s="2">
        <v>500048894</v>
      </c>
      <c r="H132" s="2" t="s">
        <v>40</v>
      </c>
      <c r="I132" s="2" t="s">
        <v>99</v>
      </c>
      <c r="J132" s="2" t="s">
        <v>323</v>
      </c>
      <c r="L132" s="2" t="s">
        <v>99</v>
      </c>
      <c r="M132" s="2" t="s">
        <v>80</v>
      </c>
      <c r="O132" s="2" t="s">
        <v>324</v>
      </c>
      <c r="P132" s="2" t="s">
        <v>93</v>
      </c>
      <c r="Q132" s="2" t="s">
        <v>94</v>
      </c>
      <c r="R132" s="2" t="s">
        <v>95</v>
      </c>
      <c r="S132" s="2">
        <v>1</v>
      </c>
      <c r="T132" s="2">
        <v>1.1399999999999999</v>
      </c>
      <c r="U132" s="2">
        <v>0.26219999999999999</v>
      </c>
      <c r="V132" s="2">
        <v>1.4021999999999999</v>
      </c>
      <c r="W132" s="2">
        <v>1.1399999999999999</v>
      </c>
      <c r="X132" s="5">
        <f t="shared" si="16"/>
        <v>0</v>
      </c>
      <c r="Z132" s="2" t="s">
        <v>3227</v>
      </c>
      <c r="AA132" s="2" t="s">
        <v>96</v>
      </c>
      <c r="AB132" s="2" t="s">
        <v>76</v>
      </c>
      <c r="AC132" s="2" t="s">
        <v>93</v>
      </c>
      <c r="AF132" s="2">
        <f t="shared" si="19"/>
        <v>0</v>
      </c>
      <c r="AG132" s="2">
        <v>1.1399999999999999</v>
      </c>
      <c r="AH132" s="2">
        <v>1.1399999999999999</v>
      </c>
      <c r="AJ132" s="2">
        <f t="shared" si="20"/>
        <v>0</v>
      </c>
      <c r="AK132" s="2">
        <f t="shared" si="17"/>
        <v>0</v>
      </c>
      <c r="AL132" s="5">
        <f t="shared" si="18"/>
        <v>0</v>
      </c>
    </row>
    <row r="133" spans="1:38" x14ac:dyDescent="0.2">
      <c r="A133" s="2">
        <v>2025</v>
      </c>
      <c r="B133" s="2">
        <v>1</v>
      </c>
      <c r="D133" s="2" t="s">
        <v>326</v>
      </c>
      <c r="E133" s="2" t="s">
        <v>108</v>
      </c>
      <c r="F133" s="2" t="s">
        <v>39</v>
      </c>
      <c r="G133" s="2">
        <v>501544801</v>
      </c>
      <c r="H133" s="2" t="s">
        <v>41</v>
      </c>
      <c r="I133" s="2" t="s">
        <v>327</v>
      </c>
      <c r="J133" s="2" t="s">
        <v>328</v>
      </c>
      <c r="L133" s="2" t="s">
        <v>177</v>
      </c>
      <c r="M133" s="2" t="s">
        <v>41</v>
      </c>
      <c r="O133" s="2" t="s">
        <v>329</v>
      </c>
      <c r="P133" s="2" t="s">
        <v>72</v>
      </c>
      <c r="Q133" s="2" t="s">
        <v>330</v>
      </c>
      <c r="R133" s="2" t="s">
        <v>331</v>
      </c>
      <c r="S133" s="2">
        <v>1</v>
      </c>
      <c r="T133" s="2">
        <v>187</v>
      </c>
      <c r="U133" s="2">
        <v>43.010000000000012</v>
      </c>
      <c r="V133" s="2">
        <v>230.01</v>
      </c>
      <c r="W133" s="2">
        <v>111.11</v>
      </c>
      <c r="X133" s="5">
        <f t="shared" si="16"/>
        <v>0.40582887700534759</v>
      </c>
      <c r="Z133" s="2" t="s">
        <v>3227</v>
      </c>
      <c r="AA133" s="2" t="s">
        <v>75</v>
      </c>
      <c r="AB133" s="2" t="s">
        <v>76</v>
      </c>
      <c r="AC133" s="2" t="s">
        <v>77</v>
      </c>
      <c r="AF133" s="2">
        <f t="shared" si="19"/>
        <v>0</v>
      </c>
      <c r="AG133" s="2">
        <v>101.30500000000001</v>
      </c>
      <c r="AH133" s="2">
        <v>190</v>
      </c>
      <c r="AJ133" s="2">
        <f t="shared" si="20"/>
        <v>0</v>
      </c>
      <c r="AK133" s="2">
        <f t="shared" si="17"/>
        <v>75.89</v>
      </c>
      <c r="AL133" s="5">
        <f t="shared" si="18"/>
        <v>0.40582887700534759</v>
      </c>
    </row>
    <row r="134" spans="1:38" x14ac:dyDescent="0.2">
      <c r="A134" s="2">
        <v>2025</v>
      </c>
      <c r="B134" s="2">
        <v>1</v>
      </c>
      <c r="D134" s="2" t="s">
        <v>326</v>
      </c>
      <c r="E134" s="2" t="s">
        <v>108</v>
      </c>
      <c r="F134" s="2" t="s">
        <v>39</v>
      </c>
      <c r="G134" s="2">
        <v>501544801</v>
      </c>
      <c r="H134" s="2" t="s">
        <v>41</v>
      </c>
      <c r="I134" s="2" t="s">
        <v>327</v>
      </c>
      <c r="J134" s="2" t="s">
        <v>328</v>
      </c>
      <c r="L134" s="2" t="s">
        <v>177</v>
      </c>
      <c r="M134" s="2" t="s">
        <v>41</v>
      </c>
      <c r="O134" s="2" t="s">
        <v>329</v>
      </c>
      <c r="P134" s="2" t="s">
        <v>93</v>
      </c>
      <c r="Q134" s="2" t="s">
        <v>94</v>
      </c>
      <c r="R134" s="2" t="s">
        <v>95</v>
      </c>
      <c r="S134" s="2">
        <v>1</v>
      </c>
      <c r="T134" s="2">
        <v>1.1399999999999999</v>
      </c>
      <c r="U134" s="2">
        <v>0.26219999999999999</v>
      </c>
      <c r="V134" s="2">
        <v>1.4021999999999999</v>
      </c>
      <c r="W134" s="2">
        <v>1.1399999999999999</v>
      </c>
      <c r="X134" s="5">
        <f t="shared" si="16"/>
        <v>0</v>
      </c>
      <c r="Z134" s="2" t="s">
        <v>3227</v>
      </c>
      <c r="AA134" s="2" t="s">
        <v>96</v>
      </c>
      <c r="AB134" s="2" t="s">
        <v>76</v>
      </c>
      <c r="AC134" s="2" t="s">
        <v>93</v>
      </c>
      <c r="AF134" s="2">
        <f t="shared" si="19"/>
        <v>0</v>
      </c>
      <c r="AJ134" s="2">
        <f t="shared" si="20"/>
        <v>0</v>
      </c>
      <c r="AK134" s="2">
        <f t="shared" si="17"/>
        <v>0</v>
      </c>
      <c r="AL134" s="5">
        <f t="shared" si="18"/>
        <v>0</v>
      </c>
    </row>
    <row r="135" spans="1:38" x14ac:dyDescent="0.2">
      <c r="A135" s="2">
        <v>2025</v>
      </c>
      <c r="B135" s="2">
        <v>1</v>
      </c>
      <c r="D135" s="2" t="s">
        <v>332</v>
      </c>
      <c r="E135" s="2" t="s">
        <v>108</v>
      </c>
      <c r="F135" s="2" t="s">
        <v>39</v>
      </c>
      <c r="G135" s="2">
        <v>513493557</v>
      </c>
      <c r="H135" s="2" t="s">
        <v>41</v>
      </c>
      <c r="I135" s="2" t="s">
        <v>279</v>
      </c>
      <c r="J135" s="2" t="s">
        <v>333</v>
      </c>
      <c r="L135" s="2" t="s">
        <v>177</v>
      </c>
      <c r="M135" s="2" t="s">
        <v>41</v>
      </c>
      <c r="P135" s="2" t="s">
        <v>43</v>
      </c>
      <c r="Q135" s="2" t="s">
        <v>242</v>
      </c>
      <c r="R135" s="2" t="s">
        <v>243</v>
      </c>
      <c r="S135" s="2">
        <v>1</v>
      </c>
      <c r="T135" s="2">
        <v>28.8</v>
      </c>
      <c r="U135" s="2">
        <v>6.6240000000000014</v>
      </c>
      <c r="V135" s="2">
        <v>35.423999999999999</v>
      </c>
      <c r="W135" s="2">
        <f>16.2249*S135</f>
        <v>16.224900000000002</v>
      </c>
      <c r="X135" s="5">
        <f t="shared" si="16"/>
        <v>0.43663541666666661</v>
      </c>
      <c r="Z135" s="2" t="s">
        <v>3227</v>
      </c>
      <c r="AA135" s="2" t="s">
        <v>46</v>
      </c>
      <c r="AB135" s="2" t="s">
        <v>56</v>
      </c>
      <c r="AC135" s="2" t="s">
        <v>57</v>
      </c>
      <c r="AF135" s="2">
        <f t="shared" si="19"/>
        <v>0</v>
      </c>
      <c r="AJ135" s="2">
        <f t="shared" si="20"/>
        <v>0</v>
      </c>
      <c r="AK135" s="2">
        <f t="shared" si="17"/>
        <v>12.575099999999999</v>
      </c>
      <c r="AL135" s="5">
        <f t="shared" si="18"/>
        <v>0.43663541666666661</v>
      </c>
    </row>
    <row r="136" spans="1:38" x14ac:dyDescent="0.2">
      <c r="A136" s="2">
        <v>2025</v>
      </c>
      <c r="B136" s="2">
        <v>1</v>
      </c>
      <c r="D136" s="2" t="s">
        <v>332</v>
      </c>
      <c r="E136" s="2" t="s">
        <v>108</v>
      </c>
      <c r="F136" s="2" t="s">
        <v>39</v>
      </c>
      <c r="G136" s="2">
        <v>513493557</v>
      </c>
      <c r="H136" s="2" t="s">
        <v>41</v>
      </c>
      <c r="I136" s="2" t="s">
        <v>279</v>
      </c>
      <c r="J136" s="2" t="s">
        <v>333</v>
      </c>
      <c r="L136" s="2" t="s">
        <v>177</v>
      </c>
      <c r="M136" s="2" t="s">
        <v>41</v>
      </c>
      <c r="P136" s="2" t="s">
        <v>43</v>
      </c>
      <c r="Q136" s="2" t="s">
        <v>334</v>
      </c>
      <c r="R136" s="2" t="s">
        <v>335</v>
      </c>
      <c r="S136" s="2">
        <v>20</v>
      </c>
      <c r="T136" s="2">
        <v>60</v>
      </c>
      <c r="U136" s="2">
        <v>13.8</v>
      </c>
      <c r="V136" s="2">
        <v>73.8</v>
      </c>
      <c r="W136" s="2">
        <f>1.1122*S136</f>
        <v>22.244</v>
      </c>
      <c r="X136" s="5">
        <f t="shared" si="16"/>
        <v>0.62926666666666664</v>
      </c>
      <c r="Z136" s="2" t="s">
        <v>3227</v>
      </c>
      <c r="AA136" s="2" t="s">
        <v>46</v>
      </c>
      <c r="AB136" s="2" t="s">
        <v>60</v>
      </c>
      <c r="AC136" s="2" t="s">
        <v>57</v>
      </c>
      <c r="AF136" s="2">
        <f t="shared" si="19"/>
        <v>0</v>
      </c>
      <c r="AG136" s="2">
        <v>1.1122000000000001</v>
      </c>
      <c r="AH136" s="2">
        <v>3</v>
      </c>
      <c r="AJ136" s="2">
        <f t="shared" si="20"/>
        <v>0</v>
      </c>
      <c r="AK136" s="2">
        <f t="shared" si="17"/>
        <v>37.756</v>
      </c>
      <c r="AL136" s="5">
        <f t="shared" si="18"/>
        <v>0.62926666666666664</v>
      </c>
    </row>
    <row r="137" spans="1:38" x14ac:dyDescent="0.2">
      <c r="A137" s="2">
        <v>2025</v>
      </c>
      <c r="B137" s="2">
        <v>1</v>
      </c>
      <c r="D137" s="2" t="s">
        <v>336</v>
      </c>
      <c r="E137" s="2" t="s">
        <v>108</v>
      </c>
      <c r="F137" s="2" t="s">
        <v>39</v>
      </c>
      <c r="G137" s="2">
        <v>503373494</v>
      </c>
      <c r="H137" s="2" t="s">
        <v>290</v>
      </c>
      <c r="I137" s="2" t="s">
        <v>337</v>
      </c>
      <c r="J137" s="2" t="s">
        <v>338</v>
      </c>
      <c r="K137" s="2">
        <v>965852001</v>
      </c>
      <c r="L137" s="2" t="s">
        <v>339</v>
      </c>
      <c r="P137" s="2" t="s">
        <v>43</v>
      </c>
      <c r="Q137" s="2" t="s">
        <v>220</v>
      </c>
      <c r="R137" s="2" t="s">
        <v>221</v>
      </c>
      <c r="S137" s="2">
        <v>1</v>
      </c>
      <c r="T137" s="2">
        <v>24.6</v>
      </c>
      <c r="U137" s="2">
        <v>5.6580000000000004</v>
      </c>
      <c r="V137" s="2">
        <v>30.257999999999999</v>
      </c>
      <c r="W137" s="2">
        <v>14.855</v>
      </c>
      <c r="X137" s="5">
        <f t="shared" si="16"/>
        <v>0.39613821138211386</v>
      </c>
      <c r="Z137" s="2" t="s">
        <v>3227</v>
      </c>
      <c r="AA137" s="2" t="s">
        <v>46</v>
      </c>
      <c r="AB137" s="2" t="s">
        <v>56</v>
      </c>
      <c r="AC137" s="2" t="s">
        <v>57</v>
      </c>
      <c r="AF137" s="2">
        <f t="shared" si="19"/>
        <v>0</v>
      </c>
      <c r="AJ137" s="2">
        <f t="shared" si="20"/>
        <v>0</v>
      </c>
      <c r="AK137" s="2">
        <f t="shared" si="17"/>
        <v>9.745000000000001</v>
      </c>
      <c r="AL137" s="5">
        <f t="shared" si="18"/>
        <v>0.39613821138211386</v>
      </c>
    </row>
    <row r="138" spans="1:38" x14ac:dyDescent="0.2">
      <c r="A138" s="2">
        <v>2025</v>
      </c>
      <c r="B138" s="2">
        <v>1</v>
      </c>
      <c r="D138" s="2" t="s">
        <v>336</v>
      </c>
      <c r="E138" s="2" t="s">
        <v>108</v>
      </c>
      <c r="F138" s="2" t="s">
        <v>39</v>
      </c>
      <c r="G138" s="2">
        <v>503373494</v>
      </c>
      <c r="H138" s="2" t="s">
        <v>290</v>
      </c>
      <c r="I138" s="2" t="s">
        <v>337</v>
      </c>
      <c r="J138" s="2" t="s">
        <v>338</v>
      </c>
      <c r="K138" s="2">
        <v>965852001</v>
      </c>
      <c r="L138" s="2" t="s">
        <v>339</v>
      </c>
      <c r="P138" s="2" t="s">
        <v>43</v>
      </c>
      <c r="Q138" s="2" t="s">
        <v>230</v>
      </c>
      <c r="R138" s="2" t="s">
        <v>231</v>
      </c>
      <c r="S138" s="2">
        <v>1</v>
      </c>
      <c r="T138" s="2">
        <v>12</v>
      </c>
      <c r="U138" s="2">
        <v>2.76</v>
      </c>
      <c r="V138" s="2">
        <v>14.76</v>
      </c>
      <c r="W138" s="2">
        <f>6.605*S138</f>
        <v>6.6050000000000004</v>
      </c>
      <c r="X138" s="5">
        <f t="shared" si="16"/>
        <v>0.44958333333333328</v>
      </c>
      <c r="Z138" s="2" t="s">
        <v>3227</v>
      </c>
      <c r="AA138" s="2" t="s">
        <v>46</v>
      </c>
      <c r="AB138" s="2" t="s">
        <v>56</v>
      </c>
      <c r="AC138" s="2" t="s">
        <v>57</v>
      </c>
      <c r="AF138" s="2">
        <f t="shared" si="19"/>
        <v>0</v>
      </c>
      <c r="AJ138" s="2">
        <f t="shared" si="20"/>
        <v>0</v>
      </c>
      <c r="AK138" s="2">
        <f t="shared" si="17"/>
        <v>5.3949999999999996</v>
      </c>
      <c r="AL138" s="5">
        <f t="shared" si="18"/>
        <v>0.44958333333333328</v>
      </c>
    </row>
    <row r="139" spans="1:38" x14ac:dyDescent="0.2">
      <c r="A139" s="2">
        <v>2025</v>
      </c>
      <c r="B139" s="2">
        <v>1</v>
      </c>
      <c r="D139" s="2" t="s">
        <v>336</v>
      </c>
      <c r="E139" s="2" t="s">
        <v>108</v>
      </c>
      <c r="F139" s="2" t="s">
        <v>39</v>
      </c>
      <c r="G139" s="2">
        <v>503373494</v>
      </c>
      <c r="H139" s="2" t="s">
        <v>290</v>
      </c>
      <c r="I139" s="2" t="s">
        <v>337</v>
      </c>
      <c r="J139" s="2" t="s">
        <v>338</v>
      </c>
      <c r="K139" s="2">
        <v>965852001</v>
      </c>
      <c r="L139" s="2" t="s">
        <v>339</v>
      </c>
      <c r="P139" s="2" t="s">
        <v>43</v>
      </c>
      <c r="Q139" s="2" t="s">
        <v>54</v>
      </c>
      <c r="R139" s="2" t="s">
        <v>55</v>
      </c>
      <c r="S139" s="2">
        <v>10</v>
      </c>
      <c r="T139" s="2">
        <v>180</v>
      </c>
      <c r="U139" s="2">
        <v>41.4</v>
      </c>
      <c r="V139" s="2">
        <v>221.4</v>
      </c>
      <c r="W139" s="2">
        <f>10.6*S139</f>
        <v>106</v>
      </c>
      <c r="X139" s="5">
        <f t="shared" si="16"/>
        <v>0.41111111111111109</v>
      </c>
      <c r="Z139" s="2" t="s">
        <v>3227</v>
      </c>
      <c r="AA139" s="2" t="s">
        <v>46</v>
      </c>
      <c r="AB139" s="2" t="s">
        <v>56</v>
      </c>
      <c r="AC139" s="2" t="s">
        <v>57</v>
      </c>
      <c r="AF139" s="2">
        <f t="shared" si="19"/>
        <v>0</v>
      </c>
      <c r="AG139" s="2">
        <v>10.6</v>
      </c>
      <c r="AH139" s="2">
        <v>18</v>
      </c>
      <c r="AJ139" s="2">
        <f t="shared" si="20"/>
        <v>0</v>
      </c>
      <c r="AK139" s="2">
        <f t="shared" si="17"/>
        <v>74</v>
      </c>
      <c r="AL139" s="5">
        <f t="shared" si="18"/>
        <v>0.41111111111111109</v>
      </c>
    </row>
    <row r="140" spans="1:38" x14ac:dyDescent="0.2">
      <c r="A140" s="2">
        <v>2025</v>
      </c>
      <c r="B140" s="2">
        <v>1</v>
      </c>
      <c r="D140" s="2" t="s">
        <v>336</v>
      </c>
      <c r="E140" s="2" t="s">
        <v>108</v>
      </c>
      <c r="F140" s="2" t="s">
        <v>39</v>
      </c>
      <c r="G140" s="2">
        <v>503373494</v>
      </c>
      <c r="H140" s="2" t="s">
        <v>290</v>
      </c>
      <c r="I140" s="2" t="s">
        <v>337</v>
      </c>
      <c r="J140" s="2" t="s">
        <v>338</v>
      </c>
      <c r="K140" s="2">
        <v>965852001</v>
      </c>
      <c r="L140" s="2" t="s">
        <v>339</v>
      </c>
      <c r="P140" s="2" t="s">
        <v>43</v>
      </c>
      <c r="Q140" s="2" t="s">
        <v>61</v>
      </c>
      <c r="R140" s="2" t="s">
        <v>62</v>
      </c>
      <c r="S140" s="2">
        <v>1000</v>
      </c>
      <c r="T140" s="2">
        <v>110</v>
      </c>
      <c r="U140" s="2">
        <v>25.3</v>
      </c>
      <c r="V140" s="2">
        <v>135.30000000000001</v>
      </c>
      <c r="W140" s="2">
        <f>0.082*S140</f>
        <v>82</v>
      </c>
      <c r="X140" s="5">
        <f t="shared" si="16"/>
        <v>0.25454545454545452</v>
      </c>
      <c r="Z140" s="2" t="s">
        <v>3227</v>
      </c>
      <c r="AA140" s="2" t="s">
        <v>46</v>
      </c>
      <c r="AB140" s="2" t="s">
        <v>60</v>
      </c>
      <c r="AC140" s="2" t="s">
        <v>57</v>
      </c>
      <c r="AF140" s="2">
        <f t="shared" si="19"/>
        <v>0</v>
      </c>
      <c r="AG140" s="2">
        <v>8.1999999999999993</v>
      </c>
      <c r="AH140" s="2">
        <v>13</v>
      </c>
      <c r="AJ140" s="2">
        <f t="shared" si="20"/>
        <v>0</v>
      </c>
      <c r="AK140" s="2">
        <f t="shared" si="17"/>
        <v>28</v>
      </c>
      <c r="AL140" s="5">
        <f t="shared" si="18"/>
        <v>0.25454545454545452</v>
      </c>
    </row>
    <row r="141" spans="1:38" x14ac:dyDescent="0.2">
      <c r="A141" s="2">
        <v>2025</v>
      </c>
      <c r="B141" s="2">
        <v>1</v>
      </c>
      <c r="D141" s="2" t="s">
        <v>340</v>
      </c>
      <c r="M141" s="2" t="s">
        <v>40</v>
      </c>
      <c r="P141" s="2" t="s">
        <v>187</v>
      </c>
      <c r="Q141" s="2" t="s">
        <v>191</v>
      </c>
      <c r="R141" s="2" t="s">
        <v>190</v>
      </c>
      <c r="S141" s="2">
        <v>4</v>
      </c>
      <c r="T141" s="2">
        <v>200</v>
      </c>
      <c r="U141" s="2">
        <v>46</v>
      </c>
      <c r="V141" s="2">
        <v>246</v>
      </c>
      <c r="W141" s="2">
        <f>T141*50%</f>
        <v>100</v>
      </c>
      <c r="X141" s="5">
        <f t="shared" si="16"/>
        <v>0.5</v>
      </c>
      <c r="Z141" s="2" t="s">
        <v>117</v>
      </c>
      <c r="AA141" s="2" t="s">
        <v>190</v>
      </c>
      <c r="AB141" s="2" t="s">
        <v>190</v>
      </c>
      <c r="AC141" s="2" t="s">
        <v>40</v>
      </c>
      <c r="AF141" s="2">
        <f t="shared" si="19"/>
        <v>0</v>
      </c>
      <c r="AJ141" s="2">
        <f t="shared" si="20"/>
        <v>0</v>
      </c>
      <c r="AK141" s="2">
        <f t="shared" si="17"/>
        <v>100</v>
      </c>
      <c r="AL141" s="5">
        <f t="shared" si="18"/>
        <v>0.5</v>
      </c>
    </row>
    <row r="142" spans="1:38" x14ac:dyDescent="0.2">
      <c r="A142" s="2">
        <v>2025</v>
      </c>
      <c r="B142" s="2">
        <v>1</v>
      </c>
      <c r="D142" s="2" t="s">
        <v>341</v>
      </c>
      <c r="E142" s="2" t="s">
        <v>98</v>
      </c>
      <c r="F142" s="2" t="s">
        <v>39</v>
      </c>
      <c r="G142" s="2">
        <v>515045209</v>
      </c>
      <c r="H142" s="2" t="s">
        <v>40</v>
      </c>
      <c r="I142" s="2" t="s">
        <v>342</v>
      </c>
      <c r="J142" s="2" t="s">
        <v>343</v>
      </c>
      <c r="K142" s="2">
        <v>910797622</v>
      </c>
      <c r="L142" s="2" t="s">
        <v>344</v>
      </c>
      <c r="M142" s="2" t="s">
        <v>80</v>
      </c>
      <c r="O142" s="2" t="s">
        <v>345</v>
      </c>
      <c r="P142" s="2" t="s">
        <v>72</v>
      </c>
      <c r="Q142" s="2" t="s">
        <v>346</v>
      </c>
      <c r="R142" s="2" t="s">
        <v>74</v>
      </c>
      <c r="S142" s="2">
        <v>1</v>
      </c>
      <c r="T142" s="2">
        <v>202.4</v>
      </c>
      <c r="U142" s="2">
        <v>46.552000000000007</v>
      </c>
      <c r="V142" s="2">
        <v>248.952</v>
      </c>
      <c r="W142" s="2">
        <v>124.4</v>
      </c>
      <c r="X142" s="5">
        <f t="shared" si="16"/>
        <v>0.38537549407114624</v>
      </c>
      <c r="Z142" s="2" t="s">
        <v>3227</v>
      </c>
      <c r="AA142" s="2" t="s">
        <v>75</v>
      </c>
      <c r="AB142" s="2" t="s">
        <v>76</v>
      </c>
      <c r="AC142" s="2" t="s">
        <v>77</v>
      </c>
      <c r="AF142" s="2">
        <f t="shared" si="19"/>
        <v>0</v>
      </c>
      <c r="AG142" s="2">
        <v>124.4</v>
      </c>
      <c r="AH142" s="2">
        <v>200</v>
      </c>
      <c r="AJ142" s="2">
        <f t="shared" si="20"/>
        <v>0</v>
      </c>
      <c r="AK142" s="2">
        <f t="shared" si="17"/>
        <v>78</v>
      </c>
      <c r="AL142" s="5">
        <f t="shared" si="18"/>
        <v>0.38537549407114624</v>
      </c>
    </row>
    <row r="143" spans="1:38" x14ac:dyDescent="0.2">
      <c r="A143" s="2">
        <v>2025</v>
      </c>
      <c r="B143" s="2">
        <v>1</v>
      </c>
      <c r="D143" s="2" t="s">
        <v>341</v>
      </c>
      <c r="E143" s="2" t="s">
        <v>98</v>
      </c>
      <c r="F143" s="2" t="s">
        <v>39</v>
      </c>
      <c r="G143" s="2">
        <v>515045209</v>
      </c>
      <c r="H143" s="2" t="s">
        <v>40</v>
      </c>
      <c r="I143" s="2" t="s">
        <v>342</v>
      </c>
      <c r="J143" s="2" t="s">
        <v>343</v>
      </c>
      <c r="K143" s="2">
        <v>910797622</v>
      </c>
      <c r="L143" s="2" t="s">
        <v>344</v>
      </c>
      <c r="M143" s="2" t="s">
        <v>80</v>
      </c>
      <c r="O143" s="2" t="s">
        <v>345</v>
      </c>
      <c r="P143" s="2" t="s">
        <v>93</v>
      </c>
      <c r="Q143" s="2" t="s">
        <v>94</v>
      </c>
      <c r="R143" s="2" t="s">
        <v>95</v>
      </c>
      <c r="S143" s="2">
        <v>1</v>
      </c>
      <c r="T143" s="2">
        <v>1.1399999999999999</v>
      </c>
      <c r="U143" s="2">
        <v>0.26219999999999999</v>
      </c>
      <c r="V143" s="2">
        <v>1.4021999999999999</v>
      </c>
      <c r="W143" s="2">
        <v>1.1399999999999999</v>
      </c>
      <c r="X143" s="5">
        <f t="shared" si="16"/>
        <v>0</v>
      </c>
      <c r="Z143" s="2" t="s">
        <v>3227</v>
      </c>
      <c r="AA143" s="2" t="s">
        <v>96</v>
      </c>
      <c r="AB143" s="2" t="s">
        <v>76</v>
      </c>
      <c r="AC143" s="2" t="s">
        <v>93</v>
      </c>
      <c r="AF143" s="2">
        <f t="shared" si="19"/>
        <v>0</v>
      </c>
      <c r="AJ143" s="2">
        <f t="shared" si="20"/>
        <v>0</v>
      </c>
      <c r="AK143" s="2">
        <f t="shared" si="17"/>
        <v>0</v>
      </c>
      <c r="AL143" s="5">
        <f t="shared" si="18"/>
        <v>0</v>
      </c>
    </row>
    <row r="144" spans="1:38" x14ac:dyDescent="0.2">
      <c r="A144" s="2">
        <v>2025</v>
      </c>
      <c r="B144" s="2">
        <v>1</v>
      </c>
      <c r="D144" s="2" t="s">
        <v>278</v>
      </c>
      <c r="M144" s="2" t="s">
        <v>40</v>
      </c>
      <c r="P144" s="2" t="s">
        <v>187</v>
      </c>
      <c r="Q144" s="2" t="s">
        <v>191</v>
      </c>
      <c r="R144" s="2" t="s">
        <v>190</v>
      </c>
      <c r="S144" s="2">
        <v>1</v>
      </c>
      <c r="T144" s="2">
        <v>50</v>
      </c>
      <c r="U144" s="2">
        <v>11.5</v>
      </c>
      <c r="V144" s="2">
        <v>61.5</v>
      </c>
      <c r="W144" s="2">
        <f>T144*50%</f>
        <v>25</v>
      </c>
      <c r="X144" s="5">
        <f t="shared" si="16"/>
        <v>0.5</v>
      </c>
      <c r="Z144" s="2" t="s">
        <v>117</v>
      </c>
      <c r="AA144" s="2" t="s">
        <v>190</v>
      </c>
      <c r="AB144" s="2" t="s">
        <v>190</v>
      </c>
      <c r="AC144" s="2" t="s">
        <v>40</v>
      </c>
      <c r="AF144" s="2">
        <f t="shared" si="19"/>
        <v>0</v>
      </c>
      <c r="AJ144" s="2">
        <f t="shared" si="20"/>
        <v>0</v>
      </c>
      <c r="AK144" s="2">
        <f t="shared" si="17"/>
        <v>25</v>
      </c>
      <c r="AL144" s="5">
        <f t="shared" si="18"/>
        <v>0.5</v>
      </c>
    </row>
    <row r="145" spans="1:38" x14ac:dyDescent="0.2">
      <c r="A145" s="2">
        <v>2025</v>
      </c>
      <c r="B145" s="2">
        <v>2</v>
      </c>
      <c r="D145" s="2" t="s">
        <v>182</v>
      </c>
      <c r="E145" s="2" t="s">
        <v>183</v>
      </c>
      <c r="F145" s="2" t="s">
        <v>184</v>
      </c>
      <c r="G145" s="2">
        <v>503116920</v>
      </c>
      <c r="H145" s="2" t="s">
        <v>41</v>
      </c>
      <c r="I145" s="2" t="s">
        <v>185</v>
      </c>
      <c r="J145" s="2" t="s">
        <v>186</v>
      </c>
      <c r="K145" s="2">
        <v>919591406</v>
      </c>
      <c r="L145" s="2" t="s">
        <v>99</v>
      </c>
      <c r="M145" s="2" t="s">
        <v>40</v>
      </c>
      <c r="P145" s="2" t="s">
        <v>187</v>
      </c>
      <c r="Q145" s="2" t="s">
        <v>188</v>
      </c>
      <c r="R145" s="2" t="s">
        <v>189</v>
      </c>
      <c r="S145" s="2">
        <v>1</v>
      </c>
      <c r="T145" s="2">
        <v>0</v>
      </c>
      <c r="U145" s="2">
        <v>0</v>
      </c>
      <c r="V145" s="2">
        <v>0</v>
      </c>
      <c r="W145" s="2">
        <f>T145*40%</f>
        <v>0</v>
      </c>
      <c r="Z145" s="2" t="s">
        <v>117</v>
      </c>
      <c r="AA145" s="2" t="s">
        <v>190</v>
      </c>
      <c r="AB145" s="2" t="s">
        <v>189</v>
      </c>
      <c r="AC145" s="2" t="s">
        <v>40</v>
      </c>
      <c r="AF145" s="2">
        <f t="shared" si="19"/>
        <v>0</v>
      </c>
      <c r="AJ145" s="2">
        <f t="shared" si="20"/>
        <v>0</v>
      </c>
      <c r="AK145" s="2">
        <f t="shared" si="17"/>
        <v>0</v>
      </c>
      <c r="AL145" s="5">
        <v>0</v>
      </c>
    </row>
    <row r="146" spans="1:38" x14ac:dyDescent="0.2">
      <c r="A146" s="2">
        <v>2025</v>
      </c>
      <c r="B146" s="2">
        <v>2</v>
      </c>
      <c r="D146" s="2" t="s">
        <v>182</v>
      </c>
      <c r="E146" s="2" t="s">
        <v>183</v>
      </c>
      <c r="F146" s="2" t="s">
        <v>184</v>
      </c>
      <c r="G146" s="2">
        <v>503116920</v>
      </c>
      <c r="H146" s="2" t="s">
        <v>41</v>
      </c>
      <c r="I146" s="2" t="s">
        <v>185</v>
      </c>
      <c r="J146" s="2" t="s">
        <v>186</v>
      </c>
      <c r="K146" s="2">
        <v>919591406</v>
      </c>
      <c r="L146" s="2" t="s">
        <v>99</v>
      </c>
      <c r="M146" s="2" t="s">
        <v>40</v>
      </c>
      <c r="P146" s="2" t="s">
        <v>187</v>
      </c>
      <c r="Q146" s="2" t="s">
        <v>191</v>
      </c>
      <c r="R146" s="2" t="s">
        <v>190</v>
      </c>
      <c r="S146" s="2">
        <v>2</v>
      </c>
      <c r="T146" s="2">
        <v>0</v>
      </c>
      <c r="U146" s="2">
        <v>0</v>
      </c>
      <c r="V146" s="2">
        <v>0</v>
      </c>
      <c r="W146" s="2">
        <f>T146*50%</f>
        <v>0</v>
      </c>
      <c r="X146" s="5">
        <v>0</v>
      </c>
      <c r="Z146" s="2" t="s">
        <v>117</v>
      </c>
      <c r="AA146" s="2" t="s">
        <v>190</v>
      </c>
      <c r="AB146" s="2" t="s">
        <v>190</v>
      </c>
      <c r="AC146" s="2" t="s">
        <v>40</v>
      </c>
      <c r="AF146" s="2">
        <f t="shared" si="19"/>
        <v>0</v>
      </c>
      <c r="AJ146" s="2">
        <f t="shared" si="20"/>
        <v>0</v>
      </c>
      <c r="AK146" s="2">
        <f t="shared" si="17"/>
        <v>0</v>
      </c>
      <c r="AL146" s="5">
        <v>0</v>
      </c>
    </row>
    <row r="147" spans="1:38" x14ac:dyDescent="0.2">
      <c r="A147" s="2">
        <v>2025</v>
      </c>
      <c r="B147" s="2">
        <v>1</v>
      </c>
      <c r="D147" s="2" t="s">
        <v>289</v>
      </c>
      <c r="E147" s="2" t="s">
        <v>108</v>
      </c>
      <c r="F147" s="2" t="s">
        <v>39</v>
      </c>
      <c r="G147" s="2">
        <v>508428300</v>
      </c>
      <c r="H147" s="2" t="s">
        <v>290</v>
      </c>
      <c r="I147" s="2" t="s">
        <v>291</v>
      </c>
      <c r="J147" s="2" t="s">
        <v>292</v>
      </c>
      <c r="K147" s="2">
        <v>917165642</v>
      </c>
      <c r="L147" s="2" t="s">
        <v>293</v>
      </c>
      <c r="M147" s="2" t="s">
        <v>40</v>
      </c>
      <c r="O147" s="2" t="s">
        <v>294</v>
      </c>
      <c r="P147" s="2" t="s">
        <v>187</v>
      </c>
      <c r="Q147" s="2" t="s">
        <v>191</v>
      </c>
      <c r="R147" s="2" t="s">
        <v>190</v>
      </c>
      <c r="S147" s="2">
        <v>1</v>
      </c>
      <c r="T147" s="2">
        <v>45</v>
      </c>
      <c r="U147" s="2">
        <v>10.35</v>
      </c>
      <c r="V147" s="2">
        <v>55.35</v>
      </c>
      <c r="W147" s="2">
        <f>T147*50%</f>
        <v>22.5</v>
      </c>
      <c r="X147" s="5">
        <f>(T147-W147)/T147</f>
        <v>0.5</v>
      </c>
      <c r="Z147" s="2" t="s">
        <v>117</v>
      </c>
      <c r="AA147" s="2" t="s">
        <v>190</v>
      </c>
      <c r="AB147" s="2" t="s">
        <v>190</v>
      </c>
      <c r="AC147" s="2" t="s">
        <v>40</v>
      </c>
      <c r="AF147" s="2">
        <f t="shared" si="19"/>
        <v>0</v>
      </c>
      <c r="AJ147" s="2">
        <f t="shared" si="20"/>
        <v>0</v>
      </c>
      <c r="AK147" s="2">
        <f t="shared" si="17"/>
        <v>22.5</v>
      </c>
      <c r="AL147" s="5">
        <f t="shared" ref="AL147:AL152" si="21">(T147-W147)/T147</f>
        <v>0.5</v>
      </c>
    </row>
    <row r="148" spans="1:38" x14ac:dyDescent="0.2">
      <c r="A148" s="2">
        <v>2025</v>
      </c>
      <c r="B148" s="2">
        <v>1</v>
      </c>
      <c r="D148" s="2" t="s">
        <v>347</v>
      </c>
      <c r="E148" s="2" t="s">
        <v>108</v>
      </c>
      <c r="F148" s="2" t="s">
        <v>39</v>
      </c>
      <c r="G148" s="2">
        <v>517451123</v>
      </c>
      <c r="H148" s="2" t="s">
        <v>41</v>
      </c>
      <c r="I148" s="2" t="s">
        <v>348</v>
      </c>
      <c r="J148" s="2" t="s">
        <v>349</v>
      </c>
      <c r="K148" s="2">
        <v>915209128</v>
      </c>
      <c r="L148" s="2" t="s">
        <v>177</v>
      </c>
      <c r="M148" s="2" t="s">
        <v>41</v>
      </c>
      <c r="O148" s="2" t="s">
        <v>350</v>
      </c>
      <c r="P148" s="2" t="s">
        <v>43</v>
      </c>
      <c r="Q148" s="2" t="s">
        <v>351</v>
      </c>
      <c r="R148" s="2" t="s">
        <v>352</v>
      </c>
      <c r="S148" s="2">
        <v>1</v>
      </c>
      <c r="T148" s="2">
        <v>18</v>
      </c>
      <c r="U148" s="2">
        <v>4.1400000000000006</v>
      </c>
      <c r="V148" s="2">
        <v>22.14</v>
      </c>
      <c r="W148" s="2">
        <v>10.67</v>
      </c>
      <c r="X148" s="5">
        <f>(T148-W148)/T148</f>
        <v>0.40722222222222221</v>
      </c>
      <c r="Z148" s="2" t="s">
        <v>3227</v>
      </c>
      <c r="AA148" s="2" t="s">
        <v>46</v>
      </c>
      <c r="AB148" s="2" t="s">
        <v>47</v>
      </c>
      <c r="AC148" s="2" t="s">
        <v>57</v>
      </c>
      <c r="AF148" s="2">
        <f t="shared" si="19"/>
        <v>0</v>
      </c>
      <c r="AG148" s="2">
        <v>10.67</v>
      </c>
      <c r="AH148" s="2">
        <v>21</v>
      </c>
      <c r="AJ148" s="2">
        <f t="shared" si="20"/>
        <v>0</v>
      </c>
      <c r="AK148" s="2">
        <f t="shared" si="17"/>
        <v>7.33</v>
      </c>
      <c r="AL148" s="5">
        <f t="shared" si="21"/>
        <v>0.40722222222222221</v>
      </c>
    </row>
    <row r="149" spans="1:38" x14ac:dyDescent="0.2">
      <c r="A149" s="2">
        <v>2025</v>
      </c>
      <c r="B149" s="2">
        <v>1</v>
      </c>
      <c r="D149" s="2" t="s">
        <v>347</v>
      </c>
      <c r="E149" s="2" t="s">
        <v>108</v>
      </c>
      <c r="F149" s="2" t="s">
        <v>39</v>
      </c>
      <c r="G149" s="2">
        <v>517451123</v>
      </c>
      <c r="H149" s="2" t="s">
        <v>41</v>
      </c>
      <c r="I149" s="2" t="s">
        <v>348</v>
      </c>
      <c r="J149" s="2" t="s">
        <v>349</v>
      </c>
      <c r="K149" s="2">
        <v>915209128</v>
      </c>
      <c r="L149" s="2" t="s">
        <v>177</v>
      </c>
      <c r="M149" s="2" t="s">
        <v>41</v>
      </c>
      <c r="O149" s="2" t="s">
        <v>350</v>
      </c>
      <c r="P149" s="2" t="s">
        <v>43</v>
      </c>
      <c r="Q149" s="2" t="s">
        <v>50</v>
      </c>
      <c r="R149" s="2" t="s">
        <v>51</v>
      </c>
      <c r="S149" s="2">
        <v>1</v>
      </c>
      <c r="T149" s="2">
        <v>16.8</v>
      </c>
      <c r="U149" s="2">
        <v>3.8639999999999999</v>
      </c>
      <c r="V149" s="2">
        <v>20.664000000000001</v>
      </c>
      <c r="W149" s="2">
        <f>14.4*S149</f>
        <v>14.4</v>
      </c>
      <c r="X149" s="5">
        <f>(T149-W149)/T149</f>
        <v>0.14285714285714288</v>
      </c>
      <c r="Z149" s="2" t="s">
        <v>3227</v>
      </c>
      <c r="AA149" s="2" t="s">
        <v>46</v>
      </c>
      <c r="AB149" s="2" t="s">
        <v>47</v>
      </c>
      <c r="AC149" s="2" t="s">
        <v>57</v>
      </c>
      <c r="AF149" s="2">
        <f t="shared" si="19"/>
        <v>0</v>
      </c>
      <c r="AG149" s="2">
        <v>10.2346</v>
      </c>
      <c r="AH149" s="2">
        <v>18</v>
      </c>
      <c r="AJ149" s="2">
        <f t="shared" si="20"/>
        <v>0</v>
      </c>
      <c r="AK149" s="2">
        <f t="shared" si="17"/>
        <v>2.4000000000000004</v>
      </c>
      <c r="AL149" s="5">
        <f t="shared" si="21"/>
        <v>0.14285714285714288</v>
      </c>
    </row>
    <row r="150" spans="1:38" x14ac:dyDescent="0.2">
      <c r="A150" s="2">
        <v>2025</v>
      </c>
      <c r="B150" s="2">
        <v>1</v>
      </c>
      <c r="D150" s="2" t="s">
        <v>347</v>
      </c>
      <c r="E150" s="2" t="s">
        <v>108</v>
      </c>
      <c r="F150" s="2" t="s">
        <v>39</v>
      </c>
      <c r="G150" s="2">
        <v>517451123</v>
      </c>
      <c r="H150" s="2" t="s">
        <v>41</v>
      </c>
      <c r="I150" s="2" t="s">
        <v>348</v>
      </c>
      <c r="J150" s="2" t="s">
        <v>349</v>
      </c>
      <c r="K150" s="2">
        <v>915209128</v>
      </c>
      <c r="L150" s="2" t="s">
        <v>177</v>
      </c>
      <c r="M150" s="2" t="s">
        <v>41</v>
      </c>
      <c r="O150" s="2" t="s">
        <v>350</v>
      </c>
      <c r="P150" s="2" t="s">
        <v>43</v>
      </c>
      <c r="Q150" s="2" t="s">
        <v>54</v>
      </c>
      <c r="R150" s="2" t="s">
        <v>55</v>
      </c>
      <c r="S150" s="2">
        <v>10</v>
      </c>
      <c r="T150" s="2">
        <v>160</v>
      </c>
      <c r="U150" s="2">
        <v>36.799999999999997</v>
      </c>
      <c r="V150" s="2">
        <v>196.8</v>
      </c>
      <c r="W150" s="2">
        <f>10.6*S150</f>
        <v>106</v>
      </c>
      <c r="X150" s="5">
        <f>(T150-W150)/T150</f>
        <v>0.33750000000000002</v>
      </c>
      <c r="Z150" s="2" t="s">
        <v>3227</v>
      </c>
      <c r="AA150" s="2" t="s">
        <v>46</v>
      </c>
      <c r="AB150" s="2" t="s">
        <v>56</v>
      </c>
      <c r="AC150" s="2" t="s">
        <v>57</v>
      </c>
      <c r="AF150" s="2">
        <f t="shared" si="19"/>
        <v>0</v>
      </c>
      <c r="AG150" s="2">
        <v>10.6</v>
      </c>
      <c r="AH150" s="2">
        <v>18</v>
      </c>
      <c r="AJ150" s="2">
        <f t="shared" si="20"/>
        <v>0</v>
      </c>
      <c r="AK150" s="2">
        <f t="shared" si="17"/>
        <v>54</v>
      </c>
      <c r="AL150" s="5">
        <f t="shared" si="21"/>
        <v>0.33750000000000002</v>
      </c>
    </row>
    <row r="151" spans="1:38" x14ac:dyDescent="0.2">
      <c r="A151" s="2">
        <v>2025</v>
      </c>
      <c r="B151" s="2">
        <v>1</v>
      </c>
      <c r="D151" s="2" t="s">
        <v>353</v>
      </c>
      <c r="E151" s="2" t="s">
        <v>38</v>
      </c>
      <c r="F151" s="2" t="s">
        <v>39</v>
      </c>
      <c r="G151" s="2">
        <v>516289241</v>
      </c>
      <c r="H151" s="2" t="s">
        <v>41</v>
      </c>
      <c r="I151" s="2" t="s">
        <v>354</v>
      </c>
      <c r="J151" s="2" t="s">
        <v>355</v>
      </c>
      <c r="K151" s="2">
        <v>918502342</v>
      </c>
      <c r="L151" s="2" t="s">
        <v>99</v>
      </c>
      <c r="P151" s="2" t="s">
        <v>114</v>
      </c>
      <c r="Q151" s="2" t="s">
        <v>135</v>
      </c>
      <c r="R151" s="2" t="s">
        <v>136</v>
      </c>
      <c r="S151" s="2">
        <v>0</v>
      </c>
      <c r="T151" s="2">
        <v>-310.95999999999998</v>
      </c>
      <c r="U151" s="2">
        <v>-71.520799999999994</v>
      </c>
      <c r="V151" s="2">
        <v>-382.48079999999999</v>
      </c>
      <c r="Z151" s="2" t="s">
        <v>117</v>
      </c>
      <c r="AA151" s="2" t="s">
        <v>118</v>
      </c>
      <c r="AB151" s="2" t="s">
        <v>119</v>
      </c>
      <c r="AC151" s="2" t="s">
        <v>114</v>
      </c>
      <c r="AF151" s="2">
        <f t="shared" si="19"/>
        <v>0</v>
      </c>
      <c r="AJ151" s="2">
        <f t="shared" si="20"/>
        <v>0</v>
      </c>
      <c r="AK151" s="2">
        <f t="shared" si="17"/>
        <v>-310.95999999999998</v>
      </c>
      <c r="AL151" s="5">
        <f t="shared" si="21"/>
        <v>1</v>
      </c>
    </row>
    <row r="152" spans="1:38" x14ac:dyDescent="0.2">
      <c r="A152" s="2">
        <v>2025</v>
      </c>
      <c r="B152" s="2">
        <v>1</v>
      </c>
      <c r="D152" s="2" t="s">
        <v>353</v>
      </c>
      <c r="E152" s="2" t="s">
        <v>38</v>
      </c>
      <c r="F152" s="2" t="s">
        <v>39</v>
      </c>
      <c r="G152" s="2">
        <v>516289241</v>
      </c>
      <c r="H152" s="2" t="s">
        <v>41</v>
      </c>
      <c r="I152" s="2" t="s">
        <v>354</v>
      </c>
      <c r="J152" s="2" t="s">
        <v>355</v>
      </c>
      <c r="K152" s="2">
        <v>918502342</v>
      </c>
      <c r="L152" s="2" t="s">
        <v>99</v>
      </c>
      <c r="P152" s="2" t="s">
        <v>114</v>
      </c>
      <c r="Q152" s="2" t="s">
        <v>356</v>
      </c>
      <c r="R152" s="2" t="s">
        <v>357</v>
      </c>
      <c r="S152" s="2">
        <v>0</v>
      </c>
      <c r="T152" s="2">
        <v>-979.98</v>
      </c>
      <c r="U152" s="2">
        <v>-225.3954</v>
      </c>
      <c r="V152" s="2">
        <v>-1205.3753999999999</v>
      </c>
      <c r="Z152" s="2" t="s">
        <v>117</v>
      </c>
      <c r="AA152" s="2" t="s">
        <v>118</v>
      </c>
      <c r="AB152" s="2" t="s">
        <v>119</v>
      </c>
      <c r="AC152" s="2" t="s">
        <v>114</v>
      </c>
      <c r="AF152" s="2">
        <f t="shared" si="19"/>
        <v>0</v>
      </c>
      <c r="AJ152" s="2">
        <f t="shared" si="20"/>
        <v>0</v>
      </c>
      <c r="AK152" s="2">
        <f t="shared" si="17"/>
        <v>-979.98</v>
      </c>
      <c r="AL152" s="5">
        <f t="shared" si="21"/>
        <v>1</v>
      </c>
    </row>
    <row r="153" spans="1:38" x14ac:dyDescent="0.2">
      <c r="A153" s="2">
        <v>2025</v>
      </c>
      <c r="B153" s="2">
        <v>1</v>
      </c>
      <c r="D153" s="2" t="s">
        <v>353</v>
      </c>
      <c r="E153" s="2" t="s">
        <v>38</v>
      </c>
      <c r="F153" s="2" t="s">
        <v>39</v>
      </c>
      <c r="G153" s="2">
        <v>516289241</v>
      </c>
      <c r="H153" s="2" t="s">
        <v>41</v>
      </c>
      <c r="I153" s="2" t="s">
        <v>354</v>
      </c>
      <c r="J153" s="2" t="s">
        <v>355</v>
      </c>
      <c r="K153" s="2">
        <v>918502342</v>
      </c>
      <c r="L153" s="2" t="s">
        <v>99</v>
      </c>
      <c r="M153" s="2" t="s">
        <v>40</v>
      </c>
      <c r="P153" s="2" t="s">
        <v>187</v>
      </c>
      <c r="Q153" s="2" t="s">
        <v>188</v>
      </c>
      <c r="R153" s="2" t="s">
        <v>189</v>
      </c>
      <c r="S153" s="2">
        <v>-1</v>
      </c>
      <c r="T153" s="2">
        <v>-50</v>
      </c>
      <c r="U153" s="2">
        <v>-11.5</v>
      </c>
      <c r="V153" s="2">
        <v>-61.5</v>
      </c>
      <c r="Z153" s="2" t="s">
        <v>117</v>
      </c>
      <c r="AA153" s="2" t="s">
        <v>190</v>
      </c>
      <c r="AB153" s="2" t="s">
        <v>189</v>
      </c>
      <c r="AC153" s="2" t="s">
        <v>40</v>
      </c>
      <c r="AF153" s="2">
        <f t="shared" si="19"/>
        <v>0</v>
      </c>
      <c r="AJ153" s="2">
        <f t="shared" si="20"/>
        <v>0</v>
      </c>
      <c r="AK153" s="2">
        <f t="shared" si="17"/>
        <v>-50</v>
      </c>
    </row>
    <row r="154" spans="1:38" x14ac:dyDescent="0.2">
      <c r="A154" s="2">
        <v>2025</v>
      </c>
      <c r="B154" s="2">
        <v>1</v>
      </c>
      <c r="D154" s="2" t="s">
        <v>353</v>
      </c>
      <c r="E154" s="2" t="s">
        <v>38</v>
      </c>
      <c r="F154" s="2" t="s">
        <v>39</v>
      </c>
      <c r="G154" s="2">
        <v>516289241</v>
      </c>
      <c r="H154" s="2" t="s">
        <v>41</v>
      </c>
      <c r="I154" s="2" t="s">
        <v>354</v>
      </c>
      <c r="J154" s="2" t="s">
        <v>355</v>
      </c>
      <c r="K154" s="2">
        <v>918502342</v>
      </c>
      <c r="L154" s="2" t="s">
        <v>99</v>
      </c>
      <c r="M154" s="2" t="s">
        <v>40</v>
      </c>
      <c r="P154" s="2" t="s">
        <v>187</v>
      </c>
      <c r="Q154" s="2" t="s">
        <v>191</v>
      </c>
      <c r="R154" s="2" t="s">
        <v>190</v>
      </c>
      <c r="S154" s="2">
        <v>-2</v>
      </c>
      <c r="T154" s="2">
        <v>-100</v>
      </c>
      <c r="U154" s="2">
        <v>-23</v>
      </c>
      <c r="V154" s="2">
        <v>-123</v>
      </c>
      <c r="Z154" s="2" t="s">
        <v>117</v>
      </c>
      <c r="AA154" s="2" t="s">
        <v>190</v>
      </c>
      <c r="AB154" s="2" t="s">
        <v>190</v>
      </c>
      <c r="AC154" s="2" t="s">
        <v>40</v>
      </c>
      <c r="AF154" s="2">
        <f t="shared" si="19"/>
        <v>0</v>
      </c>
      <c r="AJ154" s="2">
        <f t="shared" si="20"/>
        <v>0</v>
      </c>
      <c r="AK154" s="2">
        <f t="shared" si="17"/>
        <v>-100</v>
      </c>
    </row>
    <row r="155" spans="1:38" x14ac:dyDescent="0.2">
      <c r="A155" s="2">
        <v>2025</v>
      </c>
      <c r="B155" s="2">
        <v>1</v>
      </c>
      <c r="D155" s="2" t="s">
        <v>358</v>
      </c>
      <c r="E155" s="2" t="s">
        <v>38</v>
      </c>
      <c r="F155" s="2" t="s">
        <v>39</v>
      </c>
      <c r="G155" s="2">
        <v>514618906</v>
      </c>
      <c r="H155" s="2" t="s">
        <v>41</v>
      </c>
      <c r="I155" s="2" t="s">
        <v>461</v>
      </c>
      <c r="J155" s="2" t="s">
        <v>3120</v>
      </c>
      <c r="K155" s="2">
        <v>917575485</v>
      </c>
      <c r="L155" s="2" t="s">
        <v>461</v>
      </c>
      <c r="M155" s="2" t="s">
        <v>41</v>
      </c>
      <c r="O155" s="2" t="s">
        <v>3122</v>
      </c>
      <c r="P155" s="2" t="s">
        <v>43</v>
      </c>
      <c r="Q155" s="2" t="s">
        <v>164</v>
      </c>
      <c r="R155" s="2" t="s">
        <v>165</v>
      </c>
      <c r="S155" s="2">
        <v>-12</v>
      </c>
      <c r="T155" s="2">
        <v>-180</v>
      </c>
      <c r="U155" s="2">
        <f>T155*23%</f>
        <v>-41.4</v>
      </c>
      <c r="V155" s="2">
        <f>T155+U155</f>
        <v>-221.4</v>
      </c>
      <c r="W155" s="2">
        <f>7.9612*11</f>
        <v>87.5732</v>
      </c>
      <c r="X155" s="18">
        <f>SIGN(T155)*((ABS(T155)-W155)/ABS(T155))</f>
        <v>-0.51348222222222217</v>
      </c>
      <c r="Z155" s="2" t="s">
        <v>3227</v>
      </c>
      <c r="AA155" s="2" t="s">
        <v>46</v>
      </c>
      <c r="AB155" s="2" t="s">
        <v>67</v>
      </c>
      <c r="AC155" s="2" t="s">
        <v>57</v>
      </c>
      <c r="AF155" s="2">
        <f t="shared" si="19"/>
        <v>0</v>
      </c>
      <c r="AG155" s="2">
        <v>7.9611999999999998</v>
      </c>
      <c r="AH155" s="2">
        <v>14.4</v>
      </c>
      <c r="AJ155" s="2">
        <f t="shared" si="20"/>
        <v>0</v>
      </c>
      <c r="AK155" s="2">
        <f>T155+(W155)</f>
        <v>-92.4268</v>
      </c>
      <c r="AL155" s="18">
        <f>SIGN(T155)*((ABS(T155)-W155)/ABS(T155))</f>
        <v>-0.51348222222222217</v>
      </c>
    </row>
    <row r="156" spans="1:38" x14ac:dyDescent="0.2">
      <c r="A156" s="2">
        <v>2025</v>
      </c>
      <c r="B156" s="2">
        <v>1</v>
      </c>
      <c r="D156" s="2" t="s">
        <v>358</v>
      </c>
      <c r="E156" s="2" t="s">
        <v>38</v>
      </c>
      <c r="F156" s="2" t="s">
        <v>39</v>
      </c>
      <c r="G156" s="2">
        <v>514618906</v>
      </c>
      <c r="H156" s="2" t="s">
        <v>41</v>
      </c>
      <c r="I156" s="2" t="s">
        <v>461</v>
      </c>
      <c r="J156" s="2" t="s">
        <v>3120</v>
      </c>
      <c r="K156" s="2">
        <v>917575485</v>
      </c>
      <c r="L156" s="2" t="s">
        <v>461</v>
      </c>
      <c r="M156" s="2" t="s">
        <v>41</v>
      </c>
      <c r="O156" s="2" t="s">
        <v>3122</v>
      </c>
      <c r="P156" s="2" t="s">
        <v>43</v>
      </c>
      <c r="Q156" s="2" t="s">
        <v>260</v>
      </c>
      <c r="R156" s="2" t="s">
        <v>261</v>
      </c>
      <c r="S156" s="2">
        <v>-8</v>
      </c>
      <c r="T156" s="2">
        <v>-120</v>
      </c>
      <c r="U156" s="2">
        <f>T156*23%</f>
        <v>-27.6</v>
      </c>
      <c r="V156" s="2">
        <f>T156+U156</f>
        <v>-147.6</v>
      </c>
      <c r="W156" s="2">
        <f>8.3145*8</f>
        <v>66.516000000000005</v>
      </c>
      <c r="X156" s="18">
        <f>SIGN(T156)*((ABS(T156)-W156)/ABS(T156))</f>
        <v>-0.44569999999999993</v>
      </c>
      <c r="Z156" s="2" t="s">
        <v>3227</v>
      </c>
      <c r="AA156" s="2" t="s">
        <v>46</v>
      </c>
      <c r="AB156" s="2" t="s">
        <v>67</v>
      </c>
      <c r="AC156" s="2" t="s">
        <v>57</v>
      </c>
      <c r="AF156" s="2">
        <f t="shared" si="19"/>
        <v>0</v>
      </c>
      <c r="AG156" s="2">
        <v>8.3145000000000007</v>
      </c>
      <c r="AH156" s="2">
        <v>15</v>
      </c>
      <c r="AJ156" s="2">
        <f t="shared" si="20"/>
        <v>0</v>
      </c>
      <c r="AK156" s="2">
        <f>T156+(W156)</f>
        <v>-53.483999999999995</v>
      </c>
      <c r="AL156" s="18">
        <f>SIGN(T156)*((ABS(T156)-W156)/ABS(T156))</f>
        <v>-0.44569999999999993</v>
      </c>
    </row>
    <row r="157" spans="1:38" x14ac:dyDescent="0.2">
      <c r="A157" s="2">
        <v>2025</v>
      </c>
      <c r="B157" s="2">
        <v>1</v>
      </c>
      <c r="D157" s="2" t="s">
        <v>359</v>
      </c>
      <c r="E157" s="2" t="s">
        <v>108</v>
      </c>
      <c r="F157" s="2" t="s">
        <v>39</v>
      </c>
      <c r="G157" s="2">
        <v>503413909</v>
      </c>
      <c r="H157" s="2" t="s">
        <v>109</v>
      </c>
      <c r="I157" s="2" t="s">
        <v>360</v>
      </c>
      <c r="J157" s="2" t="s">
        <v>361</v>
      </c>
      <c r="L157" s="2" t="s">
        <v>360</v>
      </c>
      <c r="M157" s="2" t="s">
        <v>40</v>
      </c>
      <c r="O157" s="2" t="s">
        <v>362</v>
      </c>
      <c r="P157" s="2" t="s">
        <v>40</v>
      </c>
      <c r="Q157" s="2" t="s">
        <v>363</v>
      </c>
      <c r="R157" s="2" t="s">
        <v>364</v>
      </c>
      <c r="S157" s="2">
        <v>1</v>
      </c>
      <c r="T157" s="2">
        <v>212.5</v>
      </c>
      <c r="U157" s="2">
        <v>48.875</v>
      </c>
      <c r="V157" s="2">
        <v>261.375</v>
      </c>
      <c r="X157" s="5">
        <f t="shared" ref="X157:X179" si="22">(T157-W157)/T157</f>
        <v>1</v>
      </c>
      <c r="Z157" s="2" t="s">
        <v>119</v>
      </c>
      <c r="AA157" s="2" t="s">
        <v>3380</v>
      </c>
      <c r="AF157" s="2">
        <f t="shared" si="19"/>
        <v>0</v>
      </c>
      <c r="AJ157" s="2">
        <f t="shared" si="20"/>
        <v>0</v>
      </c>
      <c r="AK157" s="2">
        <f t="shared" ref="AK157:AK188" si="23">T157-W157</f>
        <v>212.5</v>
      </c>
      <c r="AL157" s="5">
        <f t="shared" ref="AL157:AL188" si="24">(T157-W157)/T157</f>
        <v>1</v>
      </c>
    </row>
    <row r="158" spans="1:38" x14ac:dyDescent="0.2">
      <c r="A158" s="2">
        <v>2025</v>
      </c>
      <c r="B158" s="2">
        <v>1</v>
      </c>
      <c r="D158" s="2" t="s">
        <v>365</v>
      </c>
      <c r="E158" s="2" t="s">
        <v>183</v>
      </c>
      <c r="F158" s="2" t="s">
        <v>366</v>
      </c>
      <c r="G158" s="2">
        <v>501423192</v>
      </c>
      <c r="H158" s="2" t="s">
        <v>40</v>
      </c>
      <c r="I158" s="2" t="s">
        <v>367</v>
      </c>
      <c r="J158" s="2" t="s">
        <v>368</v>
      </c>
      <c r="L158" s="2" t="s">
        <v>99</v>
      </c>
      <c r="M158" s="2" t="s">
        <v>80</v>
      </c>
      <c r="O158" s="2" t="s">
        <v>369</v>
      </c>
      <c r="P158" s="2" t="s">
        <v>72</v>
      </c>
      <c r="Q158" s="2" t="s">
        <v>73</v>
      </c>
      <c r="R158" s="2" t="s">
        <v>74</v>
      </c>
      <c r="S158" s="2">
        <v>1</v>
      </c>
      <c r="T158" s="2">
        <v>210</v>
      </c>
      <c r="U158" s="2">
        <v>48.3</v>
      </c>
      <c r="V158" s="2">
        <v>258.3</v>
      </c>
      <c r="W158" s="2">
        <v>117.453</v>
      </c>
      <c r="X158" s="5">
        <f t="shared" si="22"/>
        <v>0.44069999999999998</v>
      </c>
      <c r="Z158" s="2" t="s">
        <v>3227</v>
      </c>
      <c r="AA158" s="2" t="s">
        <v>75</v>
      </c>
      <c r="AB158" s="2" t="s">
        <v>76</v>
      </c>
      <c r="AC158" s="2" t="s">
        <v>77</v>
      </c>
      <c r="AF158" s="2">
        <f t="shared" si="19"/>
        <v>0</v>
      </c>
      <c r="AG158" s="2">
        <v>117.453</v>
      </c>
      <c r="AH158" s="2">
        <v>220</v>
      </c>
      <c r="AJ158" s="2">
        <f t="shared" si="20"/>
        <v>0</v>
      </c>
      <c r="AK158" s="2">
        <f t="shared" si="23"/>
        <v>92.546999999999997</v>
      </c>
      <c r="AL158" s="5">
        <f t="shared" si="24"/>
        <v>0.44069999999999998</v>
      </c>
    </row>
    <row r="159" spans="1:38" x14ac:dyDescent="0.2">
      <c r="A159" s="2">
        <v>2025</v>
      </c>
      <c r="B159" s="2">
        <v>1</v>
      </c>
      <c r="D159" s="2" t="s">
        <v>365</v>
      </c>
      <c r="E159" s="2" t="s">
        <v>183</v>
      </c>
      <c r="F159" s="2" t="s">
        <v>366</v>
      </c>
      <c r="G159" s="2">
        <v>501423192</v>
      </c>
      <c r="H159" s="2" t="s">
        <v>40</v>
      </c>
      <c r="I159" s="2" t="s">
        <v>367</v>
      </c>
      <c r="J159" s="2" t="s">
        <v>368</v>
      </c>
      <c r="L159" s="2" t="s">
        <v>99</v>
      </c>
      <c r="M159" s="2" t="s">
        <v>80</v>
      </c>
      <c r="O159" s="2" t="s">
        <v>369</v>
      </c>
      <c r="P159" s="2" t="s">
        <v>93</v>
      </c>
      <c r="Q159" s="2" t="s">
        <v>94</v>
      </c>
      <c r="R159" s="2" t="s">
        <v>95</v>
      </c>
      <c r="S159" s="2">
        <v>1</v>
      </c>
      <c r="T159" s="2">
        <v>1.1399999999999999</v>
      </c>
      <c r="U159" s="2">
        <v>0.26219999999999999</v>
      </c>
      <c r="V159" s="2">
        <v>1.4021999999999999</v>
      </c>
      <c r="W159" s="2">
        <v>1.1399999999999999</v>
      </c>
      <c r="X159" s="5">
        <f t="shared" si="22"/>
        <v>0</v>
      </c>
      <c r="Z159" s="2" t="s">
        <v>3227</v>
      </c>
      <c r="AA159" s="2" t="s">
        <v>96</v>
      </c>
      <c r="AB159" s="2" t="s">
        <v>76</v>
      </c>
      <c r="AC159" s="2" t="s">
        <v>93</v>
      </c>
      <c r="AF159" s="2">
        <f t="shared" si="19"/>
        <v>0</v>
      </c>
      <c r="AJ159" s="2">
        <f t="shared" si="20"/>
        <v>0</v>
      </c>
      <c r="AK159" s="2">
        <f t="shared" si="23"/>
        <v>0</v>
      </c>
      <c r="AL159" s="5">
        <f t="shared" si="24"/>
        <v>0</v>
      </c>
    </row>
    <row r="160" spans="1:38" x14ac:dyDescent="0.2">
      <c r="A160" s="2">
        <v>2025</v>
      </c>
      <c r="B160" s="2">
        <v>1</v>
      </c>
      <c r="C160" s="2" t="s">
        <v>3456</v>
      </c>
      <c r="D160" s="2" t="s">
        <v>370</v>
      </c>
      <c r="E160" s="2" t="s">
        <v>38</v>
      </c>
      <c r="F160" s="2" t="s">
        <v>39</v>
      </c>
      <c r="G160" s="2">
        <v>504498886</v>
      </c>
      <c r="H160" s="2" t="s">
        <v>41</v>
      </c>
      <c r="I160" s="2" t="s">
        <v>371</v>
      </c>
      <c r="J160" s="2" t="s">
        <v>372</v>
      </c>
      <c r="K160" s="2">
        <v>966932738</v>
      </c>
      <c r="L160" s="2" t="s">
        <v>177</v>
      </c>
      <c r="M160" s="2" t="s">
        <v>40</v>
      </c>
      <c r="P160" s="2" t="s">
        <v>114</v>
      </c>
      <c r="Q160" s="2" t="s">
        <v>373</v>
      </c>
      <c r="R160" s="2" t="s">
        <v>374</v>
      </c>
      <c r="S160" s="2">
        <v>1</v>
      </c>
      <c r="T160" s="2">
        <v>45.07</v>
      </c>
      <c r="U160" s="2">
        <v>10.366099999999999</v>
      </c>
      <c r="V160" s="2">
        <v>55.436100000000003</v>
      </c>
      <c r="W160" s="2">
        <f>23.042*S160</f>
        <v>23.042000000000002</v>
      </c>
      <c r="X160" s="5">
        <f t="shared" si="22"/>
        <v>0.48875083203905034</v>
      </c>
      <c r="Z160" s="2" t="s">
        <v>117</v>
      </c>
      <c r="AA160" s="2" t="s">
        <v>118</v>
      </c>
      <c r="AB160" s="2" t="s">
        <v>119</v>
      </c>
      <c r="AC160" s="2" t="s">
        <v>114</v>
      </c>
      <c r="AF160" s="2">
        <f t="shared" si="19"/>
        <v>0</v>
      </c>
      <c r="AJ160" s="2">
        <f t="shared" si="20"/>
        <v>0</v>
      </c>
      <c r="AK160" s="2">
        <f t="shared" si="23"/>
        <v>22.027999999999999</v>
      </c>
      <c r="AL160" s="5">
        <f t="shared" si="24"/>
        <v>0.48875083203905034</v>
      </c>
    </row>
    <row r="161" spans="1:38" x14ac:dyDescent="0.2">
      <c r="A161" s="2">
        <v>2025</v>
      </c>
      <c r="B161" s="2">
        <v>1</v>
      </c>
      <c r="C161" s="2" t="s">
        <v>3456</v>
      </c>
      <c r="D161" s="2" t="s">
        <v>370</v>
      </c>
      <c r="E161" s="2" t="s">
        <v>38</v>
      </c>
      <c r="F161" s="2" t="s">
        <v>39</v>
      </c>
      <c r="G161" s="2">
        <v>504498886</v>
      </c>
      <c r="H161" s="2" t="s">
        <v>41</v>
      </c>
      <c r="I161" s="2" t="s">
        <v>371</v>
      </c>
      <c r="J161" s="2" t="s">
        <v>372</v>
      </c>
      <c r="K161" s="2">
        <v>966932738</v>
      </c>
      <c r="L161" s="2" t="s">
        <v>177</v>
      </c>
      <c r="M161" s="2" t="s">
        <v>41</v>
      </c>
      <c r="P161" s="2" t="s">
        <v>43</v>
      </c>
      <c r="Q161" s="2" t="s">
        <v>234</v>
      </c>
      <c r="R161" s="2" t="s">
        <v>235</v>
      </c>
      <c r="S161" s="2">
        <v>1</v>
      </c>
      <c r="T161" s="2">
        <v>13.2</v>
      </c>
      <c r="U161" s="2">
        <v>3.036</v>
      </c>
      <c r="V161" s="2">
        <v>16.236000000000001</v>
      </c>
      <c r="W161" s="2">
        <v>7.2217000000000002</v>
      </c>
      <c r="X161" s="5">
        <f t="shared" si="22"/>
        <v>0.45290151515151511</v>
      </c>
      <c r="Z161" s="2" t="s">
        <v>3227</v>
      </c>
      <c r="AA161" s="2" t="s">
        <v>46</v>
      </c>
      <c r="AB161" s="2" t="s">
        <v>56</v>
      </c>
      <c r="AC161" s="2" t="s">
        <v>57</v>
      </c>
      <c r="AF161" s="2">
        <f t="shared" si="19"/>
        <v>0</v>
      </c>
      <c r="AG161" s="2">
        <v>7.2217000000000002</v>
      </c>
      <c r="AH161" s="2">
        <v>14.4</v>
      </c>
      <c r="AJ161" s="2">
        <f t="shared" si="20"/>
        <v>0</v>
      </c>
      <c r="AK161" s="2">
        <f t="shared" si="23"/>
        <v>5.9782999999999991</v>
      </c>
      <c r="AL161" s="5">
        <f t="shared" si="24"/>
        <v>0.45290151515151511</v>
      </c>
    </row>
    <row r="162" spans="1:38" x14ac:dyDescent="0.2">
      <c r="A162" s="2">
        <v>2025</v>
      </c>
      <c r="B162" s="2">
        <v>1</v>
      </c>
      <c r="C162" s="2" t="s">
        <v>3456</v>
      </c>
      <c r="D162" s="2" t="s">
        <v>370</v>
      </c>
      <c r="E162" s="2" t="s">
        <v>38</v>
      </c>
      <c r="F162" s="2" t="s">
        <v>39</v>
      </c>
      <c r="G162" s="2">
        <v>504498886</v>
      </c>
      <c r="H162" s="2" t="s">
        <v>41</v>
      </c>
      <c r="I162" s="2" t="s">
        <v>371</v>
      </c>
      <c r="J162" s="2" t="s">
        <v>372</v>
      </c>
      <c r="K162" s="2">
        <v>966932738</v>
      </c>
      <c r="L162" s="2" t="s">
        <v>177</v>
      </c>
      <c r="M162" s="2" t="s">
        <v>41</v>
      </c>
      <c r="P162" s="2" t="s">
        <v>43</v>
      </c>
      <c r="Q162" s="2" t="s">
        <v>236</v>
      </c>
      <c r="R162" s="2" t="s">
        <v>237</v>
      </c>
      <c r="S162" s="2">
        <v>1</v>
      </c>
      <c r="T162" s="2">
        <v>16.2</v>
      </c>
      <c r="U162" s="2">
        <v>3.726</v>
      </c>
      <c r="V162" s="2">
        <v>19.925999999999998</v>
      </c>
      <c r="W162" s="2">
        <f>9.075*S162</f>
        <v>9.0749999999999993</v>
      </c>
      <c r="X162" s="5">
        <f t="shared" si="22"/>
        <v>0.43981481481481483</v>
      </c>
      <c r="Z162" s="2" t="s">
        <v>3227</v>
      </c>
      <c r="AA162" s="2" t="s">
        <v>46</v>
      </c>
      <c r="AB162" s="2" t="s">
        <v>56</v>
      </c>
      <c r="AC162" s="2" t="s">
        <v>57</v>
      </c>
      <c r="AF162" s="2">
        <f t="shared" si="19"/>
        <v>0</v>
      </c>
      <c r="AJ162" s="2">
        <f t="shared" si="20"/>
        <v>0</v>
      </c>
      <c r="AK162" s="2">
        <f t="shared" si="23"/>
        <v>7.125</v>
      </c>
      <c r="AL162" s="5">
        <f t="shared" si="24"/>
        <v>0.43981481481481483</v>
      </c>
    </row>
    <row r="163" spans="1:38" x14ac:dyDescent="0.2">
      <c r="A163" s="2">
        <v>2025</v>
      </c>
      <c r="B163" s="2">
        <v>1</v>
      </c>
      <c r="C163" s="2" t="s">
        <v>3456</v>
      </c>
      <c r="D163" s="2" t="s">
        <v>370</v>
      </c>
      <c r="E163" s="2" t="s">
        <v>38</v>
      </c>
      <c r="F163" s="2" t="s">
        <v>39</v>
      </c>
      <c r="G163" s="2">
        <v>504498886</v>
      </c>
      <c r="H163" s="2" t="s">
        <v>41</v>
      </c>
      <c r="I163" s="2" t="s">
        <v>371</v>
      </c>
      <c r="J163" s="2" t="s">
        <v>372</v>
      </c>
      <c r="K163" s="2">
        <v>966932738</v>
      </c>
      <c r="L163" s="2" t="s">
        <v>177</v>
      </c>
      <c r="M163" s="2" t="s">
        <v>41</v>
      </c>
      <c r="P163" s="2" t="s">
        <v>43</v>
      </c>
      <c r="Q163" s="2" t="s">
        <v>240</v>
      </c>
      <c r="R163" s="2" t="s">
        <v>241</v>
      </c>
      <c r="S163" s="2">
        <v>1</v>
      </c>
      <c r="T163" s="2">
        <v>24</v>
      </c>
      <c r="U163" s="2">
        <v>5.52</v>
      </c>
      <c r="V163" s="2">
        <v>29.52</v>
      </c>
      <c r="W163" s="2">
        <f>13.4067*S163</f>
        <v>13.406700000000001</v>
      </c>
      <c r="X163" s="5">
        <f t="shared" si="22"/>
        <v>0.44138749999999999</v>
      </c>
      <c r="Z163" s="2" t="s">
        <v>3227</v>
      </c>
      <c r="AA163" s="2" t="s">
        <v>46</v>
      </c>
      <c r="AB163" s="2" t="s">
        <v>56</v>
      </c>
      <c r="AC163" s="2" t="s">
        <v>57</v>
      </c>
      <c r="AF163" s="2">
        <f t="shared" si="19"/>
        <v>0</v>
      </c>
      <c r="AJ163" s="2">
        <f t="shared" si="20"/>
        <v>0</v>
      </c>
      <c r="AK163" s="2">
        <f t="shared" si="23"/>
        <v>10.593299999999999</v>
      </c>
      <c r="AL163" s="5">
        <f t="shared" si="24"/>
        <v>0.44138749999999999</v>
      </c>
    </row>
    <row r="164" spans="1:38" x14ac:dyDescent="0.2">
      <c r="A164" s="2">
        <v>2025</v>
      </c>
      <c r="B164" s="2">
        <v>1</v>
      </c>
      <c r="D164" s="2" t="s">
        <v>375</v>
      </c>
      <c r="E164" s="2" t="s">
        <v>108</v>
      </c>
      <c r="F164" s="2" t="s">
        <v>376</v>
      </c>
      <c r="G164" s="2">
        <v>503552542</v>
      </c>
      <c r="H164" s="2" t="s">
        <v>290</v>
      </c>
      <c r="I164" s="2" t="s">
        <v>377</v>
      </c>
      <c r="J164" s="2" t="s">
        <v>378</v>
      </c>
      <c r="L164" s="2" t="s">
        <v>339</v>
      </c>
      <c r="M164" s="2" t="s">
        <v>80</v>
      </c>
      <c r="O164" s="2" t="s">
        <v>379</v>
      </c>
      <c r="P164" s="2" t="s">
        <v>72</v>
      </c>
      <c r="Q164" s="2" t="s">
        <v>380</v>
      </c>
      <c r="R164" s="2" t="s">
        <v>381</v>
      </c>
      <c r="S164" s="2">
        <v>1</v>
      </c>
      <c r="T164" s="2">
        <v>250</v>
      </c>
      <c r="U164" s="2">
        <v>57.5</v>
      </c>
      <c r="V164" s="2">
        <v>307.5</v>
      </c>
      <c r="W164" s="2">
        <v>139.46</v>
      </c>
      <c r="X164" s="5">
        <f t="shared" si="22"/>
        <v>0.44215999999999994</v>
      </c>
      <c r="Z164" s="2" t="s">
        <v>3227</v>
      </c>
      <c r="AA164" s="2" t="s">
        <v>75</v>
      </c>
      <c r="AB164" s="2" t="s">
        <v>76</v>
      </c>
      <c r="AC164" s="2" t="s">
        <v>77</v>
      </c>
      <c r="AF164" s="2">
        <f t="shared" si="19"/>
        <v>0</v>
      </c>
      <c r="AJ164" s="2">
        <f t="shared" si="20"/>
        <v>0</v>
      </c>
      <c r="AK164" s="2">
        <f t="shared" si="23"/>
        <v>110.53999999999999</v>
      </c>
      <c r="AL164" s="5">
        <f t="shared" si="24"/>
        <v>0.44215999999999994</v>
      </c>
    </row>
    <row r="165" spans="1:38" x14ac:dyDescent="0.2">
      <c r="A165" s="2">
        <v>2025</v>
      </c>
      <c r="B165" s="2">
        <v>1</v>
      </c>
      <c r="D165" s="2" t="s">
        <v>375</v>
      </c>
      <c r="E165" s="2" t="s">
        <v>108</v>
      </c>
      <c r="F165" s="2" t="s">
        <v>376</v>
      </c>
      <c r="G165" s="2">
        <v>503552542</v>
      </c>
      <c r="H165" s="2" t="s">
        <v>290</v>
      </c>
      <c r="I165" s="2" t="s">
        <v>377</v>
      </c>
      <c r="J165" s="2" t="s">
        <v>378</v>
      </c>
      <c r="L165" s="2" t="s">
        <v>339</v>
      </c>
      <c r="M165" s="2" t="s">
        <v>80</v>
      </c>
      <c r="O165" s="2" t="s">
        <v>379</v>
      </c>
      <c r="P165" s="2" t="s">
        <v>93</v>
      </c>
      <c r="Q165" s="2" t="s">
        <v>94</v>
      </c>
      <c r="R165" s="2" t="s">
        <v>95</v>
      </c>
      <c r="S165" s="2">
        <v>1</v>
      </c>
      <c r="T165" s="2">
        <v>1.1399999999999999</v>
      </c>
      <c r="U165" s="2">
        <v>0.26219999999999999</v>
      </c>
      <c r="V165" s="2">
        <v>1.4021999999999999</v>
      </c>
      <c r="W165" s="2">
        <v>1.1399999999999999</v>
      </c>
      <c r="X165" s="5">
        <f t="shared" si="22"/>
        <v>0</v>
      </c>
      <c r="Z165" s="2" t="s">
        <v>3227</v>
      </c>
      <c r="AA165" s="2" t="s">
        <v>96</v>
      </c>
      <c r="AB165" s="2" t="s">
        <v>76</v>
      </c>
      <c r="AC165" s="2" t="s">
        <v>93</v>
      </c>
      <c r="AF165" s="2">
        <f t="shared" si="19"/>
        <v>0</v>
      </c>
      <c r="AJ165" s="2">
        <f t="shared" si="20"/>
        <v>0</v>
      </c>
      <c r="AK165" s="2">
        <f t="shared" si="23"/>
        <v>0</v>
      </c>
      <c r="AL165" s="5">
        <f t="shared" si="24"/>
        <v>0</v>
      </c>
    </row>
    <row r="166" spans="1:38" x14ac:dyDescent="0.2">
      <c r="A166" s="2">
        <v>2025</v>
      </c>
      <c r="B166" s="2">
        <v>1</v>
      </c>
      <c r="D166" s="2" t="s">
        <v>382</v>
      </c>
      <c r="E166" s="2" t="s">
        <v>38</v>
      </c>
      <c r="F166" s="2" t="s">
        <v>39</v>
      </c>
      <c r="G166" s="2">
        <v>212196260</v>
      </c>
      <c r="H166" s="2" t="s">
        <v>109</v>
      </c>
      <c r="I166" s="2" t="s">
        <v>383</v>
      </c>
      <c r="J166" s="2" t="s">
        <v>384</v>
      </c>
      <c r="K166" s="2">
        <v>926769894</v>
      </c>
      <c r="L166" s="2" t="s">
        <v>112</v>
      </c>
      <c r="P166" s="2" t="s">
        <v>282</v>
      </c>
      <c r="Q166" s="2" t="s">
        <v>385</v>
      </c>
      <c r="R166" s="2" t="s">
        <v>386</v>
      </c>
      <c r="S166" s="2">
        <v>1</v>
      </c>
      <c r="T166" s="2">
        <v>340</v>
      </c>
      <c r="U166" s="2">
        <v>78.2</v>
      </c>
      <c r="V166" s="2">
        <v>418.2</v>
      </c>
      <c r="W166" s="2">
        <v>225</v>
      </c>
      <c r="X166" s="5">
        <f t="shared" si="22"/>
        <v>0.33823529411764708</v>
      </c>
      <c r="Z166" s="2" t="s">
        <v>104</v>
      </c>
      <c r="AA166" s="2" t="s">
        <v>387</v>
      </c>
      <c r="AB166" s="2" t="s">
        <v>388</v>
      </c>
      <c r="AC166" s="2" t="s">
        <v>389</v>
      </c>
      <c r="AF166" s="2">
        <f t="shared" si="19"/>
        <v>0</v>
      </c>
      <c r="AJ166" s="2">
        <f t="shared" si="20"/>
        <v>0</v>
      </c>
      <c r="AK166" s="2">
        <f t="shared" si="23"/>
        <v>115</v>
      </c>
      <c r="AL166" s="5">
        <f t="shared" si="24"/>
        <v>0.33823529411764708</v>
      </c>
    </row>
    <row r="167" spans="1:38" x14ac:dyDescent="0.2">
      <c r="A167" s="2">
        <v>2025</v>
      </c>
      <c r="B167" s="2">
        <v>1</v>
      </c>
      <c r="D167" s="2" t="s">
        <v>382</v>
      </c>
      <c r="E167" s="2" t="s">
        <v>38</v>
      </c>
      <c r="F167" s="2" t="s">
        <v>39</v>
      </c>
      <c r="G167" s="2">
        <v>212196260</v>
      </c>
      <c r="H167" s="2" t="s">
        <v>109</v>
      </c>
      <c r="I167" s="2" t="s">
        <v>383</v>
      </c>
      <c r="J167" s="2" t="s">
        <v>384</v>
      </c>
      <c r="K167" s="2">
        <v>926769894</v>
      </c>
      <c r="L167" s="2" t="s">
        <v>112</v>
      </c>
      <c r="P167" s="2" t="s">
        <v>40</v>
      </c>
      <c r="Q167" s="2" t="s">
        <v>363</v>
      </c>
      <c r="R167" s="2" t="s">
        <v>364</v>
      </c>
      <c r="S167" s="2">
        <v>1</v>
      </c>
      <c r="T167" s="2">
        <v>20</v>
      </c>
      <c r="U167" s="2">
        <v>4.6000000000000014</v>
      </c>
      <c r="V167" s="2">
        <v>24.6</v>
      </c>
      <c r="X167" s="5">
        <f t="shared" si="22"/>
        <v>1</v>
      </c>
      <c r="Z167" s="2" t="s">
        <v>119</v>
      </c>
      <c r="AA167" s="2" t="s">
        <v>3380</v>
      </c>
      <c r="AF167" s="2">
        <f t="shared" si="19"/>
        <v>0</v>
      </c>
      <c r="AJ167" s="2">
        <f t="shared" si="20"/>
        <v>0</v>
      </c>
      <c r="AK167" s="2">
        <f t="shared" si="23"/>
        <v>20</v>
      </c>
      <c r="AL167" s="5">
        <f t="shared" si="24"/>
        <v>1</v>
      </c>
    </row>
    <row r="168" spans="1:38" x14ac:dyDescent="0.2">
      <c r="A168" s="2">
        <v>2025</v>
      </c>
      <c r="B168" s="2">
        <v>1</v>
      </c>
      <c r="D168" s="2" t="s">
        <v>390</v>
      </c>
      <c r="M168" s="2" t="s">
        <v>80</v>
      </c>
      <c r="P168" s="2" t="s">
        <v>72</v>
      </c>
      <c r="Q168" s="2" t="s">
        <v>73</v>
      </c>
      <c r="R168" s="2" t="s">
        <v>74</v>
      </c>
      <c r="S168" s="2">
        <v>1</v>
      </c>
      <c r="T168" s="2">
        <v>193.98</v>
      </c>
      <c r="U168" s="2">
        <v>44.615400000000001</v>
      </c>
      <c r="V168" s="2">
        <v>238.59540000000001</v>
      </c>
      <c r="W168" s="2">
        <v>117.453</v>
      </c>
      <c r="X168" s="5">
        <f t="shared" si="22"/>
        <v>0.39450974327250227</v>
      </c>
      <c r="Z168" s="2" t="s">
        <v>3227</v>
      </c>
      <c r="AA168" s="2" t="s">
        <v>75</v>
      </c>
      <c r="AB168" s="2" t="s">
        <v>76</v>
      </c>
      <c r="AC168" s="2" t="s">
        <v>77</v>
      </c>
      <c r="AF168" s="2">
        <f t="shared" si="19"/>
        <v>0</v>
      </c>
      <c r="AG168" s="2">
        <v>117.453</v>
      </c>
      <c r="AH168" s="2">
        <v>220</v>
      </c>
      <c r="AJ168" s="2">
        <f t="shared" si="20"/>
        <v>0</v>
      </c>
      <c r="AK168" s="2">
        <f t="shared" si="23"/>
        <v>76.526999999999987</v>
      </c>
      <c r="AL168" s="5">
        <f t="shared" si="24"/>
        <v>0.39450974327250227</v>
      </c>
    </row>
    <row r="169" spans="1:38" x14ac:dyDescent="0.2">
      <c r="A169" s="2">
        <v>2025</v>
      </c>
      <c r="B169" s="2">
        <v>1</v>
      </c>
      <c r="D169" s="2" t="s">
        <v>390</v>
      </c>
      <c r="M169" s="2" t="s">
        <v>80</v>
      </c>
      <c r="P169" s="2" t="s">
        <v>93</v>
      </c>
      <c r="Q169" s="2" t="s">
        <v>94</v>
      </c>
      <c r="R169" s="2" t="s">
        <v>95</v>
      </c>
      <c r="S169" s="2">
        <v>1</v>
      </c>
      <c r="T169" s="2">
        <v>1.1399999999999999</v>
      </c>
      <c r="U169" s="2">
        <v>0.26219999999999999</v>
      </c>
      <c r="V169" s="2">
        <v>1.4021999999999999</v>
      </c>
      <c r="W169" s="2">
        <v>1.1399999999999999</v>
      </c>
      <c r="X169" s="5">
        <f t="shared" si="22"/>
        <v>0</v>
      </c>
      <c r="Z169" s="2" t="s">
        <v>3227</v>
      </c>
      <c r="AA169" s="2" t="s">
        <v>96</v>
      </c>
      <c r="AB169" s="2" t="s">
        <v>76</v>
      </c>
      <c r="AC169" s="2" t="s">
        <v>93</v>
      </c>
      <c r="AF169" s="2">
        <f t="shared" si="19"/>
        <v>0</v>
      </c>
      <c r="AJ169" s="2">
        <f t="shared" si="20"/>
        <v>0</v>
      </c>
      <c r="AK169" s="2">
        <f t="shared" si="23"/>
        <v>0</v>
      </c>
      <c r="AL169" s="5">
        <f t="shared" si="24"/>
        <v>0</v>
      </c>
    </row>
    <row r="170" spans="1:38" x14ac:dyDescent="0.2">
      <c r="A170" s="2">
        <v>2025</v>
      </c>
      <c r="B170" s="2">
        <v>1</v>
      </c>
      <c r="D170" s="2" t="s">
        <v>391</v>
      </c>
      <c r="E170" s="2" t="s">
        <v>38</v>
      </c>
      <c r="F170" s="2" t="s">
        <v>39</v>
      </c>
      <c r="G170" s="2">
        <v>206206143</v>
      </c>
      <c r="H170" s="2" t="s">
        <v>41</v>
      </c>
      <c r="I170" s="2" t="s">
        <v>392</v>
      </c>
      <c r="J170" s="2" t="s">
        <v>393</v>
      </c>
      <c r="L170" s="2" t="s">
        <v>99</v>
      </c>
      <c r="M170" s="2" t="s">
        <v>40</v>
      </c>
      <c r="P170" s="2" t="s">
        <v>187</v>
      </c>
      <c r="Q170" s="2" t="s">
        <v>188</v>
      </c>
      <c r="R170" s="2" t="s">
        <v>189</v>
      </c>
      <c r="S170" s="2">
        <v>1</v>
      </c>
      <c r="T170" s="2">
        <v>74</v>
      </c>
      <c r="U170" s="2">
        <v>17.02</v>
      </c>
      <c r="V170" s="2">
        <v>91.02</v>
      </c>
      <c r="W170" s="2">
        <f>T170*40%</f>
        <v>29.6</v>
      </c>
      <c r="X170" s="5">
        <f t="shared" si="22"/>
        <v>0.6</v>
      </c>
      <c r="Z170" s="2" t="s">
        <v>117</v>
      </c>
      <c r="AA170" s="2" t="s">
        <v>190</v>
      </c>
      <c r="AB170" s="2" t="s">
        <v>189</v>
      </c>
      <c r="AC170" s="2" t="s">
        <v>40</v>
      </c>
      <c r="AF170" s="2">
        <f t="shared" si="19"/>
        <v>0</v>
      </c>
      <c r="AJ170" s="2">
        <f t="shared" si="20"/>
        <v>0</v>
      </c>
      <c r="AK170" s="2">
        <f t="shared" si="23"/>
        <v>44.4</v>
      </c>
      <c r="AL170" s="5">
        <f t="shared" si="24"/>
        <v>0.6</v>
      </c>
    </row>
    <row r="171" spans="1:38" x14ac:dyDescent="0.2">
      <c r="A171" s="2">
        <v>2025</v>
      </c>
      <c r="B171" s="2">
        <v>1</v>
      </c>
      <c r="D171" s="2" t="s">
        <v>391</v>
      </c>
      <c r="E171" s="2" t="s">
        <v>38</v>
      </c>
      <c r="F171" s="2" t="s">
        <v>39</v>
      </c>
      <c r="G171" s="2">
        <v>206206143</v>
      </c>
      <c r="H171" s="2" t="s">
        <v>41</v>
      </c>
      <c r="I171" s="2" t="s">
        <v>392</v>
      </c>
      <c r="J171" s="2" t="s">
        <v>393</v>
      </c>
      <c r="L171" s="2" t="s">
        <v>99</v>
      </c>
      <c r="M171" s="2" t="s">
        <v>40</v>
      </c>
      <c r="P171" s="2" t="s">
        <v>187</v>
      </c>
      <c r="Q171" s="2" t="s">
        <v>191</v>
      </c>
      <c r="R171" s="2" t="s">
        <v>190</v>
      </c>
      <c r="S171" s="2">
        <v>1</v>
      </c>
      <c r="T171" s="2">
        <v>50</v>
      </c>
      <c r="U171" s="2">
        <v>11.5</v>
      </c>
      <c r="V171" s="2">
        <v>61.5</v>
      </c>
      <c r="W171" s="2">
        <f>T171*50%</f>
        <v>25</v>
      </c>
      <c r="X171" s="5">
        <f t="shared" si="22"/>
        <v>0.5</v>
      </c>
      <c r="Z171" s="2" t="s">
        <v>117</v>
      </c>
      <c r="AA171" s="2" t="s">
        <v>190</v>
      </c>
      <c r="AB171" s="2" t="s">
        <v>190</v>
      </c>
      <c r="AC171" s="2" t="s">
        <v>40</v>
      </c>
      <c r="AF171" s="2">
        <f t="shared" si="19"/>
        <v>0</v>
      </c>
      <c r="AJ171" s="2">
        <f t="shared" si="20"/>
        <v>0</v>
      </c>
      <c r="AK171" s="2">
        <f t="shared" si="23"/>
        <v>25</v>
      </c>
      <c r="AL171" s="5">
        <f t="shared" si="24"/>
        <v>0.5</v>
      </c>
    </row>
    <row r="172" spans="1:38" x14ac:dyDescent="0.2">
      <c r="A172" s="2">
        <v>2025</v>
      </c>
      <c r="B172" s="2">
        <v>1</v>
      </c>
      <c r="D172" s="2" t="s">
        <v>391</v>
      </c>
      <c r="E172" s="2" t="s">
        <v>38</v>
      </c>
      <c r="F172" s="2" t="s">
        <v>39</v>
      </c>
      <c r="G172" s="2">
        <v>206206143</v>
      </c>
      <c r="H172" s="2" t="s">
        <v>41</v>
      </c>
      <c r="I172" s="2" t="s">
        <v>392</v>
      </c>
      <c r="J172" s="2" t="s">
        <v>393</v>
      </c>
      <c r="L172" s="2" t="s">
        <v>99</v>
      </c>
      <c r="P172" s="2" t="s">
        <v>40</v>
      </c>
      <c r="Q172" s="2" t="s">
        <v>363</v>
      </c>
      <c r="R172" s="2" t="s">
        <v>364</v>
      </c>
      <c r="S172" s="2">
        <v>1</v>
      </c>
      <c r="T172" s="2">
        <v>267.18</v>
      </c>
      <c r="U172" s="2">
        <v>61.451400000000007</v>
      </c>
      <c r="V172" s="2">
        <v>328.63139999999999</v>
      </c>
      <c r="X172" s="5">
        <f t="shared" si="22"/>
        <v>1</v>
      </c>
      <c r="Z172" s="2" t="s">
        <v>119</v>
      </c>
      <c r="AA172" s="2" t="s">
        <v>3380</v>
      </c>
      <c r="AF172" s="2">
        <f t="shared" si="19"/>
        <v>0</v>
      </c>
      <c r="AJ172" s="2">
        <f t="shared" si="20"/>
        <v>0</v>
      </c>
      <c r="AK172" s="2">
        <f t="shared" si="23"/>
        <v>267.18</v>
      </c>
      <c r="AL172" s="5">
        <f t="shared" si="24"/>
        <v>1</v>
      </c>
    </row>
    <row r="173" spans="1:38" x14ac:dyDescent="0.2">
      <c r="A173" s="2">
        <v>2025</v>
      </c>
      <c r="B173" s="2">
        <v>1</v>
      </c>
      <c r="D173" s="2" t="s">
        <v>394</v>
      </c>
      <c r="E173" s="2" t="s">
        <v>108</v>
      </c>
      <c r="F173" s="2" t="s">
        <v>395</v>
      </c>
      <c r="G173" s="2">
        <v>501787160</v>
      </c>
      <c r="H173" s="2" t="s">
        <v>41</v>
      </c>
      <c r="I173" s="2" t="s">
        <v>396</v>
      </c>
      <c r="J173" s="2" t="s">
        <v>397</v>
      </c>
      <c r="L173" s="2" t="s">
        <v>398</v>
      </c>
      <c r="P173" s="2" t="s">
        <v>282</v>
      </c>
      <c r="Q173" s="2" t="s">
        <v>399</v>
      </c>
      <c r="R173" s="2" t="s">
        <v>400</v>
      </c>
      <c r="S173" s="2">
        <v>6</v>
      </c>
      <c r="T173" s="2">
        <v>174</v>
      </c>
      <c r="U173" s="2">
        <v>40.020000000000003</v>
      </c>
      <c r="V173" s="2">
        <v>214.02</v>
      </c>
      <c r="W173" s="2">
        <f>17.4*S173</f>
        <v>104.39999999999999</v>
      </c>
      <c r="X173" s="5">
        <f t="shared" si="22"/>
        <v>0.4</v>
      </c>
      <c r="Z173" s="2" t="s">
        <v>3227</v>
      </c>
      <c r="AA173" s="2" t="s">
        <v>46</v>
      </c>
      <c r="AB173" s="2" t="s">
        <v>60</v>
      </c>
      <c r="AC173" s="2" t="s">
        <v>3332</v>
      </c>
      <c r="AF173" s="2">
        <f t="shared" si="19"/>
        <v>0</v>
      </c>
      <c r="AJ173" s="2">
        <f t="shared" si="20"/>
        <v>0</v>
      </c>
      <c r="AK173" s="2">
        <f t="shared" si="23"/>
        <v>69.600000000000009</v>
      </c>
      <c r="AL173" s="5">
        <f t="shared" si="24"/>
        <v>0.4</v>
      </c>
    </row>
    <row r="174" spans="1:38" x14ac:dyDescent="0.2">
      <c r="A174" s="2">
        <v>2025</v>
      </c>
      <c r="B174" s="2">
        <v>1</v>
      </c>
      <c r="D174" s="2" t="s">
        <v>394</v>
      </c>
      <c r="E174" s="2" t="s">
        <v>108</v>
      </c>
      <c r="F174" s="2" t="s">
        <v>395</v>
      </c>
      <c r="G174" s="2">
        <v>501787160</v>
      </c>
      <c r="H174" s="2" t="s">
        <v>41</v>
      </c>
      <c r="I174" s="2" t="s">
        <v>396</v>
      </c>
      <c r="J174" s="2" t="s">
        <v>397</v>
      </c>
      <c r="L174" s="2" t="s">
        <v>398</v>
      </c>
      <c r="P174" s="2" t="s">
        <v>282</v>
      </c>
      <c r="Q174" s="2" t="s">
        <v>401</v>
      </c>
      <c r="R174" s="2" t="s">
        <v>402</v>
      </c>
      <c r="S174" s="2">
        <v>4</v>
      </c>
      <c r="T174" s="2">
        <v>116</v>
      </c>
      <c r="U174" s="2">
        <v>26.68</v>
      </c>
      <c r="V174" s="2">
        <v>142.68</v>
      </c>
      <c r="W174" s="2">
        <f>17.4*S174</f>
        <v>69.599999999999994</v>
      </c>
      <c r="X174" s="5">
        <f t="shared" si="22"/>
        <v>0.4</v>
      </c>
      <c r="Z174" s="2" t="s">
        <v>3227</v>
      </c>
      <c r="AA174" s="2" t="s">
        <v>46</v>
      </c>
      <c r="AB174" s="2" t="s">
        <v>60</v>
      </c>
      <c r="AC174" s="2" t="s">
        <v>3332</v>
      </c>
      <c r="AF174" s="2">
        <f t="shared" si="19"/>
        <v>0</v>
      </c>
      <c r="AJ174" s="2">
        <f t="shared" si="20"/>
        <v>0</v>
      </c>
      <c r="AK174" s="2">
        <f t="shared" si="23"/>
        <v>46.400000000000006</v>
      </c>
      <c r="AL174" s="5">
        <f t="shared" si="24"/>
        <v>0.4</v>
      </c>
    </row>
    <row r="175" spans="1:38" x14ac:dyDescent="0.2">
      <c r="A175" s="2">
        <v>2025</v>
      </c>
      <c r="B175" s="2">
        <v>1</v>
      </c>
      <c r="D175" s="2" t="s">
        <v>403</v>
      </c>
      <c r="E175" s="2" t="s">
        <v>38</v>
      </c>
      <c r="F175" s="2" t="s">
        <v>39</v>
      </c>
      <c r="G175" s="2">
        <v>109095197</v>
      </c>
      <c r="H175" s="2" t="s">
        <v>40</v>
      </c>
      <c r="I175" s="2" t="s">
        <v>2476</v>
      </c>
      <c r="J175" s="2" t="s">
        <v>3123</v>
      </c>
      <c r="K175" s="2">
        <v>965864665</v>
      </c>
      <c r="L175" s="2" t="s">
        <v>344</v>
      </c>
      <c r="M175" s="2" t="s">
        <v>80</v>
      </c>
      <c r="O175" s="2" t="s">
        <v>3124</v>
      </c>
      <c r="P175" s="2" t="s">
        <v>72</v>
      </c>
      <c r="Q175" s="2" t="s">
        <v>306</v>
      </c>
      <c r="R175" s="2" t="s">
        <v>307</v>
      </c>
      <c r="S175" s="2">
        <v>1</v>
      </c>
      <c r="T175" s="2">
        <v>202.4</v>
      </c>
      <c r="U175" s="2">
        <v>46.552000000000007</v>
      </c>
      <c r="V175" s="2">
        <v>248.952</v>
      </c>
      <c r="W175" s="2">
        <v>119.33</v>
      </c>
      <c r="X175" s="5">
        <f t="shared" si="22"/>
        <v>0.4104249011857708</v>
      </c>
      <c r="Z175" s="2" t="s">
        <v>3227</v>
      </c>
      <c r="AA175" s="2" t="s">
        <v>75</v>
      </c>
      <c r="AB175" s="2" t="s">
        <v>76</v>
      </c>
      <c r="AC175" s="2" t="s">
        <v>77</v>
      </c>
      <c r="AF175" s="2">
        <f t="shared" si="19"/>
        <v>0</v>
      </c>
      <c r="AG175" s="2">
        <v>119.33</v>
      </c>
      <c r="AH175" s="2">
        <v>220</v>
      </c>
      <c r="AJ175" s="2">
        <f t="shared" si="20"/>
        <v>0</v>
      </c>
      <c r="AK175" s="2">
        <f t="shared" si="23"/>
        <v>83.070000000000007</v>
      </c>
      <c r="AL175" s="5">
        <f t="shared" si="24"/>
        <v>0.4104249011857708</v>
      </c>
    </row>
    <row r="176" spans="1:38" x14ac:dyDescent="0.2">
      <c r="A176" s="2">
        <v>2025</v>
      </c>
      <c r="B176" s="2">
        <v>1</v>
      </c>
      <c r="D176" s="2" t="s">
        <v>403</v>
      </c>
      <c r="E176" s="2" t="s">
        <v>38</v>
      </c>
      <c r="F176" s="2" t="s">
        <v>39</v>
      </c>
      <c r="G176" s="2">
        <v>109095197</v>
      </c>
      <c r="H176" s="2" t="s">
        <v>40</v>
      </c>
      <c r="I176" s="2" t="s">
        <v>2476</v>
      </c>
      <c r="J176" s="2" t="s">
        <v>3123</v>
      </c>
      <c r="K176" s="2">
        <v>965864665</v>
      </c>
      <c r="L176" s="2" t="s">
        <v>344</v>
      </c>
      <c r="M176" s="2" t="s">
        <v>80</v>
      </c>
      <c r="O176" s="2" t="s">
        <v>3124</v>
      </c>
      <c r="P176" s="2" t="s">
        <v>93</v>
      </c>
      <c r="Q176" s="2" t="s">
        <v>94</v>
      </c>
      <c r="R176" s="2" t="s">
        <v>95</v>
      </c>
      <c r="S176" s="2">
        <v>1</v>
      </c>
      <c r="T176" s="2">
        <v>1.1399999999999999</v>
      </c>
      <c r="U176" s="2">
        <v>0.26219999999999999</v>
      </c>
      <c r="V176" s="2">
        <v>1.4021999999999999</v>
      </c>
      <c r="W176" s="2">
        <v>1.1399999999999999</v>
      </c>
      <c r="X176" s="5">
        <f t="shared" si="22"/>
        <v>0</v>
      </c>
      <c r="Z176" s="2" t="s">
        <v>3227</v>
      </c>
      <c r="AA176" s="2" t="s">
        <v>96</v>
      </c>
      <c r="AB176" s="2" t="s">
        <v>76</v>
      </c>
      <c r="AC176" s="2" t="s">
        <v>93</v>
      </c>
      <c r="AF176" s="2">
        <f t="shared" si="19"/>
        <v>0</v>
      </c>
      <c r="AJ176" s="2">
        <f t="shared" si="20"/>
        <v>0</v>
      </c>
      <c r="AK176" s="2">
        <f t="shared" si="23"/>
        <v>0</v>
      </c>
      <c r="AL176" s="5">
        <f t="shared" si="24"/>
        <v>0</v>
      </c>
    </row>
    <row r="177" spans="1:38" x14ac:dyDescent="0.2">
      <c r="A177" s="2">
        <v>2025</v>
      </c>
      <c r="B177" s="2">
        <v>1</v>
      </c>
      <c r="D177" s="2" t="s">
        <v>404</v>
      </c>
      <c r="E177" s="2" t="s">
        <v>38</v>
      </c>
      <c r="F177" s="2" t="s">
        <v>39</v>
      </c>
      <c r="G177" s="2">
        <v>514985836</v>
      </c>
      <c r="H177" s="2" t="s">
        <v>109</v>
      </c>
      <c r="I177" s="2" t="s">
        <v>133</v>
      </c>
      <c r="J177" s="2" t="s">
        <v>405</v>
      </c>
      <c r="L177" s="2" t="s">
        <v>133</v>
      </c>
      <c r="M177" s="2" t="s">
        <v>40</v>
      </c>
      <c r="O177" s="2" t="s">
        <v>406</v>
      </c>
      <c r="P177" s="2" t="s">
        <v>187</v>
      </c>
      <c r="Q177" s="2" t="s">
        <v>317</v>
      </c>
      <c r="R177" s="2" t="s">
        <v>318</v>
      </c>
      <c r="S177" s="2">
        <v>1</v>
      </c>
      <c r="T177" s="2">
        <v>930</v>
      </c>
      <c r="U177" s="2">
        <v>213.9</v>
      </c>
      <c r="V177" s="2">
        <v>1143.9000000000001</v>
      </c>
      <c r="X177" s="5">
        <f t="shared" si="22"/>
        <v>1</v>
      </c>
      <c r="Z177" s="2" t="s">
        <v>117</v>
      </c>
      <c r="AA177" s="2" t="s">
        <v>317</v>
      </c>
      <c r="AF177" s="2">
        <f t="shared" si="19"/>
        <v>0</v>
      </c>
      <c r="AJ177" s="2">
        <f t="shared" si="20"/>
        <v>0</v>
      </c>
      <c r="AK177" s="2">
        <f t="shared" si="23"/>
        <v>930</v>
      </c>
      <c r="AL177" s="5">
        <f t="shared" si="24"/>
        <v>1</v>
      </c>
    </row>
    <row r="178" spans="1:38" x14ac:dyDescent="0.2">
      <c r="A178" s="2">
        <v>2025</v>
      </c>
      <c r="B178" s="2">
        <v>1</v>
      </c>
      <c r="D178" s="2" t="s">
        <v>404</v>
      </c>
      <c r="E178" s="2" t="s">
        <v>38</v>
      </c>
      <c r="F178" s="2" t="s">
        <v>39</v>
      </c>
      <c r="G178" s="2">
        <v>514985836</v>
      </c>
      <c r="H178" s="2" t="s">
        <v>109</v>
      </c>
      <c r="I178" s="2" t="s">
        <v>133</v>
      </c>
      <c r="J178" s="2" t="s">
        <v>405</v>
      </c>
      <c r="L178" s="2" t="s">
        <v>133</v>
      </c>
      <c r="M178" s="2" t="s">
        <v>40</v>
      </c>
      <c r="O178" s="2" t="s">
        <v>407</v>
      </c>
      <c r="P178" s="2" t="s">
        <v>187</v>
      </c>
      <c r="Q178" s="2" t="s">
        <v>188</v>
      </c>
      <c r="R178" s="2" t="s">
        <v>189</v>
      </c>
      <c r="S178" s="2">
        <v>1</v>
      </c>
      <c r="T178" s="2">
        <v>138</v>
      </c>
      <c r="U178" s="2">
        <v>31.74</v>
      </c>
      <c r="V178" s="2">
        <v>169.74</v>
      </c>
      <c r="W178" s="2">
        <f>T178*40%</f>
        <v>55.2</v>
      </c>
      <c r="X178" s="5">
        <f t="shared" si="22"/>
        <v>0.6</v>
      </c>
      <c r="Z178" s="2" t="s">
        <v>117</v>
      </c>
      <c r="AA178" s="2" t="s">
        <v>190</v>
      </c>
      <c r="AB178" s="2" t="s">
        <v>189</v>
      </c>
      <c r="AC178" s="2" t="s">
        <v>40</v>
      </c>
      <c r="AF178" s="2">
        <f t="shared" si="19"/>
        <v>0</v>
      </c>
      <c r="AJ178" s="2">
        <f t="shared" si="20"/>
        <v>0</v>
      </c>
      <c r="AK178" s="2">
        <f t="shared" si="23"/>
        <v>82.8</v>
      </c>
      <c r="AL178" s="5">
        <f t="shared" si="24"/>
        <v>0.6</v>
      </c>
    </row>
    <row r="179" spans="1:38" x14ac:dyDescent="0.2">
      <c r="A179" s="2">
        <v>2025</v>
      </c>
      <c r="B179" s="2">
        <v>1</v>
      </c>
      <c r="D179" s="2" t="s">
        <v>404</v>
      </c>
      <c r="E179" s="2" t="s">
        <v>38</v>
      </c>
      <c r="F179" s="2" t="s">
        <v>39</v>
      </c>
      <c r="G179" s="2">
        <v>514985836</v>
      </c>
      <c r="H179" s="2" t="s">
        <v>109</v>
      </c>
      <c r="I179" s="2" t="s">
        <v>133</v>
      </c>
      <c r="J179" s="2" t="s">
        <v>405</v>
      </c>
      <c r="L179" s="2" t="s">
        <v>133</v>
      </c>
      <c r="M179" s="2" t="s">
        <v>40</v>
      </c>
      <c r="O179" s="2" t="s">
        <v>407</v>
      </c>
      <c r="P179" s="2" t="s">
        <v>187</v>
      </c>
      <c r="Q179" s="2" t="s">
        <v>191</v>
      </c>
      <c r="R179" s="2" t="s">
        <v>190</v>
      </c>
      <c r="S179" s="2">
        <v>1</v>
      </c>
      <c r="T179" s="2">
        <v>50</v>
      </c>
      <c r="U179" s="2">
        <v>11.5</v>
      </c>
      <c r="V179" s="2">
        <v>61.5</v>
      </c>
      <c r="W179" s="2">
        <f>T179*50%</f>
        <v>25</v>
      </c>
      <c r="X179" s="5">
        <f t="shared" si="22"/>
        <v>0.5</v>
      </c>
      <c r="Z179" s="2" t="s">
        <v>117</v>
      </c>
      <c r="AA179" s="2" t="s">
        <v>190</v>
      </c>
      <c r="AB179" s="2" t="s">
        <v>190</v>
      </c>
      <c r="AC179" s="2" t="s">
        <v>40</v>
      </c>
      <c r="AF179" s="2">
        <f t="shared" si="19"/>
        <v>0</v>
      </c>
      <c r="AJ179" s="2">
        <f t="shared" si="20"/>
        <v>0</v>
      </c>
      <c r="AK179" s="2">
        <f t="shared" si="23"/>
        <v>25</v>
      </c>
      <c r="AL179" s="5">
        <f t="shared" si="24"/>
        <v>0.5</v>
      </c>
    </row>
    <row r="180" spans="1:38" x14ac:dyDescent="0.2">
      <c r="A180" s="2">
        <v>2025</v>
      </c>
      <c r="B180" s="2">
        <v>1</v>
      </c>
      <c r="D180" s="2" t="s">
        <v>404</v>
      </c>
      <c r="E180" s="2" t="s">
        <v>38</v>
      </c>
      <c r="F180" s="2" t="s">
        <v>39</v>
      </c>
      <c r="G180" s="2">
        <v>514985836</v>
      </c>
      <c r="H180" s="2" t="s">
        <v>109</v>
      </c>
      <c r="I180" s="2" t="s">
        <v>133</v>
      </c>
      <c r="J180" s="2" t="s">
        <v>405</v>
      </c>
      <c r="L180" s="2" t="s">
        <v>133</v>
      </c>
      <c r="M180" s="2" t="s">
        <v>40</v>
      </c>
      <c r="O180" s="2" t="s">
        <v>406</v>
      </c>
      <c r="P180" s="2" t="s">
        <v>114</v>
      </c>
      <c r="Q180" s="2" t="s">
        <v>408</v>
      </c>
      <c r="R180" s="2" t="s">
        <v>409</v>
      </c>
      <c r="S180" s="2">
        <v>1</v>
      </c>
      <c r="T180" s="2">
        <v>0</v>
      </c>
      <c r="U180" s="2">
        <v>0</v>
      </c>
      <c r="V180" s="2">
        <v>0</v>
      </c>
      <c r="Z180" s="2" t="s">
        <v>117</v>
      </c>
      <c r="AA180" s="2" t="s">
        <v>317</v>
      </c>
      <c r="AF180" s="2">
        <f t="shared" si="19"/>
        <v>0</v>
      </c>
      <c r="AJ180" s="2">
        <f t="shared" si="20"/>
        <v>0</v>
      </c>
      <c r="AK180" s="2">
        <f t="shared" si="23"/>
        <v>0</v>
      </c>
      <c r="AL180" s="5" t="e">
        <f t="shared" si="24"/>
        <v>#DIV/0!</v>
      </c>
    </row>
    <row r="181" spans="1:38" x14ac:dyDescent="0.2">
      <c r="A181" s="2">
        <v>2025</v>
      </c>
      <c r="B181" s="2">
        <v>1</v>
      </c>
      <c r="D181" s="2" t="s">
        <v>410</v>
      </c>
      <c r="E181" s="2" t="s">
        <v>38</v>
      </c>
      <c r="F181" s="2" t="s">
        <v>39</v>
      </c>
      <c r="G181" s="2">
        <v>510415962</v>
      </c>
      <c r="H181" s="2" t="s">
        <v>40</v>
      </c>
      <c r="I181" s="2" t="s">
        <v>344</v>
      </c>
      <c r="J181" s="2" t="s">
        <v>3129</v>
      </c>
      <c r="K181" s="2">
        <v>962555043</v>
      </c>
      <c r="L181" s="2" t="s">
        <v>344</v>
      </c>
      <c r="M181" s="2" t="s">
        <v>40</v>
      </c>
      <c r="O181" s="2" t="s">
        <v>3130</v>
      </c>
      <c r="P181" s="2" t="s">
        <v>187</v>
      </c>
      <c r="Q181" s="2" t="s">
        <v>317</v>
      </c>
      <c r="R181" s="2" t="s">
        <v>318</v>
      </c>
      <c r="S181" s="2">
        <v>1</v>
      </c>
      <c r="T181" s="2">
        <v>975</v>
      </c>
      <c r="U181" s="2">
        <v>224.25</v>
      </c>
      <c r="V181" s="2">
        <v>1199.25</v>
      </c>
      <c r="X181" s="5">
        <f>(T181-W181)/T181</f>
        <v>1</v>
      </c>
      <c r="Z181" s="2" t="s">
        <v>117</v>
      </c>
      <c r="AA181" s="2" t="s">
        <v>317</v>
      </c>
      <c r="AF181" s="2">
        <f t="shared" si="19"/>
        <v>0</v>
      </c>
      <c r="AJ181" s="2">
        <f t="shared" si="20"/>
        <v>0</v>
      </c>
      <c r="AK181" s="2">
        <f t="shared" si="23"/>
        <v>975</v>
      </c>
      <c r="AL181" s="5">
        <f t="shared" si="24"/>
        <v>1</v>
      </c>
    </row>
    <row r="182" spans="1:38" x14ac:dyDescent="0.2">
      <c r="A182" s="2">
        <v>2025</v>
      </c>
      <c r="B182" s="2">
        <v>1</v>
      </c>
      <c r="D182" s="2" t="s">
        <v>410</v>
      </c>
      <c r="E182" s="2" t="s">
        <v>38</v>
      </c>
      <c r="F182" s="2" t="s">
        <v>39</v>
      </c>
      <c r="G182" s="2">
        <v>510415962</v>
      </c>
      <c r="H182" s="2" t="s">
        <v>40</v>
      </c>
      <c r="I182" s="2" t="s">
        <v>344</v>
      </c>
      <c r="J182" s="2" t="s">
        <v>3129</v>
      </c>
      <c r="K182" s="2">
        <v>962555043</v>
      </c>
      <c r="L182" s="2" t="s">
        <v>344</v>
      </c>
      <c r="M182" s="2" t="s">
        <v>40</v>
      </c>
      <c r="O182" s="2" t="s">
        <v>3130</v>
      </c>
      <c r="P182" s="2" t="s">
        <v>114</v>
      </c>
      <c r="Q182" s="2" t="s">
        <v>408</v>
      </c>
      <c r="R182" s="2" t="s">
        <v>409</v>
      </c>
      <c r="S182" s="2">
        <v>1</v>
      </c>
      <c r="U182" s="2">
        <v>0</v>
      </c>
      <c r="V182" s="2">
        <v>0</v>
      </c>
      <c r="Z182" s="2" t="s">
        <v>117</v>
      </c>
      <c r="AA182" s="2" t="s">
        <v>317</v>
      </c>
      <c r="AF182" s="2">
        <f t="shared" si="19"/>
        <v>0</v>
      </c>
      <c r="AJ182" s="2">
        <f t="shared" si="20"/>
        <v>0</v>
      </c>
      <c r="AK182" s="2">
        <f t="shared" si="23"/>
        <v>0</v>
      </c>
      <c r="AL182" s="5" t="e">
        <f t="shared" si="24"/>
        <v>#DIV/0!</v>
      </c>
    </row>
    <row r="183" spans="1:38" x14ac:dyDescent="0.2">
      <c r="A183" s="2">
        <v>2025</v>
      </c>
      <c r="B183" s="2">
        <v>1</v>
      </c>
      <c r="C183" s="2" t="s">
        <v>3307</v>
      </c>
      <c r="D183" s="2" t="s">
        <v>3330</v>
      </c>
      <c r="E183" s="2" t="s">
        <v>108</v>
      </c>
      <c r="F183" s="2" t="s">
        <v>39</v>
      </c>
      <c r="L183" s="2" t="s">
        <v>418</v>
      </c>
      <c r="M183" s="2" t="s">
        <v>41</v>
      </c>
      <c r="O183" s="2" t="s">
        <v>411</v>
      </c>
      <c r="P183" s="2" t="s">
        <v>114</v>
      </c>
      <c r="Q183" s="2" t="s">
        <v>412</v>
      </c>
      <c r="R183" s="2" t="s">
        <v>413</v>
      </c>
      <c r="S183" s="2">
        <v>1</v>
      </c>
      <c r="T183" s="2">
        <v>14590</v>
      </c>
      <c r="U183" s="2">
        <v>3355.7</v>
      </c>
      <c r="V183" s="2">
        <v>17945.7</v>
      </c>
      <c r="W183" s="2">
        <v>10669.4</v>
      </c>
      <c r="X183" s="5">
        <f t="shared" ref="X183:X212" si="25">(T183-W183)/T183</f>
        <v>0.26871830020562032</v>
      </c>
      <c r="Z183" s="2" t="s">
        <v>104</v>
      </c>
      <c r="AA183" s="2" t="s">
        <v>414</v>
      </c>
      <c r="AB183" s="2" t="s">
        <v>151</v>
      </c>
      <c r="AC183" s="2" t="s">
        <v>114</v>
      </c>
      <c r="AF183" s="2">
        <f t="shared" si="19"/>
        <v>0</v>
      </c>
      <c r="AG183" s="2">
        <v>10669.4</v>
      </c>
      <c r="AJ183" s="2">
        <f t="shared" si="20"/>
        <v>0</v>
      </c>
      <c r="AK183" s="2">
        <f t="shared" si="23"/>
        <v>3920.6000000000004</v>
      </c>
      <c r="AL183" s="5">
        <f t="shared" si="24"/>
        <v>0.26871830020562032</v>
      </c>
    </row>
    <row r="184" spans="1:38" x14ac:dyDescent="0.2">
      <c r="A184" s="2">
        <v>2025</v>
      </c>
      <c r="B184" s="2">
        <v>1</v>
      </c>
      <c r="D184" s="2" t="s">
        <v>415</v>
      </c>
      <c r="E184" s="2" t="s">
        <v>38</v>
      </c>
      <c r="F184" s="2" t="s">
        <v>39</v>
      </c>
      <c r="G184" s="2">
        <v>219908800</v>
      </c>
      <c r="H184" s="2" t="s">
        <v>41</v>
      </c>
      <c r="I184" s="2" t="s">
        <v>416</v>
      </c>
      <c r="J184" s="2" t="s">
        <v>417</v>
      </c>
      <c r="L184" s="2" t="s">
        <v>418</v>
      </c>
      <c r="M184" s="2" t="s">
        <v>41</v>
      </c>
      <c r="P184" s="2" t="s">
        <v>43</v>
      </c>
      <c r="Q184" s="2" t="s">
        <v>54</v>
      </c>
      <c r="R184" s="2" t="s">
        <v>55</v>
      </c>
      <c r="S184" s="2">
        <v>3</v>
      </c>
      <c r="T184" s="2">
        <v>54</v>
      </c>
      <c r="U184" s="2">
        <v>12.42</v>
      </c>
      <c r="V184" s="2">
        <v>66.42</v>
      </c>
      <c r="W184" s="2">
        <f>10.6*S184</f>
        <v>31.799999999999997</v>
      </c>
      <c r="X184" s="5">
        <f t="shared" si="25"/>
        <v>0.41111111111111115</v>
      </c>
      <c r="Z184" s="2" t="s">
        <v>3227</v>
      </c>
      <c r="AA184" s="2" t="s">
        <v>46</v>
      </c>
      <c r="AB184" s="2" t="s">
        <v>56</v>
      </c>
      <c r="AC184" s="2" t="s">
        <v>57</v>
      </c>
      <c r="AF184" s="2">
        <f t="shared" si="19"/>
        <v>0</v>
      </c>
      <c r="AG184" s="2">
        <v>10.6</v>
      </c>
      <c r="AH184" s="2">
        <v>18</v>
      </c>
      <c r="AJ184" s="2">
        <f t="shared" si="20"/>
        <v>0</v>
      </c>
      <c r="AK184" s="2">
        <f t="shared" si="23"/>
        <v>22.200000000000003</v>
      </c>
      <c r="AL184" s="5">
        <f t="shared" si="24"/>
        <v>0.41111111111111115</v>
      </c>
    </row>
    <row r="185" spans="1:38" x14ac:dyDescent="0.2">
      <c r="A185" s="2">
        <v>2025</v>
      </c>
      <c r="B185" s="2">
        <v>1</v>
      </c>
      <c r="D185" s="2" t="s">
        <v>415</v>
      </c>
      <c r="E185" s="2" t="s">
        <v>38</v>
      </c>
      <c r="F185" s="2" t="s">
        <v>39</v>
      </c>
      <c r="G185" s="2">
        <v>219908800</v>
      </c>
      <c r="H185" s="2" t="s">
        <v>41</v>
      </c>
      <c r="I185" s="2" t="s">
        <v>416</v>
      </c>
      <c r="J185" s="2" t="s">
        <v>417</v>
      </c>
      <c r="L185" s="2" t="s">
        <v>418</v>
      </c>
      <c r="M185" s="2" t="s">
        <v>41</v>
      </c>
      <c r="P185" s="2" t="s">
        <v>43</v>
      </c>
      <c r="Q185" s="2" t="s">
        <v>61</v>
      </c>
      <c r="R185" s="2" t="s">
        <v>62</v>
      </c>
      <c r="S185" s="2">
        <v>400</v>
      </c>
      <c r="T185" s="2">
        <v>52</v>
      </c>
      <c r="U185" s="2">
        <v>11.96</v>
      </c>
      <c r="V185" s="2">
        <v>63.96</v>
      </c>
      <c r="W185" s="2">
        <f>0.082*S185</f>
        <v>32.800000000000004</v>
      </c>
      <c r="X185" s="5">
        <f t="shared" si="25"/>
        <v>0.36923076923076914</v>
      </c>
      <c r="Z185" s="2" t="s">
        <v>3227</v>
      </c>
      <c r="AA185" s="2" t="s">
        <v>46</v>
      </c>
      <c r="AB185" s="2" t="s">
        <v>60</v>
      </c>
      <c r="AC185" s="2" t="s">
        <v>57</v>
      </c>
      <c r="AF185" s="2">
        <f t="shared" si="19"/>
        <v>0</v>
      </c>
      <c r="AG185" s="2">
        <v>8.1999999999999993</v>
      </c>
      <c r="AH185" s="2">
        <v>13</v>
      </c>
      <c r="AJ185" s="2">
        <f t="shared" si="20"/>
        <v>0</v>
      </c>
      <c r="AK185" s="2">
        <f t="shared" si="23"/>
        <v>19.199999999999996</v>
      </c>
      <c r="AL185" s="5">
        <f t="shared" si="24"/>
        <v>0.36923076923076914</v>
      </c>
    </row>
    <row r="186" spans="1:38" x14ac:dyDescent="0.2">
      <c r="A186" s="2">
        <v>2025</v>
      </c>
      <c r="B186" s="2">
        <v>1</v>
      </c>
      <c r="D186" s="2" t="s">
        <v>415</v>
      </c>
      <c r="E186" s="2" t="s">
        <v>38</v>
      </c>
      <c r="F186" s="2" t="s">
        <v>39</v>
      </c>
      <c r="G186" s="2">
        <v>219908800</v>
      </c>
      <c r="H186" s="2" t="s">
        <v>41</v>
      </c>
      <c r="I186" s="2" t="s">
        <v>416</v>
      </c>
      <c r="J186" s="2" t="s">
        <v>417</v>
      </c>
      <c r="L186" s="2" t="s">
        <v>418</v>
      </c>
      <c r="M186" s="2" t="s">
        <v>41</v>
      </c>
      <c r="O186" s="2" t="s">
        <v>419</v>
      </c>
      <c r="P186" s="2" t="s">
        <v>43</v>
      </c>
      <c r="Q186" s="2" t="s">
        <v>420</v>
      </c>
      <c r="R186" s="2" t="s">
        <v>421</v>
      </c>
      <c r="S186" s="2">
        <v>4</v>
      </c>
      <c r="T186" s="2">
        <v>26.4</v>
      </c>
      <c r="U186" s="2">
        <v>6.0720000000000001</v>
      </c>
      <c r="V186" s="2">
        <v>32.472000000000001</v>
      </c>
      <c r="W186" s="2">
        <f>3.7556*S186</f>
        <v>15.022399999999999</v>
      </c>
      <c r="X186" s="5">
        <f t="shared" si="25"/>
        <v>0.43096969696969695</v>
      </c>
      <c r="Z186" s="2" t="s">
        <v>3227</v>
      </c>
      <c r="AA186" s="2" t="s">
        <v>46</v>
      </c>
      <c r="AB186" s="2" t="s">
        <v>60</v>
      </c>
      <c r="AC186" s="2" t="s">
        <v>57</v>
      </c>
      <c r="AF186" s="2">
        <f t="shared" si="19"/>
        <v>0</v>
      </c>
      <c r="AG186" s="2">
        <v>3.7555999999999998</v>
      </c>
      <c r="AH186" s="2">
        <v>7.2</v>
      </c>
      <c r="AJ186" s="2">
        <f t="shared" si="20"/>
        <v>0</v>
      </c>
      <c r="AK186" s="2">
        <f t="shared" si="23"/>
        <v>11.377599999999999</v>
      </c>
      <c r="AL186" s="5">
        <f t="shared" si="24"/>
        <v>0.43096969696969695</v>
      </c>
    </row>
    <row r="187" spans="1:38" x14ac:dyDescent="0.2">
      <c r="A187" s="2">
        <v>2025</v>
      </c>
      <c r="B187" s="2">
        <v>1</v>
      </c>
      <c r="D187" s="2" t="s">
        <v>415</v>
      </c>
      <c r="E187" s="2" t="s">
        <v>38</v>
      </c>
      <c r="F187" s="2" t="s">
        <v>39</v>
      </c>
      <c r="G187" s="2">
        <v>219908800</v>
      </c>
      <c r="H187" s="2" t="s">
        <v>41</v>
      </c>
      <c r="I187" s="2" t="s">
        <v>416</v>
      </c>
      <c r="J187" s="2" t="s">
        <v>417</v>
      </c>
      <c r="L187" s="2" t="s">
        <v>418</v>
      </c>
      <c r="P187" s="2" t="s">
        <v>169</v>
      </c>
      <c r="Q187" s="2" t="s">
        <v>170</v>
      </c>
      <c r="R187" s="2" t="s">
        <v>170</v>
      </c>
      <c r="S187" s="2">
        <v>1</v>
      </c>
      <c r="T187" s="2">
        <v>4.5</v>
      </c>
      <c r="U187" s="2">
        <v>1.0349999999999999</v>
      </c>
      <c r="V187" s="2">
        <v>5.5350000000000001</v>
      </c>
      <c r="W187" s="2">
        <v>6</v>
      </c>
      <c r="X187" s="5">
        <f t="shared" si="25"/>
        <v>-0.33333333333333331</v>
      </c>
      <c r="Z187" s="2" t="s">
        <v>169</v>
      </c>
      <c r="AA187" s="2" t="s">
        <v>169</v>
      </c>
      <c r="AF187" s="2">
        <f t="shared" si="19"/>
        <v>0</v>
      </c>
      <c r="AJ187" s="2">
        <f t="shared" si="20"/>
        <v>0</v>
      </c>
      <c r="AK187" s="2">
        <f t="shared" si="23"/>
        <v>-1.5</v>
      </c>
      <c r="AL187" s="5">
        <f t="shared" si="24"/>
        <v>-0.33333333333333331</v>
      </c>
    </row>
    <row r="188" spans="1:38" x14ac:dyDescent="0.2">
      <c r="A188" s="2">
        <v>2025</v>
      </c>
      <c r="B188" s="2">
        <v>1</v>
      </c>
      <c r="D188" s="2" t="s">
        <v>422</v>
      </c>
      <c r="E188" s="2" t="s">
        <v>98</v>
      </c>
      <c r="F188" s="2" t="s">
        <v>39</v>
      </c>
      <c r="G188" s="2">
        <v>503523470</v>
      </c>
      <c r="H188" s="2" t="s">
        <v>40</v>
      </c>
      <c r="I188" s="2" t="s">
        <v>423</v>
      </c>
      <c r="J188" s="2" t="s">
        <v>424</v>
      </c>
      <c r="L188" s="2" t="s">
        <v>201</v>
      </c>
      <c r="M188" s="2" t="s">
        <v>80</v>
      </c>
      <c r="P188" s="2" t="s">
        <v>43</v>
      </c>
      <c r="Q188" s="2" t="s">
        <v>54</v>
      </c>
      <c r="R188" s="2" t="s">
        <v>55</v>
      </c>
      <c r="S188" s="2">
        <v>1</v>
      </c>
      <c r="T188" s="2">
        <v>18</v>
      </c>
      <c r="U188" s="2">
        <v>4.1400000000000006</v>
      </c>
      <c r="V188" s="2">
        <v>22.14</v>
      </c>
      <c r="W188" s="2">
        <f>10.6*S188</f>
        <v>10.6</v>
      </c>
      <c r="X188" s="5">
        <f t="shared" si="25"/>
        <v>0.41111111111111115</v>
      </c>
      <c r="Z188" s="2" t="s">
        <v>3227</v>
      </c>
      <c r="AA188" s="2" t="s">
        <v>46</v>
      </c>
      <c r="AB188" s="2" t="s">
        <v>56</v>
      </c>
      <c r="AC188" s="2" t="s">
        <v>57</v>
      </c>
      <c r="AF188" s="2">
        <f t="shared" si="19"/>
        <v>0</v>
      </c>
      <c r="AG188" s="2">
        <v>10.6</v>
      </c>
      <c r="AH188" s="2">
        <v>18</v>
      </c>
      <c r="AJ188" s="2">
        <f t="shared" si="20"/>
        <v>0</v>
      </c>
      <c r="AK188" s="2">
        <f t="shared" si="23"/>
        <v>7.4</v>
      </c>
      <c r="AL188" s="5">
        <f t="shared" si="24"/>
        <v>0.41111111111111115</v>
      </c>
    </row>
    <row r="189" spans="1:38" x14ac:dyDescent="0.2">
      <c r="A189" s="2">
        <v>2025</v>
      </c>
      <c r="B189" s="2">
        <v>1</v>
      </c>
      <c r="D189" s="2" t="s">
        <v>425</v>
      </c>
      <c r="E189" s="2" t="s">
        <v>98</v>
      </c>
      <c r="F189" s="2" t="s">
        <v>39</v>
      </c>
      <c r="G189" s="2">
        <v>510613888</v>
      </c>
      <c r="H189" s="2" t="s">
        <v>40</v>
      </c>
      <c r="I189" s="2" t="s">
        <v>426</v>
      </c>
      <c r="J189" s="2" t="s">
        <v>427</v>
      </c>
      <c r="L189" s="2" t="s">
        <v>99</v>
      </c>
      <c r="M189" s="2" t="s">
        <v>80</v>
      </c>
      <c r="P189" s="2" t="s">
        <v>43</v>
      </c>
      <c r="Q189" s="2" t="s">
        <v>61</v>
      </c>
      <c r="R189" s="2" t="s">
        <v>62</v>
      </c>
      <c r="S189" s="2">
        <v>100</v>
      </c>
      <c r="T189" s="2">
        <v>13</v>
      </c>
      <c r="U189" s="2">
        <v>2.99</v>
      </c>
      <c r="V189" s="2">
        <v>15.99</v>
      </c>
      <c r="W189" s="2">
        <f>0.082*S189</f>
        <v>8.2000000000000011</v>
      </c>
      <c r="X189" s="5">
        <f t="shared" si="25"/>
        <v>0.36923076923076914</v>
      </c>
      <c r="Z189" s="2" t="s">
        <v>3227</v>
      </c>
      <c r="AA189" s="2" t="s">
        <v>46</v>
      </c>
      <c r="AB189" s="2" t="s">
        <v>60</v>
      </c>
      <c r="AC189" s="2" t="s">
        <v>57</v>
      </c>
      <c r="AF189" s="2">
        <f t="shared" si="19"/>
        <v>0</v>
      </c>
      <c r="AG189" s="2">
        <v>8.1999999999999993</v>
      </c>
      <c r="AH189" s="2">
        <v>13</v>
      </c>
      <c r="AJ189" s="2">
        <f t="shared" si="20"/>
        <v>0</v>
      </c>
      <c r="AK189" s="2">
        <f t="shared" ref="AK189:AK220" si="26">T189-W189</f>
        <v>4.7999999999999989</v>
      </c>
      <c r="AL189" s="5">
        <f t="shared" ref="AL189:AL220" si="27">(T189-W189)/T189</f>
        <v>0.36923076923076914</v>
      </c>
    </row>
    <row r="190" spans="1:38" x14ac:dyDescent="0.2">
      <c r="A190" s="2">
        <v>2025</v>
      </c>
      <c r="B190" s="2">
        <v>1</v>
      </c>
      <c r="D190" s="2" t="s">
        <v>428</v>
      </c>
      <c r="E190" s="2" t="s">
        <v>38</v>
      </c>
      <c r="G190" s="2">
        <v>500820384</v>
      </c>
      <c r="H190" s="2" t="s">
        <v>40</v>
      </c>
      <c r="I190" s="2" t="s">
        <v>429</v>
      </c>
      <c r="J190" s="2" t="s">
        <v>430</v>
      </c>
      <c r="L190" s="2" t="s">
        <v>99</v>
      </c>
      <c r="M190" s="2" t="s">
        <v>80</v>
      </c>
      <c r="O190" s="2" t="s">
        <v>431</v>
      </c>
      <c r="P190" s="2" t="s">
        <v>72</v>
      </c>
      <c r="Q190" s="2" t="s">
        <v>432</v>
      </c>
      <c r="R190" s="2" t="s">
        <v>331</v>
      </c>
      <c r="S190" s="2">
        <v>1</v>
      </c>
      <c r="T190" s="2">
        <v>191.09</v>
      </c>
      <c r="U190" s="2">
        <v>43.950699999999998</v>
      </c>
      <c r="V190" s="2">
        <v>235.04069999999999</v>
      </c>
      <c r="W190" s="2">
        <v>108.075</v>
      </c>
      <c r="X190" s="5">
        <f t="shared" si="25"/>
        <v>0.43442880318174681</v>
      </c>
      <c r="Z190" s="2" t="s">
        <v>3227</v>
      </c>
      <c r="AA190" s="2" t="s">
        <v>75</v>
      </c>
      <c r="AB190" s="2" t="s">
        <v>76</v>
      </c>
      <c r="AC190" s="2" t="s">
        <v>77</v>
      </c>
      <c r="AF190" s="2">
        <f t="shared" si="19"/>
        <v>0</v>
      </c>
      <c r="AG190" s="2">
        <f>101.305+6.77</f>
        <v>108.075</v>
      </c>
      <c r="AH190" s="2">
        <v>210</v>
      </c>
      <c r="AJ190" s="2">
        <f t="shared" si="20"/>
        <v>0</v>
      </c>
      <c r="AK190" s="2">
        <f t="shared" si="26"/>
        <v>83.015000000000001</v>
      </c>
      <c r="AL190" s="5">
        <f t="shared" si="27"/>
        <v>0.43442880318174681</v>
      </c>
    </row>
    <row r="191" spans="1:38" x14ac:dyDescent="0.2">
      <c r="A191" s="2">
        <v>2025</v>
      </c>
      <c r="B191" s="2">
        <v>1</v>
      </c>
      <c r="D191" s="2" t="s">
        <v>428</v>
      </c>
      <c r="E191" s="2" t="s">
        <v>38</v>
      </c>
      <c r="G191" s="2">
        <v>500820384</v>
      </c>
      <c r="H191" s="2" t="s">
        <v>40</v>
      </c>
      <c r="I191" s="2" t="s">
        <v>429</v>
      </c>
      <c r="J191" s="2" t="s">
        <v>430</v>
      </c>
      <c r="L191" s="2" t="s">
        <v>99</v>
      </c>
      <c r="M191" s="2" t="s">
        <v>80</v>
      </c>
      <c r="O191" s="2" t="s">
        <v>431</v>
      </c>
      <c r="P191" s="2" t="s">
        <v>93</v>
      </c>
      <c r="Q191" s="2" t="s">
        <v>94</v>
      </c>
      <c r="R191" s="2" t="s">
        <v>95</v>
      </c>
      <c r="S191" s="2">
        <v>1</v>
      </c>
      <c r="T191" s="2">
        <v>1.1399999999999999</v>
      </c>
      <c r="U191" s="2">
        <v>0.26219999999999999</v>
      </c>
      <c r="V191" s="2">
        <v>1.4021999999999999</v>
      </c>
      <c r="W191" s="2">
        <v>1.1399999999999999</v>
      </c>
      <c r="X191" s="5">
        <f t="shared" si="25"/>
        <v>0</v>
      </c>
      <c r="Z191" s="2" t="s">
        <v>3227</v>
      </c>
      <c r="AA191" s="2" t="s">
        <v>96</v>
      </c>
      <c r="AB191" s="2" t="s">
        <v>76</v>
      </c>
      <c r="AC191" s="2" t="s">
        <v>93</v>
      </c>
      <c r="AF191" s="2">
        <f t="shared" si="19"/>
        <v>0</v>
      </c>
      <c r="AJ191" s="2">
        <f t="shared" si="20"/>
        <v>0</v>
      </c>
      <c r="AK191" s="2">
        <f t="shared" si="26"/>
        <v>0</v>
      </c>
      <c r="AL191" s="5">
        <f t="shared" si="27"/>
        <v>0</v>
      </c>
    </row>
    <row r="192" spans="1:38" x14ac:dyDescent="0.2">
      <c r="A192" s="2">
        <v>2025</v>
      </c>
      <c r="B192" s="2">
        <v>1</v>
      </c>
      <c r="D192" s="2" t="s">
        <v>433</v>
      </c>
      <c r="P192" s="2" t="s">
        <v>282</v>
      </c>
      <c r="Q192" s="2" t="s">
        <v>434</v>
      </c>
      <c r="R192" s="2" t="s">
        <v>435</v>
      </c>
      <c r="S192" s="2">
        <v>1</v>
      </c>
      <c r="T192" s="2">
        <v>595</v>
      </c>
      <c r="U192" s="2">
        <v>136.85</v>
      </c>
      <c r="V192" s="2">
        <v>731.85</v>
      </c>
      <c r="W192" s="2">
        <v>417</v>
      </c>
      <c r="X192" s="5">
        <f t="shared" si="25"/>
        <v>0.29915966386554621</v>
      </c>
      <c r="Z192" s="2" t="s">
        <v>104</v>
      </c>
      <c r="AA192" s="2" t="s">
        <v>387</v>
      </c>
      <c r="AB192" s="2" t="s">
        <v>388</v>
      </c>
      <c r="AC192" s="2" t="s">
        <v>389</v>
      </c>
      <c r="AF192" s="2">
        <f t="shared" si="19"/>
        <v>0</v>
      </c>
      <c r="AJ192" s="2">
        <f t="shared" si="20"/>
        <v>0</v>
      </c>
      <c r="AK192" s="2">
        <f t="shared" si="26"/>
        <v>178</v>
      </c>
      <c r="AL192" s="5">
        <f t="shared" si="27"/>
        <v>0.29915966386554621</v>
      </c>
    </row>
    <row r="193" spans="1:38" x14ac:dyDescent="0.2">
      <c r="A193" s="2">
        <v>2025</v>
      </c>
      <c r="B193" s="2">
        <v>1</v>
      </c>
      <c r="D193" s="2" t="s">
        <v>436</v>
      </c>
      <c r="E193" s="2" t="s">
        <v>108</v>
      </c>
      <c r="F193" s="2" t="s">
        <v>376</v>
      </c>
      <c r="G193" s="2">
        <v>509350631</v>
      </c>
      <c r="H193" s="2" t="s">
        <v>290</v>
      </c>
      <c r="I193" s="2" t="s">
        <v>437</v>
      </c>
      <c r="J193" s="2" t="s">
        <v>438</v>
      </c>
      <c r="L193" s="2" t="s">
        <v>339</v>
      </c>
      <c r="M193" s="2" t="s">
        <v>80</v>
      </c>
      <c r="P193" s="2" t="s">
        <v>72</v>
      </c>
      <c r="Q193" s="2" t="s">
        <v>73</v>
      </c>
      <c r="R193" s="2" t="s">
        <v>74</v>
      </c>
      <c r="S193" s="2">
        <v>4</v>
      </c>
      <c r="T193" s="2">
        <v>754.4</v>
      </c>
      <c r="U193" s="2">
        <v>173.512</v>
      </c>
      <c r="V193" s="2">
        <v>927.91200000000003</v>
      </c>
      <c r="W193" s="2">
        <v>469.81200000000001</v>
      </c>
      <c r="X193" s="5">
        <f t="shared" si="25"/>
        <v>0.37723753976670199</v>
      </c>
      <c r="Z193" s="2" t="s">
        <v>3227</v>
      </c>
      <c r="AA193" s="2" t="s">
        <v>75</v>
      </c>
      <c r="AB193" s="2" t="s">
        <v>76</v>
      </c>
      <c r="AC193" s="2" t="s">
        <v>77</v>
      </c>
      <c r="AF193" s="2">
        <f t="shared" si="19"/>
        <v>0</v>
      </c>
      <c r="AG193" s="2">
        <v>117.453</v>
      </c>
      <c r="AH193" s="2">
        <v>220</v>
      </c>
      <c r="AJ193" s="2">
        <f t="shared" si="20"/>
        <v>0</v>
      </c>
      <c r="AK193" s="2">
        <f t="shared" si="26"/>
        <v>284.58799999999997</v>
      </c>
      <c r="AL193" s="5">
        <f t="shared" si="27"/>
        <v>0.37723753976670199</v>
      </c>
    </row>
    <row r="194" spans="1:38" x14ac:dyDescent="0.2">
      <c r="A194" s="2">
        <v>2025</v>
      </c>
      <c r="B194" s="2">
        <v>1</v>
      </c>
      <c r="D194" s="2" t="s">
        <v>436</v>
      </c>
      <c r="E194" s="2" t="s">
        <v>108</v>
      </c>
      <c r="F194" s="2" t="s">
        <v>376</v>
      </c>
      <c r="G194" s="2">
        <v>509350631</v>
      </c>
      <c r="H194" s="2" t="s">
        <v>290</v>
      </c>
      <c r="I194" s="2" t="s">
        <v>437</v>
      </c>
      <c r="J194" s="2" t="s">
        <v>438</v>
      </c>
      <c r="L194" s="2" t="s">
        <v>339</v>
      </c>
      <c r="M194" s="2" t="s">
        <v>80</v>
      </c>
      <c r="P194" s="2" t="s">
        <v>93</v>
      </c>
      <c r="Q194" s="2" t="s">
        <v>94</v>
      </c>
      <c r="R194" s="2" t="s">
        <v>95</v>
      </c>
      <c r="S194" s="2">
        <v>4</v>
      </c>
      <c r="T194" s="2">
        <v>4.5599999999999996</v>
      </c>
      <c r="U194" s="2">
        <v>1.0488</v>
      </c>
      <c r="V194" s="2">
        <v>5.6087999999999996</v>
      </c>
      <c r="W194" s="2">
        <v>4.5599999999999996</v>
      </c>
      <c r="X194" s="5">
        <f t="shared" si="25"/>
        <v>0</v>
      </c>
      <c r="Z194" s="2" t="s">
        <v>3227</v>
      </c>
      <c r="AA194" s="2" t="s">
        <v>96</v>
      </c>
      <c r="AB194" s="2" t="s">
        <v>76</v>
      </c>
      <c r="AC194" s="2" t="s">
        <v>93</v>
      </c>
      <c r="AF194" s="2">
        <f t="shared" ref="AF194:AF257" si="28">AJ194</f>
        <v>0</v>
      </c>
      <c r="AG194" s="2">
        <v>1.1399999999999999</v>
      </c>
      <c r="AH194" s="2">
        <v>1.1399999999999999</v>
      </c>
      <c r="AJ194" s="2">
        <f t="shared" ref="AJ194:AJ257" si="29">AI194*T194</f>
        <v>0</v>
      </c>
      <c r="AK194" s="2">
        <f t="shared" si="26"/>
        <v>0</v>
      </c>
      <c r="AL194" s="5">
        <f t="shared" si="27"/>
        <v>0</v>
      </c>
    </row>
    <row r="195" spans="1:38" x14ac:dyDescent="0.2">
      <c r="A195" s="2">
        <v>2025</v>
      </c>
      <c r="B195" s="2">
        <v>1</v>
      </c>
      <c r="D195" s="2" t="s">
        <v>439</v>
      </c>
      <c r="E195" s="2" t="s">
        <v>38</v>
      </c>
      <c r="F195" s="2" t="s">
        <v>39</v>
      </c>
      <c r="G195" s="2">
        <v>205800831</v>
      </c>
      <c r="H195" s="2" t="s">
        <v>41</v>
      </c>
      <c r="I195" s="2" t="s">
        <v>177</v>
      </c>
      <c r="J195" s="2" t="s">
        <v>3176</v>
      </c>
      <c r="K195" s="2">
        <v>911577458</v>
      </c>
      <c r="L195" s="2" t="s">
        <v>177</v>
      </c>
      <c r="M195" s="2" t="s">
        <v>41</v>
      </c>
      <c r="O195" s="2" t="s">
        <v>3177</v>
      </c>
      <c r="P195" s="2" t="s">
        <v>43</v>
      </c>
      <c r="Q195" s="2" t="s">
        <v>160</v>
      </c>
      <c r="R195" s="2" t="s">
        <v>161</v>
      </c>
      <c r="S195" s="2">
        <v>1</v>
      </c>
      <c r="T195" s="2">
        <v>7.8</v>
      </c>
      <c r="U195" s="2">
        <v>1.794</v>
      </c>
      <c r="V195" s="2">
        <v>9.5939999999999994</v>
      </c>
      <c r="W195" s="2">
        <f>3.7358*S195</f>
        <v>3.7357999999999998</v>
      </c>
      <c r="X195" s="5">
        <f t="shared" si="25"/>
        <v>0.52105128205128204</v>
      </c>
      <c r="Z195" s="2" t="s">
        <v>3227</v>
      </c>
      <c r="AA195" s="2" t="s">
        <v>46</v>
      </c>
      <c r="AB195" s="2" t="s">
        <v>47</v>
      </c>
      <c r="AC195" s="2" t="s">
        <v>57</v>
      </c>
      <c r="AF195" s="2">
        <f t="shared" si="28"/>
        <v>0</v>
      </c>
      <c r="AG195" s="2">
        <v>3.7357999999999998</v>
      </c>
      <c r="AH195" s="2">
        <v>9</v>
      </c>
      <c r="AJ195" s="2">
        <f t="shared" si="29"/>
        <v>0</v>
      </c>
      <c r="AK195" s="2">
        <f t="shared" si="26"/>
        <v>4.0641999999999996</v>
      </c>
      <c r="AL195" s="5">
        <f t="shared" si="27"/>
        <v>0.52105128205128204</v>
      </c>
    </row>
    <row r="196" spans="1:38" x14ac:dyDescent="0.2">
      <c r="A196" s="2">
        <v>2025</v>
      </c>
      <c r="B196" s="2">
        <v>1</v>
      </c>
      <c r="D196" s="2" t="s">
        <v>439</v>
      </c>
      <c r="E196" s="2" t="s">
        <v>38</v>
      </c>
      <c r="F196" s="2" t="s">
        <v>39</v>
      </c>
      <c r="G196" s="2">
        <v>205800831</v>
      </c>
      <c r="H196" s="2" t="s">
        <v>41</v>
      </c>
      <c r="I196" s="2" t="s">
        <v>177</v>
      </c>
      <c r="J196" s="2" t="s">
        <v>3176</v>
      </c>
      <c r="K196" s="2">
        <v>911577458</v>
      </c>
      <c r="L196" s="2" t="s">
        <v>177</v>
      </c>
      <c r="M196" s="2" t="s">
        <v>41</v>
      </c>
      <c r="O196" s="2" t="s">
        <v>3177</v>
      </c>
      <c r="P196" s="2" t="s">
        <v>43</v>
      </c>
      <c r="Q196" s="2" t="s">
        <v>63</v>
      </c>
      <c r="R196" s="2" t="s">
        <v>64</v>
      </c>
      <c r="S196" s="2">
        <v>8</v>
      </c>
      <c r="T196" s="2">
        <v>14.4</v>
      </c>
      <c r="U196" s="2">
        <v>3.3119999999999998</v>
      </c>
      <c r="V196" s="2">
        <v>17.712</v>
      </c>
      <c r="W196" s="2">
        <f>0.8561*S196</f>
        <v>6.8487999999999998</v>
      </c>
      <c r="X196" s="5">
        <f t="shared" si="25"/>
        <v>0.5243888888888889</v>
      </c>
      <c r="Z196" s="2" t="s">
        <v>3227</v>
      </c>
      <c r="AA196" s="2" t="s">
        <v>46</v>
      </c>
      <c r="AB196" s="2" t="s">
        <v>60</v>
      </c>
      <c r="AC196" s="2" t="s">
        <v>57</v>
      </c>
      <c r="AF196" s="2">
        <f t="shared" si="28"/>
        <v>0</v>
      </c>
      <c r="AG196" s="2">
        <v>0.85609999999999997</v>
      </c>
      <c r="AH196" s="2">
        <v>1.8</v>
      </c>
      <c r="AJ196" s="2">
        <f t="shared" si="29"/>
        <v>0</v>
      </c>
      <c r="AK196" s="2">
        <f t="shared" si="26"/>
        <v>7.5512000000000006</v>
      </c>
      <c r="AL196" s="5">
        <f t="shared" si="27"/>
        <v>0.5243888888888889</v>
      </c>
    </row>
    <row r="197" spans="1:38" x14ac:dyDescent="0.2">
      <c r="A197" s="2">
        <v>2025</v>
      </c>
      <c r="B197" s="2">
        <v>1</v>
      </c>
      <c r="D197" s="2" t="s">
        <v>440</v>
      </c>
      <c r="E197" s="2" t="s">
        <v>38</v>
      </c>
      <c r="F197" s="2" t="s">
        <v>39</v>
      </c>
      <c r="G197" s="2">
        <v>505173174</v>
      </c>
      <c r="H197" s="2" t="s">
        <v>109</v>
      </c>
      <c r="I197" s="2" t="s">
        <v>133</v>
      </c>
      <c r="J197" s="2" t="s">
        <v>3181</v>
      </c>
      <c r="L197" s="2" t="s">
        <v>133</v>
      </c>
      <c r="M197" s="2" t="s">
        <v>40</v>
      </c>
      <c r="O197" s="2" t="s">
        <v>3182</v>
      </c>
      <c r="P197" s="2" t="s">
        <v>114</v>
      </c>
      <c r="Q197" s="2" t="s">
        <v>441</v>
      </c>
      <c r="R197" s="2" t="s">
        <v>442</v>
      </c>
      <c r="S197" s="2">
        <v>1</v>
      </c>
      <c r="T197" s="2">
        <v>37.270000000000003</v>
      </c>
      <c r="U197" s="2">
        <v>8.5721000000000007</v>
      </c>
      <c r="V197" s="2">
        <v>45.842100000000002</v>
      </c>
      <c r="W197" s="2">
        <f>16.2825</f>
        <v>16.282499999999999</v>
      </c>
      <c r="X197" s="5">
        <f t="shared" si="25"/>
        <v>0.56312047222967543</v>
      </c>
      <c r="Z197" s="2" t="s">
        <v>117</v>
      </c>
      <c r="AA197" s="2" t="s">
        <v>118</v>
      </c>
      <c r="AB197" s="2" t="s">
        <v>119</v>
      </c>
      <c r="AC197" s="2" t="s">
        <v>114</v>
      </c>
      <c r="AF197" s="2">
        <f t="shared" si="28"/>
        <v>0</v>
      </c>
      <c r="AG197" s="2">
        <v>16.282499999999999</v>
      </c>
      <c r="AJ197" s="2">
        <f t="shared" si="29"/>
        <v>0</v>
      </c>
      <c r="AK197" s="2">
        <f t="shared" si="26"/>
        <v>20.987500000000004</v>
      </c>
      <c r="AL197" s="5">
        <f t="shared" si="27"/>
        <v>0.56312047222967543</v>
      </c>
    </row>
    <row r="198" spans="1:38" x14ac:dyDescent="0.2">
      <c r="A198" s="2">
        <v>2025</v>
      </c>
      <c r="B198" s="2">
        <v>1</v>
      </c>
      <c r="D198" s="2" t="s">
        <v>443</v>
      </c>
      <c r="E198" s="2" t="s">
        <v>38</v>
      </c>
      <c r="F198" s="2" t="s">
        <v>39</v>
      </c>
      <c r="G198" s="2">
        <v>503734616</v>
      </c>
      <c r="H198" s="2" t="s">
        <v>290</v>
      </c>
      <c r="I198" s="2" t="s">
        <v>444</v>
      </c>
      <c r="J198" s="2" t="s">
        <v>445</v>
      </c>
      <c r="K198" s="2">
        <v>966019450</v>
      </c>
      <c r="L198" s="2" t="s">
        <v>446</v>
      </c>
      <c r="M198" s="2" t="s">
        <v>40</v>
      </c>
      <c r="P198" s="2" t="s">
        <v>114</v>
      </c>
      <c r="Q198" s="2" t="s">
        <v>447</v>
      </c>
      <c r="R198" s="2" t="s">
        <v>448</v>
      </c>
      <c r="S198" s="2">
        <v>1</v>
      </c>
      <c r="T198" s="2">
        <v>110.23</v>
      </c>
      <c r="U198" s="2">
        <v>25.352900000000002</v>
      </c>
      <c r="V198" s="2">
        <v>135.5829</v>
      </c>
      <c r="W198" s="2">
        <v>52.49</v>
      </c>
      <c r="X198" s="5">
        <f t="shared" si="25"/>
        <v>0.52381384378118478</v>
      </c>
      <c r="Z198" s="2" t="s">
        <v>117</v>
      </c>
      <c r="AA198" s="2" t="s">
        <v>118</v>
      </c>
      <c r="AB198" s="2" t="s">
        <v>119</v>
      </c>
      <c r="AC198" s="2" t="s">
        <v>114</v>
      </c>
      <c r="AF198" s="2">
        <f t="shared" si="28"/>
        <v>0</v>
      </c>
      <c r="AG198" s="2">
        <v>52.49</v>
      </c>
      <c r="AJ198" s="2">
        <f t="shared" si="29"/>
        <v>0</v>
      </c>
      <c r="AK198" s="2">
        <f t="shared" si="26"/>
        <v>57.74</v>
      </c>
      <c r="AL198" s="5">
        <f t="shared" si="27"/>
        <v>0.52381384378118478</v>
      </c>
    </row>
    <row r="199" spans="1:38" x14ac:dyDescent="0.2">
      <c r="A199" s="2">
        <v>2025</v>
      </c>
      <c r="B199" s="2">
        <v>1</v>
      </c>
      <c r="D199" s="2" t="s">
        <v>443</v>
      </c>
      <c r="E199" s="2" t="s">
        <v>38</v>
      </c>
      <c r="F199" s="2" t="s">
        <v>39</v>
      </c>
      <c r="G199" s="2">
        <v>503734616</v>
      </c>
      <c r="H199" s="2" t="s">
        <v>290</v>
      </c>
      <c r="I199" s="2" t="s">
        <v>444</v>
      </c>
      <c r="J199" s="2" t="s">
        <v>445</v>
      </c>
      <c r="K199" s="2">
        <v>966019450</v>
      </c>
      <c r="L199" s="2" t="s">
        <v>446</v>
      </c>
      <c r="M199" s="2" t="s">
        <v>40</v>
      </c>
      <c r="P199" s="2" t="s">
        <v>114</v>
      </c>
      <c r="Q199" s="2" t="s">
        <v>449</v>
      </c>
      <c r="R199" s="2" t="s">
        <v>450</v>
      </c>
      <c r="S199" s="2">
        <v>1</v>
      </c>
      <c r="T199" s="2">
        <v>741.97</v>
      </c>
      <c r="U199" s="2">
        <v>170.65309999999999</v>
      </c>
      <c r="V199" s="2">
        <v>912.62310000000002</v>
      </c>
      <c r="W199" s="2">
        <v>248.5</v>
      </c>
      <c r="X199" s="5">
        <f t="shared" si="25"/>
        <v>0.66508079841503032</v>
      </c>
      <c r="Z199" s="2" t="s">
        <v>117</v>
      </c>
      <c r="AA199" s="2" t="s">
        <v>118</v>
      </c>
      <c r="AB199" s="2" t="s">
        <v>119</v>
      </c>
      <c r="AC199" s="2" t="s">
        <v>114</v>
      </c>
      <c r="AF199" s="2">
        <f t="shared" si="28"/>
        <v>0</v>
      </c>
      <c r="AG199" s="2">
        <v>248.5</v>
      </c>
      <c r="AJ199" s="2">
        <f t="shared" si="29"/>
        <v>0</v>
      </c>
      <c r="AK199" s="2">
        <f t="shared" si="26"/>
        <v>493.47</v>
      </c>
      <c r="AL199" s="5">
        <f t="shared" si="27"/>
        <v>0.66508079841503032</v>
      </c>
    </row>
    <row r="200" spans="1:38" x14ac:dyDescent="0.2">
      <c r="A200" s="2">
        <v>2025</v>
      </c>
      <c r="B200" s="2">
        <v>1</v>
      </c>
      <c r="D200" s="2" t="s">
        <v>443</v>
      </c>
      <c r="E200" s="2" t="s">
        <v>38</v>
      </c>
      <c r="F200" s="2" t="s">
        <v>39</v>
      </c>
      <c r="G200" s="2">
        <v>503734616</v>
      </c>
      <c r="H200" s="2" t="s">
        <v>290</v>
      </c>
      <c r="I200" s="2" t="s">
        <v>444</v>
      </c>
      <c r="J200" s="2" t="s">
        <v>445</v>
      </c>
      <c r="K200" s="2">
        <v>966019450</v>
      </c>
      <c r="L200" s="2" t="s">
        <v>446</v>
      </c>
      <c r="M200" s="2" t="s">
        <v>40</v>
      </c>
      <c r="P200" s="2" t="s">
        <v>187</v>
      </c>
      <c r="Q200" s="2" t="s">
        <v>188</v>
      </c>
      <c r="R200" s="2" t="s">
        <v>189</v>
      </c>
      <c r="S200" s="2">
        <v>1</v>
      </c>
      <c r="T200" s="2">
        <v>172</v>
      </c>
      <c r="U200" s="2">
        <v>39.56</v>
      </c>
      <c r="V200" s="2">
        <v>211.56</v>
      </c>
      <c r="W200" s="2">
        <f>T200*40%</f>
        <v>68.8</v>
      </c>
      <c r="X200" s="5">
        <f t="shared" si="25"/>
        <v>0.6</v>
      </c>
      <c r="Z200" s="2" t="s">
        <v>117</v>
      </c>
      <c r="AA200" s="2" t="s">
        <v>190</v>
      </c>
      <c r="AB200" s="2" t="s">
        <v>189</v>
      </c>
      <c r="AC200" s="2" t="s">
        <v>40</v>
      </c>
      <c r="AF200" s="2">
        <f t="shared" si="28"/>
        <v>0</v>
      </c>
      <c r="AJ200" s="2">
        <f t="shared" si="29"/>
        <v>0</v>
      </c>
      <c r="AK200" s="2">
        <f t="shared" si="26"/>
        <v>103.2</v>
      </c>
      <c r="AL200" s="5">
        <f t="shared" si="27"/>
        <v>0.6</v>
      </c>
    </row>
    <row r="201" spans="1:38" x14ac:dyDescent="0.2">
      <c r="A201" s="2">
        <v>2025</v>
      </c>
      <c r="B201" s="2">
        <v>1</v>
      </c>
      <c r="D201" s="2" t="s">
        <v>443</v>
      </c>
      <c r="E201" s="2" t="s">
        <v>38</v>
      </c>
      <c r="F201" s="2" t="s">
        <v>39</v>
      </c>
      <c r="G201" s="2">
        <v>503734616</v>
      </c>
      <c r="H201" s="2" t="s">
        <v>290</v>
      </c>
      <c r="I201" s="2" t="s">
        <v>444</v>
      </c>
      <c r="J201" s="2" t="s">
        <v>445</v>
      </c>
      <c r="K201" s="2">
        <v>966019450</v>
      </c>
      <c r="L201" s="2" t="s">
        <v>446</v>
      </c>
      <c r="M201" s="2" t="s">
        <v>40</v>
      </c>
      <c r="P201" s="2" t="s">
        <v>187</v>
      </c>
      <c r="Q201" s="2" t="s">
        <v>191</v>
      </c>
      <c r="R201" s="2" t="s">
        <v>190</v>
      </c>
      <c r="S201" s="2">
        <v>3</v>
      </c>
      <c r="T201" s="2">
        <v>150</v>
      </c>
      <c r="U201" s="2">
        <v>34.5</v>
      </c>
      <c r="V201" s="2">
        <v>184.5</v>
      </c>
      <c r="W201" s="2">
        <f>T201*50%</f>
        <v>75</v>
      </c>
      <c r="X201" s="5">
        <f t="shared" si="25"/>
        <v>0.5</v>
      </c>
      <c r="Z201" s="2" t="s">
        <v>117</v>
      </c>
      <c r="AA201" s="2" t="s">
        <v>190</v>
      </c>
      <c r="AB201" s="2" t="s">
        <v>190</v>
      </c>
      <c r="AC201" s="2" t="s">
        <v>40</v>
      </c>
      <c r="AF201" s="2">
        <f t="shared" si="28"/>
        <v>0</v>
      </c>
      <c r="AJ201" s="2">
        <f t="shared" si="29"/>
        <v>0</v>
      </c>
      <c r="AK201" s="2">
        <f t="shared" si="26"/>
        <v>75</v>
      </c>
      <c r="AL201" s="5">
        <f t="shared" si="27"/>
        <v>0.5</v>
      </c>
    </row>
    <row r="202" spans="1:38" x14ac:dyDescent="0.2">
      <c r="A202" s="2">
        <v>2025</v>
      </c>
      <c r="B202" s="2">
        <v>1</v>
      </c>
      <c r="D202" s="2" t="s">
        <v>451</v>
      </c>
      <c r="E202" s="2" t="s">
        <v>108</v>
      </c>
      <c r="F202" s="2" t="s">
        <v>39</v>
      </c>
      <c r="G202" s="2">
        <v>506085686</v>
      </c>
      <c r="H202" s="2" t="s">
        <v>40</v>
      </c>
      <c r="I202" s="2" t="s">
        <v>452</v>
      </c>
      <c r="J202" s="2" t="s">
        <v>453</v>
      </c>
      <c r="K202" s="2">
        <v>917241919</v>
      </c>
      <c r="L202" s="2" t="s">
        <v>398</v>
      </c>
      <c r="M202" s="2" t="s">
        <v>80</v>
      </c>
      <c r="P202" s="2" t="s">
        <v>72</v>
      </c>
      <c r="Q202" s="2" t="s">
        <v>325</v>
      </c>
      <c r="R202" s="2" t="s">
        <v>79</v>
      </c>
      <c r="S202" s="2">
        <v>1</v>
      </c>
      <c r="T202" s="2">
        <v>184</v>
      </c>
      <c r="U202" s="2">
        <v>42.32</v>
      </c>
      <c r="V202" s="2">
        <v>226.32</v>
      </c>
      <c r="W202" s="2">
        <f>110.68*S202</f>
        <v>110.68</v>
      </c>
      <c r="X202" s="5">
        <f t="shared" si="25"/>
        <v>0.39847826086956517</v>
      </c>
      <c r="Z202" s="2" t="s">
        <v>3227</v>
      </c>
      <c r="AA202" s="2" t="s">
        <v>75</v>
      </c>
      <c r="AB202" s="2" t="s">
        <v>76</v>
      </c>
      <c r="AC202" s="2" t="s">
        <v>77</v>
      </c>
      <c r="AF202" s="2">
        <f t="shared" si="28"/>
        <v>0</v>
      </c>
      <c r="AG202" s="2">
        <v>110.68</v>
      </c>
      <c r="AH202" s="2">
        <v>210</v>
      </c>
      <c r="AJ202" s="2">
        <f t="shared" si="29"/>
        <v>0</v>
      </c>
      <c r="AK202" s="2">
        <f t="shared" si="26"/>
        <v>73.319999999999993</v>
      </c>
      <c r="AL202" s="5">
        <f t="shared" si="27"/>
        <v>0.39847826086956517</v>
      </c>
    </row>
    <row r="203" spans="1:38" x14ac:dyDescent="0.2">
      <c r="A203" s="2">
        <v>2025</v>
      </c>
      <c r="B203" s="2">
        <v>1</v>
      </c>
      <c r="D203" s="2" t="s">
        <v>451</v>
      </c>
      <c r="E203" s="2" t="s">
        <v>108</v>
      </c>
      <c r="F203" s="2" t="s">
        <v>39</v>
      </c>
      <c r="G203" s="2">
        <v>506085686</v>
      </c>
      <c r="H203" s="2" t="s">
        <v>40</v>
      </c>
      <c r="I203" s="2" t="s">
        <v>452</v>
      </c>
      <c r="J203" s="2" t="s">
        <v>453</v>
      </c>
      <c r="K203" s="2">
        <v>917241919</v>
      </c>
      <c r="L203" s="2" t="s">
        <v>398</v>
      </c>
      <c r="M203" s="2" t="s">
        <v>80</v>
      </c>
      <c r="P203" s="2" t="s">
        <v>93</v>
      </c>
      <c r="Q203" s="2" t="s">
        <v>94</v>
      </c>
      <c r="R203" s="2" t="s">
        <v>95</v>
      </c>
      <c r="S203" s="2">
        <v>1</v>
      </c>
      <c r="T203" s="2">
        <v>1.1399999999999999</v>
      </c>
      <c r="U203" s="2">
        <v>0.26219999999999999</v>
      </c>
      <c r="V203" s="2">
        <v>1.4021999999999999</v>
      </c>
      <c r="W203" s="2">
        <v>1.1399999999999999</v>
      </c>
      <c r="X203" s="5">
        <f t="shared" si="25"/>
        <v>0</v>
      </c>
      <c r="Z203" s="2" t="s">
        <v>3227</v>
      </c>
      <c r="AA203" s="2" t="s">
        <v>96</v>
      </c>
      <c r="AB203" s="2" t="s">
        <v>76</v>
      </c>
      <c r="AC203" s="2" t="s">
        <v>93</v>
      </c>
      <c r="AF203" s="2">
        <f t="shared" si="28"/>
        <v>0</v>
      </c>
      <c r="AJ203" s="2">
        <f t="shared" si="29"/>
        <v>0</v>
      </c>
      <c r="AK203" s="2">
        <f t="shared" si="26"/>
        <v>0</v>
      </c>
      <c r="AL203" s="5">
        <f t="shared" si="27"/>
        <v>0</v>
      </c>
    </row>
    <row r="204" spans="1:38" x14ac:dyDescent="0.2">
      <c r="A204" s="2">
        <v>2025</v>
      </c>
      <c r="B204" s="2">
        <v>1</v>
      </c>
      <c r="D204" s="2" t="s">
        <v>454</v>
      </c>
      <c r="E204" s="2" t="s">
        <v>38</v>
      </c>
      <c r="F204" s="2" t="s">
        <v>39</v>
      </c>
      <c r="G204" s="2">
        <v>515440620</v>
      </c>
      <c r="H204" s="2" t="s">
        <v>41</v>
      </c>
      <c r="I204" s="2" t="s">
        <v>455</v>
      </c>
      <c r="J204" s="2" t="s">
        <v>456</v>
      </c>
      <c r="K204" s="2">
        <v>963829351</v>
      </c>
      <c r="L204" s="2" t="s">
        <v>133</v>
      </c>
      <c r="M204" s="2" t="s">
        <v>41</v>
      </c>
      <c r="O204" s="2" t="s">
        <v>457</v>
      </c>
      <c r="P204" s="2" t="s">
        <v>43</v>
      </c>
      <c r="Q204" s="2" t="s">
        <v>351</v>
      </c>
      <c r="R204" s="2" t="s">
        <v>352</v>
      </c>
      <c r="S204" s="2">
        <v>1</v>
      </c>
      <c r="T204" s="2">
        <v>18</v>
      </c>
      <c r="U204" s="2">
        <v>4.1400000000000006</v>
      </c>
      <c r="V204" s="2">
        <v>22.14</v>
      </c>
      <c r="W204" s="2">
        <v>10.67</v>
      </c>
      <c r="X204" s="5">
        <f t="shared" si="25"/>
        <v>0.40722222222222221</v>
      </c>
      <c r="Z204" s="2" t="s">
        <v>3227</v>
      </c>
      <c r="AA204" s="2" t="s">
        <v>46</v>
      </c>
      <c r="AB204" s="2" t="s">
        <v>47</v>
      </c>
      <c r="AC204" s="2" t="s">
        <v>57</v>
      </c>
      <c r="AF204" s="2">
        <f t="shared" si="28"/>
        <v>0</v>
      </c>
      <c r="AG204" s="2">
        <v>10.67</v>
      </c>
      <c r="AH204" s="2">
        <v>21</v>
      </c>
      <c r="AJ204" s="2">
        <f t="shared" si="29"/>
        <v>0</v>
      </c>
      <c r="AK204" s="2">
        <f t="shared" si="26"/>
        <v>7.33</v>
      </c>
      <c r="AL204" s="5">
        <f t="shared" si="27"/>
        <v>0.40722222222222221</v>
      </c>
    </row>
    <row r="205" spans="1:38" x14ac:dyDescent="0.2">
      <c r="A205" s="2">
        <v>2025</v>
      </c>
      <c r="B205" s="2">
        <v>1</v>
      </c>
      <c r="D205" s="2" t="s">
        <v>454</v>
      </c>
      <c r="E205" s="2" t="s">
        <v>38</v>
      </c>
      <c r="F205" s="2" t="s">
        <v>39</v>
      </c>
      <c r="G205" s="2">
        <v>515440620</v>
      </c>
      <c r="H205" s="2" t="s">
        <v>41</v>
      </c>
      <c r="I205" s="2" t="s">
        <v>455</v>
      </c>
      <c r="J205" s="2" t="s">
        <v>456</v>
      </c>
      <c r="K205" s="2">
        <v>963829351</v>
      </c>
      <c r="L205" s="2" t="s">
        <v>133</v>
      </c>
      <c r="M205" s="2" t="s">
        <v>41</v>
      </c>
      <c r="O205" s="2" t="s">
        <v>457</v>
      </c>
      <c r="P205" s="2" t="s">
        <v>43</v>
      </c>
      <c r="Q205" s="2" t="s">
        <v>238</v>
      </c>
      <c r="R205" s="2" t="s">
        <v>239</v>
      </c>
      <c r="S205" s="2">
        <v>1</v>
      </c>
      <c r="T205" s="2">
        <v>19.8</v>
      </c>
      <c r="U205" s="2">
        <v>4.5540000000000003</v>
      </c>
      <c r="V205" s="2">
        <v>24.353999999999999</v>
      </c>
      <c r="W205" s="2">
        <f>11.045*S205</f>
        <v>11.045</v>
      </c>
      <c r="X205" s="5">
        <f t="shared" si="25"/>
        <v>0.44217171717171722</v>
      </c>
      <c r="Z205" s="2" t="s">
        <v>3227</v>
      </c>
      <c r="AA205" s="2" t="s">
        <v>46</v>
      </c>
      <c r="AB205" s="2" t="s">
        <v>56</v>
      </c>
      <c r="AC205" s="2" t="s">
        <v>57</v>
      </c>
      <c r="AF205" s="2">
        <f t="shared" si="28"/>
        <v>0</v>
      </c>
      <c r="AJ205" s="2">
        <f t="shared" si="29"/>
        <v>0</v>
      </c>
      <c r="AK205" s="2">
        <f t="shared" si="26"/>
        <v>8.7550000000000008</v>
      </c>
      <c r="AL205" s="5">
        <f t="shared" si="27"/>
        <v>0.44217171717171722</v>
      </c>
    </row>
    <row r="206" spans="1:38" x14ac:dyDescent="0.2">
      <c r="A206" s="2">
        <v>2025</v>
      </c>
      <c r="B206" s="2">
        <v>1</v>
      </c>
      <c r="D206" s="2" t="s">
        <v>454</v>
      </c>
      <c r="E206" s="2" t="s">
        <v>38</v>
      </c>
      <c r="F206" s="2" t="s">
        <v>39</v>
      </c>
      <c r="G206" s="2">
        <v>515440620</v>
      </c>
      <c r="H206" s="2" t="s">
        <v>41</v>
      </c>
      <c r="I206" s="2" t="s">
        <v>455</v>
      </c>
      <c r="J206" s="2" t="s">
        <v>456</v>
      </c>
      <c r="K206" s="2">
        <v>963829351</v>
      </c>
      <c r="L206" s="2" t="s">
        <v>133</v>
      </c>
      <c r="M206" s="2" t="s">
        <v>41</v>
      </c>
      <c r="O206" s="2" t="s">
        <v>457</v>
      </c>
      <c r="P206" s="2" t="s">
        <v>43</v>
      </c>
      <c r="Q206" s="2" t="s">
        <v>54</v>
      </c>
      <c r="R206" s="2" t="s">
        <v>55</v>
      </c>
      <c r="S206" s="2">
        <v>5</v>
      </c>
      <c r="T206" s="2">
        <v>90</v>
      </c>
      <c r="U206" s="2">
        <v>20.7</v>
      </c>
      <c r="V206" s="2">
        <v>110.7</v>
      </c>
      <c r="W206" s="2">
        <f>10.6*S206</f>
        <v>53</v>
      </c>
      <c r="X206" s="5">
        <f t="shared" si="25"/>
        <v>0.41111111111111109</v>
      </c>
      <c r="Z206" s="2" t="s">
        <v>3227</v>
      </c>
      <c r="AA206" s="2" t="s">
        <v>46</v>
      </c>
      <c r="AB206" s="2" t="s">
        <v>56</v>
      </c>
      <c r="AC206" s="2" t="s">
        <v>57</v>
      </c>
      <c r="AF206" s="2">
        <f t="shared" si="28"/>
        <v>0</v>
      </c>
      <c r="AG206" s="2">
        <v>10.6</v>
      </c>
      <c r="AH206" s="2">
        <v>18</v>
      </c>
      <c r="AJ206" s="2">
        <f t="shared" si="29"/>
        <v>0</v>
      </c>
      <c r="AK206" s="2">
        <f t="shared" si="26"/>
        <v>37</v>
      </c>
      <c r="AL206" s="5">
        <f t="shared" si="27"/>
        <v>0.41111111111111109</v>
      </c>
    </row>
    <row r="207" spans="1:38" x14ac:dyDescent="0.2">
      <c r="A207" s="2">
        <v>2025</v>
      </c>
      <c r="B207" s="2">
        <v>1</v>
      </c>
      <c r="D207" s="2" t="s">
        <v>454</v>
      </c>
      <c r="E207" s="2" t="s">
        <v>38</v>
      </c>
      <c r="F207" s="2" t="s">
        <v>39</v>
      </c>
      <c r="G207" s="2">
        <v>515440620</v>
      </c>
      <c r="H207" s="2" t="s">
        <v>41</v>
      </c>
      <c r="I207" s="2" t="s">
        <v>455</v>
      </c>
      <c r="J207" s="2" t="s">
        <v>456</v>
      </c>
      <c r="K207" s="2">
        <v>963829351</v>
      </c>
      <c r="L207" s="2" t="s">
        <v>133</v>
      </c>
      <c r="M207" s="2" t="s">
        <v>41</v>
      </c>
      <c r="O207" s="2" t="s">
        <v>457</v>
      </c>
      <c r="P207" s="2" t="s">
        <v>43</v>
      </c>
      <c r="Q207" s="2" t="s">
        <v>58</v>
      </c>
      <c r="R207" s="2" t="s">
        <v>59</v>
      </c>
      <c r="S207" s="2">
        <v>100</v>
      </c>
      <c r="T207" s="2">
        <v>14</v>
      </c>
      <c r="U207" s="2">
        <v>3.22</v>
      </c>
      <c r="V207" s="2">
        <v>17.22</v>
      </c>
      <c r="W207" s="2">
        <f>0.0914*S207</f>
        <v>9.1399999999999988</v>
      </c>
      <c r="X207" s="5">
        <f t="shared" si="25"/>
        <v>0.34714285714285725</v>
      </c>
      <c r="Z207" s="2" t="s">
        <v>3227</v>
      </c>
      <c r="AA207" s="2" t="s">
        <v>46</v>
      </c>
      <c r="AB207" s="2" t="s">
        <v>60</v>
      </c>
      <c r="AC207" s="2" t="s">
        <v>57</v>
      </c>
      <c r="AF207" s="2">
        <f t="shared" si="28"/>
        <v>0</v>
      </c>
      <c r="AG207" s="2">
        <v>9.14</v>
      </c>
      <c r="AH207" s="2">
        <v>16</v>
      </c>
      <c r="AJ207" s="2">
        <f t="shared" si="29"/>
        <v>0</v>
      </c>
      <c r="AK207" s="2">
        <f t="shared" si="26"/>
        <v>4.8600000000000012</v>
      </c>
      <c r="AL207" s="5">
        <f t="shared" si="27"/>
        <v>0.34714285714285725</v>
      </c>
    </row>
    <row r="208" spans="1:38" x14ac:dyDescent="0.2">
      <c r="A208" s="2">
        <v>2025</v>
      </c>
      <c r="B208" s="2">
        <v>1</v>
      </c>
      <c r="D208" s="2" t="s">
        <v>454</v>
      </c>
      <c r="E208" s="2" t="s">
        <v>38</v>
      </c>
      <c r="F208" s="2" t="s">
        <v>39</v>
      </c>
      <c r="G208" s="2">
        <v>515440620</v>
      </c>
      <c r="H208" s="2" t="s">
        <v>41</v>
      </c>
      <c r="I208" s="2" t="s">
        <v>455</v>
      </c>
      <c r="J208" s="2" t="s">
        <v>456</v>
      </c>
      <c r="K208" s="2">
        <v>963829351</v>
      </c>
      <c r="L208" s="2" t="s">
        <v>133</v>
      </c>
      <c r="M208" s="2" t="s">
        <v>41</v>
      </c>
      <c r="O208" s="2" t="s">
        <v>457</v>
      </c>
      <c r="P208" s="2" t="s">
        <v>43</v>
      </c>
      <c r="Q208" s="2" t="s">
        <v>61</v>
      </c>
      <c r="R208" s="2" t="s">
        <v>62</v>
      </c>
      <c r="S208" s="2">
        <v>200</v>
      </c>
      <c r="T208" s="2">
        <v>26</v>
      </c>
      <c r="U208" s="2">
        <v>5.98</v>
      </c>
      <c r="V208" s="2">
        <v>31.98</v>
      </c>
      <c r="W208" s="2">
        <f>0.082*S208</f>
        <v>16.400000000000002</v>
      </c>
      <c r="X208" s="5">
        <f t="shared" si="25"/>
        <v>0.36923076923076914</v>
      </c>
      <c r="Z208" s="2" t="s">
        <v>3227</v>
      </c>
      <c r="AA208" s="2" t="s">
        <v>46</v>
      </c>
      <c r="AB208" s="2" t="s">
        <v>60</v>
      </c>
      <c r="AC208" s="2" t="s">
        <v>57</v>
      </c>
      <c r="AF208" s="2">
        <f t="shared" si="28"/>
        <v>0</v>
      </c>
      <c r="AG208" s="2">
        <v>8.1999999999999993</v>
      </c>
      <c r="AH208" s="2">
        <v>13</v>
      </c>
      <c r="AJ208" s="2">
        <f t="shared" si="29"/>
        <v>0</v>
      </c>
      <c r="AK208" s="2">
        <f t="shared" si="26"/>
        <v>9.5999999999999979</v>
      </c>
      <c r="AL208" s="5">
        <f t="shared" si="27"/>
        <v>0.36923076923076914</v>
      </c>
    </row>
    <row r="209" spans="1:38" x14ac:dyDescent="0.2">
      <c r="A209" s="2">
        <v>2025</v>
      </c>
      <c r="B209" s="2">
        <v>1</v>
      </c>
      <c r="D209" s="2" t="s">
        <v>454</v>
      </c>
      <c r="E209" s="2" t="s">
        <v>38</v>
      </c>
      <c r="F209" s="2" t="s">
        <v>39</v>
      </c>
      <c r="G209" s="2">
        <v>515440620</v>
      </c>
      <c r="H209" s="2" t="s">
        <v>41</v>
      </c>
      <c r="I209" s="2" t="s">
        <v>455</v>
      </c>
      <c r="J209" s="2" t="s">
        <v>456</v>
      </c>
      <c r="K209" s="2">
        <v>963829351</v>
      </c>
      <c r="L209" s="2" t="s">
        <v>133</v>
      </c>
      <c r="M209" s="2" t="s">
        <v>41</v>
      </c>
      <c r="O209" s="2" t="s">
        <v>457</v>
      </c>
      <c r="P209" s="2" t="s">
        <v>43</v>
      </c>
      <c r="Q209" s="2" t="s">
        <v>65</v>
      </c>
      <c r="R209" s="2" t="s">
        <v>66</v>
      </c>
      <c r="S209" s="2">
        <v>1</v>
      </c>
      <c r="T209" s="2">
        <v>25.2</v>
      </c>
      <c r="U209" s="2">
        <v>5.7960000000000003</v>
      </c>
      <c r="V209" s="2">
        <v>30.995999999999999</v>
      </c>
      <c r="W209" s="2">
        <f>15.0203*S209</f>
        <v>15.020300000000001</v>
      </c>
      <c r="X209" s="5">
        <f t="shared" si="25"/>
        <v>0.40395634920634915</v>
      </c>
      <c r="Z209" s="2" t="s">
        <v>3227</v>
      </c>
      <c r="AA209" s="2" t="s">
        <v>46</v>
      </c>
      <c r="AB209" s="2" t="s">
        <v>67</v>
      </c>
      <c r="AC209" s="2" t="s">
        <v>57</v>
      </c>
      <c r="AF209" s="2">
        <f t="shared" si="28"/>
        <v>0</v>
      </c>
      <c r="AG209" s="2">
        <v>15.020300000000001</v>
      </c>
      <c r="AH209" s="2">
        <v>27.6</v>
      </c>
      <c r="AJ209" s="2">
        <f t="shared" si="29"/>
        <v>0</v>
      </c>
      <c r="AK209" s="2">
        <f t="shared" si="26"/>
        <v>10.179699999999999</v>
      </c>
      <c r="AL209" s="5">
        <f t="shared" si="27"/>
        <v>0.40395634920634915</v>
      </c>
    </row>
    <row r="210" spans="1:38" x14ac:dyDescent="0.2">
      <c r="A210" s="2">
        <v>2025</v>
      </c>
      <c r="B210" s="2">
        <v>1</v>
      </c>
      <c r="D210" s="2" t="s">
        <v>458</v>
      </c>
      <c r="E210" s="2" t="s">
        <v>108</v>
      </c>
      <c r="F210" s="2" t="s">
        <v>477</v>
      </c>
      <c r="G210" s="2">
        <v>507016173</v>
      </c>
      <c r="H210" s="2" t="s">
        <v>109</v>
      </c>
      <c r="I210" s="2" t="s">
        <v>459</v>
      </c>
      <c r="J210" s="2" t="s">
        <v>460</v>
      </c>
      <c r="L210" s="2" t="s">
        <v>461</v>
      </c>
      <c r="M210" s="2" t="s">
        <v>40</v>
      </c>
      <c r="P210" s="2" t="s">
        <v>187</v>
      </c>
      <c r="Q210" s="2" t="s">
        <v>188</v>
      </c>
      <c r="R210" s="2" t="s">
        <v>189</v>
      </c>
      <c r="S210" s="2">
        <v>1</v>
      </c>
      <c r="T210" s="2">
        <v>141</v>
      </c>
      <c r="U210" s="2">
        <v>32.43</v>
      </c>
      <c r="V210" s="2">
        <v>173.43</v>
      </c>
      <c r="W210" s="2">
        <f>T210*40%</f>
        <v>56.400000000000006</v>
      </c>
      <c r="X210" s="5">
        <f t="shared" si="25"/>
        <v>0.6</v>
      </c>
      <c r="Z210" s="2" t="s">
        <v>117</v>
      </c>
      <c r="AA210" s="2" t="s">
        <v>190</v>
      </c>
      <c r="AB210" s="2" t="s">
        <v>189</v>
      </c>
      <c r="AC210" s="2" t="s">
        <v>40</v>
      </c>
      <c r="AF210" s="2">
        <f t="shared" si="28"/>
        <v>0</v>
      </c>
      <c r="AJ210" s="2">
        <f t="shared" si="29"/>
        <v>0</v>
      </c>
      <c r="AK210" s="2">
        <f t="shared" si="26"/>
        <v>84.6</v>
      </c>
      <c r="AL210" s="5">
        <f t="shared" si="27"/>
        <v>0.6</v>
      </c>
    </row>
    <row r="211" spans="1:38" x14ac:dyDescent="0.2">
      <c r="A211" s="2">
        <v>2025</v>
      </c>
      <c r="B211" s="2">
        <v>1</v>
      </c>
      <c r="D211" s="2" t="s">
        <v>458</v>
      </c>
      <c r="E211" s="2" t="s">
        <v>108</v>
      </c>
      <c r="F211" s="2" t="s">
        <v>477</v>
      </c>
      <c r="G211" s="2">
        <v>507016173</v>
      </c>
      <c r="H211" s="2" t="s">
        <v>109</v>
      </c>
      <c r="I211" s="2" t="s">
        <v>459</v>
      </c>
      <c r="J211" s="2" t="s">
        <v>460</v>
      </c>
      <c r="L211" s="2" t="s">
        <v>461</v>
      </c>
      <c r="M211" s="2" t="s">
        <v>40</v>
      </c>
      <c r="P211" s="2" t="s">
        <v>187</v>
      </c>
      <c r="Q211" s="2" t="s">
        <v>191</v>
      </c>
      <c r="R211" s="2" t="s">
        <v>190</v>
      </c>
      <c r="S211" s="2">
        <v>1</v>
      </c>
      <c r="T211" s="2">
        <v>50</v>
      </c>
      <c r="U211" s="2">
        <v>11.5</v>
      </c>
      <c r="V211" s="2">
        <v>61.5</v>
      </c>
      <c r="W211" s="2">
        <f>T211*50%</f>
        <v>25</v>
      </c>
      <c r="X211" s="5">
        <f t="shared" si="25"/>
        <v>0.5</v>
      </c>
      <c r="Z211" s="2" t="s">
        <v>117</v>
      </c>
      <c r="AA211" s="2" t="s">
        <v>190</v>
      </c>
      <c r="AB211" s="2" t="s">
        <v>190</v>
      </c>
      <c r="AC211" s="2" t="s">
        <v>40</v>
      </c>
      <c r="AF211" s="2">
        <f t="shared" si="28"/>
        <v>0</v>
      </c>
      <c r="AJ211" s="2">
        <f t="shared" si="29"/>
        <v>0</v>
      </c>
      <c r="AK211" s="2">
        <f t="shared" si="26"/>
        <v>25</v>
      </c>
      <c r="AL211" s="5">
        <f t="shared" si="27"/>
        <v>0.5</v>
      </c>
    </row>
    <row r="212" spans="1:38" x14ac:dyDescent="0.2">
      <c r="A212" s="2">
        <v>2025</v>
      </c>
      <c r="B212" s="2">
        <v>1</v>
      </c>
      <c r="D212" s="2" t="s">
        <v>458</v>
      </c>
      <c r="E212" s="2" t="s">
        <v>108</v>
      </c>
      <c r="F212" s="2" t="s">
        <v>477</v>
      </c>
      <c r="G212" s="2">
        <v>507016173</v>
      </c>
      <c r="H212" s="2" t="s">
        <v>109</v>
      </c>
      <c r="I212" s="2" t="s">
        <v>459</v>
      </c>
      <c r="J212" s="2" t="s">
        <v>460</v>
      </c>
      <c r="L212" s="2" t="s">
        <v>461</v>
      </c>
      <c r="P212" s="2" t="s">
        <v>40</v>
      </c>
      <c r="Q212" s="2" t="s">
        <v>363</v>
      </c>
      <c r="R212" s="2" t="s">
        <v>364</v>
      </c>
      <c r="S212" s="2">
        <v>1</v>
      </c>
      <c r="T212" s="2">
        <v>242.57</v>
      </c>
      <c r="U212" s="2">
        <v>55.7911</v>
      </c>
      <c r="V212" s="2">
        <v>298.36110000000002</v>
      </c>
      <c r="X212" s="5">
        <f t="shared" si="25"/>
        <v>1</v>
      </c>
      <c r="Z212" s="2" t="s">
        <v>119</v>
      </c>
      <c r="AA212" s="2" t="s">
        <v>3380</v>
      </c>
      <c r="AF212" s="2">
        <f t="shared" si="28"/>
        <v>0</v>
      </c>
      <c r="AJ212" s="2">
        <f t="shared" si="29"/>
        <v>0</v>
      </c>
      <c r="AK212" s="2">
        <f t="shared" si="26"/>
        <v>242.57</v>
      </c>
      <c r="AL212" s="5">
        <f t="shared" si="27"/>
        <v>1</v>
      </c>
    </row>
    <row r="213" spans="1:38" x14ac:dyDescent="0.2">
      <c r="A213" s="2">
        <v>2025</v>
      </c>
      <c r="B213" s="2">
        <v>1</v>
      </c>
      <c r="D213" s="2" t="s">
        <v>462</v>
      </c>
      <c r="E213" s="2" t="s">
        <v>108</v>
      </c>
      <c r="F213" s="2" t="s">
        <v>39</v>
      </c>
      <c r="G213" s="2">
        <v>506531031</v>
      </c>
      <c r="H213" s="2" t="s">
        <v>109</v>
      </c>
      <c r="I213" s="2" t="s">
        <v>463</v>
      </c>
      <c r="J213" s="2" t="s">
        <v>464</v>
      </c>
      <c r="L213" s="2" t="s">
        <v>112</v>
      </c>
      <c r="P213" s="2" t="s">
        <v>114</v>
      </c>
      <c r="Q213" s="2" t="s">
        <v>465</v>
      </c>
      <c r="R213" s="2" t="s">
        <v>466</v>
      </c>
      <c r="S213" s="2">
        <v>-1</v>
      </c>
      <c r="T213" s="2">
        <v>-163.63</v>
      </c>
      <c r="U213" s="2">
        <v>-37.634900000000002</v>
      </c>
      <c r="V213" s="2">
        <v>-201.26490000000001</v>
      </c>
      <c r="Z213" s="2" t="s">
        <v>117</v>
      </c>
      <c r="AA213" s="2" t="s">
        <v>118</v>
      </c>
      <c r="AB213" s="2" t="s">
        <v>119</v>
      </c>
      <c r="AC213" s="2" t="s">
        <v>114</v>
      </c>
      <c r="AF213" s="2">
        <f t="shared" si="28"/>
        <v>0</v>
      </c>
      <c r="AJ213" s="2">
        <f t="shared" si="29"/>
        <v>0</v>
      </c>
      <c r="AK213" s="2">
        <f t="shared" si="26"/>
        <v>-163.63</v>
      </c>
      <c r="AL213" s="5">
        <f t="shared" si="27"/>
        <v>1</v>
      </c>
    </row>
    <row r="214" spans="1:38" x14ac:dyDescent="0.2">
      <c r="A214" s="2">
        <v>2025</v>
      </c>
      <c r="B214" s="2">
        <v>1</v>
      </c>
      <c r="D214" s="2" t="s">
        <v>462</v>
      </c>
      <c r="E214" s="2" t="s">
        <v>108</v>
      </c>
      <c r="F214" s="2" t="s">
        <v>39</v>
      </c>
      <c r="G214" s="2">
        <v>506531031</v>
      </c>
      <c r="H214" s="2" t="s">
        <v>109</v>
      </c>
      <c r="I214" s="2" t="s">
        <v>463</v>
      </c>
      <c r="J214" s="2" t="s">
        <v>464</v>
      </c>
      <c r="L214" s="2" t="s">
        <v>112</v>
      </c>
      <c r="P214" s="2" t="s">
        <v>114</v>
      </c>
      <c r="Q214" s="2" t="s">
        <v>467</v>
      </c>
      <c r="R214" s="2" t="s">
        <v>468</v>
      </c>
      <c r="S214" s="2">
        <v>-1</v>
      </c>
      <c r="T214" s="2">
        <v>-486.33</v>
      </c>
      <c r="U214" s="2">
        <v>-111.85590000000001</v>
      </c>
      <c r="V214" s="2">
        <v>-598.18589999999995</v>
      </c>
      <c r="Z214" s="2" t="s">
        <v>117</v>
      </c>
      <c r="AA214" s="2" t="s">
        <v>118</v>
      </c>
      <c r="AB214" s="2" t="s">
        <v>119</v>
      </c>
      <c r="AC214" s="2" t="s">
        <v>114</v>
      </c>
      <c r="AF214" s="2">
        <f t="shared" si="28"/>
        <v>0</v>
      </c>
      <c r="AJ214" s="2">
        <f t="shared" si="29"/>
        <v>0</v>
      </c>
      <c r="AK214" s="2">
        <f t="shared" si="26"/>
        <v>-486.33</v>
      </c>
      <c r="AL214" s="5">
        <f t="shared" si="27"/>
        <v>1</v>
      </c>
    </row>
    <row r="215" spans="1:38" x14ac:dyDescent="0.2">
      <c r="A215" s="2">
        <v>2025</v>
      </c>
      <c r="B215" s="2">
        <v>1</v>
      </c>
      <c r="C215" s="2" t="s">
        <v>3307</v>
      </c>
      <c r="D215" s="2" t="s">
        <v>469</v>
      </c>
      <c r="E215" s="2" t="s">
        <v>38</v>
      </c>
      <c r="F215" s="2" t="s">
        <v>470</v>
      </c>
      <c r="G215" s="2">
        <v>513626930</v>
      </c>
      <c r="H215" s="2" t="s">
        <v>40</v>
      </c>
      <c r="I215" s="2" t="s">
        <v>339</v>
      </c>
      <c r="J215" s="2" t="s">
        <v>471</v>
      </c>
      <c r="L215" s="2" t="s">
        <v>339</v>
      </c>
      <c r="M215" s="2" t="s">
        <v>40</v>
      </c>
      <c r="O215" s="2" t="s">
        <v>472</v>
      </c>
      <c r="P215" s="2" t="s">
        <v>40</v>
      </c>
      <c r="Q215" s="2" t="s">
        <v>473</v>
      </c>
      <c r="R215" s="2" t="s">
        <v>474</v>
      </c>
      <c r="S215" s="2">
        <v>1</v>
      </c>
      <c r="T215" s="2">
        <v>6000</v>
      </c>
      <c r="U215" s="2">
        <v>1380</v>
      </c>
      <c r="V215" s="2">
        <v>7380</v>
      </c>
      <c r="W215" s="2">
        <f>T215*75%</f>
        <v>4500</v>
      </c>
      <c r="X215" s="5">
        <f t="shared" ref="X215:X243" si="30">(T215-W215)/T215</f>
        <v>0.25</v>
      </c>
      <c r="Z215" s="2" t="s">
        <v>104</v>
      </c>
      <c r="AA215" s="2" t="s">
        <v>414</v>
      </c>
      <c r="AB215" s="2" t="s">
        <v>475</v>
      </c>
      <c r="AC215" s="2" t="s">
        <v>114</v>
      </c>
      <c r="AF215" s="2">
        <f t="shared" si="28"/>
        <v>0</v>
      </c>
      <c r="AJ215" s="2">
        <f t="shared" si="29"/>
        <v>0</v>
      </c>
      <c r="AK215" s="2">
        <f t="shared" si="26"/>
        <v>1500</v>
      </c>
      <c r="AL215" s="5">
        <f t="shared" si="27"/>
        <v>0.25</v>
      </c>
    </row>
    <row r="216" spans="1:38" x14ac:dyDescent="0.2">
      <c r="A216" s="2">
        <v>2025</v>
      </c>
      <c r="B216" s="2">
        <v>1</v>
      </c>
      <c r="D216" s="2" t="s">
        <v>476</v>
      </c>
      <c r="E216" s="2" t="s">
        <v>108</v>
      </c>
      <c r="F216" s="2" t="s">
        <v>477</v>
      </c>
      <c r="G216" s="2">
        <v>500864365</v>
      </c>
      <c r="H216" s="2" t="s">
        <v>41</v>
      </c>
      <c r="I216" s="2" t="s">
        <v>478</v>
      </c>
      <c r="J216" s="2" t="s">
        <v>479</v>
      </c>
      <c r="L216" s="2" t="s">
        <v>480</v>
      </c>
      <c r="M216" s="2" t="s">
        <v>41</v>
      </c>
      <c r="O216" s="2" t="s">
        <v>481</v>
      </c>
      <c r="P216" s="2" t="s">
        <v>72</v>
      </c>
      <c r="Q216" s="2" t="s">
        <v>482</v>
      </c>
      <c r="R216" s="2" t="s">
        <v>483</v>
      </c>
      <c r="S216" s="2">
        <v>1</v>
      </c>
      <c r="T216" s="2">
        <v>172.04</v>
      </c>
      <c r="U216" s="2">
        <v>39.569200000000002</v>
      </c>
      <c r="V216" s="2">
        <v>211.60919999999999</v>
      </c>
      <c r="W216" s="2">
        <v>102.17</v>
      </c>
      <c r="X216" s="5">
        <f t="shared" si="30"/>
        <v>0.40612648221343872</v>
      </c>
      <c r="Z216" s="2" t="s">
        <v>3227</v>
      </c>
      <c r="AA216" s="2" t="s">
        <v>75</v>
      </c>
      <c r="AB216" s="2" t="s">
        <v>76</v>
      </c>
      <c r="AC216" s="2" t="s">
        <v>77</v>
      </c>
      <c r="AF216" s="2">
        <f t="shared" si="28"/>
        <v>0</v>
      </c>
      <c r="AG216" s="2">
        <v>102.17</v>
      </c>
      <c r="AH216" s="2">
        <v>190</v>
      </c>
      <c r="AJ216" s="2">
        <f t="shared" si="29"/>
        <v>0</v>
      </c>
      <c r="AK216" s="2">
        <f t="shared" si="26"/>
        <v>69.86999999999999</v>
      </c>
      <c r="AL216" s="5">
        <f t="shared" si="27"/>
        <v>0.40612648221343872</v>
      </c>
    </row>
    <row r="217" spans="1:38" x14ac:dyDescent="0.2">
      <c r="A217" s="2">
        <v>2025</v>
      </c>
      <c r="B217" s="2">
        <v>1</v>
      </c>
      <c r="D217" s="2" t="s">
        <v>476</v>
      </c>
      <c r="E217" s="2" t="s">
        <v>108</v>
      </c>
      <c r="F217" s="2" t="s">
        <v>477</v>
      </c>
      <c r="G217" s="2">
        <v>500864365</v>
      </c>
      <c r="H217" s="2" t="s">
        <v>41</v>
      </c>
      <c r="I217" s="2" t="s">
        <v>478</v>
      </c>
      <c r="J217" s="2" t="s">
        <v>479</v>
      </c>
      <c r="L217" s="2" t="s">
        <v>480</v>
      </c>
      <c r="M217" s="2" t="s">
        <v>41</v>
      </c>
      <c r="P217" s="2" t="s">
        <v>72</v>
      </c>
      <c r="Q217" s="2" t="s">
        <v>484</v>
      </c>
      <c r="R217" s="2" t="s">
        <v>74</v>
      </c>
      <c r="S217" s="2">
        <v>1</v>
      </c>
      <c r="T217" s="2">
        <v>193.2</v>
      </c>
      <c r="U217" s="2">
        <v>44.436</v>
      </c>
      <c r="V217" s="2">
        <v>237.636</v>
      </c>
      <c r="W217" s="2">
        <v>131.93</v>
      </c>
      <c r="X217" s="5">
        <f t="shared" si="30"/>
        <v>0.31713250517598335</v>
      </c>
      <c r="Z217" s="2" t="s">
        <v>3227</v>
      </c>
      <c r="AA217" s="2" t="s">
        <v>75</v>
      </c>
      <c r="AB217" s="2" t="s">
        <v>76</v>
      </c>
      <c r="AC217" s="2" t="s">
        <v>77</v>
      </c>
      <c r="AF217" s="2">
        <f t="shared" si="28"/>
        <v>0</v>
      </c>
      <c r="AG217" s="2">
        <v>131.93</v>
      </c>
      <c r="AH217" s="2">
        <v>220</v>
      </c>
      <c r="AJ217" s="2">
        <f t="shared" si="29"/>
        <v>0</v>
      </c>
      <c r="AK217" s="2">
        <f t="shared" si="26"/>
        <v>61.269999999999982</v>
      </c>
      <c r="AL217" s="5">
        <f t="shared" si="27"/>
        <v>0.31713250517598335</v>
      </c>
    </row>
    <row r="218" spans="1:38" x14ac:dyDescent="0.2">
      <c r="A218" s="2">
        <v>2025</v>
      </c>
      <c r="B218" s="2">
        <v>1</v>
      </c>
      <c r="D218" s="2" t="s">
        <v>476</v>
      </c>
      <c r="E218" s="2" t="s">
        <v>108</v>
      </c>
      <c r="F218" s="2" t="s">
        <v>477</v>
      </c>
      <c r="G218" s="2">
        <v>500864365</v>
      </c>
      <c r="H218" s="2" t="s">
        <v>41</v>
      </c>
      <c r="I218" s="2" t="s">
        <v>478</v>
      </c>
      <c r="J218" s="2" t="s">
        <v>479</v>
      </c>
      <c r="L218" s="2" t="s">
        <v>480</v>
      </c>
      <c r="M218" s="2" t="s">
        <v>41</v>
      </c>
      <c r="P218" s="2" t="s">
        <v>72</v>
      </c>
      <c r="Q218" s="2" t="s">
        <v>202</v>
      </c>
      <c r="R218" s="2" t="s">
        <v>197</v>
      </c>
      <c r="S218" s="8">
        <v>1</v>
      </c>
      <c r="T218" s="2">
        <v>260</v>
      </c>
      <c r="U218" s="2">
        <v>59.8</v>
      </c>
      <c r="V218" s="2">
        <v>319.8</v>
      </c>
      <c r="W218" s="2">
        <v>152.85</v>
      </c>
      <c r="X218" s="5">
        <f t="shared" si="30"/>
        <v>0.41211538461538466</v>
      </c>
      <c r="Z218" s="2" t="s">
        <v>3227</v>
      </c>
      <c r="AA218" s="2" t="s">
        <v>75</v>
      </c>
      <c r="AB218" s="2" t="s">
        <v>76</v>
      </c>
      <c r="AC218" s="2" t="s">
        <v>77</v>
      </c>
      <c r="AF218" s="2">
        <f t="shared" si="28"/>
        <v>0</v>
      </c>
      <c r="AG218" s="2">
        <v>152.85</v>
      </c>
      <c r="AH218" s="2">
        <v>260</v>
      </c>
      <c r="AJ218" s="2">
        <f t="shared" si="29"/>
        <v>0</v>
      </c>
      <c r="AK218" s="2">
        <f t="shared" si="26"/>
        <v>107.15</v>
      </c>
      <c r="AL218" s="5">
        <f t="shared" si="27"/>
        <v>0.41211538461538466</v>
      </c>
    </row>
    <row r="219" spans="1:38" x14ac:dyDescent="0.2">
      <c r="A219" s="2">
        <v>2025</v>
      </c>
      <c r="B219" s="2">
        <v>1</v>
      </c>
      <c r="D219" s="2" t="s">
        <v>476</v>
      </c>
      <c r="E219" s="2" t="s">
        <v>108</v>
      </c>
      <c r="F219" s="2" t="s">
        <v>477</v>
      </c>
      <c r="G219" s="2">
        <v>500864365</v>
      </c>
      <c r="H219" s="2" t="s">
        <v>41</v>
      </c>
      <c r="I219" s="2" t="s">
        <v>478</v>
      </c>
      <c r="J219" s="2" t="s">
        <v>479</v>
      </c>
      <c r="L219" s="2" t="s">
        <v>480</v>
      </c>
      <c r="M219" s="2" t="s">
        <v>41</v>
      </c>
      <c r="P219" s="2" t="s">
        <v>93</v>
      </c>
      <c r="Q219" s="2" t="s">
        <v>94</v>
      </c>
      <c r="R219" s="2" t="s">
        <v>95</v>
      </c>
      <c r="S219" s="2">
        <v>3</v>
      </c>
      <c r="T219" s="2">
        <v>3.42</v>
      </c>
      <c r="U219" s="2">
        <v>0.78659999999999997</v>
      </c>
      <c r="V219" s="2">
        <v>4.2065999999999999</v>
      </c>
      <c r="W219" s="2">
        <v>3.42</v>
      </c>
      <c r="X219" s="5">
        <f t="shared" si="30"/>
        <v>0</v>
      </c>
      <c r="Z219" s="2" t="s">
        <v>3227</v>
      </c>
      <c r="AA219" s="2" t="s">
        <v>96</v>
      </c>
      <c r="AB219" s="2" t="s">
        <v>76</v>
      </c>
      <c r="AC219" s="2" t="s">
        <v>93</v>
      </c>
      <c r="AF219" s="2">
        <f t="shared" si="28"/>
        <v>0</v>
      </c>
      <c r="AJ219" s="2">
        <f t="shared" si="29"/>
        <v>0</v>
      </c>
      <c r="AK219" s="2">
        <f t="shared" si="26"/>
        <v>0</v>
      </c>
      <c r="AL219" s="5">
        <f t="shared" si="27"/>
        <v>0</v>
      </c>
    </row>
    <row r="220" spans="1:38" x14ac:dyDescent="0.2">
      <c r="A220" s="2">
        <v>2025</v>
      </c>
      <c r="B220" s="2">
        <v>1</v>
      </c>
      <c r="D220" s="2" t="s">
        <v>485</v>
      </c>
      <c r="E220" s="2" t="s">
        <v>108</v>
      </c>
      <c r="F220" s="2" t="s">
        <v>39</v>
      </c>
      <c r="G220" s="2">
        <v>506834689</v>
      </c>
      <c r="H220" s="2" t="s">
        <v>41</v>
      </c>
      <c r="I220" s="2" t="s">
        <v>486</v>
      </c>
      <c r="J220" s="2" t="s">
        <v>487</v>
      </c>
      <c r="K220" s="2">
        <v>919866237</v>
      </c>
      <c r="L220" s="2" t="s">
        <v>461</v>
      </c>
      <c r="M220" s="2" t="s">
        <v>41</v>
      </c>
      <c r="P220" s="2" t="s">
        <v>43</v>
      </c>
      <c r="Q220" s="2" t="s">
        <v>65</v>
      </c>
      <c r="R220" s="2" t="s">
        <v>66</v>
      </c>
      <c r="S220" s="2">
        <v>3</v>
      </c>
      <c r="T220" s="2">
        <v>63</v>
      </c>
      <c r="U220" s="2">
        <v>14.49</v>
      </c>
      <c r="V220" s="2">
        <v>77.489999999999995</v>
      </c>
      <c r="W220" s="2">
        <f>15.0203*S220</f>
        <v>45.060900000000004</v>
      </c>
      <c r="X220" s="5">
        <f t="shared" si="30"/>
        <v>0.28474761904761897</v>
      </c>
      <c r="Z220" s="2" t="s">
        <v>3227</v>
      </c>
      <c r="AA220" s="2" t="s">
        <v>46</v>
      </c>
      <c r="AB220" s="2" t="s">
        <v>67</v>
      </c>
      <c r="AC220" s="2" t="s">
        <v>57</v>
      </c>
      <c r="AF220" s="2">
        <f t="shared" si="28"/>
        <v>0</v>
      </c>
      <c r="AG220" s="2">
        <v>15.020300000000001</v>
      </c>
      <c r="AH220" s="2">
        <v>27.6</v>
      </c>
      <c r="AJ220" s="2">
        <f t="shared" si="29"/>
        <v>0</v>
      </c>
      <c r="AK220" s="2">
        <f t="shared" si="26"/>
        <v>17.939099999999996</v>
      </c>
      <c r="AL220" s="5">
        <f t="shared" si="27"/>
        <v>0.28474761904761897</v>
      </c>
    </row>
    <row r="221" spans="1:38" x14ac:dyDescent="0.2">
      <c r="A221" s="2">
        <v>2025</v>
      </c>
      <c r="B221" s="2">
        <v>1</v>
      </c>
      <c r="D221" s="2" t="s">
        <v>488</v>
      </c>
      <c r="E221" s="2" t="s">
        <v>38</v>
      </c>
      <c r="F221" s="2" t="s">
        <v>39</v>
      </c>
      <c r="G221" s="2">
        <v>507380312</v>
      </c>
      <c r="H221" s="2" t="s">
        <v>40</v>
      </c>
      <c r="I221" s="2" t="s">
        <v>489</v>
      </c>
      <c r="J221" s="2" t="s">
        <v>490</v>
      </c>
      <c r="K221" s="2">
        <v>912293443</v>
      </c>
      <c r="L221" s="2" t="s">
        <v>99</v>
      </c>
      <c r="M221" s="2" t="s">
        <v>40</v>
      </c>
      <c r="P221" s="2" t="s">
        <v>40</v>
      </c>
      <c r="Q221" s="2" t="s">
        <v>491</v>
      </c>
      <c r="R221" s="2" t="s">
        <v>492</v>
      </c>
      <c r="S221" s="2">
        <v>1</v>
      </c>
      <c r="T221" s="2">
        <v>650</v>
      </c>
      <c r="U221" s="2">
        <v>149.5</v>
      </c>
      <c r="V221" s="2">
        <v>799.5</v>
      </c>
      <c r="X221" s="5">
        <f t="shared" si="30"/>
        <v>1</v>
      </c>
      <c r="Z221" s="2" t="s">
        <v>119</v>
      </c>
      <c r="AA221" s="2" t="s">
        <v>492</v>
      </c>
      <c r="AF221" s="2">
        <f t="shared" si="28"/>
        <v>0</v>
      </c>
      <c r="AJ221" s="2">
        <f t="shared" si="29"/>
        <v>0</v>
      </c>
      <c r="AK221" s="2">
        <f t="shared" ref="AK221:AK252" si="31">T221-W221</f>
        <v>650</v>
      </c>
      <c r="AL221" s="5">
        <f t="shared" ref="AL221:AL243" si="32">(T221-W221)/T221</f>
        <v>1</v>
      </c>
    </row>
    <row r="222" spans="1:38" x14ac:dyDescent="0.2">
      <c r="A222" s="2">
        <v>2025</v>
      </c>
      <c r="B222" s="2">
        <v>1</v>
      </c>
      <c r="D222" s="2" t="s">
        <v>493</v>
      </c>
      <c r="E222" s="2" t="s">
        <v>108</v>
      </c>
      <c r="F222" s="2" t="s">
        <v>39</v>
      </c>
      <c r="G222" s="2">
        <v>501921133</v>
      </c>
      <c r="H222" s="2" t="s">
        <v>41</v>
      </c>
      <c r="I222" s="2" t="s">
        <v>177</v>
      </c>
      <c r="J222" s="2" t="s">
        <v>3133</v>
      </c>
      <c r="L222" s="2" t="s">
        <v>177</v>
      </c>
      <c r="M222" s="2" t="s">
        <v>41</v>
      </c>
      <c r="O222" s="2" t="s">
        <v>3132</v>
      </c>
      <c r="P222" s="2" t="s">
        <v>282</v>
      </c>
      <c r="Q222" s="2" t="s">
        <v>494</v>
      </c>
      <c r="R222" s="2" t="s">
        <v>495</v>
      </c>
      <c r="S222" s="2">
        <v>1</v>
      </c>
      <c r="T222" s="2">
        <v>219</v>
      </c>
      <c r="U222" s="2">
        <v>50.37</v>
      </c>
      <c r="V222" s="2">
        <v>269.37</v>
      </c>
      <c r="W222" s="2">
        <v>164.25</v>
      </c>
      <c r="X222" s="5">
        <f t="shared" si="30"/>
        <v>0.25</v>
      </c>
      <c r="Z222" s="2" t="s">
        <v>3227</v>
      </c>
      <c r="AA222" s="2" t="s">
        <v>71</v>
      </c>
      <c r="AB222" s="2" t="s">
        <v>119</v>
      </c>
      <c r="AC222" s="2" t="s">
        <v>119</v>
      </c>
      <c r="AF222" s="2">
        <f t="shared" si="28"/>
        <v>0</v>
      </c>
      <c r="AJ222" s="2">
        <f t="shared" si="29"/>
        <v>0</v>
      </c>
      <c r="AK222" s="2">
        <f t="shared" si="31"/>
        <v>54.75</v>
      </c>
      <c r="AL222" s="5">
        <f t="shared" si="32"/>
        <v>0.25</v>
      </c>
    </row>
    <row r="223" spans="1:38" x14ac:dyDescent="0.2">
      <c r="A223" s="2">
        <v>2025</v>
      </c>
      <c r="B223" s="2">
        <v>1</v>
      </c>
      <c r="D223" s="2" t="s">
        <v>493</v>
      </c>
      <c r="E223" s="2" t="s">
        <v>108</v>
      </c>
      <c r="F223" s="2" t="s">
        <v>39</v>
      </c>
      <c r="G223" s="2">
        <v>501921133</v>
      </c>
      <c r="H223" s="2" t="s">
        <v>41</v>
      </c>
      <c r="I223" s="2" t="s">
        <v>177</v>
      </c>
      <c r="J223" s="2" t="s">
        <v>3133</v>
      </c>
      <c r="L223" s="2" t="s">
        <v>177</v>
      </c>
      <c r="M223" s="2" t="s">
        <v>41</v>
      </c>
      <c r="O223" s="2" t="s">
        <v>3132</v>
      </c>
      <c r="P223" s="2" t="s">
        <v>282</v>
      </c>
      <c r="Q223" s="2" t="s">
        <v>496</v>
      </c>
      <c r="R223" s="2" t="s">
        <v>497</v>
      </c>
      <c r="S223" s="2">
        <v>1</v>
      </c>
      <c r="T223" s="2">
        <v>80.099999999999994</v>
      </c>
      <c r="U223" s="2">
        <v>18.422999999999998</v>
      </c>
      <c r="V223" s="2">
        <v>98.522999999999996</v>
      </c>
      <c r="W223" s="2">
        <v>62.3</v>
      </c>
      <c r="X223" s="5">
        <f t="shared" si="30"/>
        <v>0.22222222222222221</v>
      </c>
      <c r="Z223" s="2" t="s">
        <v>3227</v>
      </c>
      <c r="AA223" s="2" t="s">
        <v>71</v>
      </c>
      <c r="AB223" s="2" t="s">
        <v>119</v>
      </c>
      <c r="AC223" s="2" t="s">
        <v>119</v>
      </c>
      <c r="AF223" s="2">
        <f t="shared" si="28"/>
        <v>0</v>
      </c>
      <c r="AJ223" s="2">
        <f t="shared" si="29"/>
        <v>0</v>
      </c>
      <c r="AK223" s="2">
        <f t="shared" si="31"/>
        <v>17.799999999999997</v>
      </c>
      <c r="AL223" s="5">
        <f t="shared" si="32"/>
        <v>0.22222222222222221</v>
      </c>
    </row>
    <row r="224" spans="1:38" x14ac:dyDescent="0.2">
      <c r="A224" s="2">
        <v>2025</v>
      </c>
      <c r="B224" s="2">
        <v>1</v>
      </c>
      <c r="D224" s="2" t="s">
        <v>493</v>
      </c>
      <c r="E224" s="2" t="s">
        <v>108</v>
      </c>
      <c r="F224" s="2" t="s">
        <v>39</v>
      </c>
      <c r="G224" s="2">
        <v>501921133</v>
      </c>
      <c r="H224" s="2" t="s">
        <v>41</v>
      </c>
      <c r="I224" s="2" t="s">
        <v>177</v>
      </c>
      <c r="J224" s="2" t="s">
        <v>3133</v>
      </c>
      <c r="L224" s="2" t="s">
        <v>177</v>
      </c>
      <c r="M224" s="2" t="s">
        <v>41</v>
      </c>
      <c r="O224" s="2" t="s">
        <v>3132</v>
      </c>
      <c r="P224" s="2" t="s">
        <v>282</v>
      </c>
      <c r="Q224" s="2" t="s">
        <v>498</v>
      </c>
      <c r="R224" s="2" t="s">
        <v>499</v>
      </c>
      <c r="S224" s="2">
        <v>1</v>
      </c>
      <c r="T224" s="2">
        <v>64.900000000000006</v>
      </c>
      <c r="U224" s="2">
        <v>14.927</v>
      </c>
      <c r="V224" s="2">
        <v>79.827000000000012</v>
      </c>
      <c r="W224" s="2">
        <v>45.43</v>
      </c>
      <c r="X224" s="5">
        <f t="shared" si="30"/>
        <v>0.30000000000000004</v>
      </c>
      <c r="Z224" s="2" t="s">
        <v>3227</v>
      </c>
      <c r="AA224" s="2" t="s">
        <v>71</v>
      </c>
      <c r="AB224" s="2" t="s">
        <v>119</v>
      </c>
      <c r="AC224" s="2" t="s">
        <v>119</v>
      </c>
      <c r="AF224" s="2">
        <f t="shared" si="28"/>
        <v>0</v>
      </c>
      <c r="AJ224" s="2">
        <f t="shared" si="29"/>
        <v>0</v>
      </c>
      <c r="AK224" s="2">
        <f t="shared" si="31"/>
        <v>19.470000000000006</v>
      </c>
      <c r="AL224" s="5">
        <f t="shared" si="32"/>
        <v>0.30000000000000004</v>
      </c>
    </row>
    <row r="225" spans="1:38" x14ac:dyDescent="0.2">
      <c r="A225" s="2">
        <v>2025</v>
      </c>
      <c r="B225" s="2">
        <v>1</v>
      </c>
      <c r="D225" s="2" t="s">
        <v>500</v>
      </c>
      <c r="E225" s="2" t="s">
        <v>38</v>
      </c>
      <c r="F225" s="2" t="s">
        <v>39</v>
      </c>
      <c r="G225" s="2">
        <v>513244468</v>
      </c>
      <c r="H225" s="2" t="s">
        <v>41</v>
      </c>
      <c r="I225" s="2" t="s">
        <v>501</v>
      </c>
      <c r="J225" s="2" t="s">
        <v>502</v>
      </c>
      <c r="K225" s="2">
        <v>918010109</v>
      </c>
      <c r="L225" s="2" t="s">
        <v>99</v>
      </c>
      <c r="M225" s="2" t="s">
        <v>41</v>
      </c>
      <c r="P225" s="2" t="s">
        <v>43</v>
      </c>
      <c r="Q225" s="2" t="s">
        <v>48</v>
      </c>
      <c r="R225" s="2" t="s">
        <v>49</v>
      </c>
      <c r="S225" s="2">
        <v>3</v>
      </c>
      <c r="T225" s="2">
        <v>36</v>
      </c>
      <c r="U225" s="2">
        <v>8.2800000000000011</v>
      </c>
      <c r="V225" s="2">
        <v>44.28</v>
      </c>
      <c r="W225" s="2">
        <f>6.6267*S225</f>
        <v>19.880099999999999</v>
      </c>
      <c r="X225" s="5">
        <f t="shared" si="30"/>
        <v>0.44777500000000003</v>
      </c>
      <c r="Z225" s="2" t="s">
        <v>3227</v>
      </c>
      <c r="AA225" s="2" t="s">
        <v>46</v>
      </c>
      <c r="AB225" s="2" t="s">
        <v>47</v>
      </c>
      <c r="AC225" s="2" t="s">
        <v>57</v>
      </c>
      <c r="AF225" s="2">
        <f t="shared" si="28"/>
        <v>0</v>
      </c>
      <c r="AG225" s="2">
        <v>6.6266999999999996</v>
      </c>
      <c r="AH225" s="2">
        <v>12</v>
      </c>
      <c r="AJ225" s="2">
        <f t="shared" si="29"/>
        <v>0</v>
      </c>
      <c r="AK225" s="2">
        <f t="shared" si="31"/>
        <v>16.119900000000001</v>
      </c>
      <c r="AL225" s="5">
        <f t="shared" si="32"/>
        <v>0.44777500000000003</v>
      </c>
    </row>
    <row r="226" spans="1:38" x14ac:dyDescent="0.2">
      <c r="A226" s="2">
        <v>2025</v>
      </c>
      <c r="B226" s="2">
        <v>1</v>
      </c>
      <c r="D226" s="2" t="s">
        <v>500</v>
      </c>
      <c r="E226" s="2" t="s">
        <v>38</v>
      </c>
      <c r="F226" s="2" t="s">
        <v>39</v>
      </c>
      <c r="G226" s="2">
        <v>513244468</v>
      </c>
      <c r="H226" s="2" t="s">
        <v>41</v>
      </c>
      <c r="I226" s="2" t="s">
        <v>501</v>
      </c>
      <c r="J226" s="2" t="s">
        <v>502</v>
      </c>
      <c r="K226" s="2">
        <v>918010109</v>
      </c>
      <c r="L226" s="2" t="s">
        <v>99</v>
      </c>
      <c r="M226" s="2" t="s">
        <v>41</v>
      </c>
      <c r="P226" s="2" t="s">
        <v>43</v>
      </c>
      <c r="Q226" s="2" t="s">
        <v>503</v>
      </c>
      <c r="R226" s="2" t="s">
        <v>504</v>
      </c>
      <c r="S226" s="2">
        <v>20</v>
      </c>
      <c r="T226" s="2">
        <v>18</v>
      </c>
      <c r="U226" s="2">
        <v>4.1400000000000006</v>
      </c>
      <c r="V226" s="2">
        <v>22.14</v>
      </c>
      <c r="W226" s="2">
        <f>0.4795*S226</f>
        <v>9.59</v>
      </c>
      <c r="X226" s="5">
        <f t="shared" si="30"/>
        <v>0.46722222222222221</v>
      </c>
      <c r="Z226" s="2" t="s">
        <v>3227</v>
      </c>
      <c r="AA226" s="2" t="s">
        <v>46</v>
      </c>
      <c r="AB226" s="2" t="s">
        <v>60</v>
      </c>
      <c r="AC226" s="2" t="s">
        <v>57</v>
      </c>
      <c r="AF226" s="2">
        <f t="shared" si="28"/>
        <v>0</v>
      </c>
      <c r="AJ226" s="2">
        <f t="shared" si="29"/>
        <v>0</v>
      </c>
      <c r="AK226" s="2">
        <f t="shared" si="31"/>
        <v>8.41</v>
      </c>
      <c r="AL226" s="5">
        <f t="shared" si="32"/>
        <v>0.46722222222222221</v>
      </c>
    </row>
    <row r="227" spans="1:38" x14ac:dyDescent="0.2">
      <c r="A227" s="2">
        <v>2025</v>
      </c>
      <c r="B227" s="2">
        <v>1</v>
      </c>
      <c r="D227" s="2" t="s">
        <v>500</v>
      </c>
      <c r="E227" s="2" t="s">
        <v>38</v>
      </c>
      <c r="F227" s="2" t="s">
        <v>39</v>
      </c>
      <c r="G227" s="2">
        <v>513244468</v>
      </c>
      <c r="H227" s="2" t="s">
        <v>41</v>
      </c>
      <c r="I227" s="2" t="s">
        <v>501</v>
      </c>
      <c r="J227" s="2" t="s">
        <v>502</v>
      </c>
      <c r="K227" s="2">
        <v>918010109</v>
      </c>
      <c r="L227" s="2" t="s">
        <v>99</v>
      </c>
      <c r="M227" s="2" t="s">
        <v>41</v>
      </c>
      <c r="P227" s="2" t="s">
        <v>43</v>
      </c>
      <c r="Q227" s="2" t="s">
        <v>505</v>
      </c>
      <c r="R227" s="2" t="s">
        <v>506</v>
      </c>
      <c r="S227" s="2">
        <v>20</v>
      </c>
      <c r="T227" s="2">
        <v>24</v>
      </c>
      <c r="U227" s="2">
        <v>5.52</v>
      </c>
      <c r="V227" s="2">
        <v>29.52</v>
      </c>
      <c r="W227" s="2">
        <f>0.677*S227</f>
        <v>13.540000000000001</v>
      </c>
      <c r="X227" s="5">
        <f t="shared" si="30"/>
        <v>0.43583333333333329</v>
      </c>
      <c r="Z227" s="2" t="s">
        <v>3227</v>
      </c>
      <c r="AA227" s="2" t="s">
        <v>46</v>
      </c>
      <c r="AB227" s="2" t="s">
        <v>60</v>
      </c>
      <c r="AC227" s="2" t="s">
        <v>57</v>
      </c>
      <c r="AF227" s="2">
        <f t="shared" si="28"/>
        <v>0</v>
      </c>
      <c r="AJ227" s="2">
        <f t="shared" si="29"/>
        <v>0</v>
      </c>
      <c r="AK227" s="2">
        <f t="shared" si="31"/>
        <v>10.459999999999999</v>
      </c>
      <c r="AL227" s="5">
        <f t="shared" si="32"/>
        <v>0.43583333333333329</v>
      </c>
    </row>
    <row r="228" spans="1:38" x14ac:dyDescent="0.2">
      <c r="A228" s="2">
        <v>2025</v>
      </c>
      <c r="B228" s="2">
        <v>1</v>
      </c>
      <c r="D228" s="2" t="s">
        <v>500</v>
      </c>
      <c r="E228" s="2" t="s">
        <v>38</v>
      </c>
      <c r="F228" s="2" t="s">
        <v>39</v>
      </c>
      <c r="G228" s="2">
        <v>513244468</v>
      </c>
      <c r="H228" s="2" t="s">
        <v>41</v>
      </c>
      <c r="I228" s="2" t="s">
        <v>501</v>
      </c>
      <c r="J228" s="2" t="s">
        <v>502</v>
      </c>
      <c r="K228" s="2">
        <v>918010109</v>
      </c>
      <c r="L228" s="2" t="s">
        <v>99</v>
      </c>
      <c r="M228" s="2" t="s">
        <v>41</v>
      </c>
      <c r="P228" s="2" t="s">
        <v>43</v>
      </c>
      <c r="Q228" s="2" t="s">
        <v>65</v>
      </c>
      <c r="R228" s="2" t="s">
        <v>66</v>
      </c>
      <c r="S228" s="2">
        <v>1</v>
      </c>
      <c r="T228" s="2">
        <v>21</v>
      </c>
      <c r="U228" s="2">
        <v>4.83</v>
      </c>
      <c r="V228" s="2">
        <v>25.83</v>
      </c>
      <c r="W228" s="2">
        <f>15.0203*S228</f>
        <v>15.020300000000001</v>
      </c>
      <c r="X228" s="5">
        <f t="shared" si="30"/>
        <v>0.28474761904761903</v>
      </c>
      <c r="Z228" s="2" t="s">
        <v>3227</v>
      </c>
      <c r="AA228" s="2" t="s">
        <v>46</v>
      </c>
      <c r="AB228" s="2" t="s">
        <v>67</v>
      </c>
      <c r="AC228" s="2" t="s">
        <v>57</v>
      </c>
      <c r="AF228" s="2">
        <f t="shared" si="28"/>
        <v>0</v>
      </c>
      <c r="AG228" s="2">
        <v>15.020300000000001</v>
      </c>
      <c r="AH228" s="2">
        <v>27.6</v>
      </c>
      <c r="AJ228" s="2">
        <f t="shared" si="29"/>
        <v>0</v>
      </c>
      <c r="AK228" s="2">
        <f t="shared" si="31"/>
        <v>5.9796999999999993</v>
      </c>
      <c r="AL228" s="5">
        <f t="shared" si="32"/>
        <v>0.28474761904761903</v>
      </c>
    </row>
    <row r="229" spans="1:38" x14ac:dyDescent="0.2">
      <c r="A229" s="2">
        <v>2025</v>
      </c>
      <c r="B229" s="2">
        <v>1</v>
      </c>
      <c r="D229" s="2" t="s">
        <v>507</v>
      </c>
      <c r="E229" s="2" t="s">
        <v>38</v>
      </c>
      <c r="F229" s="2" t="s">
        <v>39</v>
      </c>
      <c r="G229" s="2">
        <v>514446170</v>
      </c>
      <c r="H229" s="2" t="s">
        <v>41</v>
      </c>
      <c r="I229" s="2" t="s">
        <v>177</v>
      </c>
      <c r="J229" s="2" t="s">
        <v>3134</v>
      </c>
      <c r="L229" s="2" t="s">
        <v>177</v>
      </c>
      <c r="M229" s="2" t="s">
        <v>41</v>
      </c>
      <c r="O229" s="2" t="s">
        <v>3135</v>
      </c>
      <c r="P229" s="2" t="s">
        <v>43</v>
      </c>
      <c r="Q229" s="2" t="s">
        <v>61</v>
      </c>
      <c r="R229" s="2" t="s">
        <v>62</v>
      </c>
      <c r="S229" s="2">
        <v>1000</v>
      </c>
      <c r="T229" s="2">
        <v>105</v>
      </c>
      <c r="U229" s="2">
        <v>24.15</v>
      </c>
      <c r="V229" s="2">
        <v>129.15</v>
      </c>
      <c r="W229" s="2">
        <f>0.082*S229</f>
        <v>82</v>
      </c>
      <c r="X229" s="5">
        <f t="shared" si="30"/>
        <v>0.21904761904761905</v>
      </c>
      <c r="Z229" s="2" t="s">
        <v>3227</v>
      </c>
      <c r="AA229" s="2" t="s">
        <v>46</v>
      </c>
      <c r="AB229" s="2" t="s">
        <v>60</v>
      </c>
      <c r="AC229" s="2" t="s">
        <v>57</v>
      </c>
      <c r="AF229" s="2">
        <f t="shared" si="28"/>
        <v>0</v>
      </c>
      <c r="AG229" s="2">
        <v>8.1999999999999993</v>
      </c>
      <c r="AH229" s="2">
        <v>13</v>
      </c>
      <c r="AJ229" s="2">
        <f t="shared" si="29"/>
        <v>0</v>
      </c>
      <c r="AK229" s="2">
        <f t="shared" si="31"/>
        <v>23</v>
      </c>
      <c r="AL229" s="5">
        <f t="shared" si="32"/>
        <v>0.21904761904761905</v>
      </c>
    </row>
    <row r="230" spans="1:38" x14ac:dyDescent="0.2">
      <c r="A230" s="2">
        <v>2025</v>
      </c>
      <c r="B230" s="2">
        <v>1</v>
      </c>
      <c r="D230" s="2" t="s">
        <v>508</v>
      </c>
      <c r="P230" s="2" t="s">
        <v>43</v>
      </c>
      <c r="Q230" s="2" t="s">
        <v>54</v>
      </c>
      <c r="R230" s="2" t="s">
        <v>55</v>
      </c>
      <c r="S230" s="2">
        <v>4</v>
      </c>
      <c r="T230" s="2">
        <v>72</v>
      </c>
      <c r="U230" s="2">
        <v>16.559999999999999</v>
      </c>
      <c r="V230" s="2">
        <v>88.56</v>
      </c>
      <c r="W230" s="2">
        <f>10.6*S230</f>
        <v>42.4</v>
      </c>
      <c r="X230" s="5">
        <f t="shared" si="30"/>
        <v>0.41111111111111115</v>
      </c>
      <c r="Z230" s="2" t="s">
        <v>3227</v>
      </c>
      <c r="AA230" s="2" t="s">
        <v>46</v>
      </c>
      <c r="AB230" s="2" t="s">
        <v>56</v>
      </c>
      <c r="AC230" s="2" t="s">
        <v>57</v>
      </c>
      <c r="AF230" s="2">
        <f t="shared" si="28"/>
        <v>0</v>
      </c>
      <c r="AG230" s="2">
        <v>10.6</v>
      </c>
      <c r="AH230" s="2">
        <v>18</v>
      </c>
      <c r="AJ230" s="2">
        <f t="shared" si="29"/>
        <v>0</v>
      </c>
      <c r="AK230" s="2">
        <f t="shared" si="31"/>
        <v>29.6</v>
      </c>
      <c r="AL230" s="5">
        <f t="shared" si="32"/>
        <v>0.41111111111111115</v>
      </c>
    </row>
    <row r="231" spans="1:38" x14ac:dyDescent="0.2">
      <c r="A231" s="2">
        <v>2025</v>
      </c>
      <c r="B231" s="2">
        <v>1</v>
      </c>
      <c r="D231" s="2" t="s">
        <v>508</v>
      </c>
      <c r="P231" s="2" t="s">
        <v>43</v>
      </c>
      <c r="Q231" s="2" t="s">
        <v>61</v>
      </c>
      <c r="R231" s="2" t="s">
        <v>62</v>
      </c>
      <c r="S231" s="2">
        <v>200</v>
      </c>
      <c r="T231" s="2">
        <v>26</v>
      </c>
      <c r="U231" s="2">
        <v>5.98</v>
      </c>
      <c r="V231" s="2">
        <v>31.98</v>
      </c>
      <c r="W231" s="2">
        <f>0.082*S231</f>
        <v>16.400000000000002</v>
      </c>
      <c r="X231" s="5">
        <f t="shared" si="30"/>
        <v>0.36923076923076914</v>
      </c>
      <c r="Z231" s="2" t="s">
        <v>3227</v>
      </c>
      <c r="AA231" s="2" t="s">
        <v>46</v>
      </c>
      <c r="AB231" s="2" t="s">
        <v>60</v>
      </c>
      <c r="AC231" s="2" t="s">
        <v>57</v>
      </c>
      <c r="AF231" s="2">
        <f t="shared" si="28"/>
        <v>0</v>
      </c>
      <c r="AG231" s="2">
        <v>8.1999999999999993</v>
      </c>
      <c r="AH231" s="2">
        <v>13</v>
      </c>
      <c r="AJ231" s="2">
        <f t="shared" si="29"/>
        <v>0</v>
      </c>
      <c r="AK231" s="2">
        <f t="shared" si="31"/>
        <v>9.5999999999999979</v>
      </c>
      <c r="AL231" s="5">
        <f t="shared" si="32"/>
        <v>0.36923076923076914</v>
      </c>
    </row>
    <row r="232" spans="1:38" x14ac:dyDescent="0.2">
      <c r="A232" s="2">
        <v>2025</v>
      </c>
      <c r="B232" s="2">
        <v>1</v>
      </c>
      <c r="D232" s="2" t="s">
        <v>509</v>
      </c>
      <c r="E232" s="2" t="s">
        <v>38</v>
      </c>
      <c r="F232" s="2" t="s">
        <v>39</v>
      </c>
      <c r="G232" s="2">
        <v>513405020</v>
      </c>
      <c r="H232" s="2" t="s">
        <v>40</v>
      </c>
      <c r="I232" s="2" t="s">
        <v>156</v>
      </c>
      <c r="J232" s="2" t="s">
        <v>510</v>
      </c>
      <c r="K232" s="2">
        <v>919770433</v>
      </c>
      <c r="L232" s="2" t="s">
        <v>99</v>
      </c>
      <c r="P232" s="2" t="s">
        <v>43</v>
      </c>
      <c r="Q232" s="2" t="s">
        <v>54</v>
      </c>
      <c r="R232" s="2" t="s">
        <v>55</v>
      </c>
      <c r="S232" s="2">
        <v>2</v>
      </c>
      <c r="T232" s="2">
        <v>36</v>
      </c>
      <c r="U232" s="2">
        <v>8.2800000000000011</v>
      </c>
      <c r="V232" s="2">
        <v>44.28</v>
      </c>
      <c r="W232" s="2">
        <f>10.6*S232</f>
        <v>21.2</v>
      </c>
      <c r="X232" s="5">
        <f t="shared" si="30"/>
        <v>0.41111111111111115</v>
      </c>
      <c r="Z232" s="2" t="s">
        <v>3227</v>
      </c>
      <c r="AA232" s="2" t="s">
        <v>46</v>
      </c>
      <c r="AB232" s="2" t="s">
        <v>56</v>
      </c>
      <c r="AC232" s="2" t="s">
        <v>57</v>
      </c>
      <c r="AF232" s="2">
        <f t="shared" si="28"/>
        <v>0</v>
      </c>
      <c r="AG232" s="2">
        <v>10.6</v>
      </c>
      <c r="AH232" s="2">
        <v>18</v>
      </c>
      <c r="AJ232" s="2">
        <f t="shared" si="29"/>
        <v>0</v>
      </c>
      <c r="AK232" s="2">
        <f t="shared" si="31"/>
        <v>14.8</v>
      </c>
      <c r="AL232" s="5">
        <f t="shared" si="32"/>
        <v>0.41111111111111115</v>
      </c>
    </row>
    <row r="233" spans="1:38" x14ac:dyDescent="0.2">
      <c r="A233" s="2">
        <v>2025</v>
      </c>
      <c r="B233" s="2">
        <v>1</v>
      </c>
      <c r="D233" s="2" t="s">
        <v>511</v>
      </c>
      <c r="E233" s="2" t="s">
        <v>108</v>
      </c>
      <c r="F233" s="2" t="s">
        <v>39</v>
      </c>
      <c r="G233" s="2">
        <v>506520145</v>
      </c>
      <c r="H233" s="2" t="s">
        <v>290</v>
      </c>
      <c r="I233" s="2" t="s">
        <v>512</v>
      </c>
      <c r="J233" s="2" t="s">
        <v>513</v>
      </c>
      <c r="K233" s="2">
        <v>933569769</v>
      </c>
      <c r="L233" s="2" t="s">
        <v>339</v>
      </c>
      <c r="M233" s="2" t="s">
        <v>40</v>
      </c>
      <c r="P233" s="2" t="s">
        <v>114</v>
      </c>
      <c r="Q233" s="2" t="s">
        <v>514</v>
      </c>
      <c r="R233" s="2" t="s">
        <v>515</v>
      </c>
      <c r="S233" s="2">
        <v>1</v>
      </c>
      <c r="T233" s="2">
        <v>300.58999999999997</v>
      </c>
      <c r="U233" s="2">
        <v>69.1357</v>
      </c>
      <c r="V233" s="2">
        <v>369.72570000000002</v>
      </c>
      <c r="X233" s="5">
        <f t="shared" si="30"/>
        <v>1</v>
      </c>
      <c r="Z233" s="2" t="s">
        <v>117</v>
      </c>
      <c r="AA233" s="2" t="s">
        <v>118</v>
      </c>
      <c r="AB233" s="2" t="s">
        <v>119</v>
      </c>
      <c r="AC233" s="2" t="s">
        <v>114</v>
      </c>
      <c r="AF233" s="2">
        <f t="shared" si="28"/>
        <v>0</v>
      </c>
      <c r="AJ233" s="2">
        <f t="shared" si="29"/>
        <v>0</v>
      </c>
      <c r="AK233" s="2">
        <f t="shared" si="31"/>
        <v>300.58999999999997</v>
      </c>
      <c r="AL233" s="5">
        <f t="shared" si="32"/>
        <v>1</v>
      </c>
    </row>
    <row r="234" spans="1:38" x14ac:dyDescent="0.2">
      <c r="A234" s="2">
        <v>2025</v>
      </c>
      <c r="B234" s="2">
        <v>1</v>
      </c>
      <c r="D234" s="2" t="s">
        <v>511</v>
      </c>
      <c r="E234" s="2" t="s">
        <v>108</v>
      </c>
      <c r="F234" s="2" t="s">
        <v>39</v>
      </c>
      <c r="G234" s="2">
        <v>506520145</v>
      </c>
      <c r="H234" s="2" t="s">
        <v>290</v>
      </c>
      <c r="I234" s="2" t="s">
        <v>512</v>
      </c>
      <c r="J234" s="2" t="s">
        <v>513</v>
      </c>
      <c r="K234" s="2">
        <v>933569769</v>
      </c>
      <c r="L234" s="2" t="s">
        <v>339</v>
      </c>
      <c r="M234" s="2" t="s">
        <v>40</v>
      </c>
      <c r="P234" s="2" t="s">
        <v>187</v>
      </c>
      <c r="Q234" s="2" t="s">
        <v>188</v>
      </c>
      <c r="R234" s="2" t="s">
        <v>189</v>
      </c>
      <c r="S234" s="2">
        <v>1</v>
      </c>
      <c r="T234" s="2">
        <v>50</v>
      </c>
      <c r="U234" s="2">
        <v>11.5</v>
      </c>
      <c r="V234" s="2">
        <v>61.5</v>
      </c>
      <c r="W234" s="2">
        <f>T234*40%</f>
        <v>20</v>
      </c>
      <c r="X234" s="5">
        <f t="shared" si="30"/>
        <v>0.6</v>
      </c>
      <c r="Z234" s="2" t="s">
        <v>117</v>
      </c>
      <c r="AA234" s="2" t="s">
        <v>190</v>
      </c>
      <c r="AB234" s="2" t="s">
        <v>189</v>
      </c>
      <c r="AC234" s="2" t="s">
        <v>40</v>
      </c>
      <c r="AF234" s="2">
        <f t="shared" si="28"/>
        <v>0</v>
      </c>
      <c r="AJ234" s="2">
        <f t="shared" si="29"/>
        <v>0</v>
      </c>
      <c r="AK234" s="2">
        <f t="shared" si="31"/>
        <v>30</v>
      </c>
      <c r="AL234" s="5">
        <f t="shared" si="32"/>
        <v>0.6</v>
      </c>
    </row>
    <row r="235" spans="1:38" x14ac:dyDescent="0.2">
      <c r="A235" s="2">
        <v>2025</v>
      </c>
      <c r="B235" s="2">
        <v>1</v>
      </c>
      <c r="D235" s="2" t="s">
        <v>511</v>
      </c>
      <c r="E235" s="2" t="s">
        <v>108</v>
      </c>
      <c r="F235" s="2" t="s">
        <v>39</v>
      </c>
      <c r="G235" s="2">
        <v>506520145</v>
      </c>
      <c r="H235" s="2" t="s">
        <v>290</v>
      </c>
      <c r="I235" s="2" t="s">
        <v>512</v>
      </c>
      <c r="J235" s="2" t="s">
        <v>513</v>
      </c>
      <c r="K235" s="2">
        <v>933569769</v>
      </c>
      <c r="L235" s="2" t="s">
        <v>339</v>
      </c>
      <c r="M235" s="2" t="s">
        <v>40</v>
      </c>
      <c r="P235" s="2" t="s">
        <v>187</v>
      </c>
      <c r="Q235" s="2" t="s">
        <v>191</v>
      </c>
      <c r="R235" s="2" t="s">
        <v>190</v>
      </c>
      <c r="S235" s="2">
        <v>0.75</v>
      </c>
      <c r="T235" s="2">
        <v>37.5</v>
      </c>
      <c r="U235" s="2">
        <v>8.625</v>
      </c>
      <c r="V235" s="2">
        <v>46.125</v>
      </c>
      <c r="W235" s="2">
        <f>T235*50%</f>
        <v>18.75</v>
      </c>
      <c r="X235" s="5">
        <f t="shared" si="30"/>
        <v>0.5</v>
      </c>
      <c r="Z235" s="2" t="s">
        <v>117</v>
      </c>
      <c r="AA235" s="2" t="s">
        <v>190</v>
      </c>
      <c r="AB235" s="2" t="s">
        <v>190</v>
      </c>
      <c r="AC235" s="2" t="s">
        <v>40</v>
      </c>
      <c r="AF235" s="2">
        <f t="shared" si="28"/>
        <v>0</v>
      </c>
      <c r="AJ235" s="2">
        <f t="shared" si="29"/>
        <v>0</v>
      </c>
      <c r="AK235" s="2">
        <f t="shared" si="31"/>
        <v>18.75</v>
      </c>
      <c r="AL235" s="5">
        <f t="shared" si="32"/>
        <v>0.5</v>
      </c>
    </row>
    <row r="236" spans="1:38" x14ac:dyDescent="0.2">
      <c r="A236" s="2">
        <v>2025</v>
      </c>
      <c r="B236" s="2">
        <v>1</v>
      </c>
      <c r="D236" s="2" t="s">
        <v>516</v>
      </c>
      <c r="E236" s="2" t="s">
        <v>38</v>
      </c>
      <c r="F236" s="2" t="s">
        <v>39</v>
      </c>
      <c r="G236" s="2">
        <v>514232749</v>
      </c>
      <c r="H236" s="2" t="s">
        <v>40</v>
      </c>
      <c r="I236" s="2" t="s">
        <v>279</v>
      </c>
      <c r="J236" s="2" t="s">
        <v>517</v>
      </c>
      <c r="K236" s="2">
        <v>967657430</v>
      </c>
      <c r="L236" s="2" t="s">
        <v>201</v>
      </c>
      <c r="O236" s="2" t="s">
        <v>518</v>
      </c>
      <c r="P236" s="2" t="s">
        <v>114</v>
      </c>
      <c r="Q236" s="2" t="s">
        <v>519</v>
      </c>
      <c r="R236" s="2" t="s">
        <v>520</v>
      </c>
      <c r="S236" s="2">
        <v>2</v>
      </c>
      <c r="T236" s="2">
        <v>80.349999999999994</v>
      </c>
      <c r="U236" s="2">
        <v>18.480499999999999</v>
      </c>
      <c r="V236" s="2">
        <v>98.830500000000001</v>
      </c>
      <c r="X236" s="5">
        <f t="shared" si="30"/>
        <v>1</v>
      </c>
      <c r="Z236" s="2" t="s">
        <v>117</v>
      </c>
      <c r="AA236" s="2" t="s">
        <v>118</v>
      </c>
      <c r="AB236" s="2" t="s">
        <v>119</v>
      </c>
      <c r="AC236" s="2" t="s">
        <v>114</v>
      </c>
      <c r="AF236" s="2">
        <f t="shared" si="28"/>
        <v>0</v>
      </c>
      <c r="AJ236" s="2">
        <f t="shared" si="29"/>
        <v>0</v>
      </c>
      <c r="AK236" s="2">
        <f t="shared" si="31"/>
        <v>80.349999999999994</v>
      </c>
      <c r="AL236" s="5">
        <f t="shared" si="32"/>
        <v>1</v>
      </c>
    </row>
    <row r="237" spans="1:38" x14ac:dyDescent="0.2">
      <c r="A237" s="2">
        <v>2025</v>
      </c>
      <c r="B237" s="2">
        <v>1</v>
      </c>
      <c r="D237" s="2" t="s">
        <v>516</v>
      </c>
      <c r="E237" s="2" t="s">
        <v>38</v>
      </c>
      <c r="F237" s="2" t="s">
        <v>39</v>
      </c>
      <c r="G237" s="2">
        <v>514232749</v>
      </c>
      <c r="H237" s="2" t="s">
        <v>40</v>
      </c>
      <c r="I237" s="2" t="s">
        <v>279</v>
      </c>
      <c r="J237" s="2" t="s">
        <v>517</v>
      </c>
      <c r="K237" s="2">
        <v>967657430</v>
      </c>
      <c r="L237" s="2" t="s">
        <v>201</v>
      </c>
      <c r="O237" s="2" t="s">
        <v>521</v>
      </c>
      <c r="P237" s="2" t="s">
        <v>114</v>
      </c>
      <c r="Q237" s="2" t="s">
        <v>522</v>
      </c>
      <c r="R237" s="2" t="s">
        <v>523</v>
      </c>
      <c r="S237" s="2">
        <v>2</v>
      </c>
      <c r="T237" s="2">
        <v>81.069999999999993</v>
      </c>
      <c r="U237" s="2">
        <v>18.646100000000001</v>
      </c>
      <c r="V237" s="2">
        <v>99.716099999999997</v>
      </c>
      <c r="X237" s="5">
        <f t="shared" si="30"/>
        <v>1</v>
      </c>
      <c r="Z237" s="2" t="s">
        <v>117</v>
      </c>
      <c r="AA237" s="2" t="s">
        <v>118</v>
      </c>
      <c r="AB237" s="2" t="s">
        <v>119</v>
      </c>
      <c r="AC237" s="2" t="s">
        <v>114</v>
      </c>
      <c r="AF237" s="2">
        <f t="shared" si="28"/>
        <v>0</v>
      </c>
      <c r="AJ237" s="2">
        <f t="shared" si="29"/>
        <v>0</v>
      </c>
      <c r="AK237" s="2">
        <f t="shared" si="31"/>
        <v>81.069999999999993</v>
      </c>
      <c r="AL237" s="5">
        <f t="shared" si="32"/>
        <v>1</v>
      </c>
    </row>
    <row r="238" spans="1:38" x14ac:dyDescent="0.2">
      <c r="A238" s="2">
        <v>2025</v>
      </c>
      <c r="B238" s="2">
        <v>1</v>
      </c>
      <c r="D238" s="2" t="s">
        <v>516</v>
      </c>
      <c r="E238" s="2" t="s">
        <v>38</v>
      </c>
      <c r="F238" s="2" t="s">
        <v>39</v>
      </c>
      <c r="G238" s="2">
        <v>514232749</v>
      </c>
      <c r="H238" s="2" t="s">
        <v>40</v>
      </c>
      <c r="I238" s="2" t="s">
        <v>279</v>
      </c>
      <c r="J238" s="2" t="s">
        <v>517</v>
      </c>
      <c r="K238" s="2">
        <v>967657430</v>
      </c>
      <c r="L238" s="2" t="s">
        <v>201</v>
      </c>
      <c r="O238" s="2" t="s">
        <v>518</v>
      </c>
      <c r="P238" s="2" t="s">
        <v>169</v>
      </c>
      <c r="Q238" s="2" t="s">
        <v>170</v>
      </c>
      <c r="R238" s="2" t="s">
        <v>170</v>
      </c>
      <c r="S238" s="2">
        <v>1</v>
      </c>
      <c r="T238" s="2">
        <v>8.5</v>
      </c>
      <c r="U238" s="2">
        <v>1.9550000000000001</v>
      </c>
      <c r="V238" s="2">
        <v>10.455</v>
      </c>
      <c r="W238" s="2">
        <v>6</v>
      </c>
      <c r="X238" s="5">
        <f t="shared" si="30"/>
        <v>0.29411764705882354</v>
      </c>
      <c r="Z238" s="2" t="s">
        <v>169</v>
      </c>
      <c r="AA238" s="2" t="s">
        <v>169</v>
      </c>
      <c r="AF238" s="2">
        <f t="shared" si="28"/>
        <v>0</v>
      </c>
      <c r="AJ238" s="2">
        <f t="shared" si="29"/>
        <v>0</v>
      </c>
      <c r="AK238" s="2">
        <f t="shared" si="31"/>
        <v>2.5</v>
      </c>
      <c r="AL238" s="5">
        <f t="shared" si="32"/>
        <v>0.29411764705882354</v>
      </c>
    </row>
    <row r="239" spans="1:38" x14ac:dyDescent="0.2">
      <c r="A239" s="2">
        <v>2025</v>
      </c>
      <c r="B239" s="2">
        <v>1</v>
      </c>
      <c r="D239" s="2" t="s">
        <v>524</v>
      </c>
      <c r="E239" s="2" t="s">
        <v>108</v>
      </c>
      <c r="F239" s="2" t="s">
        <v>39</v>
      </c>
      <c r="G239" s="2">
        <v>500903557</v>
      </c>
      <c r="H239" s="2" t="s">
        <v>41</v>
      </c>
      <c r="I239" s="2" t="s">
        <v>3184</v>
      </c>
      <c r="J239" s="2" t="s">
        <v>3185</v>
      </c>
      <c r="L239" s="2" t="s">
        <v>201</v>
      </c>
      <c r="M239" s="2" t="s">
        <v>41</v>
      </c>
      <c r="O239" s="2" t="s">
        <v>3186</v>
      </c>
      <c r="P239" s="2" t="s">
        <v>72</v>
      </c>
      <c r="Q239" s="2" t="s">
        <v>484</v>
      </c>
      <c r="R239" s="2" t="s">
        <v>74</v>
      </c>
      <c r="S239" s="2">
        <v>1</v>
      </c>
      <c r="T239" s="2">
        <v>188.6</v>
      </c>
      <c r="U239" s="2">
        <v>43.378</v>
      </c>
      <c r="V239" s="2">
        <v>231.97800000000001</v>
      </c>
      <c r="W239" s="2">
        <v>131.93</v>
      </c>
      <c r="X239" s="5">
        <f t="shared" si="30"/>
        <v>0.30047720042417808</v>
      </c>
      <c r="Z239" s="2" t="s">
        <v>3227</v>
      </c>
      <c r="AA239" s="2" t="s">
        <v>75</v>
      </c>
      <c r="AB239" s="2" t="s">
        <v>76</v>
      </c>
      <c r="AC239" s="2" t="s">
        <v>77</v>
      </c>
      <c r="AF239" s="2">
        <f t="shared" si="28"/>
        <v>0</v>
      </c>
      <c r="AG239" s="2">
        <v>131.93</v>
      </c>
      <c r="AH239" s="2">
        <v>220</v>
      </c>
      <c r="AJ239" s="2">
        <f t="shared" si="29"/>
        <v>0</v>
      </c>
      <c r="AK239" s="2">
        <f t="shared" si="31"/>
        <v>56.669999999999987</v>
      </c>
      <c r="AL239" s="5">
        <f t="shared" si="32"/>
        <v>0.30047720042417808</v>
      </c>
    </row>
    <row r="240" spans="1:38" x14ac:dyDescent="0.2">
      <c r="A240" s="2">
        <v>2025</v>
      </c>
      <c r="B240" s="2">
        <v>1</v>
      </c>
      <c r="D240" s="2" t="s">
        <v>524</v>
      </c>
      <c r="E240" s="2" t="s">
        <v>108</v>
      </c>
      <c r="F240" s="2" t="s">
        <v>39</v>
      </c>
      <c r="G240" s="2">
        <v>500903557</v>
      </c>
      <c r="H240" s="2" t="s">
        <v>41</v>
      </c>
      <c r="I240" s="2" t="s">
        <v>3184</v>
      </c>
      <c r="J240" s="2" t="s">
        <v>3185</v>
      </c>
      <c r="L240" s="2" t="s">
        <v>201</v>
      </c>
      <c r="M240" s="2" t="s">
        <v>41</v>
      </c>
      <c r="O240" s="2" t="s">
        <v>3186</v>
      </c>
      <c r="P240" s="2" t="s">
        <v>93</v>
      </c>
      <c r="Q240" s="2" t="s">
        <v>94</v>
      </c>
      <c r="R240" s="2" t="s">
        <v>95</v>
      </c>
      <c r="S240" s="2">
        <v>1</v>
      </c>
      <c r="T240" s="2">
        <v>1.1399999999999999</v>
      </c>
      <c r="U240" s="2">
        <v>0.26219999999999999</v>
      </c>
      <c r="V240" s="2">
        <v>1.4021999999999999</v>
      </c>
      <c r="W240" s="2">
        <v>1.1399999999999999</v>
      </c>
      <c r="X240" s="5">
        <f t="shared" si="30"/>
        <v>0</v>
      </c>
      <c r="Z240" s="2" t="s">
        <v>3227</v>
      </c>
      <c r="AA240" s="2" t="s">
        <v>96</v>
      </c>
      <c r="AB240" s="2" t="s">
        <v>76</v>
      </c>
      <c r="AC240" s="2" t="s">
        <v>93</v>
      </c>
      <c r="AF240" s="2">
        <f t="shared" si="28"/>
        <v>0</v>
      </c>
      <c r="AG240" s="2">
        <v>1.1399999999999999</v>
      </c>
      <c r="AH240" s="2">
        <v>1.1399999999999999</v>
      </c>
      <c r="AJ240" s="2">
        <f t="shared" si="29"/>
        <v>0</v>
      </c>
      <c r="AK240" s="2">
        <f t="shared" si="31"/>
        <v>0</v>
      </c>
      <c r="AL240" s="5">
        <f t="shared" si="32"/>
        <v>0</v>
      </c>
    </row>
    <row r="241" spans="1:38" x14ac:dyDescent="0.2">
      <c r="A241" s="2">
        <v>2025</v>
      </c>
      <c r="B241" s="2">
        <v>1</v>
      </c>
      <c r="D241" s="2" t="s">
        <v>525</v>
      </c>
      <c r="E241" s="2" t="s">
        <v>108</v>
      </c>
      <c r="F241" s="2" t="s">
        <v>39</v>
      </c>
      <c r="G241" s="2">
        <v>509391583</v>
      </c>
      <c r="H241" s="2" t="s">
        <v>40</v>
      </c>
      <c r="I241" s="2" t="s">
        <v>526</v>
      </c>
      <c r="J241" s="2" t="s">
        <v>527</v>
      </c>
      <c r="L241" s="2" t="s">
        <v>344</v>
      </c>
      <c r="P241" s="2" t="s">
        <v>282</v>
      </c>
      <c r="Q241" s="2" t="s">
        <v>528</v>
      </c>
      <c r="R241" s="2" t="s">
        <v>529</v>
      </c>
      <c r="S241" s="2">
        <v>1</v>
      </c>
      <c r="T241" s="2">
        <v>399</v>
      </c>
      <c r="U241" s="2">
        <v>91.77000000000001</v>
      </c>
      <c r="V241" s="2">
        <v>490.77</v>
      </c>
      <c r="W241" s="2">
        <v>299.25</v>
      </c>
      <c r="X241" s="5">
        <f t="shared" si="30"/>
        <v>0.25</v>
      </c>
      <c r="Z241" s="2" t="s">
        <v>3227</v>
      </c>
      <c r="AA241" s="2" t="s">
        <v>71</v>
      </c>
      <c r="AB241" s="2" t="s">
        <v>119</v>
      </c>
      <c r="AC241" s="2" t="s">
        <v>119</v>
      </c>
      <c r="AF241" s="2">
        <f t="shared" si="28"/>
        <v>0</v>
      </c>
      <c r="AG241" s="2">
        <v>299.25</v>
      </c>
      <c r="AJ241" s="2">
        <f t="shared" si="29"/>
        <v>0</v>
      </c>
      <c r="AK241" s="2">
        <f t="shared" si="31"/>
        <v>99.75</v>
      </c>
      <c r="AL241" s="5">
        <f t="shared" si="32"/>
        <v>0.25</v>
      </c>
    </row>
    <row r="242" spans="1:38" x14ac:dyDescent="0.2">
      <c r="A242" s="2">
        <v>2025</v>
      </c>
      <c r="B242" s="2">
        <v>1</v>
      </c>
      <c r="D242" s="2" t="s">
        <v>525</v>
      </c>
      <c r="E242" s="2" t="s">
        <v>108</v>
      </c>
      <c r="F242" s="2" t="s">
        <v>39</v>
      </c>
      <c r="G242" s="2">
        <v>509391583</v>
      </c>
      <c r="H242" s="2" t="s">
        <v>40</v>
      </c>
      <c r="I242" s="2" t="s">
        <v>526</v>
      </c>
      <c r="J242" s="2" t="s">
        <v>527</v>
      </c>
      <c r="L242" s="2" t="s">
        <v>344</v>
      </c>
      <c r="P242" s="2" t="s">
        <v>72</v>
      </c>
      <c r="Q242" s="2" t="s">
        <v>73</v>
      </c>
      <c r="R242" s="2" t="s">
        <v>74</v>
      </c>
      <c r="S242" s="2">
        <v>1</v>
      </c>
      <c r="T242" s="2">
        <v>184</v>
      </c>
      <c r="U242" s="2">
        <v>42.32</v>
      </c>
      <c r="V242" s="2">
        <v>226.32</v>
      </c>
      <c r="W242" s="2">
        <v>117.453</v>
      </c>
      <c r="X242" s="5">
        <f t="shared" si="30"/>
        <v>0.36166847826086956</v>
      </c>
      <c r="Z242" s="2" t="s">
        <v>3227</v>
      </c>
      <c r="AA242" s="2" t="s">
        <v>75</v>
      </c>
      <c r="AB242" s="2" t="s">
        <v>76</v>
      </c>
      <c r="AC242" s="2" t="s">
        <v>77</v>
      </c>
      <c r="AF242" s="2">
        <f t="shared" si="28"/>
        <v>0</v>
      </c>
      <c r="AG242" s="2">
        <v>117.453</v>
      </c>
      <c r="AH242" s="2">
        <v>220</v>
      </c>
      <c r="AJ242" s="2">
        <f t="shared" si="29"/>
        <v>0</v>
      </c>
      <c r="AK242" s="2">
        <f t="shared" si="31"/>
        <v>66.546999999999997</v>
      </c>
      <c r="AL242" s="5">
        <f t="shared" si="32"/>
        <v>0.36166847826086956</v>
      </c>
    </row>
    <row r="243" spans="1:38" x14ac:dyDescent="0.2">
      <c r="A243" s="2">
        <v>2025</v>
      </c>
      <c r="B243" s="2">
        <v>1</v>
      </c>
      <c r="D243" s="2" t="s">
        <v>525</v>
      </c>
      <c r="E243" s="2" t="s">
        <v>108</v>
      </c>
      <c r="F243" s="2" t="s">
        <v>39</v>
      </c>
      <c r="G243" s="2">
        <v>509391583</v>
      </c>
      <c r="H243" s="2" t="s">
        <v>40</v>
      </c>
      <c r="I243" s="2" t="s">
        <v>526</v>
      </c>
      <c r="J243" s="2" t="s">
        <v>527</v>
      </c>
      <c r="L243" s="2" t="s">
        <v>344</v>
      </c>
      <c r="P243" s="2" t="s">
        <v>93</v>
      </c>
      <c r="Q243" s="2" t="s">
        <v>94</v>
      </c>
      <c r="R243" s="2" t="s">
        <v>95</v>
      </c>
      <c r="S243" s="2">
        <v>1</v>
      </c>
      <c r="T243" s="2">
        <v>1.1399999999999999</v>
      </c>
      <c r="U243" s="2">
        <v>0.26219999999999999</v>
      </c>
      <c r="V243" s="2">
        <v>1.4021999999999999</v>
      </c>
      <c r="W243" s="2">
        <v>1.1399999999999999</v>
      </c>
      <c r="X243" s="5">
        <f t="shared" si="30"/>
        <v>0</v>
      </c>
      <c r="Z243" s="2" t="s">
        <v>3227</v>
      </c>
      <c r="AA243" s="2" t="s">
        <v>96</v>
      </c>
      <c r="AB243" s="2" t="s">
        <v>76</v>
      </c>
      <c r="AC243" s="2" t="s">
        <v>93</v>
      </c>
      <c r="AF243" s="2">
        <f t="shared" si="28"/>
        <v>0</v>
      </c>
      <c r="AJ243" s="2">
        <f t="shared" si="29"/>
        <v>0</v>
      </c>
      <c r="AK243" s="2">
        <f t="shared" si="31"/>
        <v>0</v>
      </c>
      <c r="AL243" s="5">
        <f t="shared" si="32"/>
        <v>0</v>
      </c>
    </row>
    <row r="244" spans="1:38" x14ac:dyDescent="0.2">
      <c r="A244" s="2">
        <v>2025</v>
      </c>
      <c r="B244" s="2">
        <v>1</v>
      </c>
      <c r="D244" s="2" t="s">
        <v>530</v>
      </c>
      <c r="E244" s="2" t="s">
        <v>108</v>
      </c>
      <c r="F244" s="2" t="s">
        <v>531</v>
      </c>
      <c r="G244" s="2">
        <v>502139552</v>
      </c>
      <c r="H244" s="2" t="s">
        <v>40</v>
      </c>
      <c r="I244" s="2" t="s">
        <v>339</v>
      </c>
      <c r="J244" s="2" t="s">
        <v>532</v>
      </c>
      <c r="L244" s="2" t="s">
        <v>339</v>
      </c>
      <c r="M244" s="2" t="s">
        <v>80</v>
      </c>
      <c r="O244" s="2" t="s">
        <v>3191</v>
      </c>
      <c r="P244" s="2" t="s">
        <v>72</v>
      </c>
      <c r="Q244" s="2" t="s">
        <v>533</v>
      </c>
      <c r="R244" s="2" t="s">
        <v>534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0</v>
      </c>
      <c r="Z244" s="2" t="s">
        <v>3227</v>
      </c>
      <c r="AA244" s="2" t="s">
        <v>75</v>
      </c>
      <c r="AB244" s="2" t="s">
        <v>76</v>
      </c>
      <c r="AC244" s="2" t="s">
        <v>77</v>
      </c>
      <c r="AF244" s="2">
        <f t="shared" si="28"/>
        <v>0</v>
      </c>
      <c r="AG244" s="2">
        <f>110.125+11.77</f>
        <v>121.895</v>
      </c>
      <c r="AJ244" s="2">
        <f t="shared" si="29"/>
        <v>0</v>
      </c>
      <c r="AK244" s="2">
        <f t="shared" si="31"/>
        <v>0</v>
      </c>
      <c r="AL244" s="5">
        <v>0</v>
      </c>
    </row>
    <row r="245" spans="1:38" x14ac:dyDescent="0.2">
      <c r="A245" s="2">
        <v>2025</v>
      </c>
      <c r="B245" s="2">
        <v>1</v>
      </c>
      <c r="D245" s="2" t="s">
        <v>530</v>
      </c>
      <c r="E245" s="2" t="s">
        <v>108</v>
      </c>
      <c r="F245" s="2" t="s">
        <v>531</v>
      </c>
      <c r="G245" s="2">
        <v>502139552</v>
      </c>
      <c r="H245" s="2" t="s">
        <v>40</v>
      </c>
      <c r="I245" s="2" t="s">
        <v>339</v>
      </c>
      <c r="J245" s="2" t="s">
        <v>532</v>
      </c>
      <c r="L245" s="2" t="s">
        <v>339</v>
      </c>
      <c r="M245" s="2" t="s">
        <v>80</v>
      </c>
      <c r="P245" s="2" t="s">
        <v>72</v>
      </c>
      <c r="Q245" s="2" t="s">
        <v>206</v>
      </c>
      <c r="R245" s="2" t="s">
        <v>207</v>
      </c>
      <c r="S245" s="2">
        <v>1</v>
      </c>
      <c r="T245" s="2">
        <v>423.2</v>
      </c>
      <c r="U245" s="2">
        <v>97.335999999999999</v>
      </c>
      <c r="V245" s="2">
        <v>520.53599999999994</v>
      </c>
      <c r="W245" s="2">
        <f>291.59*S245</f>
        <v>291.58999999999997</v>
      </c>
      <c r="X245" s="5">
        <f t="shared" ref="X245:X261" si="33">(T245-W245)/T245</f>
        <v>0.31098771266540648</v>
      </c>
      <c r="Z245" s="2" t="s">
        <v>3227</v>
      </c>
      <c r="AA245" s="2" t="s">
        <v>75</v>
      </c>
      <c r="AB245" s="2" t="s">
        <v>76</v>
      </c>
      <c r="AC245" s="2" t="s">
        <v>77</v>
      </c>
      <c r="AF245" s="2">
        <f t="shared" si="28"/>
        <v>0</v>
      </c>
      <c r="AG245" s="2">
        <v>291.58999999999997</v>
      </c>
      <c r="AH245" s="2">
        <v>450</v>
      </c>
      <c r="AJ245" s="2">
        <f t="shared" si="29"/>
        <v>0</v>
      </c>
      <c r="AK245" s="2">
        <f t="shared" si="31"/>
        <v>131.61000000000001</v>
      </c>
      <c r="AL245" s="5">
        <f t="shared" ref="AL245:AL262" si="34">(T245-W245)/T245</f>
        <v>0.31098771266540648</v>
      </c>
    </row>
    <row r="246" spans="1:38" x14ac:dyDescent="0.2">
      <c r="A246" s="2">
        <v>2025</v>
      </c>
      <c r="B246" s="2">
        <v>1</v>
      </c>
      <c r="D246" s="2" t="s">
        <v>530</v>
      </c>
      <c r="E246" s="2" t="s">
        <v>108</v>
      </c>
      <c r="F246" s="2" t="s">
        <v>531</v>
      </c>
      <c r="G246" s="2">
        <v>502139552</v>
      </c>
      <c r="H246" s="2" t="s">
        <v>40</v>
      </c>
      <c r="I246" s="2" t="s">
        <v>339</v>
      </c>
      <c r="J246" s="2" t="s">
        <v>532</v>
      </c>
      <c r="L246" s="2" t="s">
        <v>339</v>
      </c>
      <c r="M246" s="2" t="s">
        <v>80</v>
      </c>
      <c r="P246" s="2" t="s">
        <v>93</v>
      </c>
      <c r="Q246" s="2" t="s">
        <v>94</v>
      </c>
      <c r="R246" s="2" t="s">
        <v>95</v>
      </c>
      <c r="S246" s="2">
        <v>1</v>
      </c>
      <c r="T246" s="2">
        <v>1.1399999999999999</v>
      </c>
      <c r="U246" s="2">
        <v>0.26219999999999999</v>
      </c>
      <c r="V246" s="2">
        <v>1.4021999999999999</v>
      </c>
      <c r="W246" s="2">
        <v>1.1399999999999999</v>
      </c>
      <c r="X246" s="5">
        <f t="shared" si="33"/>
        <v>0</v>
      </c>
      <c r="Z246" s="2" t="s">
        <v>3227</v>
      </c>
      <c r="AA246" s="2" t="s">
        <v>96</v>
      </c>
      <c r="AB246" s="2" t="s">
        <v>76</v>
      </c>
      <c r="AC246" s="2" t="s">
        <v>93</v>
      </c>
      <c r="AF246" s="2">
        <f t="shared" si="28"/>
        <v>0</v>
      </c>
      <c r="AJ246" s="2">
        <f t="shared" si="29"/>
        <v>0</v>
      </c>
      <c r="AK246" s="2">
        <f t="shared" si="31"/>
        <v>0</v>
      </c>
      <c r="AL246" s="5">
        <f t="shared" si="34"/>
        <v>0</v>
      </c>
    </row>
    <row r="247" spans="1:38" x14ac:dyDescent="0.2">
      <c r="A247" s="2">
        <v>2025</v>
      </c>
      <c r="B247" s="2">
        <v>1</v>
      </c>
      <c r="D247" s="2" t="s">
        <v>535</v>
      </c>
      <c r="E247" s="2" t="s">
        <v>108</v>
      </c>
      <c r="F247" s="2" t="s">
        <v>39</v>
      </c>
      <c r="G247" s="2">
        <v>500973903</v>
      </c>
      <c r="H247" s="2" t="s">
        <v>41</v>
      </c>
      <c r="I247" s="2" t="s">
        <v>536</v>
      </c>
      <c r="J247" s="2" t="s">
        <v>537</v>
      </c>
      <c r="L247" s="2" t="s">
        <v>461</v>
      </c>
      <c r="M247" s="2" t="s">
        <v>40</v>
      </c>
      <c r="O247" s="2" t="s">
        <v>538</v>
      </c>
      <c r="P247" s="2" t="s">
        <v>114</v>
      </c>
      <c r="Q247" s="2" t="s">
        <v>539</v>
      </c>
      <c r="R247" s="2" t="s">
        <v>540</v>
      </c>
      <c r="S247" s="2">
        <v>1</v>
      </c>
      <c r="T247" s="2">
        <v>49.81</v>
      </c>
      <c r="U247" s="2">
        <v>11.456300000000001</v>
      </c>
      <c r="V247" s="2">
        <v>61.266300000000001</v>
      </c>
      <c r="W247" s="2">
        <v>24.454000000000001</v>
      </c>
      <c r="X247" s="5">
        <f t="shared" si="33"/>
        <v>0.5090544067456334</v>
      </c>
      <c r="Z247" s="2" t="s">
        <v>117</v>
      </c>
      <c r="AA247" s="2" t="s">
        <v>118</v>
      </c>
      <c r="AB247" s="2" t="s">
        <v>119</v>
      </c>
      <c r="AC247" s="2" t="s">
        <v>114</v>
      </c>
      <c r="AF247" s="2">
        <f t="shared" si="28"/>
        <v>0</v>
      </c>
      <c r="AJ247" s="2">
        <f t="shared" si="29"/>
        <v>0</v>
      </c>
      <c r="AK247" s="2">
        <f t="shared" si="31"/>
        <v>25.356000000000002</v>
      </c>
      <c r="AL247" s="5">
        <f t="shared" si="34"/>
        <v>0.5090544067456334</v>
      </c>
    </row>
    <row r="248" spans="1:38" x14ac:dyDescent="0.2">
      <c r="A248" s="2">
        <v>2025</v>
      </c>
      <c r="B248" s="2">
        <v>1</v>
      </c>
      <c r="D248" s="2" t="s">
        <v>535</v>
      </c>
      <c r="E248" s="2" t="s">
        <v>108</v>
      </c>
      <c r="F248" s="2" t="s">
        <v>39</v>
      </c>
      <c r="G248" s="2">
        <v>500973903</v>
      </c>
      <c r="H248" s="2" t="s">
        <v>41</v>
      </c>
      <c r="I248" s="2" t="s">
        <v>536</v>
      </c>
      <c r="J248" s="2" t="s">
        <v>537</v>
      </c>
      <c r="L248" s="2" t="s">
        <v>461</v>
      </c>
      <c r="M248" s="2" t="s">
        <v>41</v>
      </c>
      <c r="O248" s="2" t="s">
        <v>541</v>
      </c>
      <c r="P248" s="2" t="s">
        <v>72</v>
      </c>
      <c r="Q248" s="2" t="s">
        <v>73</v>
      </c>
      <c r="R248" s="2" t="s">
        <v>74</v>
      </c>
      <c r="S248" s="2">
        <v>1</v>
      </c>
      <c r="T248" s="2">
        <v>184</v>
      </c>
      <c r="U248" s="2">
        <v>42.32</v>
      </c>
      <c r="V248" s="2">
        <v>226.32</v>
      </c>
      <c r="W248" s="2">
        <v>117.453</v>
      </c>
      <c r="X248" s="5">
        <f t="shared" si="33"/>
        <v>0.36166847826086956</v>
      </c>
      <c r="Z248" s="2" t="s">
        <v>3227</v>
      </c>
      <c r="AA248" s="2" t="s">
        <v>75</v>
      </c>
      <c r="AB248" s="2" t="s">
        <v>76</v>
      </c>
      <c r="AC248" s="2" t="s">
        <v>77</v>
      </c>
      <c r="AF248" s="2">
        <f t="shared" si="28"/>
        <v>0</v>
      </c>
      <c r="AG248" s="2">
        <v>117.453</v>
      </c>
      <c r="AH248" s="2">
        <v>220</v>
      </c>
      <c r="AJ248" s="2">
        <f t="shared" si="29"/>
        <v>0</v>
      </c>
      <c r="AK248" s="2">
        <f t="shared" si="31"/>
        <v>66.546999999999997</v>
      </c>
      <c r="AL248" s="5">
        <f t="shared" si="34"/>
        <v>0.36166847826086956</v>
      </c>
    </row>
    <row r="249" spans="1:38" x14ac:dyDescent="0.2">
      <c r="A249" s="2">
        <v>2025</v>
      </c>
      <c r="B249" s="2">
        <v>1</v>
      </c>
      <c r="D249" s="2" t="s">
        <v>535</v>
      </c>
      <c r="E249" s="2" t="s">
        <v>108</v>
      </c>
      <c r="F249" s="2" t="s">
        <v>39</v>
      </c>
      <c r="G249" s="2">
        <v>500973903</v>
      </c>
      <c r="H249" s="2" t="s">
        <v>41</v>
      </c>
      <c r="I249" s="2" t="s">
        <v>536</v>
      </c>
      <c r="J249" s="2" t="s">
        <v>537</v>
      </c>
      <c r="L249" s="2" t="s">
        <v>461</v>
      </c>
      <c r="M249" s="2" t="s">
        <v>41</v>
      </c>
      <c r="O249" s="2" t="s">
        <v>541</v>
      </c>
      <c r="P249" s="2" t="s">
        <v>93</v>
      </c>
      <c r="Q249" s="2" t="s">
        <v>94</v>
      </c>
      <c r="R249" s="2" t="s">
        <v>95</v>
      </c>
      <c r="S249" s="2">
        <v>1</v>
      </c>
      <c r="T249" s="2">
        <v>1.1399999999999999</v>
      </c>
      <c r="U249" s="2">
        <v>0.26219999999999999</v>
      </c>
      <c r="V249" s="2">
        <v>1.4021999999999999</v>
      </c>
      <c r="W249" s="2">
        <v>1.1399999999999999</v>
      </c>
      <c r="X249" s="5">
        <f t="shared" si="33"/>
        <v>0</v>
      </c>
      <c r="Z249" s="2" t="s">
        <v>3227</v>
      </c>
      <c r="AA249" s="2" t="s">
        <v>96</v>
      </c>
      <c r="AB249" s="2" t="s">
        <v>76</v>
      </c>
      <c r="AC249" s="2" t="s">
        <v>93</v>
      </c>
      <c r="AF249" s="2">
        <f t="shared" si="28"/>
        <v>0</v>
      </c>
      <c r="AJ249" s="2">
        <f t="shared" si="29"/>
        <v>0</v>
      </c>
      <c r="AK249" s="2">
        <f t="shared" si="31"/>
        <v>0</v>
      </c>
      <c r="AL249" s="5">
        <f t="shared" si="34"/>
        <v>0</v>
      </c>
    </row>
    <row r="250" spans="1:38" x14ac:dyDescent="0.2">
      <c r="A250" s="2">
        <v>2025</v>
      </c>
      <c r="B250" s="2">
        <v>1</v>
      </c>
      <c r="D250" s="2" t="s">
        <v>542</v>
      </c>
      <c r="E250" s="2" t="s">
        <v>108</v>
      </c>
      <c r="F250" s="2" t="s">
        <v>39</v>
      </c>
      <c r="G250" s="2">
        <v>506411206</v>
      </c>
      <c r="H250" s="2" t="s">
        <v>41</v>
      </c>
      <c r="I250" s="2" t="s">
        <v>543</v>
      </c>
      <c r="J250" s="2" t="s">
        <v>544</v>
      </c>
      <c r="L250" s="2" t="s">
        <v>201</v>
      </c>
      <c r="M250" s="2" t="s">
        <v>41</v>
      </c>
      <c r="O250" s="2" t="s">
        <v>545</v>
      </c>
      <c r="P250" s="2" t="s">
        <v>40</v>
      </c>
      <c r="Q250" s="2" t="s">
        <v>546</v>
      </c>
      <c r="R250" s="2" t="s">
        <v>547</v>
      </c>
      <c r="S250" s="2">
        <v>1</v>
      </c>
      <c r="T250" s="2">
        <v>202.4</v>
      </c>
      <c r="U250" s="2">
        <v>46.552000000000007</v>
      </c>
      <c r="V250" s="2">
        <v>248.952</v>
      </c>
      <c r="W250" s="2">
        <v>91.41</v>
      </c>
      <c r="X250" s="5">
        <f t="shared" si="33"/>
        <v>0.54836956521739133</v>
      </c>
      <c r="Z250" s="2" t="s">
        <v>3227</v>
      </c>
      <c r="AA250" s="2" t="s">
        <v>75</v>
      </c>
      <c r="AB250" s="2" t="s">
        <v>76</v>
      </c>
      <c r="AC250" s="2" t="s">
        <v>40</v>
      </c>
      <c r="AF250" s="2">
        <f t="shared" si="28"/>
        <v>0</v>
      </c>
      <c r="AG250" s="2">
        <v>91.41</v>
      </c>
      <c r="AJ250" s="2">
        <f t="shared" si="29"/>
        <v>0</v>
      </c>
      <c r="AK250" s="2">
        <f t="shared" si="31"/>
        <v>110.99000000000001</v>
      </c>
      <c r="AL250" s="5">
        <f t="shared" si="34"/>
        <v>0.54836956521739133</v>
      </c>
    </row>
    <row r="251" spans="1:38" x14ac:dyDescent="0.2">
      <c r="A251" s="2">
        <v>2025</v>
      </c>
      <c r="B251" s="2">
        <v>1</v>
      </c>
      <c r="D251" s="2" t="s">
        <v>542</v>
      </c>
      <c r="E251" s="2" t="s">
        <v>108</v>
      </c>
      <c r="F251" s="2" t="s">
        <v>39</v>
      </c>
      <c r="G251" s="2">
        <v>506411206</v>
      </c>
      <c r="H251" s="2" t="s">
        <v>41</v>
      </c>
      <c r="I251" s="2" t="s">
        <v>543</v>
      </c>
      <c r="J251" s="2" t="s">
        <v>544</v>
      </c>
      <c r="L251" s="2" t="s">
        <v>201</v>
      </c>
      <c r="M251" s="2" t="s">
        <v>41</v>
      </c>
      <c r="O251" s="2" t="s">
        <v>545</v>
      </c>
      <c r="P251" s="2" t="s">
        <v>93</v>
      </c>
      <c r="Q251" s="2" t="s">
        <v>94</v>
      </c>
      <c r="R251" s="2" t="s">
        <v>95</v>
      </c>
      <c r="S251" s="2">
        <v>1</v>
      </c>
      <c r="T251" s="2">
        <v>1.1399999999999999</v>
      </c>
      <c r="U251" s="2">
        <v>0.26219999999999999</v>
      </c>
      <c r="V251" s="2">
        <v>1.4021999999999999</v>
      </c>
      <c r="W251" s="2">
        <v>1.1399999999999999</v>
      </c>
      <c r="X251" s="5">
        <f t="shared" si="33"/>
        <v>0</v>
      </c>
      <c r="Z251" s="2" t="s">
        <v>3227</v>
      </c>
      <c r="AA251" s="2" t="s">
        <v>96</v>
      </c>
      <c r="AB251" s="2" t="s">
        <v>76</v>
      </c>
      <c r="AC251" s="2" t="s">
        <v>93</v>
      </c>
      <c r="AF251" s="2">
        <f t="shared" si="28"/>
        <v>0</v>
      </c>
      <c r="AG251" s="2">
        <v>1.1399999999999999</v>
      </c>
      <c r="AH251" s="2">
        <v>1.1399999999999999</v>
      </c>
      <c r="AJ251" s="2">
        <f t="shared" si="29"/>
        <v>0</v>
      </c>
      <c r="AK251" s="2">
        <f t="shared" si="31"/>
        <v>0</v>
      </c>
      <c r="AL251" s="5">
        <f t="shared" si="34"/>
        <v>0</v>
      </c>
    </row>
    <row r="252" spans="1:38" x14ac:dyDescent="0.2">
      <c r="A252" s="2">
        <v>2025</v>
      </c>
      <c r="B252" s="2">
        <v>1</v>
      </c>
      <c r="D252" s="2" t="s">
        <v>548</v>
      </c>
      <c r="M252" s="2" t="s">
        <v>40</v>
      </c>
      <c r="P252" s="2" t="s">
        <v>187</v>
      </c>
      <c r="Q252" s="2" t="s">
        <v>317</v>
      </c>
      <c r="R252" s="2" t="s">
        <v>318</v>
      </c>
      <c r="S252" s="2">
        <v>1</v>
      </c>
      <c r="T252" s="2">
        <v>1007</v>
      </c>
      <c r="U252" s="2">
        <v>231.61</v>
      </c>
      <c r="V252" s="2">
        <v>1238.6099999999999</v>
      </c>
      <c r="X252" s="5">
        <f t="shared" si="33"/>
        <v>1</v>
      </c>
      <c r="Z252" s="2" t="s">
        <v>117</v>
      </c>
      <c r="AA252" s="2" t="s">
        <v>317</v>
      </c>
      <c r="AF252" s="2">
        <f t="shared" si="28"/>
        <v>0</v>
      </c>
      <c r="AJ252" s="2">
        <f t="shared" si="29"/>
        <v>0</v>
      </c>
      <c r="AK252" s="2">
        <f t="shared" si="31"/>
        <v>1007</v>
      </c>
      <c r="AL252" s="5">
        <f t="shared" si="34"/>
        <v>1</v>
      </c>
    </row>
    <row r="253" spans="1:38" x14ac:dyDescent="0.2">
      <c r="A253" s="2">
        <v>2025</v>
      </c>
      <c r="B253" s="2">
        <v>1</v>
      </c>
      <c r="D253" s="2" t="s">
        <v>549</v>
      </c>
      <c r="E253" s="2" t="s">
        <v>108</v>
      </c>
      <c r="F253" s="2" t="s">
        <v>395</v>
      </c>
      <c r="G253" s="2">
        <v>503641790</v>
      </c>
      <c r="H253" s="2" t="s">
        <v>40</v>
      </c>
      <c r="I253" s="2" t="s">
        <v>550</v>
      </c>
      <c r="J253" s="2" t="s">
        <v>551</v>
      </c>
      <c r="K253" s="2">
        <v>917753665</v>
      </c>
      <c r="L253" s="2" t="s">
        <v>99</v>
      </c>
      <c r="M253" s="2" t="s">
        <v>80</v>
      </c>
      <c r="O253" s="2" t="s">
        <v>552</v>
      </c>
      <c r="P253" s="2" t="s">
        <v>43</v>
      </c>
      <c r="Q253" s="2" t="s">
        <v>553</v>
      </c>
      <c r="R253" s="2" t="s">
        <v>554</v>
      </c>
      <c r="S253" s="2">
        <v>1</v>
      </c>
      <c r="T253" s="2">
        <v>33</v>
      </c>
      <c r="U253" s="2">
        <v>7.5900000000000007</v>
      </c>
      <c r="V253" s="2">
        <v>40.590000000000003</v>
      </c>
      <c r="W253" s="2">
        <v>15.494999999999999</v>
      </c>
      <c r="X253" s="5">
        <f t="shared" si="33"/>
        <v>0.53045454545454551</v>
      </c>
      <c r="Z253" s="2" t="s">
        <v>3227</v>
      </c>
      <c r="AA253" s="2" t="s">
        <v>46</v>
      </c>
      <c r="AB253" s="2" t="s">
        <v>47</v>
      </c>
      <c r="AC253" s="2" t="s">
        <v>57</v>
      </c>
      <c r="AF253" s="2">
        <f t="shared" si="28"/>
        <v>0</v>
      </c>
      <c r="AG253" s="2">
        <v>15.494999999999999</v>
      </c>
      <c r="AH253" s="2">
        <v>36</v>
      </c>
      <c r="AJ253" s="2">
        <f t="shared" si="29"/>
        <v>0</v>
      </c>
      <c r="AK253" s="2">
        <f t="shared" ref="AK253:AK284" si="35">T253-W253</f>
        <v>17.505000000000003</v>
      </c>
      <c r="AL253" s="5">
        <f t="shared" si="34"/>
        <v>0.53045454545454551</v>
      </c>
    </row>
    <row r="254" spans="1:38" x14ac:dyDescent="0.2">
      <c r="A254" s="2">
        <v>2025</v>
      </c>
      <c r="B254" s="2">
        <v>1</v>
      </c>
      <c r="D254" s="2" t="s">
        <v>549</v>
      </c>
      <c r="E254" s="2" t="s">
        <v>108</v>
      </c>
      <c r="F254" s="2" t="s">
        <v>395</v>
      </c>
      <c r="G254" s="2">
        <v>503641790</v>
      </c>
      <c r="H254" s="2" t="s">
        <v>40</v>
      </c>
      <c r="I254" s="2" t="s">
        <v>550</v>
      </c>
      <c r="J254" s="2" t="s">
        <v>551</v>
      </c>
      <c r="K254" s="2">
        <v>917753665</v>
      </c>
      <c r="L254" s="2" t="s">
        <v>99</v>
      </c>
      <c r="M254" s="2" t="s">
        <v>80</v>
      </c>
      <c r="O254" s="2" t="s">
        <v>555</v>
      </c>
      <c r="P254" s="2" t="s">
        <v>72</v>
      </c>
      <c r="Q254" s="2" t="s">
        <v>73</v>
      </c>
      <c r="R254" s="2" t="s">
        <v>74</v>
      </c>
      <c r="S254" s="2">
        <v>2</v>
      </c>
      <c r="T254" s="2">
        <v>368</v>
      </c>
      <c r="U254" s="2">
        <v>84.64</v>
      </c>
      <c r="V254" s="2">
        <v>452.64</v>
      </c>
      <c r="W254" s="2">
        <v>234.90600000000001</v>
      </c>
      <c r="X254" s="5">
        <f t="shared" si="33"/>
        <v>0.36166847826086956</v>
      </c>
      <c r="Z254" s="2" t="s">
        <v>3227</v>
      </c>
      <c r="AA254" s="2" t="s">
        <v>75</v>
      </c>
      <c r="AB254" s="2" t="s">
        <v>76</v>
      </c>
      <c r="AC254" s="2" t="s">
        <v>77</v>
      </c>
      <c r="AF254" s="2">
        <f t="shared" si="28"/>
        <v>0</v>
      </c>
      <c r="AG254" s="2">
        <v>117.453</v>
      </c>
      <c r="AH254" s="2">
        <v>220</v>
      </c>
      <c r="AJ254" s="2">
        <f t="shared" si="29"/>
        <v>0</v>
      </c>
      <c r="AK254" s="2">
        <f t="shared" si="35"/>
        <v>133.09399999999999</v>
      </c>
      <c r="AL254" s="5">
        <f t="shared" si="34"/>
        <v>0.36166847826086956</v>
      </c>
    </row>
    <row r="255" spans="1:38" x14ac:dyDescent="0.2">
      <c r="A255" s="2">
        <v>2025</v>
      </c>
      <c r="B255" s="2">
        <v>1</v>
      </c>
      <c r="D255" s="2" t="s">
        <v>549</v>
      </c>
      <c r="E255" s="2" t="s">
        <v>108</v>
      </c>
      <c r="F255" s="2" t="s">
        <v>395</v>
      </c>
      <c r="G255" s="2">
        <v>503641790</v>
      </c>
      <c r="H255" s="2" t="s">
        <v>40</v>
      </c>
      <c r="I255" s="2" t="s">
        <v>550</v>
      </c>
      <c r="J255" s="2" t="s">
        <v>551</v>
      </c>
      <c r="K255" s="2">
        <v>917753665</v>
      </c>
      <c r="L255" s="2" t="s">
        <v>99</v>
      </c>
      <c r="M255" s="2" t="s">
        <v>80</v>
      </c>
      <c r="O255" s="2" t="s">
        <v>555</v>
      </c>
      <c r="P255" s="2" t="s">
        <v>72</v>
      </c>
      <c r="Q255" s="2" t="s">
        <v>556</v>
      </c>
      <c r="R255" s="2" t="s">
        <v>381</v>
      </c>
      <c r="S255" s="2">
        <v>1</v>
      </c>
      <c r="T255" s="2">
        <v>211.6</v>
      </c>
      <c r="U255" s="2">
        <v>48.667999999999999</v>
      </c>
      <c r="V255" s="2">
        <v>260.26799999999997</v>
      </c>
      <c r="W255" s="2">
        <v>143.91999999999999</v>
      </c>
      <c r="X255" s="5">
        <f t="shared" si="33"/>
        <v>0.31984877126654071</v>
      </c>
      <c r="Z255" s="2" t="s">
        <v>3227</v>
      </c>
      <c r="AA255" s="2" t="s">
        <v>75</v>
      </c>
      <c r="AB255" s="2" t="s">
        <v>76</v>
      </c>
      <c r="AC255" s="2" t="s">
        <v>77</v>
      </c>
      <c r="AF255" s="2">
        <f t="shared" si="28"/>
        <v>0</v>
      </c>
      <c r="AG255" s="2">
        <v>143.91999999999999</v>
      </c>
      <c r="AJ255" s="2">
        <f t="shared" si="29"/>
        <v>0</v>
      </c>
      <c r="AK255" s="2">
        <f t="shared" si="35"/>
        <v>67.680000000000007</v>
      </c>
      <c r="AL255" s="5">
        <f t="shared" si="34"/>
        <v>0.31984877126654071</v>
      </c>
    </row>
    <row r="256" spans="1:38" x14ac:dyDescent="0.2">
      <c r="A256" s="2">
        <v>2025</v>
      </c>
      <c r="B256" s="2">
        <v>1</v>
      </c>
      <c r="D256" s="2" t="s">
        <v>549</v>
      </c>
      <c r="E256" s="2" t="s">
        <v>108</v>
      </c>
      <c r="F256" s="2" t="s">
        <v>395</v>
      </c>
      <c r="G256" s="2">
        <v>503641790</v>
      </c>
      <c r="H256" s="2" t="s">
        <v>40</v>
      </c>
      <c r="I256" s="2" t="s">
        <v>550</v>
      </c>
      <c r="J256" s="2" t="s">
        <v>551</v>
      </c>
      <c r="K256" s="2">
        <v>917753665</v>
      </c>
      <c r="L256" s="2" t="s">
        <v>99</v>
      </c>
      <c r="M256" s="2" t="s">
        <v>80</v>
      </c>
      <c r="O256" s="2" t="s">
        <v>555</v>
      </c>
      <c r="P256" s="2" t="s">
        <v>72</v>
      </c>
      <c r="Q256" s="2" t="s">
        <v>557</v>
      </c>
      <c r="R256" s="2" t="s">
        <v>307</v>
      </c>
      <c r="S256" s="2">
        <v>1</v>
      </c>
      <c r="T256" s="2">
        <v>211.6</v>
      </c>
      <c r="U256" s="2">
        <v>48.667999999999999</v>
      </c>
      <c r="V256" s="2">
        <v>260.26799999999997</v>
      </c>
      <c r="W256" s="2">
        <v>122.446</v>
      </c>
      <c r="X256" s="5">
        <f t="shared" si="33"/>
        <v>0.4213327032136106</v>
      </c>
      <c r="Z256" s="2" t="s">
        <v>3227</v>
      </c>
      <c r="AA256" s="2" t="s">
        <v>75</v>
      </c>
      <c r="AB256" s="2" t="s">
        <v>76</v>
      </c>
      <c r="AC256" s="2" t="s">
        <v>77</v>
      </c>
      <c r="AF256" s="2">
        <f t="shared" si="28"/>
        <v>0</v>
      </c>
      <c r="AG256" s="2">
        <v>122.446</v>
      </c>
      <c r="AH256" s="2">
        <v>230</v>
      </c>
      <c r="AJ256" s="2">
        <f t="shared" si="29"/>
        <v>0</v>
      </c>
      <c r="AK256" s="2">
        <f t="shared" si="35"/>
        <v>89.153999999999996</v>
      </c>
      <c r="AL256" s="5">
        <f t="shared" si="34"/>
        <v>0.4213327032136106</v>
      </c>
    </row>
    <row r="257" spans="1:38" x14ac:dyDescent="0.2">
      <c r="A257" s="2">
        <v>2025</v>
      </c>
      <c r="B257" s="2">
        <v>1</v>
      </c>
      <c r="D257" s="2" t="s">
        <v>549</v>
      </c>
      <c r="E257" s="2" t="s">
        <v>108</v>
      </c>
      <c r="F257" s="2" t="s">
        <v>395</v>
      </c>
      <c r="G257" s="2">
        <v>503641790</v>
      </c>
      <c r="H257" s="2" t="s">
        <v>40</v>
      </c>
      <c r="I257" s="2" t="s">
        <v>550</v>
      </c>
      <c r="J257" s="2" t="s">
        <v>551</v>
      </c>
      <c r="K257" s="2">
        <v>917753665</v>
      </c>
      <c r="L257" s="2" t="s">
        <v>99</v>
      </c>
      <c r="M257" s="2" t="s">
        <v>80</v>
      </c>
      <c r="O257" s="2" t="s">
        <v>555</v>
      </c>
      <c r="P257" s="2" t="s">
        <v>93</v>
      </c>
      <c r="Q257" s="2" t="s">
        <v>94</v>
      </c>
      <c r="R257" s="2" t="s">
        <v>95</v>
      </c>
      <c r="S257" s="2">
        <v>4</v>
      </c>
      <c r="T257" s="2">
        <v>4.5599999999999996</v>
      </c>
      <c r="U257" s="2">
        <v>1.0488</v>
      </c>
      <c r="V257" s="2">
        <v>5.6087999999999996</v>
      </c>
      <c r="W257" s="2">
        <v>4.5599999999999996</v>
      </c>
      <c r="X257" s="5">
        <f t="shared" si="33"/>
        <v>0</v>
      </c>
      <c r="Z257" s="2" t="s">
        <v>3227</v>
      </c>
      <c r="AA257" s="2" t="s">
        <v>96</v>
      </c>
      <c r="AB257" s="2" t="s">
        <v>76</v>
      </c>
      <c r="AC257" s="2" t="s">
        <v>93</v>
      </c>
      <c r="AF257" s="2">
        <f t="shared" si="28"/>
        <v>0</v>
      </c>
      <c r="AG257" s="2">
        <v>1.1399999999999999</v>
      </c>
      <c r="AH257" s="2">
        <v>1.1399999999999999</v>
      </c>
      <c r="AJ257" s="2">
        <f t="shared" si="29"/>
        <v>0</v>
      </c>
      <c r="AK257" s="2">
        <f t="shared" si="35"/>
        <v>0</v>
      </c>
      <c r="AL257" s="5">
        <f t="shared" si="34"/>
        <v>0</v>
      </c>
    </row>
    <row r="258" spans="1:38" x14ac:dyDescent="0.2">
      <c r="A258" s="2">
        <v>2025</v>
      </c>
      <c r="B258" s="2">
        <v>1</v>
      </c>
      <c r="D258" s="2" t="s">
        <v>558</v>
      </c>
      <c r="E258" s="2" t="s">
        <v>108</v>
      </c>
      <c r="F258" s="2" t="s">
        <v>39</v>
      </c>
      <c r="G258" s="2">
        <v>506517233</v>
      </c>
      <c r="H258" s="2" t="s">
        <v>80</v>
      </c>
      <c r="I258" s="2" t="s">
        <v>559</v>
      </c>
      <c r="J258" s="2" t="s">
        <v>560</v>
      </c>
      <c r="L258" s="2" t="s">
        <v>133</v>
      </c>
      <c r="P258" s="2" t="s">
        <v>114</v>
      </c>
      <c r="Q258" s="2" t="s">
        <v>561</v>
      </c>
      <c r="R258" s="2" t="s">
        <v>562</v>
      </c>
      <c r="S258" s="2">
        <v>2</v>
      </c>
      <c r="T258" s="2">
        <v>28.57</v>
      </c>
      <c r="U258" s="2">
        <v>6.5711000000000004</v>
      </c>
      <c r="V258" s="2">
        <v>35.141100000000002</v>
      </c>
      <c r="W258" s="2">
        <f>5.33*S258</f>
        <v>10.66</v>
      </c>
      <c r="X258" s="5">
        <f t="shared" si="33"/>
        <v>0.62688134406720331</v>
      </c>
      <c r="Z258" s="2" t="s">
        <v>117</v>
      </c>
      <c r="AA258" s="2" t="s">
        <v>118</v>
      </c>
      <c r="AB258" s="2" t="s">
        <v>119</v>
      </c>
      <c r="AC258" s="2" t="s">
        <v>114</v>
      </c>
      <c r="AF258" s="2">
        <f t="shared" ref="AF258:AF321" si="36">AJ258</f>
        <v>0</v>
      </c>
      <c r="AG258" s="2">
        <v>5.33</v>
      </c>
      <c r="AJ258" s="2">
        <f t="shared" ref="AJ258:AJ321" si="37">AI258*T258</f>
        <v>0</v>
      </c>
      <c r="AK258" s="2">
        <f t="shared" si="35"/>
        <v>17.91</v>
      </c>
      <c r="AL258" s="5">
        <f t="shared" si="34"/>
        <v>0.62688134406720331</v>
      </c>
    </row>
    <row r="259" spans="1:38" x14ac:dyDescent="0.2">
      <c r="A259" s="2">
        <v>2025</v>
      </c>
      <c r="B259" s="2">
        <v>1</v>
      </c>
      <c r="D259" s="2" t="s">
        <v>563</v>
      </c>
      <c r="E259" s="2" t="s">
        <v>108</v>
      </c>
      <c r="F259" s="2" t="s">
        <v>39</v>
      </c>
      <c r="G259" s="2">
        <v>510917011</v>
      </c>
      <c r="H259" s="2" t="s">
        <v>41</v>
      </c>
      <c r="I259" s="2" t="s">
        <v>564</v>
      </c>
      <c r="J259" s="2" t="s">
        <v>565</v>
      </c>
      <c r="L259" s="2" t="s">
        <v>418</v>
      </c>
      <c r="M259" s="2" t="s">
        <v>40</v>
      </c>
      <c r="O259" s="2" t="s">
        <v>566</v>
      </c>
      <c r="P259" s="2" t="s">
        <v>187</v>
      </c>
      <c r="Q259" s="2" t="s">
        <v>188</v>
      </c>
      <c r="R259" s="2" t="s">
        <v>189</v>
      </c>
      <c r="S259" s="2">
        <v>1</v>
      </c>
      <c r="T259" s="2">
        <v>107</v>
      </c>
      <c r="U259" s="2">
        <v>24.61</v>
      </c>
      <c r="V259" s="2">
        <v>131.61000000000001</v>
      </c>
      <c r="W259" s="2">
        <f>T259*40%</f>
        <v>42.800000000000004</v>
      </c>
      <c r="X259" s="5">
        <f t="shared" si="33"/>
        <v>0.59999999999999987</v>
      </c>
      <c r="Z259" s="2" t="s">
        <v>117</v>
      </c>
      <c r="AA259" s="2" t="s">
        <v>190</v>
      </c>
      <c r="AB259" s="2" t="s">
        <v>189</v>
      </c>
      <c r="AC259" s="2" t="s">
        <v>40</v>
      </c>
      <c r="AF259" s="2">
        <f t="shared" si="36"/>
        <v>0</v>
      </c>
      <c r="AJ259" s="2">
        <f t="shared" si="37"/>
        <v>0</v>
      </c>
      <c r="AK259" s="2">
        <f t="shared" si="35"/>
        <v>64.199999999999989</v>
      </c>
      <c r="AL259" s="5">
        <f t="shared" si="34"/>
        <v>0.59999999999999987</v>
      </c>
    </row>
    <row r="260" spans="1:38" x14ac:dyDescent="0.2">
      <c r="A260" s="2">
        <v>2025</v>
      </c>
      <c r="B260" s="2">
        <v>1</v>
      </c>
      <c r="D260" s="2" t="s">
        <v>563</v>
      </c>
      <c r="E260" s="2" t="s">
        <v>108</v>
      </c>
      <c r="F260" s="2" t="s">
        <v>39</v>
      </c>
      <c r="G260" s="2">
        <v>510917011</v>
      </c>
      <c r="H260" s="2" t="s">
        <v>41</v>
      </c>
      <c r="I260" s="2" t="s">
        <v>564</v>
      </c>
      <c r="J260" s="2" t="s">
        <v>565</v>
      </c>
      <c r="L260" s="2" t="s">
        <v>418</v>
      </c>
      <c r="M260" s="2" t="s">
        <v>40</v>
      </c>
      <c r="O260" s="2" t="s">
        <v>566</v>
      </c>
      <c r="P260" s="2" t="s">
        <v>187</v>
      </c>
      <c r="Q260" s="2" t="s">
        <v>191</v>
      </c>
      <c r="R260" s="2" t="s">
        <v>190</v>
      </c>
      <c r="S260" s="2">
        <v>1</v>
      </c>
      <c r="T260" s="2">
        <v>50</v>
      </c>
      <c r="U260" s="2">
        <v>11.5</v>
      </c>
      <c r="V260" s="2">
        <v>61.5</v>
      </c>
      <c r="W260" s="2">
        <f>T260*50%</f>
        <v>25</v>
      </c>
      <c r="X260" s="5">
        <f t="shared" si="33"/>
        <v>0.5</v>
      </c>
      <c r="Z260" s="2" t="s">
        <v>117</v>
      </c>
      <c r="AA260" s="2" t="s">
        <v>190</v>
      </c>
      <c r="AB260" s="2" t="s">
        <v>190</v>
      </c>
      <c r="AC260" s="2" t="s">
        <v>40</v>
      </c>
      <c r="AF260" s="2">
        <f t="shared" si="36"/>
        <v>0</v>
      </c>
      <c r="AJ260" s="2">
        <f t="shared" si="37"/>
        <v>0</v>
      </c>
      <c r="AK260" s="2">
        <f t="shared" si="35"/>
        <v>25</v>
      </c>
      <c r="AL260" s="5">
        <f t="shared" si="34"/>
        <v>0.5</v>
      </c>
    </row>
    <row r="261" spans="1:38" x14ac:dyDescent="0.2">
      <c r="A261" s="2">
        <v>2025</v>
      </c>
      <c r="B261" s="2">
        <v>1</v>
      </c>
      <c r="D261" s="2" t="s">
        <v>563</v>
      </c>
      <c r="E261" s="2" t="s">
        <v>108</v>
      </c>
      <c r="F261" s="2" t="s">
        <v>39</v>
      </c>
      <c r="G261" s="2">
        <v>510917011</v>
      </c>
      <c r="H261" s="2" t="s">
        <v>41</v>
      </c>
      <c r="I261" s="2" t="s">
        <v>564</v>
      </c>
      <c r="J261" s="2" t="s">
        <v>565</v>
      </c>
      <c r="L261" s="2" t="s">
        <v>418</v>
      </c>
      <c r="M261" s="2" t="s">
        <v>40</v>
      </c>
      <c r="O261" s="2" t="s">
        <v>566</v>
      </c>
      <c r="P261" s="2" t="s">
        <v>40</v>
      </c>
      <c r="Q261" s="2" t="s">
        <v>363</v>
      </c>
      <c r="R261" s="2" t="s">
        <v>364</v>
      </c>
      <c r="S261" s="2">
        <v>1</v>
      </c>
      <c r="T261" s="2">
        <v>267.18</v>
      </c>
      <c r="U261" s="2">
        <v>61.451400000000007</v>
      </c>
      <c r="V261" s="2">
        <v>328.63139999999999</v>
      </c>
      <c r="X261" s="5">
        <f t="shared" si="33"/>
        <v>1</v>
      </c>
      <c r="Z261" s="2" t="s">
        <v>117</v>
      </c>
      <c r="AA261" s="2" t="s">
        <v>118</v>
      </c>
      <c r="AB261" s="2" t="s">
        <v>119</v>
      </c>
      <c r="AF261" s="2">
        <f t="shared" si="36"/>
        <v>0</v>
      </c>
      <c r="AJ261" s="2">
        <f t="shared" si="37"/>
        <v>0</v>
      </c>
      <c r="AK261" s="2">
        <f t="shared" si="35"/>
        <v>267.18</v>
      </c>
      <c r="AL261" s="5">
        <f t="shared" si="34"/>
        <v>1</v>
      </c>
    </row>
    <row r="262" spans="1:38" x14ac:dyDescent="0.2">
      <c r="A262" s="2">
        <v>2025</v>
      </c>
      <c r="B262" s="2">
        <v>1</v>
      </c>
      <c r="D262" s="2" t="s">
        <v>567</v>
      </c>
      <c r="E262" s="2" t="s">
        <v>38</v>
      </c>
      <c r="F262" s="2" t="s">
        <v>39</v>
      </c>
      <c r="G262" s="2">
        <v>600011712</v>
      </c>
      <c r="H262" s="2" t="s">
        <v>290</v>
      </c>
      <c r="I262" s="2" t="s">
        <v>339</v>
      </c>
      <c r="J262" s="2" t="s">
        <v>3187</v>
      </c>
      <c r="L262" s="2" t="s">
        <v>339</v>
      </c>
      <c r="M262" s="2" t="s">
        <v>40</v>
      </c>
      <c r="O262" s="2" t="s">
        <v>3188</v>
      </c>
      <c r="P262" s="2" t="s">
        <v>187</v>
      </c>
      <c r="Q262" s="2" t="s">
        <v>188</v>
      </c>
      <c r="R262" s="2" t="s">
        <v>189</v>
      </c>
      <c r="S262" s="2">
        <v>0</v>
      </c>
      <c r="T262" s="2">
        <v>0</v>
      </c>
      <c r="U262" s="2">
        <v>0</v>
      </c>
      <c r="V262" s="2">
        <v>0</v>
      </c>
      <c r="W262" s="2">
        <f>T262*40%</f>
        <v>0</v>
      </c>
      <c r="X262" s="5">
        <v>0</v>
      </c>
      <c r="Z262" s="2" t="s">
        <v>117</v>
      </c>
      <c r="AA262" s="2" t="s">
        <v>190</v>
      </c>
      <c r="AB262" s="2" t="s">
        <v>189</v>
      </c>
      <c r="AC262" s="2" t="s">
        <v>40</v>
      </c>
      <c r="AF262" s="2">
        <f t="shared" si="36"/>
        <v>0</v>
      </c>
      <c r="AJ262" s="2">
        <f t="shared" si="37"/>
        <v>0</v>
      </c>
      <c r="AK262" s="2">
        <f t="shared" si="35"/>
        <v>0</v>
      </c>
      <c r="AL262" s="5" t="e">
        <f t="shared" si="34"/>
        <v>#DIV/0!</v>
      </c>
    </row>
    <row r="263" spans="1:38" x14ac:dyDescent="0.2">
      <c r="A263" s="2">
        <v>2025</v>
      </c>
      <c r="B263" s="2">
        <v>1</v>
      </c>
      <c r="D263" s="2" t="s">
        <v>567</v>
      </c>
      <c r="E263" s="2" t="s">
        <v>38</v>
      </c>
      <c r="F263" s="2" t="s">
        <v>39</v>
      </c>
      <c r="G263" s="2">
        <v>600011712</v>
      </c>
      <c r="H263" s="2" t="s">
        <v>290</v>
      </c>
      <c r="I263" s="2" t="s">
        <v>339</v>
      </c>
      <c r="J263" s="2" t="s">
        <v>3187</v>
      </c>
      <c r="L263" s="2" t="s">
        <v>339</v>
      </c>
      <c r="M263" s="2" t="s">
        <v>40</v>
      </c>
      <c r="O263" s="2" t="s">
        <v>3189</v>
      </c>
      <c r="P263" s="2" t="s">
        <v>187</v>
      </c>
      <c r="Q263" s="2" t="s">
        <v>191</v>
      </c>
      <c r="R263" s="2" t="s">
        <v>190</v>
      </c>
      <c r="S263" s="2">
        <v>0</v>
      </c>
      <c r="T263" s="2">
        <v>0</v>
      </c>
      <c r="U263" s="2">
        <v>0</v>
      </c>
      <c r="V263" s="2">
        <v>0</v>
      </c>
      <c r="W263" s="2">
        <f>T263*50%</f>
        <v>0</v>
      </c>
      <c r="X263" s="5">
        <v>0</v>
      </c>
      <c r="Z263" s="2" t="s">
        <v>117</v>
      </c>
      <c r="AA263" s="2" t="s">
        <v>190</v>
      </c>
      <c r="AB263" s="2" t="s">
        <v>190</v>
      </c>
      <c r="AC263" s="2" t="s">
        <v>40</v>
      </c>
      <c r="AF263" s="2">
        <f t="shared" si="36"/>
        <v>0</v>
      </c>
      <c r="AJ263" s="2">
        <f t="shared" si="37"/>
        <v>0</v>
      </c>
      <c r="AK263" s="2">
        <f t="shared" si="35"/>
        <v>0</v>
      </c>
      <c r="AL263" s="5">
        <v>0</v>
      </c>
    </row>
    <row r="264" spans="1:38" x14ac:dyDescent="0.2">
      <c r="A264" s="2">
        <v>2025</v>
      </c>
      <c r="B264" s="2">
        <v>1</v>
      </c>
      <c r="D264" s="2" t="s">
        <v>568</v>
      </c>
      <c r="E264" s="2" t="s">
        <v>38</v>
      </c>
      <c r="F264" s="2" t="s">
        <v>39</v>
      </c>
      <c r="G264" s="2">
        <v>506267547</v>
      </c>
      <c r="H264" s="2" t="s">
        <v>290</v>
      </c>
      <c r="I264" s="2" t="s">
        <v>569</v>
      </c>
      <c r="J264" s="2" t="s">
        <v>570</v>
      </c>
      <c r="K264" s="2">
        <v>917821904</v>
      </c>
      <c r="L264" s="2" t="s">
        <v>571</v>
      </c>
      <c r="M264" s="2" t="s">
        <v>40</v>
      </c>
      <c r="O264" s="2" t="s">
        <v>572</v>
      </c>
      <c r="P264" s="2" t="s">
        <v>43</v>
      </c>
      <c r="Q264" s="2" t="s">
        <v>158</v>
      </c>
      <c r="R264" s="2" t="s">
        <v>159</v>
      </c>
      <c r="S264" s="2">
        <v>1</v>
      </c>
      <c r="T264" s="2">
        <v>17.46</v>
      </c>
      <c r="U264" s="2">
        <v>4.0157999999999996</v>
      </c>
      <c r="V264" s="2">
        <v>21.4758</v>
      </c>
      <c r="W264" s="2">
        <f>9.3*S264</f>
        <v>9.3000000000000007</v>
      </c>
      <c r="X264" s="5">
        <f t="shared" ref="X264:X288" si="38">(T264-W264)/T264</f>
        <v>0.46735395189003437</v>
      </c>
      <c r="Z264" s="2" t="s">
        <v>3227</v>
      </c>
      <c r="AA264" s="2" t="s">
        <v>46</v>
      </c>
      <c r="AB264" s="2" t="s">
        <v>47</v>
      </c>
      <c r="AC264" s="2" t="s">
        <v>57</v>
      </c>
      <c r="AF264" s="2">
        <f t="shared" si="36"/>
        <v>0</v>
      </c>
      <c r="AG264" s="2">
        <v>9.3000000000000007</v>
      </c>
      <c r="AH264" s="2">
        <v>21</v>
      </c>
      <c r="AJ264" s="2">
        <f t="shared" si="37"/>
        <v>0</v>
      </c>
      <c r="AK264" s="2">
        <f t="shared" si="35"/>
        <v>8.16</v>
      </c>
      <c r="AL264" s="5">
        <f t="shared" ref="AL264:AL288" si="39">(T264-W264)/T264</f>
        <v>0.46735395189003437</v>
      </c>
    </row>
    <row r="265" spans="1:38" x14ac:dyDescent="0.2">
      <c r="A265" s="2">
        <v>2025</v>
      </c>
      <c r="B265" s="2">
        <v>1</v>
      </c>
      <c r="D265" s="2" t="s">
        <v>568</v>
      </c>
      <c r="E265" s="2" t="s">
        <v>38</v>
      </c>
      <c r="F265" s="2" t="s">
        <v>39</v>
      </c>
      <c r="G265" s="2">
        <v>506267547</v>
      </c>
      <c r="H265" s="2" t="s">
        <v>290</v>
      </c>
      <c r="I265" s="2" t="s">
        <v>569</v>
      </c>
      <c r="J265" s="2" t="s">
        <v>570</v>
      </c>
      <c r="K265" s="2">
        <v>917821904</v>
      </c>
      <c r="L265" s="2" t="s">
        <v>571</v>
      </c>
      <c r="M265" s="2" t="s">
        <v>40</v>
      </c>
      <c r="O265" s="2" t="s">
        <v>572</v>
      </c>
      <c r="P265" s="2" t="s">
        <v>43</v>
      </c>
      <c r="Q265" s="2" t="s">
        <v>61</v>
      </c>
      <c r="R265" s="2" t="s">
        <v>62</v>
      </c>
      <c r="S265" s="2">
        <v>100</v>
      </c>
      <c r="T265" s="2">
        <v>13</v>
      </c>
      <c r="U265" s="2">
        <v>2.99</v>
      </c>
      <c r="V265" s="2">
        <v>15.99</v>
      </c>
      <c r="W265" s="2">
        <f>0.082*S265</f>
        <v>8.2000000000000011</v>
      </c>
      <c r="X265" s="5">
        <f t="shared" si="38"/>
        <v>0.36923076923076914</v>
      </c>
      <c r="Z265" s="2" t="s">
        <v>3227</v>
      </c>
      <c r="AA265" s="2" t="s">
        <v>46</v>
      </c>
      <c r="AB265" s="2" t="s">
        <v>60</v>
      </c>
      <c r="AC265" s="2" t="s">
        <v>57</v>
      </c>
      <c r="AF265" s="2">
        <f t="shared" si="36"/>
        <v>0</v>
      </c>
      <c r="AG265" s="2">
        <v>8.1999999999999993</v>
      </c>
      <c r="AH265" s="2">
        <v>13</v>
      </c>
      <c r="AJ265" s="2">
        <f t="shared" si="37"/>
        <v>0</v>
      </c>
      <c r="AK265" s="2">
        <f t="shared" si="35"/>
        <v>4.7999999999999989</v>
      </c>
      <c r="AL265" s="5">
        <f t="shared" si="39"/>
        <v>0.36923076923076914</v>
      </c>
    </row>
    <row r="266" spans="1:38" x14ac:dyDescent="0.2">
      <c r="A266" s="2">
        <v>2025</v>
      </c>
      <c r="B266" s="2">
        <v>1</v>
      </c>
      <c r="D266" s="2" t="s">
        <v>568</v>
      </c>
      <c r="E266" s="2" t="s">
        <v>38</v>
      </c>
      <c r="F266" s="2" t="s">
        <v>39</v>
      </c>
      <c r="G266" s="2">
        <v>506267547</v>
      </c>
      <c r="H266" s="2" t="s">
        <v>290</v>
      </c>
      <c r="I266" s="2" t="s">
        <v>569</v>
      </c>
      <c r="J266" s="2" t="s">
        <v>570</v>
      </c>
      <c r="K266" s="2">
        <v>917821904</v>
      </c>
      <c r="L266" s="2" t="s">
        <v>571</v>
      </c>
      <c r="M266" s="2" t="s">
        <v>40</v>
      </c>
      <c r="O266" s="2" t="s">
        <v>572</v>
      </c>
      <c r="P266" s="2" t="s">
        <v>169</v>
      </c>
      <c r="Q266" s="2" t="s">
        <v>170</v>
      </c>
      <c r="R266" s="2" t="s">
        <v>170</v>
      </c>
      <c r="S266" s="2">
        <v>1</v>
      </c>
      <c r="T266" s="2">
        <v>5.5</v>
      </c>
      <c r="U266" s="2">
        <v>1.2649999999999999</v>
      </c>
      <c r="V266" s="2">
        <v>6.7650000000000006</v>
      </c>
      <c r="W266" s="2">
        <v>6</v>
      </c>
      <c r="X266" s="5">
        <f t="shared" si="38"/>
        <v>-9.0909090909090912E-2</v>
      </c>
      <c r="Z266" s="2" t="s">
        <v>169</v>
      </c>
      <c r="AA266" s="2" t="s">
        <v>169</v>
      </c>
      <c r="AF266" s="2">
        <f t="shared" si="36"/>
        <v>0</v>
      </c>
      <c r="AJ266" s="2">
        <f t="shared" si="37"/>
        <v>0</v>
      </c>
      <c r="AK266" s="2">
        <f t="shared" si="35"/>
        <v>-0.5</v>
      </c>
      <c r="AL266" s="5">
        <f t="shared" si="39"/>
        <v>-9.0909090909090912E-2</v>
      </c>
    </row>
    <row r="267" spans="1:38" x14ac:dyDescent="0.2">
      <c r="A267" s="2">
        <v>2025</v>
      </c>
      <c r="B267" s="2">
        <v>1</v>
      </c>
      <c r="D267" s="2" t="s">
        <v>573</v>
      </c>
      <c r="P267" s="2" t="s">
        <v>84</v>
      </c>
      <c r="Q267" s="2" t="s">
        <v>274</v>
      </c>
      <c r="R267" s="2" t="s">
        <v>275</v>
      </c>
      <c r="S267" s="2">
        <v>1</v>
      </c>
      <c r="T267" s="2">
        <v>8.4</v>
      </c>
      <c r="U267" s="2">
        <v>1.9319999999999999</v>
      </c>
      <c r="V267" s="2">
        <v>10.332000000000001</v>
      </c>
      <c r="W267" s="2">
        <v>2.94</v>
      </c>
      <c r="X267" s="5">
        <f t="shared" si="38"/>
        <v>0.65</v>
      </c>
      <c r="Z267" s="2" t="s">
        <v>3227</v>
      </c>
      <c r="AA267" s="2" t="s">
        <v>87</v>
      </c>
      <c r="AB267" s="2" t="s">
        <v>90</v>
      </c>
      <c r="AC267" s="2" t="s">
        <v>84</v>
      </c>
      <c r="AF267" s="2">
        <f t="shared" si="36"/>
        <v>0</v>
      </c>
      <c r="AJ267" s="2">
        <f t="shared" si="37"/>
        <v>0</v>
      </c>
      <c r="AK267" s="2">
        <f t="shared" si="35"/>
        <v>5.4600000000000009</v>
      </c>
      <c r="AL267" s="5">
        <f t="shared" si="39"/>
        <v>0.65</v>
      </c>
    </row>
    <row r="268" spans="1:38" x14ac:dyDescent="0.2">
      <c r="A268" s="2">
        <v>2025</v>
      </c>
      <c r="B268" s="2">
        <v>1</v>
      </c>
      <c r="D268" s="2" t="s">
        <v>573</v>
      </c>
      <c r="P268" s="2" t="s">
        <v>84</v>
      </c>
      <c r="Q268" s="2" t="s">
        <v>276</v>
      </c>
      <c r="R268" s="2" t="s">
        <v>277</v>
      </c>
      <c r="S268" s="2">
        <v>1</v>
      </c>
      <c r="T268" s="2">
        <v>8.4</v>
      </c>
      <c r="U268" s="2">
        <v>1.9319999999999999</v>
      </c>
      <c r="V268" s="2">
        <v>10.332000000000001</v>
      </c>
      <c r="W268" s="2">
        <v>2.5051000000000001</v>
      </c>
      <c r="X268" s="5">
        <f t="shared" si="38"/>
        <v>0.70177380952380952</v>
      </c>
      <c r="Z268" s="2" t="s">
        <v>3227</v>
      </c>
      <c r="AA268" s="2" t="s">
        <v>87</v>
      </c>
      <c r="AB268" s="2" t="s">
        <v>90</v>
      </c>
      <c r="AC268" s="2" t="s">
        <v>84</v>
      </c>
      <c r="AF268" s="2">
        <f t="shared" si="36"/>
        <v>0</v>
      </c>
      <c r="AJ268" s="2">
        <f t="shared" si="37"/>
        <v>0</v>
      </c>
      <c r="AK268" s="2">
        <f t="shared" si="35"/>
        <v>5.8948999999999998</v>
      </c>
      <c r="AL268" s="5">
        <f t="shared" si="39"/>
        <v>0.70177380952380952</v>
      </c>
    </row>
    <row r="269" spans="1:38" x14ac:dyDescent="0.2">
      <c r="A269" s="2">
        <v>2025</v>
      </c>
      <c r="B269" s="2">
        <v>1</v>
      </c>
      <c r="D269" s="2" t="s">
        <v>574</v>
      </c>
      <c r="E269" s="2" t="s">
        <v>38</v>
      </c>
      <c r="F269" s="2" t="s">
        <v>39</v>
      </c>
      <c r="G269" s="2">
        <v>504811029</v>
      </c>
      <c r="H269" s="2" t="s">
        <v>41</v>
      </c>
      <c r="I269" s="2" t="s">
        <v>177</v>
      </c>
      <c r="J269" s="2" t="s">
        <v>575</v>
      </c>
      <c r="L269" s="2" t="s">
        <v>177</v>
      </c>
      <c r="M269" s="2" t="s">
        <v>41</v>
      </c>
      <c r="P269" s="2" t="s">
        <v>114</v>
      </c>
      <c r="Q269" s="2" t="s">
        <v>576</v>
      </c>
      <c r="R269" s="2" t="s">
        <v>577</v>
      </c>
      <c r="S269" s="2">
        <v>1</v>
      </c>
      <c r="T269" s="2">
        <v>79.47</v>
      </c>
      <c r="U269" s="2">
        <v>18.278099999999998</v>
      </c>
      <c r="V269" s="2">
        <v>97.748099999999994</v>
      </c>
      <c r="W269" s="2">
        <v>25.2</v>
      </c>
      <c r="X269" s="5">
        <f t="shared" si="38"/>
        <v>0.68289920724801811</v>
      </c>
      <c r="Z269" s="2" t="s">
        <v>117</v>
      </c>
      <c r="AA269" s="2" t="s">
        <v>578</v>
      </c>
      <c r="AB269" s="2" t="s">
        <v>119</v>
      </c>
      <c r="AC269" s="2" t="s">
        <v>114</v>
      </c>
      <c r="AF269" s="2">
        <f t="shared" si="36"/>
        <v>0</v>
      </c>
      <c r="AG269" s="2">
        <v>25.2</v>
      </c>
      <c r="AJ269" s="2">
        <f t="shared" si="37"/>
        <v>0</v>
      </c>
      <c r="AK269" s="2">
        <f t="shared" si="35"/>
        <v>54.269999999999996</v>
      </c>
      <c r="AL269" s="5">
        <f t="shared" si="39"/>
        <v>0.68289920724801811</v>
      </c>
    </row>
    <row r="270" spans="1:38" x14ac:dyDescent="0.2">
      <c r="A270" s="2">
        <v>2025</v>
      </c>
      <c r="B270" s="2">
        <v>1</v>
      </c>
      <c r="D270" s="2" t="s">
        <v>574</v>
      </c>
      <c r="E270" s="2" t="s">
        <v>38</v>
      </c>
      <c r="F270" s="2" t="s">
        <v>39</v>
      </c>
      <c r="G270" s="2">
        <v>504811029</v>
      </c>
      <c r="H270" s="2" t="s">
        <v>41</v>
      </c>
      <c r="I270" s="2" t="s">
        <v>177</v>
      </c>
      <c r="J270" s="2" t="s">
        <v>575</v>
      </c>
      <c r="L270" s="2" t="s">
        <v>177</v>
      </c>
      <c r="M270" s="2" t="s">
        <v>41</v>
      </c>
      <c r="P270" s="2" t="s">
        <v>43</v>
      </c>
      <c r="Q270" s="2" t="s">
        <v>48</v>
      </c>
      <c r="R270" s="2" t="s">
        <v>49</v>
      </c>
      <c r="S270" s="2">
        <v>1</v>
      </c>
      <c r="T270" s="2">
        <v>12</v>
      </c>
      <c r="U270" s="2">
        <v>2.76</v>
      </c>
      <c r="V270" s="2">
        <v>14.76</v>
      </c>
      <c r="W270" s="2">
        <f>6.6267*S270</f>
        <v>6.6266999999999996</v>
      </c>
      <c r="X270" s="5">
        <f t="shared" si="38"/>
        <v>0.44777500000000003</v>
      </c>
      <c r="Z270" s="2" t="s">
        <v>3227</v>
      </c>
      <c r="AA270" s="2" t="s">
        <v>46</v>
      </c>
      <c r="AB270" s="2" t="s">
        <v>47</v>
      </c>
      <c r="AC270" s="2" t="s">
        <v>57</v>
      </c>
      <c r="AF270" s="2">
        <f t="shared" si="36"/>
        <v>0</v>
      </c>
      <c r="AG270" s="2">
        <v>6.6266999999999996</v>
      </c>
      <c r="AH270" s="2">
        <v>12</v>
      </c>
      <c r="AJ270" s="2">
        <f t="shared" si="37"/>
        <v>0</v>
      </c>
      <c r="AK270" s="2">
        <f t="shared" si="35"/>
        <v>5.3733000000000004</v>
      </c>
      <c r="AL270" s="5">
        <f t="shared" si="39"/>
        <v>0.44777500000000003</v>
      </c>
    </row>
    <row r="271" spans="1:38" x14ac:dyDescent="0.2">
      <c r="A271" s="2">
        <v>2025</v>
      </c>
      <c r="B271" s="2">
        <v>1</v>
      </c>
      <c r="D271" s="2" t="s">
        <v>574</v>
      </c>
      <c r="E271" s="2" t="s">
        <v>38</v>
      </c>
      <c r="F271" s="2" t="s">
        <v>39</v>
      </c>
      <c r="G271" s="2">
        <v>504811029</v>
      </c>
      <c r="H271" s="2" t="s">
        <v>41</v>
      </c>
      <c r="I271" s="2" t="s">
        <v>177</v>
      </c>
      <c r="J271" s="2" t="s">
        <v>575</v>
      </c>
      <c r="L271" s="2" t="s">
        <v>177</v>
      </c>
      <c r="M271" s="2" t="s">
        <v>41</v>
      </c>
      <c r="P271" s="2" t="s">
        <v>43</v>
      </c>
      <c r="Q271" s="2" t="s">
        <v>54</v>
      </c>
      <c r="R271" s="2" t="s">
        <v>55</v>
      </c>
      <c r="S271" s="2">
        <v>10</v>
      </c>
      <c r="T271" s="2">
        <v>160</v>
      </c>
      <c r="U271" s="2">
        <v>36.799999999999997</v>
      </c>
      <c r="V271" s="2">
        <v>196.8</v>
      </c>
      <c r="W271" s="2">
        <f>10.6*S271</f>
        <v>106</v>
      </c>
      <c r="X271" s="5">
        <f t="shared" si="38"/>
        <v>0.33750000000000002</v>
      </c>
      <c r="Z271" s="2" t="s">
        <v>3227</v>
      </c>
      <c r="AA271" s="2" t="s">
        <v>46</v>
      </c>
      <c r="AB271" s="2" t="s">
        <v>56</v>
      </c>
      <c r="AC271" s="2" t="s">
        <v>57</v>
      </c>
      <c r="AF271" s="2">
        <f t="shared" si="36"/>
        <v>0</v>
      </c>
      <c r="AG271" s="2">
        <v>10.6</v>
      </c>
      <c r="AH271" s="2">
        <v>18</v>
      </c>
      <c r="AJ271" s="2">
        <f t="shared" si="37"/>
        <v>0</v>
      </c>
      <c r="AK271" s="2">
        <f t="shared" si="35"/>
        <v>54</v>
      </c>
      <c r="AL271" s="5">
        <f t="shared" si="39"/>
        <v>0.33750000000000002</v>
      </c>
    </row>
    <row r="272" spans="1:38" x14ac:dyDescent="0.2">
      <c r="A272" s="2">
        <v>2025</v>
      </c>
      <c r="B272" s="2">
        <v>1</v>
      </c>
      <c r="D272" s="2" t="s">
        <v>574</v>
      </c>
      <c r="E272" s="2" t="s">
        <v>38</v>
      </c>
      <c r="F272" s="2" t="s">
        <v>39</v>
      </c>
      <c r="G272" s="2">
        <v>504811029</v>
      </c>
      <c r="H272" s="2" t="s">
        <v>41</v>
      </c>
      <c r="I272" s="2" t="s">
        <v>177</v>
      </c>
      <c r="J272" s="2" t="s">
        <v>575</v>
      </c>
      <c r="L272" s="2" t="s">
        <v>177</v>
      </c>
      <c r="M272" s="2" t="s">
        <v>41</v>
      </c>
      <c r="P272" s="2" t="s">
        <v>43</v>
      </c>
      <c r="Q272" s="2" t="s">
        <v>334</v>
      </c>
      <c r="R272" s="2" t="s">
        <v>335</v>
      </c>
      <c r="S272" s="2">
        <v>20</v>
      </c>
      <c r="T272" s="2">
        <v>60</v>
      </c>
      <c r="U272" s="2">
        <v>13.8</v>
      </c>
      <c r="V272" s="2">
        <v>73.8</v>
      </c>
      <c r="W272" s="2">
        <f>1.1122*S272</f>
        <v>22.244</v>
      </c>
      <c r="X272" s="5">
        <f t="shared" si="38"/>
        <v>0.62926666666666664</v>
      </c>
      <c r="Z272" s="2" t="s">
        <v>3227</v>
      </c>
      <c r="AA272" s="2" t="s">
        <v>46</v>
      </c>
      <c r="AB272" s="2" t="s">
        <v>60</v>
      </c>
      <c r="AC272" s="2" t="s">
        <v>57</v>
      </c>
      <c r="AF272" s="2">
        <f t="shared" si="36"/>
        <v>0</v>
      </c>
      <c r="AG272" s="2">
        <v>1.1122000000000001</v>
      </c>
      <c r="AH272" s="2">
        <v>3</v>
      </c>
      <c r="AJ272" s="2">
        <f t="shared" si="37"/>
        <v>0</v>
      </c>
      <c r="AK272" s="2">
        <f t="shared" si="35"/>
        <v>37.756</v>
      </c>
      <c r="AL272" s="5">
        <f t="shared" si="39"/>
        <v>0.62926666666666664</v>
      </c>
    </row>
    <row r="273" spans="1:38" x14ac:dyDescent="0.2">
      <c r="A273" s="2">
        <v>2025</v>
      </c>
      <c r="B273" s="2">
        <v>1</v>
      </c>
      <c r="D273" s="2" t="s">
        <v>574</v>
      </c>
      <c r="E273" s="2" t="s">
        <v>38</v>
      </c>
      <c r="F273" s="2" t="s">
        <v>39</v>
      </c>
      <c r="G273" s="2">
        <v>504811029</v>
      </c>
      <c r="H273" s="2" t="s">
        <v>41</v>
      </c>
      <c r="I273" s="2" t="s">
        <v>177</v>
      </c>
      <c r="J273" s="2" t="s">
        <v>575</v>
      </c>
      <c r="L273" s="2" t="s">
        <v>177</v>
      </c>
      <c r="M273" s="2" t="s">
        <v>41</v>
      </c>
      <c r="P273" s="2" t="s">
        <v>43</v>
      </c>
      <c r="Q273" s="2" t="s">
        <v>579</v>
      </c>
      <c r="R273" s="2" t="s">
        <v>580</v>
      </c>
      <c r="S273" s="2">
        <v>4</v>
      </c>
      <c r="T273" s="2">
        <v>9.6</v>
      </c>
      <c r="U273" s="2">
        <v>2.2080000000000002</v>
      </c>
      <c r="V273" s="2">
        <v>11.808</v>
      </c>
      <c r="W273" s="2">
        <f>1.4114*S273</f>
        <v>5.6456</v>
      </c>
      <c r="X273" s="5">
        <f t="shared" si="38"/>
        <v>0.41191666666666665</v>
      </c>
      <c r="Z273" s="2" t="s">
        <v>3227</v>
      </c>
      <c r="AA273" s="2" t="s">
        <v>46</v>
      </c>
      <c r="AB273" s="2" t="s">
        <v>60</v>
      </c>
      <c r="AC273" s="2" t="s">
        <v>57</v>
      </c>
      <c r="AF273" s="2">
        <f t="shared" si="36"/>
        <v>0</v>
      </c>
      <c r="AG273" s="2">
        <v>1.4114</v>
      </c>
      <c r="AH273" s="2">
        <v>3</v>
      </c>
      <c r="AJ273" s="2">
        <f t="shared" si="37"/>
        <v>0</v>
      </c>
      <c r="AK273" s="2">
        <f t="shared" si="35"/>
        <v>3.9543999999999997</v>
      </c>
      <c r="AL273" s="5">
        <f t="shared" si="39"/>
        <v>0.41191666666666665</v>
      </c>
    </row>
    <row r="274" spans="1:38" x14ac:dyDescent="0.2">
      <c r="A274" s="2">
        <v>2025</v>
      </c>
      <c r="B274" s="2">
        <v>1</v>
      </c>
      <c r="D274" s="2" t="s">
        <v>581</v>
      </c>
      <c r="E274" s="2" t="s">
        <v>38</v>
      </c>
      <c r="F274" s="2" t="s">
        <v>39</v>
      </c>
      <c r="G274" s="2">
        <v>518281272</v>
      </c>
      <c r="H274" s="2" t="s">
        <v>41</v>
      </c>
      <c r="I274" s="2" t="s">
        <v>1101</v>
      </c>
      <c r="J274" s="2" t="s">
        <v>1102</v>
      </c>
      <c r="L274" s="2" t="s">
        <v>177</v>
      </c>
      <c r="M274" s="2" t="s">
        <v>41</v>
      </c>
      <c r="P274" s="2" t="s">
        <v>43</v>
      </c>
      <c r="Q274" s="2" t="s">
        <v>61</v>
      </c>
      <c r="R274" s="2" t="s">
        <v>62</v>
      </c>
      <c r="S274" s="2">
        <v>1000</v>
      </c>
      <c r="T274" s="2">
        <v>110</v>
      </c>
      <c r="U274" s="2">
        <v>25.3</v>
      </c>
      <c r="V274" s="2">
        <v>135.30000000000001</v>
      </c>
      <c r="W274" s="2">
        <f>0.082*S274</f>
        <v>82</v>
      </c>
      <c r="X274" s="5">
        <f t="shared" si="38"/>
        <v>0.25454545454545452</v>
      </c>
      <c r="Z274" s="2" t="s">
        <v>3227</v>
      </c>
      <c r="AA274" s="2" t="s">
        <v>46</v>
      </c>
      <c r="AB274" s="2" t="s">
        <v>60</v>
      </c>
      <c r="AC274" s="2" t="s">
        <v>57</v>
      </c>
      <c r="AF274" s="2">
        <f t="shared" si="36"/>
        <v>0</v>
      </c>
      <c r="AG274" s="2">
        <v>8.1999999999999993</v>
      </c>
      <c r="AH274" s="2">
        <v>13</v>
      </c>
      <c r="AJ274" s="2">
        <f t="shared" si="37"/>
        <v>0</v>
      </c>
      <c r="AK274" s="2">
        <f t="shared" si="35"/>
        <v>28</v>
      </c>
      <c r="AL274" s="5">
        <f t="shared" si="39"/>
        <v>0.25454545454545452</v>
      </c>
    </row>
    <row r="275" spans="1:38" x14ac:dyDescent="0.2">
      <c r="A275" s="2">
        <v>2025</v>
      </c>
      <c r="B275" s="2">
        <v>1</v>
      </c>
      <c r="D275" s="2" t="s">
        <v>582</v>
      </c>
      <c r="E275" s="2" t="s">
        <v>108</v>
      </c>
      <c r="G275" s="2">
        <v>503850276</v>
      </c>
      <c r="H275" s="2" t="s">
        <v>40</v>
      </c>
      <c r="I275" s="2" t="s">
        <v>583</v>
      </c>
      <c r="J275" s="2" t="s">
        <v>584</v>
      </c>
      <c r="L275" s="2" t="s">
        <v>201</v>
      </c>
      <c r="M275" s="2" t="s">
        <v>80</v>
      </c>
      <c r="P275" s="2" t="s">
        <v>43</v>
      </c>
      <c r="Q275" s="2" t="s">
        <v>65</v>
      </c>
      <c r="R275" s="2" t="s">
        <v>66</v>
      </c>
      <c r="S275" s="2">
        <v>8</v>
      </c>
      <c r="T275" s="2">
        <v>160</v>
      </c>
      <c r="U275" s="2">
        <v>36.799999999999997</v>
      </c>
      <c r="V275" s="2">
        <v>196.8</v>
      </c>
      <c r="W275" s="2">
        <f>15.0203*S275</f>
        <v>120.16240000000001</v>
      </c>
      <c r="X275" s="5">
        <f t="shared" si="38"/>
        <v>0.24898499999999996</v>
      </c>
      <c r="Z275" s="2" t="s">
        <v>3227</v>
      </c>
      <c r="AA275" s="2" t="s">
        <v>46</v>
      </c>
      <c r="AB275" s="2" t="s">
        <v>67</v>
      </c>
      <c r="AC275" s="2" t="s">
        <v>57</v>
      </c>
      <c r="AF275" s="2">
        <f t="shared" si="36"/>
        <v>0</v>
      </c>
      <c r="AG275" s="2">
        <v>15.020300000000001</v>
      </c>
      <c r="AH275" s="2">
        <v>27.6</v>
      </c>
      <c r="AJ275" s="2">
        <f t="shared" si="37"/>
        <v>0</v>
      </c>
      <c r="AK275" s="2">
        <f t="shared" si="35"/>
        <v>39.837599999999995</v>
      </c>
      <c r="AL275" s="5">
        <f t="shared" si="39"/>
        <v>0.24898499999999996</v>
      </c>
    </row>
    <row r="276" spans="1:38" x14ac:dyDescent="0.2">
      <c r="A276" s="2">
        <v>2025</v>
      </c>
      <c r="B276" s="2">
        <v>1</v>
      </c>
      <c r="D276" s="2" t="s">
        <v>585</v>
      </c>
      <c r="P276" s="2" t="s">
        <v>282</v>
      </c>
      <c r="Q276" s="2" t="s">
        <v>586</v>
      </c>
      <c r="R276" s="2" t="s">
        <v>587</v>
      </c>
      <c r="S276" s="2">
        <v>1</v>
      </c>
      <c r="T276" s="2">
        <v>145</v>
      </c>
      <c r="U276" s="2">
        <v>33.35</v>
      </c>
      <c r="V276" s="2">
        <v>178.35</v>
      </c>
      <c r="W276" s="2">
        <v>109.48</v>
      </c>
      <c r="X276" s="5">
        <f t="shared" si="38"/>
        <v>0.24496551724137927</v>
      </c>
      <c r="Z276" s="2" t="s">
        <v>3227</v>
      </c>
      <c r="AA276" s="2" t="s">
        <v>71</v>
      </c>
      <c r="AB276" s="2" t="s">
        <v>119</v>
      </c>
      <c r="AC276" s="2" t="s">
        <v>119</v>
      </c>
      <c r="AF276" s="2">
        <f t="shared" si="36"/>
        <v>0</v>
      </c>
      <c r="AJ276" s="2">
        <f t="shared" si="37"/>
        <v>0</v>
      </c>
      <c r="AK276" s="2">
        <f t="shared" si="35"/>
        <v>35.519999999999996</v>
      </c>
      <c r="AL276" s="5">
        <f t="shared" si="39"/>
        <v>0.24496551724137927</v>
      </c>
    </row>
    <row r="277" spans="1:38" x14ac:dyDescent="0.2">
      <c r="A277" s="2">
        <v>2025</v>
      </c>
      <c r="B277" s="2">
        <v>1</v>
      </c>
      <c r="D277" s="2" t="s">
        <v>588</v>
      </c>
      <c r="E277" s="2" t="s">
        <v>38</v>
      </c>
      <c r="F277" s="2" t="s">
        <v>39</v>
      </c>
      <c r="G277" s="2">
        <v>510339298</v>
      </c>
      <c r="H277" s="2" t="s">
        <v>41</v>
      </c>
      <c r="I277" s="2" t="s">
        <v>177</v>
      </c>
      <c r="J277" s="2" t="s">
        <v>589</v>
      </c>
      <c r="L277" s="2" t="s">
        <v>177</v>
      </c>
      <c r="M277" s="2" t="s">
        <v>41</v>
      </c>
      <c r="P277" s="2" t="s">
        <v>282</v>
      </c>
      <c r="Q277" s="2" t="s">
        <v>590</v>
      </c>
      <c r="R277" s="2" t="s">
        <v>591</v>
      </c>
      <c r="S277" s="2">
        <v>1</v>
      </c>
      <c r="T277" s="2">
        <v>149</v>
      </c>
      <c r="U277" s="2">
        <v>34.270000000000003</v>
      </c>
      <c r="V277" s="2">
        <v>183.27</v>
      </c>
      <c r="W277" s="2">
        <v>142.36000000000001</v>
      </c>
      <c r="X277" s="5">
        <f t="shared" si="38"/>
        <v>4.4563758389261653E-2</v>
      </c>
      <c r="Z277" s="2" t="s">
        <v>3227</v>
      </c>
      <c r="AA277" s="2" t="s">
        <v>71</v>
      </c>
      <c r="AB277" s="2" t="s">
        <v>119</v>
      </c>
      <c r="AC277" s="2" t="s">
        <v>119</v>
      </c>
      <c r="AF277" s="2">
        <f t="shared" si="36"/>
        <v>0</v>
      </c>
      <c r="AJ277" s="2">
        <f t="shared" si="37"/>
        <v>0</v>
      </c>
      <c r="AK277" s="2">
        <f t="shared" si="35"/>
        <v>6.6399999999999864</v>
      </c>
      <c r="AL277" s="5">
        <f t="shared" si="39"/>
        <v>4.4563758389261653E-2</v>
      </c>
    </row>
    <row r="278" spans="1:38" x14ac:dyDescent="0.2">
      <c r="A278" s="2">
        <v>2025</v>
      </c>
      <c r="B278" s="2">
        <v>1</v>
      </c>
      <c r="D278" s="2" t="s">
        <v>588</v>
      </c>
      <c r="E278" s="2" t="s">
        <v>38</v>
      </c>
      <c r="F278" s="2" t="s">
        <v>39</v>
      </c>
      <c r="G278" s="2">
        <v>510339298</v>
      </c>
      <c r="H278" s="2" t="s">
        <v>41</v>
      </c>
      <c r="I278" s="2" t="s">
        <v>177</v>
      </c>
      <c r="J278" s="2" t="s">
        <v>589</v>
      </c>
      <c r="L278" s="2" t="s">
        <v>177</v>
      </c>
      <c r="M278" s="2" t="s">
        <v>41</v>
      </c>
      <c r="P278" s="2" t="s">
        <v>43</v>
      </c>
      <c r="Q278" s="2" t="s">
        <v>48</v>
      </c>
      <c r="R278" s="2" t="s">
        <v>49</v>
      </c>
      <c r="S278" s="2">
        <v>1</v>
      </c>
      <c r="T278" s="2">
        <v>11</v>
      </c>
      <c r="U278" s="2">
        <v>2.5299999999999998</v>
      </c>
      <c r="V278" s="2">
        <v>13.53</v>
      </c>
      <c r="W278" s="2">
        <f>6.6267*S278</f>
        <v>6.6266999999999996</v>
      </c>
      <c r="X278" s="5">
        <f t="shared" si="38"/>
        <v>0.3975727272727273</v>
      </c>
      <c r="Z278" s="2" t="s">
        <v>3227</v>
      </c>
      <c r="AA278" s="2" t="s">
        <v>46</v>
      </c>
      <c r="AB278" s="2" t="s">
        <v>47</v>
      </c>
      <c r="AC278" s="2" t="s">
        <v>57</v>
      </c>
      <c r="AF278" s="2">
        <f t="shared" si="36"/>
        <v>0</v>
      </c>
      <c r="AG278" s="2">
        <v>6.6266999999999996</v>
      </c>
      <c r="AH278" s="2">
        <v>12</v>
      </c>
      <c r="AJ278" s="2">
        <f t="shared" si="37"/>
        <v>0</v>
      </c>
      <c r="AK278" s="2">
        <f t="shared" si="35"/>
        <v>4.3733000000000004</v>
      </c>
      <c r="AL278" s="5">
        <f t="shared" si="39"/>
        <v>0.3975727272727273</v>
      </c>
    </row>
    <row r="279" spans="1:38" x14ac:dyDescent="0.2">
      <c r="A279" s="2">
        <v>2025</v>
      </c>
      <c r="B279" s="2">
        <v>1</v>
      </c>
      <c r="D279" s="2" t="s">
        <v>588</v>
      </c>
      <c r="E279" s="2" t="s">
        <v>38</v>
      </c>
      <c r="F279" s="2" t="s">
        <v>39</v>
      </c>
      <c r="G279" s="2">
        <v>510339298</v>
      </c>
      <c r="H279" s="2" t="s">
        <v>41</v>
      </c>
      <c r="I279" s="2" t="s">
        <v>177</v>
      </c>
      <c r="J279" s="2" t="s">
        <v>589</v>
      </c>
      <c r="L279" s="2" t="s">
        <v>177</v>
      </c>
      <c r="M279" s="2" t="s">
        <v>41</v>
      </c>
      <c r="P279" s="2" t="s">
        <v>43</v>
      </c>
      <c r="Q279" s="2" t="s">
        <v>592</v>
      </c>
      <c r="R279" s="2" t="s">
        <v>593</v>
      </c>
      <c r="S279" s="2">
        <v>1</v>
      </c>
      <c r="T279" s="2">
        <v>28.8</v>
      </c>
      <c r="U279" s="2">
        <v>6.6240000000000014</v>
      </c>
      <c r="V279" s="2">
        <v>35.423999999999999</v>
      </c>
      <c r="W279" s="2">
        <f>11.295*S279</f>
        <v>11.295</v>
      </c>
      <c r="X279" s="5">
        <f t="shared" si="38"/>
        <v>0.60781250000000009</v>
      </c>
      <c r="Z279" s="2" t="s">
        <v>3227</v>
      </c>
      <c r="AA279" s="2" t="s">
        <v>46</v>
      </c>
      <c r="AB279" s="2" t="s">
        <v>47</v>
      </c>
      <c r="AC279" s="2" t="s">
        <v>57</v>
      </c>
      <c r="AF279" s="2">
        <f t="shared" si="36"/>
        <v>0</v>
      </c>
      <c r="AJ279" s="2">
        <f t="shared" si="37"/>
        <v>0</v>
      </c>
      <c r="AK279" s="2">
        <f t="shared" si="35"/>
        <v>17.505000000000003</v>
      </c>
      <c r="AL279" s="5">
        <f t="shared" si="39"/>
        <v>0.60781250000000009</v>
      </c>
    </row>
    <row r="280" spans="1:38" x14ac:dyDescent="0.2">
      <c r="A280" s="2">
        <v>2025</v>
      </c>
      <c r="B280" s="2">
        <v>1</v>
      </c>
      <c r="D280" s="2" t="s">
        <v>588</v>
      </c>
      <c r="E280" s="2" t="s">
        <v>38</v>
      </c>
      <c r="F280" s="2" t="s">
        <v>39</v>
      </c>
      <c r="G280" s="2">
        <v>510339298</v>
      </c>
      <c r="H280" s="2" t="s">
        <v>41</v>
      </c>
      <c r="I280" s="2" t="s">
        <v>177</v>
      </c>
      <c r="J280" s="2" t="s">
        <v>589</v>
      </c>
      <c r="L280" s="2" t="s">
        <v>177</v>
      </c>
      <c r="M280" s="2" t="s">
        <v>41</v>
      </c>
      <c r="P280" s="2" t="s">
        <v>43</v>
      </c>
      <c r="Q280" s="2" t="s">
        <v>234</v>
      </c>
      <c r="R280" s="2" t="s">
        <v>235</v>
      </c>
      <c r="S280" s="2">
        <v>1</v>
      </c>
      <c r="T280" s="2">
        <v>12.54</v>
      </c>
      <c r="U280" s="2">
        <v>2.8841999999999999</v>
      </c>
      <c r="V280" s="2">
        <v>15.424200000000001</v>
      </c>
      <c r="W280" s="2">
        <v>7.2217000000000002</v>
      </c>
      <c r="X280" s="5">
        <f t="shared" si="38"/>
        <v>0.42410685805422643</v>
      </c>
      <c r="Z280" s="2" t="s">
        <v>3227</v>
      </c>
      <c r="AA280" s="2" t="s">
        <v>46</v>
      </c>
      <c r="AB280" s="2" t="s">
        <v>56</v>
      </c>
      <c r="AC280" s="2" t="s">
        <v>57</v>
      </c>
      <c r="AF280" s="2">
        <f t="shared" si="36"/>
        <v>0</v>
      </c>
      <c r="AG280" s="2">
        <v>7.2217000000000002</v>
      </c>
      <c r="AH280" s="2">
        <v>14.4</v>
      </c>
      <c r="AJ280" s="2">
        <f t="shared" si="37"/>
        <v>0</v>
      </c>
      <c r="AK280" s="2">
        <f t="shared" si="35"/>
        <v>5.3182999999999989</v>
      </c>
      <c r="AL280" s="5">
        <f t="shared" si="39"/>
        <v>0.42410685805422643</v>
      </c>
    </row>
    <row r="281" spans="1:38" x14ac:dyDescent="0.2">
      <c r="A281" s="2">
        <v>2025</v>
      </c>
      <c r="B281" s="2">
        <v>1</v>
      </c>
      <c r="D281" s="2" t="s">
        <v>588</v>
      </c>
      <c r="E281" s="2" t="s">
        <v>38</v>
      </c>
      <c r="F281" s="2" t="s">
        <v>39</v>
      </c>
      <c r="G281" s="2">
        <v>510339298</v>
      </c>
      <c r="H281" s="2" t="s">
        <v>41</v>
      </c>
      <c r="I281" s="2" t="s">
        <v>177</v>
      </c>
      <c r="J281" s="2" t="s">
        <v>589</v>
      </c>
      <c r="L281" s="2" t="s">
        <v>177</v>
      </c>
      <c r="M281" s="2" t="s">
        <v>41</v>
      </c>
      <c r="P281" s="2" t="s">
        <v>43</v>
      </c>
      <c r="Q281" s="2" t="s">
        <v>236</v>
      </c>
      <c r="R281" s="2" t="s">
        <v>237</v>
      </c>
      <c r="S281" s="2">
        <v>1</v>
      </c>
      <c r="T281" s="2">
        <v>16.2</v>
      </c>
      <c r="U281" s="2">
        <v>3.726</v>
      </c>
      <c r="V281" s="2">
        <v>19.925999999999998</v>
      </c>
      <c r="W281" s="2">
        <f>9.075*S281</f>
        <v>9.0749999999999993</v>
      </c>
      <c r="X281" s="5">
        <f t="shared" si="38"/>
        <v>0.43981481481481483</v>
      </c>
      <c r="Z281" s="2" t="s">
        <v>3227</v>
      </c>
      <c r="AA281" s="2" t="s">
        <v>46</v>
      </c>
      <c r="AB281" s="2" t="s">
        <v>56</v>
      </c>
      <c r="AC281" s="2" t="s">
        <v>57</v>
      </c>
      <c r="AF281" s="2">
        <f t="shared" si="36"/>
        <v>0</v>
      </c>
      <c r="AJ281" s="2">
        <f t="shared" si="37"/>
        <v>0</v>
      </c>
      <c r="AK281" s="2">
        <f t="shared" si="35"/>
        <v>7.125</v>
      </c>
      <c r="AL281" s="5">
        <f t="shared" si="39"/>
        <v>0.43981481481481483</v>
      </c>
    </row>
    <row r="282" spans="1:38" x14ac:dyDescent="0.2">
      <c r="A282" s="2">
        <v>2025</v>
      </c>
      <c r="B282" s="2">
        <v>1</v>
      </c>
      <c r="D282" s="2" t="s">
        <v>588</v>
      </c>
      <c r="E282" s="2" t="s">
        <v>38</v>
      </c>
      <c r="F282" s="2" t="s">
        <v>39</v>
      </c>
      <c r="G282" s="2">
        <v>510339298</v>
      </c>
      <c r="H282" s="2" t="s">
        <v>41</v>
      </c>
      <c r="I282" s="2" t="s">
        <v>177</v>
      </c>
      <c r="J282" s="2" t="s">
        <v>589</v>
      </c>
      <c r="L282" s="2" t="s">
        <v>177</v>
      </c>
      <c r="M282" s="2" t="s">
        <v>41</v>
      </c>
      <c r="P282" s="2" t="s">
        <v>43</v>
      </c>
      <c r="Q282" s="2" t="s">
        <v>238</v>
      </c>
      <c r="R282" s="2" t="s">
        <v>239</v>
      </c>
      <c r="S282" s="2">
        <v>1</v>
      </c>
      <c r="T282" s="2">
        <v>18.809999999999999</v>
      </c>
      <c r="U282" s="2">
        <v>4.3262999999999998</v>
      </c>
      <c r="V282" s="2">
        <v>23.136299999999999</v>
      </c>
      <c r="W282" s="2">
        <f>11.045*S282</f>
        <v>11.045</v>
      </c>
      <c r="X282" s="5">
        <f t="shared" si="38"/>
        <v>0.41281233386496541</v>
      </c>
      <c r="Z282" s="2" t="s">
        <v>3227</v>
      </c>
      <c r="AA282" s="2" t="s">
        <v>46</v>
      </c>
      <c r="AB282" s="2" t="s">
        <v>56</v>
      </c>
      <c r="AC282" s="2" t="s">
        <v>57</v>
      </c>
      <c r="AF282" s="2">
        <f t="shared" si="36"/>
        <v>0</v>
      </c>
      <c r="AJ282" s="2">
        <f t="shared" si="37"/>
        <v>0</v>
      </c>
      <c r="AK282" s="2">
        <f t="shared" si="35"/>
        <v>7.7649999999999988</v>
      </c>
      <c r="AL282" s="5">
        <f t="shared" si="39"/>
        <v>0.41281233386496541</v>
      </c>
    </row>
    <row r="283" spans="1:38" x14ac:dyDescent="0.2">
      <c r="A283" s="2">
        <v>2025</v>
      </c>
      <c r="B283" s="2">
        <v>1</v>
      </c>
      <c r="D283" s="2" t="s">
        <v>588</v>
      </c>
      <c r="E283" s="2" t="s">
        <v>38</v>
      </c>
      <c r="F283" s="2" t="s">
        <v>39</v>
      </c>
      <c r="G283" s="2">
        <v>510339298</v>
      </c>
      <c r="H283" s="2" t="s">
        <v>41</v>
      </c>
      <c r="I283" s="2" t="s">
        <v>177</v>
      </c>
      <c r="J283" s="2" t="s">
        <v>589</v>
      </c>
      <c r="L283" s="2" t="s">
        <v>177</v>
      </c>
      <c r="M283" s="2" t="s">
        <v>41</v>
      </c>
      <c r="P283" s="2" t="s">
        <v>43</v>
      </c>
      <c r="Q283" s="2" t="s">
        <v>240</v>
      </c>
      <c r="R283" s="2" t="s">
        <v>241</v>
      </c>
      <c r="S283" s="2">
        <v>1</v>
      </c>
      <c r="T283" s="2">
        <v>22.8</v>
      </c>
      <c r="U283" s="2">
        <v>5.2440000000000007</v>
      </c>
      <c r="V283" s="2">
        <v>28.044</v>
      </c>
      <c r="W283" s="2">
        <f>13.4067*S283</f>
        <v>13.406700000000001</v>
      </c>
      <c r="X283" s="5">
        <f t="shared" si="38"/>
        <v>0.41198684210526315</v>
      </c>
      <c r="Z283" s="2" t="s">
        <v>3227</v>
      </c>
      <c r="AA283" s="2" t="s">
        <v>46</v>
      </c>
      <c r="AB283" s="2" t="s">
        <v>56</v>
      </c>
      <c r="AC283" s="2" t="s">
        <v>57</v>
      </c>
      <c r="AF283" s="2">
        <f t="shared" si="36"/>
        <v>0</v>
      </c>
      <c r="AJ283" s="2">
        <f t="shared" si="37"/>
        <v>0</v>
      </c>
      <c r="AK283" s="2">
        <f t="shared" si="35"/>
        <v>9.3933</v>
      </c>
      <c r="AL283" s="5">
        <f t="shared" si="39"/>
        <v>0.41198684210526315</v>
      </c>
    </row>
    <row r="284" spans="1:38" x14ac:dyDescent="0.2">
      <c r="A284" s="2">
        <v>2025</v>
      </c>
      <c r="B284" s="2">
        <v>1</v>
      </c>
      <c r="D284" s="2" t="s">
        <v>588</v>
      </c>
      <c r="E284" s="2" t="s">
        <v>38</v>
      </c>
      <c r="F284" s="2" t="s">
        <v>39</v>
      </c>
      <c r="G284" s="2">
        <v>510339298</v>
      </c>
      <c r="H284" s="2" t="s">
        <v>41</v>
      </c>
      <c r="I284" s="2" t="s">
        <v>177</v>
      </c>
      <c r="J284" s="2" t="s">
        <v>589</v>
      </c>
      <c r="L284" s="2" t="s">
        <v>177</v>
      </c>
      <c r="M284" s="2" t="s">
        <v>41</v>
      </c>
      <c r="P284" s="2" t="s">
        <v>43</v>
      </c>
      <c r="Q284" s="2" t="s">
        <v>58</v>
      </c>
      <c r="R284" s="2" t="s">
        <v>59</v>
      </c>
      <c r="S284" s="2">
        <v>100</v>
      </c>
      <c r="T284" s="2">
        <v>13</v>
      </c>
      <c r="U284" s="2">
        <v>2.99</v>
      </c>
      <c r="V284" s="2">
        <v>15.99</v>
      </c>
      <c r="W284" s="2">
        <f>0.0914*S284</f>
        <v>9.1399999999999988</v>
      </c>
      <c r="X284" s="5">
        <f t="shared" si="38"/>
        <v>0.29692307692307701</v>
      </c>
      <c r="Z284" s="2" t="s">
        <v>3227</v>
      </c>
      <c r="AA284" s="2" t="s">
        <v>46</v>
      </c>
      <c r="AB284" s="2" t="s">
        <v>60</v>
      </c>
      <c r="AC284" s="2" t="s">
        <v>57</v>
      </c>
      <c r="AF284" s="2">
        <f t="shared" si="36"/>
        <v>0</v>
      </c>
      <c r="AG284" s="2">
        <v>9.14</v>
      </c>
      <c r="AH284" s="2">
        <v>16</v>
      </c>
      <c r="AJ284" s="2">
        <f t="shared" si="37"/>
        <v>0</v>
      </c>
      <c r="AK284" s="2">
        <f t="shared" si="35"/>
        <v>3.8600000000000012</v>
      </c>
      <c r="AL284" s="5">
        <f t="shared" si="39"/>
        <v>0.29692307692307701</v>
      </c>
    </row>
    <row r="285" spans="1:38" x14ac:dyDescent="0.2">
      <c r="A285" s="2">
        <v>2025</v>
      </c>
      <c r="B285" s="2">
        <v>1</v>
      </c>
      <c r="D285" s="2" t="s">
        <v>588</v>
      </c>
      <c r="E285" s="2" t="s">
        <v>38</v>
      </c>
      <c r="F285" s="2" t="s">
        <v>39</v>
      </c>
      <c r="G285" s="2">
        <v>510339298</v>
      </c>
      <c r="H285" s="2" t="s">
        <v>41</v>
      </c>
      <c r="I285" s="2" t="s">
        <v>177</v>
      </c>
      <c r="J285" s="2" t="s">
        <v>589</v>
      </c>
      <c r="L285" s="2" t="s">
        <v>177</v>
      </c>
      <c r="P285" s="2" t="s">
        <v>43</v>
      </c>
      <c r="Q285" s="2" t="s">
        <v>162</v>
      </c>
      <c r="R285" s="2" t="s">
        <v>163</v>
      </c>
      <c r="S285" s="2">
        <v>1</v>
      </c>
      <c r="T285" s="2">
        <v>19.95</v>
      </c>
      <c r="U285" s="2">
        <v>4.5884999999999998</v>
      </c>
      <c r="V285" s="2">
        <v>24.538499999999999</v>
      </c>
      <c r="W285" s="2">
        <f>8*S285</f>
        <v>8</v>
      </c>
      <c r="X285" s="5">
        <f t="shared" si="38"/>
        <v>0.59899749373433586</v>
      </c>
      <c r="Z285" s="2" t="s">
        <v>3227</v>
      </c>
      <c r="AA285" s="2" t="s">
        <v>46</v>
      </c>
      <c r="AB285" s="2" t="s">
        <v>47</v>
      </c>
      <c r="AC285" s="2" t="s">
        <v>57</v>
      </c>
      <c r="AF285" s="2">
        <f t="shared" si="36"/>
        <v>0</v>
      </c>
      <c r="AJ285" s="2">
        <f t="shared" si="37"/>
        <v>0</v>
      </c>
      <c r="AK285" s="2">
        <f t="shared" ref="AK285:AK315" si="40">T285-W285</f>
        <v>11.95</v>
      </c>
      <c r="AL285" s="5">
        <f t="shared" si="39"/>
        <v>0.59899749373433586</v>
      </c>
    </row>
    <row r="286" spans="1:38" x14ac:dyDescent="0.2">
      <c r="A286" s="2">
        <v>2025</v>
      </c>
      <c r="B286" s="2">
        <v>1</v>
      </c>
      <c r="D286" s="2" t="s">
        <v>588</v>
      </c>
      <c r="E286" s="2" t="s">
        <v>38</v>
      </c>
      <c r="F286" s="2" t="s">
        <v>39</v>
      </c>
      <c r="G286" s="2">
        <v>510339298</v>
      </c>
      <c r="H286" s="2" t="s">
        <v>41</v>
      </c>
      <c r="I286" s="2" t="s">
        <v>177</v>
      </c>
      <c r="J286" s="2" t="s">
        <v>589</v>
      </c>
      <c r="L286" s="2" t="s">
        <v>177</v>
      </c>
      <c r="P286" s="2" t="s">
        <v>84</v>
      </c>
      <c r="Q286" s="2" t="s">
        <v>91</v>
      </c>
      <c r="R286" s="2" t="s">
        <v>92</v>
      </c>
      <c r="S286" s="2">
        <v>1</v>
      </c>
      <c r="T286" s="2">
        <v>3.99</v>
      </c>
      <c r="U286" s="2">
        <v>0.91770000000000007</v>
      </c>
      <c r="V286" s="2">
        <v>4.9077000000000002</v>
      </c>
      <c r="W286" s="2">
        <f>2.475*S286</f>
        <v>2.4750000000000001</v>
      </c>
      <c r="X286" s="5">
        <f t="shared" si="38"/>
        <v>0.37969924812030076</v>
      </c>
      <c r="Z286" s="2" t="s">
        <v>3227</v>
      </c>
      <c r="AA286" s="2" t="s">
        <v>87</v>
      </c>
      <c r="AB286" s="2" t="s">
        <v>90</v>
      </c>
      <c r="AC286" s="2" t="s">
        <v>84</v>
      </c>
      <c r="AF286" s="2">
        <f t="shared" si="36"/>
        <v>0</v>
      </c>
      <c r="AJ286" s="2">
        <f t="shared" si="37"/>
        <v>0</v>
      </c>
      <c r="AK286" s="2">
        <f t="shared" si="40"/>
        <v>1.5150000000000001</v>
      </c>
      <c r="AL286" s="5">
        <f t="shared" si="39"/>
        <v>0.37969924812030076</v>
      </c>
    </row>
    <row r="287" spans="1:38" x14ac:dyDescent="0.2">
      <c r="A287" s="2">
        <v>2025</v>
      </c>
      <c r="B287" s="2">
        <v>1</v>
      </c>
      <c r="D287" s="2" t="s">
        <v>594</v>
      </c>
      <c r="E287" s="2" t="s">
        <v>108</v>
      </c>
      <c r="F287" s="2" t="s">
        <v>395</v>
      </c>
      <c r="G287" s="2">
        <v>507476352</v>
      </c>
      <c r="H287" s="2" t="s">
        <v>109</v>
      </c>
      <c r="I287" s="2" t="s">
        <v>112</v>
      </c>
      <c r="J287" s="2" t="s">
        <v>595</v>
      </c>
      <c r="L287" s="2" t="s">
        <v>112</v>
      </c>
      <c r="M287" s="2" t="s">
        <v>40</v>
      </c>
      <c r="O287" s="2" t="s">
        <v>596</v>
      </c>
      <c r="P287" s="2" t="s">
        <v>114</v>
      </c>
      <c r="Q287" s="2" t="s">
        <v>373</v>
      </c>
      <c r="R287" s="2" t="s">
        <v>374</v>
      </c>
      <c r="S287" s="2">
        <v>1</v>
      </c>
      <c r="T287" s="2">
        <v>45.07</v>
      </c>
      <c r="U287" s="2">
        <v>10.366099999999999</v>
      </c>
      <c r="V287" s="2">
        <v>55.436100000000003</v>
      </c>
      <c r="W287" s="2">
        <f>23.042*S287</f>
        <v>23.042000000000002</v>
      </c>
      <c r="X287" s="5">
        <f t="shared" si="38"/>
        <v>0.48875083203905034</v>
      </c>
      <c r="Z287" s="2" t="s">
        <v>117</v>
      </c>
      <c r="AA287" s="2" t="s">
        <v>118</v>
      </c>
      <c r="AB287" s="2" t="s">
        <v>119</v>
      </c>
      <c r="AC287" s="2" t="s">
        <v>114</v>
      </c>
      <c r="AF287" s="2">
        <f t="shared" si="36"/>
        <v>0</v>
      </c>
      <c r="AJ287" s="2">
        <f t="shared" si="37"/>
        <v>0</v>
      </c>
      <c r="AK287" s="2">
        <f t="shared" si="40"/>
        <v>22.027999999999999</v>
      </c>
      <c r="AL287" s="5">
        <f t="shared" si="39"/>
        <v>0.48875083203905034</v>
      </c>
    </row>
    <row r="288" spans="1:38" x14ac:dyDescent="0.2">
      <c r="A288" s="2">
        <v>2025</v>
      </c>
      <c r="B288" s="2">
        <v>1</v>
      </c>
      <c r="D288" s="2" t="s">
        <v>594</v>
      </c>
      <c r="E288" s="2" t="s">
        <v>108</v>
      </c>
      <c r="F288" s="2" t="s">
        <v>395</v>
      </c>
      <c r="G288" s="2">
        <v>507476352</v>
      </c>
      <c r="H288" s="2" t="s">
        <v>109</v>
      </c>
      <c r="I288" s="2" t="s">
        <v>112</v>
      </c>
      <c r="J288" s="2" t="s">
        <v>595</v>
      </c>
      <c r="L288" s="2" t="s">
        <v>112</v>
      </c>
      <c r="M288" s="2" t="s">
        <v>40</v>
      </c>
      <c r="O288" s="2" t="s">
        <v>596</v>
      </c>
      <c r="P288" s="2" t="s">
        <v>40</v>
      </c>
      <c r="Q288" s="2" t="s">
        <v>363</v>
      </c>
      <c r="R288" s="2" t="s">
        <v>364</v>
      </c>
      <c r="S288" s="2">
        <v>1</v>
      </c>
      <c r="T288" s="2">
        <v>15.12</v>
      </c>
      <c r="U288" s="2">
        <v>3.4775999999999998</v>
      </c>
      <c r="V288" s="2">
        <v>18.5976</v>
      </c>
      <c r="X288" s="5">
        <f t="shared" si="38"/>
        <v>1</v>
      </c>
      <c r="Z288" s="2" t="s">
        <v>117</v>
      </c>
      <c r="AA288" s="2" t="s">
        <v>118</v>
      </c>
      <c r="AB288" s="2" t="s">
        <v>119</v>
      </c>
      <c r="AC288" s="2" t="s">
        <v>114</v>
      </c>
      <c r="AF288" s="2">
        <f t="shared" si="36"/>
        <v>0</v>
      </c>
      <c r="AJ288" s="2">
        <f t="shared" si="37"/>
        <v>0</v>
      </c>
      <c r="AK288" s="2">
        <f t="shared" si="40"/>
        <v>15.12</v>
      </c>
      <c r="AL288" s="5">
        <f t="shared" si="39"/>
        <v>1</v>
      </c>
    </row>
    <row r="289" spans="1:38" x14ac:dyDescent="0.2">
      <c r="A289" s="2">
        <v>2025</v>
      </c>
      <c r="B289" s="2">
        <v>1</v>
      </c>
      <c r="D289" s="2" t="s">
        <v>597</v>
      </c>
      <c r="E289" s="2" t="s">
        <v>38</v>
      </c>
      <c r="F289" s="2" t="s">
        <v>39</v>
      </c>
      <c r="G289" s="2">
        <v>509680364</v>
      </c>
      <c r="H289" s="2" t="s">
        <v>41</v>
      </c>
      <c r="I289" s="2" t="s">
        <v>598</v>
      </c>
      <c r="J289" s="2" t="s">
        <v>599</v>
      </c>
      <c r="K289" s="2">
        <v>919603867</v>
      </c>
      <c r="L289" s="2" t="s">
        <v>600</v>
      </c>
      <c r="M289" s="2" t="s">
        <v>41</v>
      </c>
      <c r="O289" s="2" t="s">
        <v>601</v>
      </c>
      <c r="P289" s="2" t="s">
        <v>43</v>
      </c>
      <c r="Q289" s="2" t="s">
        <v>50</v>
      </c>
      <c r="R289" s="2" t="s">
        <v>51</v>
      </c>
      <c r="S289" s="2">
        <v>1</v>
      </c>
      <c r="T289" s="2">
        <v>0</v>
      </c>
      <c r="U289" s="2">
        <v>0</v>
      </c>
      <c r="V289" s="2">
        <v>0</v>
      </c>
      <c r="W289" s="2">
        <f>14.4*S289</f>
        <v>14.4</v>
      </c>
      <c r="X289" s="18">
        <f>IF(T289=0,IF(W289&gt;0,-100%,0%),(T289-W289)/T289)</f>
        <v>-1</v>
      </c>
      <c r="Z289" s="2" t="s">
        <v>3227</v>
      </c>
      <c r="AA289" s="2" t="s">
        <v>46</v>
      </c>
      <c r="AB289" s="2" t="s">
        <v>47</v>
      </c>
      <c r="AC289" s="2" t="s">
        <v>57</v>
      </c>
      <c r="AF289" s="2">
        <f t="shared" si="36"/>
        <v>0</v>
      </c>
      <c r="AG289" s="2">
        <v>10.2346</v>
      </c>
      <c r="AH289" s="2">
        <v>18</v>
      </c>
      <c r="AJ289" s="2">
        <f t="shared" si="37"/>
        <v>0</v>
      </c>
      <c r="AK289" s="2">
        <f t="shared" si="40"/>
        <v>-14.4</v>
      </c>
      <c r="AL289" s="18">
        <f>IF(T289=0,IF(W289&gt;0,-100%,0%),(T289-W289)/T289)</f>
        <v>-1</v>
      </c>
    </row>
    <row r="290" spans="1:38" x14ac:dyDescent="0.2">
      <c r="A290" s="2">
        <v>2025</v>
      </c>
      <c r="B290" s="2">
        <v>1</v>
      </c>
      <c r="D290" s="2" t="s">
        <v>597</v>
      </c>
      <c r="E290" s="2" t="s">
        <v>38</v>
      </c>
      <c r="F290" s="2" t="s">
        <v>39</v>
      </c>
      <c r="G290" s="2">
        <v>509680364</v>
      </c>
      <c r="H290" s="2" t="s">
        <v>41</v>
      </c>
      <c r="I290" s="2" t="s">
        <v>598</v>
      </c>
      <c r="J290" s="2" t="s">
        <v>599</v>
      </c>
      <c r="K290" s="2">
        <v>919603867</v>
      </c>
      <c r="L290" s="2" t="s">
        <v>600</v>
      </c>
      <c r="M290" s="2" t="s">
        <v>41</v>
      </c>
      <c r="O290" s="2" t="s">
        <v>601</v>
      </c>
      <c r="P290" s="2" t="s">
        <v>43</v>
      </c>
      <c r="Q290" s="2" t="s">
        <v>52</v>
      </c>
      <c r="R290" s="2" t="s">
        <v>53</v>
      </c>
      <c r="S290" s="2">
        <v>1</v>
      </c>
      <c r="T290" s="2">
        <v>0</v>
      </c>
      <c r="U290" s="2">
        <v>0</v>
      </c>
      <c r="V290" s="2">
        <v>0</v>
      </c>
      <c r="W290" s="2">
        <f>5.2973*S290</f>
        <v>5.2972999999999999</v>
      </c>
      <c r="X290" s="18">
        <f>IF(T290=0,IF(W290&gt;0,-100%,0%),(T290-W290)/T290)</f>
        <v>-1</v>
      </c>
      <c r="Z290" s="2" t="s">
        <v>3227</v>
      </c>
      <c r="AA290" s="2" t="s">
        <v>46</v>
      </c>
      <c r="AB290" s="2" t="s">
        <v>47</v>
      </c>
      <c r="AC290" s="2" t="s">
        <v>57</v>
      </c>
      <c r="AF290" s="2">
        <f t="shared" si="36"/>
        <v>0</v>
      </c>
      <c r="AG290" s="2">
        <v>5.2972999999999999</v>
      </c>
      <c r="AH290" s="2">
        <v>10.8</v>
      </c>
      <c r="AJ290" s="2">
        <f t="shared" si="37"/>
        <v>0</v>
      </c>
      <c r="AK290" s="2">
        <f t="shared" si="40"/>
        <v>-5.2972999999999999</v>
      </c>
      <c r="AL290" s="18">
        <f>IF(T290=0,IF(W290&gt;0,-100%,0%),(T290-W290)/T290)</f>
        <v>-1</v>
      </c>
    </row>
    <row r="291" spans="1:38" x14ac:dyDescent="0.2">
      <c r="A291" s="2">
        <v>2025</v>
      </c>
      <c r="B291" s="2">
        <v>1</v>
      </c>
      <c r="D291" s="2" t="s">
        <v>597</v>
      </c>
      <c r="E291" s="2" t="s">
        <v>38</v>
      </c>
      <c r="F291" s="2" t="s">
        <v>39</v>
      </c>
      <c r="G291" s="2">
        <v>509680364</v>
      </c>
      <c r="H291" s="2" t="s">
        <v>41</v>
      </c>
      <c r="I291" s="2" t="s">
        <v>598</v>
      </c>
      <c r="J291" s="2" t="s">
        <v>599</v>
      </c>
      <c r="K291" s="2">
        <v>919603867</v>
      </c>
      <c r="L291" s="2" t="s">
        <v>600</v>
      </c>
      <c r="M291" s="2" t="s">
        <v>41</v>
      </c>
      <c r="O291" s="2" t="s">
        <v>601</v>
      </c>
      <c r="P291" s="2" t="s">
        <v>43</v>
      </c>
      <c r="Q291" s="2" t="s">
        <v>602</v>
      </c>
      <c r="R291" s="2" t="s">
        <v>603</v>
      </c>
      <c r="S291" s="2">
        <v>5</v>
      </c>
      <c r="T291" s="2">
        <v>0</v>
      </c>
      <c r="U291" s="2">
        <v>0</v>
      </c>
      <c r="V291" s="2">
        <v>0</v>
      </c>
      <c r="W291" s="2">
        <f>0.221*S291</f>
        <v>1.105</v>
      </c>
      <c r="X291" s="18">
        <v>-1</v>
      </c>
      <c r="Z291" s="2" t="s">
        <v>3227</v>
      </c>
      <c r="AA291" s="2" t="s">
        <v>46</v>
      </c>
      <c r="AB291" s="2" t="s">
        <v>60</v>
      </c>
      <c r="AC291" s="2" t="s">
        <v>57</v>
      </c>
      <c r="AF291" s="2">
        <f t="shared" si="36"/>
        <v>0</v>
      </c>
      <c r="AJ291" s="2">
        <f t="shared" si="37"/>
        <v>0</v>
      </c>
      <c r="AK291" s="2">
        <f t="shared" si="40"/>
        <v>-1.105</v>
      </c>
      <c r="AL291" s="18">
        <v>-1</v>
      </c>
    </row>
    <row r="292" spans="1:38" x14ac:dyDescent="0.2">
      <c r="A292" s="2">
        <v>2025</v>
      </c>
      <c r="B292" s="2">
        <v>1</v>
      </c>
      <c r="D292" s="2" t="s">
        <v>597</v>
      </c>
      <c r="E292" s="2" t="s">
        <v>38</v>
      </c>
      <c r="F292" s="2" t="s">
        <v>39</v>
      </c>
      <c r="G292" s="2">
        <v>509680364</v>
      </c>
      <c r="H292" s="2" t="s">
        <v>41</v>
      </c>
      <c r="I292" s="2" t="s">
        <v>598</v>
      </c>
      <c r="J292" s="2" t="s">
        <v>599</v>
      </c>
      <c r="K292" s="2">
        <v>919603867</v>
      </c>
      <c r="L292" s="2" t="s">
        <v>600</v>
      </c>
      <c r="M292" s="2" t="s">
        <v>41</v>
      </c>
      <c r="O292" s="2" t="s">
        <v>601</v>
      </c>
      <c r="P292" s="2" t="s">
        <v>43</v>
      </c>
      <c r="Q292" s="2" t="s">
        <v>204</v>
      </c>
      <c r="R292" s="2" t="s">
        <v>205</v>
      </c>
      <c r="S292" s="2">
        <v>6</v>
      </c>
      <c r="T292" s="2">
        <v>0</v>
      </c>
      <c r="U292" s="2">
        <v>0</v>
      </c>
      <c r="V292" s="2">
        <v>0</v>
      </c>
      <c r="W292" s="2">
        <f>1.832*S292</f>
        <v>10.992000000000001</v>
      </c>
      <c r="X292" s="18">
        <f>IF(T292=0,IF(W292&gt;0,-100%,0%),(T292-W292)/T292)</f>
        <v>-1</v>
      </c>
      <c r="Z292" s="2" t="s">
        <v>3227</v>
      </c>
      <c r="AA292" s="2" t="s">
        <v>46</v>
      </c>
      <c r="AB292" s="2" t="s">
        <v>60</v>
      </c>
      <c r="AC292" s="2" t="s">
        <v>57</v>
      </c>
      <c r="AF292" s="2">
        <f t="shared" si="36"/>
        <v>0</v>
      </c>
      <c r="AG292" s="2">
        <v>1.8320000000000001</v>
      </c>
      <c r="AH292" s="2">
        <v>2.4</v>
      </c>
      <c r="AJ292" s="2">
        <f t="shared" si="37"/>
        <v>0</v>
      </c>
      <c r="AK292" s="2">
        <f t="shared" si="40"/>
        <v>-10.992000000000001</v>
      </c>
      <c r="AL292" s="18">
        <f>IF(T292=0,IF(W292&gt;0,-100%,0%),(T292-W292)/T292)</f>
        <v>-1</v>
      </c>
    </row>
    <row r="293" spans="1:38" x14ac:dyDescent="0.2">
      <c r="A293" s="2">
        <v>2025</v>
      </c>
      <c r="B293" s="2">
        <v>1</v>
      </c>
      <c r="D293" s="2" t="s">
        <v>597</v>
      </c>
      <c r="E293" s="2" t="s">
        <v>38</v>
      </c>
      <c r="F293" s="2" t="s">
        <v>39</v>
      </c>
      <c r="G293" s="2">
        <v>509680364</v>
      </c>
      <c r="H293" s="2" t="s">
        <v>41</v>
      </c>
      <c r="I293" s="2" t="s">
        <v>598</v>
      </c>
      <c r="J293" s="2" t="s">
        <v>599</v>
      </c>
      <c r="K293" s="2">
        <v>919603867</v>
      </c>
      <c r="L293" s="2" t="s">
        <v>600</v>
      </c>
      <c r="M293" s="2" t="s">
        <v>41</v>
      </c>
      <c r="O293" s="2" t="s">
        <v>601</v>
      </c>
      <c r="P293" s="2" t="s">
        <v>43</v>
      </c>
      <c r="Q293" s="2" t="s">
        <v>65</v>
      </c>
      <c r="R293" s="2" t="s">
        <v>66</v>
      </c>
      <c r="S293" s="2">
        <v>3</v>
      </c>
      <c r="T293" s="2">
        <v>0</v>
      </c>
      <c r="U293" s="2">
        <v>0</v>
      </c>
      <c r="V293" s="2">
        <v>0</v>
      </c>
      <c r="W293" s="2">
        <f>15.0203*S293</f>
        <v>45.060900000000004</v>
      </c>
      <c r="X293" s="18">
        <f>IF(T293=0,IF(W293&gt;0,-100%,0%),(T293-W293)/T293)</f>
        <v>-1</v>
      </c>
      <c r="Z293" s="2" t="s">
        <v>3227</v>
      </c>
      <c r="AA293" s="2" t="s">
        <v>46</v>
      </c>
      <c r="AB293" s="2" t="s">
        <v>67</v>
      </c>
      <c r="AC293" s="2" t="s">
        <v>57</v>
      </c>
      <c r="AF293" s="2">
        <f t="shared" si="36"/>
        <v>0</v>
      </c>
      <c r="AG293" s="2">
        <v>15.020300000000001</v>
      </c>
      <c r="AH293" s="2">
        <v>27.6</v>
      </c>
      <c r="AJ293" s="2">
        <f t="shared" si="37"/>
        <v>0</v>
      </c>
      <c r="AK293" s="2">
        <f t="shared" si="40"/>
        <v>-45.060900000000004</v>
      </c>
      <c r="AL293" s="18">
        <f>IF(T293=0,IF(W293&gt;0,-100%,0%),(T293-W293)/T293)</f>
        <v>-1</v>
      </c>
    </row>
    <row r="294" spans="1:38" x14ac:dyDescent="0.2">
      <c r="A294" s="2">
        <v>2025</v>
      </c>
      <c r="B294" s="2">
        <v>1</v>
      </c>
      <c r="D294" s="2" t="s">
        <v>597</v>
      </c>
      <c r="E294" s="2" t="s">
        <v>38</v>
      </c>
      <c r="F294" s="2" t="s">
        <v>39</v>
      </c>
      <c r="G294" s="2">
        <v>509680364</v>
      </c>
      <c r="H294" s="2" t="s">
        <v>41</v>
      </c>
      <c r="I294" s="2" t="s">
        <v>598</v>
      </c>
      <c r="J294" s="2" t="s">
        <v>599</v>
      </c>
      <c r="K294" s="2">
        <v>919603867</v>
      </c>
      <c r="L294" s="2" t="s">
        <v>600</v>
      </c>
      <c r="M294" s="2" t="s">
        <v>41</v>
      </c>
      <c r="O294" s="2" t="s">
        <v>601</v>
      </c>
      <c r="P294" s="2" t="s">
        <v>84</v>
      </c>
      <c r="Q294" s="2" t="s">
        <v>604</v>
      </c>
      <c r="R294" s="2" t="s">
        <v>605</v>
      </c>
      <c r="S294" s="2">
        <v>8</v>
      </c>
      <c r="T294" s="2">
        <v>0</v>
      </c>
      <c r="U294" s="2">
        <v>0</v>
      </c>
      <c r="V294" s="2">
        <v>0</v>
      </c>
      <c r="X294" s="18">
        <v>-1</v>
      </c>
      <c r="Z294" s="2" t="s">
        <v>3227</v>
      </c>
      <c r="AA294" s="2" t="s">
        <v>87</v>
      </c>
      <c r="AB294" s="2" t="s">
        <v>60</v>
      </c>
      <c r="AC294" s="2" t="s">
        <v>84</v>
      </c>
      <c r="AF294" s="2">
        <f t="shared" si="36"/>
        <v>0</v>
      </c>
      <c r="AJ294" s="2">
        <f t="shared" si="37"/>
        <v>0</v>
      </c>
      <c r="AK294" s="2">
        <f t="shared" si="40"/>
        <v>0</v>
      </c>
      <c r="AL294" s="5" t="e">
        <f t="shared" ref="AL294:AL315" si="41">(T294-W294)/T294</f>
        <v>#DIV/0!</v>
      </c>
    </row>
    <row r="295" spans="1:38" x14ac:dyDescent="0.2">
      <c r="A295" s="2">
        <v>2025</v>
      </c>
      <c r="B295" s="2">
        <v>1</v>
      </c>
      <c r="D295" s="2" t="s">
        <v>606</v>
      </c>
      <c r="E295" s="2" t="s">
        <v>108</v>
      </c>
      <c r="F295" s="2" t="s">
        <v>39</v>
      </c>
      <c r="G295" s="2">
        <v>504822187</v>
      </c>
      <c r="H295" s="2" t="s">
        <v>109</v>
      </c>
      <c r="I295" s="2" t="s">
        <v>607</v>
      </c>
      <c r="J295" s="2" t="s">
        <v>608</v>
      </c>
      <c r="K295" s="2">
        <v>966216853</v>
      </c>
      <c r="L295" s="2" t="s">
        <v>461</v>
      </c>
      <c r="M295" s="2" t="s">
        <v>40</v>
      </c>
      <c r="P295" s="2" t="s">
        <v>187</v>
      </c>
      <c r="Q295" s="2" t="s">
        <v>317</v>
      </c>
      <c r="R295" s="2" t="s">
        <v>318</v>
      </c>
      <c r="S295" s="2">
        <v>1</v>
      </c>
      <c r="T295" s="2">
        <v>899</v>
      </c>
      <c r="U295" s="2">
        <v>206.77</v>
      </c>
      <c r="V295" s="2">
        <v>1105.77</v>
      </c>
      <c r="X295" s="5">
        <f>(T295-W295)/T295</f>
        <v>1</v>
      </c>
      <c r="Z295" s="2" t="s">
        <v>117</v>
      </c>
      <c r="AA295" s="2" t="s">
        <v>317</v>
      </c>
      <c r="AF295" s="2">
        <f t="shared" si="36"/>
        <v>0</v>
      </c>
      <c r="AJ295" s="2">
        <f t="shared" si="37"/>
        <v>0</v>
      </c>
      <c r="AK295" s="2">
        <f t="shared" si="40"/>
        <v>899</v>
      </c>
      <c r="AL295" s="5">
        <f t="shared" si="41"/>
        <v>1</v>
      </c>
    </row>
    <row r="296" spans="1:38" x14ac:dyDescent="0.2">
      <c r="A296" s="2">
        <v>2025</v>
      </c>
      <c r="B296" s="2">
        <v>1</v>
      </c>
      <c r="D296" s="2" t="s">
        <v>606</v>
      </c>
      <c r="E296" s="2" t="s">
        <v>108</v>
      </c>
      <c r="F296" s="2" t="s">
        <v>39</v>
      </c>
      <c r="G296" s="2">
        <v>504822187</v>
      </c>
      <c r="H296" s="2" t="s">
        <v>109</v>
      </c>
      <c r="I296" s="2" t="s">
        <v>607</v>
      </c>
      <c r="J296" s="2" t="s">
        <v>608</v>
      </c>
      <c r="K296" s="2">
        <v>966216853</v>
      </c>
      <c r="L296" s="2" t="s">
        <v>461</v>
      </c>
      <c r="M296" s="2" t="s">
        <v>40</v>
      </c>
      <c r="P296" s="2" t="s">
        <v>114</v>
      </c>
      <c r="Q296" s="2" t="s">
        <v>408</v>
      </c>
      <c r="R296" s="2" t="s">
        <v>409</v>
      </c>
      <c r="S296" s="2">
        <v>1</v>
      </c>
      <c r="T296" s="2">
        <v>0</v>
      </c>
      <c r="U296" s="2">
        <v>0</v>
      </c>
      <c r="V296" s="2">
        <v>0</v>
      </c>
      <c r="Z296" s="2" t="s">
        <v>117</v>
      </c>
      <c r="AA296" s="2" t="s">
        <v>317</v>
      </c>
      <c r="AF296" s="2">
        <f t="shared" si="36"/>
        <v>0</v>
      </c>
      <c r="AJ296" s="2">
        <f t="shared" si="37"/>
        <v>0</v>
      </c>
      <c r="AK296" s="2">
        <f t="shared" si="40"/>
        <v>0</v>
      </c>
      <c r="AL296" s="5" t="e">
        <f t="shared" si="41"/>
        <v>#DIV/0!</v>
      </c>
    </row>
    <row r="297" spans="1:38" x14ac:dyDescent="0.2">
      <c r="A297" s="2">
        <v>2025</v>
      </c>
      <c r="B297" s="2">
        <v>1</v>
      </c>
      <c r="D297" s="2" t="s">
        <v>609</v>
      </c>
      <c r="E297" s="2" t="s">
        <v>38</v>
      </c>
      <c r="F297" s="2" t="s">
        <v>39</v>
      </c>
      <c r="G297" s="2">
        <v>509037054</v>
      </c>
      <c r="H297" s="2" t="s">
        <v>41</v>
      </c>
      <c r="I297" s="2" t="s">
        <v>610</v>
      </c>
      <c r="J297" s="2" t="s">
        <v>611</v>
      </c>
      <c r="K297" s="2">
        <v>962616315</v>
      </c>
      <c r="L297" s="2" t="s">
        <v>177</v>
      </c>
      <c r="M297" s="2" t="s">
        <v>41</v>
      </c>
      <c r="O297" s="2" t="s">
        <v>612</v>
      </c>
      <c r="P297" s="2" t="s">
        <v>43</v>
      </c>
      <c r="Q297" s="2" t="s">
        <v>234</v>
      </c>
      <c r="R297" s="2" t="s">
        <v>235</v>
      </c>
      <c r="S297" s="2">
        <v>1</v>
      </c>
      <c r="T297" s="2">
        <v>13.2</v>
      </c>
      <c r="U297" s="2">
        <v>3.036</v>
      </c>
      <c r="V297" s="2">
        <v>16.236000000000001</v>
      </c>
      <c r="W297" s="2">
        <v>7.2217000000000002</v>
      </c>
      <c r="X297" s="5">
        <f t="shared" ref="X297:X315" si="42">(T297-W297)/T297</f>
        <v>0.45290151515151511</v>
      </c>
      <c r="Z297" s="2" t="s">
        <v>3227</v>
      </c>
      <c r="AA297" s="2" t="s">
        <v>46</v>
      </c>
      <c r="AB297" s="2" t="s">
        <v>56</v>
      </c>
      <c r="AC297" s="2" t="s">
        <v>57</v>
      </c>
      <c r="AF297" s="2">
        <f t="shared" si="36"/>
        <v>0</v>
      </c>
      <c r="AG297" s="2">
        <v>7.2217000000000002</v>
      </c>
      <c r="AH297" s="2">
        <v>14.4</v>
      </c>
      <c r="AJ297" s="2">
        <f t="shared" si="37"/>
        <v>0</v>
      </c>
      <c r="AK297" s="2">
        <f t="shared" si="40"/>
        <v>5.9782999999999991</v>
      </c>
      <c r="AL297" s="5">
        <f t="shared" si="41"/>
        <v>0.45290151515151511</v>
      </c>
    </row>
    <row r="298" spans="1:38" x14ac:dyDescent="0.2">
      <c r="A298" s="2">
        <v>2025</v>
      </c>
      <c r="B298" s="2">
        <v>1</v>
      </c>
      <c r="D298" s="2" t="s">
        <v>609</v>
      </c>
      <c r="E298" s="2" t="s">
        <v>38</v>
      </c>
      <c r="F298" s="2" t="s">
        <v>39</v>
      </c>
      <c r="G298" s="2">
        <v>509037054</v>
      </c>
      <c r="H298" s="2" t="s">
        <v>41</v>
      </c>
      <c r="I298" s="2" t="s">
        <v>610</v>
      </c>
      <c r="J298" s="2" t="s">
        <v>611</v>
      </c>
      <c r="K298" s="2">
        <v>962616315</v>
      </c>
      <c r="L298" s="2" t="s">
        <v>177</v>
      </c>
      <c r="M298" s="2" t="s">
        <v>41</v>
      </c>
      <c r="O298" s="2" t="s">
        <v>612</v>
      </c>
      <c r="P298" s="2" t="s">
        <v>43</v>
      </c>
      <c r="Q298" s="2" t="s">
        <v>238</v>
      </c>
      <c r="R298" s="2" t="s">
        <v>239</v>
      </c>
      <c r="S298" s="2">
        <v>1</v>
      </c>
      <c r="T298" s="2">
        <v>19.8</v>
      </c>
      <c r="U298" s="2">
        <v>4.5540000000000003</v>
      </c>
      <c r="V298" s="2">
        <v>24.353999999999999</v>
      </c>
      <c r="W298" s="2">
        <f>11.045*S298</f>
        <v>11.045</v>
      </c>
      <c r="X298" s="5">
        <f t="shared" si="42"/>
        <v>0.44217171717171722</v>
      </c>
      <c r="Z298" s="2" t="s">
        <v>3227</v>
      </c>
      <c r="AA298" s="2" t="s">
        <v>46</v>
      </c>
      <c r="AB298" s="2" t="s">
        <v>56</v>
      </c>
      <c r="AC298" s="2" t="s">
        <v>57</v>
      </c>
      <c r="AF298" s="2">
        <f t="shared" si="36"/>
        <v>0</v>
      </c>
      <c r="AJ298" s="2">
        <f t="shared" si="37"/>
        <v>0</v>
      </c>
      <c r="AK298" s="2">
        <f t="shared" si="40"/>
        <v>8.7550000000000008</v>
      </c>
      <c r="AL298" s="5">
        <f t="shared" si="41"/>
        <v>0.44217171717171722</v>
      </c>
    </row>
    <row r="299" spans="1:38" x14ac:dyDescent="0.2">
      <c r="A299" s="2">
        <v>2025</v>
      </c>
      <c r="B299" s="2">
        <v>1</v>
      </c>
      <c r="D299" s="2" t="s">
        <v>609</v>
      </c>
      <c r="E299" s="2" t="s">
        <v>38</v>
      </c>
      <c r="F299" s="2" t="s">
        <v>39</v>
      </c>
      <c r="G299" s="2">
        <v>509037054</v>
      </c>
      <c r="H299" s="2" t="s">
        <v>41</v>
      </c>
      <c r="I299" s="2" t="s">
        <v>610</v>
      </c>
      <c r="J299" s="2" t="s">
        <v>611</v>
      </c>
      <c r="K299" s="2">
        <v>962616315</v>
      </c>
      <c r="L299" s="2" t="s">
        <v>177</v>
      </c>
      <c r="M299" s="2" t="s">
        <v>41</v>
      </c>
      <c r="O299" s="2" t="s">
        <v>612</v>
      </c>
      <c r="P299" s="2" t="s">
        <v>43</v>
      </c>
      <c r="Q299" s="2" t="s">
        <v>246</v>
      </c>
      <c r="R299" s="2" t="s">
        <v>247</v>
      </c>
      <c r="S299" s="2">
        <v>1</v>
      </c>
      <c r="T299" s="2">
        <v>19.2</v>
      </c>
      <c r="U299" s="2">
        <v>4.4160000000000004</v>
      </c>
      <c r="V299" s="2">
        <v>23.616</v>
      </c>
      <c r="W299" s="2">
        <f>10.5267*S299</f>
        <v>10.5267</v>
      </c>
      <c r="X299" s="5">
        <f t="shared" si="42"/>
        <v>0.45173437499999997</v>
      </c>
      <c r="Z299" s="2" t="s">
        <v>3227</v>
      </c>
      <c r="AA299" s="2" t="s">
        <v>46</v>
      </c>
      <c r="AB299" s="2" t="s">
        <v>56</v>
      </c>
      <c r="AC299" s="2" t="s">
        <v>57</v>
      </c>
      <c r="AF299" s="2">
        <f t="shared" si="36"/>
        <v>0</v>
      </c>
      <c r="AJ299" s="2">
        <f t="shared" si="37"/>
        <v>0</v>
      </c>
      <c r="AK299" s="2">
        <f t="shared" si="40"/>
        <v>8.6732999999999993</v>
      </c>
      <c r="AL299" s="5">
        <f t="shared" si="41"/>
        <v>0.45173437499999997</v>
      </c>
    </row>
    <row r="300" spans="1:38" x14ac:dyDescent="0.2">
      <c r="A300" s="2">
        <v>2025</v>
      </c>
      <c r="B300" s="2">
        <v>1</v>
      </c>
      <c r="D300" s="2" t="s">
        <v>609</v>
      </c>
      <c r="E300" s="2" t="s">
        <v>38</v>
      </c>
      <c r="F300" s="2" t="s">
        <v>39</v>
      </c>
      <c r="G300" s="2">
        <v>509037054</v>
      </c>
      <c r="H300" s="2" t="s">
        <v>41</v>
      </c>
      <c r="I300" s="2" t="s">
        <v>610</v>
      </c>
      <c r="J300" s="2" t="s">
        <v>611</v>
      </c>
      <c r="K300" s="2">
        <v>962616315</v>
      </c>
      <c r="L300" s="2" t="s">
        <v>177</v>
      </c>
      <c r="M300" s="2" t="s">
        <v>41</v>
      </c>
      <c r="O300" s="2" t="s">
        <v>612</v>
      </c>
      <c r="P300" s="2" t="s">
        <v>43</v>
      </c>
      <c r="Q300" s="2" t="s">
        <v>61</v>
      </c>
      <c r="R300" s="2" t="s">
        <v>62</v>
      </c>
      <c r="S300" s="2">
        <v>100</v>
      </c>
      <c r="T300" s="2">
        <v>13</v>
      </c>
      <c r="U300" s="2">
        <v>2.99</v>
      </c>
      <c r="V300" s="2">
        <v>15.99</v>
      </c>
      <c r="W300" s="2">
        <f>0.082*S300</f>
        <v>8.2000000000000011</v>
      </c>
      <c r="X300" s="5">
        <f t="shared" si="42"/>
        <v>0.36923076923076914</v>
      </c>
      <c r="Z300" s="2" t="s">
        <v>3227</v>
      </c>
      <c r="AA300" s="2" t="s">
        <v>46</v>
      </c>
      <c r="AB300" s="2" t="s">
        <v>60</v>
      </c>
      <c r="AC300" s="2" t="s">
        <v>57</v>
      </c>
      <c r="AF300" s="2">
        <f t="shared" si="36"/>
        <v>0</v>
      </c>
      <c r="AG300" s="2">
        <v>8.1999999999999993</v>
      </c>
      <c r="AH300" s="2">
        <v>13</v>
      </c>
      <c r="AJ300" s="2">
        <f t="shared" si="37"/>
        <v>0</v>
      </c>
      <c r="AK300" s="2">
        <f t="shared" si="40"/>
        <v>4.7999999999999989</v>
      </c>
      <c r="AL300" s="5">
        <f t="shared" si="41"/>
        <v>0.36923076923076914</v>
      </c>
    </row>
    <row r="301" spans="1:38" x14ac:dyDescent="0.2">
      <c r="A301" s="2">
        <v>2025</v>
      </c>
      <c r="B301" s="2">
        <v>1</v>
      </c>
      <c r="D301" s="2" t="s">
        <v>613</v>
      </c>
      <c r="P301" s="2" t="s">
        <v>114</v>
      </c>
      <c r="Q301" s="2" t="s">
        <v>614</v>
      </c>
      <c r="R301" s="2" t="s">
        <v>615</v>
      </c>
      <c r="S301" s="2">
        <v>1</v>
      </c>
      <c r="T301" s="2">
        <v>5950</v>
      </c>
      <c r="U301" s="2">
        <v>1368.5</v>
      </c>
      <c r="V301" s="2">
        <v>7318.5</v>
      </c>
      <c r="W301" s="2">
        <v>4157.3999999999996</v>
      </c>
      <c r="X301" s="5">
        <f t="shared" si="42"/>
        <v>0.30127731092436982</v>
      </c>
      <c r="Z301" s="2" t="s">
        <v>104</v>
      </c>
      <c r="AA301" s="2" t="s">
        <v>616</v>
      </c>
      <c r="AB301" s="2" t="s">
        <v>3438</v>
      </c>
      <c r="AC301" s="2" t="s">
        <v>114</v>
      </c>
      <c r="AF301" s="2">
        <f t="shared" si="36"/>
        <v>0</v>
      </c>
      <c r="AG301" s="2">
        <v>4157.3999999999996</v>
      </c>
      <c r="AJ301" s="2">
        <f t="shared" si="37"/>
        <v>0</v>
      </c>
      <c r="AK301" s="2">
        <f t="shared" si="40"/>
        <v>1792.6000000000004</v>
      </c>
      <c r="AL301" s="5">
        <f t="shared" si="41"/>
        <v>0.30127731092436982</v>
      </c>
    </row>
    <row r="302" spans="1:38" x14ac:dyDescent="0.2">
      <c r="A302" s="2">
        <v>2025</v>
      </c>
      <c r="B302" s="2">
        <v>1</v>
      </c>
      <c r="D302" s="2" t="s">
        <v>617</v>
      </c>
      <c r="E302" s="2" t="s">
        <v>38</v>
      </c>
      <c r="F302" s="2" t="s">
        <v>39</v>
      </c>
      <c r="G302" s="2">
        <v>513759654</v>
      </c>
      <c r="H302" s="2" t="s">
        <v>41</v>
      </c>
      <c r="I302" s="2" t="s">
        <v>618</v>
      </c>
      <c r="J302" s="2" t="s">
        <v>619</v>
      </c>
      <c r="L302" s="2" t="s">
        <v>418</v>
      </c>
      <c r="M302" s="2" t="s">
        <v>41</v>
      </c>
      <c r="P302" s="2" t="s">
        <v>282</v>
      </c>
      <c r="Q302" s="2" t="s">
        <v>399</v>
      </c>
      <c r="R302" s="2" t="s">
        <v>400</v>
      </c>
      <c r="S302" s="2">
        <v>4</v>
      </c>
      <c r="T302" s="2">
        <v>116</v>
      </c>
      <c r="U302" s="2">
        <v>26.68</v>
      </c>
      <c r="V302" s="2">
        <v>142.68</v>
      </c>
      <c r="W302" s="2">
        <f>17.4*S302</f>
        <v>69.599999999999994</v>
      </c>
      <c r="X302" s="5">
        <f t="shared" si="42"/>
        <v>0.4</v>
      </c>
      <c r="Z302" s="2" t="s">
        <v>3227</v>
      </c>
      <c r="AA302" s="2" t="s">
        <v>46</v>
      </c>
      <c r="AB302" s="2" t="s">
        <v>60</v>
      </c>
      <c r="AC302" s="2" t="s">
        <v>3332</v>
      </c>
      <c r="AF302" s="2">
        <f t="shared" si="36"/>
        <v>0</v>
      </c>
      <c r="AJ302" s="2">
        <f t="shared" si="37"/>
        <v>0</v>
      </c>
      <c r="AK302" s="2">
        <f t="shared" si="40"/>
        <v>46.400000000000006</v>
      </c>
      <c r="AL302" s="5">
        <f t="shared" si="41"/>
        <v>0.4</v>
      </c>
    </row>
    <row r="303" spans="1:38" x14ac:dyDescent="0.2">
      <c r="A303" s="2">
        <v>2025</v>
      </c>
      <c r="B303" s="2">
        <v>1</v>
      </c>
      <c r="D303" s="2" t="s">
        <v>617</v>
      </c>
      <c r="E303" s="2" t="s">
        <v>38</v>
      </c>
      <c r="F303" s="2" t="s">
        <v>39</v>
      </c>
      <c r="G303" s="2">
        <v>513759654</v>
      </c>
      <c r="H303" s="2" t="s">
        <v>41</v>
      </c>
      <c r="I303" s="2" t="s">
        <v>618</v>
      </c>
      <c r="J303" s="2" t="s">
        <v>619</v>
      </c>
      <c r="L303" s="2" t="s">
        <v>418</v>
      </c>
      <c r="M303" s="2" t="s">
        <v>41</v>
      </c>
      <c r="P303" s="2" t="s">
        <v>43</v>
      </c>
      <c r="Q303" s="2" t="s">
        <v>592</v>
      </c>
      <c r="R303" s="2" t="s">
        <v>593</v>
      </c>
      <c r="S303" s="2">
        <v>1</v>
      </c>
      <c r="T303" s="2">
        <v>28.8</v>
      </c>
      <c r="U303" s="2">
        <v>6.6240000000000014</v>
      </c>
      <c r="V303" s="2">
        <v>35.423999999999999</v>
      </c>
      <c r="W303" s="2">
        <f>11.295*S303</f>
        <v>11.295</v>
      </c>
      <c r="X303" s="5">
        <f t="shared" si="42"/>
        <v>0.60781250000000009</v>
      </c>
      <c r="Z303" s="2" t="s">
        <v>3227</v>
      </c>
      <c r="AA303" s="2" t="s">
        <v>46</v>
      </c>
      <c r="AB303" s="2" t="s">
        <v>47</v>
      </c>
      <c r="AC303" s="2" t="s">
        <v>57</v>
      </c>
      <c r="AF303" s="2">
        <f t="shared" si="36"/>
        <v>0</v>
      </c>
      <c r="AJ303" s="2">
        <f t="shared" si="37"/>
        <v>0</v>
      </c>
      <c r="AK303" s="2">
        <f t="shared" si="40"/>
        <v>17.505000000000003</v>
      </c>
      <c r="AL303" s="5">
        <f t="shared" si="41"/>
        <v>0.60781250000000009</v>
      </c>
    </row>
    <row r="304" spans="1:38" x14ac:dyDescent="0.2">
      <c r="A304" s="2">
        <v>2025</v>
      </c>
      <c r="B304" s="2">
        <v>1</v>
      </c>
      <c r="D304" s="2" t="s">
        <v>617</v>
      </c>
      <c r="E304" s="2" t="s">
        <v>38</v>
      </c>
      <c r="F304" s="2" t="s">
        <v>39</v>
      </c>
      <c r="G304" s="2">
        <v>513759654</v>
      </c>
      <c r="H304" s="2" t="s">
        <v>41</v>
      </c>
      <c r="I304" s="2" t="s">
        <v>618</v>
      </c>
      <c r="J304" s="2" t="s">
        <v>619</v>
      </c>
      <c r="L304" s="2" t="s">
        <v>418</v>
      </c>
      <c r="M304" s="2" t="s">
        <v>41</v>
      </c>
      <c r="P304" s="2" t="s">
        <v>43</v>
      </c>
      <c r="Q304" s="2" t="s">
        <v>54</v>
      </c>
      <c r="R304" s="2" t="s">
        <v>55</v>
      </c>
      <c r="S304" s="2">
        <v>10</v>
      </c>
      <c r="T304" s="2">
        <v>160</v>
      </c>
      <c r="U304" s="2">
        <v>36.799999999999997</v>
      </c>
      <c r="V304" s="2">
        <v>196.8</v>
      </c>
      <c r="W304" s="2">
        <f>10.6*S304</f>
        <v>106</v>
      </c>
      <c r="X304" s="5">
        <f t="shared" si="42"/>
        <v>0.33750000000000002</v>
      </c>
      <c r="Z304" s="2" t="s">
        <v>3227</v>
      </c>
      <c r="AA304" s="2" t="s">
        <v>46</v>
      </c>
      <c r="AB304" s="2" t="s">
        <v>56</v>
      </c>
      <c r="AC304" s="2" t="s">
        <v>57</v>
      </c>
      <c r="AF304" s="2">
        <f t="shared" si="36"/>
        <v>0</v>
      </c>
      <c r="AG304" s="2">
        <v>10.6</v>
      </c>
      <c r="AH304" s="2">
        <v>18</v>
      </c>
      <c r="AJ304" s="2">
        <f t="shared" si="37"/>
        <v>0</v>
      </c>
      <c r="AK304" s="2">
        <f t="shared" si="40"/>
        <v>54</v>
      </c>
      <c r="AL304" s="5">
        <f t="shared" si="41"/>
        <v>0.33750000000000002</v>
      </c>
    </row>
    <row r="305" spans="1:38" x14ac:dyDescent="0.2">
      <c r="A305" s="2">
        <v>2025</v>
      </c>
      <c r="B305" s="2">
        <v>1</v>
      </c>
      <c r="D305" s="2" t="s">
        <v>617</v>
      </c>
      <c r="E305" s="2" t="s">
        <v>38</v>
      </c>
      <c r="F305" s="2" t="s">
        <v>39</v>
      </c>
      <c r="G305" s="2">
        <v>513759654</v>
      </c>
      <c r="H305" s="2" t="s">
        <v>41</v>
      </c>
      <c r="I305" s="2" t="s">
        <v>618</v>
      </c>
      <c r="J305" s="2" t="s">
        <v>619</v>
      </c>
      <c r="L305" s="2" t="s">
        <v>418</v>
      </c>
      <c r="M305" s="2" t="s">
        <v>41</v>
      </c>
      <c r="P305" s="2" t="s">
        <v>43</v>
      </c>
      <c r="Q305" s="2" t="s">
        <v>58</v>
      </c>
      <c r="R305" s="2" t="s">
        <v>59</v>
      </c>
      <c r="S305" s="2">
        <v>300</v>
      </c>
      <c r="T305" s="2">
        <v>39</v>
      </c>
      <c r="U305" s="2">
        <v>8.9700000000000006</v>
      </c>
      <c r="V305" s="2">
        <v>47.97</v>
      </c>
      <c r="W305" s="2">
        <f>0.0914*S305</f>
        <v>27.419999999999998</v>
      </c>
      <c r="X305" s="5">
        <f t="shared" si="42"/>
        <v>0.29692307692307696</v>
      </c>
      <c r="Z305" s="2" t="s">
        <v>3227</v>
      </c>
      <c r="AA305" s="2" t="s">
        <v>46</v>
      </c>
      <c r="AB305" s="2" t="s">
        <v>60</v>
      </c>
      <c r="AC305" s="2" t="s">
        <v>57</v>
      </c>
      <c r="AF305" s="2">
        <f t="shared" si="36"/>
        <v>0</v>
      </c>
      <c r="AG305" s="2">
        <v>9.14</v>
      </c>
      <c r="AH305" s="2">
        <v>16</v>
      </c>
      <c r="AJ305" s="2">
        <f t="shared" si="37"/>
        <v>0</v>
      </c>
      <c r="AK305" s="2">
        <f t="shared" si="40"/>
        <v>11.580000000000002</v>
      </c>
      <c r="AL305" s="5">
        <f t="shared" si="41"/>
        <v>0.29692307692307696</v>
      </c>
    </row>
    <row r="306" spans="1:38" x14ac:dyDescent="0.2">
      <c r="A306" s="2">
        <v>2025</v>
      </c>
      <c r="B306" s="2">
        <v>1</v>
      </c>
      <c r="D306" s="2" t="s">
        <v>617</v>
      </c>
      <c r="E306" s="2" t="s">
        <v>38</v>
      </c>
      <c r="F306" s="2" t="s">
        <v>39</v>
      </c>
      <c r="G306" s="2">
        <v>513759654</v>
      </c>
      <c r="H306" s="2" t="s">
        <v>41</v>
      </c>
      <c r="I306" s="2" t="s">
        <v>618</v>
      </c>
      <c r="J306" s="2" t="s">
        <v>619</v>
      </c>
      <c r="L306" s="2" t="s">
        <v>418</v>
      </c>
      <c r="M306" s="2" t="s">
        <v>41</v>
      </c>
      <c r="P306" s="2" t="s">
        <v>43</v>
      </c>
      <c r="Q306" s="2" t="s">
        <v>61</v>
      </c>
      <c r="R306" s="2" t="s">
        <v>62</v>
      </c>
      <c r="S306" s="2">
        <v>200</v>
      </c>
      <c r="T306" s="2">
        <v>26</v>
      </c>
      <c r="U306" s="2">
        <v>5.98</v>
      </c>
      <c r="V306" s="2">
        <v>31.98</v>
      </c>
      <c r="W306" s="2">
        <f>0.082*S306</f>
        <v>16.400000000000002</v>
      </c>
      <c r="X306" s="5">
        <f t="shared" si="42"/>
        <v>0.36923076923076914</v>
      </c>
      <c r="Z306" s="2" t="s">
        <v>3227</v>
      </c>
      <c r="AA306" s="2" t="s">
        <v>46</v>
      </c>
      <c r="AB306" s="2" t="s">
        <v>60</v>
      </c>
      <c r="AC306" s="2" t="s">
        <v>57</v>
      </c>
      <c r="AF306" s="2">
        <f t="shared" si="36"/>
        <v>0</v>
      </c>
      <c r="AG306" s="2">
        <v>8.1999999999999993</v>
      </c>
      <c r="AH306" s="2">
        <v>13</v>
      </c>
      <c r="AJ306" s="2">
        <f t="shared" si="37"/>
        <v>0</v>
      </c>
      <c r="AK306" s="2">
        <f t="shared" si="40"/>
        <v>9.5999999999999979</v>
      </c>
      <c r="AL306" s="5">
        <f t="shared" si="41"/>
        <v>0.36923076923076914</v>
      </c>
    </row>
    <row r="307" spans="1:38" x14ac:dyDescent="0.2">
      <c r="A307" s="2">
        <v>2025</v>
      </c>
      <c r="B307" s="2">
        <v>1</v>
      </c>
      <c r="D307" s="2" t="s">
        <v>617</v>
      </c>
      <c r="E307" s="2" t="s">
        <v>38</v>
      </c>
      <c r="F307" s="2" t="s">
        <v>39</v>
      </c>
      <c r="G307" s="2">
        <v>513759654</v>
      </c>
      <c r="H307" s="2" t="s">
        <v>41</v>
      </c>
      <c r="I307" s="2" t="s">
        <v>618</v>
      </c>
      <c r="J307" s="2" t="s">
        <v>619</v>
      </c>
      <c r="L307" s="2" t="s">
        <v>418</v>
      </c>
      <c r="M307" s="2" t="s">
        <v>41</v>
      </c>
      <c r="P307" s="2" t="s">
        <v>84</v>
      </c>
      <c r="Q307" s="2" t="s">
        <v>620</v>
      </c>
      <c r="R307" s="2" t="s">
        <v>621</v>
      </c>
      <c r="S307" s="2">
        <v>1</v>
      </c>
      <c r="T307" s="2">
        <v>8.6999999999999993</v>
      </c>
      <c r="U307" s="2">
        <v>2.0009999999999999</v>
      </c>
      <c r="V307" s="2">
        <v>10.701000000000001</v>
      </c>
      <c r="W307" s="2">
        <v>4.9974999999999996</v>
      </c>
      <c r="X307" s="5">
        <f t="shared" si="42"/>
        <v>0.42557471264367813</v>
      </c>
      <c r="Z307" s="2" t="s">
        <v>3227</v>
      </c>
      <c r="AA307" s="2" t="s">
        <v>87</v>
      </c>
      <c r="AB307" s="2" t="s">
        <v>60</v>
      </c>
      <c r="AC307" s="2" t="s">
        <v>84</v>
      </c>
      <c r="AF307" s="2">
        <f t="shared" si="36"/>
        <v>0</v>
      </c>
      <c r="AJ307" s="2">
        <f t="shared" si="37"/>
        <v>0</v>
      </c>
      <c r="AK307" s="2">
        <f t="shared" si="40"/>
        <v>3.7024999999999997</v>
      </c>
      <c r="AL307" s="5">
        <f t="shared" si="41"/>
        <v>0.42557471264367813</v>
      </c>
    </row>
    <row r="308" spans="1:38" x14ac:dyDescent="0.2">
      <c r="A308" s="2">
        <v>2025</v>
      </c>
      <c r="B308" s="2">
        <v>1</v>
      </c>
      <c r="D308" s="2" t="s">
        <v>617</v>
      </c>
      <c r="E308" s="2" t="s">
        <v>38</v>
      </c>
      <c r="F308" s="2" t="s">
        <v>39</v>
      </c>
      <c r="G308" s="2">
        <v>513759654</v>
      </c>
      <c r="H308" s="2" t="s">
        <v>41</v>
      </c>
      <c r="I308" s="2" t="s">
        <v>618</v>
      </c>
      <c r="J308" s="2" t="s">
        <v>619</v>
      </c>
      <c r="L308" s="2" t="s">
        <v>418</v>
      </c>
      <c r="M308" s="2" t="s">
        <v>41</v>
      </c>
      <c r="P308" s="2" t="s">
        <v>84</v>
      </c>
      <c r="Q308" s="2" t="s">
        <v>622</v>
      </c>
      <c r="R308" s="2" t="s">
        <v>623</v>
      </c>
      <c r="S308" s="2">
        <v>10</v>
      </c>
      <c r="T308" s="2">
        <v>27</v>
      </c>
      <c r="U308" s="2">
        <v>6.21</v>
      </c>
      <c r="V308" s="2">
        <v>33.21</v>
      </c>
      <c r="W308" s="2">
        <f>1.4839*S308</f>
        <v>14.839</v>
      </c>
      <c r="X308" s="5">
        <f t="shared" si="42"/>
        <v>0.45040740740740737</v>
      </c>
      <c r="Z308" s="2" t="s">
        <v>3227</v>
      </c>
      <c r="AA308" s="2" t="s">
        <v>87</v>
      </c>
      <c r="AB308" s="2" t="s">
        <v>60</v>
      </c>
      <c r="AC308" s="2" t="s">
        <v>84</v>
      </c>
      <c r="AF308" s="2">
        <f t="shared" si="36"/>
        <v>0</v>
      </c>
      <c r="AJ308" s="2">
        <f t="shared" si="37"/>
        <v>0</v>
      </c>
      <c r="AK308" s="2">
        <f t="shared" si="40"/>
        <v>12.161</v>
      </c>
      <c r="AL308" s="5">
        <f t="shared" si="41"/>
        <v>0.45040740740740737</v>
      </c>
    </row>
    <row r="309" spans="1:38" x14ac:dyDescent="0.2">
      <c r="A309" s="2">
        <v>2025</v>
      </c>
      <c r="B309" s="2">
        <v>1</v>
      </c>
      <c r="D309" s="2" t="s">
        <v>624</v>
      </c>
      <c r="E309" s="2" t="s">
        <v>38</v>
      </c>
      <c r="F309" s="2" t="s">
        <v>39</v>
      </c>
      <c r="G309" s="2" t="s">
        <v>625</v>
      </c>
      <c r="H309" s="2" t="s">
        <v>40</v>
      </c>
      <c r="I309" s="2" t="s">
        <v>626</v>
      </c>
      <c r="J309" s="2" t="s">
        <v>627</v>
      </c>
      <c r="L309" s="2" t="s">
        <v>626</v>
      </c>
      <c r="M309" s="2" t="s">
        <v>40</v>
      </c>
      <c r="P309" s="2" t="s">
        <v>114</v>
      </c>
      <c r="Q309" s="2" t="s">
        <v>628</v>
      </c>
      <c r="R309" s="2" t="s">
        <v>629</v>
      </c>
      <c r="S309" s="2">
        <v>1</v>
      </c>
      <c r="T309" s="2">
        <v>26.85</v>
      </c>
      <c r="V309" s="2">
        <f>T309</f>
        <v>26.85</v>
      </c>
      <c r="W309" s="2">
        <v>12.938599999999999</v>
      </c>
      <c r="X309" s="5">
        <f t="shared" si="42"/>
        <v>0.5181154562383613</v>
      </c>
      <c r="Z309" s="2" t="s">
        <v>117</v>
      </c>
      <c r="AA309" s="2" t="s">
        <v>118</v>
      </c>
      <c r="AB309" s="2" t="s">
        <v>119</v>
      </c>
      <c r="AC309" s="2" t="s">
        <v>114</v>
      </c>
      <c r="AF309" s="2">
        <f t="shared" si="36"/>
        <v>0</v>
      </c>
      <c r="AG309" s="2">
        <v>12.938599999999999</v>
      </c>
      <c r="AJ309" s="2">
        <f t="shared" si="37"/>
        <v>0</v>
      </c>
      <c r="AK309" s="2">
        <f t="shared" si="40"/>
        <v>13.911400000000002</v>
      </c>
      <c r="AL309" s="5">
        <f t="shared" si="41"/>
        <v>0.5181154562383613</v>
      </c>
    </row>
    <row r="310" spans="1:38" x14ac:dyDescent="0.2">
      <c r="A310" s="2">
        <v>2025</v>
      </c>
      <c r="B310" s="2">
        <v>1</v>
      </c>
      <c r="D310" s="2" t="s">
        <v>624</v>
      </c>
      <c r="E310" s="2" t="s">
        <v>38</v>
      </c>
      <c r="F310" s="2" t="s">
        <v>39</v>
      </c>
      <c r="G310" s="2" t="s">
        <v>625</v>
      </c>
      <c r="H310" s="2" t="s">
        <v>40</v>
      </c>
      <c r="I310" s="2" t="s">
        <v>626</v>
      </c>
      <c r="J310" s="2" t="s">
        <v>627</v>
      </c>
      <c r="L310" s="2" t="s">
        <v>626</v>
      </c>
      <c r="M310" s="2" t="s">
        <v>40</v>
      </c>
      <c r="P310" s="2" t="s">
        <v>114</v>
      </c>
      <c r="Q310" s="2" t="s">
        <v>630</v>
      </c>
      <c r="R310" s="2" t="s">
        <v>631</v>
      </c>
      <c r="S310" s="2">
        <v>1</v>
      </c>
      <c r="T310" s="2">
        <v>39.5</v>
      </c>
      <c r="V310" s="2">
        <f>T310</f>
        <v>39.5</v>
      </c>
      <c r="W310" s="2">
        <v>25.57</v>
      </c>
      <c r="X310" s="5">
        <f t="shared" si="42"/>
        <v>0.35265822784810125</v>
      </c>
      <c r="Z310" s="2" t="s">
        <v>117</v>
      </c>
      <c r="AA310" s="2" t="s">
        <v>118</v>
      </c>
      <c r="AB310" s="2" t="s">
        <v>119</v>
      </c>
      <c r="AC310" s="2" t="s">
        <v>114</v>
      </c>
      <c r="AF310" s="2">
        <f t="shared" si="36"/>
        <v>0</v>
      </c>
      <c r="AG310" s="2">
        <v>25.57</v>
      </c>
      <c r="AJ310" s="2">
        <f t="shared" si="37"/>
        <v>0</v>
      </c>
      <c r="AK310" s="2">
        <f t="shared" si="40"/>
        <v>13.93</v>
      </c>
      <c r="AL310" s="5">
        <f t="shared" si="41"/>
        <v>0.35265822784810125</v>
      </c>
    </row>
    <row r="311" spans="1:38" x14ac:dyDescent="0.2">
      <c r="A311" s="2">
        <v>2025</v>
      </c>
      <c r="B311" s="2">
        <v>1</v>
      </c>
      <c r="D311" s="2" t="s">
        <v>624</v>
      </c>
      <c r="E311" s="2" t="s">
        <v>38</v>
      </c>
      <c r="F311" s="2" t="s">
        <v>39</v>
      </c>
      <c r="G311" s="2" t="s">
        <v>625</v>
      </c>
      <c r="H311" s="2" t="s">
        <v>40</v>
      </c>
      <c r="I311" s="2" t="s">
        <v>626</v>
      </c>
      <c r="J311" s="2" t="s">
        <v>627</v>
      </c>
      <c r="L311" s="2" t="s">
        <v>626</v>
      </c>
      <c r="M311" s="2" t="s">
        <v>40</v>
      </c>
      <c r="P311" s="2" t="s">
        <v>114</v>
      </c>
      <c r="Q311" s="2" t="s">
        <v>561</v>
      </c>
      <c r="R311" s="2" t="s">
        <v>562</v>
      </c>
      <c r="S311" s="2">
        <v>2</v>
      </c>
      <c r="T311" s="2">
        <v>28.56</v>
      </c>
      <c r="V311" s="2">
        <f>T311</f>
        <v>28.56</v>
      </c>
      <c r="W311" s="2">
        <f>5.33*S311</f>
        <v>10.66</v>
      </c>
      <c r="X311" s="5">
        <f t="shared" si="42"/>
        <v>0.62675070028011204</v>
      </c>
      <c r="Z311" s="2" t="s">
        <v>117</v>
      </c>
      <c r="AA311" s="2" t="s">
        <v>118</v>
      </c>
      <c r="AB311" s="2" t="s">
        <v>119</v>
      </c>
      <c r="AC311" s="2" t="s">
        <v>114</v>
      </c>
      <c r="AF311" s="2">
        <f t="shared" si="36"/>
        <v>0</v>
      </c>
      <c r="AG311" s="2">
        <v>5.33</v>
      </c>
      <c r="AJ311" s="2">
        <f t="shared" si="37"/>
        <v>0</v>
      </c>
      <c r="AK311" s="2">
        <f t="shared" si="40"/>
        <v>17.899999999999999</v>
      </c>
      <c r="AL311" s="5">
        <f t="shared" si="41"/>
        <v>0.62675070028011204</v>
      </c>
    </row>
    <row r="312" spans="1:38" x14ac:dyDescent="0.2">
      <c r="A312" s="2">
        <v>2025</v>
      </c>
      <c r="B312" s="2">
        <v>1</v>
      </c>
      <c r="C312" s="2" t="s">
        <v>3456</v>
      </c>
      <c r="D312" s="2" t="s">
        <v>632</v>
      </c>
      <c r="E312" s="2" t="s">
        <v>108</v>
      </c>
      <c r="F312" s="2" t="s">
        <v>477</v>
      </c>
      <c r="H312" s="2" t="s">
        <v>41</v>
      </c>
      <c r="I312" s="2" t="s">
        <v>3184</v>
      </c>
      <c r="J312" s="2" t="s">
        <v>3238</v>
      </c>
      <c r="K312" s="2">
        <v>965347433</v>
      </c>
      <c r="L312" s="2" t="s">
        <v>201</v>
      </c>
      <c r="M312" s="2" t="s">
        <v>41</v>
      </c>
      <c r="O312" s="2" t="s">
        <v>3239</v>
      </c>
      <c r="P312" s="2" t="s">
        <v>72</v>
      </c>
      <c r="Q312" s="2" t="s">
        <v>73</v>
      </c>
      <c r="R312" s="2" t="s">
        <v>74</v>
      </c>
      <c r="S312" s="2">
        <v>1</v>
      </c>
      <c r="T312" s="2">
        <v>184</v>
      </c>
      <c r="U312" s="2">
        <v>42.32</v>
      </c>
      <c r="V312" s="2">
        <v>226.32</v>
      </c>
      <c r="W312" s="2">
        <v>117.453</v>
      </c>
      <c r="X312" s="5">
        <f t="shared" si="42"/>
        <v>0.36166847826086956</v>
      </c>
      <c r="Z312" s="2" t="s">
        <v>3227</v>
      </c>
      <c r="AA312" s="2" t="s">
        <v>75</v>
      </c>
      <c r="AB312" s="2" t="s">
        <v>76</v>
      </c>
      <c r="AC312" s="2" t="s">
        <v>77</v>
      </c>
      <c r="AF312" s="2">
        <f t="shared" si="36"/>
        <v>0</v>
      </c>
      <c r="AG312" s="2">
        <v>117.453</v>
      </c>
      <c r="AH312" s="2">
        <v>220</v>
      </c>
      <c r="AJ312" s="2">
        <f t="shared" si="37"/>
        <v>0</v>
      </c>
      <c r="AK312" s="2">
        <f t="shared" si="40"/>
        <v>66.546999999999997</v>
      </c>
      <c r="AL312" s="5">
        <f t="shared" si="41"/>
        <v>0.36166847826086956</v>
      </c>
    </row>
    <row r="313" spans="1:38" x14ac:dyDescent="0.2">
      <c r="A313" s="2">
        <v>2025</v>
      </c>
      <c r="B313" s="2">
        <v>1</v>
      </c>
      <c r="C313" s="2" t="s">
        <v>3456</v>
      </c>
      <c r="D313" s="2" t="s">
        <v>632</v>
      </c>
      <c r="E313" s="2" t="s">
        <v>108</v>
      </c>
      <c r="F313" s="2" t="s">
        <v>477</v>
      </c>
      <c r="H313" s="2" t="s">
        <v>41</v>
      </c>
      <c r="I313" s="2" t="s">
        <v>3184</v>
      </c>
      <c r="J313" s="2" t="s">
        <v>3238</v>
      </c>
      <c r="K313" s="2">
        <v>965347433</v>
      </c>
      <c r="L313" s="2" t="s">
        <v>201</v>
      </c>
      <c r="M313" s="2" t="s">
        <v>41</v>
      </c>
      <c r="O313" s="2" t="s">
        <v>3239</v>
      </c>
      <c r="P313" s="2" t="s">
        <v>93</v>
      </c>
      <c r="Q313" s="2" t="s">
        <v>94</v>
      </c>
      <c r="R313" s="2" t="s">
        <v>95</v>
      </c>
      <c r="S313" s="2">
        <v>1</v>
      </c>
      <c r="T313" s="2">
        <v>1.1399999999999999</v>
      </c>
      <c r="U313" s="2">
        <v>0.26219999999999999</v>
      </c>
      <c r="V313" s="2">
        <v>1.4021999999999999</v>
      </c>
      <c r="W313" s="2">
        <v>1.1399999999999999</v>
      </c>
      <c r="X313" s="5">
        <f t="shared" si="42"/>
        <v>0</v>
      </c>
      <c r="Z313" s="2" t="s">
        <v>3227</v>
      </c>
      <c r="AA313" s="2" t="s">
        <v>96</v>
      </c>
      <c r="AB313" s="2" t="s">
        <v>76</v>
      </c>
      <c r="AC313" s="2" t="s">
        <v>93</v>
      </c>
      <c r="AF313" s="2">
        <f t="shared" si="36"/>
        <v>0</v>
      </c>
      <c r="AJ313" s="2">
        <f t="shared" si="37"/>
        <v>0</v>
      </c>
      <c r="AK313" s="2">
        <f t="shared" si="40"/>
        <v>0</v>
      </c>
      <c r="AL313" s="5">
        <f t="shared" si="41"/>
        <v>0</v>
      </c>
    </row>
    <row r="314" spans="1:38" x14ac:dyDescent="0.2">
      <c r="A314" s="2">
        <v>2025</v>
      </c>
      <c r="B314" s="2">
        <v>1</v>
      </c>
      <c r="D314" s="2" t="s">
        <v>633</v>
      </c>
      <c r="E314" s="2" t="s">
        <v>183</v>
      </c>
      <c r="F314" s="2" t="s">
        <v>366</v>
      </c>
      <c r="H314" s="2" t="s">
        <v>290</v>
      </c>
      <c r="L314" s="2" t="s">
        <v>339</v>
      </c>
      <c r="M314" s="2" t="s">
        <v>80</v>
      </c>
      <c r="P314" s="2" t="s">
        <v>72</v>
      </c>
      <c r="Q314" s="2" t="s">
        <v>73</v>
      </c>
      <c r="R314" s="2" t="s">
        <v>74</v>
      </c>
      <c r="S314" s="2">
        <v>1</v>
      </c>
      <c r="T314" s="2">
        <v>193.2</v>
      </c>
      <c r="U314" s="2">
        <v>44.436</v>
      </c>
      <c r="V314" s="2">
        <v>237.636</v>
      </c>
      <c r="W314" s="2">
        <v>117.453</v>
      </c>
      <c r="X314" s="5">
        <f t="shared" si="42"/>
        <v>0.39206521739130429</v>
      </c>
      <c r="Z314" s="2" t="s">
        <v>3227</v>
      </c>
      <c r="AA314" s="2" t="s">
        <v>75</v>
      </c>
      <c r="AB314" s="2" t="s">
        <v>76</v>
      </c>
      <c r="AC314" s="2" t="s">
        <v>77</v>
      </c>
      <c r="AF314" s="2">
        <f t="shared" si="36"/>
        <v>0</v>
      </c>
      <c r="AG314" s="2">
        <v>117.453</v>
      </c>
      <c r="AH314" s="2">
        <v>220</v>
      </c>
      <c r="AJ314" s="2">
        <f t="shared" si="37"/>
        <v>0</v>
      </c>
      <c r="AK314" s="2">
        <f t="shared" si="40"/>
        <v>75.746999999999986</v>
      </c>
      <c r="AL314" s="5">
        <f t="shared" si="41"/>
        <v>0.39206521739130429</v>
      </c>
    </row>
    <row r="315" spans="1:38" x14ac:dyDescent="0.2">
      <c r="A315" s="2">
        <v>2025</v>
      </c>
      <c r="B315" s="2">
        <v>1</v>
      </c>
      <c r="D315" s="2" t="s">
        <v>633</v>
      </c>
      <c r="E315" s="2" t="s">
        <v>183</v>
      </c>
      <c r="F315" s="2" t="s">
        <v>366</v>
      </c>
      <c r="H315" s="2" t="s">
        <v>290</v>
      </c>
      <c r="L315" s="2" t="s">
        <v>339</v>
      </c>
      <c r="M315" s="2" t="s">
        <v>80</v>
      </c>
      <c r="P315" s="2" t="s">
        <v>93</v>
      </c>
      <c r="Q315" s="2" t="s">
        <v>94</v>
      </c>
      <c r="R315" s="2" t="s">
        <v>95</v>
      </c>
      <c r="S315" s="2">
        <v>1</v>
      </c>
      <c r="T315" s="2">
        <v>1.1399999999999999</v>
      </c>
      <c r="U315" s="2">
        <v>0.26219999999999999</v>
      </c>
      <c r="V315" s="2">
        <v>1.4021999999999999</v>
      </c>
      <c r="W315" s="2">
        <v>1.1399999999999999</v>
      </c>
      <c r="X315" s="5">
        <f t="shared" si="42"/>
        <v>0</v>
      </c>
      <c r="Z315" s="2" t="s">
        <v>3227</v>
      </c>
      <c r="AA315" s="2" t="s">
        <v>96</v>
      </c>
      <c r="AB315" s="2" t="s">
        <v>76</v>
      </c>
      <c r="AC315" s="2" t="s">
        <v>93</v>
      </c>
      <c r="AF315" s="2">
        <f t="shared" si="36"/>
        <v>0</v>
      </c>
      <c r="AJ315" s="2">
        <f t="shared" si="37"/>
        <v>0</v>
      </c>
      <c r="AK315" s="2">
        <f t="shared" si="40"/>
        <v>0</v>
      </c>
      <c r="AL315" s="5">
        <f t="shared" si="41"/>
        <v>0</v>
      </c>
    </row>
    <row r="316" spans="1:38" x14ac:dyDescent="0.2">
      <c r="A316" s="2">
        <v>2025</v>
      </c>
      <c r="B316" s="2">
        <v>1</v>
      </c>
      <c r="C316" s="2" t="s">
        <v>3307</v>
      </c>
      <c r="D316" s="2" t="s">
        <v>634</v>
      </c>
      <c r="E316" s="2" t="s">
        <v>108</v>
      </c>
      <c r="F316" s="2" t="s">
        <v>395</v>
      </c>
      <c r="G316" s="2">
        <v>502967056</v>
      </c>
      <c r="H316" s="2" t="s">
        <v>109</v>
      </c>
      <c r="I316" s="2" t="s">
        <v>635</v>
      </c>
      <c r="J316" s="2" t="s">
        <v>636</v>
      </c>
      <c r="L316" s="2" t="s">
        <v>112</v>
      </c>
      <c r="M316" s="2" t="s">
        <v>40</v>
      </c>
      <c r="P316" s="2" t="s">
        <v>114</v>
      </c>
      <c r="Q316" s="2" t="s">
        <v>637</v>
      </c>
      <c r="R316" s="2" t="s">
        <v>638</v>
      </c>
      <c r="S316" s="2">
        <v>-1</v>
      </c>
      <c r="T316" s="2">
        <v>-142.53</v>
      </c>
      <c r="U316" s="2">
        <v>-32.7819</v>
      </c>
      <c r="V316" s="2">
        <v>-175.31190000000001</v>
      </c>
      <c r="W316" s="2">
        <v>64.64</v>
      </c>
      <c r="X316" s="18">
        <f>SIGN(T316)*((ABS(T316)-W316)/ABS(T316))</f>
        <v>-0.54648144250333264</v>
      </c>
      <c r="Z316" s="2" t="s">
        <v>117</v>
      </c>
      <c r="AA316" s="2" t="s">
        <v>118</v>
      </c>
      <c r="AB316" s="2" t="s">
        <v>119</v>
      </c>
      <c r="AC316" s="2" t="s">
        <v>114</v>
      </c>
      <c r="AF316" s="2">
        <f t="shared" si="36"/>
        <v>0</v>
      </c>
      <c r="AJ316" s="2">
        <f t="shared" si="37"/>
        <v>0</v>
      </c>
      <c r="AK316" s="2">
        <f>T316+(W316)</f>
        <v>-77.89</v>
      </c>
      <c r="AL316" s="18">
        <f>SIGN(T316)*((ABS(T316)-W316)/ABS(T316))</f>
        <v>-0.54648144250333264</v>
      </c>
    </row>
    <row r="317" spans="1:38" x14ac:dyDescent="0.2">
      <c r="A317" s="2">
        <v>2025</v>
      </c>
      <c r="B317" s="2">
        <v>1</v>
      </c>
      <c r="C317" s="2" t="s">
        <v>3307</v>
      </c>
      <c r="D317" s="2" t="s">
        <v>634</v>
      </c>
      <c r="E317" s="2" t="s">
        <v>108</v>
      </c>
      <c r="F317" s="2" t="s">
        <v>395</v>
      </c>
      <c r="G317" s="2">
        <v>502967056</v>
      </c>
      <c r="H317" s="2" t="s">
        <v>109</v>
      </c>
      <c r="I317" s="2" t="s">
        <v>635</v>
      </c>
      <c r="J317" s="2" t="s">
        <v>636</v>
      </c>
      <c r="L317" s="2" t="s">
        <v>112</v>
      </c>
      <c r="M317" s="2" t="s">
        <v>40</v>
      </c>
      <c r="P317" s="2" t="s">
        <v>114</v>
      </c>
      <c r="Q317" s="2" t="s">
        <v>639</v>
      </c>
      <c r="R317" s="2" t="s">
        <v>640</v>
      </c>
      <c r="S317" s="2">
        <v>1</v>
      </c>
      <c r="T317" s="2">
        <v>1209.5999999999999</v>
      </c>
      <c r="U317" s="2">
        <v>278.20800000000003</v>
      </c>
      <c r="V317" s="2">
        <v>1487.808</v>
      </c>
      <c r="W317" s="2">
        <f>576.8234+8.18</f>
        <v>585.00339999999994</v>
      </c>
      <c r="X317" s="5">
        <f t="shared" ref="X317:X326" si="43">(T317-W317)/T317</f>
        <v>0.51636623677248683</v>
      </c>
      <c r="Z317" s="2" t="s">
        <v>117</v>
      </c>
      <c r="AA317" s="2" t="s">
        <v>118</v>
      </c>
      <c r="AB317" s="2" t="s">
        <v>119</v>
      </c>
      <c r="AC317" s="2" t="s">
        <v>114</v>
      </c>
      <c r="AF317" s="2">
        <f t="shared" si="36"/>
        <v>0</v>
      </c>
      <c r="AJ317" s="2">
        <f t="shared" si="37"/>
        <v>0</v>
      </c>
      <c r="AK317" s="2">
        <f t="shared" ref="AK317:AK326" si="44">T317-W317</f>
        <v>624.59659999999997</v>
      </c>
      <c r="AL317" s="5">
        <f t="shared" ref="AL317:AL326" si="45">(T317-W317)/T317</f>
        <v>0.51636623677248683</v>
      </c>
    </row>
    <row r="318" spans="1:38" x14ac:dyDescent="0.2">
      <c r="A318" s="2">
        <v>2025</v>
      </c>
      <c r="B318" s="2">
        <v>1</v>
      </c>
      <c r="C318" s="2" t="s">
        <v>3307</v>
      </c>
      <c r="D318" s="2" t="s">
        <v>634</v>
      </c>
      <c r="E318" s="2" t="s">
        <v>108</v>
      </c>
      <c r="F318" s="2" t="s">
        <v>395</v>
      </c>
      <c r="G318" s="2">
        <v>502967056</v>
      </c>
      <c r="H318" s="2" t="s">
        <v>109</v>
      </c>
      <c r="I318" s="2" t="s">
        <v>635</v>
      </c>
      <c r="J318" s="2" t="s">
        <v>636</v>
      </c>
      <c r="L318" s="2" t="s">
        <v>112</v>
      </c>
      <c r="M318" s="2" t="s">
        <v>40</v>
      </c>
      <c r="P318" s="2" t="s">
        <v>114</v>
      </c>
      <c r="Q318" s="2" t="s">
        <v>641</v>
      </c>
      <c r="R318" s="2" t="s">
        <v>642</v>
      </c>
      <c r="S318" s="2">
        <v>1</v>
      </c>
      <c r="T318" s="2">
        <v>86.32</v>
      </c>
      <c r="U318" s="2">
        <v>19.8536</v>
      </c>
      <c r="V318" s="2">
        <v>106.17359999999999</v>
      </c>
      <c r="W318" s="2">
        <f>42.35</f>
        <v>42.35</v>
      </c>
      <c r="X318" s="5">
        <f t="shared" si="43"/>
        <v>0.50938368860055605</v>
      </c>
      <c r="Z318" s="2" t="s">
        <v>117</v>
      </c>
      <c r="AA318" s="2" t="s">
        <v>118</v>
      </c>
      <c r="AB318" s="2" t="s">
        <v>119</v>
      </c>
      <c r="AC318" s="2" t="s">
        <v>114</v>
      </c>
      <c r="AF318" s="2">
        <f t="shared" si="36"/>
        <v>0</v>
      </c>
      <c r="AJ318" s="2">
        <f t="shared" si="37"/>
        <v>0</v>
      </c>
      <c r="AK318" s="2">
        <f t="shared" si="44"/>
        <v>43.969999999999992</v>
      </c>
      <c r="AL318" s="5">
        <f t="shared" si="45"/>
        <v>0.50938368860055605</v>
      </c>
    </row>
    <row r="319" spans="1:38" x14ac:dyDescent="0.2">
      <c r="A319" s="2">
        <v>2025</v>
      </c>
      <c r="B319" s="2">
        <v>1</v>
      </c>
      <c r="C319" s="2" t="s">
        <v>3307</v>
      </c>
      <c r="D319" s="2" t="s">
        <v>634</v>
      </c>
      <c r="E319" s="2" t="s">
        <v>108</v>
      </c>
      <c r="F319" s="2" t="s">
        <v>395</v>
      </c>
      <c r="G319" s="2">
        <v>502967056</v>
      </c>
      <c r="H319" s="2" t="s">
        <v>109</v>
      </c>
      <c r="I319" s="2" t="s">
        <v>635</v>
      </c>
      <c r="J319" s="2" t="s">
        <v>636</v>
      </c>
      <c r="L319" s="2" t="s">
        <v>112</v>
      </c>
      <c r="M319" s="2" t="s">
        <v>40</v>
      </c>
      <c r="P319" s="2" t="s">
        <v>187</v>
      </c>
      <c r="Q319" s="2" t="s">
        <v>188</v>
      </c>
      <c r="R319" s="2" t="s">
        <v>189</v>
      </c>
      <c r="S319" s="2">
        <v>1</v>
      </c>
      <c r="T319" s="2">
        <v>156</v>
      </c>
      <c r="U319" s="2">
        <v>35.880000000000003</v>
      </c>
      <c r="V319" s="2">
        <v>191.88</v>
      </c>
      <c r="W319" s="2">
        <f>T319*40%</f>
        <v>62.400000000000006</v>
      </c>
      <c r="X319" s="5">
        <f t="shared" si="43"/>
        <v>0.6</v>
      </c>
      <c r="Z319" s="2" t="s">
        <v>117</v>
      </c>
      <c r="AA319" s="2" t="s">
        <v>190</v>
      </c>
      <c r="AB319" s="2" t="s">
        <v>189</v>
      </c>
      <c r="AC319" s="2" t="s">
        <v>40</v>
      </c>
      <c r="AF319" s="2">
        <f t="shared" si="36"/>
        <v>0</v>
      </c>
      <c r="AJ319" s="2">
        <f t="shared" si="37"/>
        <v>0</v>
      </c>
      <c r="AK319" s="2">
        <f t="shared" si="44"/>
        <v>93.6</v>
      </c>
      <c r="AL319" s="5">
        <f t="shared" si="45"/>
        <v>0.6</v>
      </c>
    </row>
    <row r="320" spans="1:38" x14ac:dyDescent="0.2">
      <c r="A320" s="2">
        <v>2025</v>
      </c>
      <c r="B320" s="2">
        <v>1</v>
      </c>
      <c r="C320" s="2" t="s">
        <v>3307</v>
      </c>
      <c r="D320" s="2" t="s">
        <v>634</v>
      </c>
      <c r="E320" s="2" t="s">
        <v>108</v>
      </c>
      <c r="F320" s="2" t="s">
        <v>395</v>
      </c>
      <c r="G320" s="2">
        <v>502967056</v>
      </c>
      <c r="H320" s="2" t="s">
        <v>109</v>
      </c>
      <c r="I320" s="2" t="s">
        <v>635</v>
      </c>
      <c r="J320" s="2" t="s">
        <v>636</v>
      </c>
      <c r="L320" s="2" t="s">
        <v>112</v>
      </c>
      <c r="M320" s="2" t="s">
        <v>40</v>
      </c>
      <c r="P320" s="2" t="s">
        <v>187</v>
      </c>
      <c r="Q320" s="2" t="s">
        <v>191</v>
      </c>
      <c r="R320" s="2" t="s">
        <v>190</v>
      </c>
      <c r="S320" s="2">
        <v>1</v>
      </c>
      <c r="T320" s="2">
        <v>50</v>
      </c>
      <c r="U320" s="2">
        <v>11.5</v>
      </c>
      <c r="V320" s="2">
        <v>61.5</v>
      </c>
      <c r="W320" s="2">
        <f>T320*50%</f>
        <v>25</v>
      </c>
      <c r="X320" s="5">
        <f t="shared" si="43"/>
        <v>0.5</v>
      </c>
      <c r="Z320" s="2" t="s">
        <v>117</v>
      </c>
      <c r="AA320" s="2" t="s">
        <v>190</v>
      </c>
      <c r="AB320" s="2" t="s">
        <v>190</v>
      </c>
      <c r="AC320" s="2" t="s">
        <v>40</v>
      </c>
      <c r="AF320" s="2">
        <f t="shared" si="36"/>
        <v>0</v>
      </c>
      <c r="AJ320" s="2">
        <f t="shared" si="37"/>
        <v>0</v>
      </c>
      <c r="AK320" s="2">
        <f t="shared" si="44"/>
        <v>25</v>
      </c>
      <c r="AL320" s="5">
        <f t="shared" si="45"/>
        <v>0.5</v>
      </c>
    </row>
    <row r="321" spans="1:38" x14ac:dyDescent="0.2">
      <c r="A321" s="2">
        <v>2025</v>
      </c>
      <c r="B321" s="2">
        <v>1</v>
      </c>
      <c r="D321" s="2" t="s">
        <v>643</v>
      </c>
      <c r="E321" s="2" t="s">
        <v>108</v>
      </c>
      <c r="F321" s="2" t="s">
        <v>477</v>
      </c>
      <c r="G321" s="2">
        <v>509056946</v>
      </c>
      <c r="H321" s="2" t="s">
        <v>109</v>
      </c>
      <c r="I321" s="2" t="s">
        <v>644</v>
      </c>
      <c r="J321" s="2" t="s">
        <v>645</v>
      </c>
      <c r="K321" s="2">
        <v>964495536</v>
      </c>
      <c r="L321" s="2" t="s">
        <v>112</v>
      </c>
      <c r="P321" s="2" t="s">
        <v>114</v>
      </c>
      <c r="Q321" s="2" t="s">
        <v>646</v>
      </c>
      <c r="R321" s="2" t="s">
        <v>647</v>
      </c>
      <c r="S321" s="2">
        <v>1</v>
      </c>
      <c r="T321" s="2">
        <v>62.6</v>
      </c>
      <c r="U321" s="2">
        <v>14.398</v>
      </c>
      <c r="V321" s="2">
        <v>76.998000000000005</v>
      </c>
      <c r="W321" s="2">
        <v>30.61</v>
      </c>
      <c r="X321" s="5">
        <f t="shared" si="43"/>
        <v>0.51102236421725244</v>
      </c>
      <c r="Z321" s="2" t="s">
        <v>117</v>
      </c>
      <c r="AA321" s="2" t="s">
        <v>118</v>
      </c>
      <c r="AB321" s="2" t="s">
        <v>119</v>
      </c>
      <c r="AC321" s="2" t="s">
        <v>114</v>
      </c>
      <c r="AF321" s="2">
        <f t="shared" si="36"/>
        <v>0</v>
      </c>
      <c r="AJ321" s="2">
        <f t="shared" si="37"/>
        <v>0</v>
      </c>
      <c r="AK321" s="2">
        <f t="shared" si="44"/>
        <v>31.990000000000002</v>
      </c>
      <c r="AL321" s="5">
        <f t="shared" si="45"/>
        <v>0.51102236421725244</v>
      </c>
    </row>
    <row r="322" spans="1:38" x14ac:dyDescent="0.2">
      <c r="A322" s="2">
        <v>2025</v>
      </c>
      <c r="B322" s="2">
        <v>1</v>
      </c>
      <c r="D322" s="2" t="s">
        <v>643</v>
      </c>
      <c r="E322" s="2" t="s">
        <v>108</v>
      </c>
      <c r="F322" s="2" t="s">
        <v>477</v>
      </c>
      <c r="G322" s="2">
        <v>509056946</v>
      </c>
      <c r="H322" s="2" t="s">
        <v>109</v>
      </c>
      <c r="I322" s="2" t="s">
        <v>644</v>
      </c>
      <c r="J322" s="2" t="s">
        <v>645</v>
      </c>
      <c r="K322" s="2">
        <v>964495536</v>
      </c>
      <c r="L322" s="2" t="s">
        <v>112</v>
      </c>
      <c r="M322" s="2" t="s">
        <v>40</v>
      </c>
      <c r="P322" s="2" t="s">
        <v>187</v>
      </c>
      <c r="Q322" s="2" t="s">
        <v>188</v>
      </c>
      <c r="R322" s="2" t="s">
        <v>189</v>
      </c>
      <c r="S322" s="2">
        <v>1</v>
      </c>
      <c r="T322" s="2">
        <v>100.5</v>
      </c>
      <c r="U322" s="2">
        <v>23.114999999999998</v>
      </c>
      <c r="V322" s="2">
        <v>123.61499999999999</v>
      </c>
      <c r="W322" s="2">
        <f>T322*40%</f>
        <v>40.200000000000003</v>
      </c>
      <c r="X322" s="5">
        <f t="shared" si="43"/>
        <v>0.6</v>
      </c>
      <c r="Z322" s="2" t="s">
        <v>117</v>
      </c>
      <c r="AA322" s="2" t="s">
        <v>190</v>
      </c>
      <c r="AB322" s="2" t="s">
        <v>189</v>
      </c>
      <c r="AC322" s="2" t="s">
        <v>40</v>
      </c>
      <c r="AF322" s="2">
        <f t="shared" ref="AF322:AF385" si="46">AJ322</f>
        <v>0</v>
      </c>
      <c r="AJ322" s="2">
        <f t="shared" ref="AJ322:AJ385" si="47">AI322*T322</f>
        <v>0</v>
      </c>
      <c r="AK322" s="2">
        <f t="shared" si="44"/>
        <v>60.3</v>
      </c>
      <c r="AL322" s="5">
        <f t="shared" si="45"/>
        <v>0.6</v>
      </c>
    </row>
    <row r="323" spans="1:38" x14ac:dyDescent="0.2">
      <c r="A323" s="2">
        <v>2025</v>
      </c>
      <c r="B323" s="2">
        <v>1</v>
      </c>
      <c r="D323" s="2" t="s">
        <v>643</v>
      </c>
      <c r="E323" s="2" t="s">
        <v>108</v>
      </c>
      <c r="F323" s="2" t="s">
        <v>477</v>
      </c>
      <c r="G323" s="2">
        <v>509056946</v>
      </c>
      <c r="H323" s="2" t="s">
        <v>109</v>
      </c>
      <c r="I323" s="2" t="s">
        <v>644</v>
      </c>
      <c r="J323" s="2" t="s">
        <v>645</v>
      </c>
      <c r="K323" s="2">
        <v>964495536</v>
      </c>
      <c r="L323" s="2" t="s">
        <v>112</v>
      </c>
      <c r="M323" s="2" t="s">
        <v>40</v>
      </c>
      <c r="P323" s="2" t="s">
        <v>187</v>
      </c>
      <c r="Q323" s="2" t="s">
        <v>191</v>
      </c>
      <c r="R323" s="2" t="s">
        <v>190</v>
      </c>
      <c r="S323" s="2">
        <v>1</v>
      </c>
      <c r="T323" s="2">
        <v>45</v>
      </c>
      <c r="U323" s="2">
        <v>10.35</v>
      </c>
      <c r="V323" s="2">
        <v>55.35</v>
      </c>
      <c r="W323" s="2">
        <f>T323*50%</f>
        <v>22.5</v>
      </c>
      <c r="X323" s="5">
        <f t="shared" si="43"/>
        <v>0.5</v>
      </c>
      <c r="Z323" s="2" t="s">
        <v>117</v>
      </c>
      <c r="AA323" s="2" t="s">
        <v>190</v>
      </c>
      <c r="AB323" s="2" t="s">
        <v>190</v>
      </c>
      <c r="AC323" s="2" t="s">
        <v>40</v>
      </c>
      <c r="AF323" s="2">
        <f t="shared" si="46"/>
        <v>0</v>
      </c>
      <c r="AJ323" s="2">
        <f t="shared" si="47"/>
        <v>0</v>
      </c>
      <c r="AK323" s="2">
        <f t="shared" si="44"/>
        <v>22.5</v>
      </c>
      <c r="AL323" s="5">
        <f t="shared" si="45"/>
        <v>0.5</v>
      </c>
    </row>
    <row r="324" spans="1:38" x14ac:dyDescent="0.2">
      <c r="A324" s="2">
        <v>2025</v>
      </c>
      <c r="B324" s="2">
        <v>1</v>
      </c>
      <c r="D324" s="2" t="s">
        <v>648</v>
      </c>
      <c r="P324" s="2" t="s">
        <v>3175</v>
      </c>
      <c r="Q324" s="2" t="s">
        <v>649</v>
      </c>
      <c r="R324" s="2" t="s">
        <v>650</v>
      </c>
      <c r="S324" s="2">
        <v>2</v>
      </c>
      <c r="T324" s="2">
        <v>371</v>
      </c>
      <c r="U324" s="2">
        <v>85.33</v>
      </c>
      <c r="V324" s="2">
        <v>456.33</v>
      </c>
      <c r="W324" s="2">
        <f>77*S324</f>
        <v>154</v>
      </c>
      <c r="X324" s="5">
        <f t="shared" si="43"/>
        <v>0.58490566037735847</v>
      </c>
      <c r="Z324" s="2" t="s">
        <v>117</v>
      </c>
      <c r="AA324" s="2" t="s">
        <v>118</v>
      </c>
      <c r="AB324" s="2" t="s">
        <v>119</v>
      </c>
      <c r="AC324" s="2" t="s">
        <v>3175</v>
      </c>
      <c r="AF324" s="2">
        <f t="shared" si="46"/>
        <v>0</v>
      </c>
      <c r="AG324" s="2">
        <v>77</v>
      </c>
      <c r="AJ324" s="2">
        <f t="shared" si="47"/>
        <v>0</v>
      </c>
      <c r="AK324" s="2">
        <f t="shared" si="44"/>
        <v>217</v>
      </c>
      <c r="AL324" s="5">
        <f t="shared" si="45"/>
        <v>0.58490566037735847</v>
      </c>
    </row>
    <row r="325" spans="1:38" x14ac:dyDescent="0.2">
      <c r="A325" s="2">
        <v>2025</v>
      </c>
      <c r="B325" s="2">
        <v>1</v>
      </c>
      <c r="D325" s="2" t="s">
        <v>651</v>
      </c>
      <c r="E325" s="2" t="s">
        <v>108</v>
      </c>
      <c r="F325" s="2" t="s">
        <v>39</v>
      </c>
      <c r="G325" s="2">
        <v>509838537</v>
      </c>
      <c r="H325" s="2" t="s">
        <v>41</v>
      </c>
      <c r="I325" s="2" t="s">
        <v>652</v>
      </c>
      <c r="J325" s="2" t="s">
        <v>653</v>
      </c>
      <c r="L325" s="2" t="s">
        <v>418</v>
      </c>
      <c r="M325" s="2" t="s">
        <v>41</v>
      </c>
      <c r="O325" s="2" t="s">
        <v>654</v>
      </c>
      <c r="P325" s="2" t="s">
        <v>72</v>
      </c>
      <c r="Q325" s="2" t="s">
        <v>306</v>
      </c>
      <c r="R325" s="2" t="s">
        <v>307</v>
      </c>
      <c r="S325" s="2">
        <v>1</v>
      </c>
      <c r="T325" s="2">
        <v>211.6</v>
      </c>
      <c r="U325" s="2">
        <v>48.667999999999999</v>
      </c>
      <c r="V325" s="2">
        <v>260.26799999999997</v>
      </c>
      <c r="W325" s="2">
        <v>119.33</v>
      </c>
      <c r="X325" s="5">
        <f t="shared" si="43"/>
        <v>0.43605860113421552</v>
      </c>
      <c r="Z325" s="2" t="s">
        <v>3227</v>
      </c>
      <c r="AA325" s="2" t="s">
        <v>75</v>
      </c>
      <c r="AB325" s="2" t="s">
        <v>76</v>
      </c>
      <c r="AC325" s="2" t="s">
        <v>77</v>
      </c>
      <c r="AF325" s="2">
        <f t="shared" si="46"/>
        <v>0</v>
      </c>
      <c r="AG325" s="2">
        <v>119.33</v>
      </c>
      <c r="AH325" s="2">
        <v>220</v>
      </c>
      <c r="AJ325" s="2">
        <f t="shared" si="47"/>
        <v>0</v>
      </c>
      <c r="AK325" s="2">
        <f t="shared" si="44"/>
        <v>92.27</v>
      </c>
      <c r="AL325" s="5">
        <f t="shared" si="45"/>
        <v>0.43605860113421552</v>
      </c>
    </row>
    <row r="326" spans="1:38" x14ac:dyDescent="0.2">
      <c r="A326" s="2">
        <v>2025</v>
      </c>
      <c r="B326" s="2">
        <v>1</v>
      </c>
      <c r="D326" s="2" t="s">
        <v>651</v>
      </c>
      <c r="E326" s="2" t="s">
        <v>108</v>
      </c>
      <c r="F326" s="2" t="s">
        <v>39</v>
      </c>
      <c r="G326" s="2">
        <v>509838537</v>
      </c>
      <c r="H326" s="2" t="s">
        <v>41</v>
      </c>
      <c r="I326" s="2" t="s">
        <v>652</v>
      </c>
      <c r="J326" s="2" t="s">
        <v>653</v>
      </c>
      <c r="L326" s="2" t="s">
        <v>418</v>
      </c>
      <c r="M326" s="2" t="s">
        <v>41</v>
      </c>
      <c r="O326" s="2" t="s">
        <v>654</v>
      </c>
      <c r="P326" s="2" t="s">
        <v>93</v>
      </c>
      <c r="Q326" s="2" t="s">
        <v>94</v>
      </c>
      <c r="R326" s="2" t="s">
        <v>95</v>
      </c>
      <c r="S326" s="2">
        <v>1</v>
      </c>
      <c r="T326" s="2">
        <v>1.1399999999999999</v>
      </c>
      <c r="U326" s="2">
        <v>0.26219999999999999</v>
      </c>
      <c r="V326" s="2">
        <v>1.4021999999999999</v>
      </c>
      <c r="W326" s="2">
        <v>1.1399999999999999</v>
      </c>
      <c r="X326" s="5">
        <f t="shared" si="43"/>
        <v>0</v>
      </c>
      <c r="Z326" s="2" t="s">
        <v>3227</v>
      </c>
      <c r="AA326" s="2" t="s">
        <v>96</v>
      </c>
      <c r="AB326" s="2" t="s">
        <v>76</v>
      </c>
      <c r="AC326" s="2" t="s">
        <v>93</v>
      </c>
      <c r="AF326" s="2">
        <f t="shared" si="46"/>
        <v>0</v>
      </c>
      <c r="AG326" s="2">
        <v>1.1399999999999999</v>
      </c>
      <c r="AH326" s="2">
        <v>1.1399999999999999</v>
      </c>
      <c r="AJ326" s="2">
        <f t="shared" si="47"/>
        <v>0</v>
      </c>
      <c r="AK326" s="2">
        <f t="shared" si="44"/>
        <v>0</v>
      </c>
      <c r="AL326" s="5">
        <f t="shared" si="45"/>
        <v>0</v>
      </c>
    </row>
    <row r="327" spans="1:38" x14ac:dyDescent="0.2">
      <c r="A327" s="2">
        <v>2025</v>
      </c>
      <c r="B327" s="2">
        <v>1</v>
      </c>
      <c r="C327" s="2" t="s">
        <v>3456</v>
      </c>
      <c r="D327" s="2" t="s">
        <v>655</v>
      </c>
      <c r="E327" s="2" t="s">
        <v>38</v>
      </c>
      <c r="G327" s="2">
        <v>509116590</v>
      </c>
      <c r="H327" s="2" t="s">
        <v>290</v>
      </c>
      <c r="I327" s="2" t="s">
        <v>656</v>
      </c>
      <c r="J327" s="2" t="s">
        <v>657</v>
      </c>
      <c r="L327" s="2" t="s">
        <v>293</v>
      </c>
      <c r="M327" s="2" t="s">
        <v>80</v>
      </c>
      <c r="P327" s="2" t="s">
        <v>658</v>
      </c>
      <c r="Q327" s="2" t="s">
        <v>659</v>
      </c>
      <c r="R327" s="2" t="s">
        <v>381</v>
      </c>
      <c r="S327" s="2">
        <v>-1</v>
      </c>
      <c r="T327" s="2">
        <v>-220.8</v>
      </c>
      <c r="U327" s="2">
        <v>-50.784000000000013</v>
      </c>
      <c r="V327" s="2">
        <v>-271.584</v>
      </c>
      <c r="W327" s="2">
        <v>126.9</v>
      </c>
      <c r="X327" s="18">
        <f>SIGN(T327)*((ABS(T327)-W327)/ABS(T327))</f>
        <v>-0.42527173913043481</v>
      </c>
      <c r="Z327" s="2" t="s">
        <v>3227</v>
      </c>
      <c r="AA327" s="2" t="s">
        <v>75</v>
      </c>
      <c r="AB327" s="2" t="s">
        <v>76</v>
      </c>
      <c r="AC327" s="2" t="s">
        <v>658</v>
      </c>
      <c r="AF327" s="2">
        <f t="shared" si="46"/>
        <v>0</v>
      </c>
      <c r="AJ327" s="2">
        <f t="shared" si="47"/>
        <v>0</v>
      </c>
      <c r="AK327" s="2">
        <f>T327+(W327)</f>
        <v>-93.9</v>
      </c>
      <c r="AL327" s="18">
        <f>SIGN(T327)*((ABS(T327)-W327)/ABS(T327))</f>
        <v>-0.42527173913043481</v>
      </c>
    </row>
    <row r="328" spans="1:38" x14ac:dyDescent="0.2">
      <c r="A328" s="2">
        <v>2025</v>
      </c>
      <c r="B328" s="2">
        <v>1</v>
      </c>
      <c r="C328" s="2" t="s">
        <v>3456</v>
      </c>
      <c r="D328" s="2" t="s">
        <v>655</v>
      </c>
      <c r="E328" s="2" t="s">
        <v>38</v>
      </c>
      <c r="G328" s="2">
        <v>509116590</v>
      </c>
      <c r="H328" s="2" t="s">
        <v>290</v>
      </c>
      <c r="I328" s="2" t="s">
        <v>656</v>
      </c>
      <c r="J328" s="2" t="s">
        <v>657</v>
      </c>
      <c r="L328" s="2" t="s">
        <v>293</v>
      </c>
      <c r="M328" s="2" t="s">
        <v>80</v>
      </c>
      <c r="P328" s="2" t="s">
        <v>93</v>
      </c>
      <c r="Q328" s="2" t="s">
        <v>94</v>
      </c>
      <c r="R328" s="2" t="s">
        <v>95</v>
      </c>
      <c r="S328" s="2">
        <v>-1</v>
      </c>
      <c r="T328" s="2">
        <v>-1.05</v>
      </c>
      <c r="U328" s="2">
        <v>-0.24149999999999999</v>
      </c>
      <c r="V328" s="2">
        <v>-1.2915000000000001</v>
      </c>
      <c r="W328" s="2">
        <v>1.05</v>
      </c>
      <c r="X328" s="18">
        <f>SIGN(T328)*((ABS(T328)-W328)/ABS(T328))</f>
        <v>0</v>
      </c>
      <c r="Z328" s="2" t="s">
        <v>3227</v>
      </c>
      <c r="AA328" s="2" t="s">
        <v>96</v>
      </c>
      <c r="AB328" s="2" t="s">
        <v>76</v>
      </c>
      <c r="AC328" s="2" t="s">
        <v>93</v>
      </c>
      <c r="AF328" s="2">
        <f t="shared" si="46"/>
        <v>0</v>
      </c>
      <c r="AJ328" s="2">
        <f t="shared" si="47"/>
        <v>0</v>
      </c>
      <c r="AK328" s="2">
        <f>T328+(W328)</f>
        <v>0</v>
      </c>
      <c r="AL328" s="18">
        <f>SIGN(T328)*((ABS(T328)-W328)/ABS(T328))</f>
        <v>0</v>
      </c>
    </row>
    <row r="329" spans="1:38" x14ac:dyDescent="0.2">
      <c r="A329" s="2">
        <v>2025</v>
      </c>
      <c r="B329" s="2">
        <v>1</v>
      </c>
      <c r="D329" s="2" t="s">
        <v>660</v>
      </c>
      <c r="E329" s="2" t="s">
        <v>38</v>
      </c>
      <c r="F329" s="2" t="s">
        <v>39</v>
      </c>
      <c r="G329" s="2">
        <v>510651810</v>
      </c>
      <c r="H329" s="2" t="s">
        <v>40</v>
      </c>
      <c r="I329" s="2" t="s">
        <v>661</v>
      </c>
      <c r="J329" s="2" t="s">
        <v>662</v>
      </c>
      <c r="L329" s="2" t="s">
        <v>344</v>
      </c>
      <c r="M329" s="2" t="s">
        <v>80</v>
      </c>
      <c r="O329" s="2" t="s">
        <v>663</v>
      </c>
      <c r="P329" s="2" t="s">
        <v>72</v>
      </c>
      <c r="Q329" s="2" t="s">
        <v>301</v>
      </c>
      <c r="R329" s="2" t="s">
        <v>74</v>
      </c>
      <c r="S329" s="2">
        <v>1</v>
      </c>
      <c r="T329" s="2">
        <v>211.6</v>
      </c>
      <c r="U329" s="2">
        <v>48.667999999999999</v>
      </c>
      <c r="V329" s="2">
        <v>260.26799999999997</v>
      </c>
      <c r="W329" s="2">
        <v>121.46</v>
      </c>
      <c r="X329" s="5">
        <f t="shared" ref="X329:X358" si="48">(T329-W329)/T329</f>
        <v>0.42599243856332702</v>
      </c>
      <c r="Z329" s="2" t="s">
        <v>3227</v>
      </c>
      <c r="AA329" s="2" t="s">
        <v>75</v>
      </c>
      <c r="AB329" s="2" t="s">
        <v>76</v>
      </c>
      <c r="AC329" s="2" t="s">
        <v>77</v>
      </c>
      <c r="AF329" s="2">
        <f t="shared" si="46"/>
        <v>0</v>
      </c>
      <c r="AG329" s="2">
        <v>121.46</v>
      </c>
      <c r="AH329" s="2">
        <v>210</v>
      </c>
      <c r="AJ329" s="2">
        <f t="shared" si="47"/>
        <v>0</v>
      </c>
      <c r="AK329" s="2">
        <f t="shared" ref="AK329:AK360" si="49">T329-W329</f>
        <v>90.14</v>
      </c>
      <c r="AL329" s="5">
        <f t="shared" ref="AL329:AL360" si="50">(T329-W329)/T329</f>
        <v>0.42599243856332702</v>
      </c>
    </row>
    <row r="330" spans="1:38" x14ac:dyDescent="0.2">
      <c r="A330" s="2">
        <v>2025</v>
      </c>
      <c r="B330" s="2">
        <v>1</v>
      </c>
      <c r="D330" s="2" t="s">
        <v>660</v>
      </c>
      <c r="E330" s="2" t="s">
        <v>38</v>
      </c>
      <c r="F330" s="2" t="s">
        <v>39</v>
      </c>
      <c r="G330" s="2">
        <v>510651810</v>
      </c>
      <c r="H330" s="2" t="s">
        <v>40</v>
      </c>
      <c r="I330" s="2" t="s">
        <v>661</v>
      </c>
      <c r="J330" s="2" t="s">
        <v>662</v>
      </c>
      <c r="L330" s="2" t="s">
        <v>344</v>
      </c>
      <c r="M330" s="2" t="s">
        <v>80</v>
      </c>
      <c r="P330" s="2" t="s">
        <v>72</v>
      </c>
      <c r="Q330" s="2" t="s">
        <v>664</v>
      </c>
      <c r="R330" s="2" t="s">
        <v>79</v>
      </c>
      <c r="S330" s="2">
        <v>1</v>
      </c>
      <c r="T330" s="2">
        <v>202.4</v>
      </c>
      <c r="U330" s="2">
        <v>46.552000000000007</v>
      </c>
      <c r="V330" s="2">
        <v>248.952</v>
      </c>
      <c r="W330" s="2">
        <f>113.905+11.25</f>
        <v>125.155</v>
      </c>
      <c r="X330" s="5">
        <f t="shared" si="48"/>
        <v>0.38164525691699608</v>
      </c>
      <c r="Z330" s="2" t="s">
        <v>3227</v>
      </c>
      <c r="AA330" s="2" t="s">
        <v>75</v>
      </c>
      <c r="AB330" s="2" t="s">
        <v>76</v>
      </c>
      <c r="AC330" s="2" t="s">
        <v>77</v>
      </c>
      <c r="AF330" s="2">
        <f t="shared" si="46"/>
        <v>0</v>
      </c>
      <c r="AJ330" s="2">
        <f t="shared" si="47"/>
        <v>0</v>
      </c>
      <c r="AK330" s="2">
        <f t="shared" si="49"/>
        <v>77.245000000000005</v>
      </c>
      <c r="AL330" s="5">
        <f t="shared" si="50"/>
        <v>0.38164525691699608</v>
      </c>
    </row>
    <row r="331" spans="1:38" x14ac:dyDescent="0.2">
      <c r="A331" s="2">
        <v>2025</v>
      </c>
      <c r="B331" s="2">
        <v>1</v>
      </c>
      <c r="D331" s="2" t="s">
        <v>660</v>
      </c>
      <c r="E331" s="2" t="s">
        <v>38</v>
      </c>
      <c r="F331" s="2" t="s">
        <v>39</v>
      </c>
      <c r="G331" s="2">
        <v>510651810</v>
      </c>
      <c r="H331" s="2" t="s">
        <v>40</v>
      </c>
      <c r="I331" s="2" t="s">
        <v>661</v>
      </c>
      <c r="J331" s="2" t="s">
        <v>662</v>
      </c>
      <c r="L331" s="2" t="s">
        <v>344</v>
      </c>
      <c r="M331" s="2" t="s">
        <v>80</v>
      </c>
      <c r="P331" s="2" t="s">
        <v>93</v>
      </c>
      <c r="Q331" s="2" t="s">
        <v>94</v>
      </c>
      <c r="R331" s="2" t="s">
        <v>95</v>
      </c>
      <c r="S331" s="2">
        <v>2</v>
      </c>
      <c r="T331" s="2">
        <v>2.2799999999999998</v>
      </c>
      <c r="U331" s="2">
        <v>0.52439999999999998</v>
      </c>
      <c r="V331" s="2">
        <v>2.8043999999999998</v>
      </c>
      <c r="W331" s="2">
        <v>2.2799999999999998</v>
      </c>
      <c r="X331" s="5">
        <f t="shared" si="48"/>
        <v>0</v>
      </c>
      <c r="Z331" s="2" t="s">
        <v>3227</v>
      </c>
      <c r="AA331" s="2" t="s">
        <v>96</v>
      </c>
      <c r="AB331" s="2" t="s">
        <v>76</v>
      </c>
      <c r="AC331" s="2" t="s">
        <v>93</v>
      </c>
      <c r="AF331" s="2">
        <f t="shared" si="46"/>
        <v>0</v>
      </c>
      <c r="AJ331" s="2">
        <f t="shared" si="47"/>
        <v>0</v>
      </c>
      <c r="AK331" s="2">
        <f t="shared" si="49"/>
        <v>0</v>
      </c>
      <c r="AL331" s="5">
        <f t="shared" si="50"/>
        <v>0</v>
      </c>
    </row>
    <row r="332" spans="1:38" x14ac:dyDescent="0.2">
      <c r="A332" s="2">
        <v>2025</v>
      </c>
      <c r="B332" s="2">
        <v>1</v>
      </c>
      <c r="D332" s="2" t="s">
        <v>665</v>
      </c>
      <c r="E332" s="2" t="s">
        <v>108</v>
      </c>
      <c r="F332" s="2" t="s">
        <v>39</v>
      </c>
      <c r="G332" s="2">
        <v>250545942</v>
      </c>
      <c r="H332" s="2" t="s">
        <v>109</v>
      </c>
      <c r="I332" s="2" t="s">
        <v>666</v>
      </c>
      <c r="J332" s="2" t="s">
        <v>667</v>
      </c>
      <c r="K332" s="2">
        <v>917178517</v>
      </c>
      <c r="L332" s="2" t="s">
        <v>461</v>
      </c>
      <c r="M332" s="2" t="s">
        <v>40</v>
      </c>
      <c r="O332" s="2" t="s">
        <v>668</v>
      </c>
      <c r="P332" s="2" t="s">
        <v>43</v>
      </c>
      <c r="Q332" s="2" t="s">
        <v>669</v>
      </c>
      <c r="R332" s="2" t="s">
        <v>670</v>
      </c>
      <c r="S332" s="2">
        <v>1</v>
      </c>
      <c r="T332" s="2">
        <v>60</v>
      </c>
      <c r="U332" s="2">
        <v>13.8</v>
      </c>
      <c r="V332" s="2">
        <v>73.8</v>
      </c>
      <c r="W332" s="2">
        <v>29.27</v>
      </c>
      <c r="X332" s="5">
        <f t="shared" si="48"/>
        <v>0.51216666666666666</v>
      </c>
      <c r="Z332" s="2" t="s">
        <v>3227</v>
      </c>
      <c r="AA332" s="2" t="s">
        <v>46</v>
      </c>
      <c r="AB332" s="2" t="s">
        <v>56</v>
      </c>
      <c r="AC332" s="2" t="s">
        <v>57</v>
      </c>
      <c r="AF332" s="2">
        <f t="shared" si="46"/>
        <v>0</v>
      </c>
      <c r="AG332" s="2">
        <v>29.27</v>
      </c>
      <c r="AH332" s="2">
        <v>60</v>
      </c>
      <c r="AJ332" s="2">
        <f t="shared" si="47"/>
        <v>0</v>
      </c>
      <c r="AK332" s="2">
        <f t="shared" si="49"/>
        <v>30.73</v>
      </c>
      <c r="AL332" s="5">
        <f t="shared" si="50"/>
        <v>0.51216666666666666</v>
      </c>
    </row>
    <row r="333" spans="1:38" x14ac:dyDescent="0.2">
      <c r="A333" s="2">
        <v>2025</v>
      </c>
      <c r="B333" s="2">
        <v>1</v>
      </c>
      <c r="D333" s="2" t="s">
        <v>665</v>
      </c>
      <c r="P333" s="2" t="s">
        <v>169</v>
      </c>
      <c r="Q333" s="2" t="s">
        <v>170</v>
      </c>
      <c r="R333" s="2" t="s">
        <v>170</v>
      </c>
      <c r="S333" s="2">
        <v>1</v>
      </c>
      <c r="T333" s="2">
        <v>8.5</v>
      </c>
      <c r="U333" s="2">
        <v>1.9550000000000001</v>
      </c>
      <c r="V333" s="2">
        <v>10.455</v>
      </c>
      <c r="W333" s="2">
        <v>6</v>
      </c>
      <c r="X333" s="5">
        <f t="shared" si="48"/>
        <v>0.29411764705882354</v>
      </c>
      <c r="Z333" s="2" t="s">
        <v>169</v>
      </c>
      <c r="AA333" s="2" t="s">
        <v>169</v>
      </c>
      <c r="AF333" s="2">
        <f t="shared" si="46"/>
        <v>0</v>
      </c>
      <c r="AJ333" s="2">
        <f t="shared" si="47"/>
        <v>0</v>
      </c>
      <c r="AK333" s="2">
        <f t="shared" si="49"/>
        <v>2.5</v>
      </c>
      <c r="AL333" s="5">
        <f t="shared" si="50"/>
        <v>0.29411764705882354</v>
      </c>
    </row>
    <row r="334" spans="1:38" x14ac:dyDescent="0.2">
      <c r="A334" s="2">
        <v>2025</v>
      </c>
      <c r="B334" s="2">
        <v>1</v>
      </c>
      <c r="D334" s="2" t="s">
        <v>671</v>
      </c>
      <c r="P334" s="2" t="s">
        <v>114</v>
      </c>
      <c r="Q334" s="2" t="s">
        <v>672</v>
      </c>
      <c r="R334" s="2" t="s">
        <v>673</v>
      </c>
      <c r="S334" s="2">
        <v>1</v>
      </c>
      <c r="T334" s="2">
        <v>14.95</v>
      </c>
      <c r="U334" s="2">
        <v>3.4384999999999999</v>
      </c>
      <c r="V334" s="2">
        <v>18.388500000000001</v>
      </c>
      <c r="W334" s="2">
        <v>5.2342000000000004</v>
      </c>
      <c r="X334" s="5">
        <f t="shared" si="48"/>
        <v>0.649886287625418</v>
      </c>
      <c r="Z334" s="2" t="s">
        <v>117</v>
      </c>
      <c r="AA334" s="2" t="s">
        <v>118</v>
      </c>
      <c r="AB334" s="2" t="s">
        <v>119</v>
      </c>
      <c r="AC334" s="2" t="s">
        <v>114</v>
      </c>
      <c r="AF334" s="2">
        <f t="shared" si="46"/>
        <v>0</v>
      </c>
      <c r="AJ334" s="2">
        <f t="shared" si="47"/>
        <v>0</v>
      </c>
      <c r="AK334" s="2">
        <f t="shared" si="49"/>
        <v>9.715799999999998</v>
      </c>
      <c r="AL334" s="5">
        <f t="shared" si="50"/>
        <v>0.649886287625418</v>
      </c>
    </row>
    <row r="335" spans="1:38" x14ac:dyDescent="0.2">
      <c r="A335" s="2">
        <v>2025</v>
      </c>
      <c r="B335" s="2">
        <v>1</v>
      </c>
      <c r="D335" s="2" t="s">
        <v>671</v>
      </c>
      <c r="M335" s="2" t="s">
        <v>40</v>
      </c>
      <c r="P335" s="2" t="s">
        <v>187</v>
      </c>
      <c r="Q335" s="2" t="s">
        <v>191</v>
      </c>
      <c r="R335" s="2" t="s">
        <v>190</v>
      </c>
      <c r="S335" s="2">
        <v>1</v>
      </c>
      <c r="T335" s="2">
        <v>49.99</v>
      </c>
      <c r="U335" s="2">
        <v>11.4977</v>
      </c>
      <c r="V335" s="2">
        <v>61.487699999999997</v>
      </c>
      <c r="W335" s="2">
        <f>T335*50%</f>
        <v>24.995000000000001</v>
      </c>
      <c r="X335" s="5">
        <f t="shared" si="48"/>
        <v>0.5</v>
      </c>
      <c r="Z335" s="2" t="s">
        <v>117</v>
      </c>
      <c r="AA335" s="2" t="s">
        <v>190</v>
      </c>
      <c r="AB335" s="2" t="s">
        <v>190</v>
      </c>
      <c r="AC335" s="2" t="s">
        <v>40</v>
      </c>
      <c r="AF335" s="2">
        <f t="shared" si="46"/>
        <v>0</v>
      </c>
      <c r="AJ335" s="2">
        <f t="shared" si="47"/>
        <v>0</v>
      </c>
      <c r="AK335" s="2">
        <f t="shared" si="49"/>
        <v>24.995000000000001</v>
      </c>
      <c r="AL335" s="5">
        <f t="shared" si="50"/>
        <v>0.5</v>
      </c>
    </row>
    <row r="336" spans="1:38" x14ac:dyDescent="0.2">
      <c r="A336" s="2">
        <v>2025</v>
      </c>
      <c r="B336" s="2">
        <v>1</v>
      </c>
      <c r="D336" s="2" t="s">
        <v>674</v>
      </c>
      <c r="E336" s="2" t="s">
        <v>38</v>
      </c>
      <c r="F336" s="2" t="s">
        <v>39</v>
      </c>
      <c r="G336" s="2">
        <v>502616695</v>
      </c>
      <c r="H336" s="2" t="s">
        <v>40</v>
      </c>
      <c r="I336" s="2" t="s">
        <v>1623</v>
      </c>
      <c r="J336" s="2" t="s">
        <v>3170</v>
      </c>
      <c r="L336" s="2" t="s">
        <v>339</v>
      </c>
      <c r="M336" s="2" t="s">
        <v>40</v>
      </c>
      <c r="O336" s="2" t="s">
        <v>3171</v>
      </c>
      <c r="P336" s="2" t="s">
        <v>1608</v>
      </c>
      <c r="Q336" s="2" t="s">
        <v>675</v>
      </c>
      <c r="R336" s="2" t="s">
        <v>676</v>
      </c>
      <c r="S336" s="2">
        <v>2</v>
      </c>
      <c r="T336" s="2">
        <v>30693</v>
      </c>
      <c r="U336" s="2">
        <v>7059.39</v>
      </c>
      <c r="V336" s="2">
        <v>37752.39</v>
      </c>
      <c r="W336" s="2">
        <f>11533.19*S336</f>
        <v>23066.38</v>
      </c>
      <c r="X336" s="5">
        <f t="shared" si="48"/>
        <v>0.2484807610855895</v>
      </c>
      <c r="Z336" s="2" t="s">
        <v>104</v>
      </c>
      <c r="AA336" s="2" t="s">
        <v>264</v>
      </c>
      <c r="AB336" s="2" t="s">
        <v>1095</v>
      </c>
      <c r="AC336" s="2" t="s">
        <v>1608</v>
      </c>
      <c r="AF336" s="2">
        <f t="shared" si="46"/>
        <v>0</v>
      </c>
      <c r="AG336" s="2">
        <f>10958.19+575</f>
        <v>11533.19</v>
      </c>
      <c r="AJ336" s="2">
        <f t="shared" si="47"/>
        <v>0</v>
      </c>
      <c r="AK336" s="2">
        <f t="shared" si="49"/>
        <v>7626.619999999999</v>
      </c>
      <c r="AL336" s="5">
        <f t="shared" si="50"/>
        <v>0.2484807610855895</v>
      </c>
    </row>
    <row r="337" spans="1:38" x14ac:dyDescent="0.2">
      <c r="A337" s="2">
        <v>2025</v>
      </c>
      <c r="B337" s="2">
        <v>1</v>
      </c>
      <c r="D337" s="2" t="s">
        <v>677</v>
      </c>
      <c r="E337" s="2" t="s">
        <v>108</v>
      </c>
      <c r="F337" s="2" t="s">
        <v>39</v>
      </c>
      <c r="G337" s="2">
        <v>505764636</v>
      </c>
      <c r="H337" s="2" t="s">
        <v>290</v>
      </c>
      <c r="I337" s="2" t="s">
        <v>678</v>
      </c>
      <c r="J337" s="2" t="s">
        <v>679</v>
      </c>
      <c r="L337" s="2" t="s">
        <v>339</v>
      </c>
      <c r="M337" s="2" t="s">
        <v>80</v>
      </c>
      <c r="O337" s="2" t="s">
        <v>680</v>
      </c>
      <c r="P337" s="2" t="s">
        <v>72</v>
      </c>
      <c r="Q337" s="2" t="s">
        <v>681</v>
      </c>
      <c r="R337" s="2" t="s">
        <v>74</v>
      </c>
      <c r="S337" s="2">
        <v>1</v>
      </c>
      <c r="T337" s="2">
        <v>184</v>
      </c>
      <c r="U337" s="2">
        <v>42.32</v>
      </c>
      <c r="V337" s="2">
        <v>226.32</v>
      </c>
      <c r="W337" s="2">
        <v>104.49</v>
      </c>
      <c r="X337" s="5">
        <f t="shared" si="48"/>
        <v>0.43211956521739131</v>
      </c>
      <c r="Z337" s="2" t="s">
        <v>3227</v>
      </c>
      <c r="AA337" s="2" t="s">
        <v>75</v>
      </c>
      <c r="AB337" s="2" t="s">
        <v>76</v>
      </c>
      <c r="AC337" s="2" t="s">
        <v>77</v>
      </c>
      <c r="AF337" s="2">
        <f t="shared" si="46"/>
        <v>0</v>
      </c>
      <c r="AG337" s="2">
        <v>104.49</v>
      </c>
      <c r="AH337" s="2">
        <v>220</v>
      </c>
      <c r="AJ337" s="2">
        <f t="shared" si="47"/>
        <v>0</v>
      </c>
      <c r="AK337" s="2">
        <f t="shared" si="49"/>
        <v>79.510000000000005</v>
      </c>
      <c r="AL337" s="5">
        <f t="shared" si="50"/>
        <v>0.43211956521739131</v>
      </c>
    </row>
    <row r="338" spans="1:38" x14ac:dyDescent="0.2">
      <c r="A338" s="2">
        <v>2025</v>
      </c>
      <c r="B338" s="2">
        <v>1</v>
      </c>
      <c r="D338" s="2" t="s">
        <v>677</v>
      </c>
      <c r="E338" s="2" t="s">
        <v>108</v>
      </c>
      <c r="F338" s="2" t="s">
        <v>39</v>
      </c>
      <c r="G338" s="2">
        <v>505764636</v>
      </c>
      <c r="H338" s="2" t="s">
        <v>290</v>
      </c>
      <c r="I338" s="2" t="s">
        <v>678</v>
      </c>
      <c r="J338" s="2" t="s">
        <v>679</v>
      </c>
      <c r="L338" s="2" t="s">
        <v>339</v>
      </c>
      <c r="M338" s="2" t="s">
        <v>80</v>
      </c>
      <c r="O338" s="2" t="s">
        <v>682</v>
      </c>
      <c r="P338" s="2" t="s">
        <v>72</v>
      </c>
      <c r="Q338" s="2" t="s">
        <v>557</v>
      </c>
      <c r="R338" s="2" t="s">
        <v>307</v>
      </c>
      <c r="S338" s="2">
        <v>1</v>
      </c>
      <c r="T338" s="2">
        <v>215</v>
      </c>
      <c r="U338" s="2">
        <v>49.45</v>
      </c>
      <c r="V338" s="2">
        <v>264.45</v>
      </c>
      <c r="W338" s="2">
        <v>122.446</v>
      </c>
      <c r="X338" s="5">
        <f t="shared" si="48"/>
        <v>0.43048372093023257</v>
      </c>
      <c r="Z338" s="2" t="s">
        <v>3227</v>
      </c>
      <c r="AA338" s="2" t="s">
        <v>75</v>
      </c>
      <c r="AB338" s="2" t="s">
        <v>76</v>
      </c>
      <c r="AC338" s="2" t="s">
        <v>77</v>
      </c>
      <c r="AF338" s="2">
        <f t="shared" si="46"/>
        <v>0</v>
      </c>
      <c r="AG338" s="2">
        <v>122.446</v>
      </c>
      <c r="AH338" s="2">
        <v>230</v>
      </c>
      <c r="AJ338" s="2">
        <f t="shared" si="47"/>
        <v>0</v>
      </c>
      <c r="AK338" s="2">
        <f t="shared" si="49"/>
        <v>92.554000000000002</v>
      </c>
      <c r="AL338" s="5">
        <f t="shared" si="50"/>
        <v>0.43048372093023257</v>
      </c>
    </row>
    <row r="339" spans="1:38" x14ac:dyDescent="0.2">
      <c r="A339" s="2">
        <v>2025</v>
      </c>
      <c r="B339" s="2">
        <v>1</v>
      </c>
      <c r="D339" s="2" t="s">
        <v>677</v>
      </c>
      <c r="E339" s="2" t="s">
        <v>108</v>
      </c>
      <c r="F339" s="2" t="s">
        <v>39</v>
      </c>
      <c r="G339" s="2">
        <v>505764636</v>
      </c>
      <c r="H339" s="2" t="s">
        <v>290</v>
      </c>
      <c r="I339" s="2" t="s">
        <v>678</v>
      </c>
      <c r="J339" s="2" t="s">
        <v>679</v>
      </c>
      <c r="L339" s="2" t="s">
        <v>339</v>
      </c>
      <c r="M339" s="2" t="s">
        <v>80</v>
      </c>
      <c r="P339" s="2" t="s">
        <v>72</v>
      </c>
      <c r="Q339" s="2" t="s">
        <v>683</v>
      </c>
      <c r="R339" s="2" t="s">
        <v>83</v>
      </c>
      <c r="S339" s="2">
        <v>1</v>
      </c>
      <c r="T339" s="2">
        <v>230</v>
      </c>
      <c r="U339" s="2">
        <v>52.900000000000013</v>
      </c>
      <c r="V339" s="2">
        <v>282.89999999999998</v>
      </c>
      <c r="W339" s="2">
        <v>147.86000000000001</v>
      </c>
      <c r="X339" s="5">
        <f t="shared" si="48"/>
        <v>0.35713043478260864</v>
      </c>
      <c r="Z339" s="2" t="s">
        <v>3227</v>
      </c>
      <c r="AA339" s="2" t="s">
        <v>75</v>
      </c>
      <c r="AB339" s="2" t="s">
        <v>76</v>
      </c>
      <c r="AC339" s="2" t="s">
        <v>77</v>
      </c>
      <c r="AF339" s="2">
        <f t="shared" si="46"/>
        <v>0</v>
      </c>
      <c r="AG339" s="2">
        <v>147.86000000000001</v>
      </c>
      <c r="AH339" s="2">
        <v>250</v>
      </c>
      <c r="AJ339" s="2">
        <f t="shared" si="47"/>
        <v>0</v>
      </c>
      <c r="AK339" s="2">
        <f t="shared" si="49"/>
        <v>82.139999999999986</v>
      </c>
      <c r="AL339" s="5">
        <f t="shared" si="50"/>
        <v>0.35713043478260864</v>
      </c>
    </row>
    <row r="340" spans="1:38" x14ac:dyDescent="0.2">
      <c r="A340" s="2">
        <v>2025</v>
      </c>
      <c r="B340" s="2">
        <v>1</v>
      </c>
      <c r="D340" s="2" t="s">
        <v>677</v>
      </c>
      <c r="E340" s="2" t="s">
        <v>108</v>
      </c>
      <c r="F340" s="2" t="s">
        <v>39</v>
      </c>
      <c r="G340" s="2">
        <v>505764636</v>
      </c>
      <c r="H340" s="2" t="s">
        <v>290</v>
      </c>
      <c r="I340" s="2" t="s">
        <v>678</v>
      </c>
      <c r="J340" s="2" t="s">
        <v>679</v>
      </c>
      <c r="L340" s="2" t="s">
        <v>339</v>
      </c>
      <c r="M340" s="2" t="s">
        <v>80</v>
      </c>
      <c r="P340" s="2" t="s">
        <v>93</v>
      </c>
      <c r="Q340" s="2" t="s">
        <v>94</v>
      </c>
      <c r="R340" s="2" t="s">
        <v>95</v>
      </c>
      <c r="S340" s="2">
        <v>3</v>
      </c>
      <c r="T340" s="2">
        <v>3.42</v>
      </c>
      <c r="U340" s="2">
        <v>0.78659999999999997</v>
      </c>
      <c r="V340" s="2">
        <v>4.2065999999999999</v>
      </c>
      <c r="W340" s="2">
        <v>3.42</v>
      </c>
      <c r="X340" s="5">
        <f t="shared" si="48"/>
        <v>0</v>
      </c>
      <c r="Z340" s="2" t="s">
        <v>3227</v>
      </c>
      <c r="AA340" s="2" t="s">
        <v>96</v>
      </c>
      <c r="AB340" s="2" t="s">
        <v>76</v>
      </c>
      <c r="AC340" s="2" t="s">
        <v>93</v>
      </c>
      <c r="AF340" s="2">
        <f t="shared" si="46"/>
        <v>0</v>
      </c>
      <c r="AJ340" s="2">
        <f t="shared" si="47"/>
        <v>0</v>
      </c>
      <c r="AK340" s="2">
        <f t="shared" si="49"/>
        <v>0</v>
      </c>
      <c r="AL340" s="5">
        <f t="shared" si="50"/>
        <v>0</v>
      </c>
    </row>
    <row r="341" spans="1:38" x14ac:dyDescent="0.2">
      <c r="A341" s="2">
        <v>2025</v>
      </c>
      <c r="B341" s="2">
        <v>2</v>
      </c>
      <c r="C341" s="2" t="s">
        <v>3402</v>
      </c>
      <c r="D341" s="2" t="s">
        <v>684</v>
      </c>
      <c r="E341" s="2" t="s">
        <v>38</v>
      </c>
      <c r="F341" s="2" t="s">
        <v>39</v>
      </c>
      <c r="L341" s="2" t="s">
        <v>112</v>
      </c>
      <c r="M341" s="2" t="s">
        <v>40</v>
      </c>
      <c r="P341" s="2" t="s">
        <v>282</v>
      </c>
      <c r="Q341" s="2" t="s">
        <v>685</v>
      </c>
      <c r="R341" s="2" t="s">
        <v>686</v>
      </c>
      <c r="S341" s="2">
        <v>1</v>
      </c>
      <c r="T341" s="2">
        <v>1300</v>
      </c>
      <c r="U341" s="2">
        <v>299</v>
      </c>
      <c r="V341" s="2">
        <v>1599</v>
      </c>
      <c r="W341" s="2">
        <v>900</v>
      </c>
      <c r="X341" s="5">
        <f t="shared" si="48"/>
        <v>0.30769230769230771</v>
      </c>
      <c r="Z341" s="2" t="s">
        <v>104</v>
      </c>
      <c r="AA341" s="2" t="s">
        <v>387</v>
      </c>
      <c r="AB341" s="2" t="s">
        <v>388</v>
      </c>
      <c r="AC341" s="2" t="s">
        <v>389</v>
      </c>
      <c r="AF341" s="2">
        <f t="shared" si="46"/>
        <v>0</v>
      </c>
      <c r="AJ341" s="2">
        <f t="shared" si="47"/>
        <v>0</v>
      </c>
      <c r="AK341" s="2">
        <f t="shared" si="49"/>
        <v>400</v>
      </c>
      <c r="AL341" s="5">
        <f t="shared" si="50"/>
        <v>0.30769230769230771</v>
      </c>
    </row>
    <row r="342" spans="1:38" x14ac:dyDescent="0.2">
      <c r="A342" s="2">
        <v>2025</v>
      </c>
      <c r="B342" s="2">
        <v>2</v>
      </c>
      <c r="D342" s="2" t="s">
        <v>687</v>
      </c>
      <c r="E342" s="2" t="s">
        <v>38</v>
      </c>
      <c r="F342" s="2" t="s">
        <v>39</v>
      </c>
      <c r="G342" s="2">
        <v>501726519</v>
      </c>
      <c r="H342" s="2" t="s">
        <v>290</v>
      </c>
      <c r="I342" s="2" t="s">
        <v>437</v>
      </c>
      <c r="J342" s="2" t="s">
        <v>688</v>
      </c>
      <c r="L342" s="2" t="s">
        <v>339</v>
      </c>
      <c r="M342" s="2" t="s">
        <v>40</v>
      </c>
      <c r="O342" s="2" t="s">
        <v>3190</v>
      </c>
      <c r="P342" s="2" t="s">
        <v>114</v>
      </c>
      <c r="Q342" s="2" t="s">
        <v>356</v>
      </c>
      <c r="R342" s="2" t="s">
        <v>357</v>
      </c>
      <c r="S342" s="2">
        <v>1</v>
      </c>
      <c r="T342" s="2">
        <v>518.29</v>
      </c>
      <c r="U342" s="2">
        <v>119.2067</v>
      </c>
      <c r="V342" s="2">
        <v>637.49669999999992</v>
      </c>
      <c r="W342" s="2">
        <v>246.77</v>
      </c>
      <c r="X342" s="5">
        <f t="shared" si="48"/>
        <v>0.52387659418472288</v>
      </c>
      <c r="Z342" s="2" t="s">
        <v>117</v>
      </c>
      <c r="AA342" s="2" t="s">
        <v>118</v>
      </c>
      <c r="AB342" s="2" t="s">
        <v>119</v>
      </c>
      <c r="AC342" s="2" t="s">
        <v>114</v>
      </c>
      <c r="AF342" s="2">
        <f t="shared" si="46"/>
        <v>0</v>
      </c>
      <c r="AG342" s="2">
        <v>246.77</v>
      </c>
      <c r="AJ342" s="2">
        <f t="shared" si="47"/>
        <v>0</v>
      </c>
      <c r="AK342" s="2">
        <f t="shared" si="49"/>
        <v>271.52</v>
      </c>
      <c r="AL342" s="5">
        <f t="shared" si="50"/>
        <v>0.52387659418472288</v>
      </c>
    </row>
    <row r="343" spans="1:38" x14ac:dyDescent="0.2">
      <c r="A343" s="2">
        <v>2025</v>
      </c>
      <c r="B343" s="2">
        <v>2</v>
      </c>
      <c r="D343" s="2" t="s">
        <v>687</v>
      </c>
      <c r="E343" s="2" t="s">
        <v>38</v>
      </c>
      <c r="F343" s="2" t="s">
        <v>39</v>
      </c>
      <c r="G343" s="2">
        <v>501726519</v>
      </c>
      <c r="H343" s="2" t="s">
        <v>290</v>
      </c>
      <c r="I343" s="2" t="s">
        <v>437</v>
      </c>
      <c r="J343" s="2" t="s">
        <v>688</v>
      </c>
      <c r="L343" s="2" t="s">
        <v>339</v>
      </c>
      <c r="M343" s="2" t="s">
        <v>40</v>
      </c>
      <c r="P343" s="2" t="s">
        <v>187</v>
      </c>
      <c r="Q343" s="2" t="s">
        <v>188</v>
      </c>
      <c r="R343" s="2" t="s">
        <v>189</v>
      </c>
      <c r="S343" s="2">
        <v>1</v>
      </c>
      <c r="T343" s="2">
        <v>50</v>
      </c>
      <c r="U343" s="2">
        <v>11.5</v>
      </c>
      <c r="V343" s="2">
        <v>61.5</v>
      </c>
      <c r="W343" s="2">
        <f>T343*40%</f>
        <v>20</v>
      </c>
      <c r="X343" s="5">
        <f t="shared" si="48"/>
        <v>0.6</v>
      </c>
      <c r="Z343" s="2" t="s">
        <v>117</v>
      </c>
      <c r="AA343" s="2" t="s">
        <v>190</v>
      </c>
      <c r="AB343" s="2" t="s">
        <v>189</v>
      </c>
      <c r="AC343" s="2" t="s">
        <v>40</v>
      </c>
      <c r="AF343" s="2">
        <f t="shared" si="46"/>
        <v>0</v>
      </c>
      <c r="AJ343" s="2">
        <f t="shared" si="47"/>
        <v>0</v>
      </c>
      <c r="AK343" s="2">
        <f t="shared" si="49"/>
        <v>30</v>
      </c>
      <c r="AL343" s="5">
        <f t="shared" si="50"/>
        <v>0.6</v>
      </c>
    </row>
    <row r="344" spans="1:38" x14ac:dyDescent="0.2">
      <c r="A344" s="2">
        <v>2025</v>
      </c>
      <c r="B344" s="2">
        <v>2</v>
      </c>
      <c r="D344" s="2" t="s">
        <v>687</v>
      </c>
      <c r="E344" s="2" t="s">
        <v>38</v>
      </c>
      <c r="F344" s="2" t="s">
        <v>39</v>
      </c>
      <c r="G344" s="2">
        <v>501726519</v>
      </c>
      <c r="H344" s="2" t="s">
        <v>290</v>
      </c>
      <c r="I344" s="2" t="s">
        <v>437</v>
      </c>
      <c r="J344" s="2" t="s">
        <v>688</v>
      </c>
      <c r="L344" s="2" t="s">
        <v>339</v>
      </c>
      <c r="M344" s="2" t="s">
        <v>40</v>
      </c>
      <c r="P344" s="2" t="s">
        <v>187</v>
      </c>
      <c r="Q344" s="2" t="s">
        <v>191</v>
      </c>
      <c r="R344" s="2" t="s">
        <v>190</v>
      </c>
      <c r="S344" s="2">
        <v>1</v>
      </c>
      <c r="T344" s="2">
        <v>50</v>
      </c>
      <c r="U344" s="2">
        <v>11.5</v>
      </c>
      <c r="V344" s="2">
        <v>61.5</v>
      </c>
      <c r="W344" s="2">
        <f>T344*50%</f>
        <v>25</v>
      </c>
      <c r="X344" s="5">
        <f t="shared" si="48"/>
        <v>0.5</v>
      </c>
      <c r="Z344" s="2" t="s">
        <v>117</v>
      </c>
      <c r="AA344" s="2" t="s">
        <v>190</v>
      </c>
      <c r="AB344" s="2" t="s">
        <v>190</v>
      </c>
      <c r="AC344" s="2" t="s">
        <v>40</v>
      </c>
      <c r="AF344" s="2">
        <f t="shared" si="46"/>
        <v>0</v>
      </c>
      <c r="AJ344" s="2">
        <f t="shared" si="47"/>
        <v>0</v>
      </c>
      <c r="AK344" s="2">
        <f t="shared" si="49"/>
        <v>25</v>
      </c>
      <c r="AL344" s="5">
        <f t="shared" si="50"/>
        <v>0.5</v>
      </c>
    </row>
    <row r="345" spans="1:38" x14ac:dyDescent="0.2">
      <c r="A345" s="2">
        <v>2025</v>
      </c>
      <c r="B345" s="2">
        <v>2</v>
      </c>
      <c r="D345" s="2" t="s">
        <v>689</v>
      </c>
      <c r="E345" s="2" t="s">
        <v>108</v>
      </c>
      <c r="F345" s="2" t="s">
        <v>39</v>
      </c>
      <c r="G345" s="2">
        <v>503589950</v>
      </c>
      <c r="H345" s="2" t="s">
        <v>41</v>
      </c>
      <c r="I345" s="2" t="s">
        <v>610</v>
      </c>
      <c r="J345" s="2" t="s">
        <v>690</v>
      </c>
      <c r="K345" s="2">
        <v>913036545</v>
      </c>
      <c r="L345" s="2" t="s">
        <v>177</v>
      </c>
      <c r="M345" s="2" t="s">
        <v>41</v>
      </c>
      <c r="O345" s="2" t="s">
        <v>691</v>
      </c>
      <c r="P345" s="2" t="s">
        <v>43</v>
      </c>
      <c r="Q345" s="2" t="s">
        <v>210</v>
      </c>
      <c r="R345" s="2" t="s">
        <v>211</v>
      </c>
      <c r="S345" s="2">
        <v>2</v>
      </c>
      <c r="T345" s="2">
        <v>44.4</v>
      </c>
      <c r="U345" s="2">
        <v>10.212</v>
      </c>
      <c r="V345" s="2">
        <v>54.611999999999988</v>
      </c>
      <c r="W345" s="2">
        <f>12.1*S345</f>
        <v>24.2</v>
      </c>
      <c r="X345" s="5">
        <f t="shared" si="48"/>
        <v>0.45495495495495497</v>
      </c>
      <c r="Z345" s="2" t="s">
        <v>3227</v>
      </c>
      <c r="AA345" s="2" t="s">
        <v>46</v>
      </c>
      <c r="AB345" s="2" t="s">
        <v>47</v>
      </c>
      <c r="AC345" s="2" t="s">
        <v>57</v>
      </c>
      <c r="AF345" s="2">
        <f t="shared" si="46"/>
        <v>0</v>
      </c>
      <c r="AG345" s="2">
        <v>12.1</v>
      </c>
      <c r="AH345" s="2">
        <v>22.2</v>
      </c>
      <c r="AJ345" s="2">
        <f t="shared" si="47"/>
        <v>0</v>
      </c>
      <c r="AK345" s="2">
        <f t="shared" si="49"/>
        <v>20.2</v>
      </c>
      <c r="AL345" s="5">
        <f t="shared" si="50"/>
        <v>0.45495495495495497</v>
      </c>
    </row>
    <row r="346" spans="1:38" x14ac:dyDescent="0.2">
      <c r="A346" s="2">
        <v>2025</v>
      </c>
      <c r="B346" s="2">
        <v>2</v>
      </c>
      <c r="D346" s="2" t="s">
        <v>689</v>
      </c>
      <c r="E346" s="2" t="s">
        <v>108</v>
      </c>
      <c r="F346" s="2" t="s">
        <v>39</v>
      </c>
      <c r="G346" s="2">
        <v>503589950</v>
      </c>
      <c r="H346" s="2" t="s">
        <v>41</v>
      </c>
      <c r="I346" s="2" t="s">
        <v>610</v>
      </c>
      <c r="J346" s="2" t="s">
        <v>690</v>
      </c>
      <c r="K346" s="2">
        <v>913036545</v>
      </c>
      <c r="L346" s="2" t="s">
        <v>177</v>
      </c>
      <c r="M346" s="2" t="s">
        <v>41</v>
      </c>
      <c r="O346" s="2" t="s">
        <v>691</v>
      </c>
      <c r="P346" s="2" t="s">
        <v>43</v>
      </c>
      <c r="Q346" s="2" t="s">
        <v>160</v>
      </c>
      <c r="R346" s="2" t="s">
        <v>161</v>
      </c>
      <c r="S346" s="2">
        <v>4</v>
      </c>
      <c r="T346" s="2">
        <v>31.2</v>
      </c>
      <c r="U346" s="2">
        <v>7.1760000000000002</v>
      </c>
      <c r="V346" s="2">
        <v>38.375999999999998</v>
      </c>
      <c r="W346" s="2">
        <f>3.7358*S346</f>
        <v>14.943199999999999</v>
      </c>
      <c r="X346" s="5">
        <f t="shared" si="48"/>
        <v>0.52105128205128204</v>
      </c>
      <c r="Z346" s="2" t="s">
        <v>3227</v>
      </c>
      <c r="AA346" s="2" t="s">
        <v>46</v>
      </c>
      <c r="AB346" s="2" t="s">
        <v>47</v>
      </c>
      <c r="AC346" s="2" t="s">
        <v>57</v>
      </c>
      <c r="AF346" s="2">
        <f t="shared" si="46"/>
        <v>0</v>
      </c>
      <c r="AG346" s="2">
        <v>3.7357999999999998</v>
      </c>
      <c r="AH346" s="2">
        <v>9</v>
      </c>
      <c r="AJ346" s="2">
        <f t="shared" si="47"/>
        <v>0</v>
      </c>
      <c r="AK346" s="2">
        <f t="shared" si="49"/>
        <v>16.256799999999998</v>
      </c>
      <c r="AL346" s="5">
        <f t="shared" si="50"/>
        <v>0.52105128205128204</v>
      </c>
    </row>
    <row r="347" spans="1:38" x14ac:dyDescent="0.2">
      <c r="A347" s="2">
        <v>2025</v>
      </c>
      <c r="B347" s="2">
        <v>2</v>
      </c>
      <c r="D347" s="2" t="s">
        <v>689</v>
      </c>
      <c r="E347" s="2" t="s">
        <v>108</v>
      </c>
      <c r="F347" s="2" t="s">
        <v>39</v>
      </c>
      <c r="G347" s="2">
        <v>503589950</v>
      </c>
      <c r="H347" s="2" t="s">
        <v>41</v>
      </c>
      <c r="I347" s="2" t="s">
        <v>610</v>
      </c>
      <c r="J347" s="2" t="s">
        <v>690</v>
      </c>
      <c r="K347" s="2">
        <v>913036545</v>
      </c>
      <c r="L347" s="2" t="s">
        <v>177</v>
      </c>
      <c r="M347" s="2" t="s">
        <v>41</v>
      </c>
      <c r="O347" s="2" t="s">
        <v>692</v>
      </c>
      <c r="P347" s="2" t="s">
        <v>43</v>
      </c>
      <c r="Q347" s="2" t="s">
        <v>63</v>
      </c>
      <c r="R347" s="2" t="s">
        <v>64</v>
      </c>
      <c r="S347" s="2">
        <v>20</v>
      </c>
      <c r="T347" s="2">
        <v>36</v>
      </c>
      <c r="U347" s="2">
        <v>8.2800000000000011</v>
      </c>
      <c r="V347" s="2">
        <v>44.28</v>
      </c>
      <c r="W347" s="2">
        <f>0.8561*S347</f>
        <v>17.122</v>
      </c>
      <c r="X347" s="5">
        <f t="shared" si="48"/>
        <v>0.5243888888888889</v>
      </c>
      <c r="Z347" s="2" t="s">
        <v>3227</v>
      </c>
      <c r="AA347" s="2" t="s">
        <v>46</v>
      </c>
      <c r="AB347" s="2" t="s">
        <v>60</v>
      </c>
      <c r="AC347" s="2" t="s">
        <v>57</v>
      </c>
      <c r="AF347" s="2">
        <f t="shared" si="46"/>
        <v>0</v>
      </c>
      <c r="AG347" s="2">
        <v>0.85609999999999997</v>
      </c>
      <c r="AH347" s="2">
        <v>1.8</v>
      </c>
      <c r="AJ347" s="2">
        <f t="shared" si="47"/>
        <v>0</v>
      </c>
      <c r="AK347" s="2">
        <f t="shared" si="49"/>
        <v>18.878</v>
      </c>
      <c r="AL347" s="5">
        <f t="shared" si="50"/>
        <v>0.5243888888888889</v>
      </c>
    </row>
    <row r="348" spans="1:38" x14ac:dyDescent="0.2">
      <c r="A348" s="2">
        <v>2025</v>
      </c>
      <c r="B348" s="2">
        <v>2</v>
      </c>
      <c r="D348" s="2" t="s">
        <v>693</v>
      </c>
      <c r="E348" s="2" t="s">
        <v>38</v>
      </c>
      <c r="F348" s="2" t="s">
        <v>39</v>
      </c>
      <c r="G348" s="2">
        <v>508574358</v>
      </c>
      <c r="H348" s="2" t="s">
        <v>41</v>
      </c>
      <c r="I348" s="2" t="s">
        <v>694</v>
      </c>
      <c r="J348" s="2" t="s">
        <v>695</v>
      </c>
      <c r="K348" s="2">
        <v>917295518</v>
      </c>
      <c r="L348" s="2" t="s">
        <v>177</v>
      </c>
      <c r="M348" s="2" t="s">
        <v>41</v>
      </c>
      <c r="P348" s="2" t="s">
        <v>43</v>
      </c>
      <c r="Q348" s="2" t="s">
        <v>160</v>
      </c>
      <c r="R348" s="2" t="s">
        <v>161</v>
      </c>
      <c r="S348" s="2">
        <v>1</v>
      </c>
      <c r="T348" s="2">
        <v>7.8</v>
      </c>
      <c r="U348" s="2">
        <v>1.794</v>
      </c>
      <c r="V348" s="2">
        <v>9.5939999999999994</v>
      </c>
      <c r="W348" s="2">
        <f>3.7358*S348</f>
        <v>3.7357999999999998</v>
      </c>
      <c r="X348" s="5">
        <f t="shared" si="48"/>
        <v>0.52105128205128204</v>
      </c>
      <c r="Z348" s="2" t="s">
        <v>3227</v>
      </c>
      <c r="AA348" s="2" t="s">
        <v>46</v>
      </c>
      <c r="AB348" s="2" t="s">
        <v>47</v>
      </c>
      <c r="AC348" s="2" t="s">
        <v>57</v>
      </c>
      <c r="AF348" s="2">
        <f t="shared" si="46"/>
        <v>0</v>
      </c>
      <c r="AG348" s="2">
        <v>3.7357999999999998</v>
      </c>
      <c r="AH348" s="2">
        <v>9</v>
      </c>
      <c r="AJ348" s="2">
        <f t="shared" si="47"/>
        <v>0</v>
      </c>
      <c r="AK348" s="2">
        <f t="shared" si="49"/>
        <v>4.0641999999999996</v>
      </c>
      <c r="AL348" s="5">
        <f t="shared" si="50"/>
        <v>0.52105128205128204</v>
      </c>
    </row>
    <row r="349" spans="1:38" x14ac:dyDescent="0.2">
      <c r="A349" s="2">
        <v>2025</v>
      </c>
      <c r="B349" s="2">
        <v>2</v>
      </c>
      <c r="D349" s="2" t="s">
        <v>693</v>
      </c>
      <c r="E349" s="2" t="s">
        <v>38</v>
      </c>
      <c r="F349" s="2" t="s">
        <v>39</v>
      </c>
      <c r="G349" s="2">
        <v>508574358</v>
      </c>
      <c r="H349" s="2" t="s">
        <v>41</v>
      </c>
      <c r="I349" s="2" t="s">
        <v>694</v>
      </c>
      <c r="J349" s="2" t="s">
        <v>695</v>
      </c>
      <c r="K349" s="2">
        <v>917295518</v>
      </c>
      <c r="L349" s="2" t="s">
        <v>177</v>
      </c>
      <c r="M349" s="2" t="s">
        <v>41</v>
      </c>
      <c r="P349" s="2" t="s">
        <v>43</v>
      </c>
      <c r="Q349" s="2" t="s">
        <v>234</v>
      </c>
      <c r="R349" s="2" t="s">
        <v>235</v>
      </c>
      <c r="S349" s="2">
        <v>1</v>
      </c>
      <c r="T349" s="2">
        <v>13.2</v>
      </c>
      <c r="U349" s="2">
        <v>3.036</v>
      </c>
      <c r="V349" s="2">
        <v>16.236000000000001</v>
      </c>
      <c r="W349" s="2">
        <v>7.2217000000000002</v>
      </c>
      <c r="X349" s="5">
        <f t="shared" si="48"/>
        <v>0.45290151515151511</v>
      </c>
      <c r="Z349" s="2" t="s">
        <v>3227</v>
      </c>
      <c r="AA349" s="2" t="s">
        <v>46</v>
      </c>
      <c r="AB349" s="2" t="s">
        <v>56</v>
      </c>
      <c r="AC349" s="2" t="s">
        <v>57</v>
      </c>
      <c r="AF349" s="2">
        <f t="shared" si="46"/>
        <v>0</v>
      </c>
      <c r="AG349" s="2">
        <v>7.2217000000000002</v>
      </c>
      <c r="AH349" s="2">
        <v>14.4</v>
      </c>
      <c r="AJ349" s="2">
        <f t="shared" si="47"/>
        <v>0</v>
      </c>
      <c r="AK349" s="2">
        <f t="shared" si="49"/>
        <v>5.9782999999999991</v>
      </c>
      <c r="AL349" s="5">
        <f t="shared" si="50"/>
        <v>0.45290151515151511</v>
      </c>
    </row>
    <row r="350" spans="1:38" x14ac:dyDescent="0.2">
      <c r="A350" s="2">
        <v>2025</v>
      </c>
      <c r="B350" s="2">
        <v>2</v>
      </c>
      <c r="D350" s="2" t="s">
        <v>693</v>
      </c>
      <c r="E350" s="2" t="s">
        <v>38</v>
      </c>
      <c r="F350" s="2" t="s">
        <v>39</v>
      </c>
      <c r="G350" s="2">
        <v>508574358</v>
      </c>
      <c r="H350" s="2" t="s">
        <v>41</v>
      </c>
      <c r="I350" s="2" t="s">
        <v>694</v>
      </c>
      <c r="J350" s="2" t="s">
        <v>695</v>
      </c>
      <c r="K350" s="2">
        <v>917295518</v>
      </c>
      <c r="L350" s="2" t="s">
        <v>177</v>
      </c>
      <c r="M350" s="2" t="s">
        <v>41</v>
      </c>
      <c r="P350" s="2" t="s">
        <v>43</v>
      </c>
      <c r="Q350" s="2" t="s">
        <v>238</v>
      </c>
      <c r="R350" s="2" t="s">
        <v>239</v>
      </c>
      <c r="S350" s="2">
        <v>1</v>
      </c>
      <c r="T350" s="2">
        <v>19.8</v>
      </c>
      <c r="U350" s="2">
        <v>4.5540000000000003</v>
      </c>
      <c r="V350" s="2">
        <v>24.353999999999999</v>
      </c>
      <c r="W350" s="2">
        <f>11.045*S350</f>
        <v>11.045</v>
      </c>
      <c r="X350" s="5">
        <f t="shared" si="48"/>
        <v>0.44217171717171722</v>
      </c>
      <c r="Z350" s="2" t="s">
        <v>3227</v>
      </c>
      <c r="AA350" s="2" t="s">
        <v>46</v>
      </c>
      <c r="AB350" s="2" t="s">
        <v>56</v>
      </c>
      <c r="AC350" s="2" t="s">
        <v>57</v>
      </c>
      <c r="AF350" s="2">
        <f t="shared" si="46"/>
        <v>0</v>
      </c>
      <c r="AJ350" s="2">
        <f t="shared" si="47"/>
        <v>0</v>
      </c>
      <c r="AK350" s="2">
        <f t="shared" si="49"/>
        <v>8.7550000000000008</v>
      </c>
      <c r="AL350" s="5">
        <f t="shared" si="50"/>
        <v>0.44217171717171722</v>
      </c>
    </row>
    <row r="351" spans="1:38" x14ac:dyDescent="0.2">
      <c r="A351" s="2">
        <v>2025</v>
      </c>
      <c r="B351" s="2">
        <v>2</v>
      </c>
      <c r="D351" s="2" t="s">
        <v>693</v>
      </c>
      <c r="E351" s="2" t="s">
        <v>38</v>
      </c>
      <c r="F351" s="2" t="s">
        <v>39</v>
      </c>
      <c r="G351" s="2">
        <v>508574358</v>
      </c>
      <c r="H351" s="2" t="s">
        <v>41</v>
      </c>
      <c r="I351" s="2" t="s">
        <v>694</v>
      </c>
      <c r="J351" s="2" t="s">
        <v>695</v>
      </c>
      <c r="K351" s="2">
        <v>917295518</v>
      </c>
      <c r="L351" s="2" t="s">
        <v>177</v>
      </c>
      <c r="M351" s="2" t="s">
        <v>41</v>
      </c>
      <c r="P351" s="2" t="s">
        <v>43</v>
      </c>
      <c r="Q351" s="2" t="s">
        <v>240</v>
      </c>
      <c r="R351" s="2" t="s">
        <v>241</v>
      </c>
      <c r="S351" s="2">
        <v>1</v>
      </c>
      <c r="T351" s="2">
        <v>24</v>
      </c>
      <c r="U351" s="2">
        <v>5.52</v>
      </c>
      <c r="V351" s="2">
        <v>29.52</v>
      </c>
      <c r="W351" s="2">
        <f>13.4067*S351</f>
        <v>13.406700000000001</v>
      </c>
      <c r="X351" s="5">
        <f t="shared" si="48"/>
        <v>0.44138749999999999</v>
      </c>
      <c r="Z351" s="2" t="s">
        <v>3227</v>
      </c>
      <c r="AA351" s="2" t="s">
        <v>46</v>
      </c>
      <c r="AB351" s="2" t="s">
        <v>56</v>
      </c>
      <c r="AC351" s="2" t="s">
        <v>57</v>
      </c>
      <c r="AF351" s="2">
        <f t="shared" si="46"/>
        <v>0</v>
      </c>
      <c r="AJ351" s="2">
        <f t="shared" si="47"/>
        <v>0</v>
      </c>
      <c r="AK351" s="2">
        <f t="shared" si="49"/>
        <v>10.593299999999999</v>
      </c>
      <c r="AL351" s="5">
        <f t="shared" si="50"/>
        <v>0.44138749999999999</v>
      </c>
    </row>
    <row r="352" spans="1:38" x14ac:dyDescent="0.2">
      <c r="A352" s="2">
        <v>2025</v>
      </c>
      <c r="B352" s="2">
        <v>2</v>
      </c>
      <c r="D352" s="2" t="s">
        <v>693</v>
      </c>
      <c r="E352" s="2" t="s">
        <v>38</v>
      </c>
      <c r="F352" s="2" t="s">
        <v>39</v>
      </c>
      <c r="G352" s="2">
        <v>508574358</v>
      </c>
      <c r="H352" s="2" t="s">
        <v>41</v>
      </c>
      <c r="I352" s="2" t="s">
        <v>694</v>
      </c>
      <c r="J352" s="2" t="s">
        <v>695</v>
      </c>
      <c r="K352" s="2">
        <v>917295518</v>
      </c>
      <c r="L352" s="2" t="s">
        <v>177</v>
      </c>
      <c r="M352" s="2" t="s">
        <v>41</v>
      </c>
      <c r="P352" s="2" t="s">
        <v>43</v>
      </c>
      <c r="Q352" s="2" t="s">
        <v>242</v>
      </c>
      <c r="R352" s="2" t="s">
        <v>243</v>
      </c>
      <c r="S352" s="2">
        <v>1</v>
      </c>
      <c r="T352" s="2">
        <v>28.8</v>
      </c>
      <c r="U352" s="2">
        <v>6.6240000000000014</v>
      </c>
      <c r="V352" s="2">
        <v>35.423999999999999</v>
      </c>
      <c r="W352" s="2">
        <f>16.2249*S352</f>
        <v>16.224900000000002</v>
      </c>
      <c r="X352" s="5">
        <f t="shared" si="48"/>
        <v>0.43663541666666661</v>
      </c>
      <c r="Z352" s="2" t="s">
        <v>3227</v>
      </c>
      <c r="AA352" s="2" t="s">
        <v>46</v>
      </c>
      <c r="AB352" s="2" t="s">
        <v>56</v>
      </c>
      <c r="AC352" s="2" t="s">
        <v>57</v>
      </c>
      <c r="AF352" s="2">
        <f t="shared" si="46"/>
        <v>0</v>
      </c>
      <c r="AJ352" s="2">
        <f t="shared" si="47"/>
        <v>0</v>
      </c>
      <c r="AK352" s="2">
        <f t="shared" si="49"/>
        <v>12.575099999999999</v>
      </c>
      <c r="AL352" s="5">
        <f t="shared" si="50"/>
        <v>0.43663541666666661</v>
      </c>
    </row>
    <row r="353" spans="1:38" x14ac:dyDescent="0.2">
      <c r="A353" s="2">
        <v>2025</v>
      </c>
      <c r="B353" s="2">
        <v>2</v>
      </c>
      <c r="D353" s="2" t="s">
        <v>693</v>
      </c>
      <c r="E353" s="2" t="s">
        <v>38</v>
      </c>
      <c r="F353" s="2" t="s">
        <v>39</v>
      </c>
      <c r="G353" s="2">
        <v>508574358</v>
      </c>
      <c r="H353" s="2" t="s">
        <v>41</v>
      </c>
      <c r="I353" s="2" t="s">
        <v>694</v>
      </c>
      <c r="J353" s="2" t="s">
        <v>695</v>
      </c>
      <c r="K353" s="2">
        <v>917295518</v>
      </c>
      <c r="L353" s="2" t="s">
        <v>177</v>
      </c>
      <c r="M353" s="2" t="s">
        <v>41</v>
      </c>
      <c r="P353" s="2" t="s">
        <v>43</v>
      </c>
      <c r="Q353" s="2" t="s">
        <v>244</v>
      </c>
      <c r="R353" s="2" t="s">
        <v>245</v>
      </c>
      <c r="S353" s="2">
        <v>1</v>
      </c>
      <c r="T353" s="2">
        <v>16.8</v>
      </c>
      <c r="U353" s="2">
        <v>3.8639999999999999</v>
      </c>
      <c r="V353" s="2">
        <v>20.664000000000001</v>
      </c>
      <c r="W353" s="2">
        <f>9.2346*S353</f>
        <v>9.2346000000000004</v>
      </c>
      <c r="X353" s="5">
        <f t="shared" si="48"/>
        <v>0.45032142857142859</v>
      </c>
      <c r="Z353" s="2" t="s">
        <v>3227</v>
      </c>
      <c r="AA353" s="2" t="s">
        <v>46</v>
      </c>
      <c r="AB353" s="2" t="s">
        <v>56</v>
      </c>
      <c r="AC353" s="2" t="s">
        <v>57</v>
      </c>
      <c r="AF353" s="2">
        <f t="shared" si="46"/>
        <v>0</v>
      </c>
      <c r="AJ353" s="2">
        <f t="shared" si="47"/>
        <v>0</v>
      </c>
      <c r="AK353" s="2">
        <f t="shared" si="49"/>
        <v>7.5654000000000003</v>
      </c>
      <c r="AL353" s="5">
        <f t="shared" si="50"/>
        <v>0.45032142857142859</v>
      </c>
    </row>
    <row r="354" spans="1:38" x14ac:dyDescent="0.2">
      <c r="A354" s="2">
        <v>2025</v>
      </c>
      <c r="B354" s="2">
        <v>2</v>
      </c>
      <c r="D354" s="2" t="s">
        <v>693</v>
      </c>
      <c r="E354" s="2" t="s">
        <v>38</v>
      </c>
      <c r="F354" s="2" t="s">
        <v>39</v>
      </c>
      <c r="G354" s="2">
        <v>508574358</v>
      </c>
      <c r="H354" s="2" t="s">
        <v>41</v>
      </c>
      <c r="I354" s="2" t="s">
        <v>694</v>
      </c>
      <c r="J354" s="2" t="s">
        <v>695</v>
      </c>
      <c r="K354" s="2">
        <v>917295518</v>
      </c>
      <c r="L354" s="2" t="s">
        <v>177</v>
      </c>
      <c r="M354" s="2" t="s">
        <v>41</v>
      </c>
      <c r="P354" s="2" t="s">
        <v>43</v>
      </c>
      <c r="Q354" s="2" t="s">
        <v>246</v>
      </c>
      <c r="R354" s="2" t="s">
        <v>247</v>
      </c>
      <c r="S354" s="2">
        <v>1</v>
      </c>
      <c r="T354" s="2">
        <v>19.2</v>
      </c>
      <c r="U354" s="2">
        <v>4.4160000000000004</v>
      </c>
      <c r="V354" s="2">
        <v>23.616</v>
      </c>
      <c r="W354" s="2">
        <f>10.5267*S354</f>
        <v>10.5267</v>
      </c>
      <c r="X354" s="5">
        <f t="shared" si="48"/>
        <v>0.45173437499999997</v>
      </c>
      <c r="Z354" s="2" t="s">
        <v>3227</v>
      </c>
      <c r="AA354" s="2" t="s">
        <v>46</v>
      </c>
      <c r="AB354" s="2" t="s">
        <v>56</v>
      </c>
      <c r="AC354" s="2" t="s">
        <v>57</v>
      </c>
      <c r="AF354" s="2">
        <f t="shared" si="46"/>
        <v>0</v>
      </c>
      <c r="AJ354" s="2">
        <f t="shared" si="47"/>
        <v>0</v>
      </c>
      <c r="AK354" s="2">
        <f t="shared" si="49"/>
        <v>8.6732999999999993</v>
      </c>
      <c r="AL354" s="5">
        <f t="shared" si="50"/>
        <v>0.45173437499999997</v>
      </c>
    </row>
    <row r="355" spans="1:38" x14ac:dyDescent="0.2">
      <c r="A355" s="2">
        <v>2025</v>
      </c>
      <c r="B355" s="2">
        <v>2</v>
      </c>
      <c r="D355" s="2" t="s">
        <v>693</v>
      </c>
      <c r="E355" s="2" t="s">
        <v>38</v>
      </c>
      <c r="F355" s="2" t="s">
        <v>39</v>
      </c>
      <c r="G355" s="2">
        <v>508574358</v>
      </c>
      <c r="H355" s="2" t="s">
        <v>41</v>
      </c>
      <c r="I355" s="2" t="s">
        <v>694</v>
      </c>
      <c r="J355" s="2" t="s">
        <v>695</v>
      </c>
      <c r="K355" s="2">
        <v>917295518</v>
      </c>
      <c r="L355" s="2" t="s">
        <v>177</v>
      </c>
      <c r="M355" s="2" t="s">
        <v>41</v>
      </c>
      <c r="P355" s="2" t="s">
        <v>43</v>
      </c>
      <c r="Q355" s="2" t="s">
        <v>285</v>
      </c>
      <c r="R355" s="2" t="s">
        <v>286</v>
      </c>
      <c r="S355" s="2">
        <v>1</v>
      </c>
      <c r="T355" s="2">
        <v>22.2</v>
      </c>
      <c r="U355" s="2">
        <v>5.1059999999999999</v>
      </c>
      <c r="V355" s="2">
        <v>27.306000000000001</v>
      </c>
      <c r="W355" s="2">
        <f>12.2604*S355</f>
        <v>12.260400000000001</v>
      </c>
      <c r="X355" s="5">
        <f t="shared" si="48"/>
        <v>0.44772972972972969</v>
      </c>
      <c r="Z355" s="2" t="s">
        <v>3227</v>
      </c>
      <c r="AA355" s="2" t="s">
        <v>46</v>
      </c>
      <c r="AB355" s="2" t="s">
        <v>56</v>
      </c>
      <c r="AC355" s="2" t="s">
        <v>57</v>
      </c>
      <c r="AF355" s="2">
        <f t="shared" si="46"/>
        <v>0</v>
      </c>
      <c r="AJ355" s="2">
        <f t="shared" si="47"/>
        <v>0</v>
      </c>
      <c r="AK355" s="2">
        <f t="shared" si="49"/>
        <v>9.9395999999999987</v>
      </c>
      <c r="AL355" s="5">
        <f t="shared" si="50"/>
        <v>0.44772972972972969</v>
      </c>
    </row>
    <row r="356" spans="1:38" x14ac:dyDescent="0.2">
      <c r="A356" s="2">
        <v>2025</v>
      </c>
      <c r="B356" s="2">
        <v>2</v>
      </c>
      <c r="D356" s="2" t="s">
        <v>693</v>
      </c>
      <c r="E356" s="2" t="s">
        <v>38</v>
      </c>
      <c r="F356" s="2" t="s">
        <v>39</v>
      </c>
      <c r="G356" s="2">
        <v>508574358</v>
      </c>
      <c r="H356" s="2" t="s">
        <v>41</v>
      </c>
      <c r="I356" s="2" t="s">
        <v>694</v>
      </c>
      <c r="J356" s="2" t="s">
        <v>695</v>
      </c>
      <c r="K356" s="2">
        <v>917295518</v>
      </c>
      <c r="L356" s="2" t="s">
        <v>177</v>
      </c>
      <c r="M356" s="2" t="s">
        <v>41</v>
      </c>
      <c r="P356" s="2" t="s">
        <v>43</v>
      </c>
      <c r="Q356" s="2" t="s">
        <v>54</v>
      </c>
      <c r="R356" s="2" t="s">
        <v>55</v>
      </c>
      <c r="S356" s="2">
        <v>1</v>
      </c>
      <c r="T356" s="2">
        <v>19</v>
      </c>
      <c r="U356" s="2">
        <v>4.37</v>
      </c>
      <c r="V356" s="2">
        <v>23.37</v>
      </c>
      <c r="W356" s="2">
        <f>10.6*S356</f>
        <v>10.6</v>
      </c>
      <c r="X356" s="5">
        <f t="shared" si="48"/>
        <v>0.44210526315789478</v>
      </c>
      <c r="Z356" s="2" t="s">
        <v>3227</v>
      </c>
      <c r="AA356" s="2" t="s">
        <v>46</v>
      </c>
      <c r="AB356" s="2" t="s">
        <v>56</v>
      </c>
      <c r="AC356" s="2" t="s">
        <v>57</v>
      </c>
      <c r="AF356" s="2">
        <f t="shared" si="46"/>
        <v>0</v>
      </c>
      <c r="AG356" s="2">
        <v>10.6</v>
      </c>
      <c r="AH356" s="2">
        <v>18</v>
      </c>
      <c r="AJ356" s="2">
        <f t="shared" si="47"/>
        <v>0</v>
      </c>
      <c r="AK356" s="2">
        <f t="shared" si="49"/>
        <v>8.4</v>
      </c>
      <c r="AL356" s="5">
        <f t="shared" si="50"/>
        <v>0.44210526315789478</v>
      </c>
    </row>
    <row r="357" spans="1:38" x14ac:dyDescent="0.2">
      <c r="A357" s="2">
        <v>2025</v>
      </c>
      <c r="B357" s="2">
        <v>2</v>
      </c>
      <c r="D357" s="2" t="s">
        <v>693</v>
      </c>
      <c r="E357" s="2" t="s">
        <v>38</v>
      </c>
      <c r="F357" s="2" t="s">
        <v>39</v>
      </c>
      <c r="G357" s="2">
        <v>508574358</v>
      </c>
      <c r="H357" s="2" t="s">
        <v>41</v>
      </c>
      <c r="I357" s="2" t="s">
        <v>694</v>
      </c>
      <c r="J357" s="2" t="s">
        <v>695</v>
      </c>
      <c r="K357" s="2">
        <v>917295518</v>
      </c>
      <c r="L357" s="2" t="s">
        <v>177</v>
      </c>
      <c r="M357" s="2" t="s">
        <v>41</v>
      </c>
      <c r="O357" s="2" t="s">
        <v>696</v>
      </c>
      <c r="P357" s="2" t="s">
        <v>43</v>
      </c>
      <c r="Q357" s="2" t="s">
        <v>553</v>
      </c>
      <c r="R357" s="2" t="s">
        <v>554</v>
      </c>
      <c r="S357" s="2">
        <v>1</v>
      </c>
      <c r="T357" s="2">
        <v>33</v>
      </c>
      <c r="U357" s="2">
        <v>7.5900000000000007</v>
      </c>
      <c r="V357" s="2">
        <v>40.590000000000003</v>
      </c>
      <c r="W357" s="2">
        <v>15.494999999999999</v>
      </c>
      <c r="X357" s="5">
        <f t="shared" si="48"/>
        <v>0.53045454545454551</v>
      </c>
      <c r="Z357" s="2" t="s">
        <v>3227</v>
      </c>
      <c r="AA357" s="2" t="s">
        <v>46</v>
      </c>
      <c r="AB357" s="2" t="s">
        <v>47</v>
      </c>
      <c r="AC357" s="2" t="s">
        <v>57</v>
      </c>
      <c r="AF357" s="2">
        <f t="shared" si="46"/>
        <v>0</v>
      </c>
      <c r="AG357" s="2">
        <v>15.494999999999999</v>
      </c>
      <c r="AH357" s="2">
        <v>36</v>
      </c>
      <c r="AJ357" s="2">
        <f t="shared" si="47"/>
        <v>0</v>
      </c>
      <c r="AK357" s="2">
        <f t="shared" si="49"/>
        <v>17.505000000000003</v>
      </c>
      <c r="AL357" s="5">
        <f t="shared" si="50"/>
        <v>0.53045454545454551</v>
      </c>
    </row>
    <row r="358" spans="1:38" x14ac:dyDescent="0.2">
      <c r="A358" s="2">
        <v>2025</v>
      </c>
      <c r="B358" s="2">
        <v>2</v>
      </c>
      <c r="D358" s="2" t="s">
        <v>693</v>
      </c>
      <c r="E358" s="2" t="s">
        <v>38</v>
      </c>
      <c r="F358" s="2" t="s">
        <v>39</v>
      </c>
      <c r="G358" s="2">
        <v>508574358</v>
      </c>
      <c r="H358" s="2" t="s">
        <v>41</v>
      </c>
      <c r="I358" s="2" t="s">
        <v>694</v>
      </c>
      <c r="J358" s="2" t="s">
        <v>695</v>
      </c>
      <c r="K358" s="2">
        <v>917295518</v>
      </c>
      <c r="L358" s="2" t="s">
        <v>177</v>
      </c>
      <c r="M358" s="2" t="s">
        <v>41</v>
      </c>
      <c r="P358" s="2" t="s">
        <v>43</v>
      </c>
      <c r="Q358" s="2" t="s">
        <v>164</v>
      </c>
      <c r="R358" s="2" t="s">
        <v>165</v>
      </c>
      <c r="S358" s="2">
        <v>1</v>
      </c>
      <c r="T358" s="2">
        <v>15</v>
      </c>
      <c r="U358" s="2">
        <v>3.45</v>
      </c>
      <c r="V358" s="2">
        <v>18.45</v>
      </c>
      <c r="W358" s="2">
        <f>7.9612*S358</f>
        <v>7.9611999999999998</v>
      </c>
      <c r="X358" s="5">
        <f t="shared" si="48"/>
        <v>0.46925333333333336</v>
      </c>
      <c r="Z358" s="2" t="s">
        <v>3227</v>
      </c>
      <c r="AA358" s="2" t="s">
        <v>46</v>
      </c>
      <c r="AB358" s="2" t="s">
        <v>67</v>
      </c>
      <c r="AC358" s="2" t="s">
        <v>57</v>
      </c>
      <c r="AF358" s="2">
        <f t="shared" si="46"/>
        <v>0</v>
      </c>
      <c r="AG358" s="2">
        <v>7.9611999999999998</v>
      </c>
      <c r="AH358" s="2">
        <v>14.4</v>
      </c>
      <c r="AJ358" s="2">
        <f t="shared" si="47"/>
        <v>0</v>
      </c>
      <c r="AK358" s="2">
        <f t="shared" si="49"/>
        <v>7.0388000000000002</v>
      </c>
      <c r="AL358" s="5">
        <f t="shared" si="50"/>
        <v>0.46925333333333336</v>
      </c>
    </row>
    <row r="359" spans="1:38" x14ac:dyDescent="0.2">
      <c r="A359" s="2">
        <v>2025</v>
      </c>
      <c r="B359" s="2">
        <v>2</v>
      </c>
      <c r="C359" s="2" t="s">
        <v>3308</v>
      </c>
      <c r="D359" s="2" t="s">
        <v>302</v>
      </c>
      <c r="E359" s="2" t="s">
        <v>98</v>
      </c>
      <c r="F359" s="2" t="s">
        <v>39</v>
      </c>
      <c r="L359" s="2" t="s">
        <v>339</v>
      </c>
      <c r="M359" s="2" t="s">
        <v>40</v>
      </c>
      <c r="O359" s="2" t="s">
        <v>697</v>
      </c>
      <c r="P359" s="2" t="s">
        <v>698</v>
      </c>
      <c r="Q359" s="2" t="s">
        <v>699</v>
      </c>
      <c r="R359" s="2" t="s">
        <v>700</v>
      </c>
      <c r="S359" s="2">
        <v>1</v>
      </c>
      <c r="T359" s="2">
        <v>0</v>
      </c>
      <c r="U359" s="2">
        <v>0</v>
      </c>
      <c r="V359" s="2">
        <v>0</v>
      </c>
      <c r="W359" s="2">
        <f>600+14.67</f>
        <v>614.66999999999996</v>
      </c>
      <c r="Z359" s="2" t="s">
        <v>104</v>
      </c>
      <c r="AA359" s="2" t="s">
        <v>578</v>
      </c>
      <c r="AB359" s="2" t="s">
        <v>701</v>
      </c>
      <c r="AC359" s="2" t="s">
        <v>698</v>
      </c>
      <c r="AF359" s="2">
        <f t="shared" si="46"/>
        <v>0</v>
      </c>
      <c r="AJ359" s="2">
        <f t="shared" si="47"/>
        <v>0</v>
      </c>
      <c r="AK359" s="2">
        <f t="shared" si="49"/>
        <v>-614.66999999999996</v>
      </c>
    </row>
    <row r="360" spans="1:38" x14ac:dyDescent="0.2">
      <c r="A360" s="2">
        <v>2025</v>
      </c>
      <c r="B360" s="2">
        <v>2</v>
      </c>
      <c r="C360" s="2" t="s">
        <v>3308</v>
      </c>
      <c r="D360" s="2" t="s">
        <v>302</v>
      </c>
      <c r="E360" s="2" t="s">
        <v>98</v>
      </c>
      <c r="F360" s="2" t="s">
        <v>39</v>
      </c>
      <c r="L360" s="2" t="s">
        <v>339</v>
      </c>
      <c r="M360" s="2" t="s">
        <v>40</v>
      </c>
      <c r="P360" s="2" t="s">
        <v>698</v>
      </c>
      <c r="Q360" s="2" t="s">
        <v>702</v>
      </c>
      <c r="R360" s="2" t="s">
        <v>703</v>
      </c>
      <c r="S360" s="2">
        <v>1</v>
      </c>
      <c r="T360" s="2">
        <v>3060</v>
      </c>
      <c r="U360" s="2">
        <v>703.80000000000007</v>
      </c>
      <c r="V360" s="2">
        <v>3763.8</v>
      </c>
      <c r="W360" s="2">
        <v>2023.2</v>
      </c>
      <c r="X360" s="5">
        <f t="shared" ref="X360:X399" si="51">(T360-W360)/T360</f>
        <v>0.33882352941176469</v>
      </c>
      <c r="Z360" s="2" t="s">
        <v>104</v>
      </c>
      <c r="AA360" s="2" t="s">
        <v>150</v>
      </c>
      <c r="AB360" s="2" t="s">
        <v>151</v>
      </c>
      <c r="AC360" s="2" t="s">
        <v>698</v>
      </c>
      <c r="AF360" s="2">
        <f t="shared" si="46"/>
        <v>0</v>
      </c>
      <c r="AJ360" s="2">
        <f t="shared" si="47"/>
        <v>0</v>
      </c>
      <c r="AK360" s="2">
        <f t="shared" si="49"/>
        <v>1036.8</v>
      </c>
      <c r="AL360" s="5">
        <f t="shared" si="50"/>
        <v>0.33882352941176469</v>
      </c>
    </row>
    <row r="361" spans="1:38" x14ac:dyDescent="0.2">
      <c r="A361" s="2">
        <v>2025</v>
      </c>
      <c r="B361" s="2">
        <v>2</v>
      </c>
      <c r="C361" s="2" t="s">
        <v>3308</v>
      </c>
      <c r="D361" s="2" t="s">
        <v>302</v>
      </c>
      <c r="E361" s="2" t="s">
        <v>98</v>
      </c>
      <c r="F361" s="2" t="s">
        <v>39</v>
      </c>
      <c r="L361" s="2" t="s">
        <v>339</v>
      </c>
      <c r="M361" s="2" t="s">
        <v>40</v>
      </c>
      <c r="P361" s="2" t="s">
        <v>698</v>
      </c>
      <c r="Q361" s="2" t="s">
        <v>704</v>
      </c>
      <c r="R361" s="2" t="s">
        <v>705</v>
      </c>
      <c r="S361" s="2">
        <v>1</v>
      </c>
      <c r="T361" s="2">
        <v>2252.5</v>
      </c>
      <c r="U361" s="2">
        <v>518.07500000000005</v>
      </c>
      <c r="V361" s="2">
        <v>2770.5749999999998</v>
      </c>
      <c r="W361" s="2">
        <v>1229.3399999999999</v>
      </c>
      <c r="X361" s="5">
        <f t="shared" si="51"/>
        <v>0.45423307436182025</v>
      </c>
      <c r="Z361" s="2" t="s">
        <v>104</v>
      </c>
      <c r="AA361" s="2" t="s">
        <v>616</v>
      </c>
      <c r="AB361" s="2" t="s">
        <v>151</v>
      </c>
      <c r="AC361" s="2" t="s">
        <v>698</v>
      </c>
      <c r="AF361" s="2">
        <f t="shared" si="46"/>
        <v>0</v>
      </c>
      <c r="AJ361" s="2">
        <f t="shared" si="47"/>
        <v>0</v>
      </c>
      <c r="AK361" s="2">
        <f t="shared" ref="AK361:AK392" si="52">T361-W361</f>
        <v>1023.1600000000001</v>
      </c>
      <c r="AL361" s="5">
        <f t="shared" ref="AL361:AL392" si="53">(T361-W361)/T361</f>
        <v>0.45423307436182025</v>
      </c>
    </row>
    <row r="362" spans="1:38" x14ac:dyDescent="0.2">
      <c r="A362" s="2">
        <v>2025</v>
      </c>
      <c r="B362" s="2">
        <v>2</v>
      </c>
      <c r="D362" s="2" t="s">
        <v>706</v>
      </c>
      <c r="E362" s="2" t="s">
        <v>183</v>
      </c>
      <c r="G362" s="2">
        <v>500038996</v>
      </c>
      <c r="H362" s="2" t="s">
        <v>109</v>
      </c>
      <c r="I362" s="2" t="s">
        <v>707</v>
      </c>
      <c r="J362" s="2" t="s">
        <v>708</v>
      </c>
      <c r="K362" s="2">
        <v>913640179</v>
      </c>
      <c r="L362" s="2" t="s">
        <v>133</v>
      </c>
      <c r="M362" s="2" t="s">
        <v>109</v>
      </c>
      <c r="P362" s="2" t="s">
        <v>114</v>
      </c>
      <c r="Q362" s="16" t="s">
        <v>709</v>
      </c>
      <c r="R362" s="2" t="s">
        <v>710</v>
      </c>
      <c r="S362" s="2">
        <v>1</v>
      </c>
      <c r="T362" s="2">
        <v>1600</v>
      </c>
      <c r="U362" s="2">
        <v>368</v>
      </c>
      <c r="V362" s="2">
        <v>1968</v>
      </c>
      <c r="W362" s="2">
        <v>1244.2445</v>
      </c>
      <c r="X362" s="5">
        <f t="shared" si="51"/>
        <v>0.22234718749999999</v>
      </c>
      <c r="Z362" s="2" t="s">
        <v>104</v>
      </c>
      <c r="AA362" s="2" t="s">
        <v>578</v>
      </c>
      <c r="AB362" s="2" t="s">
        <v>701</v>
      </c>
      <c r="AC362" s="2" t="s">
        <v>114</v>
      </c>
      <c r="AF362" s="2">
        <f t="shared" si="46"/>
        <v>0</v>
      </c>
      <c r="AJ362" s="2">
        <f t="shared" si="47"/>
        <v>0</v>
      </c>
      <c r="AK362" s="2">
        <f t="shared" si="52"/>
        <v>355.75549999999998</v>
      </c>
      <c r="AL362" s="5">
        <f t="shared" si="53"/>
        <v>0.22234718749999999</v>
      </c>
    </row>
    <row r="363" spans="1:38" x14ac:dyDescent="0.2">
      <c r="A363" s="2">
        <v>2025</v>
      </c>
      <c r="B363" s="2">
        <v>2</v>
      </c>
      <c r="D363" s="2" t="s">
        <v>706</v>
      </c>
      <c r="E363" s="2" t="s">
        <v>183</v>
      </c>
      <c r="G363" s="2">
        <v>500038996</v>
      </c>
      <c r="H363" s="2" t="s">
        <v>109</v>
      </c>
      <c r="I363" s="2" t="s">
        <v>707</v>
      </c>
      <c r="J363" s="2" t="s">
        <v>708</v>
      </c>
      <c r="K363" s="2">
        <v>913640179</v>
      </c>
      <c r="L363" s="2" t="s">
        <v>133</v>
      </c>
      <c r="M363" s="2" t="s">
        <v>109</v>
      </c>
      <c r="P363" s="2" t="s">
        <v>114</v>
      </c>
      <c r="Q363" s="2" t="s">
        <v>711</v>
      </c>
      <c r="R363" s="2" t="s">
        <v>712</v>
      </c>
      <c r="S363" s="2">
        <v>1</v>
      </c>
      <c r="T363" s="2">
        <v>5500</v>
      </c>
      <c r="U363" s="2">
        <v>1265</v>
      </c>
      <c r="V363" s="2">
        <v>6765</v>
      </c>
      <c r="W363" s="2">
        <f>3943.8+110.44</f>
        <v>4054.2400000000002</v>
      </c>
      <c r="X363" s="5">
        <f t="shared" si="51"/>
        <v>0.26286545454545451</v>
      </c>
      <c r="Z363" s="2" t="s">
        <v>104</v>
      </c>
      <c r="AA363" s="2" t="s">
        <v>616</v>
      </c>
      <c r="AB363" s="2" t="s">
        <v>3491</v>
      </c>
      <c r="AC363" s="2" t="s">
        <v>114</v>
      </c>
      <c r="AF363" s="2">
        <f t="shared" si="46"/>
        <v>0</v>
      </c>
      <c r="AJ363" s="2">
        <f t="shared" si="47"/>
        <v>0</v>
      </c>
      <c r="AK363" s="2">
        <f t="shared" si="52"/>
        <v>1445.7599999999998</v>
      </c>
      <c r="AL363" s="5">
        <f t="shared" si="53"/>
        <v>0.26286545454545451</v>
      </c>
    </row>
    <row r="364" spans="1:38" x14ac:dyDescent="0.2">
      <c r="A364" s="2">
        <v>2025</v>
      </c>
      <c r="B364" s="2">
        <v>2</v>
      </c>
      <c r="D364" s="2" t="s">
        <v>706</v>
      </c>
      <c r="E364" s="2" t="s">
        <v>183</v>
      </c>
      <c r="G364" s="2">
        <v>500038996</v>
      </c>
      <c r="H364" s="2" t="s">
        <v>109</v>
      </c>
      <c r="I364" s="2" t="s">
        <v>707</v>
      </c>
      <c r="J364" s="2" t="s">
        <v>708</v>
      </c>
      <c r="K364" s="2">
        <v>913640179</v>
      </c>
      <c r="L364" s="2" t="s">
        <v>133</v>
      </c>
      <c r="M364" s="2" t="s">
        <v>109</v>
      </c>
      <c r="P364" s="2" t="s">
        <v>114</v>
      </c>
      <c r="Q364" s="2" t="s">
        <v>713</v>
      </c>
      <c r="R364" s="2" t="s">
        <v>714</v>
      </c>
      <c r="S364" s="2">
        <v>1</v>
      </c>
      <c r="T364" s="2">
        <v>3400</v>
      </c>
      <c r="U364" s="2">
        <v>782</v>
      </c>
      <c r="V364" s="2">
        <v>4182</v>
      </c>
      <c r="W364" s="2">
        <f>2511.6+70.33</f>
        <v>2581.9299999999998</v>
      </c>
      <c r="X364" s="5">
        <f t="shared" si="51"/>
        <v>0.24060882352941182</v>
      </c>
      <c r="Z364" s="2" t="s">
        <v>104</v>
      </c>
      <c r="AA364" s="2" t="s">
        <v>150</v>
      </c>
      <c r="AB364" s="2" t="s">
        <v>151</v>
      </c>
      <c r="AC364" s="2" t="s">
        <v>114</v>
      </c>
      <c r="AF364" s="2">
        <f t="shared" si="46"/>
        <v>0</v>
      </c>
      <c r="AJ364" s="2">
        <f t="shared" si="47"/>
        <v>0</v>
      </c>
      <c r="AK364" s="2">
        <f t="shared" si="52"/>
        <v>818.07000000000016</v>
      </c>
      <c r="AL364" s="5">
        <f t="shared" si="53"/>
        <v>0.24060882352941182</v>
      </c>
    </row>
    <row r="365" spans="1:38" x14ac:dyDescent="0.2">
      <c r="A365" s="2">
        <v>2025</v>
      </c>
      <c r="B365" s="2">
        <v>2</v>
      </c>
      <c r="D365" s="2" t="s">
        <v>715</v>
      </c>
      <c r="E365" s="2" t="s">
        <v>108</v>
      </c>
      <c r="F365" s="2" t="s">
        <v>39</v>
      </c>
      <c r="L365" s="2" t="s">
        <v>344</v>
      </c>
      <c r="M365" s="2" t="s">
        <v>40</v>
      </c>
      <c r="P365" s="2" t="s">
        <v>114</v>
      </c>
      <c r="Q365" s="2" t="s">
        <v>514</v>
      </c>
      <c r="R365" s="2" t="s">
        <v>515</v>
      </c>
      <c r="S365" s="2">
        <v>1</v>
      </c>
      <c r="T365" s="2">
        <v>257.64999999999998</v>
      </c>
      <c r="U365" s="2">
        <v>59.259500000000003</v>
      </c>
      <c r="V365" s="2">
        <v>316.90949999999998</v>
      </c>
      <c r="W365" s="2">
        <v>139.46600000000001</v>
      </c>
      <c r="X365" s="5">
        <f t="shared" si="51"/>
        <v>0.45869978653211713</v>
      </c>
      <c r="Z365" s="2" t="s">
        <v>117</v>
      </c>
      <c r="AA365" s="2" t="s">
        <v>118</v>
      </c>
      <c r="AB365" s="2" t="s">
        <v>119</v>
      </c>
      <c r="AC365" s="2" t="s">
        <v>114</v>
      </c>
      <c r="AF365" s="2">
        <f t="shared" si="46"/>
        <v>0</v>
      </c>
      <c r="AJ365" s="2">
        <f t="shared" si="47"/>
        <v>0</v>
      </c>
      <c r="AK365" s="2">
        <f t="shared" si="52"/>
        <v>118.18399999999997</v>
      </c>
      <c r="AL365" s="5">
        <f t="shared" si="53"/>
        <v>0.45869978653211713</v>
      </c>
    </row>
    <row r="366" spans="1:38" x14ac:dyDescent="0.2">
      <c r="A366" s="2">
        <v>2025</v>
      </c>
      <c r="B366" s="2">
        <v>2</v>
      </c>
      <c r="D366" s="2" t="s">
        <v>715</v>
      </c>
      <c r="E366" s="2" t="s">
        <v>108</v>
      </c>
      <c r="F366" s="2" t="s">
        <v>39</v>
      </c>
      <c r="L366" s="2" t="s">
        <v>344</v>
      </c>
      <c r="M366" s="2" t="s">
        <v>40</v>
      </c>
      <c r="P366" s="2" t="s">
        <v>187</v>
      </c>
      <c r="Q366" s="2" t="s">
        <v>191</v>
      </c>
      <c r="R366" s="2" t="s">
        <v>190</v>
      </c>
      <c r="S366" s="2">
        <v>1</v>
      </c>
      <c r="T366" s="2">
        <v>37.5</v>
      </c>
      <c r="U366" s="2">
        <v>8.625</v>
      </c>
      <c r="V366" s="2">
        <v>46.125</v>
      </c>
      <c r="W366" s="2">
        <f>T366*50%</f>
        <v>18.75</v>
      </c>
      <c r="X366" s="5">
        <f t="shared" si="51"/>
        <v>0.5</v>
      </c>
      <c r="Z366" s="2" t="s">
        <v>117</v>
      </c>
      <c r="AA366" s="2" t="s">
        <v>190</v>
      </c>
      <c r="AB366" s="2" t="s">
        <v>190</v>
      </c>
      <c r="AC366" s="2" t="s">
        <v>40</v>
      </c>
      <c r="AF366" s="2">
        <f t="shared" si="46"/>
        <v>0</v>
      </c>
      <c r="AJ366" s="2">
        <f t="shared" si="47"/>
        <v>0</v>
      </c>
      <c r="AK366" s="2">
        <f t="shared" si="52"/>
        <v>18.75</v>
      </c>
      <c r="AL366" s="5">
        <f t="shared" si="53"/>
        <v>0.5</v>
      </c>
    </row>
    <row r="367" spans="1:38" x14ac:dyDescent="0.2">
      <c r="A367" s="2">
        <v>2025</v>
      </c>
      <c r="B367" s="2">
        <v>2</v>
      </c>
      <c r="D367" s="2" t="s">
        <v>716</v>
      </c>
      <c r="E367" s="2" t="s">
        <v>108</v>
      </c>
      <c r="F367" s="2" t="s">
        <v>717</v>
      </c>
      <c r="G367" s="2">
        <v>500042063</v>
      </c>
      <c r="H367" s="2" t="s">
        <v>109</v>
      </c>
      <c r="I367" s="2" t="s">
        <v>112</v>
      </c>
      <c r="J367" s="2" t="s">
        <v>718</v>
      </c>
      <c r="L367" s="2" t="s">
        <v>112</v>
      </c>
      <c r="M367" s="2" t="s">
        <v>40</v>
      </c>
      <c r="O367" s="2" t="s">
        <v>719</v>
      </c>
      <c r="P367" s="2" t="s">
        <v>114</v>
      </c>
      <c r="Q367" s="2" t="s">
        <v>720</v>
      </c>
      <c r="R367" s="2" t="s">
        <v>721</v>
      </c>
      <c r="S367" s="2">
        <v>1</v>
      </c>
      <c r="T367" s="2">
        <v>309.86</v>
      </c>
      <c r="U367" s="2">
        <v>71.267800000000008</v>
      </c>
      <c r="V367" s="2">
        <v>381.12779999999998</v>
      </c>
      <c r="W367" s="2">
        <v>175.38</v>
      </c>
      <c r="X367" s="5">
        <f t="shared" si="51"/>
        <v>0.43400245272058352</v>
      </c>
      <c r="Z367" s="2" t="s">
        <v>117</v>
      </c>
      <c r="AA367" s="2" t="s">
        <v>118</v>
      </c>
      <c r="AB367" s="2" t="s">
        <v>119</v>
      </c>
      <c r="AC367" s="2" t="s">
        <v>114</v>
      </c>
      <c r="AF367" s="2">
        <f t="shared" si="46"/>
        <v>0</v>
      </c>
      <c r="AJ367" s="2">
        <f t="shared" si="47"/>
        <v>0</v>
      </c>
      <c r="AK367" s="2">
        <f t="shared" si="52"/>
        <v>134.48000000000002</v>
      </c>
      <c r="AL367" s="5">
        <f t="shared" si="53"/>
        <v>0.43400245272058352</v>
      </c>
    </row>
    <row r="368" spans="1:38" x14ac:dyDescent="0.2">
      <c r="A368" s="2">
        <v>2025</v>
      </c>
      <c r="B368" s="2">
        <v>2</v>
      </c>
      <c r="D368" s="2" t="s">
        <v>716</v>
      </c>
      <c r="E368" s="2" t="s">
        <v>108</v>
      </c>
      <c r="F368" s="2" t="s">
        <v>717</v>
      </c>
      <c r="G368" s="2">
        <v>500042063</v>
      </c>
      <c r="H368" s="2" t="s">
        <v>109</v>
      </c>
      <c r="I368" s="2" t="s">
        <v>112</v>
      </c>
      <c r="J368" s="2" t="s">
        <v>718</v>
      </c>
      <c r="L368" s="2" t="s">
        <v>112</v>
      </c>
      <c r="M368" s="2" t="s">
        <v>40</v>
      </c>
      <c r="O368" s="2" t="s">
        <v>719</v>
      </c>
      <c r="P368" s="2" t="s">
        <v>187</v>
      </c>
      <c r="Q368" s="2" t="s">
        <v>188</v>
      </c>
      <c r="R368" s="2" t="s">
        <v>189</v>
      </c>
      <c r="S368" s="2">
        <v>1</v>
      </c>
      <c r="T368" s="2">
        <v>98.25</v>
      </c>
      <c r="U368" s="2">
        <v>22.5975</v>
      </c>
      <c r="V368" s="2">
        <v>120.8475</v>
      </c>
      <c r="W368" s="2">
        <f>T368*40%</f>
        <v>39.300000000000004</v>
      </c>
      <c r="X368" s="5">
        <f t="shared" si="51"/>
        <v>0.6</v>
      </c>
      <c r="Z368" s="2" t="s">
        <v>117</v>
      </c>
      <c r="AA368" s="2" t="s">
        <v>190</v>
      </c>
      <c r="AB368" s="2" t="s">
        <v>189</v>
      </c>
      <c r="AC368" s="2" t="s">
        <v>40</v>
      </c>
      <c r="AF368" s="2">
        <f t="shared" si="46"/>
        <v>0</v>
      </c>
      <c r="AJ368" s="2">
        <f t="shared" si="47"/>
        <v>0</v>
      </c>
      <c r="AK368" s="2">
        <f t="shared" si="52"/>
        <v>58.949999999999996</v>
      </c>
      <c r="AL368" s="5">
        <f t="shared" si="53"/>
        <v>0.6</v>
      </c>
    </row>
    <row r="369" spans="1:38" x14ac:dyDescent="0.2">
      <c r="A369" s="2">
        <v>2025</v>
      </c>
      <c r="B369" s="2">
        <v>2</v>
      </c>
      <c r="D369" s="2" t="s">
        <v>716</v>
      </c>
      <c r="E369" s="2" t="s">
        <v>108</v>
      </c>
      <c r="F369" s="2" t="s">
        <v>717</v>
      </c>
      <c r="G369" s="2">
        <v>500042063</v>
      </c>
      <c r="H369" s="2" t="s">
        <v>109</v>
      </c>
      <c r="I369" s="2" t="s">
        <v>112</v>
      </c>
      <c r="J369" s="2" t="s">
        <v>718</v>
      </c>
      <c r="L369" s="2" t="s">
        <v>112</v>
      </c>
      <c r="M369" s="2" t="s">
        <v>40</v>
      </c>
      <c r="O369" s="2" t="s">
        <v>719</v>
      </c>
      <c r="P369" s="2" t="s">
        <v>187</v>
      </c>
      <c r="Q369" s="2" t="s">
        <v>191</v>
      </c>
      <c r="R369" s="2" t="s">
        <v>190</v>
      </c>
      <c r="S369" s="2">
        <v>2</v>
      </c>
      <c r="T369" s="2">
        <v>90</v>
      </c>
      <c r="U369" s="2">
        <v>20.7</v>
      </c>
      <c r="V369" s="2">
        <v>110.7</v>
      </c>
      <c r="W369" s="2">
        <f>T369*50%</f>
        <v>45</v>
      </c>
      <c r="X369" s="5">
        <f t="shared" si="51"/>
        <v>0.5</v>
      </c>
      <c r="Z369" s="2" t="s">
        <v>117</v>
      </c>
      <c r="AA369" s="2" t="s">
        <v>190</v>
      </c>
      <c r="AB369" s="2" t="s">
        <v>190</v>
      </c>
      <c r="AC369" s="2" t="s">
        <v>40</v>
      </c>
      <c r="AF369" s="2">
        <f t="shared" si="46"/>
        <v>0</v>
      </c>
      <c r="AJ369" s="2">
        <f t="shared" si="47"/>
        <v>0</v>
      </c>
      <c r="AK369" s="2">
        <f t="shared" si="52"/>
        <v>45</v>
      </c>
      <c r="AL369" s="5">
        <f t="shared" si="53"/>
        <v>0.5</v>
      </c>
    </row>
    <row r="370" spans="1:38" x14ac:dyDescent="0.2">
      <c r="A370" s="2">
        <v>2025</v>
      </c>
      <c r="B370" s="2">
        <v>2</v>
      </c>
      <c r="D370" s="2" t="s">
        <v>297</v>
      </c>
      <c r="E370" s="2" t="s">
        <v>38</v>
      </c>
      <c r="F370" s="2" t="s">
        <v>39</v>
      </c>
      <c r="G370" s="2">
        <v>510939570</v>
      </c>
      <c r="H370" s="2" t="s">
        <v>41</v>
      </c>
      <c r="I370" s="2" t="s">
        <v>298</v>
      </c>
      <c r="J370" s="2" t="s">
        <v>299</v>
      </c>
      <c r="K370" s="2">
        <v>962678129</v>
      </c>
      <c r="L370" s="2" t="s">
        <v>177</v>
      </c>
      <c r="M370" s="2" t="s">
        <v>41</v>
      </c>
      <c r="O370" s="2" t="s">
        <v>722</v>
      </c>
      <c r="P370" s="2" t="s">
        <v>282</v>
      </c>
      <c r="Q370" s="2" t="s">
        <v>496</v>
      </c>
      <c r="R370" s="2" t="s">
        <v>497</v>
      </c>
      <c r="S370" s="2">
        <v>1</v>
      </c>
      <c r="T370" s="2">
        <v>89</v>
      </c>
      <c r="U370" s="2">
        <v>20.47</v>
      </c>
      <c r="V370" s="2">
        <v>109.47</v>
      </c>
      <c r="W370" s="2">
        <v>62.3</v>
      </c>
      <c r="X370" s="5">
        <f t="shared" si="51"/>
        <v>0.30000000000000004</v>
      </c>
      <c r="Z370" s="2" t="s">
        <v>3227</v>
      </c>
      <c r="AA370" s="2" t="s">
        <v>71</v>
      </c>
      <c r="AB370" s="2" t="s">
        <v>119</v>
      </c>
      <c r="AC370" s="2" t="s">
        <v>119</v>
      </c>
      <c r="AF370" s="2">
        <f t="shared" si="46"/>
        <v>0</v>
      </c>
      <c r="AJ370" s="2">
        <f t="shared" si="47"/>
        <v>0</v>
      </c>
      <c r="AK370" s="2">
        <f t="shared" si="52"/>
        <v>26.700000000000003</v>
      </c>
      <c r="AL370" s="5">
        <f t="shared" si="53"/>
        <v>0.30000000000000004</v>
      </c>
    </row>
    <row r="371" spans="1:38" x14ac:dyDescent="0.2">
      <c r="A371" s="2">
        <v>2025</v>
      </c>
      <c r="B371" s="2">
        <v>2</v>
      </c>
      <c r="D371" s="2" t="s">
        <v>297</v>
      </c>
      <c r="E371" s="2" t="s">
        <v>38</v>
      </c>
      <c r="F371" s="2" t="s">
        <v>39</v>
      </c>
      <c r="G371" s="2">
        <v>510939570</v>
      </c>
      <c r="H371" s="2" t="s">
        <v>41</v>
      </c>
      <c r="I371" s="2" t="s">
        <v>298</v>
      </c>
      <c r="J371" s="2" t="s">
        <v>299</v>
      </c>
      <c r="K371" s="2">
        <v>962678129</v>
      </c>
      <c r="L371" s="2" t="s">
        <v>177</v>
      </c>
      <c r="M371" s="2" t="s">
        <v>41</v>
      </c>
      <c r="O371" s="2" t="s">
        <v>722</v>
      </c>
      <c r="P371" s="2" t="s">
        <v>282</v>
      </c>
      <c r="Q371" s="2" t="s">
        <v>723</v>
      </c>
      <c r="R371" s="2" t="s">
        <v>724</v>
      </c>
      <c r="S371" s="2">
        <v>3</v>
      </c>
      <c r="T371" s="2">
        <v>7.39</v>
      </c>
      <c r="U371" s="2">
        <v>1.6997</v>
      </c>
      <c r="V371" s="2">
        <v>9.0897000000000006</v>
      </c>
      <c r="W371" s="2">
        <f>2.1567</f>
        <v>2.1566999999999998</v>
      </c>
      <c r="X371" s="5">
        <f t="shared" si="51"/>
        <v>0.70815967523680645</v>
      </c>
      <c r="Z371" s="2" t="s">
        <v>3227</v>
      </c>
      <c r="AA371" s="2" t="s">
        <v>71</v>
      </c>
      <c r="AB371" s="2" t="s">
        <v>119</v>
      </c>
      <c r="AC371" s="2" t="s">
        <v>119</v>
      </c>
      <c r="AF371" s="2">
        <f t="shared" si="46"/>
        <v>0</v>
      </c>
      <c r="AJ371" s="2">
        <f t="shared" si="47"/>
        <v>0</v>
      </c>
      <c r="AK371" s="2">
        <f t="shared" si="52"/>
        <v>5.2332999999999998</v>
      </c>
      <c r="AL371" s="5">
        <f t="shared" si="53"/>
        <v>0.70815967523680645</v>
      </c>
    </row>
    <row r="372" spans="1:38" x14ac:dyDescent="0.2">
      <c r="A372" s="2">
        <v>2025</v>
      </c>
      <c r="B372" s="2">
        <v>2</v>
      </c>
      <c r="D372" s="2" t="s">
        <v>297</v>
      </c>
      <c r="E372" s="2" t="s">
        <v>38</v>
      </c>
      <c r="F372" s="2" t="s">
        <v>39</v>
      </c>
      <c r="G372" s="2">
        <v>510939570</v>
      </c>
      <c r="H372" s="2" t="s">
        <v>41</v>
      </c>
      <c r="I372" s="2" t="s">
        <v>298</v>
      </c>
      <c r="J372" s="2" t="s">
        <v>299</v>
      </c>
      <c r="K372" s="2">
        <v>962678129</v>
      </c>
      <c r="L372" s="2" t="s">
        <v>177</v>
      </c>
      <c r="M372" s="2" t="s">
        <v>41</v>
      </c>
      <c r="O372" s="2" t="s">
        <v>725</v>
      </c>
      <c r="P372" s="2" t="s">
        <v>282</v>
      </c>
      <c r="Q372" s="2" t="s">
        <v>434</v>
      </c>
      <c r="R372" s="2" t="s">
        <v>435</v>
      </c>
      <c r="S372" s="2">
        <v>1</v>
      </c>
      <c r="T372" s="2">
        <v>595</v>
      </c>
      <c r="U372" s="2">
        <v>136.85</v>
      </c>
      <c r="V372" s="2">
        <v>731.85</v>
      </c>
      <c r="W372" s="2">
        <v>417</v>
      </c>
      <c r="X372" s="5">
        <f t="shared" si="51"/>
        <v>0.29915966386554621</v>
      </c>
      <c r="Z372" s="2" t="s">
        <v>104</v>
      </c>
      <c r="AA372" s="2" t="s">
        <v>387</v>
      </c>
      <c r="AB372" s="2" t="s">
        <v>388</v>
      </c>
      <c r="AC372" s="2" t="s">
        <v>389</v>
      </c>
      <c r="AF372" s="2">
        <f t="shared" si="46"/>
        <v>0</v>
      </c>
      <c r="AJ372" s="2">
        <f t="shared" si="47"/>
        <v>0</v>
      </c>
      <c r="AK372" s="2">
        <f t="shared" si="52"/>
        <v>178</v>
      </c>
      <c r="AL372" s="5">
        <f t="shared" si="53"/>
        <v>0.29915966386554621</v>
      </c>
    </row>
    <row r="373" spans="1:38" x14ac:dyDescent="0.2">
      <c r="A373" s="2">
        <v>2025</v>
      </c>
      <c r="B373" s="2">
        <v>2</v>
      </c>
      <c r="D373" s="2" t="s">
        <v>297</v>
      </c>
      <c r="E373" s="2" t="s">
        <v>38</v>
      </c>
      <c r="F373" s="2" t="s">
        <v>39</v>
      </c>
      <c r="G373" s="2">
        <v>510939570</v>
      </c>
      <c r="H373" s="2" t="s">
        <v>41</v>
      </c>
      <c r="I373" s="2" t="s">
        <v>298</v>
      </c>
      <c r="J373" s="2" t="s">
        <v>299</v>
      </c>
      <c r="K373" s="2">
        <v>962678129</v>
      </c>
      <c r="L373" s="2" t="s">
        <v>177</v>
      </c>
      <c r="M373" s="2" t="s">
        <v>41</v>
      </c>
      <c r="O373" s="2" t="s">
        <v>726</v>
      </c>
      <c r="P373" s="2" t="s">
        <v>72</v>
      </c>
      <c r="Q373" s="2" t="s">
        <v>727</v>
      </c>
      <c r="R373" s="2" t="s">
        <v>197</v>
      </c>
      <c r="S373" s="2">
        <v>1</v>
      </c>
      <c r="T373" s="2">
        <v>250</v>
      </c>
      <c r="U373" s="2">
        <v>57.5</v>
      </c>
      <c r="V373" s="2">
        <v>307.5</v>
      </c>
      <c r="W373" s="2">
        <f>132.55+8.31</f>
        <v>140.86000000000001</v>
      </c>
      <c r="X373" s="5">
        <f t="shared" si="51"/>
        <v>0.43655999999999995</v>
      </c>
      <c r="Z373" s="2" t="s">
        <v>3227</v>
      </c>
      <c r="AA373" s="2" t="s">
        <v>75</v>
      </c>
      <c r="AB373" s="2" t="s">
        <v>76</v>
      </c>
      <c r="AC373" s="2" t="s">
        <v>77</v>
      </c>
      <c r="AF373" s="2">
        <f t="shared" si="46"/>
        <v>0</v>
      </c>
      <c r="AJ373" s="2">
        <f t="shared" si="47"/>
        <v>0</v>
      </c>
      <c r="AK373" s="2">
        <f t="shared" si="52"/>
        <v>109.13999999999999</v>
      </c>
      <c r="AL373" s="5">
        <f t="shared" si="53"/>
        <v>0.43655999999999995</v>
      </c>
    </row>
    <row r="374" spans="1:38" x14ac:dyDescent="0.2">
      <c r="A374" s="2">
        <v>2025</v>
      </c>
      <c r="B374" s="2">
        <v>2</v>
      </c>
      <c r="D374" s="2" t="s">
        <v>297</v>
      </c>
      <c r="E374" s="2" t="s">
        <v>38</v>
      </c>
      <c r="F374" s="2" t="s">
        <v>39</v>
      </c>
      <c r="G374" s="2">
        <v>510939570</v>
      </c>
      <c r="H374" s="2" t="s">
        <v>41</v>
      </c>
      <c r="I374" s="2" t="s">
        <v>298</v>
      </c>
      <c r="J374" s="2" t="s">
        <v>299</v>
      </c>
      <c r="K374" s="2">
        <v>962678129</v>
      </c>
      <c r="L374" s="2" t="s">
        <v>177</v>
      </c>
      <c r="M374" s="2" t="s">
        <v>41</v>
      </c>
      <c r="O374" s="2" t="s">
        <v>726</v>
      </c>
      <c r="P374" s="2" t="s">
        <v>93</v>
      </c>
      <c r="Q374" s="2" t="s">
        <v>94</v>
      </c>
      <c r="R374" s="2" t="s">
        <v>95</v>
      </c>
      <c r="S374" s="2">
        <v>1</v>
      </c>
      <c r="T374" s="2">
        <v>1.1399999999999999</v>
      </c>
      <c r="U374" s="2">
        <v>0.26219999999999999</v>
      </c>
      <c r="V374" s="2">
        <v>1.4021999999999999</v>
      </c>
      <c r="W374" s="2">
        <v>1.1399999999999999</v>
      </c>
      <c r="X374" s="5">
        <f t="shared" si="51"/>
        <v>0</v>
      </c>
      <c r="Z374" s="2" t="s">
        <v>3227</v>
      </c>
      <c r="AA374" s="2" t="s">
        <v>96</v>
      </c>
      <c r="AB374" s="2" t="s">
        <v>76</v>
      </c>
      <c r="AC374" s="2" t="s">
        <v>93</v>
      </c>
      <c r="AF374" s="2">
        <f t="shared" si="46"/>
        <v>0</v>
      </c>
      <c r="AJ374" s="2">
        <f t="shared" si="47"/>
        <v>0</v>
      </c>
      <c r="AK374" s="2">
        <f t="shared" si="52"/>
        <v>0</v>
      </c>
      <c r="AL374" s="5">
        <f t="shared" si="53"/>
        <v>0</v>
      </c>
    </row>
    <row r="375" spans="1:38" x14ac:dyDescent="0.2">
      <c r="A375" s="2">
        <v>2025</v>
      </c>
      <c r="B375" s="2">
        <v>2</v>
      </c>
      <c r="D375" s="2" t="s">
        <v>728</v>
      </c>
      <c r="P375" s="2" t="s">
        <v>72</v>
      </c>
      <c r="Q375" s="2" t="s">
        <v>325</v>
      </c>
      <c r="R375" s="2" t="s">
        <v>79</v>
      </c>
      <c r="S375" s="2">
        <v>1</v>
      </c>
      <c r="T375" s="2">
        <v>184</v>
      </c>
      <c r="U375" s="2">
        <v>42.32</v>
      </c>
      <c r="V375" s="2">
        <v>226.32</v>
      </c>
      <c r="W375" s="2">
        <f>110.68*S375</f>
        <v>110.68</v>
      </c>
      <c r="X375" s="5">
        <f t="shared" si="51"/>
        <v>0.39847826086956517</v>
      </c>
      <c r="Z375" s="2" t="s">
        <v>3227</v>
      </c>
      <c r="AA375" s="2" t="s">
        <v>75</v>
      </c>
      <c r="AB375" s="2" t="s">
        <v>76</v>
      </c>
      <c r="AC375" s="2" t="s">
        <v>77</v>
      </c>
      <c r="AF375" s="2">
        <f t="shared" si="46"/>
        <v>0</v>
      </c>
      <c r="AG375" s="2">
        <v>110.68</v>
      </c>
      <c r="AH375" s="2">
        <v>210</v>
      </c>
      <c r="AJ375" s="2">
        <f t="shared" si="47"/>
        <v>0</v>
      </c>
      <c r="AK375" s="2">
        <f t="shared" si="52"/>
        <v>73.319999999999993</v>
      </c>
      <c r="AL375" s="5">
        <f t="shared" si="53"/>
        <v>0.39847826086956517</v>
      </c>
    </row>
    <row r="376" spans="1:38" x14ac:dyDescent="0.2">
      <c r="A376" s="2">
        <v>2025</v>
      </c>
      <c r="B376" s="2">
        <v>2</v>
      </c>
      <c r="D376" s="2" t="s">
        <v>728</v>
      </c>
      <c r="P376" s="2" t="s">
        <v>93</v>
      </c>
      <c r="Q376" s="2" t="s">
        <v>94</v>
      </c>
      <c r="R376" s="2" t="s">
        <v>95</v>
      </c>
      <c r="S376" s="2">
        <v>1</v>
      </c>
      <c r="T376" s="2">
        <v>1.1399999999999999</v>
      </c>
      <c r="U376" s="2">
        <v>0.26219999999999999</v>
      </c>
      <c r="V376" s="2">
        <v>1.4021999999999999</v>
      </c>
      <c r="W376" s="2">
        <v>1.1399999999999999</v>
      </c>
      <c r="X376" s="5">
        <f t="shared" si="51"/>
        <v>0</v>
      </c>
      <c r="Z376" s="2" t="s">
        <v>3227</v>
      </c>
      <c r="AA376" s="2" t="s">
        <v>96</v>
      </c>
      <c r="AB376" s="2" t="s">
        <v>76</v>
      </c>
      <c r="AC376" s="2" t="s">
        <v>93</v>
      </c>
      <c r="AF376" s="2">
        <f t="shared" si="46"/>
        <v>0</v>
      </c>
      <c r="AJ376" s="2">
        <f t="shared" si="47"/>
        <v>0</v>
      </c>
      <c r="AK376" s="2">
        <f t="shared" si="52"/>
        <v>0</v>
      </c>
      <c r="AL376" s="5">
        <f t="shared" si="53"/>
        <v>0</v>
      </c>
    </row>
    <row r="377" spans="1:38" x14ac:dyDescent="0.2">
      <c r="A377" s="2">
        <v>2025</v>
      </c>
      <c r="B377" s="2">
        <v>2</v>
      </c>
      <c r="D377" s="2" t="s">
        <v>332</v>
      </c>
      <c r="E377" s="2" t="s">
        <v>108</v>
      </c>
      <c r="F377" s="2" t="s">
        <v>39</v>
      </c>
      <c r="G377" s="2">
        <v>513493557</v>
      </c>
      <c r="H377" s="2" t="s">
        <v>41</v>
      </c>
      <c r="I377" s="2" t="s">
        <v>279</v>
      </c>
      <c r="J377" s="2" t="s">
        <v>333</v>
      </c>
      <c r="L377" s="2" t="s">
        <v>177</v>
      </c>
      <c r="M377" s="2" t="s">
        <v>40</v>
      </c>
      <c r="P377" s="2" t="s">
        <v>114</v>
      </c>
      <c r="Q377" s="2" t="s">
        <v>729</v>
      </c>
      <c r="R377" s="2" t="s">
        <v>730</v>
      </c>
      <c r="S377" s="2">
        <v>1</v>
      </c>
      <c r="T377" s="2">
        <v>44.98</v>
      </c>
      <c r="U377" s="2">
        <v>10.3454</v>
      </c>
      <c r="V377" s="2">
        <v>55.325399999999988</v>
      </c>
      <c r="W377" s="2">
        <v>21.2454</v>
      </c>
      <c r="X377" s="5">
        <f t="shared" si="51"/>
        <v>0.52767007558915069</v>
      </c>
      <c r="Z377" s="2" t="s">
        <v>117</v>
      </c>
      <c r="AA377" s="2" t="s">
        <v>118</v>
      </c>
      <c r="AB377" s="2" t="s">
        <v>119</v>
      </c>
      <c r="AC377" s="2" t="s">
        <v>114</v>
      </c>
      <c r="AF377" s="2">
        <f t="shared" si="46"/>
        <v>0</v>
      </c>
      <c r="AJ377" s="2">
        <f t="shared" si="47"/>
        <v>0</v>
      </c>
      <c r="AK377" s="2">
        <f t="shared" si="52"/>
        <v>23.734599999999997</v>
      </c>
      <c r="AL377" s="5">
        <f t="shared" si="53"/>
        <v>0.52767007558915069</v>
      </c>
    </row>
    <row r="378" spans="1:38" x14ac:dyDescent="0.2">
      <c r="A378" s="2">
        <v>2025</v>
      </c>
      <c r="B378" s="2">
        <v>2</v>
      </c>
      <c r="D378" s="2" t="s">
        <v>332</v>
      </c>
      <c r="E378" s="2" t="s">
        <v>108</v>
      </c>
      <c r="F378" s="2" t="s">
        <v>39</v>
      </c>
      <c r="G378" s="2">
        <v>513493557</v>
      </c>
      <c r="H378" s="2" t="s">
        <v>41</v>
      </c>
      <c r="I378" s="2" t="s">
        <v>279</v>
      </c>
      <c r="J378" s="2" t="s">
        <v>333</v>
      </c>
      <c r="L378" s="2" t="s">
        <v>177</v>
      </c>
      <c r="M378" s="2" t="s">
        <v>41</v>
      </c>
      <c r="P378" s="2" t="s">
        <v>43</v>
      </c>
      <c r="Q378" s="2" t="s">
        <v>242</v>
      </c>
      <c r="R378" s="2" t="s">
        <v>243</v>
      </c>
      <c r="S378" s="2">
        <v>1</v>
      </c>
      <c r="T378" s="2">
        <v>28.8</v>
      </c>
      <c r="U378" s="2">
        <v>6.6240000000000014</v>
      </c>
      <c r="V378" s="2">
        <v>35.423999999999999</v>
      </c>
      <c r="W378" s="2">
        <f>16.2249*S378</f>
        <v>16.224900000000002</v>
      </c>
      <c r="X378" s="5">
        <f t="shared" si="51"/>
        <v>0.43663541666666661</v>
      </c>
      <c r="Z378" s="2" t="s">
        <v>3227</v>
      </c>
      <c r="AA378" s="2" t="s">
        <v>46</v>
      </c>
      <c r="AB378" s="2" t="s">
        <v>56</v>
      </c>
      <c r="AC378" s="2" t="s">
        <v>57</v>
      </c>
      <c r="AF378" s="2">
        <f t="shared" si="46"/>
        <v>0</v>
      </c>
      <c r="AJ378" s="2">
        <f t="shared" si="47"/>
        <v>0</v>
      </c>
      <c r="AK378" s="2">
        <f t="shared" si="52"/>
        <v>12.575099999999999</v>
      </c>
      <c r="AL378" s="5">
        <f t="shared" si="53"/>
        <v>0.43663541666666661</v>
      </c>
    </row>
    <row r="379" spans="1:38" x14ac:dyDescent="0.2">
      <c r="A379" s="2">
        <v>2025</v>
      </c>
      <c r="B379" s="2">
        <v>2</v>
      </c>
      <c r="D379" s="2" t="s">
        <v>332</v>
      </c>
      <c r="E379" s="2" t="s">
        <v>108</v>
      </c>
      <c r="F379" s="2" t="s">
        <v>39</v>
      </c>
      <c r="G379" s="2">
        <v>513493557</v>
      </c>
      <c r="H379" s="2" t="s">
        <v>41</v>
      </c>
      <c r="I379" s="2" t="s">
        <v>279</v>
      </c>
      <c r="J379" s="2" t="s">
        <v>333</v>
      </c>
      <c r="L379" s="2" t="s">
        <v>177</v>
      </c>
      <c r="M379" s="2" t="s">
        <v>41</v>
      </c>
      <c r="P379" s="2" t="s">
        <v>43</v>
      </c>
      <c r="Q379" s="2" t="s">
        <v>58</v>
      </c>
      <c r="R379" s="2" t="s">
        <v>59</v>
      </c>
      <c r="S379" s="2">
        <v>500</v>
      </c>
      <c r="T379" s="2">
        <v>60</v>
      </c>
      <c r="U379" s="2">
        <v>13.8</v>
      </c>
      <c r="V379" s="2">
        <v>73.8</v>
      </c>
      <c r="W379" s="2">
        <f>0.0914*S379</f>
        <v>45.699999999999996</v>
      </c>
      <c r="X379" s="5">
        <f t="shared" si="51"/>
        <v>0.2383333333333334</v>
      </c>
      <c r="Z379" s="2" t="s">
        <v>3227</v>
      </c>
      <c r="AA379" s="2" t="s">
        <v>46</v>
      </c>
      <c r="AB379" s="2" t="s">
        <v>60</v>
      </c>
      <c r="AC379" s="2" t="s">
        <v>57</v>
      </c>
      <c r="AF379" s="2">
        <f t="shared" si="46"/>
        <v>0</v>
      </c>
      <c r="AG379" s="2">
        <v>9.14</v>
      </c>
      <c r="AH379" s="2">
        <v>16</v>
      </c>
      <c r="AJ379" s="2">
        <f t="shared" si="47"/>
        <v>0</v>
      </c>
      <c r="AK379" s="2">
        <f t="shared" si="52"/>
        <v>14.300000000000004</v>
      </c>
      <c r="AL379" s="5">
        <f t="shared" si="53"/>
        <v>0.2383333333333334</v>
      </c>
    </row>
    <row r="380" spans="1:38" x14ac:dyDescent="0.2">
      <c r="A380" s="2">
        <v>2025</v>
      </c>
      <c r="B380" s="2">
        <v>2</v>
      </c>
      <c r="D380" s="2" t="s">
        <v>332</v>
      </c>
      <c r="E380" s="2" t="s">
        <v>108</v>
      </c>
      <c r="F380" s="2" t="s">
        <v>39</v>
      </c>
      <c r="G380" s="2">
        <v>513493557</v>
      </c>
      <c r="H380" s="2" t="s">
        <v>41</v>
      </c>
      <c r="I380" s="2" t="s">
        <v>279</v>
      </c>
      <c r="J380" s="2" t="s">
        <v>333</v>
      </c>
      <c r="L380" s="2" t="s">
        <v>177</v>
      </c>
      <c r="M380" s="2" t="s">
        <v>41</v>
      </c>
      <c r="P380" s="2" t="s">
        <v>43</v>
      </c>
      <c r="Q380" s="2" t="s">
        <v>254</v>
      </c>
      <c r="R380" s="2" t="s">
        <v>255</v>
      </c>
      <c r="S380" s="2">
        <v>500</v>
      </c>
      <c r="T380" s="2">
        <v>65</v>
      </c>
      <c r="U380" s="2">
        <v>14.95</v>
      </c>
      <c r="V380" s="2">
        <v>79.95</v>
      </c>
      <c r="W380" s="2">
        <f>0.0914*S380</f>
        <v>45.699999999999996</v>
      </c>
      <c r="X380" s="5">
        <f t="shared" si="51"/>
        <v>0.29692307692307701</v>
      </c>
      <c r="Z380" s="2" t="s">
        <v>3227</v>
      </c>
      <c r="AA380" s="2" t="s">
        <v>46</v>
      </c>
      <c r="AB380" s="2" t="s">
        <v>60</v>
      </c>
      <c r="AC380" s="2" t="s">
        <v>57</v>
      </c>
      <c r="AF380" s="2">
        <f t="shared" si="46"/>
        <v>0</v>
      </c>
      <c r="AJ380" s="2">
        <f t="shared" si="47"/>
        <v>0</v>
      </c>
      <c r="AK380" s="2">
        <f t="shared" si="52"/>
        <v>19.300000000000004</v>
      </c>
      <c r="AL380" s="5">
        <f t="shared" si="53"/>
        <v>0.29692307692307701</v>
      </c>
    </row>
    <row r="381" spans="1:38" x14ac:dyDescent="0.2">
      <c r="A381" s="2">
        <v>2025</v>
      </c>
      <c r="B381" s="2">
        <v>2</v>
      </c>
      <c r="D381" s="2" t="s">
        <v>332</v>
      </c>
      <c r="E381" s="2" t="s">
        <v>108</v>
      </c>
      <c r="F381" s="2" t="s">
        <v>39</v>
      </c>
      <c r="G381" s="2">
        <v>513493557</v>
      </c>
      <c r="H381" s="2" t="s">
        <v>41</v>
      </c>
      <c r="I381" s="2" t="s">
        <v>279</v>
      </c>
      <c r="J381" s="2" t="s">
        <v>333</v>
      </c>
      <c r="L381" s="2" t="s">
        <v>177</v>
      </c>
      <c r="M381" s="2" t="s">
        <v>41</v>
      </c>
      <c r="P381" s="2" t="s">
        <v>43</v>
      </c>
      <c r="Q381" s="2" t="s">
        <v>65</v>
      </c>
      <c r="R381" s="2" t="s">
        <v>66</v>
      </c>
      <c r="S381" s="2">
        <v>3</v>
      </c>
      <c r="T381" s="2">
        <v>64.5</v>
      </c>
      <c r="U381" s="2">
        <v>14.835000000000001</v>
      </c>
      <c r="V381" s="2">
        <v>79.335000000000008</v>
      </c>
      <c r="W381" s="2">
        <f>15.0203*S381</f>
        <v>45.060900000000004</v>
      </c>
      <c r="X381" s="5">
        <f t="shared" si="51"/>
        <v>0.30138139534883718</v>
      </c>
      <c r="Z381" s="2" t="s">
        <v>3227</v>
      </c>
      <c r="AA381" s="2" t="s">
        <v>46</v>
      </c>
      <c r="AB381" s="2" t="s">
        <v>67</v>
      </c>
      <c r="AC381" s="2" t="s">
        <v>57</v>
      </c>
      <c r="AF381" s="2">
        <f t="shared" si="46"/>
        <v>0</v>
      </c>
      <c r="AG381" s="2">
        <v>15.020300000000001</v>
      </c>
      <c r="AH381" s="2">
        <v>27.6</v>
      </c>
      <c r="AJ381" s="2">
        <f t="shared" si="47"/>
        <v>0</v>
      </c>
      <c r="AK381" s="2">
        <f t="shared" si="52"/>
        <v>19.439099999999996</v>
      </c>
      <c r="AL381" s="5">
        <f t="shared" si="53"/>
        <v>0.30138139534883718</v>
      </c>
    </row>
    <row r="382" spans="1:38" x14ac:dyDescent="0.2">
      <c r="A382" s="2">
        <v>2025</v>
      </c>
      <c r="B382" s="2">
        <v>2</v>
      </c>
      <c r="D382" s="2" t="s">
        <v>731</v>
      </c>
      <c r="E382" s="2" t="s">
        <v>108</v>
      </c>
      <c r="G382" s="2">
        <v>502757396</v>
      </c>
      <c r="H382" s="2" t="s">
        <v>40</v>
      </c>
      <c r="I382" s="2" t="s">
        <v>99</v>
      </c>
      <c r="J382" s="2" t="s">
        <v>732</v>
      </c>
      <c r="L382" s="2" t="s">
        <v>99</v>
      </c>
      <c r="M382" s="2" t="s">
        <v>40</v>
      </c>
      <c r="P382" s="2" t="s">
        <v>187</v>
      </c>
      <c r="Q382" s="2" t="s">
        <v>188</v>
      </c>
      <c r="R382" s="2" t="s">
        <v>189</v>
      </c>
      <c r="S382" s="2">
        <v>1</v>
      </c>
      <c r="T382" s="2">
        <v>50</v>
      </c>
      <c r="U382" s="2">
        <v>11.5</v>
      </c>
      <c r="V382" s="2">
        <v>61.5</v>
      </c>
      <c r="W382" s="2">
        <f>T382*40%</f>
        <v>20</v>
      </c>
      <c r="X382" s="5">
        <f t="shared" si="51"/>
        <v>0.6</v>
      </c>
      <c r="Z382" s="2" t="s">
        <v>117</v>
      </c>
      <c r="AA382" s="2" t="s">
        <v>190</v>
      </c>
      <c r="AB382" s="2" t="s">
        <v>189</v>
      </c>
      <c r="AC382" s="2" t="s">
        <v>40</v>
      </c>
      <c r="AF382" s="2">
        <f t="shared" si="46"/>
        <v>0</v>
      </c>
      <c r="AJ382" s="2">
        <f t="shared" si="47"/>
        <v>0</v>
      </c>
      <c r="AK382" s="2">
        <f t="shared" si="52"/>
        <v>30</v>
      </c>
      <c r="AL382" s="5">
        <f t="shared" si="53"/>
        <v>0.6</v>
      </c>
    </row>
    <row r="383" spans="1:38" x14ac:dyDescent="0.2">
      <c r="A383" s="2">
        <v>2025</v>
      </c>
      <c r="B383" s="2">
        <v>2</v>
      </c>
      <c r="D383" s="2" t="s">
        <v>731</v>
      </c>
      <c r="E383" s="2" t="s">
        <v>108</v>
      </c>
      <c r="G383" s="2">
        <v>502757396</v>
      </c>
      <c r="H383" s="2" t="s">
        <v>40</v>
      </c>
      <c r="I383" s="2" t="s">
        <v>99</v>
      </c>
      <c r="J383" s="2" t="s">
        <v>732</v>
      </c>
      <c r="L383" s="2" t="s">
        <v>99</v>
      </c>
      <c r="M383" s="2" t="s">
        <v>40</v>
      </c>
      <c r="P383" s="2" t="s">
        <v>187</v>
      </c>
      <c r="Q383" s="2" t="s">
        <v>191</v>
      </c>
      <c r="R383" s="2" t="s">
        <v>190</v>
      </c>
      <c r="S383" s="2">
        <v>0.75</v>
      </c>
      <c r="T383" s="2">
        <v>37.5</v>
      </c>
      <c r="U383" s="2">
        <v>8.625</v>
      </c>
      <c r="V383" s="2">
        <v>46.125</v>
      </c>
      <c r="W383" s="2">
        <f>T383*50%</f>
        <v>18.75</v>
      </c>
      <c r="X383" s="5">
        <f t="shared" si="51"/>
        <v>0.5</v>
      </c>
      <c r="Z383" s="2" t="s">
        <v>117</v>
      </c>
      <c r="AA383" s="2" t="s">
        <v>190</v>
      </c>
      <c r="AB383" s="2" t="s">
        <v>190</v>
      </c>
      <c r="AC383" s="2" t="s">
        <v>40</v>
      </c>
      <c r="AF383" s="2">
        <f t="shared" si="46"/>
        <v>0</v>
      </c>
      <c r="AJ383" s="2">
        <f t="shared" si="47"/>
        <v>0</v>
      </c>
      <c r="AK383" s="2">
        <f t="shared" si="52"/>
        <v>18.75</v>
      </c>
      <c r="AL383" s="5">
        <f t="shared" si="53"/>
        <v>0.5</v>
      </c>
    </row>
    <row r="384" spans="1:38" x14ac:dyDescent="0.2">
      <c r="A384" s="2">
        <v>2025</v>
      </c>
      <c r="B384" s="2">
        <v>2</v>
      </c>
      <c r="D384" s="2" t="s">
        <v>336</v>
      </c>
      <c r="E384" s="2" t="s">
        <v>108</v>
      </c>
      <c r="F384" s="2" t="s">
        <v>39</v>
      </c>
      <c r="G384" s="2">
        <v>503373494</v>
      </c>
      <c r="H384" s="2" t="s">
        <v>290</v>
      </c>
      <c r="I384" s="2" t="s">
        <v>337</v>
      </c>
      <c r="J384" s="2" t="s">
        <v>338</v>
      </c>
      <c r="K384" s="2">
        <v>965852001</v>
      </c>
      <c r="L384" s="2" t="s">
        <v>339</v>
      </c>
      <c r="P384" s="2" t="s">
        <v>114</v>
      </c>
      <c r="Q384" s="2" t="s">
        <v>733</v>
      </c>
      <c r="R384" s="2" t="s">
        <v>734</v>
      </c>
      <c r="S384" s="2">
        <v>1</v>
      </c>
      <c r="T384" s="2">
        <v>28.24</v>
      </c>
      <c r="U384" s="2">
        <v>6.4951999999999996</v>
      </c>
      <c r="V384" s="2">
        <v>34.735199999999999</v>
      </c>
      <c r="W384" s="2">
        <v>13.59</v>
      </c>
      <c r="X384" s="5">
        <f t="shared" si="51"/>
        <v>0.51876770538243622</v>
      </c>
      <c r="Z384" s="2" t="s">
        <v>117</v>
      </c>
      <c r="AA384" s="2" t="s">
        <v>118</v>
      </c>
      <c r="AB384" s="2" t="s">
        <v>119</v>
      </c>
      <c r="AC384" s="2" t="s">
        <v>114</v>
      </c>
      <c r="AF384" s="2">
        <f t="shared" si="46"/>
        <v>0</v>
      </c>
      <c r="AG384" s="2">
        <v>13.59</v>
      </c>
      <c r="AJ384" s="2">
        <f t="shared" si="47"/>
        <v>0</v>
      </c>
      <c r="AK384" s="2">
        <f t="shared" si="52"/>
        <v>14.649999999999999</v>
      </c>
      <c r="AL384" s="5">
        <f t="shared" si="53"/>
        <v>0.51876770538243622</v>
      </c>
    </row>
    <row r="385" spans="1:38" x14ac:dyDescent="0.2">
      <c r="A385" s="2">
        <v>2025</v>
      </c>
      <c r="B385" s="2">
        <v>2</v>
      </c>
      <c r="D385" s="2" t="s">
        <v>336</v>
      </c>
      <c r="E385" s="2" t="s">
        <v>108</v>
      </c>
      <c r="F385" s="2" t="s">
        <v>39</v>
      </c>
      <c r="G385" s="2">
        <v>503373494</v>
      </c>
      <c r="H385" s="2" t="s">
        <v>290</v>
      </c>
      <c r="I385" s="2" t="s">
        <v>337</v>
      </c>
      <c r="J385" s="2" t="s">
        <v>338</v>
      </c>
      <c r="K385" s="2">
        <v>965852001</v>
      </c>
      <c r="L385" s="2" t="s">
        <v>339</v>
      </c>
      <c r="P385" s="2" t="s">
        <v>114</v>
      </c>
      <c r="Q385" s="2" t="s">
        <v>735</v>
      </c>
      <c r="R385" s="2" t="s">
        <v>736</v>
      </c>
      <c r="S385" s="2">
        <v>1</v>
      </c>
      <c r="T385" s="2">
        <v>20.27</v>
      </c>
      <c r="U385" s="2">
        <v>4.6620999999999997</v>
      </c>
      <c r="V385" s="2">
        <v>24.932099999999998</v>
      </c>
      <c r="W385" s="2">
        <v>10.38</v>
      </c>
      <c r="X385" s="5">
        <f t="shared" si="51"/>
        <v>0.48791317217562896</v>
      </c>
      <c r="Z385" s="2" t="s">
        <v>117</v>
      </c>
      <c r="AA385" s="2" t="s">
        <v>118</v>
      </c>
      <c r="AB385" s="2" t="s">
        <v>119</v>
      </c>
      <c r="AC385" s="2" t="s">
        <v>114</v>
      </c>
      <c r="AF385" s="2">
        <f t="shared" si="46"/>
        <v>0</v>
      </c>
      <c r="AG385" s="2">
        <f>9.75+0.63</f>
        <v>10.38</v>
      </c>
      <c r="AJ385" s="2">
        <f t="shared" si="47"/>
        <v>0</v>
      </c>
      <c r="AK385" s="2">
        <f t="shared" si="52"/>
        <v>9.8899999999999988</v>
      </c>
      <c r="AL385" s="5">
        <f t="shared" si="53"/>
        <v>0.48791317217562896</v>
      </c>
    </row>
    <row r="386" spans="1:38" x14ac:dyDescent="0.2">
      <c r="A386" s="2">
        <v>2025</v>
      </c>
      <c r="B386" s="2">
        <v>2</v>
      </c>
      <c r="D386" s="2" t="s">
        <v>336</v>
      </c>
      <c r="E386" s="2" t="s">
        <v>108</v>
      </c>
      <c r="F386" s="2" t="s">
        <v>39</v>
      </c>
      <c r="G386" s="2">
        <v>503373494</v>
      </c>
      <c r="H386" s="2" t="s">
        <v>290</v>
      </c>
      <c r="I386" s="2" t="s">
        <v>337</v>
      </c>
      <c r="J386" s="2" t="s">
        <v>338</v>
      </c>
      <c r="K386" s="2">
        <v>965852001</v>
      </c>
      <c r="L386" s="2" t="s">
        <v>339</v>
      </c>
      <c r="P386" s="2" t="s">
        <v>72</v>
      </c>
      <c r="Q386" s="2" t="s">
        <v>73</v>
      </c>
      <c r="R386" s="2" t="s">
        <v>74</v>
      </c>
      <c r="S386" s="2">
        <v>1</v>
      </c>
      <c r="T386" s="2">
        <v>215</v>
      </c>
      <c r="U386" s="2">
        <v>49.45</v>
      </c>
      <c r="V386" s="2">
        <v>264.45</v>
      </c>
      <c r="W386" s="2">
        <v>117.453</v>
      </c>
      <c r="X386" s="5">
        <f t="shared" si="51"/>
        <v>0.45370697674418603</v>
      </c>
      <c r="Z386" s="2" t="s">
        <v>3227</v>
      </c>
      <c r="AA386" s="2" t="s">
        <v>75</v>
      </c>
      <c r="AB386" s="2" t="s">
        <v>76</v>
      </c>
      <c r="AC386" s="2" t="s">
        <v>77</v>
      </c>
      <c r="AF386" s="2">
        <f t="shared" ref="AF386:AF449" si="54">AJ386</f>
        <v>0</v>
      </c>
      <c r="AG386" s="2">
        <v>117.453</v>
      </c>
      <c r="AH386" s="2">
        <v>220</v>
      </c>
      <c r="AJ386" s="2">
        <f t="shared" ref="AJ386:AJ449" si="55">AI386*T386</f>
        <v>0</v>
      </c>
      <c r="AK386" s="2">
        <f t="shared" si="52"/>
        <v>97.546999999999997</v>
      </c>
      <c r="AL386" s="5">
        <f t="shared" si="53"/>
        <v>0.45370697674418603</v>
      </c>
    </row>
    <row r="387" spans="1:38" x14ac:dyDescent="0.2">
      <c r="A387" s="2">
        <v>2025</v>
      </c>
      <c r="B387" s="2">
        <v>2</v>
      </c>
      <c r="D387" s="2" t="s">
        <v>336</v>
      </c>
      <c r="E387" s="2" t="s">
        <v>108</v>
      </c>
      <c r="F387" s="2" t="s">
        <v>39</v>
      </c>
      <c r="G387" s="2">
        <v>503373494</v>
      </c>
      <c r="H387" s="2" t="s">
        <v>290</v>
      </c>
      <c r="I387" s="2" t="s">
        <v>337</v>
      </c>
      <c r="J387" s="2" t="s">
        <v>338</v>
      </c>
      <c r="K387" s="2">
        <v>965852001</v>
      </c>
      <c r="L387" s="2" t="s">
        <v>339</v>
      </c>
      <c r="P387" s="2" t="s">
        <v>93</v>
      </c>
      <c r="Q387" s="2" t="s">
        <v>94</v>
      </c>
      <c r="R387" s="2" t="s">
        <v>95</v>
      </c>
      <c r="S387" s="2">
        <v>1</v>
      </c>
      <c r="T387" s="2">
        <v>1.1399999999999999</v>
      </c>
      <c r="U387" s="2">
        <v>0.26219999999999999</v>
      </c>
      <c r="V387" s="2">
        <v>1.4021999999999999</v>
      </c>
      <c r="W387" s="2">
        <v>1.1399999999999999</v>
      </c>
      <c r="X387" s="5">
        <f t="shared" si="51"/>
        <v>0</v>
      </c>
      <c r="Z387" s="2" t="s">
        <v>3227</v>
      </c>
      <c r="AA387" s="2" t="s">
        <v>96</v>
      </c>
      <c r="AB387" s="2" t="s">
        <v>76</v>
      </c>
      <c r="AC387" s="2" t="s">
        <v>93</v>
      </c>
      <c r="AF387" s="2">
        <f t="shared" si="54"/>
        <v>0</v>
      </c>
      <c r="AG387" s="2">
        <v>1.1399999999999999</v>
      </c>
      <c r="AH387" s="2">
        <v>1.1399999999999999</v>
      </c>
      <c r="AJ387" s="2">
        <f t="shared" si="55"/>
        <v>0</v>
      </c>
      <c r="AK387" s="2">
        <f t="shared" si="52"/>
        <v>0</v>
      </c>
      <c r="AL387" s="5">
        <f t="shared" si="53"/>
        <v>0</v>
      </c>
    </row>
    <row r="388" spans="1:38" x14ac:dyDescent="0.2">
      <c r="A388" s="2">
        <v>2025</v>
      </c>
      <c r="B388" s="2">
        <v>2</v>
      </c>
      <c r="D388" s="2" t="s">
        <v>737</v>
      </c>
      <c r="E388" s="2" t="s">
        <v>108</v>
      </c>
      <c r="F388" s="2" t="s">
        <v>717</v>
      </c>
      <c r="G388" s="2">
        <v>500331596</v>
      </c>
      <c r="H388" s="2" t="s">
        <v>40</v>
      </c>
      <c r="I388" s="2" t="s">
        <v>738</v>
      </c>
      <c r="J388" s="2" t="s">
        <v>739</v>
      </c>
      <c r="L388" s="2" t="s">
        <v>344</v>
      </c>
      <c r="M388" s="2" t="s">
        <v>40</v>
      </c>
      <c r="O388" s="2" t="s">
        <v>740</v>
      </c>
      <c r="P388" s="2" t="s">
        <v>114</v>
      </c>
      <c r="Q388" s="2" t="s">
        <v>179</v>
      </c>
      <c r="R388" s="2" t="s">
        <v>180</v>
      </c>
      <c r="S388" s="2">
        <v>2</v>
      </c>
      <c r="T388" s="2">
        <v>1398.6</v>
      </c>
      <c r="U388" s="2">
        <v>321.678</v>
      </c>
      <c r="V388" s="2">
        <v>1720.278</v>
      </c>
      <c r="W388" s="2">
        <v>693.14</v>
      </c>
      <c r="X388" s="5">
        <f t="shared" si="51"/>
        <v>0.50440440440440437</v>
      </c>
      <c r="Z388" s="2" t="s">
        <v>117</v>
      </c>
      <c r="AA388" s="2" t="s">
        <v>181</v>
      </c>
      <c r="AB388" s="2" t="s">
        <v>119</v>
      </c>
      <c r="AC388" s="2" t="s">
        <v>114</v>
      </c>
      <c r="AF388" s="2">
        <f t="shared" si="54"/>
        <v>0</v>
      </c>
      <c r="AJ388" s="2">
        <f t="shared" si="55"/>
        <v>0</v>
      </c>
      <c r="AK388" s="2">
        <f t="shared" si="52"/>
        <v>705.45999999999992</v>
      </c>
      <c r="AL388" s="5">
        <f t="shared" si="53"/>
        <v>0.50440440440440437</v>
      </c>
    </row>
    <row r="389" spans="1:38" x14ac:dyDescent="0.2">
      <c r="A389" s="2">
        <v>2025</v>
      </c>
      <c r="B389" s="2">
        <v>2</v>
      </c>
      <c r="D389" s="2" t="s">
        <v>737</v>
      </c>
      <c r="E389" s="2" t="s">
        <v>108</v>
      </c>
      <c r="F389" s="2" t="s">
        <v>717</v>
      </c>
      <c r="G389" s="2">
        <v>500331596</v>
      </c>
      <c r="H389" s="2" t="s">
        <v>40</v>
      </c>
      <c r="I389" s="2" t="s">
        <v>738</v>
      </c>
      <c r="J389" s="2" t="s">
        <v>739</v>
      </c>
      <c r="L389" s="2" t="s">
        <v>344</v>
      </c>
      <c r="M389" s="2" t="s">
        <v>40</v>
      </c>
      <c r="O389" s="2" t="s">
        <v>740</v>
      </c>
      <c r="P389" s="2" t="s">
        <v>187</v>
      </c>
      <c r="Q389" s="2" t="s">
        <v>188</v>
      </c>
      <c r="R389" s="2" t="s">
        <v>189</v>
      </c>
      <c r="S389" s="2">
        <v>1</v>
      </c>
      <c r="T389" s="2">
        <v>278</v>
      </c>
      <c r="U389" s="2">
        <v>63.94</v>
      </c>
      <c r="V389" s="2">
        <v>341.94</v>
      </c>
      <c r="W389" s="2">
        <f>T389*40%</f>
        <v>111.2</v>
      </c>
      <c r="X389" s="5">
        <f t="shared" si="51"/>
        <v>0.60000000000000009</v>
      </c>
      <c r="Z389" s="2" t="s">
        <v>117</v>
      </c>
      <c r="AA389" s="2" t="s">
        <v>190</v>
      </c>
      <c r="AB389" s="2" t="s">
        <v>189</v>
      </c>
      <c r="AC389" s="2" t="s">
        <v>40</v>
      </c>
      <c r="AF389" s="2">
        <f t="shared" si="54"/>
        <v>0</v>
      </c>
      <c r="AJ389" s="2">
        <f t="shared" si="55"/>
        <v>0</v>
      </c>
      <c r="AK389" s="2">
        <f t="shared" si="52"/>
        <v>166.8</v>
      </c>
      <c r="AL389" s="5">
        <f t="shared" si="53"/>
        <v>0.60000000000000009</v>
      </c>
    </row>
    <row r="390" spans="1:38" x14ac:dyDescent="0.2">
      <c r="A390" s="2">
        <v>2025</v>
      </c>
      <c r="B390" s="2">
        <v>2</v>
      </c>
      <c r="D390" s="2" t="s">
        <v>737</v>
      </c>
      <c r="E390" s="2" t="s">
        <v>108</v>
      </c>
      <c r="F390" s="2" t="s">
        <v>717</v>
      </c>
      <c r="G390" s="2">
        <v>500331596</v>
      </c>
      <c r="H390" s="2" t="s">
        <v>40</v>
      </c>
      <c r="I390" s="2" t="s">
        <v>738</v>
      </c>
      <c r="J390" s="2" t="s">
        <v>739</v>
      </c>
      <c r="L390" s="2" t="s">
        <v>344</v>
      </c>
      <c r="M390" s="2" t="s">
        <v>40</v>
      </c>
      <c r="O390" s="2" t="s">
        <v>740</v>
      </c>
      <c r="P390" s="2" t="s">
        <v>187</v>
      </c>
      <c r="Q390" s="2" t="s">
        <v>191</v>
      </c>
      <c r="R390" s="2" t="s">
        <v>190</v>
      </c>
      <c r="S390" s="2">
        <v>2</v>
      </c>
      <c r="T390" s="2">
        <v>50</v>
      </c>
      <c r="U390" s="2">
        <v>11.5</v>
      </c>
      <c r="V390" s="2">
        <v>61.5</v>
      </c>
      <c r="W390" s="2">
        <f>T390*50%</f>
        <v>25</v>
      </c>
      <c r="X390" s="5">
        <f t="shared" si="51"/>
        <v>0.5</v>
      </c>
      <c r="Z390" s="2" t="s">
        <v>117</v>
      </c>
      <c r="AA390" s="2" t="s">
        <v>190</v>
      </c>
      <c r="AB390" s="2" t="s">
        <v>190</v>
      </c>
      <c r="AC390" s="2" t="s">
        <v>40</v>
      </c>
      <c r="AF390" s="2">
        <f t="shared" si="54"/>
        <v>0</v>
      </c>
      <c r="AJ390" s="2">
        <f t="shared" si="55"/>
        <v>0</v>
      </c>
      <c r="AK390" s="2">
        <f t="shared" si="52"/>
        <v>25</v>
      </c>
      <c r="AL390" s="5">
        <f t="shared" si="53"/>
        <v>0.5</v>
      </c>
    </row>
    <row r="391" spans="1:38" x14ac:dyDescent="0.2">
      <c r="A391" s="2">
        <v>2025</v>
      </c>
      <c r="B391" s="2">
        <v>2</v>
      </c>
      <c r="D391" s="2" t="s">
        <v>741</v>
      </c>
      <c r="M391" s="2" t="s">
        <v>40</v>
      </c>
      <c r="P391" s="2" t="s">
        <v>114</v>
      </c>
      <c r="Q391" s="2" t="s">
        <v>373</v>
      </c>
      <c r="R391" s="2" t="s">
        <v>374</v>
      </c>
      <c r="S391" s="2">
        <v>1</v>
      </c>
      <c r="T391" s="2">
        <v>45.07</v>
      </c>
      <c r="U391" s="2">
        <v>10.366099999999999</v>
      </c>
      <c r="V391" s="2">
        <v>55.436100000000003</v>
      </c>
      <c r="W391" s="2">
        <f>23.042*S391</f>
        <v>23.042000000000002</v>
      </c>
      <c r="X391" s="5">
        <f t="shared" si="51"/>
        <v>0.48875083203905034</v>
      </c>
      <c r="Z391" s="2" t="s">
        <v>117</v>
      </c>
      <c r="AA391" s="2" t="s">
        <v>118</v>
      </c>
      <c r="AB391" s="2" t="s">
        <v>119</v>
      </c>
      <c r="AC391" s="2" t="s">
        <v>114</v>
      </c>
      <c r="AF391" s="2">
        <f t="shared" si="54"/>
        <v>0</v>
      </c>
      <c r="AJ391" s="2">
        <f t="shared" si="55"/>
        <v>0</v>
      </c>
      <c r="AK391" s="2">
        <f t="shared" si="52"/>
        <v>22.027999999999999</v>
      </c>
      <c r="AL391" s="5">
        <f t="shared" si="53"/>
        <v>0.48875083203905034</v>
      </c>
    </row>
    <row r="392" spans="1:38" x14ac:dyDescent="0.2">
      <c r="A392" s="2">
        <v>2025</v>
      </c>
      <c r="B392" s="2">
        <v>2</v>
      </c>
      <c r="D392" s="2" t="s">
        <v>741</v>
      </c>
      <c r="P392" s="2" t="s">
        <v>169</v>
      </c>
      <c r="Q392" s="2" t="s">
        <v>170</v>
      </c>
      <c r="R392" s="2" t="s">
        <v>170</v>
      </c>
      <c r="S392" s="2">
        <v>1</v>
      </c>
      <c r="T392" s="2">
        <v>5</v>
      </c>
      <c r="U392" s="2">
        <v>1.1499999999999999</v>
      </c>
      <c r="V392" s="2">
        <v>6.15</v>
      </c>
      <c r="W392" s="2">
        <v>6</v>
      </c>
      <c r="X392" s="5">
        <f t="shared" si="51"/>
        <v>-0.2</v>
      </c>
      <c r="Z392" s="2" t="s">
        <v>169</v>
      </c>
      <c r="AA392" s="2" t="s">
        <v>169</v>
      </c>
      <c r="AF392" s="2">
        <f t="shared" si="54"/>
        <v>0</v>
      </c>
      <c r="AJ392" s="2">
        <f t="shared" si="55"/>
        <v>0</v>
      </c>
      <c r="AK392" s="2">
        <f t="shared" si="52"/>
        <v>-1</v>
      </c>
      <c r="AL392" s="5">
        <f t="shared" si="53"/>
        <v>-0.2</v>
      </c>
    </row>
    <row r="393" spans="1:38" x14ac:dyDescent="0.2">
      <c r="A393" s="2">
        <v>2025</v>
      </c>
      <c r="B393" s="2">
        <v>2</v>
      </c>
      <c r="D393" s="2" t="s">
        <v>742</v>
      </c>
      <c r="P393" s="2" t="s">
        <v>72</v>
      </c>
      <c r="Q393" s="2" t="s">
        <v>743</v>
      </c>
      <c r="R393" s="2" t="s">
        <v>381</v>
      </c>
      <c r="S393" s="2">
        <v>1</v>
      </c>
      <c r="T393" s="2">
        <v>257.60000000000002</v>
      </c>
      <c r="U393" s="2">
        <v>59.247999999999998</v>
      </c>
      <c r="V393" s="2">
        <v>316.84800000000001</v>
      </c>
      <c r="W393" s="2">
        <f>120.96+9.63</f>
        <v>130.59</v>
      </c>
      <c r="X393" s="5">
        <f t="shared" si="51"/>
        <v>0.49305124223602487</v>
      </c>
      <c r="Z393" s="2" t="s">
        <v>3227</v>
      </c>
      <c r="AA393" s="2" t="s">
        <v>75</v>
      </c>
      <c r="AB393" s="2" t="s">
        <v>76</v>
      </c>
      <c r="AC393" s="2" t="s">
        <v>77</v>
      </c>
      <c r="AF393" s="2">
        <f t="shared" si="54"/>
        <v>0</v>
      </c>
      <c r="AJ393" s="2">
        <f t="shared" si="55"/>
        <v>0</v>
      </c>
      <c r="AK393" s="2">
        <f t="shared" ref="AK393:AK424" si="56">T393-W393</f>
        <v>127.01000000000002</v>
      </c>
      <c r="AL393" s="5">
        <f t="shared" ref="AL393:AL424" si="57">(T393-W393)/T393</f>
        <v>0.49305124223602487</v>
      </c>
    </row>
    <row r="394" spans="1:38" x14ac:dyDescent="0.2">
      <c r="A394" s="2">
        <v>2025</v>
      </c>
      <c r="B394" s="2">
        <v>2</v>
      </c>
      <c r="D394" s="2" t="s">
        <v>742</v>
      </c>
      <c r="P394" s="2" t="s">
        <v>93</v>
      </c>
      <c r="Q394" s="2" t="s">
        <v>94</v>
      </c>
      <c r="R394" s="2" t="s">
        <v>95</v>
      </c>
      <c r="S394" s="2">
        <v>1</v>
      </c>
      <c r="T394" s="2">
        <v>1.1399999999999999</v>
      </c>
      <c r="U394" s="2">
        <v>0.26219999999999999</v>
      </c>
      <c r="V394" s="2">
        <v>1.4021999999999999</v>
      </c>
      <c r="W394" s="2">
        <v>1.1399999999999999</v>
      </c>
      <c r="X394" s="5">
        <f t="shared" si="51"/>
        <v>0</v>
      </c>
      <c r="Z394" s="2" t="s">
        <v>3227</v>
      </c>
      <c r="AA394" s="2" t="s">
        <v>96</v>
      </c>
      <c r="AB394" s="2" t="s">
        <v>76</v>
      </c>
      <c r="AC394" s="2" t="s">
        <v>93</v>
      </c>
      <c r="AF394" s="2">
        <f t="shared" si="54"/>
        <v>0</v>
      </c>
      <c r="AJ394" s="2">
        <f t="shared" si="55"/>
        <v>0</v>
      </c>
      <c r="AK394" s="2">
        <f t="shared" si="56"/>
        <v>0</v>
      </c>
      <c r="AL394" s="5">
        <f t="shared" si="57"/>
        <v>0</v>
      </c>
    </row>
    <row r="395" spans="1:38" x14ac:dyDescent="0.2">
      <c r="A395" s="2">
        <v>2025</v>
      </c>
      <c r="B395" s="2">
        <v>2</v>
      </c>
      <c r="D395" s="2" t="s">
        <v>744</v>
      </c>
      <c r="E395" s="2" t="s">
        <v>108</v>
      </c>
      <c r="F395" s="2" t="s">
        <v>39</v>
      </c>
      <c r="G395" s="2">
        <v>509181163</v>
      </c>
      <c r="H395" s="2" t="s">
        <v>40</v>
      </c>
      <c r="I395" s="2" t="s">
        <v>745</v>
      </c>
      <c r="J395" s="2" t="s">
        <v>746</v>
      </c>
      <c r="K395" s="2">
        <v>962372760</v>
      </c>
      <c r="L395" s="2" t="s">
        <v>201</v>
      </c>
      <c r="M395" s="2" t="s">
        <v>40</v>
      </c>
      <c r="P395" s="2" t="s">
        <v>40</v>
      </c>
      <c r="Q395" s="2" t="s">
        <v>747</v>
      </c>
      <c r="R395" s="2" t="s">
        <v>748</v>
      </c>
      <c r="S395" s="2">
        <v>1</v>
      </c>
      <c r="T395" s="2">
        <v>129.6</v>
      </c>
      <c r="U395" s="2">
        <v>29.808</v>
      </c>
      <c r="V395" s="2">
        <v>159.40799999999999</v>
      </c>
      <c r="X395" s="5">
        <f t="shared" si="51"/>
        <v>1</v>
      </c>
      <c r="Z395" s="2" t="s">
        <v>117</v>
      </c>
      <c r="AA395" s="2" t="s">
        <v>118</v>
      </c>
      <c r="AB395" s="2" t="s">
        <v>119</v>
      </c>
      <c r="AF395" s="2">
        <f t="shared" si="54"/>
        <v>0</v>
      </c>
      <c r="AJ395" s="2">
        <f t="shared" si="55"/>
        <v>0</v>
      </c>
      <c r="AK395" s="2">
        <f t="shared" si="56"/>
        <v>129.6</v>
      </c>
      <c r="AL395" s="5">
        <f t="shared" si="57"/>
        <v>1</v>
      </c>
    </row>
    <row r="396" spans="1:38" x14ac:dyDescent="0.2">
      <c r="A396" s="2">
        <v>2025</v>
      </c>
      <c r="B396" s="2">
        <v>2</v>
      </c>
      <c r="D396" s="2" t="s">
        <v>744</v>
      </c>
      <c r="E396" s="2" t="s">
        <v>108</v>
      </c>
      <c r="F396" s="2" t="s">
        <v>39</v>
      </c>
      <c r="G396" s="2">
        <v>509181163</v>
      </c>
      <c r="H396" s="2" t="s">
        <v>40</v>
      </c>
      <c r="I396" s="2" t="s">
        <v>745</v>
      </c>
      <c r="J396" s="2" t="s">
        <v>746</v>
      </c>
      <c r="K396" s="2">
        <v>962372760</v>
      </c>
      <c r="L396" s="2" t="s">
        <v>201</v>
      </c>
      <c r="M396" s="2" t="s">
        <v>40</v>
      </c>
      <c r="P396" s="2" t="s">
        <v>187</v>
      </c>
      <c r="Q396" s="2" t="s">
        <v>188</v>
      </c>
      <c r="R396" s="2" t="s">
        <v>189</v>
      </c>
      <c r="S396" s="2">
        <v>1</v>
      </c>
      <c r="T396" s="2">
        <v>51.75</v>
      </c>
      <c r="U396" s="2">
        <v>11.9025</v>
      </c>
      <c r="V396" s="2">
        <v>63.652500000000003</v>
      </c>
      <c r="W396" s="2">
        <f>T396*40%</f>
        <v>20.700000000000003</v>
      </c>
      <c r="X396" s="5">
        <f t="shared" si="51"/>
        <v>0.6</v>
      </c>
      <c r="Z396" s="2" t="s">
        <v>117</v>
      </c>
      <c r="AA396" s="2" t="s">
        <v>190</v>
      </c>
      <c r="AB396" s="2" t="s">
        <v>189</v>
      </c>
      <c r="AC396" s="2" t="s">
        <v>40</v>
      </c>
      <c r="AF396" s="2">
        <f t="shared" si="54"/>
        <v>0</v>
      </c>
      <c r="AJ396" s="2">
        <f t="shared" si="55"/>
        <v>0</v>
      </c>
      <c r="AK396" s="2">
        <f t="shared" si="56"/>
        <v>31.049999999999997</v>
      </c>
      <c r="AL396" s="5">
        <f t="shared" si="57"/>
        <v>0.6</v>
      </c>
    </row>
    <row r="397" spans="1:38" x14ac:dyDescent="0.2">
      <c r="A397" s="2">
        <v>2025</v>
      </c>
      <c r="B397" s="2">
        <v>2</v>
      </c>
      <c r="D397" s="2" t="s">
        <v>744</v>
      </c>
      <c r="E397" s="2" t="s">
        <v>108</v>
      </c>
      <c r="F397" s="2" t="s">
        <v>39</v>
      </c>
      <c r="G397" s="2">
        <v>509181163</v>
      </c>
      <c r="H397" s="2" t="s">
        <v>40</v>
      </c>
      <c r="I397" s="2" t="s">
        <v>745</v>
      </c>
      <c r="J397" s="2" t="s">
        <v>746</v>
      </c>
      <c r="K397" s="2">
        <v>962372760</v>
      </c>
      <c r="L397" s="2" t="s">
        <v>201</v>
      </c>
      <c r="M397" s="2" t="s">
        <v>40</v>
      </c>
      <c r="P397" s="2" t="s">
        <v>187</v>
      </c>
      <c r="Q397" s="2" t="s">
        <v>191</v>
      </c>
      <c r="R397" s="2" t="s">
        <v>190</v>
      </c>
      <c r="S397" s="2">
        <v>3</v>
      </c>
      <c r="T397" s="2">
        <v>90</v>
      </c>
      <c r="U397" s="2">
        <v>20.7</v>
      </c>
      <c r="V397" s="2">
        <v>110.7</v>
      </c>
      <c r="W397" s="2">
        <f>T397*50%</f>
        <v>45</v>
      </c>
      <c r="X397" s="5">
        <f t="shared" si="51"/>
        <v>0.5</v>
      </c>
      <c r="Z397" s="2" t="s">
        <v>117</v>
      </c>
      <c r="AA397" s="2" t="s">
        <v>190</v>
      </c>
      <c r="AB397" s="2" t="s">
        <v>190</v>
      </c>
      <c r="AC397" s="2" t="s">
        <v>40</v>
      </c>
      <c r="AF397" s="2">
        <f t="shared" si="54"/>
        <v>0</v>
      </c>
      <c r="AJ397" s="2">
        <f t="shared" si="55"/>
        <v>0</v>
      </c>
      <c r="AK397" s="2">
        <f t="shared" si="56"/>
        <v>45</v>
      </c>
      <c r="AL397" s="5">
        <f t="shared" si="57"/>
        <v>0.5</v>
      </c>
    </row>
    <row r="398" spans="1:38" x14ac:dyDescent="0.2">
      <c r="A398" s="2">
        <v>2025</v>
      </c>
      <c r="B398" s="2">
        <v>2</v>
      </c>
      <c r="D398" s="2" t="s">
        <v>744</v>
      </c>
      <c r="E398" s="2" t="s">
        <v>108</v>
      </c>
      <c r="F398" s="2" t="s">
        <v>39</v>
      </c>
      <c r="G398" s="2">
        <v>509181163</v>
      </c>
      <c r="H398" s="2" t="s">
        <v>40</v>
      </c>
      <c r="I398" s="2" t="s">
        <v>745</v>
      </c>
      <c r="J398" s="2" t="s">
        <v>746</v>
      </c>
      <c r="K398" s="2">
        <v>962372760</v>
      </c>
      <c r="L398" s="2" t="s">
        <v>201</v>
      </c>
      <c r="P398" s="2" t="s">
        <v>40</v>
      </c>
      <c r="Q398" s="2" t="s">
        <v>363</v>
      </c>
      <c r="R398" s="2" t="s">
        <v>364</v>
      </c>
      <c r="S398" s="2">
        <v>1</v>
      </c>
      <c r="T398" s="2">
        <v>135</v>
      </c>
      <c r="U398" s="2">
        <v>31.05</v>
      </c>
      <c r="V398" s="2">
        <v>166.05</v>
      </c>
      <c r="X398" s="5">
        <f t="shared" si="51"/>
        <v>1</v>
      </c>
      <c r="Z398" s="2" t="s">
        <v>119</v>
      </c>
      <c r="AA398" s="2" t="s">
        <v>3380</v>
      </c>
      <c r="AF398" s="2">
        <f t="shared" si="54"/>
        <v>0</v>
      </c>
      <c r="AJ398" s="2">
        <f t="shared" si="55"/>
        <v>0</v>
      </c>
      <c r="AK398" s="2">
        <f t="shared" si="56"/>
        <v>135</v>
      </c>
      <c r="AL398" s="5">
        <f t="shared" si="57"/>
        <v>1</v>
      </c>
    </row>
    <row r="399" spans="1:38" x14ac:dyDescent="0.2">
      <c r="A399" s="2">
        <v>2025</v>
      </c>
      <c r="B399" s="2">
        <v>2</v>
      </c>
      <c r="D399" s="2" t="s">
        <v>749</v>
      </c>
      <c r="E399" s="2" t="s">
        <v>108</v>
      </c>
      <c r="F399" s="2" t="s">
        <v>39</v>
      </c>
      <c r="G399" s="2">
        <v>510039537</v>
      </c>
      <c r="H399" s="2" t="s">
        <v>40</v>
      </c>
      <c r="I399" s="2" t="s">
        <v>571</v>
      </c>
      <c r="J399" s="2" t="s">
        <v>750</v>
      </c>
      <c r="K399" s="2">
        <v>969042927</v>
      </c>
      <c r="L399" s="2" t="s">
        <v>571</v>
      </c>
      <c r="P399" s="2" t="s">
        <v>114</v>
      </c>
      <c r="Q399" s="2" t="s">
        <v>467</v>
      </c>
      <c r="R399" s="2" t="s">
        <v>468</v>
      </c>
      <c r="S399" s="2">
        <v>2</v>
      </c>
      <c r="T399" s="2">
        <v>837.98</v>
      </c>
      <c r="U399" s="2">
        <v>192.7354</v>
      </c>
      <c r="V399" s="2">
        <v>1030.7154</v>
      </c>
      <c r="X399" s="5">
        <f t="shared" si="51"/>
        <v>1</v>
      </c>
      <c r="Z399" s="2" t="s">
        <v>117</v>
      </c>
      <c r="AF399" s="2">
        <f t="shared" si="54"/>
        <v>0</v>
      </c>
      <c r="AJ399" s="2">
        <f t="shared" si="55"/>
        <v>0</v>
      </c>
      <c r="AK399" s="2">
        <f t="shared" si="56"/>
        <v>837.98</v>
      </c>
      <c r="AL399" s="5">
        <f t="shared" si="57"/>
        <v>1</v>
      </c>
    </row>
    <row r="400" spans="1:38" x14ac:dyDescent="0.2">
      <c r="A400" s="2">
        <v>2025</v>
      </c>
      <c r="B400" s="2">
        <v>2</v>
      </c>
      <c r="D400" s="2" t="s">
        <v>749</v>
      </c>
      <c r="E400" s="2" t="s">
        <v>108</v>
      </c>
      <c r="F400" s="2" t="s">
        <v>39</v>
      </c>
      <c r="G400" s="2">
        <v>510039537</v>
      </c>
      <c r="H400" s="2" t="s">
        <v>40</v>
      </c>
      <c r="I400" s="2" t="s">
        <v>571</v>
      </c>
      <c r="J400" s="2" t="s">
        <v>750</v>
      </c>
      <c r="K400" s="2">
        <v>969042927</v>
      </c>
      <c r="L400" s="2" t="s">
        <v>571</v>
      </c>
      <c r="M400" s="2" t="s">
        <v>40</v>
      </c>
      <c r="P400" s="2" t="s">
        <v>187</v>
      </c>
      <c r="Q400" s="2" t="s">
        <v>188</v>
      </c>
      <c r="R400" s="2" t="s">
        <v>189</v>
      </c>
      <c r="S400" s="2">
        <v>1</v>
      </c>
      <c r="T400" s="2">
        <v>0</v>
      </c>
      <c r="U400" s="2">
        <v>0</v>
      </c>
      <c r="V400" s="2">
        <v>0</v>
      </c>
      <c r="W400" s="2">
        <f>T400*40%</f>
        <v>0</v>
      </c>
      <c r="X400" s="5">
        <v>0</v>
      </c>
      <c r="Z400" s="2" t="s">
        <v>117</v>
      </c>
      <c r="AA400" s="2" t="s">
        <v>190</v>
      </c>
      <c r="AB400" s="2" t="s">
        <v>189</v>
      </c>
      <c r="AC400" s="2" t="s">
        <v>40</v>
      </c>
      <c r="AF400" s="2">
        <f t="shared" si="54"/>
        <v>0</v>
      </c>
      <c r="AJ400" s="2">
        <f t="shared" si="55"/>
        <v>0</v>
      </c>
      <c r="AK400" s="2">
        <f t="shared" si="56"/>
        <v>0</v>
      </c>
      <c r="AL400" s="5" t="e">
        <f t="shared" si="57"/>
        <v>#DIV/0!</v>
      </c>
    </row>
    <row r="401" spans="1:38" x14ac:dyDescent="0.2">
      <c r="A401" s="2">
        <v>2025</v>
      </c>
      <c r="B401" s="2">
        <v>2</v>
      </c>
      <c r="D401" s="2" t="s">
        <v>749</v>
      </c>
      <c r="E401" s="2" t="s">
        <v>108</v>
      </c>
      <c r="F401" s="2" t="s">
        <v>39</v>
      </c>
      <c r="G401" s="2">
        <v>510039537</v>
      </c>
      <c r="H401" s="2" t="s">
        <v>40</v>
      </c>
      <c r="I401" s="2" t="s">
        <v>571</v>
      </c>
      <c r="J401" s="2" t="s">
        <v>750</v>
      </c>
      <c r="K401" s="2">
        <v>969042927</v>
      </c>
      <c r="L401" s="2" t="s">
        <v>571</v>
      </c>
      <c r="M401" s="2" t="s">
        <v>40</v>
      </c>
      <c r="P401" s="2" t="s">
        <v>187</v>
      </c>
      <c r="Q401" s="2" t="s">
        <v>191</v>
      </c>
      <c r="R401" s="2" t="s">
        <v>190</v>
      </c>
      <c r="S401" s="2">
        <v>2</v>
      </c>
      <c r="T401" s="2">
        <v>90</v>
      </c>
      <c r="U401" s="2">
        <v>20.7</v>
      </c>
      <c r="V401" s="2">
        <v>110.7</v>
      </c>
      <c r="W401" s="2">
        <f>T401*50%</f>
        <v>45</v>
      </c>
      <c r="X401" s="5">
        <f t="shared" ref="X401:X432" si="58">(T401-W401)/T401</f>
        <v>0.5</v>
      </c>
      <c r="Z401" s="2" t="s">
        <v>117</v>
      </c>
      <c r="AA401" s="2" t="s">
        <v>190</v>
      </c>
      <c r="AB401" s="2" t="s">
        <v>190</v>
      </c>
      <c r="AC401" s="2" t="s">
        <v>40</v>
      </c>
      <c r="AF401" s="2">
        <f t="shared" si="54"/>
        <v>0</v>
      </c>
      <c r="AJ401" s="2">
        <f t="shared" si="55"/>
        <v>0</v>
      </c>
      <c r="AK401" s="2">
        <f t="shared" si="56"/>
        <v>45</v>
      </c>
      <c r="AL401" s="5">
        <f t="shared" si="57"/>
        <v>0.5</v>
      </c>
    </row>
    <row r="402" spans="1:38" x14ac:dyDescent="0.2">
      <c r="A402" s="2">
        <v>2025</v>
      </c>
      <c r="B402" s="2">
        <v>2</v>
      </c>
      <c r="D402" s="2" t="s">
        <v>751</v>
      </c>
      <c r="E402" s="2" t="s">
        <v>752</v>
      </c>
      <c r="F402" s="2" t="s">
        <v>39</v>
      </c>
      <c r="G402" s="2">
        <v>190948426</v>
      </c>
      <c r="H402" s="2" t="s">
        <v>40</v>
      </c>
      <c r="I402" s="2" t="s">
        <v>753</v>
      </c>
      <c r="J402" s="2" t="s">
        <v>754</v>
      </c>
      <c r="K402" s="2">
        <v>916288855</v>
      </c>
      <c r="L402" s="2" t="s">
        <v>201</v>
      </c>
      <c r="P402" s="2" t="s">
        <v>282</v>
      </c>
      <c r="Q402" s="2" t="s">
        <v>755</v>
      </c>
      <c r="R402" s="2" t="s">
        <v>756</v>
      </c>
      <c r="S402" s="2">
        <v>1</v>
      </c>
      <c r="T402" s="2">
        <v>4.9000000000000004</v>
      </c>
      <c r="U402" s="2">
        <v>1.127</v>
      </c>
      <c r="V402" s="2">
        <v>6.027000000000001</v>
      </c>
      <c r="W402" s="2">
        <v>3.68</v>
      </c>
      <c r="X402" s="5">
        <f t="shared" si="58"/>
        <v>0.24897959183673471</v>
      </c>
      <c r="Z402" s="2" t="s">
        <v>3227</v>
      </c>
      <c r="AA402" s="2" t="s">
        <v>71</v>
      </c>
      <c r="AB402" s="2" t="s">
        <v>119</v>
      </c>
      <c r="AC402" s="2" t="s">
        <v>119</v>
      </c>
      <c r="AF402" s="2">
        <f t="shared" si="54"/>
        <v>0</v>
      </c>
      <c r="AJ402" s="2">
        <f t="shared" si="55"/>
        <v>0</v>
      </c>
      <c r="AK402" s="2">
        <f t="shared" si="56"/>
        <v>1.2200000000000002</v>
      </c>
      <c r="AL402" s="5">
        <f t="shared" si="57"/>
        <v>0.24897959183673471</v>
      </c>
    </row>
    <row r="403" spans="1:38" x14ac:dyDescent="0.2">
      <c r="A403" s="2">
        <v>2025</v>
      </c>
      <c r="B403" s="2">
        <v>2</v>
      </c>
      <c r="D403" s="2" t="s">
        <v>751</v>
      </c>
      <c r="E403" s="2" t="s">
        <v>752</v>
      </c>
      <c r="F403" s="2" t="s">
        <v>39</v>
      </c>
      <c r="G403" s="2">
        <v>190948426</v>
      </c>
      <c r="H403" s="2" t="s">
        <v>40</v>
      </c>
      <c r="I403" s="2" t="s">
        <v>753</v>
      </c>
      <c r="J403" s="2" t="s">
        <v>754</v>
      </c>
      <c r="K403" s="2">
        <v>916288855</v>
      </c>
      <c r="L403" s="2" t="s">
        <v>201</v>
      </c>
      <c r="P403" s="2" t="s">
        <v>282</v>
      </c>
      <c r="Q403" s="2" t="s">
        <v>757</v>
      </c>
      <c r="R403" s="2" t="s">
        <v>758</v>
      </c>
      <c r="S403" s="2">
        <v>1</v>
      </c>
      <c r="T403" s="2">
        <v>5.9</v>
      </c>
      <c r="U403" s="2">
        <v>1.357</v>
      </c>
      <c r="V403" s="2">
        <v>7.2570000000000006</v>
      </c>
      <c r="W403" s="2">
        <v>4.43</v>
      </c>
      <c r="X403" s="5">
        <f t="shared" si="58"/>
        <v>0.24915254237288145</v>
      </c>
      <c r="Z403" s="2" t="s">
        <v>3227</v>
      </c>
      <c r="AA403" s="2" t="s">
        <v>71</v>
      </c>
      <c r="AB403" s="2" t="s">
        <v>119</v>
      </c>
      <c r="AC403" s="2" t="s">
        <v>119</v>
      </c>
      <c r="AF403" s="2">
        <f t="shared" si="54"/>
        <v>0</v>
      </c>
      <c r="AJ403" s="2">
        <f t="shared" si="55"/>
        <v>0</v>
      </c>
      <c r="AK403" s="2">
        <f t="shared" si="56"/>
        <v>1.4700000000000006</v>
      </c>
      <c r="AL403" s="5">
        <f t="shared" si="57"/>
        <v>0.24915254237288145</v>
      </c>
    </row>
    <row r="404" spans="1:38" x14ac:dyDescent="0.2">
      <c r="A404" s="2">
        <v>2025</v>
      </c>
      <c r="B404" s="2">
        <v>2</v>
      </c>
      <c r="D404" s="2" t="s">
        <v>751</v>
      </c>
      <c r="E404" s="2" t="s">
        <v>752</v>
      </c>
      <c r="F404" s="2" t="s">
        <v>39</v>
      </c>
      <c r="G404" s="2">
        <v>190948426</v>
      </c>
      <c r="H404" s="2" t="s">
        <v>40</v>
      </c>
      <c r="I404" s="2" t="s">
        <v>753</v>
      </c>
      <c r="J404" s="2" t="s">
        <v>754</v>
      </c>
      <c r="K404" s="2">
        <v>916288855</v>
      </c>
      <c r="L404" s="2" t="s">
        <v>201</v>
      </c>
      <c r="P404" s="2" t="s">
        <v>282</v>
      </c>
      <c r="Q404" s="2" t="s">
        <v>759</v>
      </c>
      <c r="R404" s="2" t="s">
        <v>760</v>
      </c>
      <c r="S404" s="2">
        <v>1</v>
      </c>
      <c r="T404" s="2">
        <v>5.9</v>
      </c>
      <c r="U404" s="2">
        <v>1.357</v>
      </c>
      <c r="V404" s="2">
        <v>7.2570000000000006</v>
      </c>
      <c r="W404" s="2">
        <v>4.43</v>
      </c>
      <c r="X404" s="5">
        <f t="shared" si="58"/>
        <v>0.24915254237288145</v>
      </c>
      <c r="Z404" s="2" t="s">
        <v>3227</v>
      </c>
      <c r="AA404" s="2" t="s">
        <v>71</v>
      </c>
      <c r="AB404" s="2" t="s">
        <v>119</v>
      </c>
      <c r="AC404" s="2" t="s">
        <v>119</v>
      </c>
      <c r="AF404" s="2">
        <f t="shared" si="54"/>
        <v>0</v>
      </c>
      <c r="AJ404" s="2">
        <f t="shared" si="55"/>
        <v>0</v>
      </c>
      <c r="AK404" s="2">
        <f t="shared" si="56"/>
        <v>1.4700000000000006</v>
      </c>
      <c r="AL404" s="5">
        <f t="shared" si="57"/>
        <v>0.24915254237288145</v>
      </c>
    </row>
    <row r="405" spans="1:38" x14ac:dyDescent="0.2">
      <c r="A405" s="2">
        <v>2025</v>
      </c>
      <c r="B405" s="2">
        <v>2</v>
      </c>
      <c r="C405" s="2" t="s">
        <v>3308</v>
      </c>
      <c r="D405" s="2" t="s">
        <v>761</v>
      </c>
      <c r="E405" s="2" t="s">
        <v>38</v>
      </c>
      <c r="F405" s="2" t="s">
        <v>39</v>
      </c>
      <c r="G405" s="2">
        <v>513685359</v>
      </c>
      <c r="H405" s="2" t="s">
        <v>41</v>
      </c>
      <c r="I405" s="2" t="s">
        <v>762</v>
      </c>
      <c r="J405" s="2" t="s">
        <v>763</v>
      </c>
      <c r="K405" s="2">
        <v>935546812</v>
      </c>
      <c r="L405" s="2" t="s">
        <v>418</v>
      </c>
      <c r="M405" s="2" t="s">
        <v>41</v>
      </c>
      <c r="P405" s="2" t="s">
        <v>43</v>
      </c>
      <c r="Q405" s="2" t="s">
        <v>54</v>
      </c>
      <c r="R405" s="2" t="s">
        <v>55</v>
      </c>
      <c r="S405" s="2">
        <v>2</v>
      </c>
      <c r="T405" s="2">
        <v>36</v>
      </c>
      <c r="U405" s="2">
        <v>8.2800000000000011</v>
      </c>
      <c r="V405" s="2">
        <v>44.28</v>
      </c>
      <c r="W405" s="2">
        <f>10.6*S405</f>
        <v>21.2</v>
      </c>
      <c r="X405" s="5">
        <f t="shared" si="58"/>
        <v>0.41111111111111115</v>
      </c>
      <c r="Z405" s="2" t="s">
        <v>3227</v>
      </c>
      <c r="AA405" s="2" t="s">
        <v>46</v>
      </c>
      <c r="AB405" s="2" t="s">
        <v>56</v>
      </c>
      <c r="AC405" s="2" t="s">
        <v>57</v>
      </c>
      <c r="AF405" s="2">
        <f t="shared" si="54"/>
        <v>0</v>
      </c>
      <c r="AG405" s="2">
        <v>10.6</v>
      </c>
      <c r="AH405" s="2">
        <v>18</v>
      </c>
      <c r="AJ405" s="2">
        <f t="shared" si="55"/>
        <v>0</v>
      </c>
      <c r="AK405" s="2">
        <f t="shared" si="56"/>
        <v>14.8</v>
      </c>
      <c r="AL405" s="5">
        <f t="shared" si="57"/>
        <v>0.41111111111111115</v>
      </c>
    </row>
    <row r="406" spans="1:38" x14ac:dyDescent="0.2">
      <c r="A406" s="2">
        <v>2025</v>
      </c>
      <c r="B406" s="2">
        <v>2</v>
      </c>
      <c r="C406" s="2" t="s">
        <v>3308</v>
      </c>
      <c r="D406" s="2" t="s">
        <v>761</v>
      </c>
      <c r="E406" s="2" t="s">
        <v>38</v>
      </c>
      <c r="F406" s="2" t="s">
        <v>39</v>
      </c>
      <c r="G406" s="2">
        <v>513685359</v>
      </c>
      <c r="H406" s="2" t="s">
        <v>41</v>
      </c>
      <c r="I406" s="2" t="s">
        <v>762</v>
      </c>
      <c r="J406" s="2" t="s">
        <v>763</v>
      </c>
      <c r="K406" s="2">
        <v>935546812</v>
      </c>
      <c r="L406" s="2" t="s">
        <v>418</v>
      </c>
      <c r="M406" s="2" t="s">
        <v>41</v>
      </c>
      <c r="P406" s="2" t="s">
        <v>43</v>
      </c>
      <c r="Q406" s="2" t="s">
        <v>61</v>
      </c>
      <c r="R406" s="2" t="s">
        <v>62</v>
      </c>
      <c r="S406" s="2">
        <v>100</v>
      </c>
      <c r="T406" s="2">
        <v>13</v>
      </c>
      <c r="U406" s="2">
        <v>2.99</v>
      </c>
      <c r="V406" s="2">
        <v>15.99</v>
      </c>
      <c r="W406" s="2">
        <f>0.082*S406</f>
        <v>8.2000000000000011</v>
      </c>
      <c r="X406" s="5">
        <f t="shared" si="58"/>
        <v>0.36923076923076914</v>
      </c>
      <c r="Z406" s="2" t="s">
        <v>3227</v>
      </c>
      <c r="AA406" s="2" t="s">
        <v>46</v>
      </c>
      <c r="AB406" s="2" t="s">
        <v>60</v>
      </c>
      <c r="AC406" s="2" t="s">
        <v>57</v>
      </c>
      <c r="AF406" s="2">
        <f t="shared" si="54"/>
        <v>0</v>
      </c>
      <c r="AG406" s="2">
        <v>8.1999999999999993</v>
      </c>
      <c r="AH406" s="2">
        <v>13</v>
      </c>
      <c r="AJ406" s="2">
        <f t="shared" si="55"/>
        <v>0</v>
      </c>
      <c r="AK406" s="2">
        <f t="shared" si="56"/>
        <v>4.7999999999999989</v>
      </c>
      <c r="AL406" s="5">
        <f t="shared" si="57"/>
        <v>0.36923076923076914</v>
      </c>
    </row>
    <row r="407" spans="1:38" x14ac:dyDescent="0.2">
      <c r="A407" s="2">
        <v>2025</v>
      </c>
      <c r="B407" s="2">
        <v>2</v>
      </c>
      <c r="D407" s="2" t="s">
        <v>365</v>
      </c>
      <c r="E407" s="2" t="s">
        <v>183</v>
      </c>
      <c r="F407" s="2" t="s">
        <v>366</v>
      </c>
      <c r="G407" s="2">
        <v>501423192</v>
      </c>
      <c r="H407" s="2" t="s">
        <v>40</v>
      </c>
      <c r="I407" s="2" t="s">
        <v>367</v>
      </c>
      <c r="J407" s="2" t="s">
        <v>368</v>
      </c>
      <c r="L407" s="2" t="s">
        <v>99</v>
      </c>
      <c r="M407" s="2" t="s">
        <v>80</v>
      </c>
      <c r="O407" s="2" t="s">
        <v>764</v>
      </c>
      <c r="P407" s="2" t="s">
        <v>72</v>
      </c>
      <c r="Q407" s="2" t="s">
        <v>73</v>
      </c>
      <c r="R407" s="2" t="s">
        <v>74</v>
      </c>
      <c r="S407" s="2">
        <v>1</v>
      </c>
      <c r="T407" s="2">
        <v>210</v>
      </c>
      <c r="U407" s="2">
        <v>48.3</v>
      </c>
      <c r="V407" s="2">
        <v>258.3</v>
      </c>
      <c r="W407" s="2">
        <v>117.453</v>
      </c>
      <c r="X407" s="5">
        <f t="shared" si="58"/>
        <v>0.44069999999999998</v>
      </c>
      <c r="Z407" s="2" t="s">
        <v>3227</v>
      </c>
      <c r="AA407" s="2" t="s">
        <v>75</v>
      </c>
      <c r="AB407" s="2" t="s">
        <v>76</v>
      </c>
      <c r="AC407" s="2" t="s">
        <v>77</v>
      </c>
      <c r="AF407" s="2">
        <f t="shared" si="54"/>
        <v>0</v>
      </c>
      <c r="AG407" s="2">
        <v>117.453</v>
      </c>
      <c r="AH407" s="2">
        <v>220</v>
      </c>
      <c r="AJ407" s="2">
        <f t="shared" si="55"/>
        <v>0</v>
      </c>
      <c r="AK407" s="2">
        <f t="shared" si="56"/>
        <v>92.546999999999997</v>
      </c>
      <c r="AL407" s="5">
        <f t="shared" si="57"/>
        <v>0.44069999999999998</v>
      </c>
    </row>
    <row r="408" spans="1:38" x14ac:dyDescent="0.2">
      <c r="A408" s="2">
        <v>2025</v>
      </c>
      <c r="B408" s="2">
        <v>2</v>
      </c>
      <c r="D408" s="2" t="s">
        <v>365</v>
      </c>
      <c r="E408" s="2" t="s">
        <v>183</v>
      </c>
      <c r="F408" s="2" t="s">
        <v>366</v>
      </c>
      <c r="G408" s="2">
        <v>501423192</v>
      </c>
      <c r="H408" s="2" t="s">
        <v>40</v>
      </c>
      <c r="I408" s="2" t="s">
        <v>367</v>
      </c>
      <c r="J408" s="2" t="s">
        <v>368</v>
      </c>
      <c r="L408" s="2" t="s">
        <v>99</v>
      </c>
      <c r="M408" s="2" t="s">
        <v>80</v>
      </c>
      <c r="O408" s="2" t="s">
        <v>764</v>
      </c>
      <c r="P408" s="2" t="s">
        <v>93</v>
      </c>
      <c r="Q408" s="2" t="s">
        <v>94</v>
      </c>
      <c r="R408" s="2" t="s">
        <v>95</v>
      </c>
      <c r="S408" s="2">
        <v>1</v>
      </c>
      <c r="T408" s="2">
        <v>1.1399999999999999</v>
      </c>
      <c r="U408" s="2">
        <v>0.26219999999999999</v>
      </c>
      <c r="V408" s="2">
        <v>1.4021999999999999</v>
      </c>
      <c r="W408" s="2">
        <v>1.1399999999999999</v>
      </c>
      <c r="X408" s="5">
        <f t="shared" si="58"/>
        <v>0</v>
      </c>
      <c r="Z408" s="2" t="s">
        <v>3227</v>
      </c>
      <c r="AA408" s="2" t="s">
        <v>96</v>
      </c>
      <c r="AB408" s="2" t="s">
        <v>76</v>
      </c>
      <c r="AC408" s="2" t="s">
        <v>93</v>
      </c>
      <c r="AF408" s="2">
        <f t="shared" si="54"/>
        <v>0</v>
      </c>
      <c r="AJ408" s="2">
        <f t="shared" si="55"/>
        <v>0</v>
      </c>
      <c r="AK408" s="2">
        <f t="shared" si="56"/>
        <v>0</v>
      </c>
      <c r="AL408" s="5">
        <f t="shared" si="57"/>
        <v>0</v>
      </c>
    </row>
    <row r="409" spans="1:38" x14ac:dyDescent="0.2">
      <c r="A409" s="2">
        <v>2025</v>
      </c>
      <c r="B409" s="2">
        <v>2</v>
      </c>
      <c r="D409" s="2" t="s">
        <v>765</v>
      </c>
      <c r="E409" s="2" t="s">
        <v>38</v>
      </c>
      <c r="F409" s="2" t="s">
        <v>39</v>
      </c>
      <c r="G409" s="2">
        <v>513686231</v>
      </c>
      <c r="H409" s="2" t="s">
        <v>290</v>
      </c>
      <c r="I409" s="2" t="s">
        <v>766</v>
      </c>
      <c r="J409" s="2" t="s">
        <v>767</v>
      </c>
      <c r="L409" s="2" t="s">
        <v>480</v>
      </c>
      <c r="M409" s="2" t="s">
        <v>80</v>
      </c>
      <c r="O409" s="2" t="s">
        <v>768</v>
      </c>
      <c r="P409" s="2" t="s">
        <v>43</v>
      </c>
      <c r="Q409" s="2" t="s">
        <v>234</v>
      </c>
      <c r="R409" s="2" t="s">
        <v>235</v>
      </c>
      <c r="S409" s="2">
        <v>1</v>
      </c>
      <c r="T409" s="2">
        <v>13.2</v>
      </c>
      <c r="U409" s="2">
        <v>3.036</v>
      </c>
      <c r="V409" s="2">
        <v>16.236000000000001</v>
      </c>
      <c r="W409" s="2">
        <v>7.2217000000000002</v>
      </c>
      <c r="X409" s="5">
        <f t="shared" si="58"/>
        <v>0.45290151515151511</v>
      </c>
      <c r="Z409" s="2" t="s">
        <v>3227</v>
      </c>
      <c r="AA409" s="2" t="s">
        <v>46</v>
      </c>
      <c r="AB409" s="2" t="s">
        <v>56</v>
      </c>
      <c r="AC409" s="2" t="s">
        <v>57</v>
      </c>
      <c r="AF409" s="2">
        <f t="shared" si="54"/>
        <v>0</v>
      </c>
      <c r="AG409" s="2">
        <v>7.2217000000000002</v>
      </c>
      <c r="AH409" s="2">
        <v>14.4</v>
      </c>
      <c r="AJ409" s="2">
        <f t="shared" si="55"/>
        <v>0</v>
      </c>
      <c r="AK409" s="2">
        <f t="shared" si="56"/>
        <v>5.9782999999999991</v>
      </c>
      <c r="AL409" s="5">
        <f t="shared" si="57"/>
        <v>0.45290151515151511</v>
      </c>
    </row>
    <row r="410" spans="1:38" x14ac:dyDescent="0.2">
      <c r="A410" s="2">
        <v>2025</v>
      </c>
      <c r="B410" s="2">
        <v>2</v>
      </c>
      <c r="D410" s="2" t="s">
        <v>765</v>
      </c>
      <c r="E410" s="2" t="s">
        <v>38</v>
      </c>
      <c r="G410" s="2">
        <v>513686231</v>
      </c>
      <c r="H410" s="2" t="s">
        <v>290</v>
      </c>
      <c r="I410" s="2" t="s">
        <v>766</v>
      </c>
      <c r="J410" s="2" t="s">
        <v>767</v>
      </c>
      <c r="L410" s="2" t="s">
        <v>480</v>
      </c>
      <c r="M410" s="2" t="s">
        <v>80</v>
      </c>
      <c r="O410" s="2" t="s">
        <v>768</v>
      </c>
      <c r="P410" s="2" t="s">
        <v>43</v>
      </c>
      <c r="Q410" s="2" t="s">
        <v>236</v>
      </c>
      <c r="R410" s="2" t="s">
        <v>237</v>
      </c>
      <c r="S410" s="2">
        <v>3</v>
      </c>
      <c r="T410" s="2">
        <v>48.6</v>
      </c>
      <c r="U410" s="2">
        <v>11.178000000000001</v>
      </c>
      <c r="V410" s="2">
        <v>59.778000000000013</v>
      </c>
      <c r="W410" s="2">
        <f>9.075*S410</f>
        <v>27.224999999999998</v>
      </c>
      <c r="X410" s="5">
        <f t="shared" si="58"/>
        <v>0.43981481481481488</v>
      </c>
      <c r="Z410" s="2" t="s">
        <v>3227</v>
      </c>
      <c r="AA410" s="2" t="s">
        <v>46</v>
      </c>
      <c r="AB410" s="2" t="s">
        <v>56</v>
      </c>
      <c r="AC410" s="2" t="s">
        <v>57</v>
      </c>
      <c r="AF410" s="2">
        <f t="shared" si="54"/>
        <v>0</v>
      </c>
      <c r="AG410" s="2">
        <v>9.0749999999999993</v>
      </c>
      <c r="AJ410" s="2">
        <f t="shared" si="55"/>
        <v>0</v>
      </c>
      <c r="AK410" s="2">
        <f t="shared" si="56"/>
        <v>21.375000000000004</v>
      </c>
      <c r="AL410" s="5">
        <f t="shared" si="57"/>
        <v>0.43981481481481488</v>
      </c>
    </row>
    <row r="411" spans="1:38" x14ac:dyDescent="0.2">
      <c r="A411" s="2">
        <v>2025</v>
      </c>
      <c r="B411" s="2">
        <v>2</v>
      </c>
      <c r="D411" s="2" t="s">
        <v>765</v>
      </c>
      <c r="E411" s="2" t="s">
        <v>38</v>
      </c>
      <c r="G411" s="2">
        <v>513686231</v>
      </c>
      <c r="H411" s="2" t="s">
        <v>290</v>
      </c>
      <c r="I411" s="2" t="s">
        <v>766</v>
      </c>
      <c r="J411" s="2" t="s">
        <v>767</v>
      </c>
      <c r="L411" s="2" t="s">
        <v>480</v>
      </c>
      <c r="M411" s="2" t="s">
        <v>80</v>
      </c>
      <c r="O411" s="2" t="s">
        <v>768</v>
      </c>
      <c r="P411" s="2" t="s">
        <v>43</v>
      </c>
      <c r="Q411" s="2" t="s">
        <v>242</v>
      </c>
      <c r="R411" s="2" t="s">
        <v>243</v>
      </c>
      <c r="S411" s="2">
        <v>2</v>
      </c>
      <c r="T411" s="2">
        <v>57.6</v>
      </c>
      <c r="U411" s="2">
        <v>13.247999999999999</v>
      </c>
      <c r="V411" s="2">
        <v>70.847999999999999</v>
      </c>
      <c r="W411" s="2">
        <f>16.2249*S411</f>
        <v>32.449800000000003</v>
      </c>
      <c r="X411" s="5">
        <f t="shared" si="58"/>
        <v>0.43663541666666661</v>
      </c>
      <c r="Z411" s="2" t="s">
        <v>3227</v>
      </c>
      <c r="AA411" s="2" t="s">
        <v>46</v>
      </c>
      <c r="AB411" s="2" t="s">
        <v>56</v>
      </c>
      <c r="AC411" s="2" t="s">
        <v>57</v>
      </c>
      <c r="AF411" s="2">
        <f t="shared" si="54"/>
        <v>0</v>
      </c>
      <c r="AG411" s="2">
        <v>16.224900000000002</v>
      </c>
      <c r="AJ411" s="2">
        <f t="shared" si="55"/>
        <v>0</v>
      </c>
      <c r="AK411" s="2">
        <f t="shared" si="56"/>
        <v>25.150199999999998</v>
      </c>
      <c r="AL411" s="5">
        <f t="shared" si="57"/>
        <v>0.43663541666666661</v>
      </c>
    </row>
    <row r="412" spans="1:38" x14ac:dyDescent="0.2">
      <c r="A412" s="2">
        <v>2025</v>
      </c>
      <c r="B412" s="2">
        <v>2</v>
      </c>
      <c r="D412" s="2" t="s">
        <v>769</v>
      </c>
      <c r="E412" s="2" t="s">
        <v>108</v>
      </c>
      <c r="F412" s="2" t="s">
        <v>376</v>
      </c>
      <c r="G412" s="2">
        <v>505926768</v>
      </c>
      <c r="H412" s="2" t="s">
        <v>290</v>
      </c>
      <c r="I412" s="2" t="s">
        <v>770</v>
      </c>
      <c r="J412" s="2" t="s">
        <v>771</v>
      </c>
      <c r="L412" s="2" t="s">
        <v>339</v>
      </c>
      <c r="M412" s="2" t="s">
        <v>80</v>
      </c>
      <c r="O412" s="2" t="s">
        <v>772</v>
      </c>
      <c r="P412" s="2" t="s">
        <v>72</v>
      </c>
      <c r="Q412" s="2" t="s">
        <v>773</v>
      </c>
      <c r="R412" s="2" t="s">
        <v>483</v>
      </c>
      <c r="S412" s="2">
        <v>1</v>
      </c>
      <c r="T412" s="2">
        <v>181.24</v>
      </c>
      <c r="U412" s="2">
        <v>41.685200000000002</v>
      </c>
      <c r="V412" s="2">
        <v>222.92519999999999</v>
      </c>
      <c r="W412" s="2">
        <f>98.28+7.82</f>
        <v>106.1</v>
      </c>
      <c r="X412" s="5">
        <f t="shared" si="58"/>
        <v>0.41458839108364604</v>
      </c>
      <c r="Z412" s="2" t="s">
        <v>3227</v>
      </c>
      <c r="AA412" s="2" t="s">
        <v>75</v>
      </c>
      <c r="AB412" s="2" t="s">
        <v>76</v>
      </c>
      <c r="AC412" s="2" t="s">
        <v>77</v>
      </c>
      <c r="AF412" s="2">
        <f t="shared" si="54"/>
        <v>0</v>
      </c>
      <c r="AJ412" s="2">
        <f t="shared" si="55"/>
        <v>0</v>
      </c>
      <c r="AK412" s="2">
        <f t="shared" si="56"/>
        <v>75.140000000000015</v>
      </c>
      <c r="AL412" s="5">
        <f t="shared" si="57"/>
        <v>0.41458839108364604</v>
      </c>
    </row>
    <row r="413" spans="1:38" x14ac:dyDescent="0.2">
      <c r="A413" s="2">
        <v>2025</v>
      </c>
      <c r="B413" s="2">
        <v>2</v>
      </c>
      <c r="D413" s="2" t="s">
        <v>769</v>
      </c>
      <c r="E413" s="2" t="s">
        <v>108</v>
      </c>
      <c r="F413" s="2" t="s">
        <v>376</v>
      </c>
      <c r="G413" s="2">
        <v>505926768</v>
      </c>
      <c r="H413" s="2" t="s">
        <v>290</v>
      </c>
      <c r="I413" s="2" t="s">
        <v>770</v>
      </c>
      <c r="J413" s="2" t="s">
        <v>771</v>
      </c>
      <c r="L413" s="2" t="s">
        <v>339</v>
      </c>
      <c r="M413" s="2" t="s">
        <v>80</v>
      </c>
      <c r="O413" s="2" t="s">
        <v>772</v>
      </c>
      <c r="P413" s="2" t="s">
        <v>93</v>
      </c>
      <c r="Q413" s="2" t="s">
        <v>94</v>
      </c>
      <c r="R413" s="2" t="s">
        <v>95</v>
      </c>
      <c r="S413" s="2">
        <v>1</v>
      </c>
      <c r="T413" s="2">
        <v>1.1399999999999999</v>
      </c>
      <c r="U413" s="2">
        <v>0.26219999999999999</v>
      </c>
      <c r="V413" s="2">
        <v>1.4021999999999999</v>
      </c>
      <c r="W413" s="2">
        <v>1.1399999999999999</v>
      </c>
      <c r="X413" s="5">
        <f t="shared" si="58"/>
        <v>0</v>
      </c>
      <c r="Z413" s="2" t="s">
        <v>3227</v>
      </c>
      <c r="AA413" s="2" t="s">
        <v>96</v>
      </c>
      <c r="AB413" s="2" t="s">
        <v>76</v>
      </c>
      <c r="AC413" s="2" t="s">
        <v>93</v>
      </c>
      <c r="AF413" s="2">
        <f t="shared" si="54"/>
        <v>0</v>
      </c>
      <c r="AG413" s="2">
        <v>1.1399999999999999</v>
      </c>
      <c r="AH413" s="2">
        <v>1.1399999999999999</v>
      </c>
      <c r="AJ413" s="2">
        <f t="shared" si="55"/>
        <v>0</v>
      </c>
      <c r="AK413" s="2">
        <f t="shared" si="56"/>
        <v>0</v>
      </c>
      <c r="AL413" s="5">
        <f t="shared" si="57"/>
        <v>0</v>
      </c>
    </row>
    <row r="414" spans="1:38" x14ac:dyDescent="0.2">
      <c r="A414" s="2">
        <v>2025</v>
      </c>
      <c r="B414" s="2">
        <v>2</v>
      </c>
      <c r="D414" s="2" t="s">
        <v>774</v>
      </c>
      <c r="P414" s="2" t="s">
        <v>72</v>
      </c>
      <c r="Q414" s="2" t="s">
        <v>773</v>
      </c>
      <c r="R414" s="2" t="s">
        <v>483</v>
      </c>
      <c r="S414" s="2">
        <v>1</v>
      </c>
      <c r="T414" s="2">
        <v>181.24</v>
      </c>
      <c r="U414" s="2">
        <v>41.685200000000002</v>
      </c>
      <c r="V414" s="2">
        <v>222.92519999999999</v>
      </c>
      <c r="W414" s="2">
        <v>106.1</v>
      </c>
      <c r="X414" s="5">
        <f t="shared" si="58"/>
        <v>0.41458839108364604</v>
      </c>
      <c r="Z414" s="2" t="s">
        <v>3227</v>
      </c>
      <c r="AA414" s="2" t="s">
        <v>75</v>
      </c>
      <c r="AB414" s="2" t="s">
        <v>76</v>
      </c>
      <c r="AC414" s="2" t="s">
        <v>77</v>
      </c>
      <c r="AF414" s="2">
        <f t="shared" si="54"/>
        <v>0</v>
      </c>
      <c r="AJ414" s="2">
        <f t="shared" si="55"/>
        <v>0</v>
      </c>
      <c r="AK414" s="2">
        <f t="shared" si="56"/>
        <v>75.140000000000015</v>
      </c>
      <c r="AL414" s="5">
        <f t="shared" si="57"/>
        <v>0.41458839108364604</v>
      </c>
    </row>
    <row r="415" spans="1:38" x14ac:dyDescent="0.2">
      <c r="A415" s="2">
        <v>2025</v>
      </c>
      <c r="B415" s="2">
        <v>2</v>
      </c>
      <c r="D415" s="2" t="s">
        <v>774</v>
      </c>
      <c r="P415" s="2" t="s">
        <v>93</v>
      </c>
      <c r="Q415" s="2" t="s">
        <v>94</v>
      </c>
      <c r="R415" s="2" t="s">
        <v>95</v>
      </c>
      <c r="S415" s="2">
        <v>1</v>
      </c>
      <c r="T415" s="2">
        <v>1.1399999999999999</v>
      </c>
      <c r="U415" s="2">
        <v>0.26219999999999999</v>
      </c>
      <c r="V415" s="2">
        <v>1.4021999999999999</v>
      </c>
      <c r="W415" s="2">
        <v>1.1399999999999999</v>
      </c>
      <c r="X415" s="5">
        <f t="shared" si="58"/>
        <v>0</v>
      </c>
      <c r="Z415" s="2" t="s">
        <v>3227</v>
      </c>
      <c r="AA415" s="2" t="s">
        <v>96</v>
      </c>
      <c r="AB415" s="2" t="s">
        <v>76</v>
      </c>
      <c r="AC415" s="2" t="s">
        <v>93</v>
      </c>
      <c r="AF415" s="2">
        <f t="shared" si="54"/>
        <v>0</v>
      </c>
      <c r="AJ415" s="2">
        <f t="shared" si="55"/>
        <v>0</v>
      </c>
      <c r="AK415" s="2">
        <f t="shared" si="56"/>
        <v>0</v>
      </c>
      <c r="AL415" s="5">
        <f t="shared" si="57"/>
        <v>0</v>
      </c>
    </row>
    <row r="416" spans="1:38" x14ac:dyDescent="0.2">
      <c r="A416" s="2">
        <v>2025</v>
      </c>
      <c r="B416" s="2">
        <v>2</v>
      </c>
      <c r="D416" s="2" t="s">
        <v>775</v>
      </c>
      <c r="E416" s="2" t="s">
        <v>38</v>
      </c>
      <c r="F416" s="2" t="s">
        <v>39</v>
      </c>
      <c r="G416" s="2">
        <v>507324560</v>
      </c>
      <c r="H416" s="2" t="s">
        <v>40</v>
      </c>
      <c r="I416" s="2" t="s">
        <v>776</v>
      </c>
      <c r="J416" s="2" t="s">
        <v>777</v>
      </c>
      <c r="L416" s="2" t="s">
        <v>339</v>
      </c>
      <c r="M416" s="2" t="s">
        <v>40</v>
      </c>
      <c r="O416" s="2" t="s">
        <v>778</v>
      </c>
      <c r="P416" s="2" t="s">
        <v>114</v>
      </c>
      <c r="Q416" s="2" t="s">
        <v>779</v>
      </c>
      <c r="R416" s="2" t="s">
        <v>780</v>
      </c>
      <c r="S416" s="2">
        <v>2</v>
      </c>
      <c r="T416" s="2">
        <v>145.07</v>
      </c>
      <c r="U416" s="2">
        <v>33.366100000000003</v>
      </c>
      <c r="V416" s="2">
        <v>178.43610000000001</v>
      </c>
      <c r="W416" s="2">
        <f>36.2258*S416</f>
        <v>72.451599999999999</v>
      </c>
      <c r="X416" s="5">
        <f t="shared" si="58"/>
        <v>0.50057489487833462</v>
      </c>
      <c r="Z416" s="2" t="s">
        <v>117</v>
      </c>
      <c r="AA416" s="2" t="s">
        <v>118</v>
      </c>
      <c r="AB416" s="2" t="s">
        <v>119</v>
      </c>
      <c r="AC416" s="2" t="s">
        <v>114</v>
      </c>
      <c r="AF416" s="2">
        <f t="shared" si="54"/>
        <v>0</v>
      </c>
      <c r="AJ416" s="2">
        <f t="shared" si="55"/>
        <v>0</v>
      </c>
      <c r="AK416" s="2">
        <f t="shared" si="56"/>
        <v>72.618399999999994</v>
      </c>
      <c r="AL416" s="5">
        <f t="shared" si="57"/>
        <v>0.50057489487833462</v>
      </c>
    </row>
    <row r="417" spans="1:38" x14ac:dyDescent="0.2">
      <c r="A417" s="2">
        <v>2025</v>
      </c>
      <c r="B417" s="2">
        <v>2</v>
      </c>
      <c r="D417" s="2" t="s">
        <v>781</v>
      </c>
      <c r="E417" s="2" t="s">
        <v>38</v>
      </c>
      <c r="F417" s="2" t="s">
        <v>39</v>
      </c>
      <c r="G417" s="2">
        <v>510219675</v>
      </c>
      <c r="H417" s="2" t="s">
        <v>40</v>
      </c>
      <c r="I417" s="2" t="s">
        <v>782</v>
      </c>
      <c r="J417" s="2" t="s">
        <v>783</v>
      </c>
      <c r="K417" s="2">
        <v>917341136</v>
      </c>
      <c r="L417" s="2" t="s">
        <v>99</v>
      </c>
      <c r="P417" s="2" t="s">
        <v>84</v>
      </c>
      <c r="Q417" s="2" t="s">
        <v>270</v>
      </c>
      <c r="R417" s="2" t="s">
        <v>271</v>
      </c>
      <c r="S417" s="2">
        <v>1</v>
      </c>
      <c r="T417" s="2">
        <v>10.199999999999999</v>
      </c>
      <c r="U417" s="2">
        <v>2.3460000000000001</v>
      </c>
      <c r="V417" s="2">
        <v>12.545999999999999</v>
      </c>
      <c r="W417" s="2">
        <v>6.86</v>
      </c>
      <c r="X417" s="5">
        <f t="shared" si="58"/>
        <v>0.32745098039215681</v>
      </c>
      <c r="Z417" s="2" t="s">
        <v>3227</v>
      </c>
      <c r="AA417" s="2" t="s">
        <v>87</v>
      </c>
      <c r="AB417" s="2" t="s">
        <v>90</v>
      </c>
      <c r="AC417" s="2" t="s">
        <v>84</v>
      </c>
      <c r="AF417" s="2">
        <f t="shared" si="54"/>
        <v>0</v>
      </c>
      <c r="AJ417" s="2">
        <f t="shared" si="55"/>
        <v>0</v>
      </c>
      <c r="AK417" s="2">
        <f t="shared" si="56"/>
        <v>3.339999999999999</v>
      </c>
      <c r="AL417" s="5">
        <f t="shared" si="57"/>
        <v>0.32745098039215681</v>
      </c>
    </row>
    <row r="418" spans="1:38" x14ac:dyDescent="0.2">
      <c r="A418" s="2">
        <v>2025</v>
      </c>
      <c r="B418" s="2">
        <v>2</v>
      </c>
      <c r="D418" s="2" t="s">
        <v>784</v>
      </c>
      <c r="E418" s="2" t="s">
        <v>38</v>
      </c>
      <c r="F418" s="2" t="s">
        <v>39</v>
      </c>
      <c r="G418" s="2">
        <v>228518342</v>
      </c>
      <c r="H418" s="2" t="s">
        <v>41</v>
      </c>
      <c r="I418" s="2" t="s">
        <v>177</v>
      </c>
      <c r="J418" s="2" t="s">
        <v>785</v>
      </c>
      <c r="L418" s="2" t="s">
        <v>177</v>
      </c>
      <c r="M418" s="2" t="s">
        <v>41</v>
      </c>
      <c r="O418" s="2" t="s">
        <v>786</v>
      </c>
      <c r="P418" s="2" t="s">
        <v>43</v>
      </c>
      <c r="Q418" s="2" t="s">
        <v>351</v>
      </c>
      <c r="R418" s="2" t="s">
        <v>352</v>
      </c>
      <c r="S418" s="2">
        <v>1</v>
      </c>
      <c r="T418" s="2">
        <v>18</v>
      </c>
      <c r="U418" s="2">
        <v>4.1400000000000006</v>
      </c>
      <c r="V418" s="2">
        <v>22.14</v>
      </c>
      <c r="W418" s="2">
        <v>10.67</v>
      </c>
      <c r="X418" s="5">
        <f t="shared" si="58"/>
        <v>0.40722222222222221</v>
      </c>
      <c r="Z418" s="2" t="s">
        <v>3227</v>
      </c>
      <c r="AA418" s="2" t="s">
        <v>46</v>
      </c>
      <c r="AB418" s="2" t="s">
        <v>47</v>
      </c>
      <c r="AC418" s="2" t="s">
        <v>57</v>
      </c>
      <c r="AF418" s="2">
        <f t="shared" si="54"/>
        <v>0</v>
      </c>
      <c r="AG418" s="2">
        <v>10.67</v>
      </c>
      <c r="AH418" s="2">
        <v>21</v>
      </c>
      <c r="AJ418" s="2">
        <f t="shared" si="55"/>
        <v>0</v>
      </c>
      <c r="AK418" s="2">
        <f t="shared" si="56"/>
        <v>7.33</v>
      </c>
      <c r="AL418" s="5">
        <f t="shared" si="57"/>
        <v>0.40722222222222221</v>
      </c>
    </row>
    <row r="419" spans="1:38" x14ac:dyDescent="0.2">
      <c r="A419" s="2">
        <v>2025</v>
      </c>
      <c r="B419" s="2">
        <v>2</v>
      </c>
      <c r="C419" s="2" t="s">
        <v>3304</v>
      </c>
      <c r="D419" s="2" t="s">
        <v>787</v>
      </c>
      <c r="E419" s="2" t="s">
        <v>38</v>
      </c>
      <c r="F419" s="2" t="s">
        <v>39</v>
      </c>
      <c r="H419" s="2" t="s">
        <v>41</v>
      </c>
      <c r="I419" s="2" t="s">
        <v>3371</v>
      </c>
      <c r="L419" s="2" t="s">
        <v>418</v>
      </c>
      <c r="M419" s="2" t="s">
        <v>40</v>
      </c>
      <c r="P419" s="2" t="s">
        <v>114</v>
      </c>
      <c r="Q419" s="2" t="s">
        <v>373</v>
      </c>
      <c r="R419" s="2" t="s">
        <v>374</v>
      </c>
      <c r="S419" s="2">
        <v>1</v>
      </c>
      <c r="T419" s="2">
        <v>45.07</v>
      </c>
      <c r="U419" s="2">
        <v>10.366099999999999</v>
      </c>
      <c r="V419" s="2">
        <v>55.436100000000003</v>
      </c>
      <c r="W419" s="2">
        <f>23.042*S419</f>
        <v>23.042000000000002</v>
      </c>
      <c r="X419" s="5">
        <f t="shared" si="58"/>
        <v>0.48875083203905034</v>
      </c>
      <c r="Z419" s="2" t="s">
        <v>117</v>
      </c>
      <c r="AA419" s="2" t="s">
        <v>118</v>
      </c>
      <c r="AB419" s="2" t="s">
        <v>119</v>
      </c>
      <c r="AC419" s="2" t="s">
        <v>114</v>
      </c>
      <c r="AF419" s="2">
        <f t="shared" si="54"/>
        <v>0</v>
      </c>
      <c r="AJ419" s="2">
        <f t="shared" si="55"/>
        <v>0</v>
      </c>
      <c r="AK419" s="2">
        <f t="shared" si="56"/>
        <v>22.027999999999999</v>
      </c>
      <c r="AL419" s="5">
        <f t="shared" si="57"/>
        <v>0.48875083203905034</v>
      </c>
    </row>
    <row r="420" spans="1:38" x14ac:dyDescent="0.2">
      <c r="A420" s="2">
        <v>2025</v>
      </c>
      <c r="B420" s="2">
        <v>2</v>
      </c>
      <c r="C420" s="2" t="s">
        <v>3304</v>
      </c>
      <c r="D420" s="2" t="s">
        <v>787</v>
      </c>
      <c r="E420" s="2" t="s">
        <v>38</v>
      </c>
      <c r="F420" s="2" t="s">
        <v>39</v>
      </c>
      <c r="H420" s="2" t="s">
        <v>41</v>
      </c>
      <c r="I420" s="2" t="s">
        <v>3371</v>
      </c>
      <c r="L420" s="2" t="s">
        <v>418</v>
      </c>
      <c r="M420" s="2" t="s">
        <v>41</v>
      </c>
      <c r="P420" s="2" t="s">
        <v>43</v>
      </c>
      <c r="Q420" s="2" t="s">
        <v>250</v>
      </c>
      <c r="R420" s="2" t="s">
        <v>251</v>
      </c>
      <c r="S420" s="2">
        <v>1</v>
      </c>
      <c r="T420" s="2">
        <v>60</v>
      </c>
      <c r="U420" s="2">
        <v>13.8</v>
      </c>
      <c r="V420" s="2">
        <v>73.8</v>
      </c>
      <c r="W420" s="2">
        <f>25.0958*S420</f>
        <v>25.095800000000001</v>
      </c>
      <c r="X420" s="5">
        <f t="shared" si="58"/>
        <v>0.58173666666666668</v>
      </c>
      <c r="Z420" s="2" t="s">
        <v>3227</v>
      </c>
      <c r="AA420" s="2" t="s">
        <v>46</v>
      </c>
      <c r="AB420" s="2" t="s">
        <v>90</v>
      </c>
      <c r="AC420" s="2" t="s">
        <v>57</v>
      </c>
      <c r="AF420" s="2">
        <f t="shared" si="54"/>
        <v>0</v>
      </c>
      <c r="AJ420" s="2">
        <f t="shared" si="55"/>
        <v>0</v>
      </c>
      <c r="AK420" s="2">
        <f t="shared" si="56"/>
        <v>34.904200000000003</v>
      </c>
      <c r="AL420" s="5">
        <f t="shared" si="57"/>
        <v>0.58173666666666668</v>
      </c>
    </row>
    <row r="421" spans="1:38" x14ac:dyDescent="0.2">
      <c r="A421" s="2">
        <v>2025</v>
      </c>
      <c r="B421" s="2">
        <v>2</v>
      </c>
      <c r="D421" s="2" t="s">
        <v>788</v>
      </c>
      <c r="E421" s="2" t="s">
        <v>38</v>
      </c>
      <c r="F421" s="2" t="s">
        <v>39</v>
      </c>
      <c r="G421" s="2">
        <v>507389689</v>
      </c>
      <c r="H421" s="2" t="s">
        <v>40</v>
      </c>
      <c r="I421" s="2" t="s">
        <v>789</v>
      </c>
      <c r="J421" s="2" t="s">
        <v>790</v>
      </c>
      <c r="K421" s="2">
        <v>912216027</v>
      </c>
      <c r="L421" s="2" t="s">
        <v>293</v>
      </c>
      <c r="M421" s="2" t="s">
        <v>40</v>
      </c>
      <c r="P421" s="2" t="s">
        <v>114</v>
      </c>
      <c r="Q421" s="2" t="s">
        <v>791</v>
      </c>
      <c r="R421" s="2" t="s">
        <v>792</v>
      </c>
      <c r="S421" s="2">
        <v>2</v>
      </c>
      <c r="T421" s="2">
        <v>322.14</v>
      </c>
      <c r="U421" s="2">
        <v>74.092200000000005</v>
      </c>
      <c r="V421" s="2">
        <v>396.23219999999998</v>
      </c>
      <c r="W421" s="2">
        <f>93.83*S421</f>
        <v>187.66</v>
      </c>
      <c r="X421" s="5">
        <f t="shared" si="58"/>
        <v>0.41745824796672254</v>
      </c>
      <c r="Z421" s="2" t="s">
        <v>117</v>
      </c>
      <c r="AA421" s="2" t="s">
        <v>118</v>
      </c>
      <c r="AB421" s="2" t="s">
        <v>119</v>
      </c>
      <c r="AC421" s="2" t="s">
        <v>114</v>
      </c>
      <c r="AF421" s="2">
        <f t="shared" si="54"/>
        <v>0</v>
      </c>
      <c r="AJ421" s="2">
        <f t="shared" si="55"/>
        <v>0</v>
      </c>
      <c r="AK421" s="2">
        <f t="shared" si="56"/>
        <v>134.47999999999999</v>
      </c>
      <c r="AL421" s="5">
        <f t="shared" si="57"/>
        <v>0.41745824796672254</v>
      </c>
    </row>
    <row r="422" spans="1:38" x14ac:dyDescent="0.2">
      <c r="A422" s="2">
        <v>2025</v>
      </c>
      <c r="B422" s="2">
        <v>2</v>
      </c>
      <c r="D422" s="2" t="s">
        <v>788</v>
      </c>
      <c r="E422" s="2" t="s">
        <v>38</v>
      </c>
      <c r="F422" s="2" t="s">
        <v>39</v>
      </c>
      <c r="G422" s="2">
        <v>507389689</v>
      </c>
      <c r="H422" s="2" t="s">
        <v>40</v>
      </c>
      <c r="I422" s="2" t="s">
        <v>789</v>
      </c>
      <c r="J422" s="2" t="s">
        <v>790</v>
      </c>
      <c r="K422" s="2">
        <v>912216027</v>
      </c>
      <c r="L422" s="2" t="s">
        <v>293</v>
      </c>
      <c r="M422" s="2" t="s">
        <v>40</v>
      </c>
      <c r="P422" s="2" t="s">
        <v>114</v>
      </c>
      <c r="Q422" s="2" t="s">
        <v>793</v>
      </c>
      <c r="R422" s="2" t="s">
        <v>794</v>
      </c>
      <c r="S422" s="2">
        <v>2</v>
      </c>
      <c r="T422" s="2">
        <v>903.76</v>
      </c>
      <c r="U422" s="2">
        <v>207.8648</v>
      </c>
      <c r="V422" s="2">
        <v>1111.6248000000001</v>
      </c>
      <c r="W422" s="2">
        <f>259.36*S422</f>
        <v>518.72</v>
      </c>
      <c r="X422" s="5">
        <f t="shared" si="58"/>
        <v>0.42604231211826143</v>
      </c>
      <c r="Z422" s="2" t="s">
        <v>117</v>
      </c>
      <c r="AA422" s="2" t="s">
        <v>118</v>
      </c>
      <c r="AB422" s="2" t="s">
        <v>119</v>
      </c>
      <c r="AC422" s="2" t="s">
        <v>114</v>
      </c>
      <c r="AF422" s="2">
        <f t="shared" si="54"/>
        <v>0</v>
      </c>
      <c r="AJ422" s="2">
        <f t="shared" si="55"/>
        <v>0</v>
      </c>
      <c r="AK422" s="2">
        <f t="shared" si="56"/>
        <v>385.03999999999996</v>
      </c>
      <c r="AL422" s="5">
        <f t="shared" si="57"/>
        <v>0.42604231211826143</v>
      </c>
    </row>
    <row r="423" spans="1:38" x14ac:dyDescent="0.2">
      <c r="A423" s="2">
        <v>2025</v>
      </c>
      <c r="B423" s="2">
        <v>2</v>
      </c>
      <c r="D423" s="2" t="s">
        <v>788</v>
      </c>
      <c r="E423" s="2" t="s">
        <v>38</v>
      </c>
      <c r="F423" s="2" t="s">
        <v>39</v>
      </c>
      <c r="G423" s="2">
        <v>507389689</v>
      </c>
      <c r="H423" s="2" t="s">
        <v>40</v>
      </c>
      <c r="I423" s="2" t="s">
        <v>789</v>
      </c>
      <c r="J423" s="2" t="s">
        <v>790</v>
      </c>
      <c r="K423" s="2">
        <v>912216027</v>
      </c>
      <c r="L423" s="2" t="s">
        <v>293</v>
      </c>
      <c r="M423" s="2" t="s">
        <v>40</v>
      </c>
      <c r="P423" s="2" t="s">
        <v>114</v>
      </c>
      <c r="Q423" s="2" t="s">
        <v>795</v>
      </c>
      <c r="R423" s="2" t="s">
        <v>796</v>
      </c>
      <c r="S423" s="2">
        <v>2</v>
      </c>
      <c r="T423" s="2">
        <v>46.76</v>
      </c>
      <c r="U423" s="2">
        <v>10.754799999999999</v>
      </c>
      <c r="V423" s="2">
        <v>57.514799999999987</v>
      </c>
      <c r="W423" s="2">
        <f>13.715*S423</f>
        <v>27.43</v>
      </c>
      <c r="X423" s="5">
        <f t="shared" si="58"/>
        <v>0.41338751069289992</v>
      </c>
      <c r="Z423" s="2" t="s">
        <v>117</v>
      </c>
      <c r="AA423" s="2" t="s">
        <v>118</v>
      </c>
      <c r="AB423" s="2" t="s">
        <v>119</v>
      </c>
      <c r="AC423" s="2" t="s">
        <v>114</v>
      </c>
      <c r="AF423" s="2">
        <f t="shared" si="54"/>
        <v>0</v>
      </c>
      <c r="AJ423" s="2">
        <f t="shared" si="55"/>
        <v>0</v>
      </c>
      <c r="AK423" s="2">
        <f t="shared" si="56"/>
        <v>19.329999999999998</v>
      </c>
      <c r="AL423" s="5">
        <f t="shared" si="57"/>
        <v>0.41338751069289992</v>
      </c>
    </row>
    <row r="424" spans="1:38" x14ac:dyDescent="0.2">
      <c r="A424" s="2">
        <v>2025</v>
      </c>
      <c r="B424" s="2">
        <v>2</v>
      </c>
      <c r="D424" s="2" t="s">
        <v>788</v>
      </c>
      <c r="E424" s="2" t="s">
        <v>38</v>
      </c>
      <c r="F424" s="2" t="s">
        <v>39</v>
      </c>
      <c r="G424" s="2">
        <v>507389689</v>
      </c>
      <c r="H424" s="2" t="s">
        <v>40</v>
      </c>
      <c r="I424" s="2" t="s">
        <v>789</v>
      </c>
      <c r="J424" s="2" t="s">
        <v>790</v>
      </c>
      <c r="K424" s="2">
        <v>912216027</v>
      </c>
      <c r="L424" s="2" t="s">
        <v>293</v>
      </c>
      <c r="M424" s="2" t="s">
        <v>40</v>
      </c>
      <c r="P424" s="2" t="s">
        <v>187</v>
      </c>
      <c r="Q424" s="2" t="s">
        <v>191</v>
      </c>
      <c r="R424" s="2" t="s">
        <v>190</v>
      </c>
      <c r="S424" s="2">
        <v>3</v>
      </c>
      <c r="T424" s="2">
        <v>100</v>
      </c>
      <c r="U424" s="2">
        <v>23</v>
      </c>
      <c r="V424" s="2">
        <v>123</v>
      </c>
      <c r="W424" s="2">
        <f>T424*50%</f>
        <v>50</v>
      </c>
      <c r="X424" s="5">
        <f t="shared" si="58"/>
        <v>0.5</v>
      </c>
      <c r="Z424" s="2" t="s">
        <v>117</v>
      </c>
      <c r="AA424" s="2" t="s">
        <v>190</v>
      </c>
      <c r="AB424" s="2" t="s">
        <v>190</v>
      </c>
      <c r="AC424" s="2" t="s">
        <v>40</v>
      </c>
      <c r="AF424" s="2">
        <f t="shared" si="54"/>
        <v>0</v>
      </c>
      <c r="AJ424" s="2">
        <f t="shared" si="55"/>
        <v>0</v>
      </c>
      <c r="AK424" s="2">
        <f t="shared" si="56"/>
        <v>50</v>
      </c>
      <c r="AL424" s="5">
        <f t="shared" si="57"/>
        <v>0.5</v>
      </c>
    </row>
    <row r="425" spans="1:38" x14ac:dyDescent="0.2">
      <c r="A425" s="2">
        <v>2025</v>
      </c>
      <c r="B425" s="2">
        <v>2</v>
      </c>
      <c r="D425" s="2" t="s">
        <v>797</v>
      </c>
      <c r="P425" s="2" t="s">
        <v>282</v>
      </c>
      <c r="Q425" s="2" t="s">
        <v>798</v>
      </c>
      <c r="R425" s="2" t="s">
        <v>799</v>
      </c>
      <c r="S425" s="2">
        <v>1</v>
      </c>
      <c r="T425" s="2">
        <v>27.9</v>
      </c>
      <c r="U425" s="2">
        <v>6.4169999999999998</v>
      </c>
      <c r="V425" s="2">
        <v>34.317</v>
      </c>
      <c r="W425" s="2">
        <v>18.14</v>
      </c>
      <c r="X425" s="5">
        <f t="shared" si="58"/>
        <v>0.34982078853046589</v>
      </c>
      <c r="Z425" s="2" t="s">
        <v>3227</v>
      </c>
      <c r="AA425" s="2" t="s">
        <v>71</v>
      </c>
      <c r="AB425" s="2" t="s">
        <v>119</v>
      </c>
      <c r="AC425" s="2" t="s">
        <v>119</v>
      </c>
      <c r="AF425" s="2">
        <f t="shared" si="54"/>
        <v>0</v>
      </c>
      <c r="AJ425" s="2">
        <f t="shared" si="55"/>
        <v>0</v>
      </c>
      <c r="AK425" s="2">
        <f t="shared" ref="AK425:AK456" si="59">T425-W425</f>
        <v>9.759999999999998</v>
      </c>
      <c r="AL425" s="5">
        <f t="shared" ref="AL425:AL454" si="60">(T425-W425)/T425</f>
        <v>0.34982078853046589</v>
      </c>
    </row>
    <row r="426" spans="1:38" x14ac:dyDescent="0.2">
      <c r="A426" s="2">
        <v>2025</v>
      </c>
      <c r="B426" s="2">
        <v>2</v>
      </c>
      <c r="D426" s="2" t="s">
        <v>797</v>
      </c>
      <c r="P426" s="2" t="s">
        <v>282</v>
      </c>
      <c r="Q426" s="2" t="s">
        <v>800</v>
      </c>
      <c r="R426" s="2" t="s">
        <v>801</v>
      </c>
      <c r="S426" s="2">
        <v>1</v>
      </c>
      <c r="T426" s="2">
        <v>99</v>
      </c>
      <c r="U426" s="2">
        <v>22.77</v>
      </c>
      <c r="V426" s="2">
        <v>121.77</v>
      </c>
      <c r="W426" s="2">
        <v>73.27</v>
      </c>
      <c r="X426" s="5">
        <f t="shared" si="58"/>
        <v>0.25989898989898996</v>
      </c>
      <c r="Z426" s="2" t="s">
        <v>3227</v>
      </c>
      <c r="AA426" s="2" t="s">
        <v>71</v>
      </c>
      <c r="AB426" s="2" t="s">
        <v>119</v>
      </c>
      <c r="AC426" s="2" t="s">
        <v>119</v>
      </c>
      <c r="AF426" s="2">
        <f t="shared" si="54"/>
        <v>0</v>
      </c>
      <c r="AJ426" s="2">
        <f t="shared" si="55"/>
        <v>0</v>
      </c>
      <c r="AK426" s="2">
        <f t="shared" si="59"/>
        <v>25.730000000000004</v>
      </c>
      <c r="AL426" s="5">
        <f t="shared" si="60"/>
        <v>0.25989898989898996</v>
      </c>
    </row>
    <row r="427" spans="1:38" x14ac:dyDescent="0.2">
      <c r="A427" s="2">
        <v>2025</v>
      </c>
      <c r="B427" s="2">
        <v>2</v>
      </c>
      <c r="D427" s="2" t="s">
        <v>415</v>
      </c>
      <c r="E427" s="2" t="s">
        <v>38</v>
      </c>
      <c r="F427" s="2" t="s">
        <v>39</v>
      </c>
      <c r="G427" s="2">
        <v>219908800</v>
      </c>
      <c r="H427" s="2" t="s">
        <v>41</v>
      </c>
      <c r="I427" s="2" t="s">
        <v>416</v>
      </c>
      <c r="J427" s="2" t="s">
        <v>417</v>
      </c>
      <c r="L427" s="2" t="s">
        <v>418</v>
      </c>
      <c r="P427" s="2" t="s">
        <v>114</v>
      </c>
      <c r="Q427" s="2" t="s">
        <v>561</v>
      </c>
      <c r="R427" s="2" t="s">
        <v>562</v>
      </c>
      <c r="S427" s="2">
        <v>1</v>
      </c>
      <c r="T427" s="2">
        <v>14.29</v>
      </c>
      <c r="U427" s="2">
        <v>3.2867000000000002</v>
      </c>
      <c r="V427" s="2">
        <v>17.576699999999999</v>
      </c>
      <c r="W427" s="2">
        <f>5.3525</f>
        <v>5.3525</v>
      </c>
      <c r="X427" s="5">
        <f t="shared" si="58"/>
        <v>0.62543736878936318</v>
      </c>
      <c r="Z427" s="2" t="s">
        <v>117</v>
      </c>
      <c r="AA427" s="2" t="s">
        <v>118</v>
      </c>
      <c r="AB427" s="2" t="s">
        <v>119</v>
      </c>
      <c r="AC427" s="2" t="s">
        <v>114</v>
      </c>
      <c r="AF427" s="2">
        <f t="shared" si="54"/>
        <v>0</v>
      </c>
      <c r="AJ427" s="2">
        <f t="shared" si="55"/>
        <v>0</v>
      </c>
      <c r="AK427" s="2">
        <f t="shared" si="59"/>
        <v>8.9375</v>
      </c>
      <c r="AL427" s="5">
        <f t="shared" si="60"/>
        <v>0.62543736878936318</v>
      </c>
    </row>
    <row r="428" spans="1:38" x14ac:dyDescent="0.2">
      <c r="A428" s="2">
        <v>2025</v>
      </c>
      <c r="B428" s="2">
        <v>2</v>
      </c>
      <c r="D428" s="2" t="s">
        <v>422</v>
      </c>
      <c r="E428" s="2" t="s">
        <v>98</v>
      </c>
      <c r="F428" s="2" t="s">
        <v>39</v>
      </c>
      <c r="G428" s="2">
        <v>503523470</v>
      </c>
      <c r="H428" s="2" t="s">
        <v>40</v>
      </c>
      <c r="I428" s="2" t="s">
        <v>423</v>
      </c>
      <c r="J428" s="2" t="s">
        <v>424</v>
      </c>
      <c r="L428" s="2" t="s">
        <v>201</v>
      </c>
      <c r="M428" s="2" t="s">
        <v>80</v>
      </c>
      <c r="P428" s="2" t="s">
        <v>43</v>
      </c>
      <c r="Q428" s="2" t="s">
        <v>61</v>
      </c>
      <c r="R428" s="2" t="s">
        <v>62</v>
      </c>
      <c r="S428" s="2">
        <v>100</v>
      </c>
      <c r="T428" s="2">
        <v>13</v>
      </c>
      <c r="U428" s="2">
        <v>2.99</v>
      </c>
      <c r="V428" s="2">
        <v>15.99</v>
      </c>
      <c r="W428" s="2">
        <f>0.082*S428</f>
        <v>8.2000000000000011</v>
      </c>
      <c r="X428" s="5">
        <f t="shared" si="58"/>
        <v>0.36923076923076914</v>
      </c>
      <c r="Z428" s="2" t="s">
        <v>3227</v>
      </c>
      <c r="AA428" s="2" t="s">
        <v>46</v>
      </c>
      <c r="AB428" s="2" t="s">
        <v>60</v>
      </c>
      <c r="AC428" s="2" t="s">
        <v>57</v>
      </c>
      <c r="AF428" s="2">
        <f t="shared" si="54"/>
        <v>0</v>
      </c>
      <c r="AG428" s="2">
        <v>8.1999999999999993</v>
      </c>
      <c r="AH428" s="2">
        <v>13</v>
      </c>
      <c r="AJ428" s="2">
        <f t="shared" si="55"/>
        <v>0</v>
      </c>
      <c r="AK428" s="2">
        <f t="shared" si="59"/>
        <v>4.7999999999999989</v>
      </c>
      <c r="AL428" s="5">
        <f t="shared" si="60"/>
        <v>0.36923076923076914</v>
      </c>
    </row>
    <row r="429" spans="1:38" x14ac:dyDescent="0.2">
      <c r="A429" s="2">
        <v>2025</v>
      </c>
      <c r="B429" s="2">
        <v>2</v>
      </c>
      <c r="D429" s="2" t="s">
        <v>428</v>
      </c>
      <c r="E429" s="2" t="s">
        <v>38</v>
      </c>
      <c r="G429" s="2">
        <v>500820384</v>
      </c>
      <c r="H429" s="2" t="s">
        <v>40</v>
      </c>
      <c r="I429" s="2" t="s">
        <v>429</v>
      </c>
      <c r="J429" s="2" t="s">
        <v>430</v>
      </c>
      <c r="L429" s="2" t="s">
        <v>99</v>
      </c>
      <c r="M429" s="2" t="s">
        <v>80</v>
      </c>
      <c r="O429" s="2" t="s">
        <v>802</v>
      </c>
      <c r="P429" s="2" t="s">
        <v>72</v>
      </c>
      <c r="Q429" s="2" t="s">
        <v>533</v>
      </c>
      <c r="R429" s="2" t="s">
        <v>534</v>
      </c>
      <c r="S429" s="2">
        <v>1</v>
      </c>
      <c r="T429" s="2">
        <v>266.75</v>
      </c>
      <c r="U429" s="2">
        <v>61.352499999999999</v>
      </c>
      <c r="V429" s="2">
        <v>328.10250000000002</v>
      </c>
      <c r="W429" s="2">
        <f>110.125+11.77</f>
        <v>121.895</v>
      </c>
      <c r="X429" s="5">
        <f t="shared" si="58"/>
        <v>0.54303655107778825</v>
      </c>
      <c r="Z429" s="2" t="s">
        <v>3227</v>
      </c>
      <c r="AA429" s="2" t="s">
        <v>75</v>
      </c>
      <c r="AB429" s="2" t="s">
        <v>76</v>
      </c>
      <c r="AC429" s="2" t="s">
        <v>77</v>
      </c>
      <c r="AF429" s="2">
        <f t="shared" si="54"/>
        <v>0</v>
      </c>
      <c r="AG429" s="2">
        <f>110.125+11.77</f>
        <v>121.895</v>
      </c>
      <c r="AJ429" s="2">
        <f t="shared" si="55"/>
        <v>0</v>
      </c>
      <c r="AK429" s="2">
        <f t="shared" si="59"/>
        <v>144.85500000000002</v>
      </c>
      <c r="AL429" s="5">
        <f t="shared" si="60"/>
        <v>0.54303655107778825</v>
      </c>
    </row>
    <row r="430" spans="1:38" x14ac:dyDescent="0.2">
      <c r="A430" s="2">
        <v>2025</v>
      </c>
      <c r="B430" s="2">
        <v>2</v>
      </c>
      <c r="D430" s="2" t="s">
        <v>428</v>
      </c>
      <c r="E430" s="2" t="s">
        <v>38</v>
      </c>
      <c r="G430" s="2">
        <v>500820384</v>
      </c>
      <c r="H430" s="2" t="s">
        <v>40</v>
      </c>
      <c r="I430" s="2" t="s">
        <v>429</v>
      </c>
      <c r="J430" s="2" t="s">
        <v>430</v>
      </c>
      <c r="L430" s="2" t="s">
        <v>99</v>
      </c>
      <c r="M430" s="2" t="s">
        <v>80</v>
      </c>
      <c r="O430" s="2" t="s">
        <v>802</v>
      </c>
      <c r="P430" s="2" t="s">
        <v>93</v>
      </c>
      <c r="Q430" s="2" t="s">
        <v>94</v>
      </c>
      <c r="R430" s="2" t="s">
        <v>95</v>
      </c>
      <c r="S430" s="2">
        <v>1</v>
      </c>
      <c r="T430" s="2">
        <v>1.1399999999999999</v>
      </c>
      <c r="U430" s="2">
        <v>0.26219999999999999</v>
      </c>
      <c r="V430" s="2">
        <v>1.4021999999999999</v>
      </c>
      <c r="W430" s="2">
        <v>1.1399999999999999</v>
      </c>
      <c r="X430" s="5">
        <f t="shared" si="58"/>
        <v>0</v>
      </c>
      <c r="Z430" s="2" t="s">
        <v>3227</v>
      </c>
      <c r="AA430" s="2" t="s">
        <v>96</v>
      </c>
      <c r="AB430" s="2" t="s">
        <v>76</v>
      </c>
      <c r="AC430" s="2" t="s">
        <v>93</v>
      </c>
      <c r="AF430" s="2">
        <f t="shared" si="54"/>
        <v>0</v>
      </c>
      <c r="AJ430" s="2">
        <f t="shared" si="55"/>
        <v>0</v>
      </c>
      <c r="AK430" s="2">
        <f t="shared" si="59"/>
        <v>0</v>
      </c>
      <c r="AL430" s="5">
        <f t="shared" si="60"/>
        <v>0</v>
      </c>
    </row>
    <row r="431" spans="1:38" x14ac:dyDescent="0.2">
      <c r="A431" s="2">
        <v>2025</v>
      </c>
      <c r="B431" s="2">
        <v>2</v>
      </c>
      <c r="D431" s="2" t="s">
        <v>803</v>
      </c>
      <c r="E431" s="2" t="s">
        <v>38</v>
      </c>
      <c r="F431" s="2" t="s">
        <v>39</v>
      </c>
      <c r="G431" s="2">
        <v>500363277</v>
      </c>
      <c r="H431" s="2" t="s">
        <v>40</v>
      </c>
      <c r="I431" s="2" t="s">
        <v>804</v>
      </c>
      <c r="J431" s="2" t="s">
        <v>805</v>
      </c>
      <c r="K431" s="2">
        <v>936999380</v>
      </c>
      <c r="L431" s="2" t="s">
        <v>99</v>
      </c>
      <c r="M431" s="2" t="s">
        <v>40</v>
      </c>
      <c r="O431" s="2" t="s">
        <v>806</v>
      </c>
      <c r="P431" s="2" t="s">
        <v>114</v>
      </c>
      <c r="Q431" s="2" t="s">
        <v>539</v>
      </c>
      <c r="R431" s="2" t="s">
        <v>540</v>
      </c>
      <c r="S431" s="2">
        <v>1</v>
      </c>
      <c r="T431" s="2">
        <v>49.81</v>
      </c>
      <c r="U431" s="2">
        <v>11.456300000000001</v>
      </c>
      <c r="V431" s="2">
        <v>61.266300000000001</v>
      </c>
      <c r="W431" s="2">
        <v>24.454000000000001</v>
      </c>
      <c r="X431" s="5">
        <f t="shared" si="58"/>
        <v>0.5090544067456334</v>
      </c>
      <c r="Z431" s="2" t="s">
        <v>117</v>
      </c>
      <c r="AA431" s="2" t="s">
        <v>118</v>
      </c>
      <c r="AB431" s="2" t="s">
        <v>119</v>
      </c>
      <c r="AC431" s="2" t="s">
        <v>114</v>
      </c>
      <c r="AF431" s="2">
        <f t="shared" si="54"/>
        <v>0</v>
      </c>
      <c r="AJ431" s="2">
        <f t="shared" si="55"/>
        <v>0</v>
      </c>
      <c r="AK431" s="2">
        <f t="shared" si="59"/>
        <v>25.356000000000002</v>
      </c>
      <c r="AL431" s="5">
        <f t="shared" si="60"/>
        <v>0.5090544067456334</v>
      </c>
    </row>
    <row r="432" spans="1:38" x14ac:dyDescent="0.2">
      <c r="A432" s="2">
        <v>2025</v>
      </c>
      <c r="B432" s="2">
        <v>2</v>
      </c>
      <c r="D432" s="2" t="s">
        <v>803</v>
      </c>
      <c r="E432" s="2" t="s">
        <v>38</v>
      </c>
      <c r="F432" s="2" t="s">
        <v>39</v>
      </c>
      <c r="G432" s="2">
        <v>500363277</v>
      </c>
      <c r="H432" s="2" t="s">
        <v>40</v>
      </c>
      <c r="I432" s="2" t="s">
        <v>804</v>
      </c>
      <c r="J432" s="2" t="s">
        <v>805</v>
      </c>
      <c r="K432" s="2">
        <v>936999380</v>
      </c>
      <c r="L432" s="2" t="s">
        <v>99</v>
      </c>
      <c r="M432" s="2" t="s">
        <v>40</v>
      </c>
      <c r="O432" s="2" t="s">
        <v>806</v>
      </c>
      <c r="P432" s="2" t="s">
        <v>187</v>
      </c>
      <c r="Q432" s="2" t="s">
        <v>188</v>
      </c>
      <c r="R432" s="2" t="s">
        <v>189</v>
      </c>
      <c r="S432" s="2">
        <v>1</v>
      </c>
      <c r="T432" s="2">
        <v>50</v>
      </c>
      <c r="U432" s="2">
        <v>11.5</v>
      </c>
      <c r="V432" s="2">
        <v>61.5</v>
      </c>
      <c r="W432" s="2">
        <f>T432*40%</f>
        <v>20</v>
      </c>
      <c r="X432" s="5">
        <f t="shared" si="58"/>
        <v>0.6</v>
      </c>
      <c r="Z432" s="2" t="s">
        <v>117</v>
      </c>
      <c r="AA432" s="2" t="s">
        <v>190</v>
      </c>
      <c r="AB432" s="2" t="s">
        <v>189</v>
      </c>
      <c r="AC432" s="2" t="s">
        <v>40</v>
      </c>
      <c r="AF432" s="2">
        <f t="shared" si="54"/>
        <v>0</v>
      </c>
      <c r="AJ432" s="2">
        <f t="shared" si="55"/>
        <v>0</v>
      </c>
      <c r="AK432" s="2">
        <f t="shared" si="59"/>
        <v>30</v>
      </c>
      <c r="AL432" s="5">
        <f t="shared" si="60"/>
        <v>0.6</v>
      </c>
    </row>
    <row r="433" spans="1:38" x14ac:dyDescent="0.2">
      <c r="A433" s="2">
        <v>2025</v>
      </c>
      <c r="B433" s="2">
        <v>2</v>
      </c>
      <c r="D433" s="2" t="s">
        <v>803</v>
      </c>
      <c r="E433" s="2" t="s">
        <v>38</v>
      </c>
      <c r="F433" s="2" t="s">
        <v>39</v>
      </c>
      <c r="G433" s="2">
        <v>500363277</v>
      </c>
      <c r="H433" s="2" t="s">
        <v>40</v>
      </c>
      <c r="I433" s="2" t="s">
        <v>804</v>
      </c>
      <c r="J433" s="2" t="s">
        <v>805</v>
      </c>
      <c r="K433" s="2">
        <v>936999380</v>
      </c>
      <c r="L433" s="2" t="s">
        <v>99</v>
      </c>
      <c r="M433" s="2" t="s">
        <v>40</v>
      </c>
      <c r="O433" s="2" t="s">
        <v>806</v>
      </c>
      <c r="P433" s="2" t="s">
        <v>187</v>
      </c>
      <c r="Q433" s="2" t="s">
        <v>191</v>
      </c>
      <c r="R433" s="2" t="s">
        <v>190</v>
      </c>
      <c r="S433" s="2">
        <v>1</v>
      </c>
      <c r="T433" s="2">
        <v>50</v>
      </c>
      <c r="U433" s="2">
        <v>11.5</v>
      </c>
      <c r="V433" s="2">
        <v>61.5</v>
      </c>
      <c r="W433" s="2">
        <f>T433*50%</f>
        <v>25</v>
      </c>
      <c r="X433" s="5">
        <f t="shared" ref="X433:X454" si="61">(T433-W433)/T433</f>
        <v>0.5</v>
      </c>
      <c r="Z433" s="2" t="s">
        <v>117</v>
      </c>
      <c r="AA433" s="2" t="s">
        <v>190</v>
      </c>
      <c r="AB433" s="2" t="s">
        <v>190</v>
      </c>
      <c r="AC433" s="2" t="s">
        <v>40</v>
      </c>
      <c r="AF433" s="2">
        <f t="shared" si="54"/>
        <v>0</v>
      </c>
      <c r="AJ433" s="2">
        <f t="shared" si="55"/>
        <v>0</v>
      </c>
      <c r="AK433" s="2">
        <f t="shared" si="59"/>
        <v>25</v>
      </c>
      <c r="AL433" s="5">
        <f t="shared" si="60"/>
        <v>0.5</v>
      </c>
    </row>
    <row r="434" spans="1:38" x14ac:dyDescent="0.2">
      <c r="A434" s="2">
        <v>2025</v>
      </c>
      <c r="B434" s="2">
        <v>2</v>
      </c>
      <c r="D434" s="2" t="s">
        <v>807</v>
      </c>
      <c r="P434" s="2" t="s">
        <v>114</v>
      </c>
      <c r="Q434" s="2" t="s">
        <v>808</v>
      </c>
      <c r="R434" s="2" t="s">
        <v>809</v>
      </c>
      <c r="S434" s="2">
        <v>1</v>
      </c>
      <c r="T434" s="2">
        <v>83.79</v>
      </c>
      <c r="U434" s="2">
        <v>19.271699999999999</v>
      </c>
      <c r="V434" s="2">
        <v>103.0617</v>
      </c>
      <c r="W434" s="2">
        <f>40.3575</f>
        <v>40.357500000000002</v>
      </c>
      <c r="X434" s="5">
        <f t="shared" si="61"/>
        <v>0.51834944504117442</v>
      </c>
      <c r="Z434" s="2" t="s">
        <v>117</v>
      </c>
      <c r="AA434" s="2" t="s">
        <v>118</v>
      </c>
      <c r="AB434" s="2" t="s">
        <v>119</v>
      </c>
      <c r="AC434" s="2" t="s">
        <v>114</v>
      </c>
      <c r="AF434" s="2">
        <f t="shared" si="54"/>
        <v>0</v>
      </c>
      <c r="AJ434" s="2">
        <f t="shared" si="55"/>
        <v>0</v>
      </c>
      <c r="AK434" s="2">
        <f t="shared" si="59"/>
        <v>43.432500000000005</v>
      </c>
      <c r="AL434" s="5">
        <f t="shared" si="60"/>
        <v>0.51834944504117442</v>
      </c>
    </row>
    <row r="435" spans="1:38" x14ac:dyDescent="0.2">
      <c r="A435" s="2">
        <v>2025</v>
      </c>
      <c r="B435" s="2">
        <v>2</v>
      </c>
      <c r="D435" s="2" t="s">
        <v>807</v>
      </c>
      <c r="M435" s="2" t="s">
        <v>40</v>
      </c>
      <c r="P435" s="2" t="s">
        <v>187</v>
      </c>
      <c r="Q435" s="2" t="s">
        <v>188</v>
      </c>
      <c r="R435" s="2" t="s">
        <v>189</v>
      </c>
      <c r="S435" s="2">
        <v>1</v>
      </c>
      <c r="T435" s="2">
        <v>76</v>
      </c>
      <c r="U435" s="2">
        <v>17.48</v>
      </c>
      <c r="V435" s="2">
        <v>93.48</v>
      </c>
      <c r="W435" s="2">
        <f>T435*40%</f>
        <v>30.400000000000002</v>
      </c>
      <c r="X435" s="5">
        <f t="shared" si="61"/>
        <v>0.6</v>
      </c>
      <c r="Z435" s="2" t="s">
        <v>117</v>
      </c>
      <c r="AA435" s="2" t="s">
        <v>190</v>
      </c>
      <c r="AB435" s="2" t="s">
        <v>189</v>
      </c>
      <c r="AC435" s="2" t="s">
        <v>40</v>
      </c>
      <c r="AF435" s="2">
        <f t="shared" si="54"/>
        <v>0</v>
      </c>
      <c r="AJ435" s="2">
        <f t="shared" si="55"/>
        <v>0</v>
      </c>
      <c r="AK435" s="2">
        <f t="shared" si="59"/>
        <v>45.599999999999994</v>
      </c>
      <c r="AL435" s="5">
        <f t="shared" si="60"/>
        <v>0.6</v>
      </c>
    </row>
    <row r="436" spans="1:38" x14ac:dyDescent="0.2">
      <c r="A436" s="2">
        <v>2025</v>
      </c>
      <c r="B436" s="2">
        <v>2</v>
      </c>
      <c r="D436" s="2" t="s">
        <v>807</v>
      </c>
      <c r="M436" s="2" t="s">
        <v>40</v>
      </c>
      <c r="P436" s="2" t="s">
        <v>187</v>
      </c>
      <c r="Q436" s="2" t="s">
        <v>191</v>
      </c>
      <c r="R436" s="2" t="s">
        <v>190</v>
      </c>
      <c r="S436" s="2">
        <v>0.75</v>
      </c>
      <c r="T436" s="2">
        <v>37.5</v>
      </c>
      <c r="U436" s="2">
        <v>8.625</v>
      </c>
      <c r="V436" s="2">
        <v>46.125</v>
      </c>
      <c r="W436" s="2">
        <f>T436*50%</f>
        <v>18.75</v>
      </c>
      <c r="X436" s="5">
        <f t="shared" si="61"/>
        <v>0.5</v>
      </c>
      <c r="Z436" s="2" t="s">
        <v>117</v>
      </c>
      <c r="AA436" s="2" t="s">
        <v>190</v>
      </c>
      <c r="AB436" s="2" t="s">
        <v>190</v>
      </c>
      <c r="AC436" s="2" t="s">
        <v>40</v>
      </c>
      <c r="AF436" s="2">
        <f t="shared" si="54"/>
        <v>0</v>
      </c>
      <c r="AJ436" s="2">
        <f t="shared" si="55"/>
        <v>0</v>
      </c>
      <c r="AK436" s="2">
        <f t="shared" si="59"/>
        <v>18.75</v>
      </c>
      <c r="AL436" s="5">
        <f t="shared" si="60"/>
        <v>0.5</v>
      </c>
    </row>
    <row r="437" spans="1:38" x14ac:dyDescent="0.2">
      <c r="A437" s="2">
        <v>2025</v>
      </c>
      <c r="B437" s="2">
        <v>2</v>
      </c>
      <c r="D437" s="2" t="s">
        <v>810</v>
      </c>
      <c r="P437" s="2" t="s">
        <v>72</v>
      </c>
      <c r="Q437" s="2" t="s">
        <v>73</v>
      </c>
      <c r="R437" s="2" t="s">
        <v>74</v>
      </c>
      <c r="S437" s="2">
        <v>1</v>
      </c>
      <c r="T437" s="2">
        <v>210</v>
      </c>
      <c r="U437" s="2">
        <v>48.3</v>
      </c>
      <c r="V437" s="2">
        <v>258.3</v>
      </c>
      <c r="W437" s="2">
        <v>117.453</v>
      </c>
      <c r="X437" s="5">
        <f t="shared" si="61"/>
        <v>0.44069999999999998</v>
      </c>
      <c r="Z437" s="2" t="s">
        <v>3227</v>
      </c>
      <c r="AA437" s="2" t="s">
        <v>75</v>
      </c>
      <c r="AB437" s="2" t="s">
        <v>76</v>
      </c>
      <c r="AC437" s="2" t="s">
        <v>77</v>
      </c>
      <c r="AF437" s="2">
        <f t="shared" si="54"/>
        <v>0</v>
      </c>
      <c r="AG437" s="2">
        <v>117.453</v>
      </c>
      <c r="AH437" s="2">
        <v>220</v>
      </c>
      <c r="AJ437" s="2">
        <f t="shared" si="55"/>
        <v>0</v>
      </c>
      <c r="AK437" s="2">
        <f t="shared" si="59"/>
        <v>92.546999999999997</v>
      </c>
      <c r="AL437" s="5">
        <f t="shared" si="60"/>
        <v>0.44069999999999998</v>
      </c>
    </row>
    <row r="438" spans="1:38" x14ac:dyDescent="0.2">
      <c r="A438" s="2">
        <v>2025</v>
      </c>
      <c r="B438" s="2">
        <v>2</v>
      </c>
      <c r="D438" s="2" t="s">
        <v>810</v>
      </c>
      <c r="P438" s="2" t="s">
        <v>93</v>
      </c>
      <c r="Q438" s="2" t="s">
        <v>94</v>
      </c>
      <c r="R438" s="2" t="s">
        <v>95</v>
      </c>
      <c r="S438" s="2">
        <v>1</v>
      </c>
      <c r="T438" s="2">
        <v>1.1399999999999999</v>
      </c>
      <c r="U438" s="2">
        <v>0.26219999999999999</v>
      </c>
      <c r="V438" s="2">
        <v>1.4021999999999999</v>
      </c>
      <c r="W438" s="2">
        <v>1.1399999999999999</v>
      </c>
      <c r="X438" s="5">
        <f t="shared" si="61"/>
        <v>0</v>
      </c>
      <c r="Z438" s="2" t="s">
        <v>3227</v>
      </c>
      <c r="AA438" s="2" t="s">
        <v>96</v>
      </c>
      <c r="AB438" s="2" t="s">
        <v>76</v>
      </c>
      <c r="AC438" s="2" t="s">
        <v>93</v>
      </c>
      <c r="AF438" s="2">
        <f t="shared" si="54"/>
        <v>0</v>
      </c>
      <c r="AJ438" s="2">
        <f t="shared" si="55"/>
        <v>0</v>
      </c>
      <c r="AK438" s="2">
        <f t="shared" si="59"/>
        <v>0</v>
      </c>
      <c r="AL438" s="5">
        <f t="shared" si="60"/>
        <v>0</v>
      </c>
    </row>
    <row r="439" spans="1:38" x14ac:dyDescent="0.2">
      <c r="A439" s="2">
        <v>2025</v>
      </c>
      <c r="B439" s="2">
        <v>2</v>
      </c>
      <c r="D439" s="2" t="s">
        <v>811</v>
      </c>
      <c r="M439" s="2" t="s">
        <v>80</v>
      </c>
      <c r="O439" s="2" t="s">
        <v>812</v>
      </c>
      <c r="P439" s="2" t="s">
        <v>72</v>
      </c>
      <c r="Q439" s="2" t="s">
        <v>301</v>
      </c>
      <c r="R439" s="2" t="s">
        <v>74</v>
      </c>
      <c r="S439" s="2">
        <v>1</v>
      </c>
      <c r="T439" s="2">
        <v>220</v>
      </c>
      <c r="U439" s="2">
        <v>50.6</v>
      </c>
      <c r="V439" s="2">
        <v>270.60000000000002</v>
      </c>
      <c r="W439" s="2">
        <v>121.46</v>
      </c>
      <c r="X439" s="5">
        <f t="shared" si="61"/>
        <v>0.44790909090909092</v>
      </c>
      <c r="Z439" s="2" t="s">
        <v>3227</v>
      </c>
      <c r="AA439" s="2" t="s">
        <v>75</v>
      </c>
      <c r="AB439" s="2" t="s">
        <v>76</v>
      </c>
      <c r="AC439" s="2" t="s">
        <v>77</v>
      </c>
      <c r="AF439" s="2">
        <f t="shared" si="54"/>
        <v>0</v>
      </c>
      <c r="AG439" s="2">
        <v>121.46</v>
      </c>
      <c r="AH439" s="2">
        <v>210</v>
      </c>
      <c r="AJ439" s="2">
        <f t="shared" si="55"/>
        <v>0</v>
      </c>
      <c r="AK439" s="2">
        <f t="shared" si="59"/>
        <v>98.54</v>
      </c>
      <c r="AL439" s="5">
        <f t="shared" si="60"/>
        <v>0.44790909090909092</v>
      </c>
    </row>
    <row r="440" spans="1:38" x14ac:dyDescent="0.2">
      <c r="A440" s="2">
        <v>2025</v>
      </c>
      <c r="B440" s="2">
        <v>2</v>
      </c>
      <c r="D440" s="2" t="s">
        <v>811</v>
      </c>
      <c r="P440" s="2" t="s">
        <v>93</v>
      </c>
      <c r="Q440" s="2" t="s">
        <v>94</v>
      </c>
      <c r="R440" s="2" t="s">
        <v>95</v>
      </c>
      <c r="S440" s="2">
        <v>1</v>
      </c>
      <c r="T440" s="2">
        <v>1.1399999999999999</v>
      </c>
      <c r="U440" s="2">
        <v>0.26219999999999999</v>
      </c>
      <c r="V440" s="2">
        <v>1.4021999999999999</v>
      </c>
      <c r="W440" s="2">
        <v>1.1399999999999999</v>
      </c>
      <c r="X440" s="5">
        <f t="shared" si="61"/>
        <v>0</v>
      </c>
      <c r="Z440" s="2" t="s">
        <v>3227</v>
      </c>
      <c r="AA440" s="2" t="s">
        <v>96</v>
      </c>
      <c r="AB440" s="2" t="s">
        <v>76</v>
      </c>
      <c r="AC440" s="2" t="s">
        <v>93</v>
      </c>
      <c r="AF440" s="2">
        <f t="shared" si="54"/>
        <v>0</v>
      </c>
      <c r="AJ440" s="2">
        <f t="shared" si="55"/>
        <v>0</v>
      </c>
      <c r="AK440" s="2">
        <f t="shared" si="59"/>
        <v>0</v>
      </c>
      <c r="AL440" s="5">
        <f t="shared" si="60"/>
        <v>0</v>
      </c>
    </row>
    <row r="441" spans="1:38" x14ac:dyDescent="0.2">
      <c r="A441" s="2">
        <v>2025</v>
      </c>
      <c r="B441" s="2">
        <v>2</v>
      </c>
      <c r="D441" s="2" t="s">
        <v>813</v>
      </c>
      <c r="E441" s="2" t="s">
        <v>38</v>
      </c>
      <c r="F441" s="2" t="s">
        <v>39</v>
      </c>
      <c r="G441" s="2" t="s">
        <v>814</v>
      </c>
      <c r="H441" s="2" t="s">
        <v>41</v>
      </c>
      <c r="I441" s="2" t="s">
        <v>626</v>
      </c>
      <c r="L441" s="2" t="s">
        <v>626</v>
      </c>
      <c r="M441" s="2" t="s">
        <v>41</v>
      </c>
      <c r="O441" s="2" t="s">
        <v>815</v>
      </c>
      <c r="P441" s="2" t="s">
        <v>43</v>
      </c>
      <c r="Q441" s="2" t="s">
        <v>50</v>
      </c>
      <c r="R441" s="2" t="s">
        <v>51</v>
      </c>
      <c r="S441" s="2">
        <v>1</v>
      </c>
      <c r="T441" s="2">
        <v>16.8</v>
      </c>
      <c r="U441" s="2">
        <v>3.8639999999999999</v>
      </c>
      <c r="V441" s="2">
        <v>20.664000000000001</v>
      </c>
      <c r="W441" s="2">
        <f>14.4*S441</f>
        <v>14.4</v>
      </c>
      <c r="X441" s="5">
        <f t="shared" si="61"/>
        <v>0.14285714285714288</v>
      </c>
      <c r="Z441" s="2" t="s">
        <v>3227</v>
      </c>
      <c r="AA441" s="2" t="s">
        <v>46</v>
      </c>
      <c r="AB441" s="2" t="s">
        <v>47</v>
      </c>
      <c r="AC441" s="2" t="s">
        <v>57</v>
      </c>
      <c r="AF441" s="2">
        <f t="shared" si="54"/>
        <v>0</v>
      </c>
      <c r="AG441" s="2">
        <v>10.2346</v>
      </c>
      <c r="AH441" s="2">
        <v>18</v>
      </c>
      <c r="AJ441" s="2">
        <f t="shared" si="55"/>
        <v>0</v>
      </c>
      <c r="AK441" s="2">
        <f t="shared" si="59"/>
        <v>2.4000000000000004</v>
      </c>
      <c r="AL441" s="5">
        <f t="shared" si="60"/>
        <v>0.14285714285714288</v>
      </c>
    </row>
    <row r="442" spans="1:38" x14ac:dyDescent="0.2">
      <c r="A442" s="2">
        <v>2025</v>
      </c>
      <c r="B442" s="2">
        <v>2</v>
      </c>
      <c r="D442" s="2" t="s">
        <v>813</v>
      </c>
      <c r="E442" s="2" t="s">
        <v>38</v>
      </c>
      <c r="F442" s="2" t="s">
        <v>39</v>
      </c>
      <c r="G442" s="2" t="s">
        <v>814</v>
      </c>
      <c r="H442" s="2" t="s">
        <v>41</v>
      </c>
      <c r="I442" s="2" t="s">
        <v>626</v>
      </c>
      <c r="L442" s="2" t="s">
        <v>626</v>
      </c>
      <c r="M442" s="2" t="s">
        <v>41</v>
      </c>
      <c r="O442" s="2" t="s">
        <v>815</v>
      </c>
      <c r="P442" s="2" t="s">
        <v>43</v>
      </c>
      <c r="Q442" s="2" t="s">
        <v>160</v>
      </c>
      <c r="R442" s="2" t="s">
        <v>161</v>
      </c>
      <c r="S442" s="2">
        <v>1</v>
      </c>
      <c r="T442" s="2">
        <v>7.8</v>
      </c>
      <c r="U442" s="2">
        <v>1.794</v>
      </c>
      <c r="V442" s="2">
        <v>9.5939999999999994</v>
      </c>
      <c r="W442" s="2">
        <f>3.7358*S442</f>
        <v>3.7357999999999998</v>
      </c>
      <c r="X442" s="5">
        <f t="shared" si="61"/>
        <v>0.52105128205128204</v>
      </c>
      <c r="Z442" s="2" t="s">
        <v>3227</v>
      </c>
      <c r="AA442" s="2" t="s">
        <v>46</v>
      </c>
      <c r="AB442" s="2" t="s">
        <v>47</v>
      </c>
      <c r="AC442" s="2" t="s">
        <v>57</v>
      </c>
      <c r="AF442" s="2">
        <f t="shared" si="54"/>
        <v>0</v>
      </c>
      <c r="AG442" s="2">
        <v>3.7357999999999998</v>
      </c>
      <c r="AH442" s="2">
        <v>9</v>
      </c>
      <c r="AJ442" s="2">
        <f t="shared" si="55"/>
        <v>0</v>
      </c>
      <c r="AK442" s="2">
        <f t="shared" si="59"/>
        <v>4.0641999999999996</v>
      </c>
      <c r="AL442" s="5">
        <f t="shared" si="60"/>
        <v>0.52105128205128204</v>
      </c>
    </row>
    <row r="443" spans="1:38" x14ac:dyDescent="0.2">
      <c r="A443" s="2">
        <v>2025</v>
      </c>
      <c r="B443" s="2">
        <v>2</v>
      </c>
      <c r="D443" s="2" t="s">
        <v>813</v>
      </c>
      <c r="E443" s="2" t="s">
        <v>38</v>
      </c>
      <c r="F443" s="2" t="s">
        <v>39</v>
      </c>
      <c r="G443" s="2" t="s">
        <v>814</v>
      </c>
      <c r="H443" s="2" t="s">
        <v>41</v>
      </c>
      <c r="I443" s="2" t="s">
        <v>626</v>
      </c>
      <c r="L443" s="2" t="s">
        <v>626</v>
      </c>
      <c r="M443" s="2" t="s">
        <v>41</v>
      </c>
      <c r="O443" s="2" t="s">
        <v>815</v>
      </c>
      <c r="P443" s="2" t="s">
        <v>43</v>
      </c>
      <c r="Q443" s="2" t="s">
        <v>61</v>
      </c>
      <c r="R443" s="2" t="s">
        <v>62</v>
      </c>
      <c r="S443" s="2">
        <v>200</v>
      </c>
      <c r="T443" s="2">
        <v>26</v>
      </c>
      <c r="U443" s="2">
        <v>5.98</v>
      </c>
      <c r="V443" s="2">
        <v>31.98</v>
      </c>
      <c r="W443" s="2">
        <f>0.082*S443</f>
        <v>16.400000000000002</v>
      </c>
      <c r="X443" s="5">
        <f t="shared" si="61"/>
        <v>0.36923076923076914</v>
      </c>
      <c r="Z443" s="2" t="s">
        <v>3227</v>
      </c>
      <c r="AA443" s="2" t="s">
        <v>46</v>
      </c>
      <c r="AB443" s="2" t="s">
        <v>60</v>
      </c>
      <c r="AC443" s="2" t="s">
        <v>57</v>
      </c>
      <c r="AF443" s="2">
        <f t="shared" si="54"/>
        <v>0</v>
      </c>
      <c r="AG443" s="2">
        <v>8.1999999999999993</v>
      </c>
      <c r="AH443" s="2">
        <v>13</v>
      </c>
      <c r="AJ443" s="2">
        <f t="shared" si="55"/>
        <v>0</v>
      </c>
      <c r="AK443" s="2">
        <f t="shared" si="59"/>
        <v>9.5999999999999979</v>
      </c>
      <c r="AL443" s="5">
        <f t="shared" si="60"/>
        <v>0.36923076923076914</v>
      </c>
    </row>
    <row r="444" spans="1:38" x14ac:dyDescent="0.2">
      <c r="A444" s="2">
        <v>2025</v>
      </c>
      <c r="B444" s="2">
        <v>2</v>
      </c>
      <c r="D444" s="2" t="s">
        <v>813</v>
      </c>
      <c r="E444" s="2" t="s">
        <v>38</v>
      </c>
      <c r="F444" s="2" t="s">
        <v>39</v>
      </c>
      <c r="G444" s="2" t="s">
        <v>814</v>
      </c>
      <c r="H444" s="2" t="s">
        <v>41</v>
      </c>
      <c r="I444" s="2" t="s">
        <v>626</v>
      </c>
      <c r="L444" s="2" t="s">
        <v>626</v>
      </c>
      <c r="M444" s="2" t="s">
        <v>41</v>
      </c>
      <c r="O444" s="2" t="s">
        <v>815</v>
      </c>
      <c r="P444" s="2" t="s">
        <v>43</v>
      </c>
      <c r="Q444" s="2" t="s">
        <v>65</v>
      </c>
      <c r="R444" s="2" t="s">
        <v>66</v>
      </c>
      <c r="S444" s="2">
        <v>1</v>
      </c>
      <c r="T444" s="2">
        <v>21</v>
      </c>
      <c r="U444" s="2">
        <v>4.83</v>
      </c>
      <c r="V444" s="2">
        <v>25.83</v>
      </c>
      <c r="W444" s="2">
        <f>15.0203*S444</f>
        <v>15.020300000000001</v>
      </c>
      <c r="X444" s="5">
        <f t="shared" si="61"/>
        <v>0.28474761904761903</v>
      </c>
      <c r="Z444" s="2" t="s">
        <v>3227</v>
      </c>
      <c r="AA444" s="2" t="s">
        <v>46</v>
      </c>
      <c r="AB444" s="2" t="s">
        <v>67</v>
      </c>
      <c r="AC444" s="2" t="s">
        <v>57</v>
      </c>
      <c r="AF444" s="2">
        <f t="shared" si="54"/>
        <v>0</v>
      </c>
      <c r="AG444" s="2">
        <v>15.020300000000001</v>
      </c>
      <c r="AH444" s="2">
        <v>27.6</v>
      </c>
      <c r="AJ444" s="2">
        <f t="shared" si="55"/>
        <v>0</v>
      </c>
      <c r="AK444" s="2">
        <f t="shared" si="59"/>
        <v>5.9796999999999993</v>
      </c>
      <c r="AL444" s="5">
        <f t="shared" si="60"/>
        <v>0.28474761904761903</v>
      </c>
    </row>
    <row r="445" spans="1:38" x14ac:dyDescent="0.2">
      <c r="A445" s="2">
        <v>2025</v>
      </c>
      <c r="B445" s="2">
        <v>2</v>
      </c>
      <c r="D445" s="2" t="s">
        <v>816</v>
      </c>
      <c r="E445" s="2" t="s">
        <v>38</v>
      </c>
      <c r="F445" s="2" t="s">
        <v>39</v>
      </c>
      <c r="L445" s="2" t="s">
        <v>480</v>
      </c>
      <c r="M445" s="2" t="s">
        <v>40</v>
      </c>
      <c r="P445" s="2" t="s">
        <v>114</v>
      </c>
      <c r="Q445" s="2" t="s">
        <v>817</v>
      </c>
      <c r="R445" s="2" t="s">
        <v>818</v>
      </c>
      <c r="S445" s="2">
        <v>1</v>
      </c>
      <c r="T445" s="2">
        <v>16.29</v>
      </c>
      <c r="U445" s="2">
        <v>3.7467000000000001</v>
      </c>
      <c r="V445" s="2">
        <v>20.0367</v>
      </c>
      <c r="W445" s="2">
        <f>8.8954</f>
        <v>8.8954000000000004</v>
      </c>
      <c r="X445" s="5">
        <f t="shared" si="61"/>
        <v>0.45393492940454261</v>
      </c>
      <c r="Z445" s="2" t="s">
        <v>117</v>
      </c>
      <c r="AA445" s="2" t="s">
        <v>118</v>
      </c>
      <c r="AB445" s="2" t="s">
        <v>119</v>
      </c>
      <c r="AC445" s="2" t="s">
        <v>114</v>
      </c>
      <c r="AF445" s="2">
        <f t="shared" si="54"/>
        <v>0</v>
      </c>
      <c r="AJ445" s="2">
        <f t="shared" si="55"/>
        <v>0</v>
      </c>
      <c r="AK445" s="2">
        <f t="shared" si="59"/>
        <v>7.3945999999999987</v>
      </c>
      <c r="AL445" s="5">
        <f t="shared" si="60"/>
        <v>0.45393492940454261</v>
      </c>
    </row>
    <row r="446" spans="1:38" x14ac:dyDescent="0.2">
      <c r="A446" s="2">
        <v>2025</v>
      </c>
      <c r="B446" s="2">
        <v>2</v>
      </c>
      <c r="D446" s="2" t="s">
        <v>816</v>
      </c>
      <c r="E446" s="2" t="s">
        <v>38</v>
      </c>
      <c r="F446" s="2" t="s">
        <v>39</v>
      </c>
      <c r="L446" s="2" t="s">
        <v>480</v>
      </c>
      <c r="M446" s="2" t="s">
        <v>40</v>
      </c>
      <c r="P446" s="2" t="s">
        <v>187</v>
      </c>
      <c r="Q446" s="2" t="s">
        <v>188</v>
      </c>
      <c r="R446" s="2" t="s">
        <v>189</v>
      </c>
      <c r="S446" s="2">
        <v>1</v>
      </c>
      <c r="T446" s="2">
        <v>106.5</v>
      </c>
      <c r="U446" s="2">
        <v>24.495000000000001</v>
      </c>
      <c r="V446" s="2">
        <v>130.995</v>
      </c>
      <c r="W446" s="2">
        <f>T446*40%</f>
        <v>42.6</v>
      </c>
      <c r="X446" s="5">
        <f t="shared" si="61"/>
        <v>0.6</v>
      </c>
      <c r="Z446" s="2" t="s">
        <v>117</v>
      </c>
      <c r="AA446" s="2" t="s">
        <v>190</v>
      </c>
      <c r="AB446" s="2" t="s">
        <v>189</v>
      </c>
      <c r="AC446" s="2" t="s">
        <v>40</v>
      </c>
      <c r="AF446" s="2">
        <f t="shared" si="54"/>
        <v>0</v>
      </c>
      <c r="AJ446" s="2">
        <f t="shared" si="55"/>
        <v>0</v>
      </c>
      <c r="AK446" s="2">
        <f t="shared" si="59"/>
        <v>63.9</v>
      </c>
      <c r="AL446" s="5">
        <f t="shared" si="60"/>
        <v>0.6</v>
      </c>
    </row>
    <row r="447" spans="1:38" x14ac:dyDescent="0.2">
      <c r="A447" s="2">
        <v>2025</v>
      </c>
      <c r="B447" s="2">
        <v>2</v>
      </c>
      <c r="D447" s="2" t="s">
        <v>816</v>
      </c>
      <c r="E447" s="2" t="s">
        <v>38</v>
      </c>
      <c r="F447" s="2" t="s">
        <v>39</v>
      </c>
      <c r="L447" s="2" t="s">
        <v>480</v>
      </c>
      <c r="M447" s="2" t="s">
        <v>40</v>
      </c>
      <c r="P447" s="2" t="s">
        <v>187</v>
      </c>
      <c r="Q447" s="2" t="s">
        <v>191</v>
      </c>
      <c r="R447" s="2" t="s">
        <v>190</v>
      </c>
      <c r="S447" s="2">
        <v>1</v>
      </c>
      <c r="T447" s="2">
        <v>45</v>
      </c>
      <c r="U447" s="2">
        <v>10.35</v>
      </c>
      <c r="V447" s="2">
        <v>55.35</v>
      </c>
      <c r="W447" s="2">
        <f>T447*50%</f>
        <v>22.5</v>
      </c>
      <c r="X447" s="5">
        <f t="shared" si="61"/>
        <v>0.5</v>
      </c>
      <c r="Z447" s="2" t="s">
        <v>117</v>
      </c>
      <c r="AA447" s="2" t="s">
        <v>190</v>
      </c>
      <c r="AB447" s="2" t="s">
        <v>190</v>
      </c>
      <c r="AC447" s="2" t="s">
        <v>40</v>
      </c>
      <c r="AF447" s="2">
        <f t="shared" si="54"/>
        <v>0</v>
      </c>
      <c r="AJ447" s="2">
        <f t="shared" si="55"/>
        <v>0</v>
      </c>
      <c r="AK447" s="2">
        <f t="shared" si="59"/>
        <v>22.5</v>
      </c>
      <c r="AL447" s="5">
        <f t="shared" si="60"/>
        <v>0.5</v>
      </c>
    </row>
    <row r="448" spans="1:38" x14ac:dyDescent="0.2">
      <c r="A448" s="2">
        <v>2025</v>
      </c>
      <c r="B448" s="2">
        <v>2</v>
      </c>
      <c r="D448" s="2" t="s">
        <v>819</v>
      </c>
      <c r="P448" s="2" t="s">
        <v>40</v>
      </c>
      <c r="Q448" s="2" t="s">
        <v>820</v>
      </c>
      <c r="R448" s="2" t="s">
        <v>821</v>
      </c>
      <c r="S448" s="2">
        <v>1</v>
      </c>
      <c r="T448" s="2">
        <v>3252.03</v>
      </c>
      <c r="U448" s="2">
        <v>747.96690000000012</v>
      </c>
      <c r="V448" s="2">
        <v>3999.9969000000001</v>
      </c>
      <c r="W448" s="2">
        <f>T448*75%</f>
        <v>2439.0225</v>
      </c>
      <c r="X448" s="5">
        <f t="shared" si="61"/>
        <v>0.25000000000000006</v>
      </c>
      <c r="Z448" s="2" t="s">
        <v>104</v>
      </c>
      <c r="AA448" s="2" t="s">
        <v>616</v>
      </c>
      <c r="AB448" s="2" t="s">
        <v>475</v>
      </c>
      <c r="AC448" s="2" t="s">
        <v>475</v>
      </c>
      <c r="AF448" s="2">
        <f t="shared" si="54"/>
        <v>0</v>
      </c>
      <c r="AJ448" s="2">
        <f t="shared" si="55"/>
        <v>0</v>
      </c>
      <c r="AK448" s="2">
        <f t="shared" si="59"/>
        <v>813.00750000000016</v>
      </c>
      <c r="AL448" s="5">
        <f t="shared" si="60"/>
        <v>0.25000000000000006</v>
      </c>
    </row>
    <row r="449" spans="1:38" x14ac:dyDescent="0.2">
      <c r="A449" s="2">
        <v>2025</v>
      </c>
      <c r="B449" s="2">
        <v>2</v>
      </c>
      <c r="D449" s="2" t="s">
        <v>822</v>
      </c>
      <c r="E449" s="2" t="s">
        <v>38</v>
      </c>
      <c r="F449" s="2" t="s">
        <v>39</v>
      </c>
      <c r="G449" s="2">
        <v>513812342</v>
      </c>
      <c r="H449" s="2" t="s">
        <v>41</v>
      </c>
      <c r="I449" s="2" t="s">
        <v>825</v>
      </c>
      <c r="J449" s="2" t="s">
        <v>826</v>
      </c>
      <c r="L449" s="2" t="s">
        <v>418</v>
      </c>
      <c r="P449" s="2" t="s">
        <v>114</v>
      </c>
      <c r="Q449" s="2" t="s">
        <v>823</v>
      </c>
      <c r="R449" s="2" t="s">
        <v>824</v>
      </c>
      <c r="S449" s="2">
        <v>1</v>
      </c>
      <c r="T449" s="2">
        <v>218.59</v>
      </c>
      <c r="U449" s="2">
        <v>50.275700000000001</v>
      </c>
      <c r="V449" s="2">
        <v>268.8657</v>
      </c>
      <c r="W449" s="2">
        <v>127.5675</v>
      </c>
      <c r="X449" s="5">
        <f t="shared" si="61"/>
        <v>0.41640742943410042</v>
      </c>
      <c r="Z449" s="2" t="s">
        <v>117</v>
      </c>
      <c r="AA449" s="2" t="s">
        <v>118</v>
      </c>
      <c r="AB449" s="2" t="s">
        <v>119</v>
      </c>
      <c r="AC449" s="2" t="s">
        <v>114</v>
      </c>
      <c r="AF449" s="2">
        <f t="shared" si="54"/>
        <v>0</v>
      </c>
      <c r="AJ449" s="2">
        <f t="shared" si="55"/>
        <v>0</v>
      </c>
      <c r="AK449" s="2">
        <f t="shared" si="59"/>
        <v>91.022500000000008</v>
      </c>
      <c r="AL449" s="5">
        <f t="shared" si="60"/>
        <v>0.41640742943410042</v>
      </c>
    </row>
    <row r="450" spans="1:38" x14ac:dyDescent="0.2">
      <c r="A450" s="2">
        <v>2025</v>
      </c>
      <c r="B450" s="2">
        <v>2</v>
      </c>
      <c r="D450" s="2" t="s">
        <v>822</v>
      </c>
      <c r="E450" s="2" t="s">
        <v>38</v>
      </c>
      <c r="F450" s="2" t="s">
        <v>39</v>
      </c>
      <c r="G450" s="2">
        <v>513812342</v>
      </c>
      <c r="H450" s="2" t="s">
        <v>41</v>
      </c>
      <c r="I450" s="2" t="s">
        <v>825</v>
      </c>
      <c r="J450" s="2" t="s">
        <v>826</v>
      </c>
      <c r="L450" s="2" t="s">
        <v>418</v>
      </c>
      <c r="M450" s="2" t="s">
        <v>41</v>
      </c>
      <c r="O450" s="2" t="s">
        <v>827</v>
      </c>
      <c r="P450" s="2" t="s">
        <v>72</v>
      </c>
      <c r="Q450" s="2" t="s">
        <v>557</v>
      </c>
      <c r="R450" s="2" t="s">
        <v>307</v>
      </c>
      <c r="S450" s="2">
        <v>1</v>
      </c>
      <c r="T450" s="2">
        <v>220</v>
      </c>
      <c r="U450" s="2">
        <v>50.6</v>
      </c>
      <c r="V450" s="2">
        <v>270.60000000000002</v>
      </c>
      <c r="W450" s="2">
        <v>122.446</v>
      </c>
      <c r="X450" s="5">
        <f t="shared" si="61"/>
        <v>0.44342727272727273</v>
      </c>
      <c r="Z450" s="2" t="s">
        <v>3227</v>
      </c>
      <c r="AA450" s="2" t="s">
        <v>75</v>
      </c>
      <c r="AB450" s="2" t="s">
        <v>76</v>
      </c>
      <c r="AC450" s="2" t="s">
        <v>77</v>
      </c>
      <c r="AF450" s="2">
        <f t="shared" ref="AF450:AF513" si="62">AJ450</f>
        <v>0</v>
      </c>
      <c r="AG450" s="2">
        <v>122.446</v>
      </c>
      <c r="AH450" s="2">
        <v>230</v>
      </c>
      <c r="AJ450" s="2">
        <f t="shared" ref="AJ450:AJ513" si="63">AI450*T450</f>
        <v>0</v>
      </c>
      <c r="AK450" s="2">
        <f t="shared" si="59"/>
        <v>97.554000000000002</v>
      </c>
      <c r="AL450" s="5">
        <f t="shared" si="60"/>
        <v>0.44342727272727273</v>
      </c>
    </row>
    <row r="451" spans="1:38" x14ac:dyDescent="0.2">
      <c r="A451" s="2">
        <v>2025</v>
      </c>
      <c r="B451" s="2">
        <v>2</v>
      </c>
      <c r="D451" s="2" t="s">
        <v>822</v>
      </c>
      <c r="E451" s="2" t="s">
        <v>38</v>
      </c>
      <c r="F451" s="2" t="s">
        <v>39</v>
      </c>
      <c r="G451" s="2">
        <v>513812342</v>
      </c>
      <c r="H451" s="2" t="s">
        <v>41</v>
      </c>
      <c r="I451" s="2" t="s">
        <v>825</v>
      </c>
      <c r="J451" s="2" t="s">
        <v>826</v>
      </c>
      <c r="L451" s="2" t="s">
        <v>418</v>
      </c>
      <c r="M451" s="2" t="s">
        <v>41</v>
      </c>
      <c r="P451" s="2" t="s">
        <v>93</v>
      </c>
      <c r="Q451" s="2" t="s">
        <v>94</v>
      </c>
      <c r="R451" s="2" t="s">
        <v>95</v>
      </c>
      <c r="S451" s="2">
        <v>1</v>
      </c>
      <c r="T451" s="2">
        <v>1.1399999999999999</v>
      </c>
      <c r="U451" s="2">
        <v>0.26219999999999999</v>
      </c>
      <c r="V451" s="2">
        <v>1.4021999999999999</v>
      </c>
      <c r="W451" s="2">
        <v>1.1399999999999999</v>
      </c>
      <c r="X451" s="5">
        <f t="shared" si="61"/>
        <v>0</v>
      </c>
      <c r="Z451" s="2" t="s">
        <v>3227</v>
      </c>
      <c r="AA451" s="2" t="s">
        <v>96</v>
      </c>
      <c r="AB451" s="2" t="s">
        <v>76</v>
      </c>
      <c r="AC451" s="2" t="s">
        <v>93</v>
      </c>
      <c r="AF451" s="2">
        <f t="shared" si="62"/>
        <v>0</v>
      </c>
      <c r="AJ451" s="2">
        <f t="shared" si="63"/>
        <v>0</v>
      </c>
      <c r="AK451" s="2">
        <f t="shared" si="59"/>
        <v>0</v>
      </c>
      <c r="AL451" s="5">
        <f t="shared" si="60"/>
        <v>0</v>
      </c>
    </row>
    <row r="452" spans="1:38" x14ac:dyDescent="0.2">
      <c r="A452" s="2">
        <v>2025</v>
      </c>
      <c r="B452" s="2">
        <v>2</v>
      </c>
      <c r="D452" s="2" t="s">
        <v>828</v>
      </c>
      <c r="E452" s="2" t="s">
        <v>108</v>
      </c>
      <c r="F452" s="2" t="s">
        <v>39</v>
      </c>
      <c r="G452" s="2">
        <v>506179095</v>
      </c>
      <c r="H452" s="2" t="s">
        <v>40</v>
      </c>
      <c r="I452" s="2" t="s">
        <v>829</v>
      </c>
      <c r="J452" s="2" t="s">
        <v>830</v>
      </c>
      <c r="L452" s="2" t="s">
        <v>99</v>
      </c>
      <c r="M452" s="2" t="s">
        <v>80</v>
      </c>
      <c r="O452" s="2" t="s">
        <v>831</v>
      </c>
      <c r="P452" s="2" t="s">
        <v>72</v>
      </c>
      <c r="Q452" s="2" t="s">
        <v>832</v>
      </c>
      <c r="R452" s="2" t="s">
        <v>74</v>
      </c>
      <c r="S452" s="2">
        <v>1</v>
      </c>
      <c r="T452" s="2">
        <v>200</v>
      </c>
      <c r="U452" s="2">
        <v>46</v>
      </c>
      <c r="V452" s="2">
        <v>246</v>
      </c>
      <c r="W452" s="2">
        <v>120.636</v>
      </c>
      <c r="X452" s="5">
        <f t="shared" si="61"/>
        <v>0.39682000000000001</v>
      </c>
      <c r="Z452" s="2" t="s">
        <v>3227</v>
      </c>
      <c r="AA452" s="2" t="s">
        <v>75</v>
      </c>
      <c r="AB452" s="2" t="s">
        <v>76</v>
      </c>
      <c r="AC452" s="2" t="s">
        <v>77</v>
      </c>
      <c r="AF452" s="2">
        <f t="shared" si="62"/>
        <v>0</v>
      </c>
      <c r="AG452" s="2">
        <v>120.636</v>
      </c>
      <c r="AH452" s="2">
        <v>220</v>
      </c>
      <c r="AJ452" s="2">
        <f t="shared" si="63"/>
        <v>0</v>
      </c>
      <c r="AK452" s="2">
        <f t="shared" si="59"/>
        <v>79.364000000000004</v>
      </c>
      <c r="AL452" s="5">
        <f t="shared" si="60"/>
        <v>0.39682000000000001</v>
      </c>
    </row>
    <row r="453" spans="1:38" x14ac:dyDescent="0.2">
      <c r="A453" s="2">
        <v>2025</v>
      </c>
      <c r="B453" s="2">
        <v>2</v>
      </c>
      <c r="D453" s="2" t="s">
        <v>828</v>
      </c>
      <c r="E453" s="2" t="s">
        <v>108</v>
      </c>
      <c r="F453" s="2" t="s">
        <v>39</v>
      </c>
      <c r="G453" s="2">
        <v>506179095</v>
      </c>
      <c r="H453" s="2" t="s">
        <v>40</v>
      </c>
      <c r="I453" s="2" t="s">
        <v>829</v>
      </c>
      <c r="J453" s="2" t="s">
        <v>830</v>
      </c>
      <c r="L453" s="2" t="s">
        <v>99</v>
      </c>
      <c r="M453" s="2" t="s">
        <v>80</v>
      </c>
      <c r="O453" s="2" t="s">
        <v>831</v>
      </c>
      <c r="P453" s="2" t="s">
        <v>93</v>
      </c>
      <c r="Q453" s="2" t="s">
        <v>94</v>
      </c>
      <c r="R453" s="2" t="s">
        <v>95</v>
      </c>
      <c r="S453" s="2">
        <v>1</v>
      </c>
      <c r="T453" s="2">
        <v>1.1399999999999999</v>
      </c>
      <c r="U453" s="2">
        <v>0.26219999999999999</v>
      </c>
      <c r="V453" s="2">
        <v>1.4021999999999999</v>
      </c>
      <c r="W453" s="2">
        <v>1.1399999999999999</v>
      </c>
      <c r="X453" s="5">
        <f t="shared" si="61"/>
        <v>0</v>
      </c>
      <c r="Z453" s="2" t="s">
        <v>3227</v>
      </c>
      <c r="AA453" s="2" t="s">
        <v>96</v>
      </c>
      <c r="AB453" s="2" t="s">
        <v>76</v>
      </c>
      <c r="AC453" s="2" t="s">
        <v>93</v>
      </c>
      <c r="AF453" s="2">
        <f t="shared" si="62"/>
        <v>0</v>
      </c>
      <c r="AG453" s="2">
        <v>1.1399999999999999</v>
      </c>
      <c r="AH453" s="2">
        <v>1.1399999999999999</v>
      </c>
      <c r="AJ453" s="2">
        <f t="shared" si="63"/>
        <v>0</v>
      </c>
      <c r="AK453" s="2">
        <f t="shared" si="59"/>
        <v>0</v>
      </c>
      <c r="AL453" s="5">
        <f t="shared" si="60"/>
        <v>0</v>
      </c>
    </row>
    <row r="454" spans="1:38" x14ac:dyDescent="0.2">
      <c r="A454" s="2">
        <v>2025</v>
      </c>
      <c r="B454" s="2">
        <v>2</v>
      </c>
      <c r="D454" s="2" t="s">
        <v>833</v>
      </c>
      <c r="M454" s="2" t="s">
        <v>40</v>
      </c>
      <c r="P454" s="2" t="s">
        <v>114</v>
      </c>
      <c r="Q454" s="2" t="s">
        <v>373</v>
      </c>
      <c r="R454" s="2" t="s">
        <v>374</v>
      </c>
      <c r="S454" s="2">
        <v>1</v>
      </c>
      <c r="T454" s="2">
        <v>45.07</v>
      </c>
      <c r="U454" s="2">
        <v>10.366099999999999</v>
      </c>
      <c r="V454" s="2">
        <v>55.436100000000003</v>
      </c>
      <c r="W454" s="2">
        <f>23.042*S454</f>
        <v>23.042000000000002</v>
      </c>
      <c r="X454" s="5">
        <f t="shared" si="61"/>
        <v>0.48875083203905034</v>
      </c>
      <c r="Z454" s="2" t="s">
        <v>117</v>
      </c>
      <c r="AA454" s="2" t="s">
        <v>118</v>
      </c>
      <c r="AB454" s="2" t="s">
        <v>119</v>
      </c>
      <c r="AC454" s="2" t="s">
        <v>114</v>
      </c>
      <c r="AF454" s="2">
        <f t="shared" si="62"/>
        <v>0</v>
      </c>
      <c r="AJ454" s="2">
        <f t="shared" si="63"/>
        <v>0</v>
      </c>
      <c r="AK454" s="2">
        <f t="shared" si="59"/>
        <v>22.027999999999999</v>
      </c>
      <c r="AL454" s="5">
        <f t="shared" si="60"/>
        <v>0.48875083203905034</v>
      </c>
    </row>
    <row r="455" spans="1:38" x14ac:dyDescent="0.2">
      <c r="A455" s="2">
        <v>2025</v>
      </c>
      <c r="B455" s="2">
        <v>2</v>
      </c>
      <c r="C455" s="2" t="s">
        <v>3308</v>
      </c>
      <c r="D455" s="2" t="s">
        <v>3306</v>
      </c>
      <c r="E455" s="2" t="s">
        <v>38</v>
      </c>
      <c r="F455" s="2" t="s">
        <v>470</v>
      </c>
      <c r="G455" s="2">
        <v>513626930</v>
      </c>
      <c r="H455" s="2" t="s">
        <v>40</v>
      </c>
      <c r="I455" s="2" t="s">
        <v>339</v>
      </c>
      <c r="J455" s="2" t="s">
        <v>471</v>
      </c>
      <c r="L455" s="2" t="s">
        <v>339</v>
      </c>
      <c r="M455" s="2" t="s">
        <v>40</v>
      </c>
      <c r="O455" s="2" t="s">
        <v>3305</v>
      </c>
      <c r="P455" s="2" t="s">
        <v>114</v>
      </c>
      <c r="Q455" s="2" t="s">
        <v>834</v>
      </c>
      <c r="R455" s="2" t="s">
        <v>835</v>
      </c>
      <c r="S455" s="2">
        <v>1</v>
      </c>
      <c r="T455" s="2">
        <v>0</v>
      </c>
      <c r="U455" s="2">
        <v>0</v>
      </c>
      <c r="V455" s="2">
        <v>0</v>
      </c>
      <c r="W455" s="2">
        <v>546.52</v>
      </c>
      <c r="Z455" s="2" t="s">
        <v>117</v>
      </c>
      <c r="AA455" s="2" t="s">
        <v>578</v>
      </c>
      <c r="AB455" s="2" t="s">
        <v>119</v>
      </c>
      <c r="AC455" s="2" t="s">
        <v>114</v>
      </c>
      <c r="AF455" s="2">
        <f t="shared" si="62"/>
        <v>0</v>
      </c>
      <c r="AJ455" s="2">
        <f t="shared" si="63"/>
        <v>0</v>
      </c>
      <c r="AK455" s="2">
        <f t="shared" si="59"/>
        <v>-546.52</v>
      </c>
      <c r="AL455" s="5">
        <v>0</v>
      </c>
    </row>
    <row r="456" spans="1:38" x14ac:dyDescent="0.2">
      <c r="A456" s="2">
        <v>2025</v>
      </c>
      <c r="B456" s="2">
        <v>2</v>
      </c>
      <c r="C456" s="2" t="s">
        <v>3304</v>
      </c>
      <c r="D456" s="2" t="s">
        <v>3303</v>
      </c>
      <c r="E456" s="2" t="s">
        <v>108</v>
      </c>
      <c r="F456" s="2" t="s">
        <v>477</v>
      </c>
      <c r="G456" s="2">
        <v>513626930</v>
      </c>
      <c r="H456" s="2" t="s">
        <v>40</v>
      </c>
      <c r="I456" s="2" t="s">
        <v>339</v>
      </c>
      <c r="J456" s="2" t="s">
        <v>471</v>
      </c>
      <c r="L456" s="2" t="s">
        <v>461</v>
      </c>
      <c r="M456" s="2" t="s">
        <v>41</v>
      </c>
      <c r="O456" s="2" t="s">
        <v>3302</v>
      </c>
      <c r="P456" s="2" t="s">
        <v>114</v>
      </c>
      <c r="Q456" s="16" t="s">
        <v>709</v>
      </c>
      <c r="R456" s="2" t="s">
        <v>710</v>
      </c>
      <c r="S456" s="2">
        <v>1</v>
      </c>
      <c r="T456" s="2">
        <v>1500</v>
      </c>
      <c r="U456" s="2">
        <v>345</v>
      </c>
      <c r="V456" s="2">
        <v>1845</v>
      </c>
      <c r="W456" s="2">
        <v>1244.2445</v>
      </c>
      <c r="X456" s="5">
        <f t="shared" ref="X456:X467" si="64">(T456-W456)/T456</f>
        <v>0.17050366666666666</v>
      </c>
      <c r="Z456" s="2" t="s">
        <v>104</v>
      </c>
      <c r="AA456" s="2" t="s">
        <v>578</v>
      </c>
      <c r="AB456" s="2" t="s">
        <v>701</v>
      </c>
      <c r="AC456" s="2" t="s">
        <v>114</v>
      </c>
      <c r="AF456" s="2">
        <f t="shared" si="62"/>
        <v>0</v>
      </c>
      <c r="AG456" s="2">
        <v>1244.2445</v>
      </c>
      <c r="AJ456" s="2">
        <f t="shared" si="63"/>
        <v>0</v>
      </c>
      <c r="AK456" s="2">
        <f t="shared" si="59"/>
        <v>255.75549999999998</v>
      </c>
      <c r="AL456" s="5">
        <f t="shared" ref="AL456:AL489" si="65">(T456-W456)/T456</f>
        <v>0.17050366666666666</v>
      </c>
    </row>
    <row r="457" spans="1:38" x14ac:dyDescent="0.2">
      <c r="A457" s="2">
        <v>2025</v>
      </c>
      <c r="B457" s="2">
        <v>2</v>
      </c>
      <c r="C457" s="2" t="s">
        <v>3308</v>
      </c>
      <c r="D457" s="2" t="s">
        <v>3306</v>
      </c>
      <c r="E457" s="2" t="s">
        <v>38</v>
      </c>
      <c r="F457" s="2" t="s">
        <v>470</v>
      </c>
      <c r="G457" s="2">
        <v>513626930</v>
      </c>
      <c r="H457" s="2" t="s">
        <v>40</v>
      </c>
      <c r="I457" s="2" t="s">
        <v>339</v>
      </c>
      <c r="J457" s="2" t="s">
        <v>471</v>
      </c>
      <c r="L457" s="2" t="s">
        <v>339</v>
      </c>
      <c r="M457" s="2" t="s">
        <v>40</v>
      </c>
      <c r="O457" s="2" t="s">
        <v>3305</v>
      </c>
      <c r="P457" s="2" t="s">
        <v>114</v>
      </c>
      <c r="Q457" s="2" t="s">
        <v>836</v>
      </c>
      <c r="R457" s="2" t="s">
        <v>837</v>
      </c>
      <c r="S457" s="2">
        <v>1</v>
      </c>
      <c r="T457" s="2">
        <v>16250</v>
      </c>
      <c r="U457" s="2">
        <v>3737.5</v>
      </c>
      <c r="V457" s="2">
        <v>19987.5</v>
      </c>
      <c r="W457" s="2">
        <f>9188.21+401.67</f>
        <v>9589.8799999999992</v>
      </c>
      <c r="X457" s="5">
        <f t="shared" si="64"/>
        <v>0.40985353846153849</v>
      </c>
      <c r="Z457" s="2" t="s">
        <v>104</v>
      </c>
      <c r="AA457" s="2" t="s">
        <v>414</v>
      </c>
      <c r="AB457" s="2" t="s">
        <v>151</v>
      </c>
      <c r="AC457" s="2" t="s">
        <v>114</v>
      </c>
      <c r="AF457" s="2">
        <f t="shared" si="62"/>
        <v>0</v>
      </c>
      <c r="AJ457" s="2">
        <f t="shared" si="63"/>
        <v>0</v>
      </c>
      <c r="AK457" s="2">
        <f t="shared" ref="AK457:AK489" si="66">T457-W457</f>
        <v>6660.1200000000008</v>
      </c>
      <c r="AL457" s="5">
        <f t="shared" si="65"/>
        <v>0.40985353846153849</v>
      </c>
    </row>
    <row r="458" spans="1:38" x14ac:dyDescent="0.2">
      <c r="A458" s="2">
        <v>2025</v>
      </c>
      <c r="B458" s="2">
        <v>2</v>
      </c>
      <c r="C458" s="2" t="s">
        <v>3308</v>
      </c>
      <c r="D458" s="2" t="s">
        <v>3309</v>
      </c>
      <c r="E458" s="2" t="s">
        <v>38</v>
      </c>
      <c r="F458" s="2" t="s">
        <v>470</v>
      </c>
      <c r="G458" s="2">
        <v>513626930</v>
      </c>
      <c r="H458" s="2" t="s">
        <v>40</v>
      </c>
      <c r="I458" s="2" t="s">
        <v>339</v>
      </c>
      <c r="J458" s="2" t="s">
        <v>471</v>
      </c>
      <c r="L458" s="2" t="s">
        <v>461</v>
      </c>
      <c r="M458" s="2" t="s">
        <v>41</v>
      </c>
      <c r="P458" s="2" t="s">
        <v>114</v>
      </c>
      <c r="Q458" s="2" t="s">
        <v>412</v>
      </c>
      <c r="R458" s="2" t="s">
        <v>413</v>
      </c>
      <c r="S458" s="2">
        <v>1</v>
      </c>
      <c r="T458" s="2">
        <v>15990</v>
      </c>
      <c r="U458" s="2">
        <v>3677.7</v>
      </c>
      <c r="V458" s="2">
        <v>19667.7</v>
      </c>
      <c r="W458" s="2">
        <v>10669.4</v>
      </c>
      <c r="X458" s="5">
        <f t="shared" si="64"/>
        <v>0.33274546591619764</v>
      </c>
      <c r="Z458" s="2" t="s">
        <v>104</v>
      </c>
      <c r="AA458" s="2" t="s">
        <v>414</v>
      </c>
      <c r="AB458" s="2" t="s">
        <v>151</v>
      </c>
      <c r="AC458" s="2" t="s">
        <v>114</v>
      </c>
      <c r="AF458" s="2">
        <f t="shared" si="62"/>
        <v>0</v>
      </c>
      <c r="AJ458" s="2">
        <f t="shared" si="63"/>
        <v>0</v>
      </c>
      <c r="AK458" s="2">
        <f t="shared" si="66"/>
        <v>5320.6</v>
      </c>
      <c r="AL458" s="5">
        <f t="shared" si="65"/>
        <v>0.33274546591619764</v>
      </c>
    </row>
    <row r="459" spans="1:38" x14ac:dyDescent="0.2">
      <c r="A459" s="2">
        <v>2025</v>
      </c>
      <c r="B459" s="2">
        <v>2</v>
      </c>
      <c r="C459" s="2" t="s">
        <v>3304</v>
      </c>
      <c r="D459" s="2" t="s">
        <v>3303</v>
      </c>
      <c r="E459" s="2" t="s">
        <v>108</v>
      </c>
      <c r="F459" s="2" t="s">
        <v>477</v>
      </c>
      <c r="G459" s="2">
        <v>513626930</v>
      </c>
      <c r="H459" s="2" t="s">
        <v>40</v>
      </c>
      <c r="I459" s="2" t="s">
        <v>339</v>
      </c>
      <c r="J459" s="2" t="s">
        <v>471</v>
      </c>
      <c r="L459" s="2" t="s">
        <v>461</v>
      </c>
      <c r="M459" s="2" t="s">
        <v>41</v>
      </c>
      <c r="O459" s="2" t="s">
        <v>3302</v>
      </c>
      <c r="P459" s="2" t="s">
        <v>114</v>
      </c>
      <c r="Q459" s="2" t="s">
        <v>838</v>
      </c>
      <c r="R459" s="2" t="s">
        <v>839</v>
      </c>
      <c r="S459" s="2">
        <v>1</v>
      </c>
      <c r="T459" s="2">
        <v>4500</v>
      </c>
      <c r="U459" s="2">
        <v>1035</v>
      </c>
      <c r="V459" s="2">
        <v>5535</v>
      </c>
      <c r="W459" s="2">
        <f>3229.76+112.87</f>
        <v>3342.63</v>
      </c>
      <c r="X459" s="5">
        <f t="shared" si="64"/>
        <v>0.25719333333333333</v>
      </c>
      <c r="Z459" s="2" t="s">
        <v>104</v>
      </c>
      <c r="AA459" s="2" t="s">
        <v>150</v>
      </c>
      <c r="AB459" s="2" t="s">
        <v>151</v>
      </c>
      <c r="AC459" s="2" t="s">
        <v>114</v>
      </c>
      <c r="AF459" s="2">
        <f t="shared" si="62"/>
        <v>0</v>
      </c>
      <c r="AJ459" s="2">
        <f t="shared" si="63"/>
        <v>0</v>
      </c>
      <c r="AK459" s="2">
        <f t="shared" si="66"/>
        <v>1157.3699999999999</v>
      </c>
      <c r="AL459" s="5">
        <f t="shared" si="65"/>
        <v>0.25719333333333333</v>
      </c>
    </row>
    <row r="460" spans="1:38" x14ac:dyDescent="0.2">
      <c r="A460" s="2">
        <v>2025</v>
      </c>
      <c r="B460" s="2">
        <v>2</v>
      </c>
      <c r="D460" s="2" t="s">
        <v>840</v>
      </c>
      <c r="E460" s="2" t="s">
        <v>108</v>
      </c>
      <c r="F460" s="2" t="s">
        <v>531</v>
      </c>
      <c r="G460" s="2">
        <v>504981285</v>
      </c>
      <c r="H460" s="2" t="s">
        <v>290</v>
      </c>
      <c r="I460" s="2" t="s">
        <v>841</v>
      </c>
      <c r="J460" s="2" t="s">
        <v>842</v>
      </c>
      <c r="K460" s="2">
        <v>932209225</v>
      </c>
      <c r="L460" s="2" t="s">
        <v>339</v>
      </c>
      <c r="M460" s="2" t="s">
        <v>40</v>
      </c>
      <c r="P460" s="2" t="s">
        <v>187</v>
      </c>
      <c r="Q460" s="2" t="s">
        <v>188</v>
      </c>
      <c r="R460" s="2" t="s">
        <v>189</v>
      </c>
      <c r="S460" s="2">
        <v>2</v>
      </c>
      <c r="T460" s="2">
        <v>100</v>
      </c>
      <c r="U460" s="2">
        <v>23</v>
      </c>
      <c r="V460" s="2">
        <v>123</v>
      </c>
      <c r="W460" s="2">
        <f>T460*40%</f>
        <v>40</v>
      </c>
      <c r="X460" s="5">
        <f t="shared" si="64"/>
        <v>0.6</v>
      </c>
      <c r="Z460" s="2" t="s">
        <v>117</v>
      </c>
      <c r="AA460" s="2" t="s">
        <v>190</v>
      </c>
      <c r="AB460" s="2" t="s">
        <v>189</v>
      </c>
      <c r="AC460" s="2" t="s">
        <v>40</v>
      </c>
      <c r="AF460" s="2">
        <f t="shared" si="62"/>
        <v>0</v>
      </c>
      <c r="AJ460" s="2">
        <f t="shared" si="63"/>
        <v>0</v>
      </c>
      <c r="AK460" s="2">
        <f t="shared" si="66"/>
        <v>60</v>
      </c>
      <c r="AL460" s="5">
        <f t="shared" si="65"/>
        <v>0.6</v>
      </c>
    </row>
    <row r="461" spans="1:38" x14ac:dyDescent="0.2">
      <c r="A461" s="2">
        <v>2025</v>
      </c>
      <c r="B461" s="2">
        <v>2</v>
      </c>
      <c r="D461" s="2" t="s">
        <v>840</v>
      </c>
      <c r="E461" s="2" t="s">
        <v>108</v>
      </c>
      <c r="F461" s="2" t="s">
        <v>531</v>
      </c>
      <c r="G461" s="2">
        <v>504981285</v>
      </c>
      <c r="H461" s="2" t="s">
        <v>290</v>
      </c>
      <c r="I461" s="2" t="s">
        <v>841</v>
      </c>
      <c r="J461" s="2" t="s">
        <v>842</v>
      </c>
      <c r="K461" s="2">
        <v>932209225</v>
      </c>
      <c r="L461" s="2" t="s">
        <v>339</v>
      </c>
      <c r="M461" s="2" t="s">
        <v>40</v>
      </c>
      <c r="P461" s="2" t="s">
        <v>187</v>
      </c>
      <c r="Q461" s="2" t="s">
        <v>191</v>
      </c>
      <c r="R461" s="2" t="s">
        <v>190</v>
      </c>
      <c r="S461" s="2">
        <v>2.75</v>
      </c>
      <c r="T461" s="2">
        <v>137.5</v>
      </c>
      <c r="U461" s="2">
        <v>31.625</v>
      </c>
      <c r="V461" s="2">
        <v>169.125</v>
      </c>
      <c r="W461" s="2">
        <f>T461*50%</f>
        <v>68.75</v>
      </c>
      <c r="X461" s="5">
        <f t="shared" si="64"/>
        <v>0.5</v>
      </c>
      <c r="Z461" s="2" t="s">
        <v>117</v>
      </c>
      <c r="AA461" s="2" t="s">
        <v>190</v>
      </c>
      <c r="AB461" s="2" t="s">
        <v>190</v>
      </c>
      <c r="AC461" s="2" t="s">
        <v>40</v>
      </c>
      <c r="AF461" s="2">
        <f t="shared" si="62"/>
        <v>0</v>
      </c>
      <c r="AJ461" s="2">
        <f t="shared" si="63"/>
        <v>0</v>
      </c>
      <c r="AK461" s="2">
        <f t="shared" si="66"/>
        <v>68.75</v>
      </c>
      <c r="AL461" s="5">
        <f t="shared" si="65"/>
        <v>0.5</v>
      </c>
    </row>
    <row r="462" spans="1:38" x14ac:dyDescent="0.2">
      <c r="A462" s="2">
        <v>2025</v>
      </c>
      <c r="B462" s="2">
        <v>2</v>
      </c>
      <c r="D462" s="2" t="s">
        <v>840</v>
      </c>
      <c r="E462" s="2" t="s">
        <v>108</v>
      </c>
      <c r="F462" s="2" t="s">
        <v>531</v>
      </c>
      <c r="G462" s="2">
        <v>504981285</v>
      </c>
      <c r="H462" s="2" t="s">
        <v>290</v>
      </c>
      <c r="I462" s="2" t="s">
        <v>841</v>
      </c>
      <c r="J462" s="2" t="s">
        <v>842</v>
      </c>
      <c r="K462" s="2">
        <v>932209225</v>
      </c>
      <c r="L462" s="2" t="s">
        <v>339</v>
      </c>
      <c r="M462" s="2" t="s">
        <v>40</v>
      </c>
      <c r="P462" s="2" t="s">
        <v>40</v>
      </c>
      <c r="Q462" s="2" t="s">
        <v>363</v>
      </c>
      <c r="R462" s="2" t="s">
        <v>364</v>
      </c>
      <c r="S462" s="2">
        <v>1</v>
      </c>
      <c r="T462" s="2">
        <v>105.73</v>
      </c>
      <c r="U462" s="2">
        <v>24.317900000000002</v>
      </c>
      <c r="V462" s="2">
        <v>130.0479</v>
      </c>
      <c r="X462" s="5">
        <f t="shared" si="64"/>
        <v>1</v>
      </c>
      <c r="Z462" s="2" t="s">
        <v>119</v>
      </c>
      <c r="AA462" s="2" t="s">
        <v>3380</v>
      </c>
      <c r="AF462" s="2">
        <f t="shared" si="62"/>
        <v>0</v>
      </c>
      <c r="AJ462" s="2">
        <f t="shared" si="63"/>
        <v>0</v>
      </c>
      <c r="AK462" s="2">
        <f t="shared" si="66"/>
        <v>105.73</v>
      </c>
      <c r="AL462" s="5">
        <f t="shared" si="65"/>
        <v>1</v>
      </c>
    </row>
    <row r="463" spans="1:38" x14ac:dyDescent="0.2">
      <c r="A463" s="2">
        <v>2025</v>
      </c>
      <c r="B463" s="2">
        <v>2</v>
      </c>
      <c r="D463" s="2" t="s">
        <v>843</v>
      </c>
      <c r="E463" s="2" t="s">
        <v>38</v>
      </c>
      <c r="F463" s="2" t="s">
        <v>39</v>
      </c>
      <c r="G463" s="2">
        <v>161685080</v>
      </c>
      <c r="H463" s="2" t="s">
        <v>41</v>
      </c>
      <c r="I463" s="2" t="s">
        <v>418</v>
      </c>
      <c r="K463" s="2" t="s">
        <v>844</v>
      </c>
      <c r="L463" s="2" t="s">
        <v>418</v>
      </c>
      <c r="M463" s="2" t="s">
        <v>41</v>
      </c>
      <c r="O463" s="2" t="s">
        <v>845</v>
      </c>
      <c r="P463" s="2" t="s">
        <v>43</v>
      </c>
      <c r="Q463" s="2" t="s">
        <v>48</v>
      </c>
      <c r="R463" s="2" t="s">
        <v>49</v>
      </c>
      <c r="S463" s="2">
        <v>1</v>
      </c>
      <c r="T463" s="2">
        <v>12</v>
      </c>
      <c r="U463" s="2">
        <v>2.76</v>
      </c>
      <c r="V463" s="2">
        <v>14.76</v>
      </c>
      <c r="W463" s="2">
        <f>6.6267*S463</f>
        <v>6.6266999999999996</v>
      </c>
      <c r="X463" s="5">
        <f t="shared" si="64"/>
        <v>0.44777500000000003</v>
      </c>
      <c r="Z463" s="2" t="s">
        <v>3227</v>
      </c>
      <c r="AA463" s="2" t="s">
        <v>46</v>
      </c>
      <c r="AB463" s="2" t="s">
        <v>47</v>
      </c>
      <c r="AC463" s="2" t="s">
        <v>57</v>
      </c>
      <c r="AF463" s="2">
        <f t="shared" si="62"/>
        <v>0</v>
      </c>
      <c r="AG463" s="2">
        <v>6.6266999999999996</v>
      </c>
      <c r="AH463" s="2">
        <v>12</v>
      </c>
      <c r="AJ463" s="2">
        <f t="shared" si="63"/>
        <v>0</v>
      </c>
      <c r="AK463" s="2">
        <f t="shared" si="66"/>
        <v>5.3733000000000004</v>
      </c>
      <c r="AL463" s="5">
        <f t="shared" si="65"/>
        <v>0.44777500000000003</v>
      </c>
    </row>
    <row r="464" spans="1:38" x14ac:dyDescent="0.2">
      <c r="A464" s="2">
        <v>2025</v>
      </c>
      <c r="B464" s="2">
        <v>2</v>
      </c>
      <c r="D464" s="2" t="s">
        <v>843</v>
      </c>
      <c r="E464" s="2" t="s">
        <v>38</v>
      </c>
      <c r="F464" s="2" t="s">
        <v>39</v>
      </c>
      <c r="G464" s="2">
        <v>161685080</v>
      </c>
      <c r="H464" s="2" t="s">
        <v>41</v>
      </c>
      <c r="I464" s="2" t="s">
        <v>418</v>
      </c>
      <c r="K464" s="2" t="s">
        <v>844</v>
      </c>
      <c r="L464" s="2" t="s">
        <v>418</v>
      </c>
      <c r="M464" s="2" t="s">
        <v>41</v>
      </c>
      <c r="O464" s="2" t="s">
        <v>845</v>
      </c>
      <c r="P464" s="2" t="s">
        <v>43</v>
      </c>
      <c r="Q464" s="2" t="s">
        <v>54</v>
      </c>
      <c r="R464" s="2" t="s">
        <v>55</v>
      </c>
      <c r="S464" s="2">
        <v>2</v>
      </c>
      <c r="T464" s="2">
        <v>36</v>
      </c>
      <c r="U464" s="2">
        <v>8.2800000000000011</v>
      </c>
      <c r="V464" s="2">
        <v>44.28</v>
      </c>
      <c r="W464" s="2">
        <f>10.6*S464</f>
        <v>21.2</v>
      </c>
      <c r="X464" s="5">
        <f t="shared" si="64"/>
        <v>0.41111111111111115</v>
      </c>
      <c r="Z464" s="2" t="s">
        <v>3227</v>
      </c>
      <c r="AA464" s="2" t="s">
        <v>46</v>
      </c>
      <c r="AB464" s="2" t="s">
        <v>56</v>
      </c>
      <c r="AC464" s="2" t="s">
        <v>57</v>
      </c>
      <c r="AF464" s="2">
        <f t="shared" si="62"/>
        <v>0</v>
      </c>
      <c r="AG464" s="2">
        <v>10.6</v>
      </c>
      <c r="AH464" s="2">
        <v>18</v>
      </c>
      <c r="AJ464" s="2">
        <f t="shared" si="63"/>
        <v>0</v>
      </c>
      <c r="AK464" s="2">
        <f t="shared" si="66"/>
        <v>14.8</v>
      </c>
      <c r="AL464" s="5">
        <f t="shared" si="65"/>
        <v>0.41111111111111115</v>
      </c>
    </row>
    <row r="465" spans="1:38" x14ac:dyDescent="0.2">
      <c r="A465" s="2">
        <v>2025</v>
      </c>
      <c r="B465" s="2">
        <v>2</v>
      </c>
      <c r="D465" s="2" t="s">
        <v>843</v>
      </c>
      <c r="E465" s="2" t="s">
        <v>38</v>
      </c>
      <c r="F465" s="2" t="s">
        <v>39</v>
      </c>
      <c r="G465" s="2">
        <v>161685080</v>
      </c>
      <c r="H465" s="2" t="s">
        <v>41</v>
      </c>
      <c r="I465" s="2" t="s">
        <v>418</v>
      </c>
      <c r="K465" s="2" t="s">
        <v>844</v>
      </c>
      <c r="L465" s="2" t="s">
        <v>418</v>
      </c>
      <c r="M465" s="2" t="s">
        <v>41</v>
      </c>
      <c r="O465" s="2" t="s">
        <v>845</v>
      </c>
      <c r="P465" s="2" t="s">
        <v>43</v>
      </c>
      <c r="Q465" s="2" t="s">
        <v>58</v>
      </c>
      <c r="R465" s="2" t="s">
        <v>59</v>
      </c>
      <c r="S465" s="2">
        <v>100</v>
      </c>
      <c r="T465" s="2">
        <v>13</v>
      </c>
      <c r="U465" s="2">
        <v>2.99</v>
      </c>
      <c r="V465" s="2">
        <v>15.99</v>
      </c>
      <c r="W465" s="2">
        <f>0.0914*S465</f>
        <v>9.1399999999999988</v>
      </c>
      <c r="X465" s="5">
        <f t="shared" si="64"/>
        <v>0.29692307692307701</v>
      </c>
      <c r="Z465" s="2" t="s">
        <v>3227</v>
      </c>
      <c r="AA465" s="2" t="s">
        <v>46</v>
      </c>
      <c r="AB465" s="2" t="s">
        <v>60</v>
      </c>
      <c r="AC465" s="2" t="s">
        <v>57</v>
      </c>
      <c r="AF465" s="2">
        <f t="shared" si="62"/>
        <v>0</v>
      </c>
      <c r="AG465" s="2">
        <v>9.14</v>
      </c>
      <c r="AH465" s="2">
        <v>16</v>
      </c>
      <c r="AJ465" s="2">
        <f t="shared" si="63"/>
        <v>0</v>
      </c>
      <c r="AK465" s="2">
        <f t="shared" si="66"/>
        <v>3.8600000000000012</v>
      </c>
      <c r="AL465" s="5">
        <f t="shared" si="65"/>
        <v>0.29692307692307701</v>
      </c>
    </row>
    <row r="466" spans="1:38" x14ac:dyDescent="0.2">
      <c r="A466" s="2">
        <v>2025</v>
      </c>
      <c r="B466" s="2">
        <v>2</v>
      </c>
      <c r="D466" s="2" t="s">
        <v>846</v>
      </c>
      <c r="P466" s="2" t="s">
        <v>72</v>
      </c>
      <c r="Q466" s="2" t="s">
        <v>73</v>
      </c>
      <c r="R466" s="2" t="s">
        <v>74</v>
      </c>
      <c r="S466" s="2">
        <v>1</v>
      </c>
      <c r="T466" s="2">
        <v>200</v>
      </c>
      <c r="U466" s="2">
        <v>46</v>
      </c>
      <c r="V466" s="2">
        <v>246</v>
      </c>
      <c r="W466" s="2">
        <v>117.453</v>
      </c>
      <c r="X466" s="5">
        <f t="shared" si="64"/>
        <v>0.41273499999999996</v>
      </c>
      <c r="Z466" s="2" t="s">
        <v>3227</v>
      </c>
      <c r="AA466" s="2" t="s">
        <v>75</v>
      </c>
      <c r="AB466" s="2" t="s">
        <v>76</v>
      </c>
      <c r="AC466" s="2" t="s">
        <v>77</v>
      </c>
      <c r="AF466" s="2">
        <f t="shared" si="62"/>
        <v>0</v>
      </c>
      <c r="AG466" s="2">
        <v>117.453</v>
      </c>
      <c r="AH466" s="2">
        <v>220</v>
      </c>
      <c r="AJ466" s="2">
        <f t="shared" si="63"/>
        <v>0</v>
      </c>
      <c r="AK466" s="2">
        <f t="shared" si="66"/>
        <v>82.546999999999997</v>
      </c>
      <c r="AL466" s="5">
        <f t="shared" si="65"/>
        <v>0.41273499999999996</v>
      </c>
    </row>
    <row r="467" spans="1:38" x14ac:dyDescent="0.2">
      <c r="A467" s="2">
        <v>2025</v>
      </c>
      <c r="B467" s="2">
        <v>2</v>
      </c>
      <c r="D467" s="2" t="s">
        <v>846</v>
      </c>
      <c r="P467" s="2" t="s">
        <v>93</v>
      </c>
      <c r="Q467" s="2" t="s">
        <v>94</v>
      </c>
      <c r="R467" s="2" t="s">
        <v>95</v>
      </c>
      <c r="S467" s="2">
        <v>1</v>
      </c>
      <c r="T467" s="2">
        <v>1.1399999999999999</v>
      </c>
      <c r="U467" s="2">
        <v>0.26219999999999999</v>
      </c>
      <c r="V467" s="2">
        <v>1.4021999999999999</v>
      </c>
      <c r="W467" s="2">
        <v>1.1399999999999999</v>
      </c>
      <c r="X467" s="5">
        <f t="shared" si="64"/>
        <v>0</v>
      </c>
      <c r="Z467" s="2" t="s">
        <v>3227</v>
      </c>
      <c r="AA467" s="2" t="s">
        <v>96</v>
      </c>
      <c r="AB467" s="2" t="s">
        <v>76</v>
      </c>
      <c r="AC467" s="2" t="s">
        <v>93</v>
      </c>
      <c r="AF467" s="2">
        <f t="shared" si="62"/>
        <v>0</v>
      </c>
      <c r="AJ467" s="2">
        <f t="shared" si="63"/>
        <v>0</v>
      </c>
      <c r="AK467" s="2">
        <f t="shared" si="66"/>
        <v>0</v>
      </c>
      <c r="AL467" s="5">
        <f t="shared" si="65"/>
        <v>0</v>
      </c>
    </row>
    <row r="468" spans="1:38" x14ac:dyDescent="0.2">
      <c r="A468" s="2">
        <v>2025</v>
      </c>
      <c r="B468" s="2">
        <v>2</v>
      </c>
      <c r="D468" s="2" t="s">
        <v>847</v>
      </c>
      <c r="P468" s="2" t="s">
        <v>114</v>
      </c>
      <c r="Q468" s="2" t="s">
        <v>848</v>
      </c>
      <c r="R468" s="2" t="s">
        <v>849</v>
      </c>
      <c r="S468" s="2">
        <v>0</v>
      </c>
      <c r="T468" s="2">
        <v>0</v>
      </c>
      <c r="U468" s="2">
        <v>0</v>
      </c>
      <c r="V468" s="2">
        <v>0</v>
      </c>
      <c r="W468" s="2">
        <v>0</v>
      </c>
      <c r="X468" s="5">
        <v>0</v>
      </c>
      <c r="Z468" s="2" t="s">
        <v>117</v>
      </c>
      <c r="AF468" s="2">
        <f t="shared" si="62"/>
        <v>0</v>
      </c>
      <c r="AJ468" s="2">
        <f t="shared" si="63"/>
        <v>0</v>
      </c>
      <c r="AK468" s="2">
        <f t="shared" si="66"/>
        <v>0</v>
      </c>
      <c r="AL468" s="5" t="e">
        <f t="shared" si="65"/>
        <v>#DIV/0!</v>
      </c>
    </row>
    <row r="469" spans="1:38" x14ac:dyDescent="0.2">
      <c r="A469" s="2">
        <v>2025</v>
      </c>
      <c r="B469" s="2">
        <v>2</v>
      </c>
      <c r="D469" s="2" t="s">
        <v>847</v>
      </c>
      <c r="P469" s="2" t="s">
        <v>169</v>
      </c>
      <c r="Q469" s="2" t="s">
        <v>170</v>
      </c>
      <c r="R469" s="2" t="s">
        <v>170</v>
      </c>
      <c r="S469" s="2">
        <v>0</v>
      </c>
      <c r="T469" s="2">
        <v>0</v>
      </c>
      <c r="U469" s="2">
        <v>0</v>
      </c>
      <c r="V469" s="2">
        <v>0</v>
      </c>
      <c r="W469" s="2">
        <v>0</v>
      </c>
      <c r="X469" s="5">
        <v>0</v>
      </c>
      <c r="Z469" s="2" t="s">
        <v>169</v>
      </c>
      <c r="AA469" s="2" t="s">
        <v>169</v>
      </c>
      <c r="AF469" s="2">
        <f t="shared" si="62"/>
        <v>0</v>
      </c>
      <c r="AJ469" s="2">
        <f t="shared" si="63"/>
        <v>0</v>
      </c>
      <c r="AK469" s="2">
        <f t="shared" si="66"/>
        <v>0</v>
      </c>
      <c r="AL469" s="5" t="e">
        <f t="shared" si="65"/>
        <v>#DIV/0!</v>
      </c>
    </row>
    <row r="470" spans="1:38" x14ac:dyDescent="0.2">
      <c r="A470" s="2">
        <v>2025</v>
      </c>
      <c r="B470" s="2">
        <v>2</v>
      </c>
      <c r="D470" s="2" t="s">
        <v>847</v>
      </c>
      <c r="P470" s="2" t="s">
        <v>40</v>
      </c>
      <c r="Q470" s="2" t="s">
        <v>363</v>
      </c>
      <c r="R470" s="2" t="s">
        <v>364</v>
      </c>
      <c r="S470" s="2">
        <v>1</v>
      </c>
      <c r="T470" s="2">
        <v>17.47</v>
      </c>
      <c r="U470" s="2">
        <v>4.0180999999999996</v>
      </c>
      <c r="V470" s="2">
        <v>21.488099999999999</v>
      </c>
      <c r="X470" s="5">
        <f t="shared" ref="X470:X487" si="67">(T470-W470)/T470</f>
        <v>1</v>
      </c>
      <c r="Z470" s="2" t="s">
        <v>119</v>
      </c>
      <c r="AA470" s="2" t="s">
        <v>3380</v>
      </c>
      <c r="AF470" s="2">
        <f t="shared" si="62"/>
        <v>0</v>
      </c>
      <c r="AJ470" s="2">
        <f t="shared" si="63"/>
        <v>0</v>
      </c>
      <c r="AK470" s="2">
        <f t="shared" si="66"/>
        <v>17.47</v>
      </c>
      <c r="AL470" s="5">
        <f t="shared" si="65"/>
        <v>1</v>
      </c>
    </row>
    <row r="471" spans="1:38" x14ac:dyDescent="0.2">
      <c r="A471" s="2">
        <v>2025</v>
      </c>
      <c r="B471" s="2">
        <v>2</v>
      </c>
      <c r="D471" s="2" t="s">
        <v>488</v>
      </c>
      <c r="E471" s="2" t="s">
        <v>38</v>
      </c>
      <c r="F471" s="2" t="s">
        <v>39</v>
      </c>
      <c r="G471" s="2">
        <v>507380312</v>
      </c>
      <c r="H471" s="2" t="s">
        <v>40</v>
      </c>
      <c r="I471" s="2" t="s">
        <v>489</v>
      </c>
      <c r="J471" s="2" t="s">
        <v>490</v>
      </c>
      <c r="K471" s="2">
        <v>912293443</v>
      </c>
      <c r="L471" s="2" t="s">
        <v>99</v>
      </c>
      <c r="M471" s="2" t="s">
        <v>40</v>
      </c>
      <c r="P471" s="2" t="s">
        <v>40</v>
      </c>
      <c r="Q471" s="2" t="s">
        <v>491</v>
      </c>
      <c r="R471" s="2" t="s">
        <v>492</v>
      </c>
      <c r="S471" s="2">
        <v>1</v>
      </c>
      <c r="T471" s="2">
        <v>650</v>
      </c>
      <c r="U471" s="2">
        <v>149.5</v>
      </c>
      <c r="V471" s="2">
        <v>799.5</v>
      </c>
      <c r="X471" s="5">
        <f t="shared" si="67"/>
        <v>1</v>
      </c>
      <c r="Z471" s="2" t="s">
        <v>119</v>
      </c>
      <c r="AA471" s="2" t="s">
        <v>492</v>
      </c>
      <c r="AF471" s="2">
        <f t="shared" si="62"/>
        <v>0</v>
      </c>
      <c r="AJ471" s="2">
        <f t="shared" si="63"/>
        <v>0</v>
      </c>
      <c r="AK471" s="2">
        <f t="shared" si="66"/>
        <v>650</v>
      </c>
      <c r="AL471" s="5">
        <f t="shared" si="65"/>
        <v>1</v>
      </c>
    </row>
    <row r="472" spans="1:38" x14ac:dyDescent="0.2">
      <c r="A472" s="2">
        <v>2025</v>
      </c>
      <c r="B472" s="2">
        <v>2</v>
      </c>
      <c r="D472" s="2" t="s">
        <v>850</v>
      </c>
      <c r="P472" s="2" t="s">
        <v>152</v>
      </c>
      <c r="Q472" s="2" t="s">
        <v>851</v>
      </c>
      <c r="R472" s="2" t="s">
        <v>852</v>
      </c>
      <c r="S472" s="2">
        <v>10</v>
      </c>
      <c r="T472" s="2">
        <v>225</v>
      </c>
      <c r="U472" s="2">
        <v>51.75</v>
      </c>
      <c r="V472" s="2">
        <v>276.75</v>
      </c>
      <c r="W472" s="2">
        <f>17.6+1.4*S472</f>
        <v>31.6</v>
      </c>
      <c r="X472" s="5">
        <f t="shared" si="67"/>
        <v>0.85955555555555563</v>
      </c>
      <c r="Z472" s="2" t="s">
        <v>3227</v>
      </c>
      <c r="AA472" s="2" t="s">
        <v>155</v>
      </c>
      <c r="AB472" s="2" t="s">
        <v>3382</v>
      </c>
      <c r="AC472" s="2" t="s">
        <v>77</v>
      </c>
      <c r="AF472" s="2">
        <f t="shared" si="62"/>
        <v>0</v>
      </c>
      <c r="AJ472" s="2">
        <f t="shared" si="63"/>
        <v>0</v>
      </c>
      <c r="AK472" s="2">
        <f t="shared" si="66"/>
        <v>193.4</v>
      </c>
      <c r="AL472" s="5">
        <f t="shared" si="65"/>
        <v>0.85955555555555563</v>
      </c>
    </row>
    <row r="473" spans="1:38" x14ac:dyDescent="0.2">
      <c r="A473" s="2">
        <v>2025</v>
      </c>
      <c r="B473" s="2">
        <v>2</v>
      </c>
      <c r="D473" s="2" t="s">
        <v>853</v>
      </c>
      <c r="E473" s="2" t="s">
        <v>108</v>
      </c>
      <c r="F473" s="2" t="s">
        <v>39</v>
      </c>
      <c r="G473" s="2">
        <v>505128128</v>
      </c>
      <c r="H473" s="2" t="s">
        <v>41</v>
      </c>
      <c r="I473" s="2" t="s">
        <v>854</v>
      </c>
      <c r="J473" s="2" t="s">
        <v>855</v>
      </c>
      <c r="K473" s="2">
        <v>917665950</v>
      </c>
      <c r="L473" s="2" t="s">
        <v>99</v>
      </c>
      <c r="M473" s="2" t="s">
        <v>41</v>
      </c>
      <c r="O473" s="2" t="s">
        <v>856</v>
      </c>
      <c r="P473" s="2" t="s">
        <v>43</v>
      </c>
      <c r="Q473" s="2" t="s">
        <v>158</v>
      </c>
      <c r="R473" s="2" t="s">
        <v>159</v>
      </c>
      <c r="S473" s="2">
        <v>1</v>
      </c>
      <c r="T473" s="2">
        <v>18</v>
      </c>
      <c r="U473" s="2">
        <v>4.1400000000000006</v>
      </c>
      <c r="V473" s="2">
        <v>22.14</v>
      </c>
      <c r="W473" s="2">
        <f>9.3*S473</f>
        <v>9.3000000000000007</v>
      </c>
      <c r="X473" s="5">
        <f t="shared" si="67"/>
        <v>0.48333333333333328</v>
      </c>
      <c r="Z473" s="2" t="s">
        <v>3227</v>
      </c>
      <c r="AA473" s="2" t="s">
        <v>46</v>
      </c>
      <c r="AB473" s="2" t="s">
        <v>47</v>
      </c>
      <c r="AC473" s="2" t="s">
        <v>57</v>
      </c>
      <c r="AF473" s="2">
        <f t="shared" si="62"/>
        <v>0</v>
      </c>
      <c r="AG473" s="2">
        <v>9.3000000000000007</v>
      </c>
      <c r="AH473" s="2">
        <v>21</v>
      </c>
      <c r="AJ473" s="2">
        <f t="shared" si="63"/>
        <v>0</v>
      </c>
      <c r="AK473" s="2">
        <f t="shared" si="66"/>
        <v>8.6999999999999993</v>
      </c>
      <c r="AL473" s="5">
        <f t="shared" si="65"/>
        <v>0.48333333333333328</v>
      </c>
    </row>
    <row r="474" spans="1:38" x14ac:dyDescent="0.2">
      <c r="A474" s="2">
        <v>2025</v>
      </c>
      <c r="B474" s="2">
        <v>2</v>
      </c>
      <c r="D474" s="2" t="s">
        <v>853</v>
      </c>
      <c r="E474" s="2" t="s">
        <v>108</v>
      </c>
      <c r="F474" s="2" t="s">
        <v>39</v>
      </c>
      <c r="G474" s="2">
        <v>505128128</v>
      </c>
      <c r="H474" s="2" t="s">
        <v>41</v>
      </c>
      <c r="I474" s="2" t="s">
        <v>854</v>
      </c>
      <c r="J474" s="2" t="s">
        <v>855</v>
      </c>
      <c r="K474" s="2">
        <v>917665950</v>
      </c>
      <c r="L474" s="2" t="s">
        <v>99</v>
      </c>
      <c r="M474" s="2" t="s">
        <v>41</v>
      </c>
      <c r="O474" s="2" t="s">
        <v>856</v>
      </c>
      <c r="P474" s="2" t="s">
        <v>43</v>
      </c>
      <c r="Q474" s="2" t="s">
        <v>857</v>
      </c>
      <c r="R474" s="2" t="s">
        <v>858</v>
      </c>
      <c r="S474" s="2">
        <v>1</v>
      </c>
      <c r="T474" s="2">
        <v>18</v>
      </c>
      <c r="U474" s="2">
        <v>4.1400000000000006</v>
      </c>
      <c r="V474" s="2">
        <v>22.14</v>
      </c>
      <c r="W474" s="2">
        <f>8.735*S474</f>
        <v>8.7349999999999994</v>
      </c>
      <c r="X474" s="5">
        <f t="shared" si="67"/>
        <v>0.5147222222222223</v>
      </c>
      <c r="Z474" s="2" t="s">
        <v>3227</v>
      </c>
      <c r="AA474" s="2" t="s">
        <v>46</v>
      </c>
      <c r="AB474" s="2" t="s">
        <v>47</v>
      </c>
      <c r="AC474" s="2" t="s">
        <v>57</v>
      </c>
      <c r="AF474" s="2">
        <f t="shared" si="62"/>
        <v>0</v>
      </c>
      <c r="AJ474" s="2">
        <f t="shared" si="63"/>
        <v>0</v>
      </c>
      <c r="AK474" s="2">
        <f t="shared" si="66"/>
        <v>9.2650000000000006</v>
      </c>
      <c r="AL474" s="5">
        <f t="shared" si="65"/>
        <v>0.5147222222222223</v>
      </c>
    </row>
    <row r="475" spans="1:38" x14ac:dyDescent="0.2">
      <c r="A475" s="2">
        <v>2025</v>
      </c>
      <c r="B475" s="2">
        <v>2</v>
      </c>
      <c r="D475" s="2" t="s">
        <v>853</v>
      </c>
      <c r="E475" s="2" t="s">
        <v>108</v>
      </c>
      <c r="F475" s="2" t="s">
        <v>39</v>
      </c>
      <c r="G475" s="2">
        <v>505128128</v>
      </c>
      <c r="H475" s="2" t="s">
        <v>41</v>
      </c>
      <c r="I475" s="2" t="s">
        <v>854</v>
      </c>
      <c r="J475" s="2" t="s">
        <v>855</v>
      </c>
      <c r="K475" s="2">
        <v>917665950</v>
      </c>
      <c r="L475" s="2" t="s">
        <v>99</v>
      </c>
      <c r="M475" s="2" t="s">
        <v>41</v>
      </c>
      <c r="O475" s="2" t="s">
        <v>856</v>
      </c>
      <c r="P475" s="2" t="s">
        <v>43</v>
      </c>
      <c r="Q475" s="2" t="s">
        <v>50</v>
      </c>
      <c r="R475" s="2" t="s">
        <v>51</v>
      </c>
      <c r="S475" s="2">
        <v>1</v>
      </c>
      <c r="T475" s="2">
        <v>16.8</v>
      </c>
      <c r="U475" s="2">
        <v>3.8639999999999999</v>
      </c>
      <c r="V475" s="2">
        <v>20.664000000000001</v>
      </c>
      <c r="W475" s="2">
        <f>14.4*S475</f>
        <v>14.4</v>
      </c>
      <c r="X475" s="5">
        <f t="shared" si="67"/>
        <v>0.14285714285714288</v>
      </c>
      <c r="Z475" s="2" t="s">
        <v>3227</v>
      </c>
      <c r="AA475" s="2" t="s">
        <v>46</v>
      </c>
      <c r="AB475" s="2" t="s">
        <v>47</v>
      </c>
      <c r="AC475" s="2" t="s">
        <v>57</v>
      </c>
      <c r="AF475" s="2">
        <f t="shared" si="62"/>
        <v>0</v>
      </c>
      <c r="AG475" s="2">
        <v>10.2346</v>
      </c>
      <c r="AH475" s="2">
        <v>18</v>
      </c>
      <c r="AJ475" s="2">
        <f t="shared" si="63"/>
        <v>0</v>
      </c>
      <c r="AK475" s="2">
        <f t="shared" si="66"/>
        <v>2.4000000000000004</v>
      </c>
      <c r="AL475" s="5">
        <f t="shared" si="65"/>
        <v>0.14285714285714288</v>
      </c>
    </row>
    <row r="476" spans="1:38" x14ac:dyDescent="0.2">
      <c r="A476" s="2">
        <v>2025</v>
      </c>
      <c r="B476" s="2">
        <v>2</v>
      </c>
      <c r="D476" s="2" t="s">
        <v>853</v>
      </c>
      <c r="E476" s="2" t="s">
        <v>108</v>
      </c>
      <c r="F476" s="2" t="s">
        <v>39</v>
      </c>
      <c r="G476" s="2">
        <v>505128128</v>
      </c>
      <c r="H476" s="2" t="s">
        <v>41</v>
      </c>
      <c r="I476" s="2" t="s">
        <v>854</v>
      </c>
      <c r="J476" s="2" t="s">
        <v>855</v>
      </c>
      <c r="K476" s="2">
        <v>917665950</v>
      </c>
      <c r="L476" s="2" t="s">
        <v>99</v>
      </c>
      <c r="M476" s="2" t="s">
        <v>41</v>
      </c>
      <c r="O476" s="2" t="s">
        <v>856</v>
      </c>
      <c r="P476" s="2" t="s">
        <v>43</v>
      </c>
      <c r="Q476" s="2" t="s">
        <v>859</v>
      </c>
      <c r="R476" s="2" t="s">
        <v>860</v>
      </c>
      <c r="S476" s="2">
        <v>1</v>
      </c>
      <c r="T476" s="2">
        <v>16.8</v>
      </c>
      <c r="U476" s="2">
        <v>3.8639999999999999</v>
      </c>
      <c r="V476" s="2">
        <v>20.664000000000001</v>
      </c>
      <c r="W476" s="2">
        <f>8*S476</f>
        <v>8</v>
      </c>
      <c r="X476" s="5">
        <f t="shared" si="67"/>
        <v>0.52380952380952384</v>
      </c>
      <c r="Z476" s="2" t="s">
        <v>3227</v>
      </c>
      <c r="AA476" s="2" t="s">
        <v>46</v>
      </c>
      <c r="AB476" s="2" t="s">
        <v>47</v>
      </c>
      <c r="AC476" s="2" t="s">
        <v>57</v>
      </c>
      <c r="AF476" s="2">
        <f t="shared" si="62"/>
        <v>0</v>
      </c>
      <c r="AJ476" s="2">
        <f t="shared" si="63"/>
        <v>0</v>
      </c>
      <c r="AK476" s="2">
        <f t="shared" si="66"/>
        <v>8.8000000000000007</v>
      </c>
      <c r="AL476" s="5">
        <f t="shared" si="65"/>
        <v>0.52380952380952384</v>
      </c>
    </row>
    <row r="477" spans="1:38" x14ac:dyDescent="0.2">
      <c r="A477" s="2">
        <v>2025</v>
      </c>
      <c r="B477" s="2">
        <v>2</v>
      </c>
      <c r="D477" s="2" t="s">
        <v>861</v>
      </c>
      <c r="P477" s="2" t="s">
        <v>282</v>
      </c>
      <c r="Q477" s="2" t="s">
        <v>528</v>
      </c>
      <c r="R477" s="2" t="s">
        <v>529</v>
      </c>
      <c r="S477" s="2">
        <v>1</v>
      </c>
      <c r="T477" s="2">
        <v>399</v>
      </c>
      <c r="U477" s="2">
        <v>91.77000000000001</v>
      </c>
      <c r="V477" s="2">
        <v>490.77</v>
      </c>
      <c r="W477" s="2">
        <v>299.25</v>
      </c>
      <c r="X477" s="5">
        <f t="shared" si="67"/>
        <v>0.25</v>
      </c>
      <c r="Z477" s="2" t="s">
        <v>3227</v>
      </c>
      <c r="AA477" s="2" t="s">
        <v>71</v>
      </c>
      <c r="AB477" s="2" t="s">
        <v>119</v>
      </c>
      <c r="AC477" s="2" t="s">
        <v>119</v>
      </c>
      <c r="AF477" s="2">
        <f t="shared" si="62"/>
        <v>0</v>
      </c>
      <c r="AJ477" s="2">
        <f t="shared" si="63"/>
        <v>0</v>
      </c>
      <c r="AK477" s="2">
        <f t="shared" si="66"/>
        <v>99.75</v>
      </c>
      <c r="AL477" s="5">
        <f t="shared" si="65"/>
        <v>0.25</v>
      </c>
    </row>
    <row r="478" spans="1:38" x14ac:dyDescent="0.2">
      <c r="A478" s="2">
        <v>2025</v>
      </c>
      <c r="B478" s="2">
        <v>2</v>
      </c>
      <c r="D478" s="2" t="s">
        <v>516</v>
      </c>
      <c r="E478" s="2" t="s">
        <v>38</v>
      </c>
      <c r="F478" s="2" t="s">
        <v>39</v>
      </c>
      <c r="G478" s="2">
        <v>514232749</v>
      </c>
      <c r="H478" s="2" t="s">
        <v>40</v>
      </c>
      <c r="I478" s="2" t="s">
        <v>279</v>
      </c>
      <c r="J478" s="2" t="s">
        <v>517</v>
      </c>
      <c r="K478" s="2">
        <v>967657430</v>
      </c>
      <c r="L478" s="2" t="s">
        <v>201</v>
      </c>
      <c r="O478" s="2" t="s">
        <v>862</v>
      </c>
      <c r="P478" s="2" t="s">
        <v>114</v>
      </c>
      <c r="Q478" s="2" t="s">
        <v>519</v>
      </c>
      <c r="R478" s="2" t="s">
        <v>520</v>
      </c>
      <c r="S478" s="2">
        <v>-2</v>
      </c>
      <c r="T478" s="2">
        <v>-80.349999999999994</v>
      </c>
      <c r="U478" s="2">
        <v>-18.480499999999999</v>
      </c>
      <c r="V478" s="2">
        <v>-98.830500000000001</v>
      </c>
      <c r="Z478" s="2" t="s">
        <v>117</v>
      </c>
      <c r="AF478" s="2">
        <f t="shared" si="62"/>
        <v>0</v>
      </c>
      <c r="AJ478" s="2">
        <f t="shared" si="63"/>
        <v>0</v>
      </c>
      <c r="AK478" s="2">
        <f t="shared" si="66"/>
        <v>-80.349999999999994</v>
      </c>
      <c r="AL478" s="5">
        <f t="shared" si="65"/>
        <v>1</v>
      </c>
    </row>
    <row r="479" spans="1:38" x14ac:dyDescent="0.2">
      <c r="A479" s="2">
        <v>2025</v>
      </c>
      <c r="B479" s="2">
        <v>2</v>
      </c>
      <c r="D479" s="2" t="s">
        <v>863</v>
      </c>
      <c r="P479" s="2" t="s">
        <v>43</v>
      </c>
      <c r="Q479" s="2" t="s">
        <v>54</v>
      </c>
      <c r="R479" s="2" t="s">
        <v>55</v>
      </c>
      <c r="S479" s="2">
        <v>2</v>
      </c>
      <c r="T479" s="2">
        <v>36</v>
      </c>
      <c r="U479" s="2">
        <v>8.2800000000000011</v>
      </c>
      <c r="V479" s="2">
        <v>44.28</v>
      </c>
      <c r="W479" s="2">
        <f>10.6*S479</f>
        <v>21.2</v>
      </c>
      <c r="X479" s="5">
        <f t="shared" si="67"/>
        <v>0.41111111111111115</v>
      </c>
      <c r="Z479" s="2" t="s">
        <v>3227</v>
      </c>
      <c r="AA479" s="2" t="s">
        <v>46</v>
      </c>
      <c r="AB479" s="2" t="s">
        <v>56</v>
      </c>
      <c r="AC479" s="2" t="s">
        <v>57</v>
      </c>
      <c r="AF479" s="2">
        <f t="shared" si="62"/>
        <v>0</v>
      </c>
      <c r="AG479" s="2">
        <v>10.6</v>
      </c>
      <c r="AH479" s="2">
        <v>18</v>
      </c>
      <c r="AJ479" s="2">
        <f t="shared" si="63"/>
        <v>0</v>
      </c>
      <c r="AK479" s="2">
        <f t="shared" si="66"/>
        <v>14.8</v>
      </c>
      <c r="AL479" s="5">
        <f t="shared" si="65"/>
        <v>0.41111111111111115</v>
      </c>
    </row>
    <row r="480" spans="1:38" x14ac:dyDescent="0.2">
      <c r="A480" s="2">
        <v>2025</v>
      </c>
      <c r="B480" s="2">
        <v>2</v>
      </c>
      <c r="D480" s="2" t="s">
        <v>863</v>
      </c>
      <c r="P480" s="2" t="s">
        <v>43</v>
      </c>
      <c r="Q480" s="2" t="s">
        <v>256</v>
      </c>
      <c r="R480" s="2" t="s">
        <v>257</v>
      </c>
      <c r="S480" s="2">
        <v>2</v>
      </c>
      <c r="T480" s="2">
        <v>6</v>
      </c>
      <c r="U480" s="2">
        <v>1.38</v>
      </c>
      <c r="V480" s="2">
        <v>7.38</v>
      </c>
      <c r="W480" s="2">
        <f>0.98*S480</f>
        <v>1.96</v>
      </c>
      <c r="X480" s="5">
        <f t="shared" si="67"/>
        <v>0.67333333333333334</v>
      </c>
      <c r="Z480" s="2" t="s">
        <v>3227</v>
      </c>
      <c r="AA480" s="2" t="s">
        <v>46</v>
      </c>
      <c r="AB480" s="2" t="s">
        <v>90</v>
      </c>
      <c r="AC480" s="2" t="s">
        <v>57</v>
      </c>
      <c r="AF480" s="2">
        <f t="shared" si="62"/>
        <v>0</v>
      </c>
      <c r="AJ480" s="2">
        <f t="shared" si="63"/>
        <v>0</v>
      </c>
      <c r="AK480" s="2">
        <f t="shared" si="66"/>
        <v>4.04</v>
      </c>
      <c r="AL480" s="5">
        <f t="shared" si="65"/>
        <v>0.67333333333333334</v>
      </c>
    </row>
    <row r="481" spans="1:38" x14ac:dyDescent="0.2">
      <c r="A481" s="2">
        <v>2025</v>
      </c>
      <c r="B481" s="2">
        <v>2</v>
      </c>
      <c r="D481" s="2" t="s">
        <v>864</v>
      </c>
      <c r="P481" s="2" t="s">
        <v>282</v>
      </c>
      <c r="Q481" s="2" t="s">
        <v>865</v>
      </c>
      <c r="R481" s="2" t="s">
        <v>866</v>
      </c>
      <c r="S481" s="2">
        <v>1</v>
      </c>
      <c r="T481" s="2">
        <v>99</v>
      </c>
      <c r="U481" s="2">
        <v>22.77</v>
      </c>
      <c r="V481" s="2">
        <v>121.77</v>
      </c>
      <c r="W481" s="2">
        <v>70.290000000000006</v>
      </c>
      <c r="X481" s="5">
        <f t="shared" si="67"/>
        <v>0.28999999999999992</v>
      </c>
      <c r="Z481" s="2" t="s">
        <v>3227</v>
      </c>
      <c r="AA481" s="2" t="s">
        <v>71</v>
      </c>
      <c r="AB481" s="2" t="s">
        <v>119</v>
      </c>
      <c r="AC481" s="2" t="s">
        <v>119</v>
      </c>
      <c r="AF481" s="2">
        <f t="shared" si="62"/>
        <v>0</v>
      </c>
      <c r="AJ481" s="2">
        <f t="shared" si="63"/>
        <v>0</v>
      </c>
      <c r="AK481" s="2">
        <f t="shared" si="66"/>
        <v>28.709999999999994</v>
      </c>
      <c r="AL481" s="5">
        <f t="shared" si="65"/>
        <v>0.28999999999999992</v>
      </c>
    </row>
    <row r="482" spans="1:38" x14ac:dyDescent="0.2">
      <c r="A482" s="2">
        <v>2025</v>
      </c>
      <c r="B482" s="2">
        <v>2</v>
      </c>
      <c r="D482" s="2" t="s">
        <v>867</v>
      </c>
      <c r="E482" s="2" t="s">
        <v>38</v>
      </c>
      <c r="F482" s="2" t="s">
        <v>39</v>
      </c>
      <c r="G482" s="2">
        <v>226546594</v>
      </c>
      <c r="H482" s="2" t="s">
        <v>41</v>
      </c>
      <c r="I482" s="2" t="s">
        <v>868</v>
      </c>
      <c r="J482" s="2" t="s">
        <v>869</v>
      </c>
      <c r="K482" s="2">
        <v>933599817</v>
      </c>
      <c r="L482" s="2" t="s">
        <v>99</v>
      </c>
      <c r="M482" s="2" t="s">
        <v>41</v>
      </c>
      <c r="O482" s="2" t="s">
        <v>870</v>
      </c>
      <c r="P482" s="2" t="s">
        <v>43</v>
      </c>
      <c r="Q482" s="2" t="s">
        <v>351</v>
      </c>
      <c r="R482" s="2" t="s">
        <v>352</v>
      </c>
      <c r="S482" s="2">
        <v>1</v>
      </c>
      <c r="T482" s="2">
        <v>18</v>
      </c>
      <c r="U482" s="2">
        <v>4.1400000000000006</v>
      </c>
      <c r="V482" s="2">
        <v>22.14</v>
      </c>
      <c r="W482" s="2">
        <v>10.67</v>
      </c>
      <c r="X482" s="5">
        <f t="shared" si="67"/>
        <v>0.40722222222222221</v>
      </c>
      <c r="Z482" s="2" t="s">
        <v>3227</v>
      </c>
      <c r="AA482" s="2" t="s">
        <v>46</v>
      </c>
      <c r="AB482" s="2" t="s">
        <v>47</v>
      </c>
      <c r="AC482" s="2" t="s">
        <v>57</v>
      </c>
      <c r="AF482" s="2">
        <f t="shared" si="62"/>
        <v>0</v>
      </c>
      <c r="AG482" s="2">
        <v>10.67</v>
      </c>
      <c r="AH482" s="2">
        <v>21</v>
      </c>
      <c r="AJ482" s="2">
        <f t="shared" si="63"/>
        <v>0</v>
      </c>
      <c r="AK482" s="2">
        <f t="shared" si="66"/>
        <v>7.33</v>
      </c>
      <c r="AL482" s="5">
        <f t="shared" si="65"/>
        <v>0.40722222222222221</v>
      </c>
    </row>
    <row r="483" spans="1:38" x14ac:dyDescent="0.2">
      <c r="A483" s="2">
        <v>2025</v>
      </c>
      <c r="B483" s="2">
        <v>2</v>
      </c>
      <c r="D483" s="2" t="s">
        <v>867</v>
      </c>
      <c r="E483" s="2" t="s">
        <v>38</v>
      </c>
      <c r="F483" s="2" t="s">
        <v>39</v>
      </c>
      <c r="G483" s="2">
        <v>226546594</v>
      </c>
      <c r="H483" s="2" t="s">
        <v>41</v>
      </c>
      <c r="I483" s="2" t="s">
        <v>868</v>
      </c>
      <c r="J483" s="2" t="s">
        <v>869</v>
      </c>
      <c r="K483" s="2">
        <v>933599817</v>
      </c>
      <c r="L483" s="2" t="s">
        <v>99</v>
      </c>
      <c r="P483" s="2" t="s">
        <v>43</v>
      </c>
      <c r="Q483" s="2" t="s">
        <v>48</v>
      </c>
      <c r="R483" s="2" t="s">
        <v>49</v>
      </c>
      <c r="S483" s="2">
        <v>10</v>
      </c>
      <c r="T483" s="2">
        <v>110</v>
      </c>
      <c r="U483" s="2">
        <v>25.3</v>
      </c>
      <c r="V483" s="2">
        <v>135.30000000000001</v>
      </c>
      <c r="W483" s="2">
        <f>6.6267*S483</f>
        <v>66.266999999999996</v>
      </c>
      <c r="X483" s="5">
        <f t="shared" si="67"/>
        <v>0.3975727272727273</v>
      </c>
      <c r="Z483" s="2" t="s">
        <v>3227</v>
      </c>
      <c r="AA483" s="2" t="s">
        <v>46</v>
      </c>
      <c r="AB483" s="2" t="s">
        <v>47</v>
      </c>
      <c r="AC483" s="2" t="s">
        <v>57</v>
      </c>
      <c r="AF483" s="2">
        <f t="shared" si="62"/>
        <v>0</v>
      </c>
      <c r="AG483" s="2">
        <v>6.6266999999999996</v>
      </c>
      <c r="AH483" s="2">
        <v>12</v>
      </c>
      <c r="AJ483" s="2">
        <f t="shared" si="63"/>
        <v>0</v>
      </c>
      <c r="AK483" s="2">
        <f t="shared" si="66"/>
        <v>43.733000000000004</v>
      </c>
      <c r="AL483" s="5">
        <f t="shared" si="65"/>
        <v>0.3975727272727273</v>
      </c>
    </row>
    <row r="484" spans="1:38" x14ac:dyDescent="0.2">
      <c r="A484" s="2">
        <v>2025</v>
      </c>
      <c r="B484" s="2">
        <v>2</v>
      </c>
      <c r="D484" s="2" t="s">
        <v>867</v>
      </c>
      <c r="E484" s="2" t="s">
        <v>38</v>
      </c>
      <c r="F484" s="2" t="s">
        <v>39</v>
      </c>
      <c r="G484" s="2">
        <v>226546594</v>
      </c>
      <c r="H484" s="2" t="s">
        <v>41</v>
      </c>
      <c r="I484" s="2" t="s">
        <v>868</v>
      </c>
      <c r="J484" s="2" t="s">
        <v>869</v>
      </c>
      <c r="K484" s="2">
        <v>933599817</v>
      </c>
      <c r="L484" s="2" t="s">
        <v>99</v>
      </c>
      <c r="P484" s="2" t="s">
        <v>43</v>
      </c>
      <c r="Q484" s="2" t="s">
        <v>50</v>
      </c>
      <c r="R484" s="2" t="s">
        <v>51</v>
      </c>
      <c r="S484" s="2">
        <v>1</v>
      </c>
      <c r="T484" s="2">
        <v>16.8</v>
      </c>
      <c r="U484" s="2">
        <v>3.8639999999999999</v>
      </c>
      <c r="V484" s="2">
        <v>20.664000000000001</v>
      </c>
      <c r="W484" s="2">
        <f>14.4*S484</f>
        <v>14.4</v>
      </c>
      <c r="X484" s="5">
        <f t="shared" si="67"/>
        <v>0.14285714285714288</v>
      </c>
      <c r="Z484" s="2" t="s">
        <v>3227</v>
      </c>
      <c r="AA484" s="2" t="s">
        <v>46</v>
      </c>
      <c r="AB484" s="2" t="s">
        <v>47</v>
      </c>
      <c r="AC484" s="2" t="s">
        <v>57</v>
      </c>
      <c r="AF484" s="2">
        <f t="shared" si="62"/>
        <v>0</v>
      </c>
      <c r="AG484" s="2">
        <v>10.2346</v>
      </c>
      <c r="AH484" s="2">
        <v>18</v>
      </c>
      <c r="AJ484" s="2">
        <f t="shared" si="63"/>
        <v>0</v>
      </c>
      <c r="AK484" s="2">
        <f t="shared" si="66"/>
        <v>2.4000000000000004</v>
      </c>
      <c r="AL484" s="5">
        <f t="shared" si="65"/>
        <v>0.14285714285714288</v>
      </c>
    </row>
    <row r="485" spans="1:38" x14ac:dyDescent="0.2">
      <c r="A485" s="2">
        <v>2025</v>
      </c>
      <c r="B485" s="2">
        <v>2</v>
      </c>
      <c r="D485" s="2" t="s">
        <v>867</v>
      </c>
      <c r="E485" s="2" t="s">
        <v>38</v>
      </c>
      <c r="F485" s="2" t="s">
        <v>39</v>
      </c>
      <c r="G485" s="2">
        <v>226546594</v>
      </c>
      <c r="H485" s="2" t="s">
        <v>41</v>
      </c>
      <c r="I485" s="2" t="s">
        <v>868</v>
      </c>
      <c r="J485" s="2" t="s">
        <v>869</v>
      </c>
      <c r="K485" s="2">
        <v>933599817</v>
      </c>
      <c r="L485" s="2" t="s">
        <v>99</v>
      </c>
      <c r="M485" s="2" t="s">
        <v>41</v>
      </c>
      <c r="O485" s="2" t="s">
        <v>870</v>
      </c>
      <c r="P485" s="2" t="s">
        <v>43</v>
      </c>
      <c r="Q485" s="2" t="s">
        <v>871</v>
      </c>
      <c r="R485" s="2" t="s">
        <v>872</v>
      </c>
      <c r="S485" s="2">
        <v>1</v>
      </c>
      <c r="T485" s="2">
        <v>26.4</v>
      </c>
      <c r="U485" s="2">
        <v>6.0720000000000001</v>
      </c>
      <c r="V485" s="2">
        <v>32.472000000000001</v>
      </c>
      <c r="W485" s="2">
        <v>14.12</v>
      </c>
      <c r="X485" s="5">
        <f t="shared" si="67"/>
        <v>0.46515151515151515</v>
      </c>
      <c r="Z485" s="2" t="s">
        <v>3227</v>
      </c>
      <c r="AA485" s="2" t="s">
        <v>46</v>
      </c>
      <c r="AB485" s="2" t="s">
        <v>47</v>
      </c>
      <c r="AC485" s="2" t="s">
        <v>57</v>
      </c>
      <c r="AF485" s="2">
        <f t="shared" si="62"/>
        <v>0</v>
      </c>
      <c r="AG485" s="2">
        <v>14.12</v>
      </c>
      <c r="AH485" s="2">
        <v>28.8</v>
      </c>
      <c r="AJ485" s="2">
        <f t="shared" si="63"/>
        <v>0</v>
      </c>
      <c r="AK485" s="2">
        <f t="shared" si="66"/>
        <v>12.28</v>
      </c>
      <c r="AL485" s="5">
        <f t="shared" si="65"/>
        <v>0.46515151515151515</v>
      </c>
    </row>
    <row r="486" spans="1:38" x14ac:dyDescent="0.2">
      <c r="A486" s="2">
        <v>2025</v>
      </c>
      <c r="B486" s="2">
        <v>2</v>
      </c>
      <c r="D486" s="2" t="s">
        <v>873</v>
      </c>
      <c r="M486" s="2" t="s">
        <v>40</v>
      </c>
      <c r="P486" s="2" t="s">
        <v>187</v>
      </c>
      <c r="Q486" s="2" t="s">
        <v>188</v>
      </c>
      <c r="R486" s="2" t="s">
        <v>189</v>
      </c>
      <c r="S486" s="2">
        <v>1</v>
      </c>
      <c r="T486" s="2">
        <v>50</v>
      </c>
      <c r="U486" s="2">
        <v>11.5</v>
      </c>
      <c r="V486" s="2">
        <v>61.5</v>
      </c>
      <c r="W486" s="2">
        <f>T486*40%</f>
        <v>20</v>
      </c>
      <c r="X486" s="5">
        <f t="shared" si="67"/>
        <v>0.6</v>
      </c>
      <c r="Z486" s="2" t="s">
        <v>117</v>
      </c>
      <c r="AA486" s="2" t="s">
        <v>190</v>
      </c>
      <c r="AB486" s="2" t="s">
        <v>189</v>
      </c>
      <c r="AC486" s="2" t="s">
        <v>40</v>
      </c>
      <c r="AF486" s="2">
        <f t="shared" si="62"/>
        <v>0</v>
      </c>
      <c r="AJ486" s="2">
        <f t="shared" si="63"/>
        <v>0</v>
      </c>
      <c r="AK486" s="2">
        <f t="shared" si="66"/>
        <v>30</v>
      </c>
      <c r="AL486" s="5">
        <f t="shared" si="65"/>
        <v>0.6</v>
      </c>
    </row>
    <row r="487" spans="1:38" x14ac:dyDescent="0.2">
      <c r="A487" s="2">
        <v>2025</v>
      </c>
      <c r="B487" s="2">
        <v>2</v>
      </c>
      <c r="D487" s="2" t="s">
        <v>873</v>
      </c>
      <c r="M487" s="2" t="s">
        <v>40</v>
      </c>
      <c r="P487" s="2" t="s">
        <v>187</v>
      </c>
      <c r="Q487" s="2" t="s">
        <v>191</v>
      </c>
      <c r="R487" s="2" t="s">
        <v>190</v>
      </c>
      <c r="S487" s="2">
        <v>1</v>
      </c>
      <c r="T487" s="2">
        <v>50</v>
      </c>
      <c r="U487" s="2">
        <v>11.5</v>
      </c>
      <c r="V487" s="2">
        <v>61.5</v>
      </c>
      <c r="W487" s="2">
        <f>T487*50%</f>
        <v>25</v>
      </c>
      <c r="X487" s="5">
        <f t="shared" si="67"/>
        <v>0.5</v>
      </c>
      <c r="Z487" s="2" t="s">
        <v>117</v>
      </c>
      <c r="AA487" s="2" t="s">
        <v>190</v>
      </c>
      <c r="AB487" s="2" t="s">
        <v>190</v>
      </c>
      <c r="AC487" s="2" t="s">
        <v>40</v>
      </c>
      <c r="AF487" s="2">
        <f t="shared" si="62"/>
        <v>0</v>
      </c>
      <c r="AJ487" s="2">
        <f t="shared" si="63"/>
        <v>0</v>
      </c>
      <c r="AK487" s="2">
        <f t="shared" si="66"/>
        <v>25</v>
      </c>
      <c r="AL487" s="5">
        <f t="shared" si="65"/>
        <v>0.5</v>
      </c>
    </row>
    <row r="488" spans="1:38" x14ac:dyDescent="0.2">
      <c r="A488" s="2">
        <v>2025</v>
      </c>
      <c r="B488" s="2">
        <v>2</v>
      </c>
      <c r="D488" s="2" t="s">
        <v>874</v>
      </c>
      <c r="E488" s="2" t="s">
        <v>108</v>
      </c>
      <c r="F488" s="2" t="s">
        <v>39</v>
      </c>
      <c r="G488" s="2">
        <v>506929833</v>
      </c>
      <c r="H488" s="2" t="s">
        <v>109</v>
      </c>
      <c r="I488" s="2" t="s">
        <v>133</v>
      </c>
      <c r="J488" s="2" t="s">
        <v>875</v>
      </c>
      <c r="K488" s="2">
        <v>964065954</v>
      </c>
      <c r="L488" s="2" t="s">
        <v>133</v>
      </c>
      <c r="M488" s="2" t="s">
        <v>40</v>
      </c>
      <c r="O488" s="2" t="s">
        <v>876</v>
      </c>
      <c r="P488" s="2" t="s">
        <v>114</v>
      </c>
      <c r="Q488" s="2" t="s">
        <v>877</v>
      </c>
      <c r="R488" s="2" t="s">
        <v>878</v>
      </c>
      <c r="S488" s="2">
        <v>1</v>
      </c>
      <c r="T488" s="2">
        <v>0</v>
      </c>
      <c r="U488" s="2">
        <v>0</v>
      </c>
      <c r="V488" s="2">
        <v>0</v>
      </c>
      <c r="Z488" s="2" t="s">
        <v>117</v>
      </c>
      <c r="AA488" s="2" t="s">
        <v>118</v>
      </c>
      <c r="AB488" s="2" t="s">
        <v>119</v>
      </c>
      <c r="AC488" s="2" t="s">
        <v>114</v>
      </c>
      <c r="AF488" s="2">
        <f t="shared" si="62"/>
        <v>0</v>
      </c>
      <c r="AJ488" s="2">
        <f t="shared" si="63"/>
        <v>0</v>
      </c>
      <c r="AK488" s="2">
        <f t="shared" si="66"/>
        <v>0</v>
      </c>
      <c r="AL488" s="5">
        <v>0</v>
      </c>
    </row>
    <row r="489" spans="1:38" x14ac:dyDescent="0.2">
      <c r="A489" s="2">
        <v>2025</v>
      </c>
      <c r="B489" s="2">
        <v>2</v>
      </c>
      <c r="D489" s="2" t="s">
        <v>874</v>
      </c>
      <c r="E489" s="2" t="s">
        <v>108</v>
      </c>
      <c r="F489" s="2" t="s">
        <v>39</v>
      </c>
      <c r="G489" s="2">
        <v>506929833</v>
      </c>
      <c r="H489" s="2" t="s">
        <v>109</v>
      </c>
      <c r="I489" s="2" t="s">
        <v>133</v>
      </c>
      <c r="J489" s="2" t="s">
        <v>875</v>
      </c>
      <c r="K489" s="2">
        <v>964065954</v>
      </c>
      <c r="L489" s="2" t="s">
        <v>133</v>
      </c>
      <c r="M489" s="2" t="s">
        <v>40</v>
      </c>
      <c r="O489" s="2" t="s">
        <v>876</v>
      </c>
      <c r="P489" s="2" t="s">
        <v>114</v>
      </c>
      <c r="Q489" s="2" t="s">
        <v>879</v>
      </c>
      <c r="R489" s="2" t="s">
        <v>880</v>
      </c>
      <c r="S489" s="2">
        <v>1</v>
      </c>
      <c r="T489" s="2">
        <v>4750</v>
      </c>
      <c r="U489" s="2">
        <v>1092.5</v>
      </c>
      <c r="V489" s="2">
        <v>5842.5</v>
      </c>
      <c r="W489" s="2">
        <f>3130.82+148.37</f>
        <v>3279.19</v>
      </c>
      <c r="X489" s="5">
        <f>(T489-W489)/T489</f>
        <v>0.3096442105263158</v>
      </c>
      <c r="Z489" s="2" t="s">
        <v>104</v>
      </c>
      <c r="AA489" s="2" t="s">
        <v>616</v>
      </c>
      <c r="AB489" s="2" t="s">
        <v>119</v>
      </c>
      <c r="AC489" s="2" t="s">
        <v>114</v>
      </c>
      <c r="AF489" s="2">
        <f t="shared" si="62"/>
        <v>0</v>
      </c>
      <c r="AJ489" s="2">
        <f t="shared" si="63"/>
        <v>0</v>
      </c>
      <c r="AK489" s="2">
        <f t="shared" si="66"/>
        <v>1470.81</v>
      </c>
      <c r="AL489" s="5">
        <f t="shared" si="65"/>
        <v>0.3096442105263158</v>
      </c>
    </row>
    <row r="490" spans="1:38" x14ac:dyDescent="0.2">
      <c r="A490" s="2">
        <v>2025</v>
      </c>
      <c r="B490" s="2">
        <v>2</v>
      </c>
      <c r="D490" s="2" t="s">
        <v>530</v>
      </c>
      <c r="E490" s="2" t="s">
        <v>108</v>
      </c>
      <c r="F490" s="2" t="s">
        <v>531</v>
      </c>
      <c r="G490" s="2">
        <v>502139552</v>
      </c>
      <c r="H490" s="2" t="s">
        <v>40</v>
      </c>
      <c r="I490" s="2" t="s">
        <v>339</v>
      </c>
      <c r="J490" s="2" t="s">
        <v>532</v>
      </c>
      <c r="L490" s="2" t="s">
        <v>339</v>
      </c>
      <c r="M490" s="2" t="s">
        <v>40</v>
      </c>
      <c r="P490" s="2" t="s">
        <v>40</v>
      </c>
      <c r="Q490" s="2" t="s">
        <v>140</v>
      </c>
      <c r="R490" s="2" t="s">
        <v>141</v>
      </c>
      <c r="S490" s="2">
        <v>-1</v>
      </c>
      <c r="T490" s="2">
        <v>-8.4600000000000009</v>
      </c>
      <c r="U490" s="2">
        <v>-1.9458</v>
      </c>
      <c r="V490" s="2">
        <v>-10.405799999999999</v>
      </c>
      <c r="Z490" s="2" t="s">
        <v>119</v>
      </c>
      <c r="AA490" s="2" t="s">
        <v>142</v>
      </c>
      <c r="AF490" s="2">
        <f t="shared" si="62"/>
        <v>0</v>
      </c>
      <c r="AJ490" s="2">
        <f t="shared" si="63"/>
        <v>0</v>
      </c>
    </row>
    <row r="491" spans="1:38" x14ac:dyDescent="0.2">
      <c r="A491" s="2">
        <v>2025</v>
      </c>
      <c r="B491" s="2">
        <v>2</v>
      </c>
      <c r="D491" s="2" t="s">
        <v>881</v>
      </c>
      <c r="E491" s="2" t="s">
        <v>108</v>
      </c>
      <c r="F491" s="2" t="s">
        <v>39</v>
      </c>
      <c r="G491" s="2">
        <v>510118887</v>
      </c>
      <c r="H491" s="2" t="s">
        <v>41</v>
      </c>
      <c r="I491" s="2" t="s">
        <v>882</v>
      </c>
      <c r="J491" s="2" t="s">
        <v>883</v>
      </c>
      <c r="L491" s="2" t="s">
        <v>177</v>
      </c>
      <c r="M491" s="2" t="s">
        <v>41</v>
      </c>
      <c r="O491" s="2" t="s">
        <v>884</v>
      </c>
      <c r="P491" s="2" t="s">
        <v>43</v>
      </c>
      <c r="Q491" s="2" t="s">
        <v>50</v>
      </c>
      <c r="R491" s="2" t="s">
        <v>51</v>
      </c>
      <c r="S491" s="2">
        <v>1</v>
      </c>
      <c r="T491" s="2">
        <v>16.8</v>
      </c>
      <c r="U491" s="2">
        <v>3.8639999999999999</v>
      </c>
      <c r="V491" s="2">
        <v>20.664000000000001</v>
      </c>
      <c r="W491" s="2">
        <f>14.4*S491</f>
        <v>14.4</v>
      </c>
      <c r="X491" s="5">
        <f t="shared" ref="X491:X508" si="68">(T491-W491)/T491</f>
        <v>0.14285714285714288</v>
      </c>
      <c r="Z491" s="2" t="s">
        <v>3227</v>
      </c>
      <c r="AA491" s="2" t="s">
        <v>46</v>
      </c>
      <c r="AB491" s="2" t="s">
        <v>47</v>
      </c>
      <c r="AC491" s="2" t="s">
        <v>57</v>
      </c>
      <c r="AF491" s="2">
        <f t="shared" si="62"/>
        <v>0</v>
      </c>
      <c r="AG491" s="2">
        <v>10.2346</v>
      </c>
      <c r="AH491" s="2">
        <v>18</v>
      </c>
      <c r="AJ491" s="2">
        <f t="shared" si="63"/>
        <v>0</v>
      </c>
      <c r="AK491" s="2">
        <f t="shared" ref="AK491:AK528" si="69">T491-W491</f>
        <v>2.4000000000000004</v>
      </c>
      <c r="AL491" s="5">
        <f t="shared" ref="AL491:AL528" si="70">(T491-W491)/T491</f>
        <v>0.14285714285714288</v>
      </c>
    </row>
    <row r="492" spans="1:38" x14ac:dyDescent="0.2">
      <c r="A492" s="2">
        <v>2025</v>
      </c>
      <c r="B492" s="2">
        <v>2</v>
      </c>
      <c r="D492" s="2" t="s">
        <v>881</v>
      </c>
      <c r="E492" s="2" t="s">
        <v>108</v>
      </c>
      <c r="F492" s="2" t="s">
        <v>39</v>
      </c>
      <c r="G492" s="2">
        <v>510118887</v>
      </c>
      <c r="H492" s="2" t="s">
        <v>41</v>
      </c>
      <c r="I492" s="2" t="s">
        <v>882</v>
      </c>
      <c r="J492" s="2" t="s">
        <v>883</v>
      </c>
      <c r="L492" s="2" t="s">
        <v>177</v>
      </c>
      <c r="M492" s="2" t="s">
        <v>41</v>
      </c>
      <c r="O492" s="2" t="s">
        <v>884</v>
      </c>
      <c r="P492" s="2" t="s">
        <v>43</v>
      </c>
      <c r="Q492" s="2" t="s">
        <v>859</v>
      </c>
      <c r="R492" s="2" t="s">
        <v>860</v>
      </c>
      <c r="S492" s="2">
        <v>1</v>
      </c>
      <c r="T492" s="2">
        <v>16.8</v>
      </c>
      <c r="U492" s="2">
        <v>3.8639999999999999</v>
      </c>
      <c r="V492" s="2">
        <v>20.664000000000001</v>
      </c>
      <c r="W492" s="2">
        <f>8*S492</f>
        <v>8</v>
      </c>
      <c r="X492" s="5">
        <f t="shared" si="68"/>
        <v>0.52380952380952384</v>
      </c>
      <c r="Z492" s="2" t="s">
        <v>3227</v>
      </c>
      <c r="AA492" s="2" t="s">
        <v>46</v>
      </c>
      <c r="AB492" s="2" t="s">
        <v>47</v>
      </c>
      <c r="AC492" s="2" t="s">
        <v>57</v>
      </c>
      <c r="AF492" s="2">
        <f t="shared" si="62"/>
        <v>0</v>
      </c>
      <c r="AJ492" s="2">
        <f t="shared" si="63"/>
        <v>0</v>
      </c>
      <c r="AK492" s="2">
        <f t="shared" si="69"/>
        <v>8.8000000000000007</v>
      </c>
      <c r="AL492" s="5">
        <f t="shared" si="70"/>
        <v>0.52380952380952384</v>
      </c>
    </row>
    <row r="493" spans="1:38" x14ac:dyDescent="0.2">
      <c r="A493" s="2">
        <v>2025</v>
      </c>
      <c r="B493" s="2">
        <v>2</v>
      </c>
      <c r="D493" s="2" t="s">
        <v>881</v>
      </c>
      <c r="E493" s="2" t="s">
        <v>108</v>
      </c>
      <c r="F493" s="2" t="s">
        <v>39</v>
      </c>
      <c r="G493" s="2">
        <v>510118887</v>
      </c>
      <c r="H493" s="2" t="s">
        <v>41</v>
      </c>
      <c r="I493" s="2" t="s">
        <v>882</v>
      </c>
      <c r="J493" s="2" t="s">
        <v>883</v>
      </c>
      <c r="L493" s="2" t="s">
        <v>177</v>
      </c>
      <c r="M493" s="2" t="s">
        <v>41</v>
      </c>
      <c r="O493" s="2" t="s">
        <v>884</v>
      </c>
      <c r="P493" s="2" t="s">
        <v>43</v>
      </c>
      <c r="Q493" s="2" t="s">
        <v>208</v>
      </c>
      <c r="R493" s="2" t="s">
        <v>209</v>
      </c>
      <c r="S493" s="2">
        <v>1</v>
      </c>
      <c r="T493" s="2">
        <v>20.399999999999999</v>
      </c>
      <c r="U493" s="2">
        <v>4.6920000000000002</v>
      </c>
      <c r="V493" s="2">
        <v>25.091999999999999</v>
      </c>
      <c r="W493" s="2">
        <f>9.8308*S493</f>
        <v>9.8308</v>
      </c>
      <c r="X493" s="5">
        <f t="shared" si="68"/>
        <v>0.5180980392156862</v>
      </c>
      <c r="Z493" s="2" t="s">
        <v>3227</v>
      </c>
      <c r="AA493" s="2" t="s">
        <v>46</v>
      </c>
      <c r="AB493" s="2" t="s">
        <v>47</v>
      </c>
      <c r="AC493" s="2" t="s">
        <v>57</v>
      </c>
      <c r="AF493" s="2">
        <f t="shared" si="62"/>
        <v>0</v>
      </c>
      <c r="AJ493" s="2">
        <f t="shared" si="63"/>
        <v>0</v>
      </c>
      <c r="AK493" s="2">
        <f t="shared" si="69"/>
        <v>10.569199999999999</v>
      </c>
      <c r="AL493" s="5">
        <f t="shared" si="70"/>
        <v>0.5180980392156862</v>
      </c>
    </row>
    <row r="494" spans="1:38" x14ac:dyDescent="0.2">
      <c r="A494" s="2">
        <v>2025</v>
      </c>
      <c r="B494" s="2">
        <v>2</v>
      </c>
      <c r="D494" s="2" t="s">
        <v>881</v>
      </c>
      <c r="E494" s="2" t="s">
        <v>108</v>
      </c>
      <c r="F494" s="2" t="s">
        <v>39</v>
      </c>
      <c r="G494" s="2">
        <v>510118887</v>
      </c>
      <c r="H494" s="2" t="s">
        <v>41</v>
      </c>
      <c r="I494" s="2" t="s">
        <v>882</v>
      </c>
      <c r="J494" s="2" t="s">
        <v>883</v>
      </c>
      <c r="L494" s="2" t="s">
        <v>177</v>
      </c>
      <c r="M494" s="2" t="s">
        <v>41</v>
      </c>
      <c r="O494" s="2" t="s">
        <v>884</v>
      </c>
      <c r="P494" s="2" t="s">
        <v>43</v>
      </c>
      <c r="Q494" s="2" t="s">
        <v>54</v>
      </c>
      <c r="R494" s="2" t="s">
        <v>55</v>
      </c>
      <c r="S494" s="2">
        <v>2</v>
      </c>
      <c r="T494" s="2">
        <v>36</v>
      </c>
      <c r="U494" s="2">
        <v>8.2800000000000011</v>
      </c>
      <c r="V494" s="2">
        <v>44.28</v>
      </c>
      <c r="W494" s="2">
        <f>10.6*S494</f>
        <v>21.2</v>
      </c>
      <c r="X494" s="5">
        <f t="shared" si="68"/>
        <v>0.41111111111111115</v>
      </c>
      <c r="Z494" s="2" t="s">
        <v>3227</v>
      </c>
      <c r="AA494" s="2" t="s">
        <v>46</v>
      </c>
      <c r="AB494" s="2" t="s">
        <v>56</v>
      </c>
      <c r="AC494" s="2" t="s">
        <v>57</v>
      </c>
      <c r="AF494" s="2">
        <f t="shared" si="62"/>
        <v>0</v>
      </c>
      <c r="AG494" s="2">
        <v>10.6</v>
      </c>
      <c r="AH494" s="2">
        <v>18</v>
      </c>
      <c r="AJ494" s="2">
        <f t="shared" si="63"/>
        <v>0</v>
      </c>
      <c r="AK494" s="2">
        <f t="shared" si="69"/>
        <v>14.8</v>
      </c>
      <c r="AL494" s="5">
        <f t="shared" si="70"/>
        <v>0.41111111111111115</v>
      </c>
    </row>
    <row r="495" spans="1:38" x14ac:dyDescent="0.2">
      <c r="A495" s="2">
        <v>2025</v>
      </c>
      <c r="B495" s="2">
        <v>2</v>
      </c>
      <c r="D495" s="2" t="s">
        <v>549</v>
      </c>
      <c r="E495" s="2" t="s">
        <v>108</v>
      </c>
      <c r="F495" s="2" t="s">
        <v>395</v>
      </c>
      <c r="G495" s="2">
        <v>503641790</v>
      </c>
      <c r="H495" s="2" t="s">
        <v>40</v>
      </c>
      <c r="I495" s="2" t="s">
        <v>550</v>
      </c>
      <c r="J495" s="2" t="s">
        <v>551</v>
      </c>
      <c r="K495" s="2">
        <v>917753665</v>
      </c>
      <c r="L495" s="2" t="s">
        <v>99</v>
      </c>
      <c r="M495" s="2" t="s">
        <v>80</v>
      </c>
      <c r="O495" s="2" t="s">
        <v>885</v>
      </c>
      <c r="P495" s="2" t="s">
        <v>72</v>
      </c>
      <c r="Q495" s="2" t="s">
        <v>73</v>
      </c>
      <c r="R495" s="2" t="s">
        <v>74</v>
      </c>
      <c r="S495" s="2">
        <v>1</v>
      </c>
      <c r="T495" s="2">
        <v>189.92</v>
      </c>
      <c r="U495" s="2">
        <v>43.681600000000003</v>
      </c>
      <c r="V495" s="2">
        <v>233.60159999999999</v>
      </c>
      <c r="W495" s="2">
        <v>117.453</v>
      </c>
      <c r="X495" s="5">
        <f t="shared" si="68"/>
        <v>0.38156592249368149</v>
      </c>
      <c r="Z495" s="2" t="s">
        <v>3227</v>
      </c>
      <c r="AA495" s="2" t="s">
        <v>75</v>
      </c>
      <c r="AB495" s="2" t="s">
        <v>76</v>
      </c>
      <c r="AC495" s="2" t="s">
        <v>77</v>
      </c>
      <c r="AF495" s="2">
        <f t="shared" si="62"/>
        <v>0</v>
      </c>
      <c r="AG495" s="2">
        <v>117.453</v>
      </c>
      <c r="AH495" s="2">
        <v>220</v>
      </c>
      <c r="AJ495" s="2">
        <f t="shared" si="63"/>
        <v>0</v>
      </c>
      <c r="AK495" s="2">
        <f t="shared" si="69"/>
        <v>72.466999999999985</v>
      </c>
      <c r="AL495" s="5">
        <f t="shared" si="70"/>
        <v>0.38156592249368149</v>
      </c>
    </row>
    <row r="496" spans="1:38" x14ac:dyDescent="0.2">
      <c r="A496" s="2">
        <v>2025</v>
      </c>
      <c r="B496" s="2">
        <v>2</v>
      </c>
      <c r="D496" s="2" t="s">
        <v>549</v>
      </c>
      <c r="E496" s="2" t="s">
        <v>108</v>
      </c>
      <c r="F496" s="2" t="s">
        <v>395</v>
      </c>
      <c r="G496" s="2">
        <v>503641790</v>
      </c>
      <c r="H496" s="2" t="s">
        <v>40</v>
      </c>
      <c r="I496" s="2" t="s">
        <v>550</v>
      </c>
      <c r="J496" s="2" t="s">
        <v>551</v>
      </c>
      <c r="K496" s="2">
        <v>917753665</v>
      </c>
      <c r="L496" s="2" t="s">
        <v>99</v>
      </c>
      <c r="M496" s="2" t="s">
        <v>80</v>
      </c>
      <c r="O496" s="2" t="s">
        <v>885</v>
      </c>
      <c r="P496" s="2" t="s">
        <v>93</v>
      </c>
      <c r="Q496" s="2" t="s">
        <v>94</v>
      </c>
      <c r="R496" s="2" t="s">
        <v>95</v>
      </c>
      <c r="S496" s="2">
        <v>1</v>
      </c>
      <c r="T496" s="2">
        <v>1.1399999999999999</v>
      </c>
      <c r="U496" s="2">
        <v>0.26219999999999999</v>
      </c>
      <c r="V496" s="2">
        <v>1.4021999999999999</v>
      </c>
      <c r="W496" s="2">
        <v>1.1399999999999999</v>
      </c>
      <c r="X496" s="5">
        <f t="shared" si="68"/>
        <v>0</v>
      </c>
      <c r="Z496" s="2" t="s">
        <v>3227</v>
      </c>
      <c r="AA496" s="2" t="s">
        <v>96</v>
      </c>
      <c r="AB496" s="2" t="s">
        <v>76</v>
      </c>
      <c r="AC496" s="2" t="s">
        <v>93</v>
      </c>
      <c r="AF496" s="2">
        <f t="shared" si="62"/>
        <v>0</v>
      </c>
      <c r="AG496" s="2">
        <v>1.1399999999999999</v>
      </c>
      <c r="AH496" s="2">
        <v>1.1399999999999999</v>
      </c>
      <c r="AJ496" s="2">
        <f t="shared" si="63"/>
        <v>0</v>
      </c>
      <c r="AK496" s="2">
        <f t="shared" si="69"/>
        <v>0</v>
      </c>
      <c r="AL496" s="5">
        <f t="shared" si="70"/>
        <v>0</v>
      </c>
    </row>
    <row r="497" spans="1:38" x14ac:dyDescent="0.2">
      <c r="A497" s="2">
        <v>2025</v>
      </c>
      <c r="B497" s="2">
        <v>2</v>
      </c>
      <c r="D497" s="2" t="s">
        <v>886</v>
      </c>
      <c r="P497" s="2" t="s">
        <v>114</v>
      </c>
      <c r="Q497" s="2" t="s">
        <v>887</v>
      </c>
      <c r="R497" s="2" t="s">
        <v>888</v>
      </c>
      <c r="S497" s="2">
        <v>1</v>
      </c>
      <c r="T497" s="2">
        <v>19000</v>
      </c>
      <c r="U497" s="2">
        <v>4370</v>
      </c>
      <c r="V497" s="2">
        <v>23370</v>
      </c>
      <c r="W497" s="2">
        <v>16540.57</v>
      </c>
      <c r="X497" s="5">
        <f t="shared" si="68"/>
        <v>0.12944368421052632</v>
      </c>
      <c r="Z497" s="2" t="s">
        <v>104</v>
      </c>
      <c r="AA497" s="2" t="s">
        <v>414</v>
      </c>
      <c r="AB497" s="2" t="s">
        <v>151</v>
      </c>
      <c r="AC497" s="2" t="s">
        <v>114</v>
      </c>
      <c r="AF497" s="2">
        <f t="shared" si="62"/>
        <v>0</v>
      </c>
      <c r="AJ497" s="2">
        <f t="shared" si="63"/>
        <v>0</v>
      </c>
      <c r="AK497" s="2">
        <f t="shared" si="69"/>
        <v>2459.4300000000003</v>
      </c>
      <c r="AL497" s="5">
        <f t="shared" si="70"/>
        <v>0.12944368421052632</v>
      </c>
    </row>
    <row r="498" spans="1:38" x14ac:dyDescent="0.2">
      <c r="A498" s="2">
        <v>2025</v>
      </c>
      <c r="B498" s="2">
        <v>2</v>
      </c>
      <c r="D498" s="2" t="s">
        <v>889</v>
      </c>
      <c r="E498" s="2" t="s">
        <v>108</v>
      </c>
      <c r="F498" s="2" t="s">
        <v>39</v>
      </c>
      <c r="G498" s="2">
        <v>507216970</v>
      </c>
      <c r="H498" s="2" t="s">
        <v>41</v>
      </c>
      <c r="I498" s="2" t="s">
        <v>890</v>
      </c>
      <c r="J498" s="2" t="s">
        <v>891</v>
      </c>
      <c r="L498" s="2" t="s">
        <v>99</v>
      </c>
      <c r="M498" s="2" t="s">
        <v>41</v>
      </c>
      <c r="P498" s="2" t="s">
        <v>43</v>
      </c>
      <c r="Q498" s="2" t="s">
        <v>54</v>
      </c>
      <c r="R498" s="2" t="s">
        <v>55</v>
      </c>
      <c r="S498" s="2">
        <v>20</v>
      </c>
      <c r="T498" s="2">
        <v>320</v>
      </c>
      <c r="U498" s="2">
        <v>73.600000000000009</v>
      </c>
      <c r="V498" s="2">
        <v>393.6</v>
      </c>
      <c r="W498" s="2">
        <f>10.6*S498</f>
        <v>212</v>
      </c>
      <c r="X498" s="5">
        <f t="shared" si="68"/>
        <v>0.33750000000000002</v>
      </c>
      <c r="Z498" s="2" t="s">
        <v>3227</v>
      </c>
      <c r="AA498" s="2" t="s">
        <v>46</v>
      </c>
      <c r="AB498" s="2" t="s">
        <v>56</v>
      </c>
      <c r="AC498" s="2" t="s">
        <v>57</v>
      </c>
      <c r="AF498" s="2">
        <f t="shared" si="62"/>
        <v>0</v>
      </c>
      <c r="AG498" s="2">
        <v>10.6</v>
      </c>
      <c r="AH498" s="2">
        <v>18</v>
      </c>
      <c r="AJ498" s="2">
        <f t="shared" si="63"/>
        <v>0</v>
      </c>
      <c r="AK498" s="2">
        <f t="shared" si="69"/>
        <v>108</v>
      </c>
      <c r="AL498" s="5">
        <f t="shared" si="70"/>
        <v>0.33750000000000002</v>
      </c>
    </row>
    <row r="499" spans="1:38" x14ac:dyDescent="0.2">
      <c r="A499" s="2">
        <v>2025</v>
      </c>
      <c r="B499" s="2">
        <v>2</v>
      </c>
      <c r="D499" s="2" t="s">
        <v>889</v>
      </c>
      <c r="E499" s="2" t="s">
        <v>108</v>
      </c>
      <c r="F499" s="2" t="s">
        <v>39</v>
      </c>
      <c r="G499" s="2">
        <v>507216970</v>
      </c>
      <c r="H499" s="2" t="s">
        <v>41</v>
      </c>
      <c r="I499" s="2" t="s">
        <v>890</v>
      </c>
      <c r="J499" s="2" t="s">
        <v>891</v>
      </c>
      <c r="L499" s="2" t="s">
        <v>99</v>
      </c>
      <c r="M499" s="2" t="s">
        <v>41</v>
      </c>
      <c r="P499" s="2" t="s">
        <v>43</v>
      </c>
      <c r="Q499" s="2" t="s">
        <v>61</v>
      </c>
      <c r="R499" s="2" t="s">
        <v>62</v>
      </c>
      <c r="S499" s="2">
        <v>2000</v>
      </c>
      <c r="T499" s="2">
        <v>210</v>
      </c>
      <c r="U499" s="2">
        <v>48.3</v>
      </c>
      <c r="V499" s="2">
        <v>258.3</v>
      </c>
      <c r="W499" s="2">
        <f>0.082*S499</f>
        <v>164</v>
      </c>
      <c r="X499" s="5">
        <f t="shared" si="68"/>
        <v>0.21904761904761905</v>
      </c>
      <c r="Z499" s="2" t="s">
        <v>3227</v>
      </c>
      <c r="AA499" s="2" t="s">
        <v>46</v>
      </c>
      <c r="AB499" s="2" t="s">
        <v>60</v>
      </c>
      <c r="AC499" s="2" t="s">
        <v>57</v>
      </c>
      <c r="AF499" s="2">
        <f t="shared" si="62"/>
        <v>0</v>
      </c>
      <c r="AG499" s="2">
        <v>8.1999999999999993</v>
      </c>
      <c r="AH499" s="2">
        <v>13</v>
      </c>
      <c r="AJ499" s="2">
        <f t="shared" si="63"/>
        <v>0</v>
      </c>
      <c r="AK499" s="2">
        <f t="shared" si="69"/>
        <v>46</v>
      </c>
      <c r="AL499" s="5">
        <f t="shared" si="70"/>
        <v>0.21904761904761905</v>
      </c>
    </row>
    <row r="500" spans="1:38" x14ac:dyDescent="0.2">
      <c r="A500" s="2">
        <v>2025</v>
      </c>
      <c r="B500" s="2">
        <v>2</v>
      </c>
      <c r="D500" s="2" t="s">
        <v>892</v>
      </c>
      <c r="P500" s="2" t="s">
        <v>72</v>
      </c>
      <c r="Q500" s="2" t="s">
        <v>73</v>
      </c>
      <c r="R500" s="2" t="s">
        <v>74</v>
      </c>
      <c r="S500" s="2">
        <v>1</v>
      </c>
      <c r="T500" s="2">
        <v>190</v>
      </c>
      <c r="U500" s="2">
        <v>43.7</v>
      </c>
      <c r="V500" s="2">
        <v>233.7</v>
      </c>
      <c r="W500" s="2">
        <v>117.453</v>
      </c>
      <c r="X500" s="5">
        <f t="shared" si="68"/>
        <v>0.38182631578947368</v>
      </c>
      <c r="Z500" s="2" t="s">
        <v>3227</v>
      </c>
      <c r="AA500" s="2" t="s">
        <v>75</v>
      </c>
      <c r="AB500" s="2" t="s">
        <v>76</v>
      </c>
      <c r="AC500" s="2" t="s">
        <v>77</v>
      </c>
      <c r="AF500" s="2">
        <f t="shared" si="62"/>
        <v>0</v>
      </c>
      <c r="AG500" s="2">
        <v>117.453</v>
      </c>
      <c r="AH500" s="2">
        <v>220</v>
      </c>
      <c r="AJ500" s="2">
        <f t="shared" si="63"/>
        <v>0</v>
      </c>
      <c r="AK500" s="2">
        <f t="shared" si="69"/>
        <v>72.546999999999997</v>
      </c>
      <c r="AL500" s="5">
        <f t="shared" si="70"/>
        <v>0.38182631578947368</v>
      </c>
    </row>
    <row r="501" spans="1:38" x14ac:dyDescent="0.2">
      <c r="A501" s="2">
        <v>2025</v>
      </c>
      <c r="B501" s="2">
        <v>2</v>
      </c>
      <c r="D501" s="2" t="s">
        <v>892</v>
      </c>
      <c r="P501" s="2" t="s">
        <v>93</v>
      </c>
      <c r="Q501" s="2" t="s">
        <v>94</v>
      </c>
      <c r="R501" s="2" t="s">
        <v>95</v>
      </c>
      <c r="S501" s="2">
        <v>1</v>
      </c>
      <c r="T501" s="2">
        <v>1.1399999999999999</v>
      </c>
      <c r="U501" s="2">
        <v>0.26219999999999999</v>
      </c>
      <c r="V501" s="2">
        <v>1.4021999999999999</v>
      </c>
      <c r="W501" s="2">
        <v>1.1399999999999999</v>
      </c>
      <c r="X501" s="5">
        <f t="shared" si="68"/>
        <v>0</v>
      </c>
      <c r="Z501" s="2" t="s">
        <v>3227</v>
      </c>
      <c r="AA501" s="2" t="s">
        <v>96</v>
      </c>
      <c r="AB501" s="2" t="s">
        <v>76</v>
      </c>
      <c r="AC501" s="2" t="s">
        <v>93</v>
      </c>
      <c r="AF501" s="2">
        <f t="shared" si="62"/>
        <v>0</v>
      </c>
      <c r="AJ501" s="2">
        <f t="shared" si="63"/>
        <v>0</v>
      </c>
      <c r="AK501" s="2">
        <f t="shared" si="69"/>
        <v>0</v>
      </c>
      <c r="AL501" s="5">
        <f t="shared" si="70"/>
        <v>0</v>
      </c>
    </row>
    <row r="502" spans="1:38" x14ac:dyDescent="0.2">
      <c r="A502" s="2">
        <v>2025</v>
      </c>
      <c r="B502" s="2">
        <v>2</v>
      </c>
      <c r="D502" s="2" t="s">
        <v>893</v>
      </c>
      <c r="P502" s="2" t="s">
        <v>72</v>
      </c>
      <c r="Q502" s="2" t="s">
        <v>73</v>
      </c>
      <c r="R502" s="2" t="s">
        <v>74</v>
      </c>
      <c r="S502" s="2">
        <v>1</v>
      </c>
      <c r="T502" s="2">
        <v>215</v>
      </c>
      <c r="U502" s="2">
        <v>49.45</v>
      </c>
      <c r="V502" s="2">
        <v>264.45</v>
      </c>
      <c r="W502" s="2">
        <v>117.453</v>
      </c>
      <c r="X502" s="5">
        <f t="shared" si="68"/>
        <v>0.45370697674418603</v>
      </c>
      <c r="Z502" s="2" t="s">
        <v>3227</v>
      </c>
      <c r="AA502" s="2" t="s">
        <v>75</v>
      </c>
      <c r="AB502" s="2" t="s">
        <v>76</v>
      </c>
      <c r="AC502" s="2" t="s">
        <v>77</v>
      </c>
      <c r="AF502" s="2">
        <f t="shared" si="62"/>
        <v>0</v>
      </c>
      <c r="AG502" s="2">
        <v>117.453</v>
      </c>
      <c r="AH502" s="2">
        <v>220</v>
      </c>
      <c r="AJ502" s="2">
        <f t="shared" si="63"/>
        <v>0</v>
      </c>
      <c r="AK502" s="2">
        <f t="shared" si="69"/>
        <v>97.546999999999997</v>
      </c>
      <c r="AL502" s="5">
        <f t="shared" si="70"/>
        <v>0.45370697674418603</v>
      </c>
    </row>
    <row r="503" spans="1:38" x14ac:dyDescent="0.2">
      <c r="A503" s="2">
        <v>2025</v>
      </c>
      <c r="B503" s="2">
        <v>2</v>
      </c>
      <c r="D503" s="2" t="s">
        <v>893</v>
      </c>
      <c r="P503" s="2" t="s">
        <v>93</v>
      </c>
      <c r="Q503" s="2" t="s">
        <v>94</v>
      </c>
      <c r="R503" s="2" t="s">
        <v>95</v>
      </c>
      <c r="S503" s="2">
        <v>1</v>
      </c>
      <c r="T503" s="2">
        <v>1.1399999999999999</v>
      </c>
      <c r="U503" s="2">
        <v>0.26219999999999999</v>
      </c>
      <c r="V503" s="2">
        <v>1.4021999999999999</v>
      </c>
      <c r="W503" s="2">
        <v>1.1399999999999999</v>
      </c>
      <c r="X503" s="5">
        <f t="shared" si="68"/>
        <v>0</v>
      </c>
      <c r="Z503" s="2" t="s">
        <v>3227</v>
      </c>
      <c r="AA503" s="2" t="s">
        <v>96</v>
      </c>
      <c r="AB503" s="2" t="s">
        <v>76</v>
      </c>
      <c r="AC503" s="2" t="s">
        <v>93</v>
      </c>
      <c r="AF503" s="2">
        <f t="shared" si="62"/>
        <v>0</v>
      </c>
      <c r="AJ503" s="2">
        <f t="shared" si="63"/>
        <v>0</v>
      </c>
      <c r="AK503" s="2">
        <f t="shared" si="69"/>
        <v>0</v>
      </c>
      <c r="AL503" s="5">
        <f t="shared" si="70"/>
        <v>0</v>
      </c>
    </row>
    <row r="504" spans="1:38" x14ac:dyDescent="0.2">
      <c r="A504" s="2">
        <v>2025</v>
      </c>
      <c r="B504" s="2">
        <v>2</v>
      </c>
      <c r="D504" s="2" t="s">
        <v>894</v>
      </c>
      <c r="P504" s="2" t="s">
        <v>72</v>
      </c>
      <c r="Q504" s="2" t="s">
        <v>895</v>
      </c>
      <c r="R504" s="2" t="s">
        <v>381</v>
      </c>
      <c r="S504" s="2">
        <v>1</v>
      </c>
      <c r="T504" s="2">
        <v>220</v>
      </c>
      <c r="U504" s="2">
        <v>50.6</v>
      </c>
      <c r="V504" s="2">
        <v>270.60000000000002</v>
      </c>
      <c r="W504" s="2">
        <v>113.17</v>
      </c>
      <c r="X504" s="5">
        <f t="shared" si="68"/>
        <v>0.48559090909090907</v>
      </c>
      <c r="Z504" s="2" t="s">
        <v>3227</v>
      </c>
      <c r="AA504" s="2" t="s">
        <v>75</v>
      </c>
      <c r="AB504" s="2" t="s">
        <v>76</v>
      </c>
      <c r="AC504" s="2" t="s">
        <v>77</v>
      </c>
      <c r="AF504" s="2">
        <f t="shared" si="62"/>
        <v>0</v>
      </c>
      <c r="AJ504" s="2">
        <f t="shared" si="63"/>
        <v>0</v>
      </c>
      <c r="AK504" s="2">
        <f t="shared" si="69"/>
        <v>106.83</v>
      </c>
      <c r="AL504" s="5">
        <f t="shared" si="70"/>
        <v>0.48559090909090907</v>
      </c>
    </row>
    <row r="505" spans="1:38" x14ac:dyDescent="0.2">
      <c r="A505" s="2">
        <v>2025</v>
      </c>
      <c r="B505" s="2">
        <v>2</v>
      </c>
      <c r="D505" s="2" t="s">
        <v>894</v>
      </c>
      <c r="P505" s="2" t="s">
        <v>93</v>
      </c>
      <c r="Q505" s="2" t="s">
        <v>94</v>
      </c>
      <c r="R505" s="2" t="s">
        <v>95</v>
      </c>
      <c r="S505" s="2">
        <v>1</v>
      </c>
      <c r="T505" s="2">
        <v>1.1399999999999999</v>
      </c>
      <c r="U505" s="2">
        <v>0.26219999999999999</v>
      </c>
      <c r="V505" s="2">
        <v>1.4021999999999999</v>
      </c>
      <c r="W505" s="2">
        <v>1.1399999999999999</v>
      </c>
      <c r="X505" s="5">
        <f t="shared" si="68"/>
        <v>0</v>
      </c>
      <c r="Z505" s="2" t="s">
        <v>3227</v>
      </c>
      <c r="AA505" s="2" t="s">
        <v>96</v>
      </c>
      <c r="AB505" s="2" t="s">
        <v>76</v>
      </c>
      <c r="AC505" s="2" t="s">
        <v>93</v>
      </c>
      <c r="AF505" s="2">
        <f t="shared" si="62"/>
        <v>0</v>
      </c>
      <c r="AJ505" s="2">
        <f t="shared" si="63"/>
        <v>0</v>
      </c>
      <c r="AK505" s="2">
        <f t="shared" si="69"/>
        <v>0</v>
      </c>
      <c r="AL505" s="5">
        <f t="shared" si="70"/>
        <v>0</v>
      </c>
    </row>
    <row r="506" spans="1:38" x14ac:dyDescent="0.2">
      <c r="A506" s="2">
        <v>2025</v>
      </c>
      <c r="B506" s="2">
        <v>2</v>
      </c>
      <c r="D506" s="2" t="s">
        <v>574</v>
      </c>
      <c r="E506" s="2" t="s">
        <v>38</v>
      </c>
      <c r="F506" s="2" t="s">
        <v>39</v>
      </c>
      <c r="G506" s="2">
        <v>504811029</v>
      </c>
      <c r="H506" s="2" t="s">
        <v>41</v>
      </c>
      <c r="I506" s="2" t="s">
        <v>177</v>
      </c>
      <c r="J506" s="2" t="s">
        <v>575</v>
      </c>
      <c r="L506" s="2" t="s">
        <v>177</v>
      </c>
      <c r="M506" s="2" t="s">
        <v>41</v>
      </c>
      <c r="P506" s="2" t="s">
        <v>43</v>
      </c>
      <c r="Q506" s="2" t="s">
        <v>579</v>
      </c>
      <c r="R506" s="2" t="s">
        <v>580</v>
      </c>
      <c r="S506" s="2">
        <v>20</v>
      </c>
      <c r="T506" s="2">
        <v>48</v>
      </c>
      <c r="U506" s="2">
        <v>11.04</v>
      </c>
      <c r="V506" s="2">
        <v>59.04</v>
      </c>
      <c r="W506" s="2">
        <f>1.4114*S506</f>
        <v>28.228000000000002</v>
      </c>
      <c r="X506" s="5">
        <f t="shared" si="68"/>
        <v>0.41191666666666665</v>
      </c>
      <c r="Z506" s="2" t="s">
        <v>3227</v>
      </c>
      <c r="AA506" s="2" t="s">
        <v>46</v>
      </c>
      <c r="AB506" s="2" t="s">
        <v>60</v>
      </c>
      <c r="AC506" s="2" t="s">
        <v>57</v>
      </c>
      <c r="AF506" s="2">
        <f t="shared" si="62"/>
        <v>0</v>
      </c>
      <c r="AG506" s="2">
        <v>1.4114</v>
      </c>
      <c r="AH506" s="2">
        <v>3</v>
      </c>
      <c r="AJ506" s="2">
        <f t="shared" si="63"/>
        <v>0</v>
      </c>
      <c r="AK506" s="2">
        <f t="shared" si="69"/>
        <v>19.771999999999998</v>
      </c>
      <c r="AL506" s="5">
        <f t="shared" si="70"/>
        <v>0.41191666666666665</v>
      </c>
    </row>
    <row r="507" spans="1:38" x14ac:dyDescent="0.2">
      <c r="A507" s="2">
        <v>2025</v>
      </c>
      <c r="B507" s="2">
        <v>2</v>
      </c>
      <c r="D507" s="2" t="s">
        <v>588</v>
      </c>
      <c r="E507" s="2" t="s">
        <v>38</v>
      </c>
      <c r="F507" s="2" t="s">
        <v>39</v>
      </c>
      <c r="G507" s="2">
        <v>510339298</v>
      </c>
      <c r="H507" s="2" t="s">
        <v>41</v>
      </c>
      <c r="I507" s="2" t="s">
        <v>177</v>
      </c>
      <c r="J507" s="2" t="s">
        <v>589</v>
      </c>
      <c r="L507" s="2" t="s">
        <v>177</v>
      </c>
      <c r="P507" s="2" t="s">
        <v>43</v>
      </c>
      <c r="Q507" s="2" t="s">
        <v>160</v>
      </c>
      <c r="R507" s="2" t="s">
        <v>161</v>
      </c>
      <c r="S507" s="2">
        <v>1</v>
      </c>
      <c r="T507" s="2">
        <v>7.8</v>
      </c>
      <c r="U507" s="2">
        <v>1.794</v>
      </c>
      <c r="V507" s="2">
        <v>9.5939999999999994</v>
      </c>
      <c r="W507" s="2">
        <f>3.7358*S507</f>
        <v>3.7357999999999998</v>
      </c>
      <c r="X507" s="5">
        <f t="shared" si="68"/>
        <v>0.52105128205128204</v>
      </c>
      <c r="Z507" s="2" t="s">
        <v>3227</v>
      </c>
      <c r="AA507" s="2" t="s">
        <v>46</v>
      </c>
      <c r="AB507" s="2" t="s">
        <v>47</v>
      </c>
      <c r="AC507" s="2" t="s">
        <v>57</v>
      </c>
      <c r="AF507" s="2">
        <f t="shared" si="62"/>
        <v>0</v>
      </c>
      <c r="AG507" s="2">
        <v>3.7357999999999998</v>
      </c>
      <c r="AH507" s="2">
        <v>9</v>
      </c>
      <c r="AJ507" s="2">
        <f t="shared" si="63"/>
        <v>0</v>
      </c>
      <c r="AK507" s="2">
        <f t="shared" si="69"/>
        <v>4.0641999999999996</v>
      </c>
      <c r="AL507" s="5">
        <f t="shared" si="70"/>
        <v>0.52105128205128204</v>
      </c>
    </row>
    <row r="508" spans="1:38" x14ac:dyDescent="0.2">
      <c r="A508" s="2">
        <v>2025</v>
      </c>
      <c r="B508" s="2">
        <v>2</v>
      </c>
      <c r="D508" s="2" t="s">
        <v>588</v>
      </c>
      <c r="E508" s="2" t="s">
        <v>38</v>
      </c>
      <c r="F508" s="2" t="s">
        <v>39</v>
      </c>
      <c r="G508" s="2">
        <v>510339298</v>
      </c>
      <c r="H508" s="2" t="s">
        <v>41</v>
      </c>
      <c r="I508" s="2" t="s">
        <v>177</v>
      </c>
      <c r="J508" s="2" t="s">
        <v>589</v>
      </c>
      <c r="L508" s="2" t="s">
        <v>177</v>
      </c>
      <c r="M508" s="2" t="s">
        <v>41</v>
      </c>
      <c r="P508" s="2" t="s">
        <v>43</v>
      </c>
      <c r="Q508" s="2" t="s">
        <v>250</v>
      </c>
      <c r="R508" s="2" t="s">
        <v>251</v>
      </c>
      <c r="S508" s="2">
        <v>2</v>
      </c>
      <c r="T508" s="2">
        <v>110</v>
      </c>
      <c r="U508" s="2">
        <v>25.3</v>
      </c>
      <c r="V508" s="2">
        <v>135.30000000000001</v>
      </c>
      <c r="W508" s="2">
        <f>25.0958*S508</f>
        <v>50.191600000000001</v>
      </c>
      <c r="X508" s="5">
        <f t="shared" si="68"/>
        <v>0.54371272727272724</v>
      </c>
      <c r="Z508" s="2" t="s">
        <v>3227</v>
      </c>
      <c r="AA508" s="2" t="s">
        <v>46</v>
      </c>
      <c r="AB508" s="2" t="s">
        <v>90</v>
      </c>
      <c r="AC508" s="2" t="s">
        <v>57</v>
      </c>
      <c r="AF508" s="2">
        <f t="shared" si="62"/>
        <v>0</v>
      </c>
      <c r="AJ508" s="2">
        <f t="shared" si="63"/>
        <v>0</v>
      </c>
      <c r="AK508" s="2">
        <f t="shared" si="69"/>
        <v>59.808399999999999</v>
      </c>
      <c r="AL508" s="5">
        <f t="shared" si="70"/>
        <v>0.54371272727272724</v>
      </c>
    </row>
    <row r="509" spans="1:38" x14ac:dyDescent="0.2">
      <c r="A509" s="2">
        <v>2025</v>
      </c>
      <c r="B509" s="2">
        <v>2</v>
      </c>
      <c r="D509" s="2" t="s">
        <v>594</v>
      </c>
      <c r="E509" s="2" t="s">
        <v>108</v>
      </c>
      <c r="F509" s="2" t="s">
        <v>395</v>
      </c>
      <c r="G509" s="2">
        <v>507476352</v>
      </c>
      <c r="H509" s="2" t="s">
        <v>109</v>
      </c>
      <c r="I509" s="2" t="s">
        <v>112</v>
      </c>
      <c r="J509" s="2" t="s">
        <v>595</v>
      </c>
      <c r="L509" s="2" t="s">
        <v>112</v>
      </c>
      <c r="M509" s="2" t="s">
        <v>40</v>
      </c>
      <c r="O509" s="2" t="s">
        <v>896</v>
      </c>
      <c r="P509" s="2" t="s">
        <v>40</v>
      </c>
      <c r="Q509" s="2" t="s">
        <v>363</v>
      </c>
      <c r="R509" s="2" t="s">
        <v>364</v>
      </c>
      <c r="S509" s="2">
        <v>-1</v>
      </c>
      <c r="T509" s="2">
        <v>-15.12</v>
      </c>
      <c r="U509" s="2">
        <v>-3.4775999999999998</v>
      </c>
      <c r="V509" s="2">
        <v>-18.5976</v>
      </c>
      <c r="Z509" s="2" t="s">
        <v>117</v>
      </c>
      <c r="AA509" s="2" t="s">
        <v>118</v>
      </c>
      <c r="AB509" s="2" t="s">
        <v>119</v>
      </c>
      <c r="AC509" s="2" t="s">
        <v>114</v>
      </c>
      <c r="AF509" s="2">
        <f t="shared" si="62"/>
        <v>0</v>
      </c>
      <c r="AJ509" s="2">
        <f t="shared" si="63"/>
        <v>0</v>
      </c>
      <c r="AK509" s="2">
        <f t="shared" si="69"/>
        <v>-15.12</v>
      </c>
      <c r="AL509" s="5">
        <f t="shared" si="70"/>
        <v>1</v>
      </c>
    </row>
    <row r="510" spans="1:38" x14ac:dyDescent="0.2">
      <c r="A510" s="2">
        <v>2025</v>
      </c>
      <c r="B510" s="2">
        <v>2</v>
      </c>
      <c r="D510" s="2" t="s">
        <v>606</v>
      </c>
      <c r="E510" s="2" t="s">
        <v>108</v>
      </c>
      <c r="F510" s="2" t="s">
        <v>39</v>
      </c>
      <c r="G510" s="2">
        <v>504822187</v>
      </c>
      <c r="H510" s="2" t="s">
        <v>109</v>
      </c>
      <c r="I510" s="2" t="s">
        <v>607</v>
      </c>
      <c r="J510" s="2" t="s">
        <v>608</v>
      </c>
      <c r="K510" s="2">
        <v>966216853</v>
      </c>
      <c r="L510" s="2" t="s">
        <v>461</v>
      </c>
      <c r="M510" s="2" t="s">
        <v>41</v>
      </c>
      <c r="P510" s="2" t="s">
        <v>72</v>
      </c>
      <c r="Q510" s="2" t="s">
        <v>832</v>
      </c>
      <c r="R510" s="2" t="s">
        <v>74</v>
      </c>
      <c r="S510" s="2">
        <v>1</v>
      </c>
      <c r="T510" s="2">
        <v>190</v>
      </c>
      <c r="U510" s="2">
        <v>43.7</v>
      </c>
      <c r="V510" s="2">
        <v>233.7</v>
      </c>
      <c r="W510" s="2">
        <v>120.636</v>
      </c>
      <c r="X510" s="5">
        <f t="shared" ref="X510:X528" si="71">(T510-W510)/T510</f>
        <v>0.36507368421052633</v>
      </c>
      <c r="Z510" s="2" t="s">
        <v>3227</v>
      </c>
      <c r="AA510" s="2" t="s">
        <v>75</v>
      </c>
      <c r="AB510" s="2" t="s">
        <v>76</v>
      </c>
      <c r="AC510" s="2" t="s">
        <v>77</v>
      </c>
      <c r="AF510" s="2">
        <f t="shared" si="62"/>
        <v>0</v>
      </c>
      <c r="AG510" s="2">
        <v>120.636</v>
      </c>
      <c r="AH510" s="2">
        <v>220</v>
      </c>
      <c r="AJ510" s="2">
        <f t="shared" si="63"/>
        <v>0</v>
      </c>
      <c r="AK510" s="2">
        <f t="shared" si="69"/>
        <v>69.364000000000004</v>
      </c>
      <c r="AL510" s="5">
        <f t="shared" si="70"/>
        <v>0.36507368421052633</v>
      </c>
    </row>
    <row r="511" spans="1:38" x14ac:dyDescent="0.2">
      <c r="A511" s="2">
        <v>2025</v>
      </c>
      <c r="B511" s="2">
        <v>2</v>
      </c>
      <c r="D511" s="2" t="s">
        <v>606</v>
      </c>
      <c r="E511" s="2" t="s">
        <v>108</v>
      </c>
      <c r="F511" s="2" t="s">
        <v>39</v>
      </c>
      <c r="G511" s="2">
        <v>504822187</v>
      </c>
      <c r="H511" s="2" t="s">
        <v>109</v>
      </c>
      <c r="I511" s="2" t="s">
        <v>607</v>
      </c>
      <c r="J511" s="2" t="s">
        <v>608</v>
      </c>
      <c r="K511" s="2">
        <v>966216853</v>
      </c>
      <c r="L511" s="2" t="s">
        <v>461</v>
      </c>
      <c r="M511" s="2" t="s">
        <v>41</v>
      </c>
      <c r="P511" s="2" t="s">
        <v>93</v>
      </c>
      <c r="Q511" s="2" t="s">
        <v>94</v>
      </c>
      <c r="R511" s="2" t="s">
        <v>95</v>
      </c>
      <c r="S511" s="2">
        <v>1</v>
      </c>
      <c r="T511" s="2">
        <v>1.1399999999999999</v>
      </c>
      <c r="U511" s="2">
        <v>0.26219999999999999</v>
      </c>
      <c r="V511" s="2">
        <v>1.4021999999999999</v>
      </c>
      <c r="W511" s="2">
        <v>1.1399999999999999</v>
      </c>
      <c r="X511" s="5">
        <f t="shared" si="71"/>
        <v>0</v>
      </c>
      <c r="Z511" s="2" t="s">
        <v>3227</v>
      </c>
      <c r="AA511" s="2" t="s">
        <v>96</v>
      </c>
      <c r="AB511" s="2" t="s">
        <v>76</v>
      </c>
      <c r="AC511" s="2" t="s">
        <v>93</v>
      </c>
      <c r="AF511" s="2">
        <f t="shared" si="62"/>
        <v>0</v>
      </c>
      <c r="AJ511" s="2">
        <f t="shared" si="63"/>
        <v>0</v>
      </c>
      <c r="AK511" s="2">
        <f t="shared" si="69"/>
        <v>0</v>
      </c>
      <c r="AL511" s="5">
        <f t="shared" si="70"/>
        <v>0</v>
      </c>
    </row>
    <row r="512" spans="1:38" x14ac:dyDescent="0.2">
      <c r="A512" s="2">
        <v>2025</v>
      </c>
      <c r="B512" s="2">
        <v>2</v>
      </c>
      <c r="C512" s="2" t="s">
        <v>3472</v>
      </c>
      <c r="D512" s="2" t="s">
        <v>897</v>
      </c>
      <c r="E512" s="2" t="s">
        <v>38</v>
      </c>
      <c r="F512" s="2" t="s">
        <v>39</v>
      </c>
      <c r="L512" s="2" t="s">
        <v>99</v>
      </c>
      <c r="M512" s="2" t="s">
        <v>80</v>
      </c>
      <c r="P512" s="2" t="s">
        <v>43</v>
      </c>
      <c r="Q512" s="2" t="s">
        <v>58</v>
      </c>
      <c r="R512" s="2" t="s">
        <v>59</v>
      </c>
      <c r="S512" s="2">
        <v>1000</v>
      </c>
      <c r="T512" s="2">
        <v>105</v>
      </c>
      <c r="U512" s="2">
        <v>24.15</v>
      </c>
      <c r="V512" s="2">
        <v>129.15</v>
      </c>
      <c r="W512" s="2">
        <f>0.0914*S512</f>
        <v>91.399999999999991</v>
      </c>
      <c r="X512" s="5">
        <f t="shared" si="71"/>
        <v>0.1295238095238096</v>
      </c>
      <c r="Z512" s="2" t="s">
        <v>3227</v>
      </c>
      <c r="AA512" s="2" t="s">
        <v>46</v>
      </c>
      <c r="AB512" s="2" t="s">
        <v>60</v>
      </c>
      <c r="AC512" s="2" t="s">
        <v>57</v>
      </c>
      <c r="AF512" s="2">
        <f t="shared" si="62"/>
        <v>0</v>
      </c>
      <c r="AG512" s="2">
        <v>9.14</v>
      </c>
      <c r="AH512" s="2">
        <v>16</v>
      </c>
      <c r="AJ512" s="2">
        <f t="shared" si="63"/>
        <v>0</v>
      </c>
      <c r="AK512" s="2">
        <f t="shared" si="69"/>
        <v>13.600000000000009</v>
      </c>
      <c r="AL512" s="5">
        <f t="shared" si="70"/>
        <v>0.1295238095238096</v>
      </c>
    </row>
    <row r="513" spans="1:38" x14ac:dyDescent="0.2">
      <c r="A513" s="2">
        <v>2025</v>
      </c>
      <c r="B513" s="2">
        <v>2</v>
      </c>
      <c r="C513" s="2" t="s">
        <v>3472</v>
      </c>
      <c r="D513" s="2" t="s">
        <v>897</v>
      </c>
      <c r="E513" s="2" t="s">
        <v>38</v>
      </c>
      <c r="F513" s="2" t="s">
        <v>39</v>
      </c>
      <c r="L513" s="2" t="s">
        <v>99</v>
      </c>
      <c r="M513" s="2" t="s">
        <v>80</v>
      </c>
      <c r="P513" s="2" t="s">
        <v>43</v>
      </c>
      <c r="Q513" s="2" t="s">
        <v>61</v>
      </c>
      <c r="R513" s="2" t="s">
        <v>62</v>
      </c>
      <c r="S513" s="2">
        <v>1000</v>
      </c>
      <c r="T513" s="2">
        <v>105</v>
      </c>
      <c r="U513" s="2">
        <v>24.15</v>
      </c>
      <c r="V513" s="2">
        <v>129.15</v>
      </c>
      <c r="W513" s="2">
        <f>0.082*S513</f>
        <v>82</v>
      </c>
      <c r="X513" s="5">
        <f t="shared" si="71"/>
        <v>0.21904761904761905</v>
      </c>
      <c r="Z513" s="2" t="s">
        <v>3227</v>
      </c>
      <c r="AA513" s="2" t="s">
        <v>46</v>
      </c>
      <c r="AB513" s="2" t="s">
        <v>60</v>
      </c>
      <c r="AC513" s="2" t="s">
        <v>57</v>
      </c>
      <c r="AF513" s="2">
        <f t="shared" si="62"/>
        <v>0</v>
      </c>
      <c r="AG513" s="2">
        <v>8.1999999999999993</v>
      </c>
      <c r="AH513" s="2">
        <v>13</v>
      </c>
      <c r="AJ513" s="2">
        <f t="shared" si="63"/>
        <v>0</v>
      </c>
      <c r="AK513" s="2">
        <f t="shared" si="69"/>
        <v>23</v>
      </c>
      <c r="AL513" s="5">
        <f t="shared" si="70"/>
        <v>0.21904761904761905</v>
      </c>
    </row>
    <row r="514" spans="1:38" x14ac:dyDescent="0.2">
      <c r="A514" s="2">
        <v>2025</v>
      </c>
      <c r="B514" s="2">
        <v>2</v>
      </c>
      <c r="D514" s="2" t="s">
        <v>898</v>
      </c>
      <c r="E514" s="2" t="s">
        <v>108</v>
      </c>
      <c r="F514" s="2" t="s">
        <v>39</v>
      </c>
      <c r="H514" s="2" t="s">
        <v>40</v>
      </c>
      <c r="I514" s="2" t="s">
        <v>156</v>
      </c>
      <c r="J514" s="2" t="s">
        <v>899</v>
      </c>
      <c r="K514" s="2">
        <v>912047019</v>
      </c>
      <c r="L514" s="2" t="s">
        <v>99</v>
      </c>
      <c r="M514" s="2" t="s">
        <v>40</v>
      </c>
      <c r="O514" s="2" t="s">
        <v>900</v>
      </c>
      <c r="P514" s="2" t="s">
        <v>114</v>
      </c>
      <c r="Q514" s="2" t="s">
        <v>901</v>
      </c>
      <c r="R514" s="2" t="s">
        <v>902</v>
      </c>
      <c r="S514" s="2">
        <v>1</v>
      </c>
      <c r="T514" s="2">
        <v>80.7</v>
      </c>
      <c r="U514" s="2">
        <v>18.561</v>
      </c>
      <c r="V514" s="2">
        <v>99.260999999999996</v>
      </c>
      <c r="W514" s="2">
        <v>42.36</v>
      </c>
      <c r="X514" s="5">
        <f t="shared" si="71"/>
        <v>0.47509293680297399</v>
      </c>
      <c r="Z514" s="2" t="s">
        <v>117</v>
      </c>
      <c r="AA514" s="2" t="s">
        <v>118</v>
      </c>
      <c r="AB514" s="2" t="s">
        <v>119</v>
      </c>
      <c r="AC514" s="2" t="s">
        <v>114</v>
      </c>
      <c r="AF514" s="2">
        <f t="shared" ref="AF514:AF577" si="72">AJ514</f>
        <v>0</v>
      </c>
      <c r="AG514" s="2">
        <v>42.36</v>
      </c>
      <c r="AJ514" s="2">
        <f t="shared" ref="AJ514:AJ577" si="73">AI514*T514</f>
        <v>0</v>
      </c>
      <c r="AK514" s="2">
        <f t="shared" si="69"/>
        <v>38.340000000000003</v>
      </c>
      <c r="AL514" s="5">
        <f t="shared" si="70"/>
        <v>0.47509293680297399</v>
      </c>
    </row>
    <row r="515" spans="1:38" x14ac:dyDescent="0.2">
      <c r="A515" s="2">
        <v>2025</v>
      </c>
      <c r="B515" s="2">
        <v>2</v>
      </c>
      <c r="D515" s="2" t="s">
        <v>898</v>
      </c>
      <c r="E515" s="2" t="s">
        <v>108</v>
      </c>
      <c r="F515" s="2" t="s">
        <v>39</v>
      </c>
      <c r="H515" s="2" t="s">
        <v>40</v>
      </c>
      <c r="I515" s="2" t="s">
        <v>156</v>
      </c>
      <c r="J515" s="2" t="s">
        <v>899</v>
      </c>
      <c r="K515" s="2">
        <v>912047019</v>
      </c>
      <c r="L515" s="2" t="s">
        <v>99</v>
      </c>
      <c r="M515" s="2" t="s">
        <v>40</v>
      </c>
      <c r="O515" s="2" t="s">
        <v>903</v>
      </c>
      <c r="P515" s="2" t="s">
        <v>40</v>
      </c>
      <c r="Q515" s="2" t="s">
        <v>363</v>
      </c>
      <c r="R515" s="2" t="s">
        <v>364</v>
      </c>
      <c r="S515" s="2">
        <v>1</v>
      </c>
      <c r="T515" s="2">
        <v>135</v>
      </c>
      <c r="U515" s="2">
        <v>31.05</v>
      </c>
      <c r="V515" s="2">
        <v>166.05</v>
      </c>
      <c r="X515" s="5">
        <f t="shared" si="71"/>
        <v>1</v>
      </c>
      <c r="Z515" s="2" t="s">
        <v>119</v>
      </c>
      <c r="AA515" s="2" t="s">
        <v>3380</v>
      </c>
      <c r="AF515" s="2">
        <f t="shared" si="72"/>
        <v>0</v>
      </c>
      <c r="AJ515" s="2">
        <f t="shared" si="73"/>
        <v>0</v>
      </c>
      <c r="AK515" s="2">
        <f t="shared" si="69"/>
        <v>135</v>
      </c>
      <c r="AL515" s="5">
        <f t="shared" si="70"/>
        <v>1</v>
      </c>
    </row>
    <row r="516" spans="1:38" x14ac:dyDescent="0.2">
      <c r="A516" s="2">
        <v>2025</v>
      </c>
      <c r="B516" s="2">
        <v>2</v>
      </c>
      <c r="D516" s="2" t="s">
        <v>617</v>
      </c>
      <c r="E516" s="2" t="s">
        <v>38</v>
      </c>
      <c r="F516" s="2" t="s">
        <v>39</v>
      </c>
      <c r="G516" s="2">
        <v>513759654</v>
      </c>
      <c r="H516" s="2" t="s">
        <v>41</v>
      </c>
      <c r="I516" s="2" t="s">
        <v>618</v>
      </c>
      <c r="J516" s="2" t="s">
        <v>619</v>
      </c>
      <c r="L516" s="2" t="s">
        <v>418</v>
      </c>
      <c r="M516" s="2" t="s">
        <v>41</v>
      </c>
      <c r="P516" s="2" t="s">
        <v>43</v>
      </c>
      <c r="Q516" s="2" t="s">
        <v>58</v>
      </c>
      <c r="R516" s="2" t="s">
        <v>59</v>
      </c>
      <c r="S516" s="2">
        <v>300</v>
      </c>
      <c r="T516" s="2">
        <v>39</v>
      </c>
      <c r="U516" s="2">
        <v>8.9700000000000006</v>
      </c>
      <c r="V516" s="2">
        <v>47.97</v>
      </c>
      <c r="W516" s="2">
        <f>0.0914*S516</f>
        <v>27.419999999999998</v>
      </c>
      <c r="X516" s="5">
        <f t="shared" si="71"/>
        <v>0.29692307692307696</v>
      </c>
      <c r="Z516" s="2" t="s">
        <v>3227</v>
      </c>
      <c r="AA516" s="2" t="s">
        <v>46</v>
      </c>
      <c r="AB516" s="2" t="s">
        <v>60</v>
      </c>
      <c r="AC516" s="2" t="s">
        <v>57</v>
      </c>
      <c r="AF516" s="2">
        <f t="shared" si="72"/>
        <v>0</v>
      </c>
      <c r="AG516" s="2">
        <v>9.14</v>
      </c>
      <c r="AH516" s="2">
        <v>16</v>
      </c>
      <c r="AJ516" s="2">
        <f t="shared" si="73"/>
        <v>0</v>
      </c>
      <c r="AK516" s="2">
        <f t="shared" si="69"/>
        <v>11.580000000000002</v>
      </c>
      <c r="AL516" s="5">
        <f t="shared" si="70"/>
        <v>0.29692307692307696</v>
      </c>
    </row>
    <row r="517" spans="1:38" x14ac:dyDescent="0.2">
      <c r="A517" s="2">
        <v>2025</v>
      </c>
      <c r="B517" s="2">
        <v>2</v>
      </c>
      <c r="D517" s="2" t="s">
        <v>617</v>
      </c>
      <c r="E517" s="2" t="s">
        <v>38</v>
      </c>
      <c r="F517" s="2" t="s">
        <v>39</v>
      </c>
      <c r="G517" s="2">
        <v>513759654</v>
      </c>
      <c r="H517" s="2" t="s">
        <v>41</v>
      </c>
      <c r="I517" s="2" t="s">
        <v>618</v>
      </c>
      <c r="J517" s="2" t="s">
        <v>619</v>
      </c>
      <c r="L517" s="2" t="s">
        <v>418</v>
      </c>
      <c r="M517" s="2" t="s">
        <v>41</v>
      </c>
      <c r="P517" s="2" t="s">
        <v>43</v>
      </c>
      <c r="Q517" s="2" t="s">
        <v>61</v>
      </c>
      <c r="R517" s="2" t="s">
        <v>62</v>
      </c>
      <c r="S517" s="2">
        <v>300</v>
      </c>
      <c r="T517" s="2">
        <v>36</v>
      </c>
      <c r="U517" s="2">
        <v>8.2800000000000011</v>
      </c>
      <c r="V517" s="2">
        <v>44.28</v>
      </c>
      <c r="W517" s="2">
        <f>0.082*S517</f>
        <v>24.6</v>
      </c>
      <c r="X517" s="5">
        <f t="shared" si="71"/>
        <v>0.31666666666666665</v>
      </c>
      <c r="Z517" s="2" t="s">
        <v>3227</v>
      </c>
      <c r="AA517" s="2" t="s">
        <v>46</v>
      </c>
      <c r="AB517" s="2" t="s">
        <v>60</v>
      </c>
      <c r="AC517" s="2" t="s">
        <v>57</v>
      </c>
      <c r="AF517" s="2">
        <f t="shared" si="72"/>
        <v>0</v>
      </c>
      <c r="AG517" s="2">
        <v>8.1999999999999993</v>
      </c>
      <c r="AH517" s="2">
        <v>13</v>
      </c>
      <c r="AJ517" s="2">
        <f t="shared" si="73"/>
        <v>0</v>
      </c>
      <c r="AK517" s="2">
        <f t="shared" si="69"/>
        <v>11.399999999999999</v>
      </c>
      <c r="AL517" s="5">
        <f t="shared" si="70"/>
        <v>0.31666666666666665</v>
      </c>
    </row>
    <row r="518" spans="1:38" x14ac:dyDescent="0.2">
      <c r="A518" s="2">
        <v>2025</v>
      </c>
      <c r="B518" s="2">
        <v>2</v>
      </c>
      <c r="D518" s="2" t="s">
        <v>617</v>
      </c>
      <c r="E518" s="2" t="s">
        <v>38</v>
      </c>
      <c r="F518" s="2" t="s">
        <v>39</v>
      </c>
      <c r="G518" s="2">
        <v>513759654</v>
      </c>
      <c r="H518" s="2" t="s">
        <v>41</v>
      </c>
      <c r="I518" s="2" t="s">
        <v>618</v>
      </c>
      <c r="J518" s="2" t="s">
        <v>619</v>
      </c>
      <c r="L518" s="2" t="s">
        <v>418</v>
      </c>
      <c r="M518" s="2" t="s">
        <v>41</v>
      </c>
      <c r="P518" s="2" t="s">
        <v>43</v>
      </c>
      <c r="Q518" s="2" t="s">
        <v>65</v>
      </c>
      <c r="R518" s="2" t="s">
        <v>66</v>
      </c>
      <c r="S518" s="2">
        <v>1</v>
      </c>
      <c r="T518" s="2">
        <v>21</v>
      </c>
      <c r="U518" s="2">
        <v>4.83</v>
      </c>
      <c r="V518" s="2">
        <v>25.83</v>
      </c>
      <c r="W518" s="2">
        <f>15.0203*S518</f>
        <v>15.020300000000001</v>
      </c>
      <c r="X518" s="5">
        <f t="shared" si="71"/>
        <v>0.28474761904761903</v>
      </c>
      <c r="Z518" s="2" t="s">
        <v>3227</v>
      </c>
      <c r="AA518" s="2" t="s">
        <v>46</v>
      </c>
      <c r="AB518" s="2" t="s">
        <v>67</v>
      </c>
      <c r="AC518" s="2" t="s">
        <v>57</v>
      </c>
      <c r="AF518" s="2">
        <f t="shared" si="72"/>
        <v>0</v>
      </c>
      <c r="AG518" s="2">
        <v>15.020300000000001</v>
      </c>
      <c r="AH518" s="2">
        <v>27.6</v>
      </c>
      <c r="AJ518" s="2">
        <f t="shared" si="73"/>
        <v>0</v>
      </c>
      <c r="AK518" s="2">
        <f t="shared" si="69"/>
        <v>5.9796999999999993</v>
      </c>
      <c r="AL518" s="5">
        <f t="shared" si="70"/>
        <v>0.28474761904761903</v>
      </c>
    </row>
    <row r="519" spans="1:38" x14ac:dyDescent="0.2">
      <c r="A519" s="2">
        <v>2025</v>
      </c>
      <c r="B519" s="2">
        <v>2</v>
      </c>
      <c r="D519" s="2" t="s">
        <v>624</v>
      </c>
      <c r="E519" s="2" t="s">
        <v>38</v>
      </c>
      <c r="F519" s="2" t="s">
        <v>39</v>
      </c>
      <c r="G519" s="2" t="s">
        <v>625</v>
      </c>
      <c r="H519" s="2" t="s">
        <v>40</v>
      </c>
      <c r="I519" s="2" t="s">
        <v>626</v>
      </c>
      <c r="J519" s="2" t="s">
        <v>627</v>
      </c>
      <c r="L519" s="2" t="s">
        <v>626</v>
      </c>
      <c r="M519" s="2" t="s">
        <v>40</v>
      </c>
      <c r="P519" s="2" t="s">
        <v>114</v>
      </c>
      <c r="Q519" s="2" t="s">
        <v>904</v>
      </c>
      <c r="R519" s="2" t="s">
        <v>905</v>
      </c>
      <c r="S519" s="2">
        <v>2</v>
      </c>
      <c r="T519" s="2">
        <v>779.36</v>
      </c>
      <c r="V519" s="2">
        <f>T519</f>
        <v>779.36</v>
      </c>
      <c r="W519" s="2">
        <f>345.2034*S519</f>
        <v>690.40679999999998</v>
      </c>
      <c r="X519" s="5">
        <f t="shared" si="71"/>
        <v>0.11413621432970647</v>
      </c>
      <c r="Z519" s="2" t="s">
        <v>117</v>
      </c>
      <c r="AA519" s="2" t="s">
        <v>181</v>
      </c>
      <c r="AB519" s="2" t="s">
        <v>119</v>
      </c>
      <c r="AC519" s="2" t="s">
        <v>114</v>
      </c>
      <c r="AF519" s="2">
        <f t="shared" si="72"/>
        <v>0</v>
      </c>
      <c r="AJ519" s="2">
        <f t="shared" si="73"/>
        <v>0</v>
      </c>
      <c r="AK519" s="2">
        <f t="shared" si="69"/>
        <v>88.953200000000038</v>
      </c>
      <c r="AL519" s="5">
        <f t="shared" si="70"/>
        <v>0.11413621432970647</v>
      </c>
    </row>
    <row r="520" spans="1:38" x14ac:dyDescent="0.2">
      <c r="A520" s="2">
        <v>2025</v>
      </c>
      <c r="B520" s="2">
        <v>2</v>
      </c>
      <c r="D520" s="2" t="s">
        <v>906</v>
      </c>
      <c r="P520" s="2" t="s">
        <v>40</v>
      </c>
      <c r="Q520" s="2" t="s">
        <v>907</v>
      </c>
      <c r="R520" s="2" t="s">
        <v>908</v>
      </c>
      <c r="S520" s="2">
        <v>1</v>
      </c>
      <c r="T520" s="2">
        <v>900</v>
      </c>
      <c r="U520" s="2">
        <v>207</v>
      </c>
      <c r="V520" s="2">
        <v>1107</v>
      </c>
      <c r="W520" s="2">
        <f>T520*75%</f>
        <v>675</v>
      </c>
      <c r="X520" s="5">
        <f t="shared" si="71"/>
        <v>0.25</v>
      </c>
      <c r="Z520" s="2" t="s">
        <v>104</v>
      </c>
      <c r="AA520" s="2" t="s">
        <v>150</v>
      </c>
      <c r="AB520" s="2" t="s">
        <v>475</v>
      </c>
      <c r="AC520" s="2" t="s">
        <v>475</v>
      </c>
      <c r="AF520" s="2">
        <f t="shared" si="72"/>
        <v>0</v>
      </c>
      <c r="AJ520" s="2">
        <f t="shared" si="73"/>
        <v>0</v>
      </c>
      <c r="AK520" s="2">
        <f t="shared" si="69"/>
        <v>225</v>
      </c>
      <c r="AL520" s="5">
        <f t="shared" si="70"/>
        <v>0.25</v>
      </c>
    </row>
    <row r="521" spans="1:38" x14ac:dyDescent="0.2">
      <c r="A521" s="2">
        <v>2025</v>
      </c>
      <c r="B521" s="2">
        <v>2</v>
      </c>
      <c r="C521" s="2" t="s">
        <v>3402</v>
      </c>
      <c r="D521" s="2" t="s">
        <v>909</v>
      </c>
      <c r="E521" s="2" t="s">
        <v>38</v>
      </c>
      <c r="F521" s="2" t="s">
        <v>39</v>
      </c>
      <c r="G521" s="2">
        <v>514401788</v>
      </c>
      <c r="H521" s="2" t="s">
        <v>109</v>
      </c>
      <c r="I521" s="2" t="s">
        <v>133</v>
      </c>
      <c r="J521" s="2" t="s">
        <v>910</v>
      </c>
      <c r="K521" s="2">
        <v>914878988</v>
      </c>
      <c r="L521" s="2" t="s">
        <v>133</v>
      </c>
      <c r="M521" s="2" t="s">
        <v>80</v>
      </c>
      <c r="O521" s="2" t="s">
        <v>911</v>
      </c>
      <c r="P521" s="2" t="s">
        <v>72</v>
      </c>
      <c r="Q521" s="2" t="s">
        <v>912</v>
      </c>
      <c r="R521" s="2" t="s">
        <v>74</v>
      </c>
      <c r="S521" s="2">
        <v>1</v>
      </c>
      <c r="T521" s="2">
        <v>260</v>
      </c>
      <c r="U521" s="2">
        <v>59.8</v>
      </c>
      <c r="V521" s="2">
        <v>319.8</v>
      </c>
      <c r="W521" s="2">
        <f>115.92+6.06</f>
        <v>121.98</v>
      </c>
      <c r="X521" s="5">
        <f t="shared" si="71"/>
        <v>0.53084615384615375</v>
      </c>
      <c r="Z521" s="2" t="s">
        <v>3227</v>
      </c>
      <c r="AA521" s="2" t="s">
        <v>75</v>
      </c>
      <c r="AB521" s="2" t="s">
        <v>76</v>
      </c>
      <c r="AC521" s="2" t="s">
        <v>77</v>
      </c>
      <c r="AF521" s="2">
        <f t="shared" si="72"/>
        <v>0</v>
      </c>
      <c r="AJ521" s="2">
        <f t="shared" si="73"/>
        <v>0</v>
      </c>
      <c r="AK521" s="2">
        <f t="shared" si="69"/>
        <v>138.01999999999998</v>
      </c>
      <c r="AL521" s="5">
        <f t="shared" si="70"/>
        <v>0.53084615384615375</v>
      </c>
    </row>
    <row r="522" spans="1:38" x14ac:dyDescent="0.2">
      <c r="A522" s="2">
        <v>2025</v>
      </c>
      <c r="B522" s="2">
        <v>2</v>
      </c>
      <c r="C522" s="2" t="s">
        <v>3402</v>
      </c>
      <c r="D522" s="2" t="s">
        <v>909</v>
      </c>
      <c r="E522" s="2" t="s">
        <v>38</v>
      </c>
      <c r="F522" s="2" t="s">
        <v>39</v>
      </c>
      <c r="G522" s="2">
        <v>514401788</v>
      </c>
      <c r="H522" s="2" t="s">
        <v>109</v>
      </c>
      <c r="I522" s="2" t="s">
        <v>133</v>
      </c>
      <c r="J522" s="2" t="s">
        <v>910</v>
      </c>
      <c r="K522" s="2">
        <v>914878988</v>
      </c>
      <c r="L522" s="2" t="s">
        <v>133</v>
      </c>
      <c r="M522" s="2" t="s">
        <v>80</v>
      </c>
      <c r="O522" s="2" t="s">
        <v>911</v>
      </c>
      <c r="P522" s="2" t="s">
        <v>93</v>
      </c>
      <c r="Q522" s="2" t="s">
        <v>94</v>
      </c>
      <c r="R522" s="2" t="s">
        <v>95</v>
      </c>
      <c r="S522" s="2">
        <v>1</v>
      </c>
      <c r="T522" s="2">
        <v>1.1399999999999999</v>
      </c>
      <c r="U522" s="2">
        <v>0.26219999999999999</v>
      </c>
      <c r="V522" s="2">
        <v>1.4021999999999999</v>
      </c>
      <c r="W522" s="2">
        <v>1.1399999999999999</v>
      </c>
      <c r="X522" s="5">
        <f t="shared" si="71"/>
        <v>0</v>
      </c>
      <c r="Z522" s="2" t="s">
        <v>3227</v>
      </c>
      <c r="AA522" s="2" t="s">
        <v>96</v>
      </c>
      <c r="AB522" s="2" t="s">
        <v>76</v>
      </c>
      <c r="AC522" s="2" t="s">
        <v>93</v>
      </c>
      <c r="AF522" s="2">
        <f t="shared" si="72"/>
        <v>0</v>
      </c>
      <c r="AG522" s="2">
        <v>1.1399999999999999</v>
      </c>
      <c r="AH522" s="2">
        <v>1.1399999999999999</v>
      </c>
      <c r="AJ522" s="2">
        <f t="shared" si="73"/>
        <v>0</v>
      </c>
      <c r="AK522" s="2">
        <f t="shared" si="69"/>
        <v>0</v>
      </c>
      <c r="AL522" s="5">
        <f t="shared" si="70"/>
        <v>0</v>
      </c>
    </row>
    <row r="523" spans="1:38" x14ac:dyDescent="0.2">
      <c r="A523" s="2">
        <v>2025</v>
      </c>
      <c r="B523" s="2">
        <v>2</v>
      </c>
      <c r="D523" s="2" t="s">
        <v>913</v>
      </c>
      <c r="E523" s="2" t="s">
        <v>108</v>
      </c>
      <c r="F523" s="2" t="s">
        <v>39</v>
      </c>
      <c r="G523" s="2" t="s">
        <v>39</v>
      </c>
      <c r="H523" s="2" t="s">
        <v>290</v>
      </c>
      <c r="I523" s="2" t="s">
        <v>914</v>
      </c>
      <c r="J523" s="2" t="s">
        <v>915</v>
      </c>
      <c r="L523" s="2" t="s">
        <v>480</v>
      </c>
      <c r="M523" s="2" t="s">
        <v>40</v>
      </c>
      <c r="O523" s="2" t="s">
        <v>916</v>
      </c>
      <c r="P523" s="2" t="s">
        <v>114</v>
      </c>
      <c r="Q523" s="2" t="s">
        <v>904</v>
      </c>
      <c r="R523" s="2" t="s">
        <v>905</v>
      </c>
      <c r="S523" s="2">
        <v>1</v>
      </c>
      <c r="T523" s="2">
        <v>699.3</v>
      </c>
      <c r="U523" s="2">
        <v>160.839</v>
      </c>
      <c r="V523" s="2">
        <v>860.1389999999999</v>
      </c>
      <c r="W523" s="2">
        <v>345.20339999999999</v>
      </c>
      <c r="X523" s="5">
        <f t="shared" si="71"/>
        <v>0.50635864435864431</v>
      </c>
      <c r="Z523" s="2" t="s">
        <v>117</v>
      </c>
      <c r="AA523" s="2" t="s">
        <v>181</v>
      </c>
      <c r="AB523" s="2" t="s">
        <v>119</v>
      </c>
      <c r="AC523" s="2" t="s">
        <v>114</v>
      </c>
      <c r="AF523" s="2">
        <f t="shared" si="72"/>
        <v>0</v>
      </c>
      <c r="AJ523" s="2">
        <f t="shared" si="73"/>
        <v>0</v>
      </c>
      <c r="AK523" s="2">
        <f t="shared" si="69"/>
        <v>354.09659999999997</v>
      </c>
      <c r="AL523" s="5">
        <f t="shared" si="70"/>
        <v>0.50635864435864431</v>
      </c>
    </row>
    <row r="524" spans="1:38" x14ac:dyDescent="0.2">
      <c r="A524" s="2">
        <v>2025</v>
      </c>
      <c r="B524" s="2">
        <v>2</v>
      </c>
      <c r="D524" s="2" t="s">
        <v>913</v>
      </c>
      <c r="E524" s="2" t="s">
        <v>108</v>
      </c>
      <c r="F524" s="2" t="s">
        <v>39</v>
      </c>
      <c r="G524" s="2" t="s">
        <v>39</v>
      </c>
      <c r="H524" s="2" t="s">
        <v>290</v>
      </c>
      <c r="I524" s="2" t="s">
        <v>914</v>
      </c>
      <c r="J524" s="2" t="s">
        <v>915</v>
      </c>
      <c r="L524" s="2" t="s">
        <v>480</v>
      </c>
      <c r="M524" s="2" t="s">
        <v>40</v>
      </c>
      <c r="O524" s="2" t="s">
        <v>916</v>
      </c>
      <c r="P524" s="2" t="s">
        <v>187</v>
      </c>
      <c r="Q524" s="2" t="s">
        <v>188</v>
      </c>
      <c r="R524" s="2" t="s">
        <v>189</v>
      </c>
      <c r="S524" s="2">
        <v>2</v>
      </c>
      <c r="T524" s="2">
        <v>117</v>
      </c>
      <c r="U524" s="2">
        <v>26.91</v>
      </c>
      <c r="V524" s="2">
        <v>143.91</v>
      </c>
      <c r="W524" s="2">
        <f>T524*40%</f>
        <v>46.800000000000004</v>
      </c>
      <c r="X524" s="5">
        <f t="shared" si="71"/>
        <v>0.59999999999999987</v>
      </c>
      <c r="Z524" s="2" t="s">
        <v>117</v>
      </c>
      <c r="AA524" s="2" t="s">
        <v>190</v>
      </c>
      <c r="AB524" s="2" t="s">
        <v>189</v>
      </c>
      <c r="AC524" s="2" t="s">
        <v>40</v>
      </c>
      <c r="AF524" s="2">
        <f t="shared" si="72"/>
        <v>0</v>
      </c>
      <c r="AJ524" s="2">
        <f t="shared" si="73"/>
        <v>0</v>
      </c>
      <c r="AK524" s="2">
        <f t="shared" si="69"/>
        <v>70.199999999999989</v>
      </c>
      <c r="AL524" s="5">
        <f t="shared" si="70"/>
        <v>0.59999999999999987</v>
      </c>
    </row>
    <row r="525" spans="1:38" x14ac:dyDescent="0.2">
      <c r="A525" s="2">
        <v>2025</v>
      </c>
      <c r="B525" s="2">
        <v>2</v>
      </c>
      <c r="D525" s="2" t="s">
        <v>913</v>
      </c>
      <c r="E525" s="2" t="s">
        <v>108</v>
      </c>
      <c r="F525" s="2" t="s">
        <v>39</v>
      </c>
      <c r="G525" s="2" t="s">
        <v>39</v>
      </c>
      <c r="H525" s="2" t="s">
        <v>290</v>
      </c>
      <c r="I525" s="2" t="s">
        <v>914</v>
      </c>
      <c r="J525" s="2" t="s">
        <v>915</v>
      </c>
      <c r="L525" s="2" t="s">
        <v>480</v>
      </c>
      <c r="M525" s="2" t="s">
        <v>40</v>
      </c>
      <c r="O525" s="2" t="s">
        <v>916</v>
      </c>
      <c r="P525" s="2" t="s">
        <v>187</v>
      </c>
      <c r="Q525" s="2" t="s">
        <v>191</v>
      </c>
      <c r="R525" s="2" t="s">
        <v>190</v>
      </c>
      <c r="S525" s="2">
        <v>2</v>
      </c>
      <c r="T525" s="2">
        <v>100</v>
      </c>
      <c r="U525" s="2">
        <v>23</v>
      </c>
      <c r="V525" s="2">
        <v>123</v>
      </c>
      <c r="W525" s="2">
        <f>T525*50%</f>
        <v>50</v>
      </c>
      <c r="X525" s="5">
        <f t="shared" si="71"/>
        <v>0.5</v>
      </c>
      <c r="Z525" s="2" t="s">
        <v>117</v>
      </c>
      <c r="AA525" s="2" t="s">
        <v>190</v>
      </c>
      <c r="AB525" s="2" t="s">
        <v>190</v>
      </c>
      <c r="AC525" s="2" t="s">
        <v>40</v>
      </c>
      <c r="AF525" s="2">
        <f t="shared" si="72"/>
        <v>0</v>
      </c>
      <c r="AJ525" s="2">
        <f t="shared" si="73"/>
        <v>0</v>
      </c>
      <c r="AK525" s="2">
        <f t="shared" si="69"/>
        <v>50</v>
      </c>
      <c r="AL525" s="5">
        <f t="shared" si="70"/>
        <v>0.5</v>
      </c>
    </row>
    <row r="526" spans="1:38" x14ac:dyDescent="0.2">
      <c r="A526" s="2">
        <v>2025</v>
      </c>
      <c r="B526" s="2">
        <v>2</v>
      </c>
      <c r="D526" s="2" t="s">
        <v>917</v>
      </c>
      <c r="E526" s="2" t="s">
        <v>752</v>
      </c>
      <c r="F526" s="2" t="s">
        <v>918</v>
      </c>
      <c r="G526" s="2">
        <v>505973960</v>
      </c>
      <c r="H526" s="2" t="s">
        <v>40</v>
      </c>
      <c r="I526" s="2" t="s">
        <v>156</v>
      </c>
      <c r="J526" s="2" t="s">
        <v>919</v>
      </c>
      <c r="L526" s="2" t="s">
        <v>99</v>
      </c>
      <c r="M526" s="2" t="s">
        <v>80</v>
      </c>
      <c r="O526" s="2" t="s">
        <v>920</v>
      </c>
      <c r="P526" s="2" t="s">
        <v>43</v>
      </c>
      <c r="Q526" s="2" t="s">
        <v>54</v>
      </c>
      <c r="R526" s="2" t="s">
        <v>55</v>
      </c>
      <c r="S526" s="2">
        <v>1</v>
      </c>
      <c r="T526" s="2">
        <v>18</v>
      </c>
      <c r="U526" s="2">
        <v>4.1400000000000006</v>
      </c>
      <c r="V526" s="2">
        <v>22.14</v>
      </c>
      <c r="W526" s="2">
        <f>10.6*S526</f>
        <v>10.6</v>
      </c>
      <c r="X526" s="5">
        <f t="shared" si="71"/>
        <v>0.41111111111111115</v>
      </c>
      <c r="Z526" s="2" t="s">
        <v>3227</v>
      </c>
      <c r="AA526" s="2" t="s">
        <v>46</v>
      </c>
      <c r="AB526" s="2" t="s">
        <v>56</v>
      </c>
      <c r="AC526" s="2" t="s">
        <v>57</v>
      </c>
      <c r="AF526" s="2">
        <f t="shared" si="72"/>
        <v>0</v>
      </c>
      <c r="AG526" s="2">
        <v>10.6</v>
      </c>
      <c r="AH526" s="2">
        <v>18</v>
      </c>
      <c r="AJ526" s="2">
        <f t="shared" si="73"/>
        <v>0</v>
      </c>
      <c r="AK526" s="2">
        <f t="shared" si="69"/>
        <v>7.4</v>
      </c>
      <c r="AL526" s="5">
        <f t="shared" si="70"/>
        <v>0.41111111111111115</v>
      </c>
    </row>
    <row r="527" spans="1:38" x14ac:dyDescent="0.2">
      <c r="A527" s="2">
        <v>2025</v>
      </c>
      <c r="B527" s="2">
        <v>2</v>
      </c>
      <c r="C527" s="2" t="s">
        <v>3402</v>
      </c>
      <c r="D527" s="2" t="s">
        <v>655</v>
      </c>
      <c r="E527" s="2" t="s">
        <v>38</v>
      </c>
      <c r="G527" s="2">
        <v>509116590</v>
      </c>
      <c r="H527" s="2" t="s">
        <v>290</v>
      </c>
      <c r="I527" s="2" t="s">
        <v>656</v>
      </c>
      <c r="J527" s="2" t="s">
        <v>657</v>
      </c>
      <c r="L527" s="2" t="s">
        <v>293</v>
      </c>
      <c r="M527" s="2" t="s">
        <v>80</v>
      </c>
      <c r="P527" s="2" t="s">
        <v>72</v>
      </c>
      <c r="Q527" s="2" t="s">
        <v>73</v>
      </c>
      <c r="R527" s="2" t="s">
        <v>74</v>
      </c>
      <c r="S527" s="2">
        <v>1</v>
      </c>
      <c r="T527" s="2">
        <v>205</v>
      </c>
      <c r="U527" s="2">
        <v>47.15</v>
      </c>
      <c r="V527" s="2">
        <v>252.15</v>
      </c>
      <c r="W527" s="2">
        <v>117.453</v>
      </c>
      <c r="X527" s="5">
        <f t="shared" si="71"/>
        <v>0.42705853658536586</v>
      </c>
      <c r="Z527" s="2" t="s">
        <v>3227</v>
      </c>
      <c r="AA527" s="2" t="s">
        <v>75</v>
      </c>
      <c r="AB527" s="2" t="s">
        <v>76</v>
      </c>
      <c r="AC527" s="2" t="s">
        <v>77</v>
      </c>
      <c r="AF527" s="2">
        <f t="shared" si="72"/>
        <v>0</v>
      </c>
      <c r="AG527" s="2">
        <v>117.453</v>
      </c>
      <c r="AH527" s="2">
        <v>220</v>
      </c>
      <c r="AJ527" s="2">
        <f t="shared" si="73"/>
        <v>0</v>
      </c>
      <c r="AK527" s="2">
        <f t="shared" si="69"/>
        <v>87.546999999999997</v>
      </c>
      <c r="AL527" s="5">
        <f t="shared" si="70"/>
        <v>0.42705853658536586</v>
      </c>
    </row>
    <row r="528" spans="1:38" x14ac:dyDescent="0.2">
      <c r="A528" s="2">
        <v>2025</v>
      </c>
      <c r="B528" s="2">
        <v>2</v>
      </c>
      <c r="C528" s="2" t="s">
        <v>3402</v>
      </c>
      <c r="D528" s="2" t="s">
        <v>655</v>
      </c>
      <c r="E528" s="2" t="s">
        <v>38</v>
      </c>
      <c r="G528" s="2">
        <v>509116590</v>
      </c>
      <c r="H528" s="2" t="s">
        <v>290</v>
      </c>
      <c r="I528" s="2" t="s">
        <v>656</v>
      </c>
      <c r="J528" s="2" t="s">
        <v>657</v>
      </c>
      <c r="L528" s="2" t="s">
        <v>293</v>
      </c>
      <c r="M528" s="2" t="s">
        <v>80</v>
      </c>
      <c r="P528" s="2" t="s">
        <v>93</v>
      </c>
      <c r="Q528" s="2" t="s">
        <v>94</v>
      </c>
      <c r="R528" s="2" t="s">
        <v>95</v>
      </c>
      <c r="S528" s="2">
        <v>1</v>
      </c>
      <c r="T528" s="2">
        <v>1.1399999999999999</v>
      </c>
      <c r="U528" s="2">
        <v>0.26219999999999999</v>
      </c>
      <c r="V528" s="2">
        <v>1.4021999999999999</v>
      </c>
      <c r="W528" s="2">
        <v>1.1399999999999999</v>
      </c>
      <c r="X528" s="5">
        <f t="shared" si="71"/>
        <v>0</v>
      </c>
      <c r="Z528" s="2" t="s">
        <v>3227</v>
      </c>
      <c r="AA528" s="2" t="s">
        <v>96</v>
      </c>
      <c r="AB528" s="2" t="s">
        <v>76</v>
      </c>
      <c r="AC528" s="2" t="s">
        <v>93</v>
      </c>
      <c r="AF528" s="2">
        <f t="shared" si="72"/>
        <v>0</v>
      </c>
      <c r="AJ528" s="2">
        <f t="shared" si="73"/>
        <v>0</v>
      </c>
      <c r="AK528" s="2">
        <f t="shared" si="69"/>
        <v>0</v>
      </c>
      <c r="AL528" s="5">
        <f t="shared" si="70"/>
        <v>0</v>
      </c>
    </row>
    <row r="529" spans="1:38" x14ac:dyDescent="0.2">
      <c r="A529" s="2">
        <v>2025</v>
      </c>
      <c r="B529" s="2">
        <v>2</v>
      </c>
      <c r="D529" s="2" t="s">
        <v>660</v>
      </c>
      <c r="E529" s="2" t="s">
        <v>38</v>
      </c>
      <c r="F529" s="2" t="s">
        <v>39</v>
      </c>
      <c r="G529" s="2">
        <v>510651810</v>
      </c>
      <c r="H529" s="2" t="s">
        <v>40</v>
      </c>
      <c r="I529" s="2" t="s">
        <v>661</v>
      </c>
      <c r="J529" s="2" t="s">
        <v>662</v>
      </c>
      <c r="L529" s="2" t="s">
        <v>344</v>
      </c>
      <c r="M529" s="2" t="s">
        <v>40</v>
      </c>
      <c r="O529" s="2" t="s">
        <v>896</v>
      </c>
      <c r="P529" s="2" t="s">
        <v>72</v>
      </c>
      <c r="Q529" s="2" t="s">
        <v>301</v>
      </c>
      <c r="R529" s="2" t="s">
        <v>74</v>
      </c>
      <c r="S529" s="2">
        <v>-1</v>
      </c>
      <c r="T529" s="2">
        <v>-211.6</v>
      </c>
      <c r="U529" s="2">
        <v>-48.667999999999999</v>
      </c>
      <c r="V529" s="2">
        <v>-260.26799999999997</v>
      </c>
      <c r="W529" s="2">
        <v>121.46</v>
      </c>
      <c r="X529" s="18">
        <f>SIGN(T529)*((ABS(T529)-W529)/ABS(T529))</f>
        <v>-0.42599243856332702</v>
      </c>
      <c r="Z529" s="2" t="s">
        <v>3227</v>
      </c>
      <c r="AA529" s="2" t="s">
        <v>75</v>
      </c>
      <c r="AB529" s="2" t="s">
        <v>76</v>
      </c>
      <c r="AC529" s="2" t="s">
        <v>77</v>
      </c>
      <c r="AF529" s="2">
        <f t="shared" si="72"/>
        <v>0</v>
      </c>
      <c r="AG529" s="2">
        <v>121.46</v>
      </c>
      <c r="AH529" s="2">
        <v>210</v>
      </c>
      <c r="AJ529" s="2">
        <f t="shared" si="73"/>
        <v>0</v>
      </c>
      <c r="AK529" s="2">
        <f>T529+(W529)</f>
        <v>-90.14</v>
      </c>
      <c r="AL529" s="18">
        <f>SIGN(T529)*((ABS(T529)-W529)/ABS(T529))</f>
        <v>-0.42599243856332702</v>
      </c>
    </row>
    <row r="530" spans="1:38" x14ac:dyDescent="0.2">
      <c r="A530" s="2">
        <v>2025</v>
      </c>
      <c r="B530" s="2">
        <v>2</v>
      </c>
      <c r="D530" s="2" t="s">
        <v>660</v>
      </c>
      <c r="E530" s="2" t="s">
        <v>38</v>
      </c>
      <c r="F530" s="2" t="s">
        <v>39</v>
      </c>
      <c r="G530" s="2">
        <v>510651810</v>
      </c>
      <c r="H530" s="2" t="s">
        <v>40</v>
      </c>
      <c r="I530" s="2" t="s">
        <v>661</v>
      </c>
      <c r="J530" s="2" t="s">
        <v>662</v>
      </c>
      <c r="L530" s="2" t="s">
        <v>344</v>
      </c>
      <c r="M530" s="2" t="s">
        <v>40</v>
      </c>
      <c r="P530" s="2" t="s">
        <v>93</v>
      </c>
      <c r="Q530" s="2" t="s">
        <v>94</v>
      </c>
      <c r="R530" s="2" t="s">
        <v>95</v>
      </c>
      <c r="S530" s="2">
        <v>-1</v>
      </c>
      <c r="T530" s="2">
        <v>-1.1399999999999999</v>
      </c>
      <c r="U530" s="2">
        <v>-0.26219999999999999</v>
      </c>
      <c r="V530" s="2">
        <v>-1.4021999999999999</v>
      </c>
      <c r="W530" s="2">
        <v>1.1399999999999999</v>
      </c>
      <c r="X530" s="34">
        <f>SIGN(T530)*((ABS(T530)-W530)/ABS(T530))</f>
        <v>0</v>
      </c>
      <c r="Z530" s="2" t="s">
        <v>3227</v>
      </c>
      <c r="AA530" s="2" t="s">
        <v>96</v>
      </c>
      <c r="AB530" s="2" t="s">
        <v>76</v>
      </c>
      <c r="AC530" s="2" t="s">
        <v>93</v>
      </c>
      <c r="AF530" s="2">
        <f t="shared" si="72"/>
        <v>0</v>
      </c>
      <c r="AJ530" s="2">
        <f t="shared" si="73"/>
        <v>0</v>
      </c>
      <c r="AK530" s="2">
        <f>T530+(W530)</f>
        <v>0</v>
      </c>
      <c r="AL530" s="34">
        <f>SIGN(T530)*((ABS(T530)-W530)/ABS(T530))</f>
        <v>0</v>
      </c>
    </row>
    <row r="531" spans="1:38" x14ac:dyDescent="0.2">
      <c r="A531" s="2">
        <v>2025</v>
      </c>
      <c r="B531" s="2">
        <v>2</v>
      </c>
      <c r="D531" s="2" t="s">
        <v>921</v>
      </c>
      <c r="M531" s="2" t="s">
        <v>40</v>
      </c>
      <c r="P531" s="2" t="s">
        <v>114</v>
      </c>
      <c r="Q531" s="2" t="s">
        <v>904</v>
      </c>
      <c r="R531" s="2" t="s">
        <v>905</v>
      </c>
      <c r="S531" s="2">
        <v>1</v>
      </c>
      <c r="T531" s="2">
        <v>828.9</v>
      </c>
      <c r="U531" s="2">
        <v>190.64699999999999</v>
      </c>
      <c r="V531" s="2">
        <v>1019.547</v>
      </c>
      <c r="W531" s="2">
        <v>345.20339999999999</v>
      </c>
      <c r="X531" s="5">
        <f t="shared" ref="X531:X561" si="74">(T531-W531)/T531</f>
        <v>0.58354035468693455</v>
      </c>
      <c r="Z531" s="2" t="s">
        <v>117</v>
      </c>
      <c r="AA531" s="2" t="s">
        <v>181</v>
      </c>
      <c r="AB531" s="2" t="s">
        <v>119</v>
      </c>
      <c r="AC531" s="2" t="s">
        <v>114</v>
      </c>
      <c r="AF531" s="2">
        <f t="shared" si="72"/>
        <v>0</v>
      </c>
      <c r="AJ531" s="2">
        <f t="shared" si="73"/>
        <v>0</v>
      </c>
      <c r="AK531" s="2">
        <f t="shared" ref="AK531:AK561" si="75">T531-W531</f>
        <v>483.69659999999999</v>
      </c>
      <c r="AL531" s="5">
        <f t="shared" ref="AL531:AL561" si="76">(T531-W531)/T531</f>
        <v>0.58354035468693455</v>
      </c>
    </row>
    <row r="532" spans="1:38" x14ac:dyDescent="0.2">
      <c r="A532" s="2">
        <v>2025</v>
      </c>
      <c r="B532" s="2">
        <v>2</v>
      </c>
      <c r="D532" s="2" t="s">
        <v>922</v>
      </c>
      <c r="E532" s="2" t="s">
        <v>38</v>
      </c>
      <c r="F532" s="2" t="s">
        <v>39</v>
      </c>
      <c r="G532" s="2">
        <v>513119949</v>
      </c>
      <c r="H532" s="2" t="s">
        <v>41</v>
      </c>
      <c r="I532" s="2" t="s">
        <v>923</v>
      </c>
      <c r="J532" s="2" t="s">
        <v>924</v>
      </c>
      <c r="L532" s="2" t="s">
        <v>177</v>
      </c>
      <c r="M532" s="2" t="s">
        <v>40</v>
      </c>
      <c r="O532" s="2" t="s">
        <v>925</v>
      </c>
      <c r="P532" s="2" t="s">
        <v>114</v>
      </c>
      <c r="Q532" s="2" t="s">
        <v>926</v>
      </c>
      <c r="R532" s="2" t="s">
        <v>927</v>
      </c>
      <c r="S532" s="2">
        <v>1</v>
      </c>
      <c r="T532" s="2">
        <v>374</v>
      </c>
      <c r="U532" s="2">
        <v>86.02000000000001</v>
      </c>
      <c r="V532" s="2">
        <v>460.02</v>
      </c>
      <c r="W532" s="2">
        <f>305.4+19.25</f>
        <v>324.64999999999998</v>
      </c>
      <c r="X532" s="5">
        <f t="shared" si="74"/>
        <v>0.13195187165775407</v>
      </c>
      <c r="Z532" s="2" t="s">
        <v>117</v>
      </c>
      <c r="AA532" s="2" t="s">
        <v>578</v>
      </c>
      <c r="AB532" s="2" t="s">
        <v>119</v>
      </c>
      <c r="AC532" s="2" t="s">
        <v>114</v>
      </c>
      <c r="AF532" s="2">
        <f t="shared" si="72"/>
        <v>0</v>
      </c>
      <c r="AJ532" s="2">
        <f t="shared" si="73"/>
        <v>0</v>
      </c>
      <c r="AK532" s="2">
        <f t="shared" si="75"/>
        <v>49.350000000000023</v>
      </c>
      <c r="AL532" s="5">
        <f t="shared" si="76"/>
        <v>0.13195187165775407</v>
      </c>
    </row>
    <row r="533" spans="1:38" x14ac:dyDescent="0.2">
      <c r="A533" s="2">
        <v>2025</v>
      </c>
      <c r="B533" s="2">
        <v>2</v>
      </c>
      <c r="D533" s="2" t="s">
        <v>922</v>
      </c>
      <c r="E533" s="2" t="s">
        <v>38</v>
      </c>
      <c r="F533" s="2" t="s">
        <v>39</v>
      </c>
      <c r="G533" s="2">
        <v>513119949</v>
      </c>
      <c r="H533" s="2" t="s">
        <v>41</v>
      </c>
      <c r="I533" s="2" t="s">
        <v>923</v>
      </c>
      <c r="J533" s="2" t="s">
        <v>924</v>
      </c>
      <c r="L533" s="2" t="s">
        <v>177</v>
      </c>
      <c r="M533" s="2" t="s">
        <v>40</v>
      </c>
      <c r="O533" s="2" t="s">
        <v>925</v>
      </c>
      <c r="P533" s="2" t="s">
        <v>114</v>
      </c>
      <c r="Q533" s="2" t="s">
        <v>877</v>
      </c>
      <c r="R533" s="2" t="s">
        <v>878</v>
      </c>
      <c r="S533" s="2">
        <v>1</v>
      </c>
      <c r="T533" s="2">
        <v>773</v>
      </c>
      <c r="U533" s="2">
        <v>177.79</v>
      </c>
      <c r="V533" s="2">
        <v>950.79</v>
      </c>
      <c r="W533" s="2">
        <v>615</v>
      </c>
      <c r="X533" s="5">
        <f t="shared" si="74"/>
        <v>0.20439844760672704</v>
      </c>
      <c r="Z533" s="2" t="s">
        <v>117</v>
      </c>
      <c r="AA533" s="2" t="s">
        <v>578</v>
      </c>
      <c r="AB533" s="2" t="s">
        <v>119</v>
      </c>
      <c r="AC533" s="2" t="s">
        <v>114</v>
      </c>
      <c r="AF533" s="2">
        <f t="shared" si="72"/>
        <v>0</v>
      </c>
      <c r="AJ533" s="2">
        <f t="shared" si="73"/>
        <v>0</v>
      </c>
      <c r="AK533" s="2">
        <f t="shared" si="75"/>
        <v>158</v>
      </c>
      <c r="AL533" s="5">
        <f t="shared" si="76"/>
        <v>0.20439844760672704</v>
      </c>
    </row>
    <row r="534" spans="1:38" x14ac:dyDescent="0.2">
      <c r="A534" s="2">
        <v>2025</v>
      </c>
      <c r="B534" s="2">
        <v>2</v>
      </c>
      <c r="D534" s="2" t="s">
        <v>928</v>
      </c>
      <c r="E534" s="2" t="s">
        <v>38</v>
      </c>
      <c r="F534" s="2" t="s">
        <v>39</v>
      </c>
      <c r="G534" s="2" t="s">
        <v>929</v>
      </c>
      <c r="H534" s="2" t="s">
        <v>41</v>
      </c>
      <c r="I534" s="2" t="s">
        <v>626</v>
      </c>
      <c r="J534" s="2" t="s">
        <v>930</v>
      </c>
      <c r="L534" s="2" t="s">
        <v>626</v>
      </c>
      <c r="M534" s="2" t="s">
        <v>41</v>
      </c>
      <c r="P534" s="2" t="s">
        <v>43</v>
      </c>
      <c r="Q534" s="2" t="s">
        <v>244</v>
      </c>
      <c r="R534" s="2" t="s">
        <v>245</v>
      </c>
      <c r="S534" s="2">
        <v>1</v>
      </c>
      <c r="T534" s="2">
        <v>16.8</v>
      </c>
      <c r="V534" s="2">
        <f t="shared" ref="V534:V540" si="77">T534</f>
        <v>16.8</v>
      </c>
      <c r="W534" s="2">
        <f>9.2346*S534</f>
        <v>9.2346000000000004</v>
      </c>
      <c r="X534" s="5">
        <f t="shared" si="74"/>
        <v>0.45032142857142859</v>
      </c>
      <c r="Z534" s="2" t="s">
        <v>3227</v>
      </c>
      <c r="AA534" s="2" t="s">
        <v>46</v>
      </c>
      <c r="AB534" s="2" t="s">
        <v>56</v>
      </c>
      <c r="AC534" s="2" t="s">
        <v>57</v>
      </c>
      <c r="AF534" s="2">
        <f t="shared" si="72"/>
        <v>0</v>
      </c>
      <c r="AJ534" s="2">
        <f t="shared" si="73"/>
        <v>0</v>
      </c>
      <c r="AK534" s="2">
        <f t="shared" si="75"/>
        <v>7.5654000000000003</v>
      </c>
      <c r="AL534" s="5">
        <f t="shared" si="76"/>
        <v>0.45032142857142859</v>
      </c>
    </row>
    <row r="535" spans="1:38" x14ac:dyDescent="0.2">
      <c r="A535" s="2">
        <v>2025</v>
      </c>
      <c r="B535" s="2">
        <v>2</v>
      </c>
      <c r="D535" s="2" t="s">
        <v>928</v>
      </c>
      <c r="E535" s="2" t="s">
        <v>38</v>
      </c>
      <c r="F535" s="2" t="s">
        <v>39</v>
      </c>
      <c r="G535" s="2" t="s">
        <v>929</v>
      </c>
      <c r="H535" s="2" t="s">
        <v>41</v>
      </c>
      <c r="I535" s="2" t="s">
        <v>626</v>
      </c>
      <c r="J535" s="2" t="s">
        <v>930</v>
      </c>
      <c r="L535" s="2" t="s">
        <v>626</v>
      </c>
      <c r="M535" s="2" t="s">
        <v>41</v>
      </c>
      <c r="P535" s="2" t="s">
        <v>43</v>
      </c>
      <c r="Q535" s="2" t="s">
        <v>246</v>
      </c>
      <c r="R535" s="2" t="s">
        <v>247</v>
      </c>
      <c r="S535" s="2">
        <v>1</v>
      </c>
      <c r="T535" s="2">
        <v>19.2</v>
      </c>
      <c r="V535" s="2">
        <f t="shared" si="77"/>
        <v>19.2</v>
      </c>
      <c r="W535" s="2">
        <f>10.5267*S535</f>
        <v>10.5267</v>
      </c>
      <c r="X535" s="5">
        <f t="shared" si="74"/>
        <v>0.45173437499999997</v>
      </c>
      <c r="Z535" s="2" t="s">
        <v>3227</v>
      </c>
      <c r="AA535" s="2" t="s">
        <v>46</v>
      </c>
      <c r="AB535" s="2" t="s">
        <v>56</v>
      </c>
      <c r="AC535" s="2" t="s">
        <v>57</v>
      </c>
      <c r="AF535" s="2">
        <f t="shared" si="72"/>
        <v>0</v>
      </c>
      <c r="AJ535" s="2">
        <f t="shared" si="73"/>
        <v>0</v>
      </c>
      <c r="AK535" s="2">
        <f t="shared" si="75"/>
        <v>8.6732999999999993</v>
      </c>
      <c r="AL535" s="5">
        <f t="shared" si="76"/>
        <v>0.45173437499999997</v>
      </c>
    </row>
    <row r="536" spans="1:38" x14ac:dyDescent="0.2">
      <c r="A536" s="2">
        <v>2025</v>
      </c>
      <c r="B536" s="2">
        <v>2</v>
      </c>
      <c r="D536" s="2" t="s">
        <v>928</v>
      </c>
      <c r="E536" s="2" t="s">
        <v>38</v>
      </c>
      <c r="F536" s="2" t="s">
        <v>39</v>
      </c>
      <c r="G536" s="2" t="s">
        <v>929</v>
      </c>
      <c r="H536" s="2" t="s">
        <v>41</v>
      </c>
      <c r="I536" s="2" t="s">
        <v>626</v>
      </c>
      <c r="J536" s="2" t="s">
        <v>930</v>
      </c>
      <c r="L536" s="2" t="s">
        <v>626</v>
      </c>
      <c r="M536" s="2" t="s">
        <v>41</v>
      </c>
      <c r="P536" s="2" t="s">
        <v>43</v>
      </c>
      <c r="Q536" s="2" t="s">
        <v>61</v>
      </c>
      <c r="R536" s="2" t="s">
        <v>62</v>
      </c>
      <c r="S536" s="2">
        <v>1000</v>
      </c>
      <c r="T536" s="2">
        <v>110</v>
      </c>
      <c r="V536" s="2">
        <f t="shared" si="77"/>
        <v>110</v>
      </c>
      <c r="W536" s="2">
        <f>0.082*S536</f>
        <v>82</v>
      </c>
      <c r="X536" s="5">
        <f t="shared" si="74"/>
        <v>0.25454545454545452</v>
      </c>
      <c r="Z536" s="2" t="s">
        <v>3227</v>
      </c>
      <c r="AA536" s="2" t="s">
        <v>46</v>
      </c>
      <c r="AB536" s="2" t="s">
        <v>60</v>
      </c>
      <c r="AC536" s="2" t="s">
        <v>57</v>
      </c>
      <c r="AF536" s="2">
        <f t="shared" si="72"/>
        <v>0</v>
      </c>
      <c r="AG536" s="2">
        <v>8.1999999999999993</v>
      </c>
      <c r="AH536" s="2">
        <v>13</v>
      </c>
      <c r="AJ536" s="2">
        <f t="shared" si="73"/>
        <v>0</v>
      </c>
      <c r="AK536" s="2">
        <f t="shared" si="75"/>
        <v>28</v>
      </c>
      <c r="AL536" s="5">
        <f t="shared" si="76"/>
        <v>0.25454545454545452</v>
      </c>
    </row>
    <row r="537" spans="1:38" x14ac:dyDescent="0.2">
      <c r="A537" s="2">
        <v>2025</v>
      </c>
      <c r="B537" s="2">
        <v>2</v>
      </c>
      <c r="D537" s="2" t="s">
        <v>928</v>
      </c>
      <c r="E537" s="2" t="s">
        <v>38</v>
      </c>
      <c r="F537" s="2" t="s">
        <v>39</v>
      </c>
      <c r="G537" s="2" t="s">
        <v>929</v>
      </c>
      <c r="H537" s="2" t="s">
        <v>41</v>
      </c>
      <c r="I537" s="2" t="s">
        <v>626</v>
      </c>
      <c r="J537" s="2" t="s">
        <v>930</v>
      </c>
      <c r="L537" s="2" t="s">
        <v>626</v>
      </c>
      <c r="M537" s="2" t="s">
        <v>41</v>
      </c>
      <c r="P537" s="2" t="s">
        <v>43</v>
      </c>
      <c r="Q537" s="2" t="s">
        <v>164</v>
      </c>
      <c r="R537" s="2" t="s">
        <v>165</v>
      </c>
      <c r="S537" s="2">
        <v>1</v>
      </c>
      <c r="T537" s="2">
        <v>21</v>
      </c>
      <c r="V537" s="2">
        <f t="shared" si="77"/>
        <v>21</v>
      </c>
      <c r="W537" s="2">
        <f>7.9612*S537</f>
        <v>7.9611999999999998</v>
      </c>
      <c r="X537" s="5">
        <f t="shared" si="74"/>
        <v>0.62089523809523806</v>
      </c>
      <c r="Z537" s="2" t="s">
        <v>3227</v>
      </c>
      <c r="AA537" s="2" t="s">
        <v>46</v>
      </c>
      <c r="AB537" s="2" t="s">
        <v>67</v>
      </c>
      <c r="AC537" s="2" t="s">
        <v>57</v>
      </c>
      <c r="AF537" s="2">
        <f t="shared" si="72"/>
        <v>0</v>
      </c>
      <c r="AG537" s="2">
        <v>7.9611999999999998</v>
      </c>
      <c r="AH537" s="2">
        <v>14.4</v>
      </c>
      <c r="AJ537" s="2">
        <f t="shared" si="73"/>
        <v>0</v>
      </c>
      <c r="AK537" s="2">
        <f t="shared" si="75"/>
        <v>13.0388</v>
      </c>
      <c r="AL537" s="5">
        <f t="shared" si="76"/>
        <v>0.62089523809523806</v>
      </c>
    </row>
    <row r="538" spans="1:38" x14ac:dyDescent="0.2">
      <c r="A538" s="2">
        <v>2025</v>
      </c>
      <c r="B538" s="2">
        <v>2</v>
      </c>
      <c r="D538" s="2" t="s">
        <v>928</v>
      </c>
      <c r="E538" s="2" t="s">
        <v>38</v>
      </c>
      <c r="F538" s="2" t="s">
        <v>39</v>
      </c>
      <c r="G538" s="2" t="s">
        <v>929</v>
      </c>
      <c r="H538" s="2" t="s">
        <v>41</v>
      </c>
      <c r="I538" s="2" t="s">
        <v>626</v>
      </c>
      <c r="J538" s="2" t="s">
        <v>930</v>
      </c>
      <c r="L538" s="2" t="s">
        <v>626</v>
      </c>
      <c r="M538" s="2" t="s">
        <v>41</v>
      </c>
      <c r="P538" s="2" t="s">
        <v>43</v>
      </c>
      <c r="Q538" s="2" t="s">
        <v>65</v>
      </c>
      <c r="R538" s="2" t="s">
        <v>66</v>
      </c>
      <c r="S538" s="2">
        <v>1</v>
      </c>
      <c r="T538" s="2">
        <v>21</v>
      </c>
      <c r="V538" s="2">
        <f t="shared" si="77"/>
        <v>21</v>
      </c>
      <c r="W538" s="2">
        <f>15.0203*S538</f>
        <v>15.020300000000001</v>
      </c>
      <c r="X538" s="5">
        <f t="shared" si="74"/>
        <v>0.28474761904761903</v>
      </c>
      <c r="Z538" s="2" t="s">
        <v>3227</v>
      </c>
      <c r="AA538" s="2" t="s">
        <v>46</v>
      </c>
      <c r="AB538" s="2" t="s">
        <v>67</v>
      </c>
      <c r="AC538" s="2" t="s">
        <v>57</v>
      </c>
      <c r="AF538" s="2">
        <f t="shared" si="72"/>
        <v>0</v>
      </c>
      <c r="AG538" s="2">
        <v>15.020300000000001</v>
      </c>
      <c r="AH538" s="2">
        <v>27.6</v>
      </c>
      <c r="AJ538" s="2">
        <f t="shared" si="73"/>
        <v>0</v>
      </c>
      <c r="AK538" s="2">
        <f t="shared" si="75"/>
        <v>5.9796999999999993</v>
      </c>
      <c r="AL538" s="5">
        <f t="shared" si="76"/>
        <v>0.28474761904761903</v>
      </c>
    </row>
    <row r="539" spans="1:38" x14ac:dyDescent="0.2">
      <c r="A539" s="2">
        <v>2025</v>
      </c>
      <c r="B539" s="2">
        <v>2</v>
      </c>
      <c r="D539" s="2" t="s">
        <v>928</v>
      </c>
      <c r="E539" s="2" t="s">
        <v>38</v>
      </c>
      <c r="F539" s="2" t="s">
        <v>39</v>
      </c>
      <c r="G539" s="2" t="s">
        <v>929</v>
      </c>
      <c r="H539" s="2" t="s">
        <v>41</v>
      </c>
      <c r="I539" s="2" t="s">
        <v>626</v>
      </c>
      <c r="J539" s="2" t="s">
        <v>930</v>
      </c>
      <c r="L539" s="2" t="s">
        <v>626</v>
      </c>
      <c r="M539" s="2" t="s">
        <v>41</v>
      </c>
      <c r="P539" s="2" t="s">
        <v>84</v>
      </c>
      <c r="Q539" s="2" t="s">
        <v>931</v>
      </c>
      <c r="R539" s="2" t="s">
        <v>932</v>
      </c>
      <c r="S539" s="2">
        <v>100</v>
      </c>
      <c r="T539" s="2">
        <v>3.6</v>
      </c>
      <c r="V539" s="2">
        <f t="shared" si="77"/>
        <v>3.6</v>
      </c>
      <c r="W539" s="2">
        <f>0.0251*S539</f>
        <v>2.5100000000000002</v>
      </c>
      <c r="X539" s="5">
        <f t="shared" si="74"/>
        <v>0.30277777777777776</v>
      </c>
      <c r="Z539" s="2" t="s">
        <v>3227</v>
      </c>
      <c r="AA539" s="2" t="s">
        <v>87</v>
      </c>
      <c r="AB539" s="2" t="s">
        <v>90</v>
      </c>
      <c r="AC539" s="2" t="s">
        <v>84</v>
      </c>
      <c r="AF539" s="2">
        <f t="shared" si="72"/>
        <v>0</v>
      </c>
      <c r="AJ539" s="2">
        <f t="shared" si="73"/>
        <v>0</v>
      </c>
      <c r="AK539" s="2">
        <f t="shared" si="75"/>
        <v>1.0899999999999999</v>
      </c>
      <c r="AL539" s="5">
        <f t="shared" si="76"/>
        <v>0.30277777777777776</v>
      </c>
    </row>
    <row r="540" spans="1:38" x14ac:dyDescent="0.2">
      <c r="A540" s="2">
        <v>2025</v>
      </c>
      <c r="B540" s="2">
        <v>2</v>
      </c>
      <c r="D540" s="2" t="s">
        <v>928</v>
      </c>
      <c r="E540" s="2" t="s">
        <v>38</v>
      </c>
      <c r="F540" s="2" t="s">
        <v>39</v>
      </c>
      <c r="G540" s="2" t="s">
        <v>929</v>
      </c>
      <c r="H540" s="2" t="s">
        <v>41</v>
      </c>
      <c r="I540" s="2" t="s">
        <v>626</v>
      </c>
      <c r="J540" s="2" t="s">
        <v>930</v>
      </c>
      <c r="L540" s="2" t="s">
        <v>626</v>
      </c>
      <c r="M540" s="2" t="s">
        <v>41</v>
      </c>
      <c r="P540" s="2" t="s">
        <v>84</v>
      </c>
      <c r="Q540" s="2" t="s">
        <v>274</v>
      </c>
      <c r="R540" s="2" t="s">
        <v>275</v>
      </c>
      <c r="S540" s="2">
        <v>1</v>
      </c>
      <c r="T540" s="2">
        <v>6</v>
      </c>
      <c r="V540" s="2">
        <f t="shared" si="77"/>
        <v>6</v>
      </c>
      <c r="W540" s="2">
        <v>2.94</v>
      </c>
      <c r="X540" s="5">
        <f t="shared" si="74"/>
        <v>0.51</v>
      </c>
      <c r="Z540" s="2" t="s">
        <v>3227</v>
      </c>
      <c r="AA540" s="2" t="s">
        <v>87</v>
      </c>
      <c r="AB540" s="2" t="s">
        <v>90</v>
      </c>
      <c r="AC540" s="2" t="s">
        <v>84</v>
      </c>
      <c r="AF540" s="2">
        <f t="shared" si="72"/>
        <v>0</v>
      </c>
      <c r="AJ540" s="2">
        <f t="shared" si="73"/>
        <v>0</v>
      </c>
      <c r="AK540" s="2">
        <f t="shared" si="75"/>
        <v>3.06</v>
      </c>
      <c r="AL540" s="5">
        <f t="shared" si="76"/>
        <v>0.51</v>
      </c>
    </row>
    <row r="541" spans="1:38" x14ac:dyDescent="0.2">
      <c r="A541" s="2">
        <v>2025</v>
      </c>
      <c r="B541" s="2">
        <v>3</v>
      </c>
      <c r="D541" s="2" t="s">
        <v>933</v>
      </c>
      <c r="P541" s="2" t="s">
        <v>40</v>
      </c>
      <c r="Q541" s="2" t="s">
        <v>934</v>
      </c>
      <c r="R541" s="2" t="s">
        <v>935</v>
      </c>
      <c r="S541" s="2">
        <v>3</v>
      </c>
      <c r="T541" s="2">
        <v>129.94999999999999</v>
      </c>
      <c r="U541" s="2">
        <v>29.888500000000001</v>
      </c>
      <c r="V541" s="2">
        <v>159.83850000000001</v>
      </c>
      <c r="W541" s="2">
        <f>23.8233*S541</f>
        <v>71.469899999999996</v>
      </c>
      <c r="X541" s="5">
        <f t="shared" si="74"/>
        <v>0.4500200076952674</v>
      </c>
      <c r="Z541" s="2" t="s">
        <v>3227</v>
      </c>
      <c r="AA541" s="2" t="s">
        <v>87</v>
      </c>
      <c r="AB541" s="2" t="s">
        <v>90</v>
      </c>
      <c r="AC541" s="2" t="s">
        <v>84</v>
      </c>
      <c r="AF541" s="2">
        <f t="shared" si="72"/>
        <v>0</v>
      </c>
      <c r="AJ541" s="2">
        <f t="shared" si="73"/>
        <v>0</v>
      </c>
      <c r="AK541" s="2">
        <f t="shared" si="75"/>
        <v>58.480099999999993</v>
      </c>
      <c r="AL541" s="5">
        <f t="shared" si="76"/>
        <v>0.4500200076952674</v>
      </c>
    </row>
    <row r="542" spans="1:38" x14ac:dyDescent="0.2">
      <c r="A542" s="2">
        <v>2025</v>
      </c>
      <c r="B542" s="2">
        <v>3</v>
      </c>
      <c r="D542" s="2" t="s">
        <v>936</v>
      </c>
      <c r="E542" s="2" t="s">
        <v>38</v>
      </c>
      <c r="F542" s="2" t="s">
        <v>39</v>
      </c>
      <c r="G542" s="2">
        <v>508868726</v>
      </c>
      <c r="H542" s="2" t="s">
        <v>290</v>
      </c>
      <c r="I542" s="2" t="s">
        <v>937</v>
      </c>
      <c r="J542" s="2" t="s">
        <v>938</v>
      </c>
      <c r="K542" s="2">
        <v>964771057</v>
      </c>
      <c r="L542" s="2" t="s">
        <v>339</v>
      </c>
      <c r="M542" s="2" t="s">
        <v>80</v>
      </c>
      <c r="P542" s="2" t="s">
        <v>72</v>
      </c>
      <c r="Q542" s="2" t="s">
        <v>73</v>
      </c>
      <c r="R542" s="2" t="s">
        <v>74</v>
      </c>
      <c r="S542" s="2">
        <v>2</v>
      </c>
      <c r="T542" s="2">
        <v>420</v>
      </c>
      <c r="U542" s="2">
        <v>96.600000000000009</v>
      </c>
      <c r="V542" s="2">
        <v>516.6</v>
      </c>
      <c r="W542" s="2">
        <v>234.90600000000001</v>
      </c>
      <c r="X542" s="5">
        <f t="shared" si="74"/>
        <v>0.44069999999999998</v>
      </c>
      <c r="Z542" s="2" t="s">
        <v>3227</v>
      </c>
      <c r="AA542" s="2" t="s">
        <v>75</v>
      </c>
      <c r="AB542" s="2" t="s">
        <v>76</v>
      </c>
      <c r="AC542" s="2" t="s">
        <v>77</v>
      </c>
      <c r="AF542" s="2">
        <f t="shared" si="72"/>
        <v>0</v>
      </c>
      <c r="AG542" s="2">
        <v>117.453</v>
      </c>
      <c r="AH542" s="2">
        <v>220</v>
      </c>
      <c r="AJ542" s="2">
        <f t="shared" si="73"/>
        <v>0</v>
      </c>
      <c r="AK542" s="2">
        <f t="shared" si="75"/>
        <v>185.09399999999999</v>
      </c>
      <c r="AL542" s="5">
        <f t="shared" si="76"/>
        <v>0.44069999999999998</v>
      </c>
    </row>
    <row r="543" spans="1:38" x14ac:dyDescent="0.2">
      <c r="A543" s="2">
        <v>2025</v>
      </c>
      <c r="B543" s="2">
        <v>3</v>
      </c>
      <c r="D543" s="2" t="s">
        <v>936</v>
      </c>
      <c r="E543" s="2" t="s">
        <v>38</v>
      </c>
      <c r="F543" s="2" t="s">
        <v>39</v>
      </c>
      <c r="G543" s="2">
        <v>508868726</v>
      </c>
      <c r="H543" s="2" t="s">
        <v>290</v>
      </c>
      <c r="I543" s="2" t="s">
        <v>937</v>
      </c>
      <c r="J543" s="2" t="s">
        <v>938</v>
      </c>
      <c r="K543" s="2">
        <v>964771057</v>
      </c>
      <c r="L543" s="2" t="s">
        <v>339</v>
      </c>
      <c r="M543" s="2" t="s">
        <v>80</v>
      </c>
      <c r="P543" s="2" t="s">
        <v>93</v>
      </c>
      <c r="Q543" s="2" t="s">
        <v>94</v>
      </c>
      <c r="R543" s="2" t="s">
        <v>95</v>
      </c>
      <c r="S543" s="2">
        <v>2</v>
      </c>
      <c r="T543" s="2">
        <v>2.2799999999999998</v>
      </c>
      <c r="U543" s="2">
        <v>0.52439999999999998</v>
      </c>
      <c r="V543" s="2">
        <v>2.8043999999999998</v>
      </c>
      <c r="W543" s="2">
        <v>2.2799999999999998</v>
      </c>
      <c r="X543" s="5">
        <f t="shared" si="74"/>
        <v>0</v>
      </c>
      <c r="Z543" s="2" t="s">
        <v>3227</v>
      </c>
      <c r="AA543" s="2" t="s">
        <v>96</v>
      </c>
      <c r="AB543" s="2" t="s">
        <v>76</v>
      </c>
      <c r="AC543" s="2" t="s">
        <v>93</v>
      </c>
      <c r="AF543" s="2">
        <f t="shared" si="72"/>
        <v>0</v>
      </c>
      <c r="AJ543" s="2">
        <f t="shared" si="73"/>
        <v>0</v>
      </c>
      <c r="AK543" s="2">
        <f t="shared" si="75"/>
        <v>0</v>
      </c>
      <c r="AL543" s="5">
        <f t="shared" si="76"/>
        <v>0</v>
      </c>
    </row>
    <row r="544" spans="1:38" x14ac:dyDescent="0.2">
      <c r="A544" s="2">
        <v>2025</v>
      </c>
      <c r="B544" s="2">
        <v>3</v>
      </c>
      <c r="C544" s="2" t="s">
        <v>3473</v>
      </c>
      <c r="D544" s="2" t="s">
        <v>939</v>
      </c>
      <c r="E544" s="2" t="s">
        <v>38</v>
      </c>
      <c r="F544" s="2" t="s">
        <v>39</v>
      </c>
      <c r="L544" s="2" t="s">
        <v>99</v>
      </c>
      <c r="M544" s="2" t="s">
        <v>80</v>
      </c>
      <c r="P544" s="2" t="s">
        <v>43</v>
      </c>
      <c r="Q544" s="2" t="s">
        <v>54</v>
      </c>
      <c r="R544" s="2" t="s">
        <v>55</v>
      </c>
      <c r="S544" s="2">
        <v>1</v>
      </c>
      <c r="T544" s="2">
        <v>18</v>
      </c>
      <c r="U544" s="2">
        <v>4.1400000000000006</v>
      </c>
      <c r="V544" s="2">
        <v>22.14</v>
      </c>
      <c r="W544" s="2">
        <f>10.6*S544</f>
        <v>10.6</v>
      </c>
      <c r="X544" s="5">
        <f t="shared" si="74"/>
        <v>0.41111111111111115</v>
      </c>
      <c r="Z544" s="2" t="s">
        <v>3227</v>
      </c>
      <c r="AA544" s="2" t="s">
        <v>46</v>
      </c>
      <c r="AB544" s="2" t="s">
        <v>56</v>
      </c>
      <c r="AC544" s="2" t="s">
        <v>57</v>
      </c>
      <c r="AF544" s="2">
        <f t="shared" si="72"/>
        <v>0</v>
      </c>
      <c r="AG544" s="2">
        <v>10.6</v>
      </c>
      <c r="AH544" s="2">
        <v>18</v>
      </c>
      <c r="AJ544" s="2">
        <f t="shared" si="73"/>
        <v>0</v>
      </c>
      <c r="AK544" s="2">
        <f t="shared" si="75"/>
        <v>7.4</v>
      </c>
      <c r="AL544" s="5">
        <f t="shared" si="76"/>
        <v>0.41111111111111115</v>
      </c>
    </row>
    <row r="545" spans="1:38" x14ac:dyDescent="0.2">
      <c r="A545" s="2">
        <v>2025</v>
      </c>
      <c r="B545" s="2">
        <v>3</v>
      </c>
      <c r="D545" s="2" t="s">
        <v>940</v>
      </c>
      <c r="P545" s="2" t="s">
        <v>72</v>
      </c>
      <c r="Q545" s="2" t="s">
        <v>206</v>
      </c>
      <c r="R545" s="2" t="s">
        <v>207</v>
      </c>
      <c r="S545" s="2">
        <v>2</v>
      </c>
      <c r="T545" s="2">
        <v>912</v>
      </c>
      <c r="U545" s="2">
        <v>209.76</v>
      </c>
      <c r="V545" s="2">
        <v>1121.76</v>
      </c>
      <c r="W545" s="2">
        <f>291.59*S545</f>
        <v>583.17999999999995</v>
      </c>
      <c r="X545" s="5">
        <f t="shared" si="74"/>
        <v>0.36054824561403515</v>
      </c>
      <c r="Z545" s="2" t="s">
        <v>3227</v>
      </c>
      <c r="AA545" s="2" t="s">
        <v>75</v>
      </c>
      <c r="AB545" s="2" t="s">
        <v>76</v>
      </c>
      <c r="AC545" s="2" t="s">
        <v>77</v>
      </c>
      <c r="AF545" s="2">
        <f t="shared" si="72"/>
        <v>0</v>
      </c>
      <c r="AG545" s="2">
        <v>291.58999999999997</v>
      </c>
      <c r="AH545" s="2">
        <v>450</v>
      </c>
      <c r="AJ545" s="2">
        <f t="shared" si="73"/>
        <v>0</v>
      </c>
      <c r="AK545" s="2">
        <f t="shared" si="75"/>
        <v>328.82000000000005</v>
      </c>
      <c r="AL545" s="5">
        <f t="shared" si="76"/>
        <v>0.36054824561403515</v>
      </c>
    </row>
    <row r="546" spans="1:38" x14ac:dyDescent="0.2">
      <c r="A546" s="2">
        <v>2025</v>
      </c>
      <c r="B546" s="2">
        <v>3</v>
      </c>
      <c r="D546" s="2" t="s">
        <v>940</v>
      </c>
      <c r="P546" s="2" t="s">
        <v>93</v>
      </c>
      <c r="Q546" s="2" t="s">
        <v>94</v>
      </c>
      <c r="R546" s="2" t="s">
        <v>95</v>
      </c>
      <c r="S546" s="2">
        <v>2</v>
      </c>
      <c r="T546" s="2">
        <v>2.2799999999999998</v>
      </c>
      <c r="U546" s="2">
        <v>0.52439999999999998</v>
      </c>
      <c r="V546" s="2">
        <v>2.8043999999999998</v>
      </c>
      <c r="W546" s="2">
        <v>2.2799999999999998</v>
      </c>
      <c r="X546" s="5">
        <f t="shared" si="74"/>
        <v>0</v>
      </c>
      <c r="Z546" s="2" t="s">
        <v>3227</v>
      </c>
      <c r="AA546" s="2" t="s">
        <v>96</v>
      </c>
      <c r="AB546" s="2" t="s">
        <v>76</v>
      </c>
      <c r="AC546" s="2" t="s">
        <v>93</v>
      </c>
      <c r="AF546" s="2">
        <f t="shared" si="72"/>
        <v>0</v>
      </c>
      <c r="AJ546" s="2">
        <f t="shared" si="73"/>
        <v>0</v>
      </c>
      <c r="AK546" s="2">
        <f t="shared" si="75"/>
        <v>0</v>
      </c>
      <c r="AL546" s="5">
        <f t="shared" si="76"/>
        <v>0</v>
      </c>
    </row>
    <row r="547" spans="1:38" x14ac:dyDescent="0.2">
      <c r="A547" s="2">
        <v>2025</v>
      </c>
      <c r="B547" s="2">
        <v>3</v>
      </c>
      <c r="D547" s="2" t="s">
        <v>941</v>
      </c>
      <c r="E547" s="2" t="s">
        <v>38</v>
      </c>
      <c r="F547" s="2" t="s">
        <v>39</v>
      </c>
      <c r="L547" s="2" t="s">
        <v>177</v>
      </c>
      <c r="M547" s="2" t="s">
        <v>41</v>
      </c>
      <c r="P547" s="2" t="s">
        <v>43</v>
      </c>
      <c r="Q547" s="2" t="s">
        <v>216</v>
      </c>
      <c r="R547" s="2" t="s">
        <v>217</v>
      </c>
      <c r="S547" s="2">
        <v>1</v>
      </c>
      <c r="T547" s="2">
        <v>17.399999999999999</v>
      </c>
      <c r="U547" s="2">
        <v>4.0019999999999998</v>
      </c>
      <c r="V547" s="2">
        <v>21.402000000000001</v>
      </c>
      <c r="W547" s="2">
        <v>10.035</v>
      </c>
      <c r="X547" s="5">
        <f t="shared" si="74"/>
        <v>0.42327586206896545</v>
      </c>
      <c r="Z547" s="2" t="s">
        <v>3227</v>
      </c>
      <c r="AA547" s="2" t="s">
        <v>46</v>
      </c>
      <c r="AB547" s="2" t="s">
        <v>56</v>
      </c>
      <c r="AC547" s="2" t="s">
        <v>57</v>
      </c>
      <c r="AF547" s="2">
        <f t="shared" si="72"/>
        <v>0</v>
      </c>
      <c r="AJ547" s="2">
        <f t="shared" si="73"/>
        <v>0</v>
      </c>
      <c r="AK547" s="2">
        <f t="shared" si="75"/>
        <v>7.3649999999999984</v>
      </c>
      <c r="AL547" s="5">
        <f t="shared" si="76"/>
        <v>0.42327586206896545</v>
      </c>
    </row>
    <row r="548" spans="1:38" x14ac:dyDescent="0.2">
      <c r="A548" s="2">
        <v>2025</v>
      </c>
      <c r="B548" s="2">
        <v>3</v>
      </c>
      <c r="D548" s="2" t="s">
        <v>941</v>
      </c>
      <c r="E548" s="2" t="s">
        <v>38</v>
      </c>
      <c r="F548" s="2" t="s">
        <v>39</v>
      </c>
      <c r="L548" s="2" t="s">
        <v>177</v>
      </c>
      <c r="M548" s="2" t="s">
        <v>41</v>
      </c>
      <c r="P548" s="2" t="s">
        <v>43</v>
      </c>
      <c r="Q548" s="2" t="s">
        <v>54</v>
      </c>
      <c r="R548" s="2" t="s">
        <v>55</v>
      </c>
      <c r="S548" s="2">
        <v>2</v>
      </c>
      <c r="T548" s="2">
        <v>36</v>
      </c>
      <c r="U548" s="2">
        <v>8.2800000000000011</v>
      </c>
      <c r="V548" s="2">
        <v>44.28</v>
      </c>
      <c r="W548" s="2">
        <f>10.6*S548</f>
        <v>21.2</v>
      </c>
      <c r="X548" s="5">
        <f t="shared" si="74"/>
        <v>0.41111111111111115</v>
      </c>
      <c r="Z548" s="2" t="s">
        <v>3227</v>
      </c>
      <c r="AA548" s="2" t="s">
        <v>46</v>
      </c>
      <c r="AB548" s="2" t="s">
        <v>56</v>
      </c>
      <c r="AC548" s="2" t="s">
        <v>57</v>
      </c>
      <c r="AF548" s="2">
        <f t="shared" si="72"/>
        <v>0</v>
      </c>
      <c r="AG548" s="2">
        <v>10.6</v>
      </c>
      <c r="AH548" s="2">
        <v>18</v>
      </c>
      <c r="AJ548" s="2">
        <f t="shared" si="73"/>
        <v>0</v>
      </c>
      <c r="AK548" s="2">
        <f t="shared" si="75"/>
        <v>14.8</v>
      </c>
      <c r="AL548" s="5">
        <f t="shared" si="76"/>
        <v>0.41111111111111115</v>
      </c>
    </row>
    <row r="549" spans="1:38" x14ac:dyDescent="0.2">
      <c r="A549" s="2">
        <v>2025</v>
      </c>
      <c r="B549" s="2">
        <v>3</v>
      </c>
      <c r="D549" s="2" t="s">
        <v>941</v>
      </c>
      <c r="E549" s="2" t="s">
        <v>38</v>
      </c>
      <c r="F549" s="2" t="s">
        <v>39</v>
      </c>
      <c r="L549" s="2" t="s">
        <v>177</v>
      </c>
      <c r="M549" s="2" t="s">
        <v>41</v>
      </c>
      <c r="P549" s="2" t="s">
        <v>43</v>
      </c>
      <c r="Q549" s="2" t="s">
        <v>61</v>
      </c>
      <c r="R549" s="2" t="s">
        <v>62</v>
      </c>
      <c r="S549" s="2">
        <v>200</v>
      </c>
      <c r="T549" s="2">
        <v>26</v>
      </c>
      <c r="U549" s="2">
        <v>5.98</v>
      </c>
      <c r="V549" s="2">
        <v>31.98</v>
      </c>
      <c r="W549" s="2">
        <f>0.082*S549</f>
        <v>16.400000000000002</v>
      </c>
      <c r="X549" s="5">
        <f t="shared" si="74"/>
        <v>0.36923076923076914</v>
      </c>
      <c r="Z549" s="2" t="s">
        <v>3227</v>
      </c>
      <c r="AA549" s="2" t="s">
        <v>46</v>
      </c>
      <c r="AB549" s="2" t="s">
        <v>60</v>
      </c>
      <c r="AC549" s="2" t="s">
        <v>57</v>
      </c>
      <c r="AF549" s="2">
        <f t="shared" si="72"/>
        <v>0</v>
      </c>
      <c r="AG549" s="2">
        <v>8.1999999999999993</v>
      </c>
      <c r="AH549" s="2">
        <v>13</v>
      </c>
      <c r="AJ549" s="2">
        <f t="shared" si="73"/>
        <v>0</v>
      </c>
      <c r="AK549" s="2">
        <f t="shared" si="75"/>
        <v>9.5999999999999979</v>
      </c>
      <c r="AL549" s="5">
        <f t="shared" si="76"/>
        <v>0.36923076923076914</v>
      </c>
    </row>
    <row r="550" spans="1:38" x14ac:dyDescent="0.2">
      <c r="A550" s="2">
        <v>2025</v>
      </c>
      <c r="B550" s="2">
        <v>3</v>
      </c>
      <c r="D550" s="2" t="s">
        <v>941</v>
      </c>
      <c r="E550" s="2" t="s">
        <v>38</v>
      </c>
      <c r="F550" s="2" t="s">
        <v>39</v>
      </c>
      <c r="L550" s="2" t="s">
        <v>177</v>
      </c>
      <c r="M550" s="2" t="s">
        <v>41</v>
      </c>
      <c r="P550" s="2" t="s">
        <v>84</v>
      </c>
      <c r="Q550" s="2" t="s">
        <v>91</v>
      </c>
      <c r="R550" s="2" t="s">
        <v>92</v>
      </c>
      <c r="S550" s="2">
        <v>2</v>
      </c>
      <c r="T550" s="2">
        <v>7.2</v>
      </c>
      <c r="U550" s="2">
        <v>1.6559999999999999</v>
      </c>
      <c r="V550" s="2">
        <v>8.8559999999999999</v>
      </c>
      <c r="W550" s="2">
        <f>2.475*S550</f>
        <v>4.95</v>
      </c>
      <c r="X550" s="5">
        <f t="shared" si="74"/>
        <v>0.3125</v>
      </c>
      <c r="Z550" s="2" t="s">
        <v>3227</v>
      </c>
      <c r="AA550" s="2" t="s">
        <v>87</v>
      </c>
      <c r="AB550" s="2" t="s">
        <v>90</v>
      </c>
      <c r="AC550" s="2" t="s">
        <v>84</v>
      </c>
      <c r="AF550" s="2">
        <f t="shared" si="72"/>
        <v>0</v>
      </c>
      <c r="AJ550" s="2">
        <f t="shared" si="73"/>
        <v>0</v>
      </c>
      <c r="AK550" s="2">
        <f t="shared" si="75"/>
        <v>2.25</v>
      </c>
      <c r="AL550" s="5">
        <f t="shared" si="76"/>
        <v>0.3125</v>
      </c>
    </row>
    <row r="551" spans="1:38" x14ac:dyDescent="0.2">
      <c r="A551" s="2">
        <v>2025</v>
      </c>
      <c r="B551" s="2">
        <v>3</v>
      </c>
      <c r="D551" s="2" t="s">
        <v>942</v>
      </c>
      <c r="E551" s="2" t="s">
        <v>38</v>
      </c>
      <c r="F551" s="2" t="s">
        <v>39</v>
      </c>
      <c r="G551" s="2">
        <v>507562208</v>
      </c>
      <c r="H551" s="2" t="s">
        <v>40</v>
      </c>
      <c r="I551" s="2" t="s">
        <v>943</v>
      </c>
      <c r="J551" s="2" t="s">
        <v>944</v>
      </c>
      <c r="K551" s="2">
        <v>918832449</v>
      </c>
      <c r="L551" s="2" t="s">
        <v>344</v>
      </c>
      <c r="M551" s="2" t="s">
        <v>80</v>
      </c>
      <c r="O551" s="2" t="s">
        <v>945</v>
      </c>
      <c r="P551" s="2" t="s">
        <v>43</v>
      </c>
      <c r="Q551" s="2" t="s">
        <v>214</v>
      </c>
      <c r="R551" s="2" t="s">
        <v>215</v>
      </c>
      <c r="S551" s="2">
        <v>2</v>
      </c>
      <c r="T551" s="2">
        <v>27.6</v>
      </c>
      <c r="U551" s="2">
        <v>6.3480000000000008</v>
      </c>
      <c r="V551" s="2">
        <v>33.948</v>
      </c>
      <c r="W551" s="2">
        <f>7.915*S551</f>
        <v>15.83</v>
      </c>
      <c r="X551" s="5">
        <f t="shared" si="74"/>
        <v>0.42644927536231886</v>
      </c>
      <c r="Z551" s="2" t="s">
        <v>3227</v>
      </c>
      <c r="AA551" s="2" t="s">
        <v>46</v>
      </c>
      <c r="AB551" s="2" t="s">
        <v>56</v>
      </c>
      <c r="AC551" s="2" t="s">
        <v>57</v>
      </c>
      <c r="AF551" s="2">
        <f t="shared" si="72"/>
        <v>0</v>
      </c>
      <c r="AJ551" s="2">
        <f t="shared" si="73"/>
        <v>0</v>
      </c>
      <c r="AK551" s="2">
        <f t="shared" si="75"/>
        <v>11.770000000000001</v>
      </c>
      <c r="AL551" s="5">
        <f t="shared" si="76"/>
        <v>0.42644927536231886</v>
      </c>
    </row>
    <row r="552" spans="1:38" x14ac:dyDescent="0.2">
      <c r="A552" s="2">
        <v>2025</v>
      </c>
      <c r="B552" s="2">
        <v>3</v>
      </c>
      <c r="D552" s="2" t="s">
        <v>942</v>
      </c>
      <c r="E552" s="2" t="s">
        <v>38</v>
      </c>
      <c r="F552" s="2" t="s">
        <v>39</v>
      </c>
      <c r="G552" s="2">
        <v>507562208</v>
      </c>
      <c r="H552" s="2" t="s">
        <v>40</v>
      </c>
      <c r="I552" s="2" t="s">
        <v>943</v>
      </c>
      <c r="J552" s="2" t="s">
        <v>944</v>
      </c>
      <c r="K552" s="2">
        <v>918832449</v>
      </c>
      <c r="L552" s="2" t="s">
        <v>344</v>
      </c>
      <c r="M552" s="2" t="s">
        <v>80</v>
      </c>
      <c r="O552" s="2" t="s">
        <v>945</v>
      </c>
      <c r="P552" s="2" t="s">
        <v>43</v>
      </c>
      <c r="Q552" s="2" t="s">
        <v>216</v>
      </c>
      <c r="R552" s="2" t="s">
        <v>217</v>
      </c>
      <c r="S552" s="2">
        <v>1</v>
      </c>
      <c r="T552" s="2">
        <v>17.399999999999999</v>
      </c>
      <c r="U552" s="2">
        <v>4.0019999999999998</v>
      </c>
      <c r="V552" s="2">
        <v>21.402000000000001</v>
      </c>
      <c r="W552" s="2">
        <v>10.035</v>
      </c>
      <c r="X552" s="5">
        <f t="shared" si="74"/>
        <v>0.42327586206896545</v>
      </c>
      <c r="Z552" s="2" t="s">
        <v>3227</v>
      </c>
      <c r="AA552" s="2" t="s">
        <v>46</v>
      </c>
      <c r="AB552" s="2" t="s">
        <v>56</v>
      </c>
      <c r="AC552" s="2" t="s">
        <v>57</v>
      </c>
      <c r="AF552" s="2">
        <f t="shared" si="72"/>
        <v>0</v>
      </c>
      <c r="AJ552" s="2">
        <f t="shared" si="73"/>
        <v>0</v>
      </c>
      <c r="AK552" s="2">
        <f t="shared" si="75"/>
        <v>7.3649999999999984</v>
      </c>
      <c r="AL552" s="5">
        <f t="shared" si="76"/>
        <v>0.42327586206896545</v>
      </c>
    </row>
    <row r="553" spans="1:38" x14ac:dyDescent="0.2">
      <c r="A553" s="2">
        <v>2025</v>
      </c>
      <c r="B553" s="2">
        <v>3</v>
      </c>
      <c r="D553" s="2" t="s">
        <v>942</v>
      </c>
      <c r="E553" s="2" t="s">
        <v>38</v>
      </c>
      <c r="F553" s="2" t="s">
        <v>39</v>
      </c>
      <c r="G553" s="2">
        <v>507562208</v>
      </c>
      <c r="H553" s="2" t="s">
        <v>40</v>
      </c>
      <c r="I553" s="2" t="s">
        <v>943</v>
      </c>
      <c r="J553" s="2" t="s">
        <v>944</v>
      </c>
      <c r="K553" s="2">
        <v>918832449</v>
      </c>
      <c r="L553" s="2" t="s">
        <v>344</v>
      </c>
      <c r="M553" s="2" t="s">
        <v>80</v>
      </c>
      <c r="O553" s="2" t="s">
        <v>945</v>
      </c>
      <c r="P553" s="2" t="s">
        <v>43</v>
      </c>
      <c r="Q553" s="2" t="s">
        <v>236</v>
      </c>
      <c r="R553" s="2" t="s">
        <v>237</v>
      </c>
      <c r="S553" s="2">
        <v>1</v>
      </c>
      <c r="T553" s="2">
        <v>16.2</v>
      </c>
      <c r="U553" s="2">
        <v>3.726</v>
      </c>
      <c r="V553" s="2">
        <v>19.925999999999998</v>
      </c>
      <c r="W553" s="2">
        <f>9.075*S553</f>
        <v>9.0749999999999993</v>
      </c>
      <c r="X553" s="5">
        <f t="shared" si="74"/>
        <v>0.43981481481481483</v>
      </c>
      <c r="Z553" s="2" t="s">
        <v>3227</v>
      </c>
      <c r="AA553" s="2" t="s">
        <v>46</v>
      </c>
      <c r="AB553" s="2" t="s">
        <v>56</v>
      </c>
      <c r="AC553" s="2" t="s">
        <v>57</v>
      </c>
      <c r="AF553" s="2">
        <f t="shared" si="72"/>
        <v>0</v>
      </c>
      <c r="AJ553" s="2">
        <f t="shared" si="73"/>
        <v>0</v>
      </c>
      <c r="AK553" s="2">
        <f t="shared" si="75"/>
        <v>7.125</v>
      </c>
      <c r="AL553" s="5">
        <f t="shared" si="76"/>
        <v>0.43981481481481483</v>
      </c>
    </row>
    <row r="554" spans="1:38" x14ac:dyDescent="0.2">
      <c r="A554" s="2">
        <v>2025</v>
      </c>
      <c r="B554" s="2">
        <v>3</v>
      </c>
      <c r="D554" s="2" t="s">
        <v>942</v>
      </c>
      <c r="E554" s="2" t="s">
        <v>38</v>
      </c>
      <c r="F554" s="2" t="s">
        <v>39</v>
      </c>
      <c r="G554" s="2">
        <v>507562208</v>
      </c>
      <c r="H554" s="2" t="s">
        <v>40</v>
      </c>
      <c r="I554" s="2" t="s">
        <v>943</v>
      </c>
      <c r="J554" s="2" t="s">
        <v>944</v>
      </c>
      <c r="K554" s="2">
        <v>918832449</v>
      </c>
      <c r="L554" s="2" t="s">
        <v>344</v>
      </c>
      <c r="M554" s="2" t="s">
        <v>80</v>
      </c>
      <c r="O554" s="2" t="s">
        <v>945</v>
      </c>
      <c r="P554" s="2" t="s">
        <v>43</v>
      </c>
      <c r="Q554" s="2" t="s">
        <v>238</v>
      </c>
      <c r="R554" s="2" t="s">
        <v>239</v>
      </c>
      <c r="S554" s="2">
        <v>2</v>
      </c>
      <c r="T554" s="2">
        <v>39.6</v>
      </c>
      <c r="U554" s="2">
        <v>9.1080000000000005</v>
      </c>
      <c r="V554" s="2">
        <v>48.707999999999998</v>
      </c>
      <c r="W554" s="2">
        <f>11.045*S554</f>
        <v>22.09</v>
      </c>
      <c r="X554" s="5">
        <f t="shared" si="74"/>
        <v>0.44217171717171722</v>
      </c>
      <c r="Z554" s="2" t="s">
        <v>3227</v>
      </c>
      <c r="AA554" s="2" t="s">
        <v>46</v>
      </c>
      <c r="AB554" s="2" t="s">
        <v>56</v>
      </c>
      <c r="AC554" s="2" t="s">
        <v>57</v>
      </c>
      <c r="AF554" s="2">
        <f t="shared" si="72"/>
        <v>0</v>
      </c>
      <c r="AJ554" s="2">
        <f t="shared" si="73"/>
        <v>0</v>
      </c>
      <c r="AK554" s="2">
        <f t="shared" si="75"/>
        <v>17.510000000000002</v>
      </c>
      <c r="AL554" s="5">
        <f t="shared" si="76"/>
        <v>0.44217171717171722</v>
      </c>
    </row>
    <row r="555" spans="1:38" x14ac:dyDescent="0.2">
      <c r="A555" s="2">
        <v>2025</v>
      </c>
      <c r="B555" s="2">
        <v>3</v>
      </c>
      <c r="D555" s="2" t="s">
        <v>942</v>
      </c>
      <c r="E555" s="2" t="s">
        <v>38</v>
      </c>
      <c r="F555" s="2" t="s">
        <v>39</v>
      </c>
      <c r="G555" s="2">
        <v>507562208</v>
      </c>
      <c r="H555" s="2" t="s">
        <v>40</v>
      </c>
      <c r="I555" s="2" t="s">
        <v>943</v>
      </c>
      <c r="J555" s="2" t="s">
        <v>944</v>
      </c>
      <c r="K555" s="2">
        <v>918832449</v>
      </c>
      <c r="L555" s="2" t="s">
        <v>344</v>
      </c>
      <c r="M555" s="2" t="s">
        <v>80</v>
      </c>
      <c r="O555" s="2" t="s">
        <v>945</v>
      </c>
      <c r="P555" s="2" t="s">
        <v>43</v>
      </c>
      <c r="Q555" s="2" t="s">
        <v>61</v>
      </c>
      <c r="R555" s="2" t="s">
        <v>62</v>
      </c>
      <c r="S555" s="2">
        <v>100</v>
      </c>
      <c r="T555" s="2">
        <v>13</v>
      </c>
      <c r="U555" s="2">
        <v>2.99</v>
      </c>
      <c r="V555" s="2">
        <v>15.99</v>
      </c>
      <c r="W555" s="2">
        <f>0.082*S555</f>
        <v>8.2000000000000011</v>
      </c>
      <c r="X555" s="5">
        <f t="shared" si="74"/>
        <v>0.36923076923076914</v>
      </c>
      <c r="Z555" s="2" t="s">
        <v>3227</v>
      </c>
      <c r="AA555" s="2" t="s">
        <v>46</v>
      </c>
      <c r="AB555" s="2" t="s">
        <v>60</v>
      </c>
      <c r="AC555" s="2" t="s">
        <v>57</v>
      </c>
      <c r="AF555" s="2">
        <f t="shared" si="72"/>
        <v>0</v>
      </c>
      <c r="AG555" s="2">
        <v>8.1999999999999993</v>
      </c>
      <c r="AH555" s="2">
        <v>13</v>
      </c>
      <c r="AJ555" s="2">
        <f t="shared" si="73"/>
        <v>0</v>
      </c>
      <c r="AK555" s="2">
        <f t="shared" si="75"/>
        <v>4.7999999999999989</v>
      </c>
      <c r="AL555" s="5">
        <f t="shared" si="76"/>
        <v>0.36923076923076914</v>
      </c>
    </row>
    <row r="556" spans="1:38" x14ac:dyDescent="0.2">
      <c r="A556" s="2">
        <v>2025</v>
      </c>
      <c r="B556" s="2">
        <v>3</v>
      </c>
      <c r="D556" s="2" t="s">
        <v>942</v>
      </c>
      <c r="E556" s="2" t="s">
        <v>38</v>
      </c>
      <c r="F556" s="2" t="s">
        <v>39</v>
      </c>
      <c r="G556" s="2">
        <v>507562208</v>
      </c>
      <c r="H556" s="2" t="s">
        <v>40</v>
      </c>
      <c r="I556" s="2" t="s">
        <v>943</v>
      </c>
      <c r="J556" s="2" t="s">
        <v>944</v>
      </c>
      <c r="K556" s="2">
        <v>918832449</v>
      </c>
      <c r="L556" s="2" t="s">
        <v>344</v>
      </c>
      <c r="M556" s="2" t="s">
        <v>80</v>
      </c>
      <c r="O556" s="2" t="s">
        <v>945</v>
      </c>
      <c r="P556" s="2" t="s">
        <v>43</v>
      </c>
      <c r="Q556" s="2" t="s">
        <v>254</v>
      </c>
      <c r="R556" s="2" t="s">
        <v>255</v>
      </c>
      <c r="S556" s="2">
        <v>200</v>
      </c>
      <c r="T556" s="2">
        <v>32</v>
      </c>
      <c r="U556" s="2">
        <v>7.36</v>
      </c>
      <c r="V556" s="2">
        <v>39.36</v>
      </c>
      <c r="W556" s="2">
        <f>0.0914*S556</f>
        <v>18.279999999999998</v>
      </c>
      <c r="X556" s="5">
        <f t="shared" si="74"/>
        <v>0.42875000000000008</v>
      </c>
      <c r="Z556" s="2" t="s">
        <v>3227</v>
      </c>
      <c r="AA556" s="2" t="s">
        <v>46</v>
      </c>
      <c r="AB556" s="2" t="s">
        <v>60</v>
      </c>
      <c r="AC556" s="2" t="s">
        <v>57</v>
      </c>
      <c r="AF556" s="2">
        <f t="shared" si="72"/>
        <v>0</v>
      </c>
      <c r="AJ556" s="2">
        <f t="shared" si="73"/>
        <v>0</v>
      </c>
      <c r="AK556" s="2">
        <f t="shared" si="75"/>
        <v>13.720000000000002</v>
      </c>
      <c r="AL556" s="5">
        <f t="shared" si="76"/>
        <v>0.42875000000000008</v>
      </c>
    </row>
    <row r="557" spans="1:38" x14ac:dyDescent="0.2">
      <c r="A557" s="2">
        <v>2025</v>
      </c>
      <c r="B557" s="2">
        <v>3</v>
      </c>
      <c r="D557" s="2" t="s">
        <v>946</v>
      </c>
      <c r="E557" s="2" t="s">
        <v>38</v>
      </c>
      <c r="F557" s="2" t="s">
        <v>39</v>
      </c>
      <c r="G557" s="2">
        <v>500318263</v>
      </c>
      <c r="H557" s="2" t="s">
        <v>290</v>
      </c>
      <c r="I557" s="2" t="s">
        <v>339</v>
      </c>
      <c r="J557" s="2" t="s">
        <v>947</v>
      </c>
      <c r="L557" s="2" t="s">
        <v>339</v>
      </c>
      <c r="M557" s="2" t="s">
        <v>40</v>
      </c>
      <c r="O557" s="2" t="s">
        <v>948</v>
      </c>
      <c r="P557" s="2" t="s">
        <v>187</v>
      </c>
      <c r="Q557" s="2" t="s">
        <v>188</v>
      </c>
      <c r="R557" s="2" t="s">
        <v>189</v>
      </c>
      <c r="S557" s="2">
        <v>1</v>
      </c>
      <c r="T557" s="2">
        <v>50</v>
      </c>
      <c r="U557" s="2">
        <v>11.5</v>
      </c>
      <c r="V557" s="2">
        <v>61.5</v>
      </c>
      <c r="W557" s="2">
        <f>T557*40%</f>
        <v>20</v>
      </c>
      <c r="X557" s="5">
        <f t="shared" si="74"/>
        <v>0.6</v>
      </c>
      <c r="Z557" s="2" t="s">
        <v>117</v>
      </c>
      <c r="AA557" s="2" t="s">
        <v>190</v>
      </c>
      <c r="AB557" s="2" t="s">
        <v>189</v>
      </c>
      <c r="AC557" s="2" t="s">
        <v>40</v>
      </c>
      <c r="AF557" s="2">
        <f t="shared" si="72"/>
        <v>0</v>
      </c>
      <c r="AJ557" s="2">
        <f t="shared" si="73"/>
        <v>0</v>
      </c>
      <c r="AK557" s="2">
        <f t="shared" si="75"/>
        <v>30</v>
      </c>
      <c r="AL557" s="5">
        <f t="shared" si="76"/>
        <v>0.6</v>
      </c>
    </row>
    <row r="558" spans="1:38" x14ac:dyDescent="0.2">
      <c r="A558" s="2">
        <v>2025</v>
      </c>
      <c r="B558" s="2">
        <v>3</v>
      </c>
      <c r="D558" s="2" t="s">
        <v>946</v>
      </c>
      <c r="E558" s="2" t="s">
        <v>38</v>
      </c>
      <c r="F558" s="2" t="s">
        <v>39</v>
      </c>
      <c r="G558" s="2">
        <v>500318263</v>
      </c>
      <c r="H558" s="2" t="s">
        <v>290</v>
      </c>
      <c r="I558" s="2" t="s">
        <v>339</v>
      </c>
      <c r="J558" s="2" t="s">
        <v>947</v>
      </c>
      <c r="L558" s="2" t="s">
        <v>339</v>
      </c>
      <c r="M558" s="2" t="s">
        <v>40</v>
      </c>
      <c r="O558" s="2" t="s">
        <v>948</v>
      </c>
      <c r="P558" s="2" t="s">
        <v>187</v>
      </c>
      <c r="Q558" s="2" t="s">
        <v>191</v>
      </c>
      <c r="R558" s="2" t="s">
        <v>190</v>
      </c>
      <c r="S558" s="2">
        <v>1.5</v>
      </c>
      <c r="T558" s="2">
        <v>75</v>
      </c>
      <c r="U558" s="2">
        <v>17.25</v>
      </c>
      <c r="V558" s="2">
        <v>92.25</v>
      </c>
      <c r="W558" s="2">
        <f>T558*50%</f>
        <v>37.5</v>
      </c>
      <c r="X558" s="5">
        <f t="shared" si="74"/>
        <v>0.5</v>
      </c>
      <c r="Z558" s="2" t="s">
        <v>117</v>
      </c>
      <c r="AA558" s="2" t="s">
        <v>190</v>
      </c>
      <c r="AB558" s="2" t="s">
        <v>190</v>
      </c>
      <c r="AC558" s="2" t="s">
        <v>40</v>
      </c>
      <c r="AF558" s="2">
        <f t="shared" si="72"/>
        <v>0</v>
      </c>
      <c r="AJ558" s="2">
        <f t="shared" si="73"/>
        <v>0</v>
      </c>
      <c r="AK558" s="2">
        <f t="shared" si="75"/>
        <v>37.5</v>
      </c>
      <c r="AL558" s="5">
        <f t="shared" si="76"/>
        <v>0.5</v>
      </c>
    </row>
    <row r="559" spans="1:38" x14ac:dyDescent="0.2">
      <c r="A559" s="2">
        <v>2025</v>
      </c>
      <c r="B559" s="2">
        <v>3</v>
      </c>
      <c r="D559" s="2" t="s">
        <v>689</v>
      </c>
      <c r="E559" s="2" t="s">
        <v>108</v>
      </c>
      <c r="F559" s="2" t="s">
        <v>39</v>
      </c>
      <c r="G559" s="2">
        <v>503589950</v>
      </c>
      <c r="H559" s="2" t="s">
        <v>41</v>
      </c>
      <c r="I559" s="2" t="s">
        <v>610</v>
      </c>
      <c r="J559" s="2" t="s">
        <v>690</v>
      </c>
      <c r="K559" s="2">
        <v>913036545</v>
      </c>
      <c r="L559" s="2" t="s">
        <v>177</v>
      </c>
      <c r="M559" s="2" t="s">
        <v>41</v>
      </c>
      <c r="O559" s="2" t="s">
        <v>949</v>
      </c>
      <c r="P559" s="2" t="s">
        <v>43</v>
      </c>
      <c r="Q559" s="2" t="s">
        <v>48</v>
      </c>
      <c r="R559" s="2" t="s">
        <v>49</v>
      </c>
      <c r="S559" s="2">
        <v>1</v>
      </c>
      <c r="T559" s="2">
        <v>12</v>
      </c>
      <c r="U559" s="2">
        <v>2.76</v>
      </c>
      <c r="V559" s="2">
        <v>14.76</v>
      </c>
      <c r="W559" s="2">
        <f>6.6267*S559</f>
        <v>6.6266999999999996</v>
      </c>
      <c r="X559" s="5">
        <f t="shared" si="74"/>
        <v>0.44777500000000003</v>
      </c>
      <c r="Z559" s="2" t="s">
        <v>3227</v>
      </c>
      <c r="AA559" s="2" t="s">
        <v>46</v>
      </c>
      <c r="AB559" s="2" t="s">
        <v>47</v>
      </c>
      <c r="AC559" s="2" t="s">
        <v>57</v>
      </c>
      <c r="AF559" s="2">
        <f t="shared" si="72"/>
        <v>0</v>
      </c>
      <c r="AG559" s="2">
        <v>6.6266999999999996</v>
      </c>
      <c r="AH559" s="2">
        <v>12</v>
      </c>
      <c r="AJ559" s="2">
        <f t="shared" si="73"/>
        <v>0</v>
      </c>
      <c r="AK559" s="2">
        <f t="shared" si="75"/>
        <v>5.3733000000000004</v>
      </c>
      <c r="AL559" s="5">
        <f t="shared" si="76"/>
        <v>0.44777500000000003</v>
      </c>
    </row>
    <row r="560" spans="1:38" x14ac:dyDescent="0.2">
      <c r="A560" s="2">
        <v>2025</v>
      </c>
      <c r="B560" s="2">
        <v>3</v>
      </c>
      <c r="D560" s="2" t="s">
        <v>689</v>
      </c>
      <c r="E560" s="2" t="s">
        <v>108</v>
      </c>
      <c r="F560" s="2" t="s">
        <v>39</v>
      </c>
      <c r="G560" s="2">
        <v>503589950</v>
      </c>
      <c r="H560" s="2" t="s">
        <v>41</v>
      </c>
      <c r="I560" s="2" t="s">
        <v>610</v>
      </c>
      <c r="J560" s="2" t="s">
        <v>690</v>
      </c>
      <c r="K560" s="2">
        <v>913036545</v>
      </c>
      <c r="L560" s="2" t="s">
        <v>177</v>
      </c>
      <c r="M560" s="2" t="s">
        <v>41</v>
      </c>
      <c r="O560" s="2" t="s">
        <v>949</v>
      </c>
      <c r="P560" s="2" t="s">
        <v>84</v>
      </c>
      <c r="Q560" s="2" t="s">
        <v>274</v>
      </c>
      <c r="R560" s="2" t="s">
        <v>275</v>
      </c>
      <c r="S560" s="2">
        <v>1</v>
      </c>
      <c r="T560" s="2">
        <v>6</v>
      </c>
      <c r="U560" s="2">
        <v>1.38</v>
      </c>
      <c r="V560" s="2">
        <v>7.38</v>
      </c>
      <c r="W560" s="2">
        <v>2.94</v>
      </c>
      <c r="X560" s="5">
        <f t="shared" si="74"/>
        <v>0.51</v>
      </c>
      <c r="Z560" s="2" t="s">
        <v>3227</v>
      </c>
      <c r="AA560" s="2" t="s">
        <v>87</v>
      </c>
      <c r="AB560" s="2" t="s">
        <v>90</v>
      </c>
      <c r="AC560" s="2" t="s">
        <v>84</v>
      </c>
      <c r="AF560" s="2">
        <f t="shared" si="72"/>
        <v>0</v>
      </c>
      <c r="AJ560" s="2">
        <f t="shared" si="73"/>
        <v>0</v>
      </c>
      <c r="AK560" s="2">
        <f t="shared" si="75"/>
        <v>3.06</v>
      </c>
      <c r="AL560" s="5">
        <f t="shared" si="76"/>
        <v>0.51</v>
      </c>
    </row>
    <row r="561" spans="1:38" x14ac:dyDescent="0.2">
      <c r="A561" s="2">
        <v>2025</v>
      </c>
      <c r="B561" s="2">
        <v>3</v>
      </c>
      <c r="D561" s="2" t="s">
        <v>689</v>
      </c>
      <c r="E561" s="2" t="s">
        <v>108</v>
      </c>
      <c r="F561" s="2" t="s">
        <v>39</v>
      </c>
      <c r="G561" s="2">
        <v>503589950</v>
      </c>
      <c r="H561" s="2" t="s">
        <v>41</v>
      </c>
      <c r="I561" s="2" t="s">
        <v>610</v>
      </c>
      <c r="J561" s="2" t="s">
        <v>690</v>
      </c>
      <c r="K561" s="2">
        <v>913036545</v>
      </c>
      <c r="L561" s="2" t="s">
        <v>177</v>
      </c>
      <c r="M561" s="2" t="s">
        <v>41</v>
      </c>
      <c r="O561" s="2" t="s">
        <v>949</v>
      </c>
      <c r="P561" s="2" t="s">
        <v>84</v>
      </c>
      <c r="Q561" s="2" t="s">
        <v>276</v>
      </c>
      <c r="R561" s="2" t="s">
        <v>277</v>
      </c>
      <c r="S561" s="2">
        <v>1</v>
      </c>
      <c r="T561" s="2">
        <v>6</v>
      </c>
      <c r="U561" s="2">
        <v>1.38</v>
      </c>
      <c r="V561" s="2">
        <v>7.38</v>
      </c>
      <c r="W561" s="2">
        <v>2.5051000000000001</v>
      </c>
      <c r="X561" s="5">
        <f t="shared" si="74"/>
        <v>0.58248333333333335</v>
      </c>
      <c r="Z561" s="2" t="s">
        <v>3227</v>
      </c>
      <c r="AA561" s="2" t="s">
        <v>87</v>
      </c>
      <c r="AB561" s="2" t="s">
        <v>90</v>
      </c>
      <c r="AC561" s="2" t="s">
        <v>84</v>
      </c>
      <c r="AF561" s="2">
        <f t="shared" si="72"/>
        <v>0</v>
      </c>
      <c r="AJ561" s="2">
        <f t="shared" si="73"/>
        <v>0</v>
      </c>
      <c r="AK561" s="2">
        <f t="shared" si="75"/>
        <v>3.4948999999999999</v>
      </c>
      <c r="AL561" s="5">
        <f t="shared" si="76"/>
        <v>0.58248333333333335</v>
      </c>
    </row>
    <row r="562" spans="1:38" x14ac:dyDescent="0.2">
      <c r="A562" s="2">
        <v>2025</v>
      </c>
      <c r="B562" s="2">
        <v>3</v>
      </c>
      <c r="D562" s="2" t="s">
        <v>192</v>
      </c>
      <c r="E562" s="2" t="s">
        <v>108</v>
      </c>
      <c r="F562" s="2" t="s">
        <v>193</v>
      </c>
      <c r="G562" s="2">
        <v>502044411</v>
      </c>
      <c r="H562" s="2" t="s">
        <v>40</v>
      </c>
      <c r="I562" s="2" t="s">
        <v>156</v>
      </c>
      <c r="J562" s="2" t="s">
        <v>194</v>
      </c>
      <c r="L562" s="2" t="s">
        <v>99</v>
      </c>
      <c r="M562" s="2" t="s">
        <v>40</v>
      </c>
      <c r="O562" s="2" t="s">
        <v>950</v>
      </c>
      <c r="P562" s="2" t="s">
        <v>72</v>
      </c>
      <c r="Q562" s="2" t="s">
        <v>196</v>
      </c>
      <c r="R562" s="2" t="s">
        <v>197</v>
      </c>
      <c r="S562" s="2">
        <v>-1</v>
      </c>
      <c r="T562" s="2">
        <v>-345</v>
      </c>
      <c r="U562" s="2">
        <v>-79.350000000000009</v>
      </c>
      <c r="V562" s="2">
        <v>-424.35</v>
      </c>
      <c r="W562" s="2">
        <v>187.99</v>
      </c>
      <c r="X562" s="18">
        <f>SIGN(T562)*((ABS(T562)-W562)/ABS(T562))</f>
        <v>-0.45510144927536228</v>
      </c>
      <c r="Z562" s="2" t="s">
        <v>3227</v>
      </c>
      <c r="AA562" s="2" t="s">
        <v>75</v>
      </c>
      <c r="AB562" s="2" t="s">
        <v>76</v>
      </c>
      <c r="AC562" s="2" t="s">
        <v>77</v>
      </c>
      <c r="AF562" s="2">
        <f t="shared" si="72"/>
        <v>0</v>
      </c>
      <c r="AG562" s="2">
        <v>187.99</v>
      </c>
      <c r="AJ562" s="2">
        <f t="shared" si="73"/>
        <v>0</v>
      </c>
      <c r="AK562" s="2">
        <f>T562+(W562)</f>
        <v>-157.01</v>
      </c>
      <c r="AL562" s="18">
        <f>SIGN(T562)*((ABS(T562)-W562)/ABS(T562))</f>
        <v>-0.45510144927536228</v>
      </c>
    </row>
    <row r="563" spans="1:38" x14ac:dyDescent="0.2">
      <c r="A563" s="2">
        <v>2025</v>
      </c>
      <c r="B563" s="2">
        <v>3</v>
      </c>
      <c r="D563" s="2" t="s">
        <v>192</v>
      </c>
      <c r="E563" s="2" t="s">
        <v>108</v>
      </c>
      <c r="F563" s="2" t="s">
        <v>193</v>
      </c>
      <c r="G563" s="2">
        <v>502044411</v>
      </c>
      <c r="H563" s="2" t="s">
        <v>40</v>
      </c>
      <c r="I563" s="2" t="s">
        <v>156</v>
      </c>
      <c r="J563" s="2" t="s">
        <v>194</v>
      </c>
      <c r="L563" s="2" t="s">
        <v>99</v>
      </c>
      <c r="M563" s="2" t="s">
        <v>40</v>
      </c>
      <c r="O563" s="2" t="s">
        <v>950</v>
      </c>
      <c r="P563" s="2" t="s">
        <v>93</v>
      </c>
      <c r="Q563" s="2" t="s">
        <v>94</v>
      </c>
      <c r="R563" s="2" t="s">
        <v>95</v>
      </c>
      <c r="S563" s="2">
        <v>-1</v>
      </c>
      <c r="T563" s="2">
        <v>-1.1399999999999999</v>
      </c>
      <c r="U563" s="2">
        <v>-0.26219999999999999</v>
      </c>
      <c r="V563" s="2">
        <v>-1.4021999999999999</v>
      </c>
      <c r="W563" s="2">
        <v>1.1399999999999999</v>
      </c>
      <c r="X563" s="18">
        <f>SIGN(T563)*((ABS(T563)-W563)/ABS(T563))</f>
        <v>0</v>
      </c>
      <c r="Z563" s="2" t="s">
        <v>3227</v>
      </c>
      <c r="AA563" s="2" t="s">
        <v>96</v>
      </c>
      <c r="AB563" s="2" t="s">
        <v>76</v>
      </c>
      <c r="AC563" s="2" t="s">
        <v>93</v>
      </c>
      <c r="AF563" s="2">
        <f t="shared" si="72"/>
        <v>0</v>
      </c>
      <c r="AJ563" s="2">
        <f t="shared" si="73"/>
        <v>0</v>
      </c>
      <c r="AK563" s="2">
        <f>T563+(W563)</f>
        <v>0</v>
      </c>
      <c r="AL563" s="18">
        <f>SIGN(T563)*((ABS(T563)-W563)/ABS(T563))</f>
        <v>0</v>
      </c>
    </row>
    <row r="564" spans="1:38" x14ac:dyDescent="0.2">
      <c r="A564" s="2">
        <v>2025</v>
      </c>
      <c r="B564" s="2">
        <v>3</v>
      </c>
      <c r="D564" s="2" t="s">
        <v>289</v>
      </c>
      <c r="E564" s="2" t="s">
        <v>108</v>
      </c>
      <c r="F564" s="2" t="s">
        <v>39</v>
      </c>
      <c r="G564" s="2">
        <v>508428300</v>
      </c>
      <c r="H564" s="2" t="s">
        <v>290</v>
      </c>
      <c r="I564" s="2" t="s">
        <v>291</v>
      </c>
      <c r="J564" s="2" t="s">
        <v>292</v>
      </c>
      <c r="K564" s="2">
        <v>917165642</v>
      </c>
      <c r="L564" s="2" t="s">
        <v>293</v>
      </c>
      <c r="M564" s="2" t="s">
        <v>40</v>
      </c>
      <c r="O564" s="2" t="s">
        <v>951</v>
      </c>
      <c r="P564" s="2" t="s">
        <v>114</v>
      </c>
      <c r="Q564" s="2" t="s">
        <v>735</v>
      </c>
      <c r="R564" s="2" t="s">
        <v>736</v>
      </c>
      <c r="S564" s="2">
        <v>1</v>
      </c>
      <c r="T564" s="2">
        <v>17.37</v>
      </c>
      <c r="U564" s="2">
        <v>3.9950999999999999</v>
      </c>
      <c r="V564" s="2">
        <v>21.365100000000002</v>
      </c>
      <c r="W564" s="2">
        <v>10.38</v>
      </c>
      <c r="X564" s="5">
        <f t="shared" ref="X564:X595" si="78">(T564-W564)/T564</f>
        <v>0.4024179620034542</v>
      </c>
      <c r="Z564" s="2" t="s">
        <v>117</v>
      </c>
      <c r="AA564" s="2" t="s">
        <v>118</v>
      </c>
      <c r="AB564" s="2" t="s">
        <v>119</v>
      </c>
      <c r="AC564" s="2" t="s">
        <v>114</v>
      </c>
      <c r="AF564" s="2">
        <f t="shared" si="72"/>
        <v>0</v>
      </c>
      <c r="AG564" s="2">
        <v>10.38</v>
      </c>
      <c r="AJ564" s="2">
        <f t="shared" si="73"/>
        <v>0</v>
      </c>
      <c r="AK564" s="2">
        <f t="shared" ref="AK564:AK627" si="79">T564-W564</f>
        <v>6.99</v>
      </c>
      <c r="AL564" s="5">
        <f t="shared" ref="AL564:AL595" si="80">(T564-W564)/T564</f>
        <v>0.4024179620034542</v>
      </c>
    </row>
    <row r="565" spans="1:38" x14ac:dyDescent="0.2">
      <c r="A565" s="2">
        <v>2025</v>
      </c>
      <c r="B565" s="2">
        <v>3</v>
      </c>
      <c r="D565" s="2" t="s">
        <v>289</v>
      </c>
      <c r="E565" s="2" t="s">
        <v>108</v>
      </c>
      <c r="F565" s="2" t="s">
        <v>39</v>
      </c>
      <c r="G565" s="2">
        <v>508428300</v>
      </c>
      <c r="H565" s="2" t="s">
        <v>290</v>
      </c>
      <c r="I565" s="2" t="s">
        <v>291</v>
      </c>
      <c r="J565" s="2" t="s">
        <v>292</v>
      </c>
      <c r="K565" s="2">
        <v>917165642</v>
      </c>
      <c r="L565" s="2" t="s">
        <v>293</v>
      </c>
      <c r="M565" s="2" t="s">
        <v>40</v>
      </c>
      <c r="O565" s="2" t="s">
        <v>952</v>
      </c>
      <c r="P565" s="2" t="s">
        <v>114</v>
      </c>
      <c r="Q565" s="2" t="s">
        <v>953</v>
      </c>
      <c r="R565" s="2" t="s">
        <v>954</v>
      </c>
      <c r="S565" s="2">
        <v>1</v>
      </c>
      <c r="T565" s="2">
        <v>31.32</v>
      </c>
      <c r="U565" s="2">
        <v>7.2036000000000007</v>
      </c>
      <c r="V565" s="2">
        <v>38.523600000000002</v>
      </c>
      <c r="W565" s="2">
        <v>14.4</v>
      </c>
      <c r="X565" s="5">
        <f t="shared" si="78"/>
        <v>0.54022988505747127</v>
      </c>
      <c r="Z565" s="2" t="s">
        <v>117</v>
      </c>
      <c r="AA565" s="2" t="s">
        <v>578</v>
      </c>
      <c r="AB565" s="2" t="s">
        <v>119</v>
      </c>
      <c r="AC565" s="2" t="s">
        <v>114</v>
      </c>
      <c r="AF565" s="2">
        <f t="shared" si="72"/>
        <v>0</v>
      </c>
      <c r="AG565" s="2">
        <v>14.4</v>
      </c>
      <c r="AJ565" s="2">
        <f t="shared" si="73"/>
        <v>0</v>
      </c>
      <c r="AK565" s="2">
        <f t="shared" si="79"/>
        <v>16.920000000000002</v>
      </c>
      <c r="AL565" s="5">
        <f t="shared" si="80"/>
        <v>0.54022988505747127</v>
      </c>
    </row>
    <row r="566" spans="1:38" x14ac:dyDescent="0.2">
      <c r="A566" s="2">
        <v>2025</v>
      </c>
      <c r="B566" s="2">
        <v>3</v>
      </c>
      <c r="D566" s="2" t="s">
        <v>706</v>
      </c>
      <c r="E566" s="2" t="s">
        <v>183</v>
      </c>
      <c r="G566" s="2">
        <v>500038996</v>
      </c>
      <c r="H566" s="2" t="s">
        <v>109</v>
      </c>
      <c r="I566" s="2" t="s">
        <v>707</v>
      </c>
      <c r="J566" s="2" t="s">
        <v>708</v>
      </c>
      <c r="K566" s="2">
        <v>913640179</v>
      </c>
      <c r="L566" s="2" t="s">
        <v>133</v>
      </c>
      <c r="M566" s="2" t="s">
        <v>109</v>
      </c>
      <c r="P566" s="2" t="s">
        <v>114</v>
      </c>
      <c r="Q566" s="16" t="s">
        <v>709</v>
      </c>
      <c r="R566" s="2" t="s">
        <v>710</v>
      </c>
      <c r="S566" s="2">
        <v>2</v>
      </c>
      <c r="T566" s="2">
        <v>3200</v>
      </c>
      <c r="U566" s="2">
        <v>736</v>
      </c>
      <c r="V566" s="2">
        <v>3936</v>
      </c>
      <c r="W566" s="2">
        <f>1244.2445*2</f>
        <v>2488.489</v>
      </c>
      <c r="X566" s="5">
        <f t="shared" si="78"/>
        <v>0.22234718749999999</v>
      </c>
      <c r="Z566" s="2" t="s">
        <v>104</v>
      </c>
      <c r="AA566" s="2" t="s">
        <v>578</v>
      </c>
      <c r="AB566" s="2" t="s">
        <v>701</v>
      </c>
      <c r="AC566" s="2" t="s">
        <v>114</v>
      </c>
      <c r="AF566" s="2">
        <f t="shared" si="72"/>
        <v>0</v>
      </c>
      <c r="AJ566" s="2">
        <f t="shared" si="73"/>
        <v>0</v>
      </c>
      <c r="AK566" s="2">
        <f t="shared" si="79"/>
        <v>711.51099999999997</v>
      </c>
      <c r="AL566" s="5">
        <f t="shared" si="80"/>
        <v>0.22234718749999999</v>
      </c>
    </row>
    <row r="567" spans="1:38" x14ac:dyDescent="0.2">
      <c r="A567" s="2">
        <v>2025</v>
      </c>
      <c r="B567" s="2">
        <v>3</v>
      </c>
      <c r="D567" s="2" t="s">
        <v>706</v>
      </c>
      <c r="E567" s="2" t="s">
        <v>183</v>
      </c>
      <c r="G567" s="2">
        <v>500038996</v>
      </c>
      <c r="H567" s="2" t="s">
        <v>109</v>
      </c>
      <c r="I567" s="2" t="s">
        <v>707</v>
      </c>
      <c r="J567" s="2" t="s">
        <v>708</v>
      </c>
      <c r="K567" s="2">
        <v>913640179</v>
      </c>
      <c r="L567" s="2" t="s">
        <v>133</v>
      </c>
      <c r="M567" s="2" t="s">
        <v>109</v>
      </c>
      <c r="P567" s="2" t="s">
        <v>114</v>
      </c>
      <c r="Q567" s="2" t="s">
        <v>412</v>
      </c>
      <c r="R567" s="2" t="s">
        <v>413</v>
      </c>
      <c r="S567" s="2">
        <v>1</v>
      </c>
      <c r="T567" s="2">
        <v>14900</v>
      </c>
      <c r="U567" s="2">
        <v>3427</v>
      </c>
      <c r="V567" s="2">
        <v>18327</v>
      </c>
      <c r="W567" s="2">
        <v>10669.4</v>
      </c>
      <c r="X567" s="5">
        <f t="shared" si="78"/>
        <v>0.28393288590604027</v>
      </c>
      <c r="Z567" s="2" t="s">
        <v>104</v>
      </c>
      <c r="AA567" s="2" t="s">
        <v>414</v>
      </c>
      <c r="AB567" s="2" t="s">
        <v>151</v>
      </c>
      <c r="AC567" s="2" t="s">
        <v>114</v>
      </c>
      <c r="AF567" s="2">
        <f t="shared" si="72"/>
        <v>0</v>
      </c>
      <c r="AJ567" s="2">
        <f t="shared" si="73"/>
        <v>0</v>
      </c>
      <c r="AK567" s="2">
        <f t="shared" si="79"/>
        <v>4230.6000000000004</v>
      </c>
      <c r="AL567" s="5">
        <f t="shared" si="80"/>
        <v>0.28393288590604027</v>
      </c>
    </row>
    <row r="568" spans="1:38" x14ac:dyDescent="0.2">
      <c r="A568" s="2">
        <v>2025</v>
      </c>
      <c r="B568" s="2">
        <v>3</v>
      </c>
      <c r="D568" s="2" t="s">
        <v>706</v>
      </c>
      <c r="E568" s="2" t="s">
        <v>183</v>
      </c>
      <c r="G568" s="2">
        <v>500038996</v>
      </c>
      <c r="H568" s="2" t="s">
        <v>109</v>
      </c>
      <c r="I568" s="2" t="s">
        <v>707</v>
      </c>
      <c r="J568" s="2" t="s">
        <v>708</v>
      </c>
      <c r="K568" s="2">
        <v>913640179</v>
      </c>
      <c r="L568" s="2" t="s">
        <v>133</v>
      </c>
      <c r="M568" s="2" t="s">
        <v>109</v>
      </c>
      <c r="P568" s="2" t="s">
        <v>114</v>
      </c>
      <c r="Q568" s="2" t="s">
        <v>711</v>
      </c>
      <c r="R568" s="2" t="s">
        <v>712</v>
      </c>
      <c r="S568" s="2">
        <v>1</v>
      </c>
      <c r="T568" s="2">
        <v>5500</v>
      </c>
      <c r="U568" s="2">
        <v>1265</v>
      </c>
      <c r="V568" s="2">
        <v>6765</v>
      </c>
      <c r="W568" s="2">
        <f>3943.8+110.44</f>
        <v>4054.2400000000002</v>
      </c>
      <c r="X568" s="5">
        <f t="shared" si="78"/>
        <v>0.26286545454545451</v>
      </c>
      <c r="Z568" s="2" t="s">
        <v>104</v>
      </c>
      <c r="AA568" s="2" t="s">
        <v>616</v>
      </c>
      <c r="AB568" s="2" t="s">
        <v>3491</v>
      </c>
      <c r="AC568" s="2" t="s">
        <v>114</v>
      </c>
      <c r="AF568" s="2">
        <f t="shared" si="72"/>
        <v>0</v>
      </c>
      <c r="AJ568" s="2">
        <f t="shared" si="73"/>
        <v>0</v>
      </c>
      <c r="AK568" s="2">
        <f t="shared" si="79"/>
        <v>1445.7599999999998</v>
      </c>
      <c r="AL568" s="5">
        <f t="shared" si="80"/>
        <v>0.26286545454545451</v>
      </c>
    </row>
    <row r="569" spans="1:38" x14ac:dyDescent="0.2">
      <c r="A569" s="2">
        <v>2025</v>
      </c>
      <c r="B569" s="2">
        <v>3</v>
      </c>
      <c r="D569" s="2" t="s">
        <v>706</v>
      </c>
      <c r="E569" s="2" t="s">
        <v>183</v>
      </c>
      <c r="G569" s="2">
        <v>500038996</v>
      </c>
      <c r="H569" s="2" t="s">
        <v>109</v>
      </c>
      <c r="I569" s="2" t="s">
        <v>707</v>
      </c>
      <c r="J569" s="2" t="s">
        <v>708</v>
      </c>
      <c r="K569" s="2">
        <v>913640179</v>
      </c>
      <c r="L569" s="2" t="s">
        <v>133</v>
      </c>
      <c r="M569" s="2" t="s">
        <v>109</v>
      </c>
      <c r="P569" s="2" t="s">
        <v>114</v>
      </c>
      <c r="Q569" s="2" t="s">
        <v>955</v>
      </c>
      <c r="R569" s="2" t="s">
        <v>956</v>
      </c>
      <c r="S569" s="2">
        <v>1</v>
      </c>
      <c r="T569" s="2">
        <v>9900</v>
      </c>
      <c r="U569" s="2">
        <v>2277</v>
      </c>
      <c r="V569" s="2">
        <v>12177</v>
      </c>
      <c r="W569" s="2">
        <v>6468.73</v>
      </c>
      <c r="X569" s="5">
        <f t="shared" si="78"/>
        <v>0.34659292929292934</v>
      </c>
      <c r="Z569" s="2" t="s">
        <v>104</v>
      </c>
      <c r="AA569" s="2" t="s">
        <v>616</v>
      </c>
      <c r="AB569" s="2" t="s">
        <v>957</v>
      </c>
      <c r="AC569" s="2" t="s">
        <v>114</v>
      </c>
      <c r="AF569" s="2">
        <f t="shared" si="72"/>
        <v>0</v>
      </c>
      <c r="AG569" s="2">
        <v>6468.73</v>
      </c>
      <c r="AJ569" s="2">
        <f t="shared" si="73"/>
        <v>0</v>
      </c>
      <c r="AK569" s="2">
        <f t="shared" si="79"/>
        <v>3431.2700000000004</v>
      </c>
      <c r="AL569" s="5">
        <f t="shared" si="80"/>
        <v>0.34659292929292934</v>
      </c>
    </row>
    <row r="570" spans="1:38" x14ac:dyDescent="0.2">
      <c r="A570" s="2">
        <v>2025</v>
      </c>
      <c r="B570" s="2">
        <v>3</v>
      </c>
      <c r="D570" s="2" t="s">
        <v>706</v>
      </c>
      <c r="E570" s="2" t="s">
        <v>183</v>
      </c>
      <c r="G570" s="2">
        <v>500038996</v>
      </c>
      <c r="H570" s="2" t="s">
        <v>109</v>
      </c>
      <c r="I570" s="2" t="s">
        <v>707</v>
      </c>
      <c r="J570" s="2" t="s">
        <v>708</v>
      </c>
      <c r="K570" s="2">
        <v>913640179</v>
      </c>
      <c r="L570" s="2" t="s">
        <v>133</v>
      </c>
      <c r="M570" s="2" t="s">
        <v>109</v>
      </c>
      <c r="P570" s="2" t="s">
        <v>114</v>
      </c>
      <c r="Q570" s="2" t="s">
        <v>713</v>
      </c>
      <c r="R570" s="2" t="s">
        <v>714</v>
      </c>
      <c r="S570" s="2">
        <v>1</v>
      </c>
      <c r="T570" s="2">
        <v>3400</v>
      </c>
      <c r="U570" s="2">
        <v>782</v>
      </c>
      <c r="V570" s="2">
        <v>4182</v>
      </c>
      <c r="W570" s="2">
        <f>2511.6+70.33</f>
        <v>2581.9299999999998</v>
      </c>
      <c r="X570" s="5">
        <f t="shared" si="78"/>
        <v>0.24060882352941182</v>
      </c>
      <c r="Z570" s="2" t="s">
        <v>104</v>
      </c>
      <c r="AA570" s="2" t="s">
        <v>150</v>
      </c>
      <c r="AB570" s="2" t="s">
        <v>151</v>
      </c>
      <c r="AC570" s="2" t="s">
        <v>114</v>
      </c>
      <c r="AF570" s="2">
        <f t="shared" si="72"/>
        <v>0</v>
      </c>
      <c r="AJ570" s="2">
        <f t="shared" si="73"/>
        <v>0</v>
      </c>
      <c r="AK570" s="2">
        <f t="shared" si="79"/>
        <v>818.07000000000016</v>
      </c>
      <c r="AL570" s="5">
        <f t="shared" si="80"/>
        <v>0.24060882352941182</v>
      </c>
    </row>
    <row r="571" spans="1:38" x14ac:dyDescent="0.2">
      <c r="A571" s="2">
        <v>2025</v>
      </c>
      <c r="B571" s="2">
        <v>3</v>
      </c>
      <c r="D571" s="2" t="s">
        <v>706</v>
      </c>
      <c r="E571" s="2" t="s">
        <v>183</v>
      </c>
      <c r="G571" s="2">
        <v>500038996</v>
      </c>
      <c r="H571" s="2" t="s">
        <v>109</v>
      </c>
      <c r="I571" s="2" t="s">
        <v>707</v>
      </c>
      <c r="J571" s="2" t="s">
        <v>708</v>
      </c>
      <c r="K571" s="2">
        <v>913640179</v>
      </c>
      <c r="L571" s="2" t="s">
        <v>133</v>
      </c>
      <c r="M571" s="2" t="s">
        <v>109</v>
      </c>
      <c r="P571" s="2" t="s">
        <v>114</v>
      </c>
      <c r="Q571" s="2" t="s">
        <v>838</v>
      </c>
      <c r="R571" s="2" t="s">
        <v>839</v>
      </c>
      <c r="S571" s="2">
        <v>1</v>
      </c>
      <c r="T571" s="2">
        <v>3600</v>
      </c>
      <c r="U571" s="2">
        <v>828</v>
      </c>
      <c r="V571" s="2">
        <v>4428</v>
      </c>
      <c r="W571" s="2">
        <f>3229.76+112.87</f>
        <v>3342.63</v>
      </c>
      <c r="X571" s="5">
        <f t="shared" si="78"/>
        <v>7.1491666666666634E-2</v>
      </c>
      <c r="Z571" s="2" t="s">
        <v>104</v>
      </c>
      <c r="AA571" s="2" t="s">
        <v>150</v>
      </c>
      <c r="AB571" s="2" t="s">
        <v>151</v>
      </c>
      <c r="AC571" s="2" t="s">
        <v>114</v>
      </c>
      <c r="AF571" s="2">
        <f t="shared" si="72"/>
        <v>0</v>
      </c>
      <c r="AJ571" s="2">
        <f t="shared" si="73"/>
        <v>0</v>
      </c>
      <c r="AK571" s="2">
        <f t="shared" si="79"/>
        <v>257.36999999999989</v>
      </c>
      <c r="AL571" s="5">
        <f t="shared" si="80"/>
        <v>7.1491666666666634E-2</v>
      </c>
    </row>
    <row r="572" spans="1:38" x14ac:dyDescent="0.2">
      <c r="A572" s="2">
        <v>2025</v>
      </c>
      <c r="B572" s="2">
        <v>3</v>
      </c>
      <c r="D572" s="2" t="s">
        <v>958</v>
      </c>
      <c r="M572" s="2" t="s">
        <v>40</v>
      </c>
      <c r="P572" s="2" t="s">
        <v>114</v>
      </c>
      <c r="Q572" s="2" t="s">
        <v>904</v>
      </c>
      <c r="R572" s="2" t="s">
        <v>905</v>
      </c>
      <c r="S572" s="2">
        <v>1</v>
      </c>
      <c r="T572" s="2">
        <v>699.3</v>
      </c>
      <c r="U572" s="2">
        <v>160.839</v>
      </c>
      <c r="V572" s="2">
        <v>860.1389999999999</v>
      </c>
      <c r="W572" s="2">
        <v>345.20339999999999</v>
      </c>
      <c r="X572" s="5">
        <f t="shared" si="78"/>
        <v>0.50635864435864431</v>
      </c>
      <c r="Z572" s="2" t="s">
        <v>117</v>
      </c>
      <c r="AA572" s="2" t="s">
        <v>181</v>
      </c>
      <c r="AB572" s="2" t="s">
        <v>119</v>
      </c>
      <c r="AC572" s="2" t="s">
        <v>114</v>
      </c>
      <c r="AF572" s="2">
        <f t="shared" si="72"/>
        <v>0</v>
      </c>
      <c r="AJ572" s="2">
        <f t="shared" si="73"/>
        <v>0</v>
      </c>
      <c r="AK572" s="2">
        <f t="shared" si="79"/>
        <v>354.09659999999997</v>
      </c>
      <c r="AL572" s="5">
        <f t="shared" si="80"/>
        <v>0.50635864435864431</v>
      </c>
    </row>
    <row r="573" spans="1:38" x14ac:dyDescent="0.2">
      <c r="A573" s="2">
        <v>2025</v>
      </c>
      <c r="B573" s="2">
        <v>3</v>
      </c>
      <c r="D573" s="2" t="s">
        <v>958</v>
      </c>
      <c r="M573" s="2" t="s">
        <v>40</v>
      </c>
      <c r="P573" s="2" t="s">
        <v>187</v>
      </c>
      <c r="Q573" s="2" t="s">
        <v>188</v>
      </c>
      <c r="R573" s="2" t="s">
        <v>189</v>
      </c>
      <c r="S573" s="2">
        <v>1</v>
      </c>
      <c r="T573" s="2">
        <v>75</v>
      </c>
      <c r="U573" s="2">
        <v>17.25</v>
      </c>
      <c r="V573" s="2">
        <v>92.25</v>
      </c>
      <c r="W573" s="2">
        <f>T573*40%</f>
        <v>30</v>
      </c>
      <c r="X573" s="5">
        <f t="shared" si="78"/>
        <v>0.6</v>
      </c>
      <c r="Z573" s="2" t="s">
        <v>117</v>
      </c>
      <c r="AA573" s="2" t="s">
        <v>190</v>
      </c>
      <c r="AB573" s="2" t="s">
        <v>189</v>
      </c>
      <c r="AC573" s="2" t="s">
        <v>40</v>
      </c>
      <c r="AF573" s="2">
        <f t="shared" si="72"/>
        <v>0</v>
      </c>
      <c r="AJ573" s="2">
        <f t="shared" si="73"/>
        <v>0</v>
      </c>
      <c r="AK573" s="2">
        <f t="shared" si="79"/>
        <v>45</v>
      </c>
      <c r="AL573" s="5">
        <f t="shared" si="80"/>
        <v>0.6</v>
      </c>
    </row>
    <row r="574" spans="1:38" x14ac:dyDescent="0.2">
      <c r="A574" s="2">
        <v>2025</v>
      </c>
      <c r="B574" s="2">
        <v>3</v>
      </c>
      <c r="D574" s="2" t="s">
        <v>958</v>
      </c>
      <c r="M574" s="2" t="s">
        <v>40</v>
      </c>
      <c r="P574" s="2" t="s">
        <v>187</v>
      </c>
      <c r="Q574" s="2" t="s">
        <v>191</v>
      </c>
      <c r="R574" s="2" t="s">
        <v>190</v>
      </c>
      <c r="S574" s="2">
        <v>1</v>
      </c>
      <c r="T574" s="2">
        <v>50</v>
      </c>
      <c r="U574" s="2">
        <v>11.5</v>
      </c>
      <c r="V574" s="2">
        <v>61.5</v>
      </c>
      <c r="W574" s="2">
        <f>T574*50%</f>
        <v>25</v>
      </c>
      <c r="X574" s="5">
        <f t="shared" si="78"/>
        <v>0.5</v>
      </c>
      <c r="Z574" s="2" t="s">
        <v>117</v>
      </c>
      <c r="AA574" s="2" t="s">
        <v>190</v>
      </c>
      <c r="AB574" s="2" t="s">
        <v>190</v>
      </c>
      <c r="AC574" s="2" t="s">
        <v>40</v>
      </c>
      <c r="AF574" s="2">
        <f t="shared" si="72"/>
        <v>0</v>
      </c>
      <c r="AJ574" s="2">
        <f t="shared" si="73"/>
        <v>0</v>
      </c>
      <c r="AK574" s="2">
        <f t="shared" si="79"/>
        <v>25</v>
      </c>
      <c r="AL574" s="5">
        <f t="shared" si="80"/>
        <v>0.5</v>
      </c>
    </row>
    <row r="575" spans="1:38" x14ac:dyDescent="0.2">
      <c r="A575" s="2">
        <v>2025</v>
      </c>
      <c r="B575" s="2">
        <v>3</v>
      </c>
      <c r="D575" s="2" t="s">
        <v>297</v>
      </c>
      <c r="E575" s="2" t="s">
        <v>38</v>
      </c>
      <c r="F575" s="2" t="s">
        <v>39</v>
      </c>
      <c r="G575" s="2">
        <v>510939570</v>
      </c>
      <c r="H575" s="2" t="s">
        <v>41</v>
      </c>
      <c r="I575" s="2" t="s">
        <v>298</v>
      </c>
      <c r="J575" s="2" t="s">
        <v>299</v>
      </c>
      <c r="K575" s="2">
        <v>962678129</v>
      </c>
      <c r="L575" s="2" t="s">
        <v>177</v>
      </c>
      <c r="M575" s="2" t="s">
        <v>41</v>
      </c>
      <c r="O575" s="2" t="s">
        <v>959</v>
      </c>
      <c r="P575" s="2" t="s">
        <v>43</v>
      </c>
      <c r="Q575" s="2" t="s">
        <v>58</v>
      </c>
      <c r="R575" s="2" t="s">
        <v>59</v>
      </c>
      <c r="S575" s="2">
        <v>1000</v>
      </c>
      <c r="T575" s="2">
        <v>120</v>
      </c>
      <c r="U575" s="2">
        <v>27.6</v>
      </c>
      <c r="V575" s="2">
        <v>147.6</v>
      </c>
      <c r="W575" s="2">
        <f>0.0914*S575</f>
        <v>91.399999999999991</v>
      </c>
      <c r="X575" s="5">
        <f t="shared" si="78"/>
        <v>0.2383333333333334</v>
      </c>
      <c r="Z575" s="2" t="s">
        <v>3227</v>
      </c>
      <c r="AA575" s="2" t="s">
        <v>46</v>
      </c>
      <c r="AB575" s="2" t="s">
        <v>60</v>
      </c>
      <c r="AC575" s="2" t="s">
        <v>57</v>
      </c>
      <c r="AF575" s="2">
        <f t="shared" si="72"/>
        <v>0</v>
      </c>
      <c r="AG575" s="2">
        <v>9.14</v>
      </c>
      <c r="AH575" s="2">
        <v>16</v>
      </c>
      <c r="AJ575" s="2">
        <f t="shared" si="73"/>
        <v>0</v>
      </c>
      <c r="AK575" s="2">
        <f t="shared" si="79"/>
        <v>28.600000000000009</v>
      </c>
      <c r="AL575" s="5">
        <f t="shared" si="80"/>
        <v>0.2383333333333334</v>
      </c>
    </row>
    <row r="576" spans="1:38" x14ac:dyDescent="0.2">
      <c r="A576" s="2">
        <v>2025</v>
      </c>
      <c r="B576" s="2">
        <v>3</v>
      </c>
      <c r="D576" s="2" t="s">
        <v>960</v>
      </c>
      <c r="P576" s="2" t="s">
        <v>72</v>
      </c>
      <c r="Q576" s="2" t="s">
        <v>961</v>
      </c>
      <c r="R576" s="2" t="s">
        <v>962</v>
      </c>
      <c r="S576" s="2">
        <v>1</v>
      </c>
      <c r="T576" s="2">
        <v>445</v>
      </c>
      <c r="U576" s="2">
        <v>102.35</v>
      </c>
      <c r="V576" s="2">
        <v>547.35</v>
      </c>
      <c r="W576" s="2">
        <v>227.67</v>
      </c>
      <c r="X576" s="5">
        <f t="shared" si="78"/>
        <v>0.48838202247191015</v>
      </c>
      <c r="Z576" s="2" t="s">
        <v>3227</v>
      </c>
      <c r="AA576" s="2" t="s">
        <v>75</v>
      </c>
      <c r="AB576" s="2" t="s">
        <v>76</v>
      </c>
      <c r="AC576" s="2" t="s">
        <v>77</v>
      </c>
      <c r="AF576" s="2">
        <f t="shared" si="72"/>
        <v>0</v>
      </c>
      <c r="AJ576" s="2">
        <f t="shared" si="73"/>
        <v>0</v>
      </c>
      <c r="AK576" s="2">
        <f t="shared" si="79"/>
        <v>217.33</v>
      </c>
      <c r="AL576" s="5">
        <f t="shared" si="80"/>
        <v>0.48838202247191015</v>
      </c>
    </row>
    <row r="577" spans="1:38" x14ac:dyDescent="0.2">
      <c r="A577" s="2">
        <v>2025</v>
      </c>
      <c r="B577" s="2">
        <v>3</v>
      </c>
      <c r="D577" s="2" t="s">
        <v>960</v>
      </c>
      <c r="P577" s="2" t="s">
        <v>93</v>
      </c>
      <c r="Q577" s="2" t="s">
        <v>94</v>
      </c>
      <c r="R577" s="2" t="s">
        <v>95</v>
      </c>
      <c r="S577" s="2">
        <v>1</v>
      </c>
      <c r="T577" s="2">
        <v>1.1399999999999999</v>
      </c>
      <c r="U577" s="2">
        <v>0.26219999999999999</v>
      </c>
      <c r="V577" s="2">
        <v>1.4021999999999999</v>
      </c>
      <c r="W577" s="2">
        <v>1.1399999999999999</v>
      </c>
      <c r="X577" s="5">
        <f t="shared" si="78"/>
        <v>0</v>
      </c>
      <c r="Z577" s="2" t="s">
        <v>3227</v>
      </c>
      <c r="AA577" s="2" t="s">
        <v>96</v>
      </c>
      <c r="AB577" s="2" t="s">
        <v>76</v>
      </c>
      <c r="AC577" s="2" t="s">
        <v>93</v>
      </c>
      <c r="AF577" s="2">
        <f t="shared" si="72"/>
        <v>0</v>
      </c>
      <c r="AJ577" s="2">
        <f t="shared" si="73"/>
        <v>0</v>
      </c>
      <c r="AK577" s="2">
        <f t="shared" si="79"/>
        <v>0</v>
      </c>
      <c r="AL577" s="5">
        <f t="shared" si="80"/>
        <v>0</v>
      </c>
    </row>
    <row r="578" spans="1:38" x14ac:dyDescent="0.2">
      <c r="A578" s="2">
        <v>2025</v>
      </c>
      <c r="B578" s="2">
        <v>3</v>
      </c>
      <c r="D578" s="2" t="s">
        <v>319</v>
      </c>
      <c r="E578" s="2" t="s">
        <v>38</v>
      </c>
      <c r="F578" s="2" t="s">
        <v>39</v>
      </c>
      <c r="G578" s="2">
        <v>500883262</v>
      </c>
      <c r="H578" s="2" t="s">
        <v>40</v>
      </c>
      <c r="I578" s="2" t="s">
        <v>99</v>
      </c>
      <c r="J578" s="2" t="s">
        <v>320</v>
      </c>
      <c r="L578" s="2" t="s">
        <v>99</v>
      </c>
      <c r="M578" s="2" t="s">
        <v>80</v>
      </c>
      <c r="O578" s="2" t="s">
        <v>963</v>
      </c>
      <c r="P578" s="2" t="s">
        <v>43</v>
      </c>
      <c r="Q578" s="2" t="s">
        <v>964</v>
      </c>
      <c r="R578" s="2" t="s">
        <v>965</v>
      </c>
      <c r="S578" s="2">
        <v>10</v>
      </c>
      <c r="T578" s="2">
        <v>40</v>
      </c>
      <c r="U578" s="2">
        <v>9.2000000000000011</v>
      </c>
      <c r="V578" s="2">
        <v>49.2</v>
      </c>
      <c r="W578" s="2">
        <v>17.7</v>
      </c>
      <c r="X578" s="5">
        <f t="shared" si="78"/>
        <v>0.5575</v>
      </c>
      <c r="Z578" s="2" t="s">
        <v>3227</v>
      </c>
      <c r="AA578" s="2" t="s">
        <v>46</v>
      </c>
      <c r="AB578" s="2" t="s">
        <v>60</v>
      </c>
      <c r="AC578" s="2" t="s">
        <v>57</v>
      </c>
      <c r="AF578" s="2">
        <f t="shared" ref="AF578:AF641" si="81">AJ578</f>
        <v>0</v>
      </c>
      <c r="AG578" s="2">
        <v>1.77</v>
      </c>
      <c r="AH578" s="2">
        <v>5</v>
      </c>
      <c r="AJ578" s="2">
        <f t="shared" ref="AJ578:AJ641" si="82">AI578*T578</f>
        <v>0</v>
      </c>
      <c r="AK578" s="2">
        <f t="shared" si="79"/>
        <v>22.3</v>
      </c>
      <c r="AL578" s="5">
        <f t="shared" si="80"/>
        <v>0.5575</v>
      </c>
    </row>
    <row r="579" spans="1:38" x14ac:dyDescent="0.2">
      <c r="A579" s="2">
        <v>2025</v>
      </c>
      <c r="B579" s="2">
        <v>3</v>
      </c>
      <c r="D579" s="2" t="s">
        <v>319</v>
      </c>
      <c r="E579" s="2" t="s">
        <v>38</v>
      </c>
      <c r="F579" s="2" t="s">
        <v>39</v>
      </c>
      <c r="G579" s="2">
        <v>500883262</v>
      </c>
      <c r="H579" s="2" t="s">
        <v>40</v>
      </c>
      <c r="I579" s="2" t="s">
        <v>99</v>
      </c>
      <c r="J579" s="2" t="s">
        <v>320</v>
      </c>
      <c r="L579" s="2" t="s">
        <v>99</v>
      </c>
      <c r="M579" s="2" t="s">
        <v>80</v>
      </c>
      <c r="O579" s="2" t="s">
        <v>966</v>
      </c>
      <c r="P579" s="2" t="s">
        <v>43</v>
      </c>
      <c r="Q579" s="2" t="s">
        <v>967</v>
      </c>
      <c r="R579" s="2" t="s">
        <v>968</v>
      </c>
      <c r="S579" s="2">
        <v>6</v>
      </c>
      <c r="T579" s="2">
        <v>150</v>
      </c>
      <c r="U579" s="2">
        <v>34.5</v>
      </c>
      <c r="V579" s="2">
        <v>184.5</v>
      </c>
      <c r="W579" s="2">
        <f>18.2*S579</f>
        <v>109.19999999999999</v>
      </c>
      <c r="X579" s="5">
        <f t="shared" si="78"/>
        <v>0.27200000000000008</v>
      </c>
      <c r="Z579" s="2" t="s">
        <v>3227</v>
      </c>
      <c r="AA579" s="2" t="s">
        <v>46</v>
      </c>
      <c r="AB579" s="2" t="s">
        <v>60</v>
      </c>
      <c r="AC579" s="2" t="s">
        <v>57</v>
      </c>
      <c r="AF579" s="2">
        <f t="shared" si="81"/>
        <v>0</v>
      </c>
      <c r="AJ579" s="2">
        <f t="shared" si="82"/>
        <v>0</v>
      </c>
      <c r="AK579" s="2">
        <f t="shared" si="79"/>
        <v>40.800000000000011</v>
      </c>
      <c r="AL579" s="5">
        <f t="shared" si="80"/>
        <v>0.27200000000000008</v>
      </c>
    </row>
    <row r="580" spans="1:38" x14ac:dyDescent="0.2">
      <c r="A580" s="2">
        <v>2025</v>
      </c>
      <c r="B580" s="2">
        <v>3</v>
      </c>
      <c r="D580" s="2" t="s">
        <v>319</v>
      </c>
      <c r="E580" s="2" t="s">
        <v>38</v>
      </c>
      <c r="F580" s="2" t="s">
        <v>39</v>
      </c>
      <c r="G580" s="2">
        <v>500883262</v>
      </c>
      <c r="H580" s="2" t="s">
        <v>40</v>
      </c>
      <c r="I580" s="2" t="s">
        <v>99</v>
      </c>
      <c r="J580" s="2" t="s">
        <v>320</v>
      </c>
      <c r="L580" s="2" t="s">
        <v>99</v>
      </c>
      <c r="M580" s="2" t="s">
        <v>80</v>
      </c>
      <c r="O580" s="2" t="s">
        <v>966</v>
      </c>
      <c r="P580" s="2" t="s">
        <v>43</v>
      </c>
      <c r="Q580" s="2" t="s">
        <v>969</v>
      </c>
      <c r="R580" s="2" t="s">
        <v>970</v>
      </c>
      <c r="S580" s="2">
        <v>12</v>
      </c>
      <c r="T580" s="2">
        <v>348</v>
      </c>
      <c r="U580" s="2">
        <v>80.040000000000006</v>
      </c>
      <c r="V580" s="2">
        <v>428.04</v>
      </c>
      <c r="W580" s="2">
        <f>18.3719*S580</f>
        <v>220.46280000000002</v>
      </c>
      <c r="X580" s="5">
        <f t="shared" si="78"/>
        <v>0.3664862068965517</v>
      </c>
      <c r="Z580" s="2" t="s">
        <v>3227</v>
      </c>
      <c r="AA580" s="2" t="s">
        <v>46</v>
      </c>
      <c r="AB580" s="2" t="s">
        <v>60</v>
      </c>
      <c r="AC580" s="2" t="s">
        <v>57</v>
      </c>
      <c r="AF580" s="2">
        <f t="shared" si="81"/>
        <v>0</v>
      </c>
      <c r="AJ580" s="2">
        <f t="shared" si="82"/>
        <v>0</v>
      </c>
      <c r="AK580" s="2">
        <f t="shared" si="79"/>
        <v>127.53719999999998</v>
      </c>
      <c r="AL580" s="5">
        <f t="shared" si="80"/>
        <v>0.3664862068965517</v>
      </c>
    </row>
    <row r="581" spans="1:38" x14ac:dyDescent="0.2">
      <c r="A581" s="2">
        <v>2025</v>
      </c>
      <c r="B581" s="2">
        <v>3</v>
      </c>
      <c r="D581" s="2" t="s">
        <v>319</v>
      </c>
      <c r="E581" s="2" t="s">
        <v>38</v>
      </c>
      <c r="F581" s="2" t="s">
        <v>39</v>
      </c>
      <c r="G581" s="2">
        <v>500883262</v>
      </c>
      <c r="H581" s="2" t="s">
        <v>40</v>
      </c>
      <c r="I581" s="2" t="s">
        <v>99</v>
      </c>
      <c r="J581" s="2" t="s">
        <v>320</v>
      </c>
      <c r="L581" s="2" t="s">
        <v>99</v>
      </c>
      <c r="M581" s="2" t="s">
        <v>80</v>
      </c>
      <c r="O581" s="2" t="s">
        <v>966</v>
      </c>
      <c r="P581" s="2" t="s">
        <v>43</v>
      </c>
      <c r="Q581" s="2" t="s">
        <v>971</v>
      </c>
      <c r="R581" s="2" t="s">
        <v>972</v>
      </c>
      <c r="S581" s="2">
        <v>20</v>
      </c>
      <c r="T581" s="2">
        <v>580</v>
      </c>
      <c r="U581" s="2">
        <v>133.4</v>
      </c>
      <c r="V581" s="2">
        <v>713.4</v>
      </c>
      <c r="W581" s="2">
        <f>18.9342*S581</f>
        <v>378.68400000000003</v>
      </c>
      <c r="X581" s="5">
        <f t="shared" si="78"/>
        <v>0.34709655172413789</v>
      </c>
      <c r="Z581" s="2" t="s">
        <v>3227</v>
      </c>
      <c r="AA581" s="2" t="s">
        <v>46</v>
      </c>
      <c r="AB581" s="2" t="s">
        <v>60</v>
      </c>
      <c r="AC581" s="2" t="s">
        <v>57</v>
      </c>
      <c r="AF581" s="2">
        <f t="shared" si="81"/>
        <v>0</v>
      </c>
      <c r="AJ581" s="2">
        <f t="shared" si="82"/>
        <v>0</v>
      </c>
      <c r="AK581" s="2">
        <f t="shared" si="79"/>
        <v>201.31599999999997</v>
      </c>
      <c r="AL581" s="5">
        <f t="shared" si="80"/>
        <v>0.34709655172413789</v>
      </c>
    </row>
    <row r="582" spans="1:38" x14ac:dyDescent="0.2">
      <c r="A582" s="2">
        <v>2025</v>
      </c>
      <c r="B582" s="2">
        <v>3</v>
      </c>
      <c r="D582" s="2" t="s">
        <v>973</v>
      </c>
      <c r="M582" s="2" t="s">
        <v>40</v>
      </c>
      <c r="P582" s="2" t="s">
        <v>187</v>
      </c>
      <c r="Q582" s="2" t="s">
        <v>188</v>
      </c>
      <c r="R582" s="2" t="s">
        <v>189</v>
      </c>
      <c r="S582" s="2">
        <v>1</v>
      </c>
      <c r="T582" s="2">
        <v>50</v>
      </c>
      <c r="U582" s="2">
        <v>11.5</v>
      </c>
      <c r="V582" s="2">
        <v>61.5</v>
      </c>
      <c r="W582" s="2">
        <f>T582*40%</f>
        <v>20</v>
      </c>
      <c r="X582" s="5">
        <f t="shared" si="78"/>
        <v>0.6</v>
      </c>
      <c r="Z582" s="2" t="s">
        <v>117</v>
      </c>
      <c r="AA582" s="2" t="s">
        <v>190</v>
      </c>
      <c r="AB582" s="2" t="s">
        <v>189</v>
      </c>
      <c r="AC582" s="2" t="s">
        <v>40</v>
      </c>
      <c r="AF582" s="2">
        <f t="shared" si="81"/>
        <v>0</v>
      </c>
      <c r="AJ582" s="2">
        <f t="shared" si="82"/>
        <v>0</v>
      </c>
      <c r="AK582" s="2">
        <f t="shared" si="79"/>
        <v>30</v>
      </c>
      <c r="AL582" s="5">
        <f t="shared" si="80"/>
        <v>0.6</v>
      </c>
    </row>
    <row r="583" spans="1:38" x14ac:dyDescent="0.2">
      <c r="A583" s="2">
        <v>2025</v>
      </c>
      <c r="B583" s="2">
        <v>3</v>
      </c>
      <c r="D583" s="2" t="s">
        <v>973</v>
      </c>
      <c r="M583" s="2" t="s">
        <v>40</v>
      </c>
      <c r="P583" s="2" t="s">
        <v>187</v>
      </c>
      <c r="Q583" s="2" t="s">
        <v>191</v>
      </c>
      <c r="R583" s="2" t="s">
        <v>190</v>
      </c>
      <c r="S583" s="2">
        <v>1</v>
      </c>
      <c r="T583" s="2">
        <v>50</v>
      </c>
      <c r="U583" s="2">
        <v>11.5</v>
      </c>
      <c r="V583" s="2">
        <v>61.5</v>
      </c>
      <c r="W583" s="2">
        <f>T583*50%</f>
        <v>25</v>
      </c>
      <c r="X583" s="5">
        <f t="shared" si="78"/>
        <v>0.5</v>
      </c>
      <c r="Z583" s="2" t="s">
        <v>117</v>
      </c>
      <c r="AA583" s="2" t="s">
        <v>190</v>
      </c>
      <c r="AB583" s="2" t="s">
        <v>190</v>
      </c>
      <c r="AC583" s="2" t="s">
        <v>40</v>
      </c>
      <c r="AF583" s="2">
        <f t="shared" si="81"/>
        <v>0</v>
      </c>
      <c r="AJ583" s="2">
        <f t="shared" si="82"/>
        <v>0</v>
      </c>
      <c r="AK583" s="2">
        <f t="shared" si="79"/>
        <v>25</v>
      </c>
      <c r="AL583" s="5">
        <f t="shared" si="80"/>
        <v>0.5</v>
      </c>
    </row>
    <row r="584" spans="1:38" x14ac:dyDescent="0.2">
      <c r="A584" s="2">
        <v>2025</v>
      </c>
      <c r="B584" s="2">
        <v>3</v>
      </c>
      <c r="D584" s="2" t="s">
        <v>974</v>
      </c>
      <c r="E584" s="2" t="s">
        <v>38</v>
      </c>
      <c r="F584" s="2" t="s">
        <v>39</v>
      </c>
      <c r="G584" s="2">
        <v>515212466</v>
      </c>
      <c r="H584" s="2" t="s">
        <v>41</v>
      </c>
      <c r="I584" s="2" t="s">
        <v>975</v>
      </c>
      <c r="J584" s="2" t="s">
        <v>976</v>
      </c>
      <c r="L584" s="2" t="s">
        <v>600</v>
      </c>
      <c r="M584" s="2" t="s">
        <v>40</v>
      </c>
      <c r="O584" s="2" t="s">
        <v>977</v>
      </c>
      <c r="P584" s="2" t="s">
        <v>114</v>
      </c>
      <c r="Q584" s="2" t="s">
        <v>978</v>
      </c>
      <c r="R584" s="2" t="s">
        <v>979</v>
      </c>
      <c r="S584" s="2">
        <v>1</v>
      </c>
      <c r="T584" s="2">
        <v>76.930000000000007</v>
      </c>
      <c r="U584" s="2">
        <v>17.693899999999999</v>
      </c>
      <c r="V584" s="2">
        <v>94.623900000000006</v>
      </c>
      <c r="W584" s="2">
        <v>38.01</v>
      </c>
      <c r="X584" s="5">
        <f t="shared" si="78"/>
        <v>0.50591446769790727</v>
      </c>
      <c r="Z584" s="2" t="s">
        <v>117</v>
      </c>
      <c r="AA584" s="2" t="s">
        <v>118</v>
      </c>
      <c r="AB584" s="2" t="s">
        <v>119</v>
      </c>
      <c r="AC584" s="2" t="s">
        <v>114</v>
      </c>
      <c r="AF584" s="2">
        <f t="shared" si="81"/>
        <v>0</v>
      </c>
      <c r="AG584" s="2">
        <f>37.85+0.16</f>
        <v>38.01</v>
      </c>
      <c r="AJ584" s="2">
        <f t="shared" si="82"/>
        <v>0</v>
      </c>
      <c r="AK584" s="2">
        <f t="shared" si="79"/>
        <v>38.920000000000009</v>
      </c>
      <c r="AL584" s="5">
        <f t="shared" si="80"/>
        <v>0.50591446769790727</v>
      </c>
    </row>
    <row r="585" spans="1:38" x14ac:dyDescent="0.2">
      <c r="A585" s="2">
        <v>2025</v>
      </c>
      <c r="B585" s="2">
        <v>3</v>
      </c>
      <c r="D585" s="2" t="s">
        <v>974</v>
      </c>
      <c r="E585" s="2" t="s">
        <v>38</v>
      </c>
      <c r="F585" s="2" t="s">
        <v>39</v>
      </c>
      <c r="G585" s="2">
        <v>515212466</v>
      </c>
      <c r="H585" s="2" t="s">
        <v>41</v>
      </c>
      <c r="I585" s="2" t="s">
        <v>975</v>
      </c>
      <c r="J585" s="2" t="s">
        <v>976</v>
      </c>
      <c r="L585" s="2" t="s">
        <v>600</v>
      </c>
      <c r="M585" s="2" t="s">
        <v>40</v>
      </c>
      <c r="O585" s="2" t="s">
        <v>977</v>
      </c>
      <c r="P585" s="2" t="s">
        <v>187</v>
      </c>
      <c r="Q585" s="2" t="s">
        <v>188</v>
      </c>
      <c r="R585" s="2" t="s">
        <v>189</v>
      </c>
      <c r="S585" s="2">
        <v>1</v>
      </c>
      <c r="T585" s="2">
        <v>195</v>
      </c>
      <c r="U585" s="2">
        <v>44.85</v>
      </c>
      <c r="V585" s="2">
        <v>239.85</v>
      </c>
      <c r="W585" s="2">
        <f>T585*40%</f>
        <v>78</v>
      </c>
      <c r="X585" s="5">
        <f t="shared" si="78"/>
        <v>0.6</v>
      </c>
      <c r="Z585" s="2" t="s">
        <v>117</v>
      </c>
      <c r="AA585" s="2" t="s">
        <v>190</v>
      </c>
      <c r="AB585" s="2" t="s">
        <v>189</v>
      </c>
      <c r="AC585" s="2" t="s">
        <v>40</v>
      </c>
      <c r="AF585" s="2">
        <f t="shared" si="81"/>
        <v>0</v>
      </c>
      <c r="AJ585" s="2">
        <f t="shared" si="82"/>
        <v>0</v>
      </c>
      <c r="AK585" s="2">
        <f t="shared" si="79"/>
        <v>117</v>
      </c>
      <c r="AL585" s="5">
        <f t="shared" si="80"/>
        <v>0.6</v>
      </c>
    </row>
    <row r="586" spans="1:38" x14ac:dyDescent="0.2">
      <c r="A586" s="2">
        <v>2025</v>
      </c>
      <c r="B586" s="2">
        <v>3</v>
      </c>
      <c r="D586" s="2" t="s">
        <v>974</v>
      </c>
      <c r="E586" s="2" t="s">
        <v>38</v>
      </c>
      <c r="F586" s="2" t="s">
        <v>39</v>
      </c>
      <c r="G586" s="2">
        <v>515212466</v>
      </c>
      <c r="H586" s="2" t="s">
        <v>41</v>
      </c>
      <c r="I586" s="2" t="s">
        <v>975</v>
      </c>
      <c r="J586" s="2" t="s">
        <v>976</v>
      </c>
      <c r="L586" s="2" t="s">
        <v>600</v>
      </c>
      <c r="M586" s="2" t="s">
        <v>40</v>
      </c>
      <c r="O586" s="2" t="s">
        <v>977</v>
      </c>
      <c r="P586" s="2" t="s">
        <v>187</v>
      </c>
      <c r="Q586" s="2" t="s">
        <v>191</v>
      </c>
      <c r="R586" s="2" t="s">
        <v>190</v>
      </c>
      <c r="S586" s="2">
        <v>2</v>
      </c>
      <c r="T586" s="2">
        <v>100</v>
      </c>
      <c r="U586" s="2">
        <v>23</v>
      </c>
      <c r="V586" s="2">
        <v>123</v>
      </c>
      <c r="W586" s="2">
        <f>T586*50%</f>
        <v>50</v>
      </c>
      <c r="X586" s="5">
        <f t="shared" si="78"/>
        <v>0.5</v>
      </c>
      <c r="Z586" s="2" t="s">
        <v>117</v>
      </c>
      <c r="AA586" s="2" t="s">
        <v>190</v>
      </c>
      <c r="AB586" s="2" t="s">
        <v>190</v>
      </c>
      <c r="AC586" s="2" t="s">
        <v>40</v>
      </c>
      <c r="AF586" s="2">
        <f t="shared" si="81"/>
        <v>0</v>
      </c>
      <c r="AJ586" s="2">
        <f t="shared" si="82"/>
        <v>0</v>
      </c>
      <c r="AK586" s="2">
        <f t="shared" si="79"/>
        <v>50</v>
      </c>
      <c r="AL586" s="5">
        <f t="shared" si="80"/>
        <v>0.5</v>
      </c>
    </row>
    <row r="587" spans="1:38" x14ac:dyDescent="0.2">
      <c r="A587" s="2">
        <v>2025</v>
      </c>
      <c r="B587" s="2">
        <v>3</v>
      </c>
      <c r="D587" s="2" t="s">
        <v>332</v>
      </c>
      <c r="E587" s="2" t="s">
        <v>108</v>
      </c>
      <c r="F587" s="2" t="s">
        <v>39</v>
      </c>
      <c r="G587" s="2">
        <v>513493557</v>
      </c>
      <c r="H587" s="2" t="s">
        <v>41</v>
      </c>
      <c r="I587" s="2" t="s">
        <v>279</v>
      </c>
      <c r="J587" s="2" t="s">
        <v>333</v>
      </c>
      <c r="L587" s="2" t="s">
        <v>177</v>
      </c>
      <c r="M587" s="2" t="s">
        <v>41</v>
      </c>
      <c r="P587" s="2" t="s">
        <v>43</v>
      </c>
      <c r="Q587" s="2" t="s">
        <v>65</v>
      </c>
      <c r="R587" s="2" t="s">
        <v>66</v>
      </c>
      <c r="S587" s="2">
        <v>4</v>
      </c>
      <c r="T587" s="2">
        <v>84</v>
      </c>
      <c r="U587" s="2">
        <v>19.32</v>
      </c>
      <c r="V587" s="2">
        <v>103.32</v>
      </c>
      <c r="W587" s="2">
        <f>15.0203*S587</f>
        <v>60.081200000000003</v>
      </c>
      <c r="X587" s="5">
        <f t="shared" si="78"/>
        <v>0.28474761904761903</v>
      </c>
      <c r="Z587" s="2" t="s">
        <v>3227</v>
      </c>
      <c r="AA587" s="2" t="s">
        <v>46</v>
      </c>
      <c r="AB587" s="2" t="s">
        <v>67</v>
      </c>
      <c r="AC587" s="2" t="s">
        <v>57</v>
      </c>
      <c r="AF587" s="2">
        <f t="shared" si="81"/>
        <v>0</v>
      </c>
      <c r="AG587" s="2">
        <v>15.020300000000001</v>
      </c>
      <c r="AH587" s="2">
        <v>27.6</v>
      </c>
      <c r="AJ587" s="2">
        <f t="shared" si="82"/>
        <v>0</v>
      </c>
      <c r="AK587" s="2">
        <f t="shared" si="79"/>
        <v>23.918799999999997</v>
      </c>
      <c r="AL587" s="5">
        <f t="shared" si="80"/>
        <v>0.28474761904761903</v>
      </c>
    </row>
    <row r="588" spans="1:38" x14ac:dyDescent="0.2">
      <c r="A588" s="2">
        <v>2025</v>
      </c>
      <c r="B588" s="2">
        <v>3</v>
      </c>
      <c r="D588" s="2" t="s">
        <v>980</v>
      </c>
      <c r="E588" s="2" t="s">
        <v>38</v>
      </c>
      <c r="F588" s="2" t="s">
        <v>39</v>
      </c>
      <c r="L588" s="2" t="s">
        <v>418</v>
      </c>
      <c r="M588" s="2" t="s">
        <v>41</v>
      </c>
      <c r="P588" s="2" t="s">
        <v>43</v>
      </c>
      <c r="Q588" s="2" t="s">
        <v>48</v>
      </c>
      <c r="R588" s="2" t="s">
        <v>49</v>
      </c>
      <c r="S588" s="2">
        <v>2</v>
      </c>
      <c r="T588" s="2">
        <v>24</v>
      </c>
      <c r="U588" s="2">
        <v>5.52</v>
      </c>
      <c r="V588" s="2">
        <v>29.52</v>
      </c>
      <c r="W588" s="2">
        <f>6.6267*S588</f>
        <v>13.253399999999999</v>
      </c>
      <c r="X588" s="5">
        <f t="shared" si="78"/>
        <v>0.44777500000000003</v>
      </c>
      <c r="Z588" s="2" t="s">
        <v>3227</v>
      </c>
      <c r="AA588" s="2" t="s">
        <v>46</v>
      </c>
      <c r="AB588" s="2" t="s">
        <v>47</v>
      </c>
      <c r="AC588" s="2" t="s">
        <v>57</v>
      </c>
      <c r="AF588" s="2">
        <f t="shared" si="81"/>
        <v>0</v>
      </c>
      <c r="AG588" s="2">
        <v>6.6266999999999996</v>
      </c>
      <c r="AH588" s="2">
        <v>12</v>
      </c>
      <c r="AJ588" s="2">
        <f t="shared" si="82"/>
        <v>0</v>
      </c>
      <c r="AK588" s="2">
        <f t="shared" si="79"/>
        <v>10.746600000000001</v>
      </c>
      <c r="AL588" s="5">
        <f t="shared" si="80"/>
        <v>0.44777500000000003</v>
      </c>
    </row>
    <row r="589" spans="1:38" x14ac:dyDescent="0.2">
      <c r="A589" s="2">
        <v>2025</v>
      </c>
      <c r="B589" s="2">
        <v>3</v>
      </c>
      <c r="D589" s="2" t="s">
        <v>980</v>
      </c>
      <c r="E589" s="2" t="s">
        <v>38</v>
      </c>
      <c r="F589" s="2" t="s">
        <v>39</v>
      </c>
      <c r="L589" s="2" t="s">
        <v>418</v>
      </c>
      <c r="M589" s="2" t="s">
        <v>41</v>
      </c>
      <c r="P589" s="2" t="s">
        <v>43</v>
      </c>
      <c r="Q589" s="2" t="s">
        <v>58</v>
      </c>
      <c r="R589" s="2" t="s">
        <v>59</v>
      </c>
      <c r="S589" s="2">
        <v>100</v>
      </c>
      <c r="T589" s="2">
        <v>13</v>
      </c>
      <c r="U589" s="2">
        <v>2.99</v>
      </c>
      <c r="V589" s="2">
        <v>15.99</v>
      </c>
      <c r="W589" s="2">
        <f>0.0914*S589</f>
        <v>9.1399999999999988</v>
      </c>
      <c r="X589" s="5">
        <f t="shared" si="78"/>
        <v>0.29692307692307701</v>
      </c>
      <c r="Z589" s="2" t="s">
        <v>3227</v>
      </c>
      <c r="AA589" s="2" t="s">
        <v>46</v>
      </c>
      <c r="AB589" s="2" t="s">
        <v>60</v>
      </c>
      <c r="AC589" s="2" t="s">
        <v>57</v>
      </c>
      <c r="AF589" s="2">
        <f t="shared" si="81"/>
        <v>0</v>
      </c>
      <c r="AG589" s="2">
        <v>9.14</v>
      </c>
      <c r="AH589" s="2">
        <v>16</v>
      </c>
      <c r="AJ589" s="2">
        <f t="shared" si="82"/>
        <v>0</v>
      </c>
      <c r="AK589" s="2">
        <f t="shared" si="79"/>
        <v>3.8600000000000012</v>
      </c>
      <c r="AL589" s="5">
        <f t="shared" si="80"/>
        <v>0.29692307692307701</v>
      </c>
    </row>
    <row r="590" spans="1:38" x14ac:dyDescent="0.2">
      <c r="A590" s="2">
        <v>2025</v>
      </c>
      <c r="B590" s="2">
        <v>3</v>
      </c>
      <c r="D590" s="2" t="s">
        <v>980</v>
      </c>
      <c r="P590" s="2" t="s">
        <v>84</v>
      </c>
      <c r="Q590" s="2" t="s">
        <v>270</v>
      </c>
      <c r="R590" s="2" t="s">
        <v>271</v>
      </c>
      <c r="S590" s="2">
        <v>1</v>
      </c>
      <c r="T590" s="2">
        <v>11.9</v>
      </c>
      <c r="U590" s="2">
        <v>2.7370000000000001</v>
      </c>
      <c r="V590" s="2">
        <v>14.637</v>
      </c>
      <c r="W590" s="2">
        <v>6.86</v>
      </c>
      <c r="X590" s="5">
        <f t="shared" si="78"/>
        <v>0.42352941176470588</v>
      </c>
      <c r="Z590" s="2" t="s">
        <v>3227</v>
      </c>
      <c r="AA590" s="2" t="s">
        <v>87</v>
      </c>
      <c r="AB590" s="2" t="s">
        <v>90</v>
      </c>
      <c r="AC590" s="2" t="s">
        <v>84</v>
      </c>
      <c r="AF590" s="2">
        <f t="shared" si="81"/>
        <v>0</v>
      </c>
      <c r="AJ590" s="2">
        <f t="shared" si="82"/>
        <v>0</v>
      </c>
      <c r="AK590" s="2">
        <f t="shared" si="79"/>
        <v>5.04</v>
      </c>
      <c r="AL590" s="5">
        <f t="shared" si="80"/>
        <v>0.42352941176470588</v>
      </c>
    </row>
    <row r="591" spans="1:38" x14ac:dyDescent="0.2">
      <c r="A591" s="2">
        <v>2025</v>
      </c>
      <c r="B591" s="2">
        <v>3</v>
      </c>
      <c r="D591" s="2" t="s">
        <v>981</v>
      </c>
      <c r="E591" s="2" t="s">
        <v>108</v>
      </c>
      <c r="F591" s="2" t="s">
        <v>717</v>
      </c>
      <c r="G591" s="2">
        <v>500594309</v>
      </c>
      <c r="H591" s="2" t="s">
        <v>290</v>
      </c>
      <c r="I591" s="2" t="s">
        <v>982</v>
      </c>
      <c r="J591" s="2" t="s">
        <v>983</v>
      </c>
      <c r="L591" s="2" t="s">
        <v>293</v>
      </c>
      <c r="M591" s="2" t="s">
        <v>80</v>
      </c>
      <c r="O591" s="2" t="s">
        <v>984</v>
      </c>
      <c r="P591" s="2" t="s">
        <v>72</v>
      </c>
      <c r="Q591" s="2" t="s">
        <v>73</v>
      </c>
      <c r="R591" s="2" t="s">
        <v>74</v>
      </c>
      <c r="S591" s="2">
        <v>1</v>
      </c>
      <c r="T591" s="2">
        <v>210</v>
      </c>
      <c r="U591" s="2">
        <v>48.3</v>
      </c>
      <c r="V591" s="2">
        <v>258.3</v>
      </c>
      <c r="W591" s="2">
        <v>117.453</v>
      </c>
      <c r="X591" s="5">
        <f t="shared" si="78"/>
        <v>0.44069999999999998</v>
      </c>
      <c r="Z591" s="2" t="s">
        <v>3227</v>
      </c>
      <c r="AA591" s="2" t="s">
        <v>75</v>
      </c>
      <c r="AB591" s="2" t="s">
        <v>76</v>
      </c>
      <c r="AC591" s="2" t="s">
        <v>77</v>
      </c>
      <c r="AF591" s="2">
        <f t="shared" si="81"/>
        <v>0</v>
      </c>
      <c r="AG591" s="2">
        <v>117.453</v>
      </c>
      <c r="AH591" s="2">
        <v>220</v>
      </c>
      <c r="AJ591" s="2">
        <f t="shared" si="82"/>
        <v>0</v>
      </c>
      <c r="AK591" s="2">
        <f t="shared" si="79"/>
        <v>92.546999999999997</v>
      </c>
      <c r="AL591" s="5">
        <f t="shared" si="80"/>
        <v>0.44069999999999998</v>
      </c>
    </row>
    <row r="592" spans="1:38" x14ac:dyDescent="0.2">
      <c r="A592" s="2">
        <v>2025</v>
      </c>
      <c r="B592" s="2">
        <v>3</v>
      </c>
      <c r="D592" s="2" t="s">
        <v>981</v>
      </c>
      <c r="E592" s="2" t="s">
        <v>108</v>
      </c>
      <c r="F592" s="2" t="s">
        <v>717</v>
      </c>
      <c r="G592" s="2">
        <v>500594309</v>
      </c>
      <c r="H592" s="2" t="s">
        <v>290</v>
      </c>
      <c r="I592" s="2" t="s">
        <v>982</v>
      </c>
      <c r="J592" s="2" t="s">
        <v>983</v>
      </c>
      <c r="L592" s="2" t="s">
        <v>293</v>
      </c>
      <c r="M592" s="2" t="s">
        <v>80</v>
      </c>
      <c r="O592" s="2" t="s">
        <v>984</v>
      </c>
      <c r="P592" s="2" t="s">
        <v>93</v>
      </c>
      <c r="Q592" s="2" t="s">
        <v>94</v>
      </c>
      <c r="R592" s="2" t="s">
        <v>95</v>
      </c>
      <c r="S592" s="2">
        <v>1</v>
      </c>
      <c r="T592" s="2">
        <v>1.1399999999999999</v>
      </c>
      <c r="U592" s="2">
        <v>0.26219999999999999</v>
      </c>
      <c r="V592" s="2">
        <v>1.4021999999999999</v>
      </c>
      <c r="W592" s="2">
        <v>1.1399999999999999</v>
      </c>
      <c r="X592" s="5">
        <f t="shared" si="78"/>
        <v>0</v>
      </c>
      <c r="Z592" s="2" t="s">
        <v>3227</v>
      </c>
      <c r="AA592" s="2" t="s">
        <v>96</v>
      </c>
      <c r="AB592" s="2" t="s">
        <v>76</v>
      </c>
      <c r="AC592" s="2" t="s">
        <v>93</v>
      </c>
      <c r="AF592" s="2">
        <f t="shared" si="81"/>
        <v>0</v>
      </c>
      <c r="AG592" s="2">
        <v>1.1399999999999999</v>
      </c>
      <c r="AH592" s="2">
        <v>1.1399999999999999</v>
      </c>
      <c r="AJ592" s="2">
        <f t="shared" si="82"/>
        <v>0</v>
      </c>
      <c r="AK592" s="2">
        <f t="shared" si="79"/>
        <v>0</v>
      </c>
      <c r="AL592" s="5">
        <f t="shared" si="80"/>
        <v>0</v>
      </c>
    </row>
    <row r="593" spans="1:38" x14ac:dyDescent="0.2">
      <c r="A593" s="2">
        <v>2025</v>
      </c>
      <c r="B593" s="2">
        <v>3</v>
      </c>
      <c r="D593" s="2" t="s">
        <v>336</v>
      </c>
      <c r="E593" s="2" t="s">
        <v>108</v>
      </c>
      <c r="F593" s="2" t="s">
        <v>39</v>
      </c>
      <c r="G593" s="2">
        <v>503373494</v>
      </c>
      <c r="H593" s="2" t="s">
        <v>290</v>
      </c>
      <c r="I593" s="2" t="s">
        <v>337</v>
      </c>
      <c r="J593" s="2" t="s">
        <v>338</v>
      </c>
      <c r="K593" s="2">
        <v>965852001</v>
      </c>
      <c r="L593" s="2" t="s">
        <v>339</v>
      </c>
      <c r="P593" s="2" t="s">
        <v>152</v>
      </c>
      <c r="Q593" s="2" t="s">
        <v>153</v>
      </c>
      <c r="R593" s="2" t="s">
        <v>154</v>
      </c>
      <c r="S593" s="2">
        <v>16</v>
      </c>
      <c r="T593" s="2">
        <v>40</v>
      </c>
      <c r="U593" s="2">
        <v>9.2000000000000011</v>
      </c>
      <c r="V593" s="2">
        <v>49.2</v>
      </c>
      <c r="W593" s="2">
        <f>0.7*S593</f>
        <v>11.2</v>
      </c>
      <c r="X593" s="5">
        <f t="shared" si="78"/>
        <v>0.72</v>
      </c>
      <c r="Z593" s="2" t="s">
        <v>3227</v>
      </c>
      <c r="AA593" s="2" t="s">
        <v>155</v>
      </c>
      <c r="AB593" s="2" t="s">
        <v>154</v>
      </c>
      <c r="AC593" s="2" t="s">
        <v>152</v>
      </c>
      <c r="AF593" s="2">
        <f t="shared" si="81"/>
        <v>0</v>
      </c>
      <c r="AG593" s="2">
        <v>0.7</v>
      </c>
      <c r="AJ593" s="2">
        <f t="shared" si="82"/>
        <v>0</v>
      </c>
      <c r="AK593" s="2">
        <f t="shared" si="79"/>
        <v>28.8</v>
      </c>
      <c r="AL593" s="5">
        <f t="shared" si="80"/>
        <v>0.72</v>
      </c>
    </row>
    <row r="594" spans="1:38" x14ac:dyDescent="0.2">
      <c r="A594" s="2">
        <v>2025</v>
      </c>
      <c r="B594" s="2">
        <v>3</v>
      </c>
      <c r="D594" s="2" t="s">
        <v>336</v>
      </c>
      <c r="E594" s="2" t="s">
        <v>108</v>
      </c>
      <c r="F594" s="2" t="s">
        <v>39</v>
      </c>
      <c r="G594" s="2">
        <v>503373494</v>
      </c>
      <c r="H594" s="2" t="s">
        <v>290</v>
      </c>
      <c r="I594" s="2" t="s">
        <v>337</v>
      </c>
      <c r="J594" s="2" t="s">
        <v>338</v>
      </c>
      <c r="K594" s="2">
        <v>965852001</v>
      </c>
      <c r="L594" s="2" t="s">
        <v>339</v>
      </c>
      <c r="P594" s="2" t="s">
        <v>169</v>
      </c>
      <c r="Q594" s="2" t="s">
        <v>170</v>
      </c>
      <c r="R594" s="2" t="s">
        <v>170</v>
      </c>
      <c r="S594" s="2">
        <v>1</v>
      </c>
      <c r="T594" s="2">
        <v>5.5</v>
      </c>
      <c r="U594" s="2">
        <v>1.2649999999999999</v>
      </c>
      <c r="V594" s="2">
        <v>6.7650000000000006</v>
      </c>
      <c r="W594" s="2">
        <v>6</v>
      </c>
      <c r="X594" s="5">
        <f t="shared" si="78"/>
        <v>-9.0909090909090912E-2</v>
      </c>
      <c r="Z594" s="2" t="s">
        <v>169</v>
      </c>
      <c r="AA594" s="2" t="s">
        <v>169</v>
      </c>
      <c r="AF594" s="2">
        <f t="shared" si="81"/>
        <v>0</v>
      </c>
      <c r="AJ594" s="2">
        <f t="shared" si="82"/>
        <v>0</v>
      </c>
      <c r="AK594" s="2">
        <f t="shared" si="79"/>
        <v>-0.5</v>
      </c>
      <c r="AL594" s="5">
        <f t="shared" si="80"/>
        <v>-9.0909090909090912E-2</v>
      </c>
    </row>
    <row r="595" spans="1:38" x14ac:dyDescent="0.2">
      <c r="A595" s="2">
        <v>2025</v>
      </c>
      <c r="B595" s="2">
        <v>3</v>
      </c>
      <c r="D595" s="2" t="s">
        <v>985</v>
      </c>
      <c r="P595" s="2" t="s">
        <v>40</v>
      </c>
      <c r="Q595" s="2" t="s">
        <v>986</v>
      </c>
      <c r="R595" s="2" t="s">
        <v>987</v>
      </c>
      <c r="S595" s="2">
        <v>1</v>
      </c>
      <c r="T595" s="2">
        <v>4898</v>
      </c>
      <c r="U595" s="2">
        <v>1126.54</v>
      </c>
      <c r="V595" s="2">
        <v>6024.54</v>
      </c>
      <c r="W595" s="2">
        <f>T595*75%</f>
        <v>3673.5</v>
      </c>
      <c r="X595" s="5">
        <f t="shared" si="78"/>
        <v>0.25</v>
      </c>
      <c r="Z595" s="2" t="s">
        <v>104</v>
      </c>
      <c r="AA595" s="2" t="s">
        <v>264</v>
      </c>
      <c r="AB595" s="2" t="s">
        <v>475</v>
      </c>
      <c r="AC595" s="2" t="s">
        <v>475</v>
      </c>
      <c r="AF595" s="2">
        <f t="shared" si="81"/>
        <v>0</v>
      </c>
      <c r="AJ595" s="2">
        <f t="shared" si="82"/>
        <v>0</v>
      </c>
      <c r="AK595" s="2">
        <f t="shared" si="79"/>
        <v>1224.5</v>
      </c>
      <c r="AL595" s="5">
        <f t="shared" si="80"/>
        <v>0.25</v>
      </c>
    </row>
    <row r="596" spans="1:38" x14ac:dyDescent="0.2">
      <c r="A596" s="2">
        <v>2025</v>
      </c>
      <c r="B596" s="2">
        <v>3</v>
      </c>
      <c r="D596" s="2" t="s">
        <v>744</v>
      </c>
      <c r="E596" s="2" t="s">
        <v>108</v>
      </c>
      <c r="F596" s="2" t="s">
        <v>39</v>
      </c>
      <c r="G596" s="2">
        <v>509181163</v>
      </c>
      <c r="H596" s="2" t="s">
        <v>40</v>
      </c>
      <c r="I596" s="2" t="s">
        <v>745</v>
      </c>
      <c r="J596" s="2" t="s">
        <v>746</v>
      </c>
      <c r="K596" s="2">
        <v>962372760</v>
      </c>
      <c r="L596" s="2" t="s">
        <v>201</v>
      </c>
      <c r="P596" s="2" t="s">
        <v>114</v>
      </c>
      <c r="Q596" s="2" t="s">
        <v>988</v>
      </c>
      <c r="R596" s="2" t="s">
        <v>989</v>
      </c>
      <c r="S596" s="2">
        <v>1</v>
      </c>
      <c r="T596" s="2">
        <v>363.6</v>
      </c>
      <c r="U596" s="2">
        <v>83.628000000000014</v>
      </c>
      <c r="V596" s="2">
        <v>447.22800000000012</v>
      </c>
      <c r="W596" s="2">
        <v>194.99</v>
      </c>
      <c r="X596" s="5">
        <f t="shared" ref="X596:X627" si="83">(T596-W596)/T596</f>
        <v>0.46372387238723872</v>
      </c>
      <c r="Z596" s="2" t="s">
        <v>117</v>
      </c>
      <c r="AA596" s="2" t="s">
        <v>118</v>
      </c>
      <c r="AB596" s="2" t="s">
        <v>119</v>
      </c>
      <c r="AC596" s="2" t="s">
        <v>114</v>
      </c>
      <c r="AF596" s="2">
        <f t="shared" si="81"/>
        <v>0</v>
      </c>
      <c r="AJ596" s="2">
        <f t="shared" si="82"/>
        <v>0</v>
      </c>
      <c r="AK596" s="2">
        <f t="shared" si="79"/>
        <v>168.61</v>
      </c>
      <c r="AL596" s="5">
        <f t="shared" ref="AL596:AL627" si="84">(T596-W596)/T596</f>
        <v>0.46372387238723872</v>
      </c>
    </row>
    <row r="597" spans="1:38" x14ac:dyDescent="0.2">
      <c r="A597" s="2">
        <v>2025</v>
      </c>
      <c r="B597" s="2">
        <v>3</v>
      </c>
      <c r="D597" s="2" t="s">
        <v>744</v>
      </c>
      <c r="E597" s="2" t="s">
        <v>108</v>
      </c>
      <c r="F597" s="2" t="s">
        <v>39</v>
      </c>
      <c r="G597" s="2">
        <v>509181163</v>
      </c>
      <c r="H597" s="2" t="s">
        <v>40</v>
      </c>
      <c r="I597" s="2" t="s">
        <v>745</v>
      </c>
      <c r="J597" s="2" t="s">
        <v>746</v>
      </c>
      <c r="K597" s="2">
        <v>962372760</v>
      </c>
      <c r="L597" s="2" t="s">
        <v>201</v>
      </c>
      <c r="M597" s="2" t="s">
        <v>40</v>
      </c>
      <c r="P597" s="2" t="s">
        <v>187</v>
      </c>
      <c r="Q597" s="2" t="s">
        <v>188</v>
      </c>
      <c r="R597" s="2" t="s">
        <v>189</v>
      </c>
      <c r="S597" s="2">
        <v>2</v>
      </c>
      <c r="T597" s="2">
        <v>131</v>
      </c>
      <c r="U597" s="2">
        <v>30.13</v>
      </c>
      <c r="V597" s="2">
        <v>161.13</v>
      </c>
      <c r="W597" s="2">
        <f>T597*40%</f>
        <v>52.400000000000006</v>
      </c>
      <c r="X597" s="5">
        <f t="shared" si="83"/>
        <v>0.6</v>
      </c>
      <c r="Z597" s="2" t="s">
        <v>117</v>
      </c>
      <c r="AA597" s="2" t="s">
        <v>190</v>
      </c>
      <c r="AB597" s="2" t="s">
        <v>189</v>
      </c>
      <c r="AC597" s="2" t="s">
        <v>40</v>
      </c>
      <c r="AF597" s="2">
        <f t="shared" si="81"/>
        <v>0</v>
      </c>
      <c r="AJ597" s="2">
        <f t="shared" si="82"/>
        <v>0</v>
      </c>
      <c r="AK597" s="2">
        <f t="shared" si="79"/>
        <v>78.599999999999994</v>
      </c>
      <c r="AL597" s="5">
        <f t="shared" si="84"/>
        <v>0.6</v>
      </c>
    </row>
    <row r="598" spans="1:38" x14ac:dyDescent="0.2">
      <c r="A598" s="2">
        <v>2025</v>
      </c>
      <c r="B598" s="2">
        <v>3</v>
      </c>
      <c r="D598" s="2" t="s">
        <v>744</v>
      </c>
      <c r="E598" s="2" t="s">
        <v>108</v>
      </c>
      <c r="F598" s="2" t="s">
        <v>39</v>
      </c>
      <c r="G598" s="2">
        <v>509181163</v>
      </c>
      <c r="H598" s="2" t="s">
        <v>40</v>
      </c>
      <c r="I598" s="2" t="s">
        <v>745</v>
      </c>
      <c r="J598" s="2" t="s">
        <v>746</v>
      </c>
      <c r="K598" s="2">
        <v>962372760</v>
      </c>
      <c r="L598" s="2" t="s">
        <v>201</v>
      </c>
      <c r="M598" s="2" t="s">
        <v>40</v>
      </c>
      <c r="P598" s="2" t="s">
        <v>187</v>
      </c>
      <c r="Q598" s="2" t="s">
        <v>191</v>
      </c>
      <c r="R598" s="2" t="s">
        <v>190</v>
      </c>
      <c r="S598" s="2">
        <v>6</v>
      </c>
      <c r="T598" s="2">
        <v>200</v>
      </c>
      <c r="U598" s="2">
        <v>46</v>
      </c>
      <c r="V598" s="2">
        <v>246</v>
      </c>
      <c r="W598" s="2">
        <f>T598*50%</f>
        <v>100</v>
      </c>
      <c r="X598" s="5">
        <f t="shared" si="83"/>
        <v>0.5</v>
      </c>
      <c r="Z598" s="2" t="s">
        <v>117</v>
      </c>
      <c r="AA598" s="2" t="s">
        <v>190</v>
      </c>
      <c r="AB598" s="2" t="s">
        <v>190</v>
      </c>
      <c r="AC598" s="2" t="s">
        <v>40</v>
      </c>
      <c r="AF598" s="2">
        <f t="shared" si="81"/>
        <v>0</v>
      </c>
      <c r="AJ598" s="2">
        <f t="shared" si="82"/>
        <v>0</v>
      </c>
      <c r="AK598" s="2">
        <f t="shared" si="79"/>
        <v>100</v>
      </c>
      <c r="AL598" s="5">
        <f t="shared" si="84"/>
        <v>0.5</v>
      </c>
    </row>
    <row r="599" spans="1:38" x14ac:dyDescent="0.2">
      <c r="A599" s="2">
        <v>2025</v>
      </c>
      <c r="B599" s="2">
        <v>3</v>
      </c>
      <c r="D599" s="2" t="s">
        <v>744</v>
      </c>
      <c r="E599" s="2" t="s">
        <v>108</v>
      </c>
      <c r="F599" s="2" t="s">
        <v>39</v>
      </c>
      <c r="G599" s="2">
        <v>509181163</v>
      </c>
      <c r="H599" s="2" t="s">
        <v>40</v>
      </c>
      <c r="I599" s="2" t="s">
        <v>745</v>
      </c>
      <c r="J599" s="2" t="s">
        <v>746</v>
      </c>
      <c r="K599" s="2">
        <v>962372760</v>
      </c>
      <c r="L599" s="2" t="s">
        <v>201</v>
      </c>
      <c r="P599" s="2" t="s">
        <v>40</v>
      </c>
      <c r="Q599" s="2" t="s">
        <v>363</v>
      </c>
      <c r="R599" s="2" t="s">
        <v>364</v>
      </c>
      <c r="S599" s="2">
        <v>2</v>
      </c>
      <c r="T599" s="2">
        <v>194.29</v>
      </c>
      <c r="U599" s="2">
        <v>44.686700000000002</v>
      </c>
      <c r="V599" s="2">
        <v>238.97669999999999</v>
      </c>
      <c r="X599" s="5">
        <f t="shared" si="83"/>
        <v>1</v>
      </c>
      <c r="Z599" s="2" t="s">
        <v>119</v>
      </c>
      <c r="AA599" s="2" t="s">
        <v>3380</v>
      </c>
      <c r="AF599" s="2">
        <f t="shared" si="81"/>
        <v>0</v>
      </c>
      <c r="AJ599" s="2">
        <f t="shared" si="82"/>
        <v>0</v>
      </c>
      <c r="AK599" s="2">
        <f t="shared" si="79"/>
        <v>194.29</v>
      </c>
      <c r="AL599" s="5">
        <f t="shared" si="84"/>
        <v>1</v>
      </c>
    </row>
    <row r="600" spans="1:38" x14ac:dyDescent="0.2">
      <c r="A600" s="2">
        <v>2025</v>
      </c>
      <c r="B600" s="2">
        <v>3</v>
      </c>
      <c r="D600" s="2" t="s">
        <v>990</v>
      </c>
      <c r="E600" s="2" t="s">
        <v>38</v>
      </c>
      <c r="F600" s="2" t="s">
        <v>39</v>
      </c>
      <c r="G600" s="2">
        <v>513796878</v>
      </c>
      <c r="H600" s="2" t="s">
        <v>40</v>
      </c>
      <c r="I600" s="2" t="s">
        <v>991</v>
      </c>
      <c r="J600" s="2" t="s">
        <v>992</v>
      </c>
      <c r="K600" s="2">
        <v>964159861</v>
      </c>
      <c r="L600" s="2" t="s">
        <v>201</v>
      </c>
      <c r="M600" s="2" t="s">
        <v>80</v>
      </c>
      <c r="O600" s="2" t="s">
        <v>993</v>
      </c>
      <c r="P600" s="2" t="s">
        <v>72</v>
      </c>
      <c r="Q600" s="2" t="s">
        <v>994</v>
      </c>
      <c r="R600" s="2" t="s">
        <v>995</v>
      </c>
      <c r="S600" s="2">
        <v>1</v>
      </c>
      <c r="T600" s="2">
        <v>230</v>
      </c>
      <c r="U600" s="2">
        <v>52.900000000000013</v>
      </c>
      <c r="V600" s="2">
        <v>282.89999999999998</v>
      </c>
      <c r="W600" s="2">
        <f>132.55+11.06</f>
        <v>143.61000000000001</v>
      </c>
      <c r="X600" s="5">
        <f t="shared" si="83"/>
        <v>0.37560869565217386</v>
      </c>
      <c r="Z600" s="2" t="s">
        <v>3227</v>
      </c>
      <c r="AA600" s="2" t="s">
        <v>75</v>
      </c>
      <c r="AB600" s="2" t="s">
        <v>76</v>
      </c>
      <c r="AC600" s="2" t="s">
        <v>77</v>
      </c>
      <c r="AF600" s="2">
        <f t="shared" si="81"/>
        <v>0</v>
      </c>
      <c r="AJ600" s="2">
        <f t="shared" si="82"/>
        <v>0</v>
      </c>
      <c r="AK600" s="2">
        <f t="shared" si="79"/>
        <v>86.389999999999986</v>
      </c>
      <c r="AL600" s="5">
        <f t="shared" si="84"/>
        <v>0.37560869565217386</v>
      </c>
    </row>
    <row r="601" spans="1:38" x14ac:dyDescent="0.2">
      <c r="A601" s="2">
        <v>2025</v>
      </c>
      <c r="B601" s="2">
        <v>3</v>
      </c>
      <c r="D601" s="2" t="s">
        <v>990</v>
      </c>
      <c r="E601" s="2" t="s">
        <v>38</v>
      </c>
      <c r="F601" s="2" t="s">
        <v>39</v>
      </c>
      <c r="G601" s="2">
        <v>513796878</v>
      </c>
      <c r="H601" s="2" t="s">
        <v>40</v>
      </c>
      <c r="I601" s="2" t="s">
        <v>991</v>
      </c>
      <c r="J601" s="2" t="s">
        <v>992</v>
      </c>
      <c r="K601" s="2">
        <v>964159861</v>
      </c>
      <c r="L601" s="2" t="s">
        <v>201</v>
      </c>
      <c r="M601" s="2" t="s">
        <v>80</v>
      </c>
      <c r="O601" s="2" t="s">
        <v>993</v>
      </c>
      <c r="P601" s="2" t="s">
        <v>93</v>
      </c>
      <c r="Q601" s="2" t="s">
        <v>94</v>
      </c>
      <c r="R601" s="2" t="s">
        <v>95</v>
      </c>
      <c r="S601" s="2">
        <v>1</v>
      </c>
      <c r="T601" s="2">
        <v>1.1399999999999999</v>
      </c>
      <c r="U601" s="2">
        <v>0.26219999999999999</v>
      </c>
      <c r="V601" s="2">
        <v>1.4021999999999999</v>
      </c>
      <c r="W601" s="2">
        <v>1.1399999999999999</v>
      </c>
      <c r="X601" s="5">
        <f t="shared" si="83"/>
        <v>0</v>
      </c>
      <c r="Z601" s="2" t="s">
        <v>3227</v>
      </c>
      <c r="AA601" s="2" t="s">
        <v>96</v>
      </c>
      <c r="AB601" s="2" t="s">
        <v>76</v>
      </c>
      <c r="AC601" s="2" t="s">
        <v>93</v>
      </c>
      <c r="AF601" s="2">
        <f t="shared" si="81"/>
        <v>0</v>
      </c>
      <c r="AG601" s="2">
        <v>1.1399999999999999</v>
      </c>
      <c r="AH601" s="2">
        <v>1.1399999999999999</v>
      </c>
      <c r="AJ601" s="2">
        <f t="shared" si="82"/>
        <v>0</v>
      </c>
      <c r="AK601" s="2">
        <f t="shared" si="79"/>
        <v>0</v>
      </c>
      <c r="AL601" s="5">
        <f t="shared" si="84"/>
        <v>0</v>
      </c>
    </row>
    <row r="602" spans="1:38" x14ac:dyDescent="0.2">
      <c r="A602" s="2">
        <v>2025</v>
      </c>
      <c r="B602" s="2">
        <v>3</v>
      </c>
      <c r="D602" s="2" t="s">
        <v>996</v>
      </c>
      <c r="P602" s="2" t="s">
        <v>282</v>
      </c>
      <c r="Q602" s="2" t="s">
        <v>997</v>
      </c>
      <c r="R602" s="2" t="s">
        <v>998</v>
      </c>
      <c r="S602" s="2">
        <v>1</v>
      </c>
      <c r="T602" s="2">
        <v>99</v>
      </c>
      <c r="U602" s="2">
        <v>22.77</v>
      </c>
      <c r="V602" s="2">
        <v>121.77</v>
      </c>
      <c r="X602" s="5">
        <f t="shared" si="83"/>
        <v>1</v>
      </c>
      <c r="Z602" s="2" t="s">
        <v>3227</v>
      </c>
      <c r="AA602" s="2" t="s">
        <v>71</v>
      </c>
      <c r="AF602" s="2">
        <f t="shared" si="81"/>
        <v>0</v>
      </c>
      <c r="AJ602" s="2">
        <f t="shared" si="82"/>
        <v>0</v>
      </c>
      <c r="AK602" s="2">
        <f t="shared" si="79"/>
        <v>99</v>
      </c>
      <c r="AL602" s="5">
        <f t="shared" si="84"/>
        <v>1</v>
      </c>
    </row>
    <row r="603" spans="1:38" x14ac:dyDescent="0.2">
      <c r="A603" s="2">
        <v>2025</v>
      </c>
      <c r="B603" s="2">
        <v>3</v>
      </c>
      <c r="D603" s="2" t="s">
        <v>365</v>
      </c>
      <c r="E603" s="2" t="s">
        <v>183</v>
      </c>
      <c r="F603" s="2" t="s">
        <v>366</v>
      </c>
      <c r="G603" s="2">
        <v>501423192</v>
      </c>
      <c r="H603" s="2" t="s">
        <v>40</v>
      </c>
      <c r="I603" s="2" t="s">
        <v>367</v>
      </c>
      <c r="J603" s="2" t="s">
        <v>368</v>
      </c>
      <c r="L603" s="2" t="s">
        <v>99</v>
      </c>
      <c r="M603" s="2" t="s">
        <v>80</v>
      </c>
      <c r="O603" s="2" t="s">
        <v>999</v>
      </c>
      <c r="P603" s="2" t="s">
        <v>72</v>
      </c>
      <c r="Q603" s="2" t="s">
        <v>73</v>
      </c>
      <c r="R603" s="2" t="s">
        <v>74</v>
      </c>
      <c r="S603" s="2">
        <v>1</v>
      </c>
      <c r="T603" s="2">
        <v>210</v>
      </c>
      <c r="U603" s="2">
        <v>48.3</v>
      </c>
      <c r="V603" s="2">
        <v>258.3</v>
      </c>
      <c r="W603" s="2">
        <v>117.453</v>
      </c>
      <c r="X603" s="5">
        <f t="shared" si="83"/>
        <v>0.44069999999999998</v>
      </c>
      <c r="Z603" s="2" t="s">
        <v>3227</v>
      </c>
      <c r="AA603" s="2" t="s">
        <v>75</v>
      </c>
      <c r="AB603" s="2" t="s">
        <v>76</v>
      </c>
      <c r="AC603" s="2" t="s">
        <v>77</v>
      </c>
      <c r="AF603" s="2">
        <f t="shared" si="81"/>
        <v>0</v>
      </c>
      <c r="AG603" s="2">
        <v>117.453</v>
      </c>
      <c r="AH603" s="2">
        <v>220</v>
      </c>
      <c r="AJ603" s="2">
        <f t="shared" si="82"/>
        <v>0</v>
      </c>
      <c r="AK603" s="2">
        <f t="shared" si="79"/>
        <v>92.546999999999997</v>
      </c>
      <c r="AL603" s="5">
        <f t="shared" si="84"/>
        <v>0.44069999999999998</v>
      </c>
    </row>
    <row r="604" spans="1:38" x14ac:dyDescent="0.2">
      <c r="A604" s="2">
        <v>2025</v>
      </c>
      <c r="B604" s="2">
        <v>3</v>
      </c>
      <c r="D604" s="2" t="s">
        <v>365</v>
      </c>
      <c r="E604" s="2" t="s">
        <v>183</v>
      </c>
      <c r="F604" s="2" t="s">
        <v>366</v>
      </c>
      <c r="G604" s="2">
        <v>501423192</v>
      </c>
      <c r="H604" s="2" t="s">
        <v>40</v>
      </c>
      <c r="I604" s="2" t="s">
        <v>367</v>
      </c>
      <c r="J604" s="2" t="s">
        <v>368</v>
      </c>
      <c r="L604" s="2" t="s">
        <v>99</v>
      </c>
      <c r="M604" s="2" t="s">
        <v>80</v>
      </c>
      <c r="O604" s="2" t="s">
        <v>999</v>
      </c>
      <c r="P604" s="2" t="s">
        <v>93</v>
      </c>
      <c r="Q604" s="2" t="s">
        <v>94</v>
      </c>
      <c r="R604" s="2" t="s">
        <v>95</v>
      </c>
      <c r="S604" s="2">
        <v>1</v>
      </c>
      <c r="T604" s="2">
        <v>1.1399999999999999</v>
      </c>
      <c r="U604" s="2">
        <v>0.26219999999999999</v>
      </c>
      <c r="V604" s="2">
        <v>1.4021999999999999</v>
      </c>
      <c r="W604" s="2">
        <v>1.1399999999999999</v>
      </c>
      <c r="X604" s="5">
        <f t="shared" si="83"/>
        <v>0</v>
      </c>
      <c r="Z604" s="2" t="s">
        <v>3227</v>
      </c>
      <c r="AA604" s="2" t="s">
        <v>96</v>
      </c>
      <c r="AB604" s="2" t="s">
        <v>76</v>
      </c>
      <c r="AC604" s="2" t="s">
        <v>93</v>
      </c>
      <c r="AF604" s="2">
        <f t="shared" si="81"/>
        <v>0</v>
      </c>
      <c r="AJ604" s="2">
        <f t="shared" si="82"/>
        <v>0</v>
      </c>
      <c r="AK604" s="2">
        <f t="shared" si="79"/>
        <v>0</v>
      </c>
      <c r="AL604" s="5">
        <f t="shared" si="84"/>
        <v>0</v>
      </c>
    </row>
    <row r="605" spans="1:38" x14ac:dyDescent="0.2">
      <c r="A605" s="2">
        <v>2025</v>
      </c>
      <c r="B605" s="2">
        <v>3</v>
      </c>
      <c r="D605" s="2" t="s">
        <v>1000</v>
      </c>
      <c r="E605" s="2" t="s">
        <v>38</v>
      </c>
      <c r="F605" s="2" t="s">
        <v>39</v>
      </c>
      <c r="G605" s="2">
        <v>510743854</v>
      </c>
      <c r="H605" s="2" t="s">
        <v>40</v>
      </c>
      <c r="I605" s="2" t="s">
        <v>1001</v>
      </c>
      <c r="J605" s="2" t="s">
        <v>1002</v>
      </c>
      <c r="K605" s="2">
        <v>917233128</v>
      </c>
      <c r="L605" s="2" t="s">
        <v>99</v>
      </c>
      <c r="M605" s="2" t="s">
        <v>40</v>
      </c>
      <c r="O605" s="2" t="s">
        <v>1003</v>
      </c>
      <c r="P605" s="2" t="s">
        <v>187</v>
      </c>
      <c r="Q605" s="2" t="s">
        <v>188</v>
      </c>
      <c r="R605" s="2" t="s">
        <v>189</v>
      </c>
      <c r="S605" s="2">
        <v>1</v>
      </c>
      <c r="T605" s="2">
        <v>50</v>
      </c>
      <c r="U605" s="2">
        <v>11.5</v>
      </c>
      <c r="V605" s="2">
        <v>61.5</v>
      </c>
      <c r="W605" s="2">
        <f>T605*40%</f>
        <v>20</v>
      </c>
      <c r="X605" s="5">
        <f t="shared" si="83"/>
        <v>0.6</v>
      </c>
      <c r="Z605" s="2" t="s">
        <v>117</v>
      </c>
      <c r="AA605" s="2" t="s">
        <v>190</v>
      </c>
      <c r="AB605" s="2" t="s">
        <v>189</v>
      </c>
      <c r="AC605" s="2" t="s">
        <v>40</v>
      </c>
      <c r="AF605" s="2">
        <f t="shared" si="81"/>
        <v>0</v>
      </c>
      <c r="AJ605" s="2">
        <f t="shared" si="82"/>
        <v>0</v>
      </c>
      <c r="AK605" s="2">
        <f t="shared" si="79"/>
        <v>30</v>
      </c>
      <c r="AL605" s="5">
        <f t="shared" si="84"/>
        <v>0.6</v>
      </c>
    </row>
    <row r="606" spans="1:38" x14ac:dyDescent="0.2">
      <c r="A606" s="2">
        <v>2025</v>
      </c>
      <c r="B606" s="2">
        <v>3</v>
      </c>
      <c r="D606" s="2" t="s">
        <v>1000</v>
      </c>
      <c r="E606" s="2" t="s">
        <v>38</v>
      </c>
      <c r="F606" s="2" t="s">
        <v>39</v>
      </c>
      <c r="G606" s="2">
        <v>510743854</v>
      </c>
      <c r="H606" s="2" t="s">
        <v>40</v>
      </c>
      <c r="I606" s="2" t="s">
        <v>1001</v>
      </c>
      <c r="J606" s="2" t="s">
        <v>1002</v>
      </c>
      <c r="K606" s="2">
        <v>917233128</v>
      </c>
      <c r="L606" s="2" t="s">
        <v>99</v>
      </c>
      <c r="M606" s="2" t="s">
        <v>40</v>
      </c>
      <c r="O606" s="2" t="s">
        <v>1003</v>
      </c>
      <c r="P606" s="2" t="s">
        <v>187</v>
      </c>
      <c r="Q606" s="2" t="s">
        <v>191</v>
      </c>
      <c r="R606" s="2" t="s">
        <v>190</v>
      </c>
      <c r="S606" s="2">
        <v>2</v>
      </c>
      <c r="T606" s="2">
        <v>100</v>
      </c>
      <c r="U606" s="2">
        <v>23</v>
      </c>
      <c r="V606" s="2">
        <v>123</v>
      </c>
      <c r="W606" s="2">
        <f>T606*50%</f>
        <v>50</v>
      </c>
      <c r="X606" s="5">
        <f t="shared" si="83"/>
        <v>0.5</v>
      </c>
      <c r="Z606" s="2" t="s">
        <v>117</v>
      </c>
      <c r="AA606" s="2" t="s">
        <v>190</v>
      </c>
      <c r="AB606" s="2" t="s">
        <v>190</v>
      </c>
      <c r="AC606" s="2" t="s">
        <v>40</v>
      </c>
      <c r="AF606" s="2">
        <f t="shared" si="81"/>
        <v>0</v>
      </c>
      <c r="AJ606" s="2">
        <f t="shared" si="82"/>
        <v>0</v>
      </c>
      <c r="AK606" s="2">
        <f t="shared" si="79"/>
        <v>50</v>
      </c>
      <c r="AL606" s="5">
        <f t="shared" si="84"/>
        <v>0.5</v>
      </c>
    </row>
    <row r="607" spans="1:38" x14ac:dyDescent="0.2">
      <c r="A607" s="2">
        <v>2025</v>
      </c>
      <c r="B607" s="2">
        <v>3</v>
      </c>
      <c r="D607" s="2" t="s">
        <v>1000</v>
      </c>
      <c r="E607" s="2" t="s">
        <v>38</v>
      </c>
      <c r="F607" s="2" t="s">
        <v>39</v>
      </c>
      <c r="G607" s="2">
        <v>510743854</v>
      </c>
      <c r="H607" s="2" t="s">
        <v>40</v>
      </c>
      <c r="I607" s="2" t="s">
        <v>1001</v>
      </c>
      <c r="J607" s="2" t="s">
        <v>1002</v>
      </c>
      <c r="K607" s="2">
        <v>917233128</v>
      </c>
      <c r="L607" s="2" t="s">
        <v>99</v>
      </c>
      <c r="M607" s="2" t="s">
        <v>40</v>
      </c>
      <c r="O607" s="2" t="s">
        <v>1003</v>
      </c>
      <c r="P607" s="2" t="s">
        <v>40</v>
      </c>
      <c r="Q607" s="2" t="s">
        <v>363</v>
      </c>
      <c r="R607" s="2" t="s">
        <v>364</v>
      </c>
      <c r="S607" s="2">
        <v>11</v>
      </c>
      <c r="T607" s="2">
        <v>141.47</v>
      </c>
      <c r="U607" s="2">
        <v>32.5381</v>
      </c>
      <c r="V607" s="2">
        <v>174.00810000000001</v>
      </c>
      <c r="X607" s="5">
        <f t="shared" si="83"/>
        <v>1</v>
      </c>
      <c r="Z607" s="2" t="s">
        <v>117</v>
      </c>
      <c r="AA607" s="2" t="s">
        <v>118</v>
      </c>
      <c r="AB607" s="2" t="s">
        <v>1004</v>
      </c>
      <c r="AF607" s="2">
        <f t="shared" si="81"/>
        <v>0</v>
      </c>
      <c r="AJ607" s="2">
        <f t="shared" si="82"/>
        <v>0</v>
      </c>
      <c r="AK607" s="2">
        <f t="shared" si="79"/>
        <v>141.47</v>
      </c>
      <c r="AL607" s="5">
        <f t="shared" si="84"/>
        <v>1</v>
      </c>
    </row>
    <row r="608" spans="1:38" x14ac:dyDescent="0.2">
      <c r="A608" s="2">
        <v>2025</v>
      </c>
      <c r="B608" s="2">
        <v>3</v>
      </c>
      <c r="D608" s="2" t="s">
        <v>765</v>
      </c>
      <c r="E608" s="2" t="s">
        <v>38</v>
      </c>
      <c r="F608" s="2" t="s">
        <v>39</v>
      </c>
      <c r="G608" s="2">
        <v>513686231</v>
      </c>
      <c r="H608" s="2" t="s">
        <v>290</v>
      </c>
      <c r="I608" s="2" t="s">
        <v>766</v>
      </c>
      <c r="J608" s="2" t="s">
        <v>767</v>
      </c>
      <c r="L608" s="2" t="s">
        <v>480</v>
      </c>
      <c r="M608" s="2" t="s">
        <v>80</v>
      </c>
      <c r="O608" s="2" t="s">
        <v>1005</v>
      </c>
      <c r="P608" s="2" t="s">
        <v>43</v>
      </c>
      <c r="Q608" s="2" t="s">
        <v>234</v>
      </c>
      <c r="R608" s="2" t="s">
        <v>235</v>
      </c>
      <c r="S608" s="2">
        <v>3</v>
      </c>
      <c r="T608" s="2">
        <v>39.6</v>
      </c>
      <c r="U608" s="2">
        <v>9.1080000000000005</v>
      </c>
      <c r="V608" s="2">
        <v>48.707999999999998</v>
      </c>
      <c r="W608" s="2">
        <v>21.665099999999999</v>
      </c>
      <c r="X608" s="5">
        <f t="shared" si="83"/>
        <v>0.45290151515151522</v>
      </c>
      <c r="Z608" s="2" t="s">
        <v>3227</v>
      </c>
      <c r="AA608" s="2" t="s">
        <v>46</v>
      </c>
      <c r="AB608" s="2" t="s">
        <v>56</v>
      </c>
      <c r="AC608" s="2" t="s">
        <v>57</v>
      </c>
      <c r="AF608" s="2">
        <f t="shared" si="81"/>
        <v>0</v>
      </c>
      <c r="AG608" s="2">
        <v>7.2217000000000002</v>
      </c>
      <c r="AH608" s="2">
        <v>14.4</v>
      </c>
      <c r="AJ608" s="2">
        <f t="shared" si="82"/>
        <v>0</v>
      </c>
      <c r="AK608" s="2">
        <f t="shared" si="79"/>
        <v>17.934900000000003</v>
      </c>
      <c r="AL608" s="5">
        <f t="shared" si="84"/>
        <v>0.45290151515151522</v>
      </c>
    </row>
    <row r="609" spans="1:38" x14ac:dyDescent="0.2">
      <c r="A609" s="2">
        <v>2025</v>
      </c>
      <c r="B609" s="2">
        <v>3</v>
      </c>
      <c r="D609" s="2" t="s">
        <v>765</v>
      </c>
      <c r="E609" s="2" t="s">
        <v>38</v>
      </c>
      <c r="G609" s="2">
        <v>513686231</v>
      </c>
      <c r="H609" s="2" t="s">
        <v>290</v>
      </c>
      <c r="I609" s="2" t="s">
        <v>766</v>
      </c>
      <c r="J609" s="2" t="s">
        <v>767</v>
      </c>
      <c r="L609" s="2" t="s">
        <v>480</v>
      </c>
      <c r="M609" s="2" t="s">
        <v>80</v>
      </c>
      <c r="O609" s="2" t="s">
        <v>1005</v>
      </c>
      <c r="P609" s="2" t="s">
        <v>43</v>
      </c>
      <c r="Q609" s="2" t="s">
        <v>236</v>
      </c>
      <c r="R609" s="2" t="s">
        <v>237</v>
      </c>
      <c r="S609" s="2">
        <v>1</v>
      </c>
      <c r="T609" s="2">
        <v>16.2</v>
      </c>
      <c r="U609" s="2">
        <v>3.726</v>
      </c>
      <c r="V609" s="2">
        <v>19.925999999999998</v>
      </c>
      <c r="W609" s="2">
        <f>9.075*S609</f>
        <v>9.0749999999999993</v>
      </c>
      <c r="X609" s="5">
        <f t="shared" si="83"/>
        <v>0.43981481481481483</v>
      </c>
      <c r="Z609" s="2" t="s">
        <v>3227</v>
      </c>
      <c r="AA609" s="2" t="s">
        <v>46</v>
      </c>
      <c r="AB609" s="2" t="s">
        <v>56</v>
      </c>
      <c r="AC609" s="2" t="s">
        <v>57</v>
      </c>
      <c r="AF609" s="2">
        <f t="shared" si="81"/>
        <v>0</v>
      </c>
      <c r="AG609" s="2">
        <v>9.0749999999999993</v>
      </c>
      <c r="AJ609" s="2">
        <f t="shared" si="82"/>
        <v>0</v>
      </c>
      <c r="AK609" s="2">
        <f t="shared" si="79"/>
        <v>7.125</v>
      </c>
      <c r="AL609" s="5">
        <f t="shared" si="84"/>
        <v>0.43981481481481483</v>
      </c>
    </row>
    <row r="610" spans="1:38" x14ac:dyDescent="0.2">
      <c r="A610" s="2">
        <v>2025</v>
      </c>
      <c r="B610" s="2">
        <v>3</v>
      </c>
      <c r="D610" s="2" t="s">
        <v>765</v>
      </c>
      <c r="E610" s="2" t="s">
        <v>38</v>
      </c>
      <c r="G610" s="2">
        <v>513686231</v>
      </c>
      <c r="H610" s="2" t="s">
        <v>290</v>
      </c>
      <c r="I610" s="2" t="s">
        <v>766</v>
      </c>
      <c r="J610" s="2" t="s">
        <v>767</v>
      </c>
      <c r="L610" s="2" t="s">
        <v>480</v>
      </c>
      <c r="M610" s="2" t="s">
        <v>80</v>
      </c>
      <c r="O610" s="2" t="s">
        <v>1005</v>
      </c>
      <c r="P610" s="2" t="s">
        <v>43</v>
      </c>
      <c r="Q610" s="2" t="s">
        <v>242</v>
      </c>
      <c r="R610" s="2" t="s">
        <v>243</v>
      </c>
      <c r="S610" s="2">
        <v>3</v>
      </c>
      <c r="T610" s="2">
        <v>86.4</v>
      </c>
      <c r="U610" s="2">
        <v>19.872</v>
      </c>
      <c r="V610" s="2">
        <v>106.27200000000001</v>
      </c>
      <c r="W610" s="2">
        <f>16.2249*S610</f>
        <v>48.674700000000001</v>
      </c>
      <c r="X610" s="5">
        <f t="shared" si="83"/>
        <v>0.43663541666666666</v>
      </c>
      <c r="Z610" s="2" t="s">
        <v>3227</v>
      </c>
      <c r="AA610" s="2" t="s">
        <v>46</v>
      </c>
      <c r="AB610" s="2" t="s">
        <v>56</v>
      </c>
      <c r="AC610" s="2" t="s">
        <v>57</v>
      </c>
      <c r="AF610" s="2">
        <f t="shared" si="81"/>
        <v>0</v>
      </c>
      <c r="AG610" s="2">
        <v>16.224900000000002</v>
      </c>
      <c r="AJ610" s="2">
        <f t="shared" si="82"/>
        <v>0</v>
      </c>
      <c r="AK610" s="2">
        <f t="shared" si="79"/>
        <v>37.725300000000004</v>
      </c>
      <c r="AL610" s="5">
        <f t="shared" si="84"/>
        <v>0.43663541666666666</v>
      </c>
    </row>
    <row r="611" spans="1:38" x14ac:dyDescent="0.2">
      <c r="A611" s="2">
        <v>2025</v>
      </c>
      <c r="B611" s="2">
        <v>3</v>
      </c>
      <c r="D611" s="2" t="s">
        <v>1006</v>
      </c>
      <c r="E611" s="2" t="s">
        <v>108</v>
      </c>
      <c r="F611" s="2" t="s">
        <v>39</v>
      </c>
      <c r="L611" s="2" t="s">
        <v>177</v>
      </c>
      <c r="M611" s="2" t="s">
        <v>41</v>
      </c>
      <c r="P611" s="2" t="s">
        <v>282</v>
      </c>
      <c r="Q611" s="2" t="s">
        <v>434</v>
      </c>
      <c r="R611" s="2" t="s">
        <v>435</v>
      </c>
      <c r="S611" s="2">
        <v>1</v>
      </c>
      <c r="T611" s="2">
        <v>595</v>
      </c>
      <c r="U611" s="2">
        <v>136.85</v>
      </c>
      <c r="V611" s="2">
        <v>731.85</v>
      </c>
      <c r="W611" s="2">
        <v>417</v>
      </c>
      <c r="X611" s="5">
        <f t="shared" si="83"/>
        <v>0.29915966386554621</v>
      </c>
      <c r="Z611" s="2" t="s">
        <v>104</v>
      </c>
      <c r="AA611" s="2" t="s">
        <v>387</v>
      </c>
      <c r="AB611" s="2" t="s">
        <v>388</v>
      </c>
      <c r="AC611" s="2" t="s">
        <v>389</v>
      </c>
      <c r="AF611" s="2">
        <f t="shared" si="81"/>
        <v>0</v>
      </c>
      <c r="AJ611" s="2">
        <f t="shared" si="82"/>
        <v>0</v>
      </c>
      <c r="AK611" s="2">
        <f t="shared" si="79"/>
        <v>178</v>
      </c>
      <c r="AL611" s="5">
        <f t="shared" si="84"/>
        <v>0.29915966386554621</v>
      </c>
    </row>
    <row r="612" spans="1:38" x14ac:dyDescent="0.2">
      <c r="A612" s="2">
        <v>2025</v>
      </c>
      <c r="B612" s="2">
        <v>3</v>
      </c>
      <c r="D612" s="2" t="s">
        <v>1006</v>
      </c>
      <c r="E612" s="2" t="s">
        <v>108</v>
      </c>
      <c r="F612" s="2" t="s">
        <v>39</v>
      </c>
      <c r="L612" s="2" t="s">
        <v>177</v>
      </c>
      <c r="M612" s="2" t="s">
        <v>41</v>
      </c>
      <c r="P612" s="2" t="s">
        <v>282</v>
      </c>
      <c r="Q612" s="2" t="s">
        <v>401</v>
      </c>
      <c r="R612" s="2" t="s">
        <v>402</v>
      </c>
      <c r="S612" s="2">
        <v>4</v>
      </c>
      <c r="T612" s="2">
        <v>116</v>
      </c>
      <c r="U612" s="2">
        <v>26.68</v>
      </c>
      <c r="V612" s="2">
        <v>142.68</v>
      </c>
      <c r="W612" s="2">
        <f>17.4*S612</f>
        <v>69.599999999999994</v>
      </c>
      <c r="X612" s="5">
        <f t="shared" si="83"/>
        <v>0.4</v>
      </c>
      <c r="Z612" s="2" t="s">
        <v>3227</v>
      </c>
      <c r="AA612" s="2" t="s">
        <v>46</v>
      </c>
      <c r="AB612" s="2" t="s">
        <v>60</v>
      </c>
      <c r="AC612" s="2" t="s">
        <v>3332</v>
      </c>
      <c r="AF612" s="2">
        <f t="shared" si="81"/>
        <v>0</v>
      </c>
      <c r="AJ612" s="2">
        <f t="shared" si="82"/>
        <v>0</v>
      </c>
      <c r="AK612" s="2">
        <f t="shared" si="79"/>
        <v>46.400000000000006</v>
      </c>
      <c r="AL612" s="5">
        <f t="shared" si="84"/>
        <v>0.4</v>
      </c>
    </row>
    <row r="613" spans="1:38" x14ac:dyDescent="0.2">
      <c r="A613" s="2">
        <v>2025</v>
      </c>
      <c r="B613" s="2">
        <v>3</v>
      </c>
      <c r="D613" s="2" t="s">
        <v>775</v>
      </c>
      <c r="E613" s="2" t="s">
        <v>38</v>
      </c>
      <c r="F613" s="2" t="s">
        <v>39</v>
      </c>
      <c r="G613" s="2">
        <v>507324560</v>
      </c>
      <c r="H613" s="2" t="s">
        <v>40</v>
      </c>
      <c r="I613" s="2" t="s">
        <v>776</v>
      </c>
      <c r="J613" s="2" t="s">
        <v>777</v>
      </c>
      <c r="L613" s="2" t="s">
        <v>339</v>
      </c>
      <c r="M613" s="2" t="s">
        <v>40</v>
      </c>
      <c r="O613" s="2" t="s">
        <v>1007</v>
      </c>
      <c r="P613" s="2" t="s">
        <v>114</v>
      </c>
      <c r="Q613" s="2" t="s">
        <v>356</v>
      </c>
      <c r="R613" s="2" t="s">
        <v>357</v>
      </c>
      <c r="S613" s="2">
        <v>1</v>
      </c>
      <c r="T613" s="2">
        <v>518.29</v>
      </c>
      <c r="U613" s="2">
        <v>119.2067</v>
      </c>
      <c r="V613" s="2">
        <v>637.49669999999992</v>
      </c>
      <c r="W613" s="2">
        <v>246.77</v>
      </c>
      <c r="X613" s="5">
        <f t="shared" si="83"/>
        <v>0.52387659418472288</v>
      </c>
      <c r="Z613" s="2" t="s">
        <v>117</v>
      </c>
      <c r="AA613" s="2" t="s">
        <v>118</v>
      </c>
      <c r="AB613" s="2" t="s">
        <v>119</v>
      </c>
      <c r="AC613" s="2" t="s">
        <v>114</v>
      </c>
      <c r="AF613" s="2">
        <f t="shared" si="81"/>
        <v>0</v>
      </c>
      <c r="AG613" s="2">
        <v>246.77</v>
      </c>
      <c r="AJ613" s="2">
        <f t="shared" si="82"/>
        <v>0</v>
      </c>
      <c r="AK613" s="2">
        <f t="shared" si="79"/>
        <v>271.52</v>
      </c>
      <c r="AL613" s="5">
        <f t="shared" si="84"/>
        <v>0.52387659418472288</v>
      </c>
    </row>
    <row r="614" spans="1:38" x14ac:dyDescent="0.2">
      <c r="A614" s="2">
        <v>2025</v>
      </c>
      <c r="B614" s="2">
        <v>3</v>
      </c>
      <c r="D614" s="2" t="s">
        <v>775</v>
      </c>
      <c r="E614" s="2" t="s">
        <v>38</v>
      </c>
      <c r="F614" s="2" t="s">
        <v>39</v>
      </c>
      <c r="G614" s="2">
        <v>507324560</v>
      </c>
      <c r="H614" s="2" t="s">
        <v>40</v>
      </c>
      <c r="I614" s="2" t="s">
        <v>776</v>
      </c>
      <c r="J614" s="2" t="s">
        <v>777</v>
      </c>
      <c r="L614" s="2" t="s">
        <v>339</v>
      </c>
      <c r="M614" s="2" t="s">
        <v>40</v>
      </c>
      <c r="O614" s="2" t="s">
        <v>1007</v>
      </c>
      <c r="P614" s="2" t="s">
        <v>187</v>
      </c>
      <c r="Q614" s="2" t="s">
        <v>188</v>
      </c>
      <c r="R614" s="2" t="s">
        <v>189</v>
      </c>
      <c r="S614" s="2">
        <v>1</v>
      </c>
      <c r="T614" s="2">
        <v>50</v>
      </c>
      <c r="U614" s="2">
        <v>11.5</v>
      </c>
      <c r="V614" s="2">
        <v>61.5</v>
      </c>
      <c r="W614" s="2">
        <f>T614*40%</f>
        <v>20</v>
      </c>
      <c r="X614" s="5">
        <f t="shared" si="83"/>
        <v>0.6</v>
      </c>
      <c r="Z614" s="2" t="s">
        <v>117</v>
      </c>
      <c r="AA614" s="2" t="s">
        <v>190</v>
      </c>
      <c r="AB614" s="2" t="s">
        <v>189</v>
      </c>
      <c r="AC614" s="2" t="s">
        <v>40</v>
      </c>
      <c r="AF614" s="2">
        <f t="shared" si="81"/>
        <v>0</v>
      </c>
      <c r="AJ614" s="2">
        <f t="shared" si="82"/>
        <v>0</v>
      </c>
      <c r="AK614" s="2">
        <f t="shared" si="79"/>
        <v>30</v>
      </c>
      <c r="AL614" s="5">
        <f t="shared" si="84"/>
        <v>0.6</v>
      </c>
    </row>
    <row r="615" spans="1:38" x14ac:dyDescent="0.2">
      <c r="A615" s="2">
        <v>2025</v>
      </c>
      <c r="B615" s="2">
        <v>3</v>
      </c>
      <c r="D615" s="2" t="s">
        <v>775</v>
      </c>
      <c r="E615" s="2" t="s">
        <v>38</v>
      </c>
      <c r="F615" s="2" t="s">
        <v>39</v>
      </c>
      <c r="G615" s="2">
        <v>507324560</v>
      </c>
      <c r="H615" s="2" t="s">
        <v>40</v>
      </c>
      <c r="I615" s="2" t="s">
        <v>776</v>
      </c>
      <c r="J615" s="2" t="s">
        <v>777</v>
      </c>
      <c r="L615" s="2" t="s">
        <v>339</v>
      </c>
      <c r="M615" s="2" t="s">
        <v>40</v>
      </c>
      <c r="O615" s="2" t="s">
        <v>1007</v>
      </c>
      <c r="P615" s="2" t="s">
        <v>187</v>
      </c>
      <c r="Q615" s="2" t="s">
        <v>191</v>
      </c>
      <c r="R615" s="2" t="s">
        <v>190</v>
      </c>
      <c r="S615" s="2">
        <v>3</v>
      </c>
      <c r="T615" s="2">
        <v>100</v>
      </c>
      <c r="U615" s="2">
        <v>23</v>
      </c>
      <c r="V615" s="2">
        <v>123</v>
      </c>
      <c r="W615" s="2">
        <f>T615*50%</f>
        <v>50</v>
      </c>
      <c r="X615" s="5">
        <f t="shared" si="83"/>
        <v>0.5</v>
      </c>
      <c r="Z615" s="2" t="s">
        <v>117</v>
      </c>
      <c r="AA615" s="2" t="s">
        <v>190</v>
      </c>
      <c r="AB615" s="2" t="s">
        <v>190</v>
      </c>
      <c r="AC615" s="2" t="s">
        <v>40</v>
      </c>
      <c r="AF615" s="2">
        <f t="shared" si="81"/>
        <v>0</v>
      </c>
      <c r="AJ615" s="2">
        <f t="shared" si="82"/>
        <v>0</v>
      </c>
      <c r="AK615" s="2">
        <f t="shared" si="79"/>
        <v>50</v>
      </c>
      <c r="AL615" s="5">
        <f t="shared" si="84"/>
        <v>0.5</v>
      </c>
    </row>
    <row r="616" spans="1:38" x14ac:dyDescent="0.2">
      <c r="A616" s="2">
        <v>2025</v>
      </c>
      <c r="B616" s="2">
        <v>3</v>
      </c>
      <c r="D616" s="2" t="s">
        <v>1008</v>
      </c>
      <c r="E616" s="2" t="s">
        <v>108</v>
      </c>
      <c r="F616" s="2" t="s">
        <v>39</v>
      </c>
      <c r="L616" s="2" t="s">
        <v>418</v>
      </c>
      <c r="M616" s="2" t="s">
        <v>41</v>
      </c>
      <c r="P616" s="2" t="s">
        <v>43</v>
      </c>
      <c r="Q616" s="2" t="s">
        <v>54</v>
      </c>
      <c r="R616" s="2" t="s">
        <v>55</v>
      </c>
      <c r="S616" s="2">
        <v>3</v>
      </c>
      <c r="T616" s="2">
        <v>54</v>
      </c>
      <c r="U616" s="2">
        <v>12.42</v>
      </c>
      <c r="V616" s="2">
        <v>66.42</v>
      </c>
      <c r="W616" s="2">
        <f>10.6*S616</f>
        <v>31.799999999999997</v>
      </c>
      <c r="X616" s="5">
        <f t="shared" si="83"/>
        <v>0.41111111111111115</v>
      </c>
      <c r="Z616" s="2" t="s">
        <v>3227</v>
      </c>
      <c r="AA616" s="2" t="s">
        <v>46</v>
      </c>
      <c r="AB616" s="2" t="s">
        <v>56</v>
      </c>
      <c r="AC616" s="2" t="s">
        <v>57</v>
      </c>
      <c r="AF616" s="2">
        <f t="shared" si="81"/>
        <v>0</v>
      </c>
      <c r="AG616" s="2">
        <v>10.6</v>
      </c>
      <c r="AH616" s="2">
        <v>18</v>
      </c>
      <c r="AJ616" s="2">
        <f t="shared" si="82"/>
        <v>0</v>
      </c>
      <c r="AK616" s="2">
        <f t="shared" si="79"/>
        <v>22.200000000000003</v>
      </c>
      <c r="AL616" s="5">
        <f t="shared" si="84"/>
        <v>0.41111111111111115</v>
      </c>
    </row>
    <row r="617" spans="1:38" x14ac:dyDescent="0.2">
      <c r="A617" s="2">
        <v>2025</v>
      </c>
      <c r="B617" s="2">
        <v>3</v>
      </c>
      <c r="D617" s="2" t="s">
        <v>1008</v>
      </c>
      <c r="E617" s="2" t="s">
        <v>108</v>
      </c>
      <c r="F617" s="2" t="s">
        <v>39</v>
      </c>
      <c r="L617" s="2" t="s">
        <v>418</v>
      </c>
      <c r="M617" s="2" t="s">
        <v>41</v>
      </c>
      <c r="P617" s="2" t="s">
        <v>43</v>
      </c>
      <c r="Q617" s="2" t="s">
        <v>61</v>
      </c>
      <c r="R617" s="2" t="s">
        <v>62</v>
      </c>
      <c r="S617" s="2">
        <v>100</v>
      </c>
      <c r="T617" s="2">
        <v>12</v>
      </c>
      <c r="U617" s="2">
        <v>2.76</v>
      </c>
      <c r="V617" s="2">
        <v>14.76</v>
      </c>
      <c r="W617" s="2">
        <f>0.082*S617</f>
        <v>8.2000000000000011</v>
      </c>
      <c r="X617" s="5">
        <f t="shared" si="83"/>
        <v>0.3166666666666666</v>
      </c>
      <c r="Z617" s="2" t="s">
        <v>3227</v>
      </c>
      <c r="AA617" s="2" t="s">
        <v>46</v>
      </c>
      <c r="AB617" s="2" t="s">
        <v>60</v>
      </c>
      <c r="AC617" s="2" t="s">
        <v>57</v>
      </c>
      <c r="AF617" s="2">
        <f t="shared" si="81"/>
        <v>0</v>
      </c>
      <c r="AG617" s="2">
        <v>8.1999999999999993</v>
      </c>
      <c r="AH617" s="2">
        <v>13</v>
      </c>
      <c r="AJ617" s="2">
        <f t="shared" si="82"/>
        <v>0</v>
      </c>
      <c r="AK617" s="2">
        <f t="shared" si="79"/>
        <v>3.7999999999999989</v>
      </c>
      <c r="AL617" s="5">
        <f t="shared" si="84"/>
        <v>0.3166666666666666</v>
      </c>
    </row>
    <row r="618" spans="1:38" x14ac:dyDescent="0.2">
      <c r="A618" s="2">
        <v>2025</v>
      </c>
      <c r="B618" s="2">
        <v>3</v>
      </c>
      <c r="D618" s="2" t="s">
        <v>1008</v>
      </c>
      <c r="E618" s="2" t="s">
        <v>108</v>
      </c>
      <c r="F618" s="2" t="s">
        <v>39</v>
      </c>
      <c r="L618" s="2" t="s">
        <v>418</v>
      </c>
      <c r="M618" s="2" t="s">
        <v>41</v>
      </c>
      <c r="P618" s="2" t="s">
        <v>169</v>
      </c>
      <c r="Q618" s="2" t="s">
        <v>170</v>
      </c>
      <c r="R618" s="2" t="s">
        <v>170</v>
      </c>
      <c r="S618" s="2">
        <v>1</v>
      </c>
      <c r="T618" s="2">
        <v>8</v>
      </c>
      <c r="U618" s="2">
        <v>1.84</v>
      </c>
      <c r="V618" s="2">
        <v>9.84</v>
      </c>
      <c r="W618" s="2">
        <v>6</v>
      </c>
      <c r="X618" s="5">
        <f t="shared" si="83"/>
        <v>0.25</v>
      </c>
      <c r="Z618" s="2" t="s">
        <v>169</v>
      </c>
      <c r="AA618" s="2" t="s">
        <v>169</v>
      </c>
      <c r="AF618" s="2">
        <f t="shared" si="81"/>
        <v>0</v>
      </c>
      <c r="AJ618" s="2">
        <f t="shared" si="82"/>
        <v>0</v>
      </c>
      <c r="AK618" s="2">
        <f t="shared" si="79"/>
        <v>2</v>
      </c>
      <c r="AL618" s="5">
        <f t="shared" si="84"/>
        <v>0.25</v>
      </c>
    </row>
    <row r="619" spans="1:38" x14ac:dyDescent="0.2">
      <c r="A619" s="2">
        <v>2025</v>
      </c>
      <c r="B619" s="2">
        <v>3</v>
      </c>
      <c r="D619" s="2" t="s">
        <v>1009</v>
      </c>
      <c r="E619" s="2" t="s">
        <v>108</v>
      </c>
      <c r="F619" s="2" t="s">
        <v>39</v>
      </c>
      <c r="G619" s="2">
        <v>507063481</v>
      </c>
      <c r="H619" s="2" t="s">
        <v>290</v>
      </c>
      <c r="I619" s="2" t="s">
        <v>1010</v>
      </c>
      <c r="J619" s="2" t="s">
        <v>1011</v>
      </c>
      <c r="L619" s="2" t="s">
        <v>293</v>
      </c>
      <c r="M619" s="2" t="s">
        <v>40</v>
      </c>
      <c r="P619" s="2" t="s">
        <v>187</v>
      </c>
      <c r="Q619" s="2" t="s">
        <v>188</v>
      </c>
      <c r="R619" s="2" t="s">
        <v>189</v>
      </c>
      <c r="S619" s="2">
        <v>1</v>
      </c>
      <c r="T619" s="2">
        <v>41.25</v>
      </c>
      <c r="U619" s="2">
        <v>9.4875000000000007</v>
      </c>
      <c r="V619" s="2">
        <v>50.737499999999997</v>
      </c>
      <c r="W619" s="2">
        <f>T619*40%</f>
        <v>16.5</v>
      </c>
      <c r="X619" s="5">
        <f t="shared" si="83"/>
        <v>0.6</v>
      </c>
      <c r="Z619" s="2" t="s">
        <v>117</v>
      </c>
      <c r="AA619" s="2" t="s">
        <v>190</v>
      </c>
      <c r="AB619" s="2" t="s">
        <v>189</v>
      </c>
      <c r="AC619" s="2" t="s">
        <v>40</v>
      </c>
      <c r="AF619" s="2">
        <f t="shared" si="81"/>
        <v>0</v>
      </c>
      <c r="AJ619" s="2">
        <f t="shared" si="82"/>
        <v>0</v>
      </c>
      <c r="AK619" s="2">
        <f t="shared" si="79"/>
        <v>24.75</v>
      </c>
      <c r="AL619" s="5">
        <f t="shared" si="84"/>
        <v>0.6</v>
      </c>
    </row>
    <row r="620" spans="1:38" x14ac:dyDescent="0.2">
      <c r="A620" s="2">
        <v>2025</v>
      </c>
      <c r="B620" s="2">
        <v>3</v>
      </c>
      <c r="D620" s="2" t="s">
        <v>1009</v>
      </c>
      <c r="E620" s="2" t="s">
        <v>108</v>
      </c>
      <c r="F620" s="2" t="s">
        <v>39</v>
      </c>
      <c r="G620" s="2">
        <v>507063481</v>
      </c>
      <c r="H620" s="2" t="s">
        <v>290</v>
      </c>
      <c r="I620" s="2" t="s">
        <v>1010</v>
      </c>
      <c r="J620" s="2" t="s">
        <v>1011</v>
      </c>
      <c r="L620" s="2" t="s">
        <v>293</v>
      </c>
      <c r="M620" s="2" t="s">
        <v>40</v>
      </c>
      <c r="P620" s="2" t="s">
        <v>187</v>
      </c>
      <c r="Q620" s="2" t="s">
        <v>191</v>
      </c>
      <c r="R620" s="2" t="s">
        <v>190</v>
      </c>
      <c r="S620" s="2">
        <v>1</v>
      </c>
      <c r="T620" s="2">
        <v>45</v>
      </c>
      <c r="U620" s="2">
        <v>10.35</v>
      </c>
      <c r="V620" s="2">
        <v>55.35</v>
      </c>
      <c r="W620" s="2">
        <f>T620*50%</f>
        <v>22.5</v>
      </c>
      <c r="X620" s="5">
        <f t="shared" si="83"/>
        <v>0.5</v>
      </c>
      <c r="Z620" s="2" t="s">
        <v>117</v>
      </c>
      <c r="AA620" s="2" t="s">
        <v>190</v>
      </c>
      <c r="AB620" s="2" t="s">
        <v>190</v>
      </c>
      <c r="AC620" s="2" t="s">
        <v>40</v>
      </c>
      <c r="AF620" s="2">
        <f t="shared" si="81"/>
        <v>0</v>
      </c>
      <c r="AJ620" s="2">
        <f t="shared" si="82"/>
        <v>0</v>
      </c>
      <c r="AK620" s="2">
        <f t="shared" si="79"/>
        <v>22.5</v>
      </c>
      <c r="AL620" s="5">
        <f t="shared" si="84"/>
        <v>0.5</v>
      </c>
    </row>
    <row r="621" spans="1:38" x14ac:dyDescent="0.2">
      <c r="A621" s="2">
        <v>2025</v>
      </c>
      <c r="B621" s="2">
        <v>3</v>
      </c>
      <c r="D621" s="2" t="s">
        <v>1009</v>
      </c>
      <c r="E621" s="2" t="s">
        <v>108</v>
      </c>
      <c r="F621" s="2" t="s">
        <v>39</v>
      </c>
      <c r="G621" s="2">
        <v>507063481</v>
      </c>
      <c r="H621" s="2" t="s">
        <v>290</v>
      </c>
      <c r="I621" s="2" t="s">
        <v>1010</v>
      </c>
      <c r="J621" s="2" t="s">
        <v>1011</v>
      </c>
      <c r="L621" s="2" t="s">
        <v>293</v>
      </c>
      <c r="P621" s="2" t="s">
        <v>40</v>
      </c>
      <c r="Q621" s="2" t="s">
        <v>363</v>
      </c>
      <c r="R621" s="2" t="s">
        <v>364</v>
      </c>
      <c r="S621" s="2">
        <v>2</v>
      </c>
      <c r="T621" s="2">
        <v>10.8</v>
      </c>
      <c r="U621" s="2">
        <v>2.484</v>
      </c>
      <c r="V621" s="2">
        <v>13.284000000000001</v>
      </c>
      <c r="X621" s="5">
        <f t="shared" si="83"/>
        <v>1</v>
      </c>
      <c r="Z621" s="2" t="s">
        <v>119</v>
      </c>
      <c r="AA621" s="2" t="s">
        <v>3380</v>
      </c>
      <c r="AF621" s="2">
        <f t="shared" si="81"/>
        <v>0</v>
      </c>
      <c r="AJ621" s="2">
        <f t="shared" si="82"/>
        <v>0</v>
      </c>
      <c r="AK621" s="2">
        <f t="shared" si="79"/>
        <v>10.8</v>
      </c>
      <c r="AL621" s="5">
        <f t="shared" si="84"/>
        <v>1</v>
      </c>
    </row>
    <row r="622" spans="1:38" x14ac:dyDescent="0.2">
      <c r="A622" s="2">
        <v>2025</v>
      </c>
      <c r="B622" s="2">
        <v>3</v>
      </c>
      <c r="D622" s="2" t="s">
        <v>1012</v>
      </c>
      <c r="M622" s="2" t="s">
        <v>40</v>
      </c>
      <c r="P622" s="2" t="s">
        <v>187</v>
      </c>
      <c r="Q622" s="2" t="s">
        <v>188</v>
      </c>
      <c r="R622" s="2" t="s">
        <v>189</v>
      </c>
      <c r="S622" s="2">
        <v>1</v>
      </c>
      <c r="T622" s="2">
        <v>50</v>
      </c>
      <c r="U622" s="2">
        <v>11.5</v>
      </c>
      <c r="V622" s="2">
        <v>61.5</v>
      </c>
      <c r="W622" s="2">
        <f>T622*40%</f>
        <v>20</v>
      </c>
      <c r="X622" s="5">
        <f t="shared" si="83"/>
        <v>0.6</v>
      </c>
      <c r="Z622" s="2" t="s">
        <v>117</v>
      </c>
      <c r="AA622" s="2" t="s">
        <v>190</v>
      </c>
      <c r="AB622" s="2" t="s">
        <v>189</v>
      </c>
      <c r="AC622" s="2" t="s">
        <v>40</v>
      </c>
      <c r="AF622" s="2">
        <f t="shared" si="81"/>
        <v>0</v>
      </c>
      <c r="AJ622" s="2">
        <f t="shared" si="82"/>
        <v>0</v>
      </c>
      <c r="AK622" s="2">
        <f t="shared" si="79"/>
        <v>30</v>
      </c>
      <c r="AL622" s="5">
        <f t="shared" si="84"/>
        <v>0.6</v>
      </c>
    </row>
    <row r="623" spans="1:38" x14ac:dyDescent="0.2">
      <c r="A623" s="2">
        <v>2025</v>
      </c>
      <c r="B623" s="2">
        <v>3</v>
      </c>
      <c r="D623" s="2" t="s">
        <v>1012</v>
      </c>
      <c r="M623" s="2" t="s">
        <v>40</v>
      </c>
      <c r="P623" s="2" t="s">
        <v>187</v>
      </c>
      <c r="Q623" s="2" t="s">
        <v>191</v>
      </c>
      <c r="R623" s="2" t="s">
        <v>190</v>
      </c>
      <c r="S623" s="2">
        <v>1</v>
      </c>
      <c r="T623" s="2">
        <v>50</v>
      </c>
      <c r="U623" s="2">
        <v>11.5</v>
      </c>
      <c r="V623" s="2">
        <v>61.5</v>
      </c>
      <c r="W623" s="2">
        <f>T623*50%</f>
        <v>25</v>
      </c>
      <c r="X623" s="5">
        <f t="shared" si="83"/>
        <v>0.5</v>
      </c>
      <c r="Z623" s="2" t="s">
        <v>117</v>
      </c>
      <c r="AA623" s="2" t="s">
        <v>190</v>
      </c>
      <c r="AB623" s="2" t="s">
        <v>190</v>
      </c>
      <c r="AC623" s="2" t="s">
        <v>40</v>
      </c>
      <c r="AF623" s="2">
        <f t="shared" si="81"/>
        <v>0</v>
      </c>
      <c r="AJ623" s="2">
        <f t="shared" si="82"/>
        <v>0</v>
      </c>
      <c r="AK623" s="2">
        <f t="shared" si="79"/>
        <v>25</v>
      </c>
      <c r="AL623" s="5">
        <f t="shared" si="84"/>
        <v>0.5</v>
      </c>
    </row>
    <row r="624" spans="1:38" x14ac:dyDescent="0.2">
      <c r="A624" s="2">
        <v>2025</v>
      </c>
      <c r="B624" s="2">
        <v>3</v>
      </c>
      <c r="D624" s="2" t="s">
        <v>788</v>
      </c>
      <c r="E624" s="2" t="s">
        <v>38</v>
      </c>
      <c r="F624" s="2" t="s">
        <v>39</v>
      </c>
      <c r="G624" s="2">
        <v>507389689</v>
      </c>
      <c r="H624" s="2" t="s">
        <v>40</v>
      </c>
      <c r="I624" s="2" t="s">
        <v>789</v>
      </c>
      <c r="J624" s="2" t="s">
        <v>790</v>
      </c>
      <c r="K624" s="2">
        <v>912216027</v>
      </c>
      <c r="L624" s="2" t="s">
        <v>293</v>
      </c>
      <c r="M624" s="2" t="s">
        <v>40</v>
      </c>
      <c r="P624" s="2" t="s">
        <v>114</v>
      </c>
      <c r="Q624" s="2" t="s">
        <v>1013</v>
      </c>
      <c r="R624" s="2" t="s">
        <v>1014</v>
      </c>
      <c r="S624" s="2">
        <v>1</v>
      </c>
      <c r="T624" s="2">
        <v>83.75</v>
      </c>
      <c r="U624" s="2">
        <v>19.262499999999999</v>
      </c>
      <c r="V624" s="2">
        <v>103.0125</v>
      </c>
      <c r="W624" s="2">
        <f>46.7951</f>
        <v>46.795099999999998</v>
      </c>
      <c r="X624" s="5">
        <f t="shared" si="83"/>
        <v>0.44125253731343284</v>
      </c>
      <c r="Z624" s="2" t="s">
        <v>117</v>
      </c>
      <c r="AA624" s="2" t="s">
        <v>118</v>
      </c>
      <c r="AB624" s="2" t="s">
        <v>119</v>
      </c>
      <c r="AC624" s="2" t="s">
        <v>114</v>
      </c>
      <c r="AF624" s="2">
        <f t="shared" si="81"/>
        <v>0</v>
      </c>
      <c r="AJ624" s="2">
        <f t="shared" si="82"/>
        <v>0</v>
      </c>
      <c r="AK624" s="2">
        <f t="shared" si="79"/>
        <v>36.954900000000002</v>
      </c>
      <c r="AL624" s="5">
        <f t="shared" si="84"/>
        <v>0.44125253731343284</v>
      </c>
    </row>
    <row r="625" spans="1:38" x14ac:dyDescent="0.2">
      <c r="A625" s="2">
        <v>2025</v>
      </c>
      <c r="B625" s="2">
        <v>3</v>
      </c>
      <c r="D625" s="2" t="s">
        <v>415</v>
      </c>
      <c r="E625" s="2" t="s">
        <v>38</v>
      </c>
      <c r="F625" s="2" t="s">
        <v>39</v>
      </c>
      <c r="G625" s="2">
        <v>219908800</v>
      </c>
      <c r="H625" s="2" t="s">
        <v>41</v>
      </c>
      <c r="I625" s="2" t="s">
        <v>416</v>
      </c>
      <c r="J625" s="2" t="s">
        <v>417</v>
      </c>
      <c r="L625" s="2" t="s">
        <v>418</v>
      </c>
      <c r="M625" s="2" t="s">
        <v>41</v>
      </c>
      <c r="P625" s="2" t="s">
        <v>43</v>
      </c>
      <c r="Q625" s="2" t="s">
        <v>334</v>
      </c>
      <c r="R625" s="2" t="s">
        <v>335</v>
      </c>
      <c r="S625" s="2">
        <v>8</v>
      </c>
      <c r="T625" s="2">
        <v>24</v>
      </c>
      <c r="U625" s="2">
        <v>5.52</v>
      </c>
      <c r="V625" s="2">
        <v>29.52</v>
      </c>
      <c r="W625" s="2">
        <f>1.1122*S625</f>
        <v>8.8976000000000006</v>
      </c>
      <c r="X625" s="5">
        <f t="shared" si="83"/>
        <v>0.62926666666666664</v>
      </c>
      <c r="Z625" s="2" t="s">
        <v>3227</v>
      </c>
      <c r="AA625" s="2" t="s">
        <v>46</v>
      </c>
      <c r="AB625" s="2" t="s">
        <v>60</v>
      </c>
      <c r="AC625" s="2" t="s">
        <v>57</v>
      </c>
      <c r="AF625" s="2">
        <f t="shared" si="81"/>
        <v>0</v>
      </c>
      <c r="AG625" s="2">
        <v>1.1122000000000001</v>
      </c>
      <c r="AH625" s="2">
        <v>3</v>
      </c>
      <c r="AJ625" s="2">
        <f t="shared" si="82"/>
        <v>0</v>
      </c>
      <c r="AK625" s="2">
        <f t="shared" si="79"/>
        <v>15.102399999999999</v>
      </c>
      <c r="AL625" s="5">
        <f t="shared" si="84"/>
        <v>0.62926666666666664</v>
      </c>
    </row>
    <row r="626" spans="1:38" x14ac:dyDescent="0.2">
      <c r="A626" s="2">
        <v>2025</v>
      </c>
      <c r="B626" s="2">
        <v>3</v>
      </c>
      <c r="D626" s="2" t="s">
        <v>1015</v>
      </c>
      <c r="E626" s="2" t="s">
        <v>108</v>
      </c>
      <c r="F626" s="2" t="s">
        <v>477</v>
      </c>
      <c r="G626" s="2">
        <v>503815284</v>
      </c>
      <c r="H626" s="2" t="s">
        <v>40</v>
      </c>
      <c r="I626" s="2" t="s">
        <v>156</v>
      </c>
      <c r="J626" s="2" t="s">
        <v>2538</v>
      </c>
      <c r="L626" s="2" t="s">
        <v>99</v>
      </c>
      <c r="M626" s="2" t="s">
        <v>80</v>
      </c>
      <c r="P626" s="2" t="s">
        <v>43</v>
      </c>
      <c r="Q626" s="2" t="s">
        <v>164</v>
      </c>
      <c r="R626" s="2" t="s">
        <v>165</v>
      </c>
      <c r="S626" s="2">
        <v>2</v>
      </c>
      <c r="T626" s="2">
        <v>30</v>
      </c>
      <c r="U626" s="2">
        <v>6.9</v>
      </c>
      <c r="V626" s="2">
        <v>36.9</v>
      </c>
      <c r="W626" s="2">
        <f>7.9612*S626</f>
        <v>15.9224</v>
      </c>
      <c r="X626" s="5">
        <f t="shared" si="83"/>
        <v>0.46925333333333336</v>
      </c>
      <c r="Z626" s="2" t="s">
        <v>3227</v>
      </c>
      <c r="AA626" s="2" t="s">
        <v>46</v>
      </c>
      <c r="AB626" s="2" t="s">
        <v>67</v>
      </c>
      <c r="AC626" s="2" t="s">
        <v>57</v>
      </c>
      <c r="AF626" s="2">
        <f t="shared" si="81"/>
        <v>0</v>
      </c>
      <c r="AG626" s="2">
        <v>7.9611999999999998</v>
      </c>
      <c r="AH626" s="2">
        <v>14.4</v>
      </c>
      <c r="AJ626" s="2">
        <f t="shared" si="82"/>
        <v>0</v>
      </c>
      <c r="AK626" s="2">
        <f t="shared" si="79"/>
        <v>14.0776</v>
      </c>
      <c r="AL626" s="5">
        <f t="shared" si="84"/>
        <v>0.46925333333333336</v>
      </c>
    </row>
    <row r="627" spans="1:38" x14ac:dyDescent="0.2">
      <c r="A627" s="2">
        <v>2025</v>
      </c>
      <c r="B627" s="2">
        <v>3</v>
      </c>
      <c r="D627" s="2" t="s">
        <v>422</v>
      </c>
      <c r="E627" s="2" t="s">
        <v>98</v>
      </c>
      <c r="F627" s="2" t="s">
        <v>39</v>
      </c>
      <c r="G627" s="2">
        <v>503523470</v>
      </c>
      <c r="H627" s="2" t="s">
        <v>40</v>
      </c>
      <c r="I627" s="2" t="s">
        <v>423</v>
      </c>
      <c r="J627" s="2" t="s">
        <v>424</v>
      </c>
      <c r="L627" s="2" t="s">
        <v>201</v>
      </c>
      <c r="M627" s="2" t="s">
        <v>80</v>
      </c>
      <c r="P627" s="2" t="s">
        <v>43</v>
      </c>
      <c r="Q627" s="2" t="s">
        <v>54</v>
      </c>
      <c r="R627" s="2" t="s">
        <v>55</v>
      </c>
      <c r="S627" s="2">
        <v>1</v>
      </c>
      <c r="T627" s="2">
        <v>18</v>
      </c>
      <c r="U627" s="2">
        <v>4.1400000000000006</v>
      </c>
      <c r="V627" s="2">
        <v>22.14</v>
      </c>
      <c r="W627" s="2">
        <f>10.6*S627</f>
        <v>10.6</v>
      </c>
      <c r="X627" s="5">
        <f t="shared" si="83"/>
        <v>0.41111111111111115</v>
      </c>
      <c r="Z627" s="2" t="s">
        <v>3227</v>
      </c>
      <c r="AA627" s="2" t="s">
        <v>46</v>
      </c>
      <c r="AB627" s="2" t="s">
        <v>56</v>
      </c>
      <c r="AC627" s="2" t="s">
        <v>57</v>
      </c>
      <c r="AF627" s="2">
        <f t="shared" si="81"/>
        <v>0</v>
      </c>
      <c r="AG627" s="2">
        <v>10.6</v>
      </c>
      <c r="AH627" s="2">
        <v>18</v>
      </c>
      <c r="AJ627" s="2">
        <f t="shared" si="82"/>
        <v>0</v>
      </c>
      <c r="AK627" s="2">
        <f t="shared" si="79"/>
        <v>7.4</v>
      </c>
      <c r="AL627" s="5">
        <f t="shared" si="84"/>
        <v>0.41111111111111115</v>
      </c>
    </row>
    <row r="628" spans="1:38" x14ac:dyDescent="0.2">
      <c r="A628" s="2">
        <v>2025</v>
      </c>
      <c r="B628" s="2">
        <v>3</v>
      </c>
      <c r="D628" s="2" t="s">
        <v>422</v>
      </c>
      <c r="E628" s="2" t="s">
        <v>98</v>
      </c>
      <c r="F628" s="2" t="s">
        <v>39</v>
      </c>
      <c r="G628" s="2">
        <v>503523470</v>
      </c>
      <c r="H628" s="2" t="s">
        <v>40</v>
      </c>
      <c r="I628" s="2" t="s">
        <v>423</v>
      </c>
      <c r="J628" s="2" t="s">
        <v>424</v>
      </c>
      <c r="L628" s="2" t="s">
        <v>201</v>
      </c>
      <c r="M628" s="2" t="s">
        <v>80</v>
      </c>
      <c r="P628" s="2" t="s">
        <v>43</v>
      </c>
      <c r="Q628" s="2" t="s">
        <v>65</v>
      </c>
      <c r="R628" s="2" t="s">
        <v>66</v>
      </c>
      <c r="S628" s="2">
        <v>1</v>
      </c>
      <c r="T628" s="2">
        <v>22</v>
      </c>
      <c r="U628" s="2">
        <v>5.0599999999999996</v>
      </c>
      <c r="V628" s="2">
        <v>27.06</v>
      </c>
      <c r="W628" s="2">
        <f>15.0203*S628</f>
        <v>15.020300000000001</v>
      </c>
      <c r="X628" s="5">
        <f t="shared" ref="X628:X634" si="85">(T628-W628)/T628</f>
        <v>0.31725909090909088</v>
      </c>
      <c r="Z628" s="2" t="s">
        <v>3227</v>
      </c>
      <c r="AA628" s="2" t="s">
        <v>46</v>
      </c>
      <c r="AB628" s="2" t="s">
        <v>67</v>
      </c>
      <c r="AC628" s="2" t="s">
        <v>57</v>
      </c>
      <c r="AF628" s="2">
        <f t="shared" si="81"/>
        <v>0</v>
      </c>
      <c r="AG628" s="2">
        <v>15.020300000000001</v>
      </c>
      <c r="AH628" s="2">
        <v>27.6</v>
      </c>
      <c r="AJ628" s="2">
        <f t="shared" si="82"/>
        <v>0</v>
      </c>
      <c r="AK628" s="2">
        <f t="shared" ref="AK628:AK691" si="86">T628-W628</f>
        <v>6.9796999999999993</v>
      </c>
      <c r="AL628" s="5">
        <f t="shared" ref="AL628:AL634" si="87">(T628-W628)/T628</f>
        <v>0.31725909090909088</v>
      </c>
    </row>
    <row r="629" spans="1:38" x14ac:dyDescent="0.2">
      <c r="A629" s="2">
        <v>2025</v>
      </c>
      <c r="B629" s="2">
        <v>3</v>
      </c>
      <c r="D629" s="2" t="s">
        <v>813</v>
      </c>
      <c r="E629" s="2" t="s">
        <v>38</v>
      </c>
      <c r="F629" s="2" t="s">
        <v>39</v>
      </c>
      <c r="G629" s="2" t="s">
        <v>814</v>
      </c>
      <c r="H629" s="2" t="s">
        <v>41</v>
      </c>
      <c r="I629" s="2" t="s">
        <v>626</v>
      </c>
      <c r="L629" s="2" t="s">
        <v>626</v>
      </c>
      <c r="M629" s="2" t="s">
        <v>41</v>
      </c>
      <c r="O629" s="2" t="s">
        <v>1016</v>
      </c>
      <c r="P629" s="2" t="s">
        <v>43</v>
      </c>
      <c r="Q629" s="2" t="s">
        <v>859</v>
      </c>
      <c r="R629" s="2" t="s">
        <v>860</v>
      </c>
      <c r="S629" s="2">
        <v>1</v>
      </c>
      <c r="T629" s="2">
        <v>16.8</v>
      </c>
      <c r="U629" s="2">
        <v>3.8639999999999999</v>
      </c>
      <c r="V629" s="2">
        <v>20.664000000000001</v>
      </c>
      <c r="W629" s="2">
        <f>8*S629</f>
        <v>8</v>
      </c>
      <c r="X629" s="5">
        <f t="shared" si="85"/>
        <v>0.52380952380952384</v>
      </c>
      <c r="Z629" s="2" t="s">
        <v>3227</v>
      </c>
      <c r="AA629" s="2" t="s">
        <v>46</v>
      </c>
      <c r="AB629" s="2" t="s">
        <v>47</v>
      </c>
      <c r="AC629" s="2" t="s">
        <v>57</v>
      </c>
      <c r="AF629" s="2">
        <f t="shared" si="81"/>
        <v>0</v>
      </c>
      <c r="AJ629" s="2">
        <f t="shared" si="82"/>
        <v>0</v>
      </c>
      <c r="AK629" s="2">
        <f t="shared" si="86"/>
        <v>8.8000000000000007</v>
      </c>
      <c r="AL629" s="5">
        <f t="shared" si="87"/>
        <v>0.52380952380952384</v>
      </c>
    </row>
    <row r="630" spans="1:38" x14ac:dyDescent="0.2">
      <c r="A630" s="2">
        <v>2025</v>
      </c>
      <c r="B630" s="2">
        <v>3</v>
      </c>
      <c r="D630" s="2" t="s">
        <v>813</v>
      </c>
      <c r="E630" s="2" t="s">
        <v>38</v>
      </c>
      <c r="F630" s="2" t="s">
        <v>39</v>
      </c>
      <c r="G630" s="2" t="s">
        <v>814</v>
      </c>
      <c r="H630" s="2" t="s">
        <v>41</v>
      </c>
      <c r="I630" s="2" t="s">
        <v>626</v>
      </c>
      <c r="L630" s="2" t="s">
        <v>626</v>
      </c>
      <c r="M630" s="2" t="s">
        <v>41</v>
      </c>
      <c r="O630" s="2" t="s">
        <v>1016</v>
      </c>
      <c r="P630" s="2" t="s">
        <v>43</v>
      </c>
      <c r="Q630" s="2" t="s">
        <v>65</v>
      </c>
      <c r="R630" s="2" t="s">
        <v>66</v>
      </c>
      <c r="S630" s="2">
        <v>1</v>
      </c>
      <c r="T630" s="2">
        <v>21.5</v>
      </c>
      <c r="U630" s="2">
        <v>4.9450000000000003</v>
      </c>
      <c r="V630" s="2">
        <v>26.445</v>
      </c>
      <c r="W630" s="2">
        <f>15.0203*S630</f>
        <v>15.020300000000001</v>
      </c>
      <c r="X630" s="5">
        <f t="shared" si="85"/>
        <v>0.30138139534883718</v>
      </c>
      <c r="Z630" s="2" t="s">
        <v>3227</v>
      </c>
      <c r="AA630" s="2" t="s">
        <v>46</v>
      </c>
      <c r="AB630" s="2" t="s">
        <v>67</v>
      </c>
      <c r="AC630" s="2" t="s">
        <v>57</v>
      </c>
      <c r="AF630" s="2">
        <f t="shared" si="81"/>
        <v>0</v>
      </c>
      <c r="AG630" s="2">
        <v>15.020300000000001</v>
      </c>
      <c r="AH630" s="2">
        <v>27.6</v>
      </c>
      <c r="AJ630" s="2">
        <f t="shared" si="82"/>
        <v>0</v>
      </c>
      <c r="AK630" s="2">
        <f t="shared" si="86"/>
        <v>6.4796999999999993</v>
      </c>
      <c r="AL630" s="5">
        <f t="shared" si="87"/>
        <v>0.30138139534883718</v>
      </c>
    </row>
    <row r="631" spans="1:38" x14ac:dyDescent="0.2">
      <c r="A631" s="2">
        <v>2025</v>
      </c>
      <c r="B631" s="2">
        <v>3</v>
      </c>
      <c r="C631" s="2" t="s">
        <v>3457</v>
      </c>
      <c r="D631" s="2" t="s">
        <v>1017</v>
      </c>
      <c r="E631" s="2" t="s">
        <v>108</v>
      </c>
      <c r="F631" s="2" t="s">
        <v>477</v>
      </c>
      <c r="G631" s="2">
        <v>505647338</v>
      </c>
      <c r="H631" s="2" t="s">
        <v>290</v>
      </c>
      <c r="I631" s="2" t="s">
        <v>1018</v>
      </c>
      <c r="J631" s="2" t="s">
        <v>1019</v>
      </c>
      <c r="L631" s="2" t="s">
        <v>293</v>
      </c>
      <c r="M631" s="2" t="s">
        <v>80</v>
      </c>
      <c r="O631" s="2" t="s">
        <v>1020</v>
      </c>
      <c r="P631" s="2" t="s">
        <v>72</v>
      </c>
      <c r="Q631" s="2" t="s">
        <v>73</v>
      </c>
      <c r="R631" s="2" t="s">
        <v>74</v>
      </c>
      <c r="S631" s="2">
        <v>2</v>
      </c>
      <c r="T631" s="2">
        <v>420</v>
      </c>
      <c r="U631" s="2">
        <v>96.600000000000009</v>
      </c>
      <c r="V631" s="2">
        <v>516.6</v>
      </c>
      <c r="W631" s="2">
        <v>234.90600000000001</v>
      </c>
      <c r="X631" s="5">
        <f t="shared" si="85"/>
        <v>0.44069999999999998</v>
      </c>
      <c r="Z631" s="2" t="s">
        <v>3227</v>
      </c>
      <c r="AA631" s="2" t="s">
        <v>75</v>
      </c>
      <c r="AB631" s="2" t="s">
        <v>76</v>
      </c>
      <c r="AC631" s="2" t="s">
        <v>77</v>
      </c>
      <c r="AF631" s="2">
        <f t="shared" si="81"/>
        <v>0</v>
      </c>
      <c r="AG631" s="2">
        <v>117.453</v>
      </c>
      <c r="AH631" s="2">
        <v>220</v>
      </c>
      <c r="AJ631" s="2">
        <f t="shared" si="82"/>
        <v>0</v>
      </c>
      <c r="AK631" s="2">
        <f t="shared" si="86"/>
        <v>185.09399999999999</v>
      </c>
      <c r="AL631" s="5">
        <f t="shared" si="87"/>
        <v>0.44069999999999998</v>
      </c>
    </row>
    <row r="632" spans="1:38" x14ac:dyDescent="0.2">
      <c r="A632" s="2">
        <v>2025</v>
      </c>
      <c r="B632" s="2">
        <v>3</v>
      </c>
      <c r="C632" s="2" t="s">
        <v>3457</v>
      </c>
      <c r="D632" s="2" t="s">
        <v>1017</v>
      </c>
      <c r="E632" s="2" t="s">
        <v>108</v>
      </c>
      <c r="F632" s="2" t="s">
        <v>477</v>
      </c>
      <c r="G632" s="2">
        <v>505647338</v>
      </c>
      <c r="H632" s="2" t="s">
        <v>290</v>
      </c>
      <c r="I632" s="2" t="s">
        <v>1018</v>
      </c>
      <c r="J632" s="2" t="s">
        <v>1019</v>
      </c>
      <c r="L632" s="2" t="s">
        <v>293</v>
      </c>
      <c r="M632" s="2" t="s">
        <v>80</v>
      </c>
      <c r="O632" s="2" t="s">
        <v>1020</v>
      </c>
      <c r="P632" s="2" t="s">
        <v>93</v>
      </c>
      <c r="Q632" s="2" t="s">
        <v>94</v>
      </c>
      <c r="R632" s="2" t="s">
        <v>95</v>
      </c>
      <c r="S632" s="2">
        <v>2</v>
      </c>
      <c r="T632" s="2">
        <v>2.2799999999999998</v>
      </c>
      <c r="U632" s="2">
        <v>0.52439999999999998</v>
      </c>
      <c r="V632" s="2">
        <v>2.8043999999999998</v>
      </c>
      <c r="W632" s="2">
        <v>2.2799999999999998</v>
      </c>
      <c r="X632" s="5">
        <f t="shared" si="85"/>
        <v>0</v>
      </c>
      <c r="Z632" s="2" t="s">
        <v>3227</v>
      </c>
      <c r="AA632" s="2" t="s">
        <v>96</v>
      </c>
      <c r="AB632" s="2" t="s">
        <v>76</v>
      </c>
      <c r="AC632" s="2" t="s">
        <v>93</v>
      </c>
      <c r="AF632" s="2">
        <f t="shared" si="81"/>
        <v>0</v>
      </c>
      <c r="AG632" s="2">
        <v>1.1399999999999999</v>
      </c>
      <c r="AH632" s="2">
        <v>1.1399999999999999</v>
      </c>
      <c r="AJ632" s="2">
        <f t="shared" si="82"/>
        <v>0</v>
      </c>
      <c r="AK632" s="2">
        <f t="shared" si="86"/>
        <v>0</v>
      </c>
      <c r="AL632" s="5">
        <f t="shared" si="87"/>
        <v>0</v>
      </c>
    </row>
    <row r="633" spans="1:38" x14ac:dyDescent="0.2">
      <c r="A633" s="2">
        <v>2025</v>
      </c>
      <c r="B633" s="2">
        <v>3</v>
      </c>
      <c r="D633" s="2" t="s">
        <v>1021</v>
      </c>
      <c r="M633" s="2" t="s">
        <v>40</v>
      </c>
      <c r="P633" s="2" t="s">
        <v>114</v>
      </c>
      <c r="Q633" s="2" t="s">
        <v>179</v>
      </c>
      <c r="R633" s="2" t="s">
        <v>180</v>
      </c>
      <c r="S633" s="2">
        <v>1</v>
      </c>
      <c r="T633" s="2">
        <v>690.61</v>
      </c>
      <c r="U633" s="2">
        <v>158.84030000000001</v>
      </c>
      <c r="V633" s="2">
        <v>849.45029999999997</v>
      </c>
      <c r="W633" s="2">
        <v>346.57</v>
      </c>
      <c r="X633" s="5">
        <f t="shared" si="85"/>
        <v>0.49816828600802193</v>
      </c>
      <c r="Z633" s="2" t="s">
        <v>117</v>
      </c>
      <c r="AA633" s="2" t="s">
        <v>181</v>
      </c>
      <c r="AB633" s="2" t="s">
        <v>119</v>
      </c>
      <c r="AC633" s="2" t="s">
        <v>114</v>
      </c>
      <c r="AF633" s="2">
        <f t="shared" si="81"/>
        <v>0</v>
      </c>
      <c r="AJ633" s="2">
        <f t="shared" si="82"/>
        <v>0</v>
      </c>
      <c r="AK633" s="2">
        <f t="shared" si="86"/>
        <v>344.04</v>
      </c>
      <c r="AL633" s="5">
        <f t="shared" si="87"/>
        <v>0.49816828600802193</v>
      </c>
    </row>
    <row r="634" spans="1:38" x14ac:dyDescent="0.2">
      <c r="A634" s="2">
        <v>2025</v>
      </c>
      <c r="B634" s="2">
        <v>3</v>
      </c>
      <c r="D634" s="2" t="s">
        <v>1021</v>
      </c>
      <c r="M634" s="2" t="s">
        <v>40</v>
      </c>
      <c r="P634" s="2" t="s">
        <v>187</v>
      </c>
      <c r="Q634" s="2" t="s">
        <v>188</v>
      </c>
      <c r="R634" s="2" t="s">
        <v>189</v>
      </c>
      <c r="S634" s="2">
        <v>1</v>
      </c>
      <c r="T634" s="2">
        <v>74</v>
      </c>
      <c r="U634" s="2">
        <v>17.02</v>
      </c>
      <c r="V634" s="2">
        <v>91.02</v>
      </c>
      <c r="W634" s="2">
        <f>T634*40%</f>
        <v>29.6</v>
      </c>
      <c r="X634" s="5">
        <f t="shared" si="85"/>
        <v>0.6</v>
      </c>
      <c r="Z634" s="2" t="s">
        <v>117</v>
      </c>
      <c r="AA634" s="2" t="s">
        <v>190</v>
      </c>
      <c r="AB634" s="2" t="s">
        <v>189</v>
      </c>
      <c r="AC634" s="2" t="s">
        <v>40</v>
      </c>
      <c r="AF634" s="2">
        <f t="shared" si="81"/>
        <v>0</v>
      </c>
      <c r="AJ634" s="2">
        <f t="shared" si="82"/>
        <v>0</v>
      </c>
      <c r="AK634" s="2">
        <f t="shared" si="86"/>
        <v>44.4</v>
      </c>
      <c r="AL634" s="5">
        <f t="shared" si="87"/>
        <v>0.6</v>
      </c>
    </row>
    <row r="635" spans="1:38" x14ac:dyDescent="0.2">
      <c r="A635" s="2">
        <v>2025</v>
      </c>
      <c r="B635" s="2">
        <v>3</v>
      </c>
      <c r="D635" s="2" t="s">
        <v>1021</v>
      </c>
      <c r="M635" s="2" t="s">
        <v>40</v>
      </c>
      <c r="P635" s="2" t="s">
        <v>187</v>
      </c>
      <c r="Q635" s="2" t="s">
        <v>191</v>
      </c>
      <c r="R635" s="2" t="s">
        <v>190</v>
      </c>
      <c r="S635" s="2">
        <v>1</v>
      </c>
      <c r="T635" s="2">
        <v>0</v>
      </c>
      <c r="U635" s="2">
        <v>0</v>
      </c>
      <c r="V635" s="2">
        <v>0</v>
      </c>
      <c r="W635" s="2">
        <f>T635*50%</f>
        <v>0</v>
      </c>
      <c r="X635" s="5">
        <v>0</v>
      </c>
      <c r="Z635" s="2" t="s">
        <v>117</v>
      </c>
      <c r="AA635" s="2" t="s">
        <v>190</v>
      </c>
      <c r="AB635" s="2" t="s">
        <v>190</v>
      </c>
      <c r="AC635" s="2" t="s">
        <v>40</v>
      </c>
      <c r="AF635" s="2">
        <f t="shared" si="81"/>
        <v>0</v>
      </c>
      <c r="AJ635" s="2">
        <f t="shared" si="82"/>
        <v>0</v>
      </c>
      <c r="AK635" s="2">
        <f t="shared" si="86"/>
        <v>0</v>
      </c>
      <c r="AL635" s="5">
        <v>0</v>
      </c>
    </row>
    <row r="636" spans="1:38" x14ac:dyDescent="0.2">
      <c r="A636" s="2">
        <v>2025</v>
      </c>
      <c r="B636" s="2">
        <v>3</v>
      </c>
      <c r="D636" s="2" t="s">
        <v>436</v>
      </c>
      <c r="E636" s="2" t="s">
        <v>108</v>
      </c>
      <c r="F636" s="2" t="s">
        <v>376</v>
      </c>
      <c r="G636" s="2">
        <v>509350631</v>
      </c>
      <c r="H636" s="2" t="s">
        <v>290</v>
      </c>
      <c r="I636" s="2" t="s">
        <v>437</v>
      </c>
      <c r="J636" s="2" t="s">
        <v>438</v>
      </c>
      <c r="L636" s="2" t="s">
        <v>339</v>
      </c>
      <c r="M636" s="2" t="s">
        <v>80</v>
      </c>
      <c r="P636" s="2" t="s">
        <v>72</v>
      </c>
      <c r="Q636" s="2" t="s">
        <v>1022</v>
      </c>
      <c r="R636" s="2" t="s">
        <v>74</v>
      </c>
      <c r="S636" s="2">
        <v>1</v>
      </c>
      <c r="T636" s="2">
        <v>205</v>
      </c>
      <c r="U636" s="2">
        <v>47.15</v>
      </c>
      <c r="V636" s="2">
        <v>252.15</v>
      </c>
      <c r="W636" s="2">
        <v>128.30000000000001</v>
      </c>
      <c r="X636" s="5">
        <f t="shared" ref="X636:X667" si="88">(T636-W636)/T636</f>
        <v>0.37414634146341458</v>
      </c>
      <c r="Z636" s="2" t="s">
        <v>3227</v>
      </c>
      <c r="AA636" s="2" t="s">
        <v>75</v>
      </c>
      <c r="AB636" s="2" t="s">
        <v>76</v>
      </c>
      <c r="AC636" s="2" t="s">
        <v>77</v>
      </c>
      <c r="AF636" s="2">
        <f t="shared" si="81"/>
        <v>0</v>
      </c>
      <c r="AJ636" s="2">
        <f t="shared" si="82"/>
        <v>0</v>
      </c>
      <c r="AK636" s="2">
        <f t="shared" si="86"/>
        <v>76.699999999999989</v>
      </c>
      <c r="AL636" s="5">
        <f t="shared" ref="AL636:AL667" si="89">(T636-W636)/T636</f>
        <v>0.37414634146341458</v>
      </c>
    </row>
    <row r="637" spans="1:38" x14ac:dyDescent="0.2">
      <c r="A637" s="2">
        <v>2025</v>
      </c>
      <c r="B637" s="2">
        <v>3</v>
      </c>
      <c r="D637" s="2" t="s">
        <v>436</v>
      </c>
      <c r="E637" s="2" t="s">
        <v>108</v>
      </c>
      <c r="F637" s="2" t="s">
        <v>376</v>
      </c>
      <c r="G637" s="2">
        <v>509350631</v>
      </c>
      <c r="H637" s="2" t="s">
        <v>290</v>
      </c>
      <c r="I637" s="2" t="s">
        <v>437</v>
      </c>
      <c r="J637" s="2" t="s">
        <v>438</v>
      </c>
      <c r="L637" s="2" t="s">
        <v>339</v>
      </c>
      <c r="M637" s="2" t="s">
        <v>80</v>
      </c>
      <c r="P637" s="2" t="s">
        <v>93</v>
      </c>
      <c r="Q637" s="2" t="s">
        <v>94</v>
      </c>
      <c r="R637" s="2" t="s">
        <v>95</v>
      </c>
      <c r="S637" s="2">
        <v>1</v>
      </c>
      <c r="T637" s="2">
        <v>1.1399999999999999</v>
      </c>
      <c r="U637" s="2">
        <v>0.26219999999999999</v>
      </c>
      <c r="V637" s="2">
        <v>1.4021999999999999</v>
      </c>
      <c r="W637" s="2">
        <v>1.1399999999999999</v>
      </c>
      <c r="X637" s="5">
        <f t="shared" si="88"/>
        <v>0</v>
      </c>
      <c r="Z637" s="2" t="s">
        <v>3227</v>
      </c>
      <c r="AA637" s="2" t="s">
        <v>96</v>
      </c>
      <c r="AB637" s="2" t="s">
        <v>76</v>
      </c>
      <c r="AC637" s="2" t="s">
        <v>93</v>
      </c>
      <c r="AF637" s="2">
        <f t="shared" si="81"/>
        <v>0</v>
      </c>
      <c r="AG637" s="2">
        <v>1.1399999999999999</v>
      </c>
      <c r="AH637" s="2">
        <v>1.1399999999999999</v>
      </c>
      <c r="AJ637" s="2">
        <f t="shared" si="82"/>
        <v>0</v>
      </c>
      <c r="AK637" s="2">
        <f t="shared" si="86"/>
        <v>0</v>
      </c>
      <c r="AL637" s="5">
        <f t="shared" si="89"/>
        <v>0</v>
      </c>
    </row>
    <row r="638" spans="1:38" x14ac:dyDescent="0.2">
      <c r="A638" s="2">
        <v>2025</v>
      </c>
      <c r="B638" s="2">
        <v>3</v>
      </c>
      <c r="D638" s="2" t="s">
        <v>451</v>
      </c>
      <c r="E638" s="2" t="s">
        <v>108</v>
      </c>
      <c r="F638" s="2" t="s">
        <v>39</v>
      </c>
      <c r="G638" s="2">
        <v>506085686</v>
      </c>
      <c r="H638" s="2" t="s">
        <v>40</v>
      </c>
      <c r="I638" s="2" t="s">
        <v>452</v>
      </c>
      <c r="J638" s="2" t="s">
        <v>453</v>
      </c>
      <c r="K638" s="2">
        <v>917241919</v>
      </c>
      <c r="L638" s="2" t="s">
        <v>398</v>
      </c>
      <c r="P638" s="2" t="s">
        <v>1108</v>
      </c>
      <c r="Q638" s="2" t="s">
        <v>1023</v>
      </c>
      <c r="R638" s="2" t="s">
        <v>1024</v>
      </c>
      <c r="S638" s="2">
        <v>1</v>
      </c>
      <c r="T638" s="2">
        <v>276.45</v>
      </c>
      <c r="U638" s="2">
        <v>63.583500000000001</v>
      </c>
      <c r="V638" s="2">
        <v>340.0335</v>
      </c>
      <c r="W638" s="2">
        <f>148.27+7.12</f>
        <v>155.39000000000001</v>
      </c>
      <c r="X638" s="5">
        <f t="shared" si="88"/>
        <v>0.4379092060047024</v>
      </c>
      <c r="Z638" s="2" t="s">
        <v>117</v>
      </c>
      <c r="AA638" s="2" t="s">
        <v>118</v>
      </c>
      <c r="AB638" s="2" t="s">
        <v>119</v>
      </c>
      <c r="AC638" s="2" t="s">
        <v>1108</v>
      </c>
      <c r="AF638" s="2">
        <f t="shared" si="81"/>
        <v>0</v>
      </c>
      <c r="AJ638" s="2">
        <f t="shared" si="82"/>
        <v>0</v>
      </c>
      <c r="AK638" s="2">
        <f t="shared" si="86"/>
        <v>121.05999999999997</v>
      </c>
      <c r="AL638" s="5">
        <f t="shared" si="89"/>
        <v>0.4379092060047024</v>
      </c>
    </row>
    <row r="639" spans="1:38" x14ac:dyDescent="0.2">
      <c r="A639" s="2">
        <v>2025</v>
      </c>
      <c r="B639" s="2">
        <v>3</v>
      </c>
      <c r="D639" s="2" t="s">
        <v>451</v>
      </c>
      <c r="E639" s="2" t="s">
        <v>108</v>
      </c>
      <c r="F639" s="2" t="s">
        <v>39</v>
      </c>
      <c r="G639" s="2">
        <v>506085686</v>
      </c>
      <c r="H639" s="2" t="s">
        <v>40</v>
      </c>
      <c r="I639" s="2" t="s">
        <v>452</v>
      </c>
      <c r="J639" s="2" t="s">
        <v>453</v>
      </c>
      <c r="K639" s="2">
        <v>917241919</v>
      </c>
      <c r="L639" s="2" t="s">
        <v>398</v>
      </c>
      <c r="M639" s="2" t="s">
        <v>80</v>
      </c>
      <c r="P639" s="2" t="s">
        <v>72</v>
      </c>
      <c r="Q639" s="2" t="s">
        <v>73</v>
      </c>
      <c r="R639" s="2" t="s">
        <v>74</v>
      </c>
      <c r="S639" s="2">
        <v>1</v>
      </c>
      <c r="T639" s="2">
        <v>205</v>
      </c>
      <c r="U639" s="2">
        <v>47.15</v>
      </c>
      <c r="V639" s="2">
        <v>252.15</v>
      </c>
      <c r="W639" s="2">
        <v>117.453</v>
      </c>
      <c r="X639" s="5">
        <f t="shared" si="88"/>
        <v>0.42705853658536586</v>
      </c>
      <c r="Z639" s="2" t="s">
        <v>3227</v>
      </c>
      <c r="AA639" s="2" t="s">
        <v>75</v>
      </c>
      <c r="AB639" s="2" t="s">
        <v>76</v>
      </c>
      <c r="AC639" s="2" t="s">
        <v>77</v>
      </c>
      <c r="AF639" s="2">
        <f t="shared" si="81"/>
        <v>0</v>
      </c>
      <c r="AG639" s="2">
        <v>117.453</v>
      </c>
      <c r="AH639" s="2">
        <v>220</v>
      </c>
      <c r="AJ639" s="2">
        <f t="shared" si="82"/>
        <v>0</v>
      </c>
      <c r="AK639" s="2">
        <f t="shared" si="86"/>
        <v>87.546999999999997</v>
      </c>
      <c r="AL639" s="5">
        <f t="shared" si="89"/>
        <v>0.42705853658536586</v>
      </c>
    </row>
    <row r="640" spans="1:38" x14ac:dyDescent="0.2">
      <c r="A640" s="2">
        <v>2025</v>
      </c>
      <c r="B640" s="2">
        <v>3</v>
      </c>
      <c r="D640" s="2" t="s">
        <v>451</v>
      </c>
      <c r="E640" s="2" t="s">
        <v>108</v>
      </c>
      <c r="F640" s="2" t="s">
        <v>39</v>
      </c>
      <c r="G640" s="2">
        <v>506085686</v>
      </c>
      <c r="H640" s="2" t="s">
        <v>40</v>
      </c>
      <c r="I640" s="2" t="s">
        <v>452</v>
      </c>
      <c r="J640" s="2" t="s">
        <v>453</v>
      </c>
      <c r="K640" s="2">
        <v>917241919</v>
      </c>
      <c r="L640" s="2" t="s">
        <v>398</v>
      </c>
      <c r="M640" s="2" t="s">
        <v>40</v>
      </c>
      <c r="P640" s="2" t="s">
        <v>187</v>
      </c>
      <c r="Q640" s="2" t="s">
        <v>188</v>
      </c>
      <c r="R640" s="2" t="s">
        <v>189</v>
      </c>
      <c r="S640" s="2">
        <v>3</v>
      </c>
      <c r="T640" s="2">
        <v>144.75</v>
      </c>
      <c r="U640" s="2">
        <v>33.292499999999997</v>
      </c>
      <c r="V640" s="2">
        <v>178.04249999999999</v>
      </c>
      <c r="W640" s="2">
        <f>T640*40%</f>
        <v>57.900000000000006</v>
      </c>
      <c r="X640" s="5">
        <f t="shared" si="88"/>
        <v>0.6</v>
      </c>
      <c r="Z640" s="2" t="s">
        <v>117</v>
      </c>
      <c r="AA640" s="2" t="s">
        <v>190</v>
      </c>
      <c r="AB640" s="2" t="s">
        <v>189</v>
      </c>
      <c r="AC640" s="2" t="s">
        <v>40</v>
      </c>
      <c r="AF640" s="2">
        <f t="shared" si="81"/>
        <v>0</v>
      </c>
      <c r="AJ640" s="2">
        <f t="shared" si="82"/>
        <v>0</v>
      </c>
      <c r="AK640" s="2">
        <f t="shared" si="86"/>
        <v>86.85</v>
      </c>
      <c r="AL640" s="5">
        <f t="shared" si="89"/>
        <v>0.6</v>
      </c>
    </row>
    <row r="641" spans="1:38" x14ac:dyDescent="0.2">
      <c r="A641" s="2">
        <v>2025</v>
      </c>
      <c r="B641" s="2">
        <v>3</v>
      </c>
      <c r="D641" s="2" t="s">
        <v>451</v>
      </c>
      <c r="E641" s="2" t="s">
        <v>108</v>
      </c>
      <c r="F641" s="2" t="s">
        <v>39</v>
      </c>
      <c r="G641" s="2">
        <v>506085686</v>
      </c>
      <c r="H641" s="2" t="s">
        <v>40</v>
      </c>
      <c r="I641" s="2" t="s">
        <v>452</v>
      </c>
      <c r="J641" s="2" t="s">
        <v>453</v>
      </c>
      <c r="K641" s="2">
        <v>917241919</v>
      </c>
      <c r="L641" s="2" t="s">
        <v>398</v>
      </c>
      <c r="M641" s="2" t="s">
        <v>40</v>
      </c>
      <c r="P641" s="2" t="s">
        <v>187</v>
      </c>
      <c r="Q641" s="2" t="s">
        <v>191</v>
      </c>
      <c r="R641" s="2" t="s">
        <v>190</v>
      </c>
      <c r="S641" s="2">
        <v>5</v>
      </c>
      <c r="T641" s="2">
        <v>225</v>
      </c>
      <c r="U641" s="2">
        <v>51.75</v>
      </c>
      <c r="V641" s="2">
        <v>276.75</v>
      </c>
      <c r="W641" s="2">
        <f>T641*50%</f>
        <v>112.5</v>
      </c>
      <c r="X641" s="5">
        <f t="shared" si="88"/>
        <v>0.5</v>
      </c>
      <c r="Z641" s="2" t="s">
        <v>117</v>
      </c>
      <c r="AA641" s="2" t="s">
        <v>190</v>
      </c>
      <c r="AB641" s="2" t="s">
        <v>190</v>
      </c>
      <c r="AC641" s="2" t="s">
        <v>40</v>
      </c>
      <c r="AF641" s="2">
        <f t="shared" si="81"/>
        <v>0</v>
      </c>
      <c r="AJ641" s="2">
        <f t="shared" si="82"/>
        <v>0</v>
      </c>
      <c r="AK641" s="2">
        <f t="shared" si="86"/>
        <v>112.5</v>
      </c>
      <c r="AL641" s="5">
        <f t="shared" si="89"/>
        <v>0.5</v>
      </c>
    </row>
    <row r="642" spans="1:38" x14ac:dyDescent="0.2">
      <c r="A642" s="2">
        <v>2025</v>
      </c>
      <c r="B642" s="2">
        <v>3</v>
      </c>
      <c r="D642" s="2" t="s">
        <v>451</v>
      </c>
      <c r="E642" s="2" t="s">
        <v>108</v>
      </c>
      <c r="F642" s="2" t="s">
        <v>39</v>
      </c>
      <c r="G642" s="2">
        <v>506085686</v>
      </c>
      <c r="H642" s="2" t="s">
        <v>40</v>
      </c>
      <c r="I642" s="2" t="s">
        <v>452</v>
      </c>
      <c r="J642" s="2" t="s">
        <v>453</v>
      </c>
      <c r="K642" s="2">
        <v>917241919</v>
      </c>
      <c r="L642" s="2" t="s">
        <v>398</v>
      </c>
      <c r="M642" s="2" t="s">
        <v>80</v>
      </c>
      <c r="P642" s="2" t="s">
        <v>93</v>
      </c>
      <c r="Q642" s="2" t="s">
        <v>94</v>
      </c>
      <c r="R642" s="2" t="s">
        <v>95</v>
      </c>
      <c r="S642" s="2">
        <v>1</v>
      </c>
      <c r="T642" s="2">
        <v>1.1399999999999999</v>
      </c>
      <c r="U642" s="2">
        <v>0.26219999999999999</v>
      </c>
      <c r="V642" s="2">
        <v>1.4021999999999999</v>
      </c>
      <c r="W642" s="2">
        <v>1.1399999999999999</v>
      </c>
      <c r="X642" s="5">
        <f t="shared" si="88"/>
        <v>0</v>
      </c>
      <c r="Z642" s="2" t="s">
        <v>3227</v>
      </c>
      <c r="AA642" s="2" t="s">
        <v>96</v>
      </c>
      <c r="AB642" s="2" t="s">
        <v>76</v>
      </c>
      <c r="AC642" s="2" t="s">
        <v>93</v>
      </c>
      <c r="AF642" s="2">
        <f t="shared" ref="AF642:AF705" si="90">AJ642</f>
        <v>0</v>
      </c>
      <c r="AJ642" s="2">
        <f t="shared" ref="AJ642:AJ705" si="91">AI642*T642</f>
        <v>0</v>
      </c>
      <c r="AK642" s="2">
        <f t="shared" si="86"/>
        <v>0</v>
      </c>
      <c r="AL642" s="5">
        <f t="shared" si="89"/>
        <v>0</v>
      </c>
    </row>
    <row r="643" spans="1:38" x14ac:dyDescent="0.2">
      <c r="A643" s="2">
        <v>2025</v>
      </c>
      <c r="B643" s="2">
        <v>3</v>
      </c>
      <c r="D643" s="2" t="s">
        <v>822</v>
      </c>
      <c r="E643" s="2" t="s">
        <v>38</v>
      </c>
      <c r="F643" s="2" t="s">
        <v>39</v>
      </c>
      <c r="G643" s="2">
        <v>513812342</v>
      </c>
      <c r="H643" s="2" t="s">
        <v>41</v>
      </c>
      <c r="I643" s="2" t="s">
        <v>825</v>
      </c>
      <c r="J643" s="2" t="s">
        <v>826</v>
      </c>
      <c r="L643" s="2" t="s">
        <v>418</v>
      </c>
      <c r="P643" s="2" t="s">
        <v>72</v>
      </c>
      <c r="Q643" s="2" t="s">
        <v>1025</v>
      </c>
      <c r="R643" s="2" t="s">
        <v>197</v>
      </c>
      <c r="S643" s="2">
        <v>1</v>
      </c>
      <c r="T643" s="2">
        <v>245</v>
      </c>
      <c r="U643" s="2">
        <v>56.35</v>
      </c>
      <c r="V643" s="2">
        <v>301.35000000000002</v>
      </c>
      <c r="W643" s="2">
        <v>152.85</v>
      </c>
      <c r="X643" s="5">
        <f t="shared" si="88"/>
        <v>0.37612244897959185</v>
      </c>
      <c r="Z643" s="2" t="s">
        <v>3227</v>
      </c>
      <c r="AA643" s="2" t="s">
        <v>75</v>
      </c>
      <c r="AB643" s="2" t="s">
        <v>76</v>
      </c>
      <c r="AC643" s="2" t="s">
        <v>77</v>
      </c>
      <c r="AF643" s="2">
        <f t="shared" si="90"/>
        <v>0</v>
      </c>
      <c r="AJ643" s="2">
        <f t="shared" si="91"/>
        <v>0</v>
      </c>
      <c r="AK643" s="2">
        <f t="shared" si="86"/>
        <v>92.15</v>
      </c>
      <c r="AL643" s="5">
        <f t="shared" si="89"/>
        <v>0.37612244897959185</v>
      </c>
    </row>
    <row r="644" spans="1:38" x14ac:dyDescent="0.2">
      <c r="A644" s="2">
        <v>2025</v>
      </c>
      <c r="B644" s="2">
        <v>3</v>
      </c>
      <c r="D644" s="2" t="s">
        <v>822</v>
      </c>
      <c r="E644" s="2" t="s">
        <v>38</v>
      </c>
      <c r="F644" s="2" t="s">
        <v>39</v>
      </c>
      <c r="G644" s="2">
        <v>513812342</v>
      </c>
      <c r="H644" s="2" t="s">
        <v>41</v>
      </c>
      <c r="I644" s="2" t="s">
        <v>825</v>
      </c>
      <c r="J644" s="2" t="s">
        <v>826</v>
      </c>
      <c r="L644" s="2" t="s">
        <v>418</v>
      </c>
      <c r="P644" s="2" t="s">
        <v>93</v>
      </c>
      <c r="Q644" s="2" t="s">
        <v>94</v>
      </c>
      <c r="R644" s="2" t="s">
        <v>95</v>
      </c>
      <c r="S644" s="2">
        <v>1</v>
      </c>
      <c r="T644" s="2">
        <v>1.1399999999999999</v>
      </c>
      <c r="U644" s="2">
        <v>0.26219999999999999</v>
      </c>
      <c r="V644" s="2">
        <v>1.4021999999999999</v>
      </c>
      <c r="W644" s="2">
        <v>1.1399999999999999</v>
      </c>
      <c r="X644" s="5">
        <f t="shared" si="88"/>
        <v>0</v>
      </c>
      <c r="Z644" s="2" t="s">
        <v>3227</v>
      </c>
      <c r="AA644" s="2" t="s">
        <v>96</v>
      </c>
      <c r="AB644" s="2" t="s">
        <v>76</v>
      </c>
      <c r="AC644" s="2" t="s">
        <v>93</v>
      </c>
      <c r="AF644" s="2">
        <f t="shared" si="90"/>
        <v>0</v>
      </c>
      <c r="AJ644" s="2">
        <f t="shared" si="91"/>
        <v>0</v>
      </c>
      <c r="AK644" s="2">
        <f t="shared" si="86"/>
        <v>0</v>
      </c>
      <c r="AL644" s="5">
        <f t="shared" si="89"/>
        <v>0</v>
      </c>
    </row>
    <row r="645" spans="1:38" x14ac:dyDescent="0.2">
      <c r="A645" s="2">
        <v>2025</v>
      </c>
      <c r="B645" s="2">
        <v>3</v>
      </c>
      <c r="D645" s="2" t="s">
        <v>1026</v>
      </c>
      <c r="E645" s="2" t="s">
        <v>38</v>
      </c>
      <c r="F645" s="2" t="s">
        <v>39</v>
      </c>
      <c r="G645" s="2">
        <v>514229829</v>
      </c>
      <c r="H645" s="2" t="s">
        <v>41</v>
      </c>
      <c r="I645" s="2" t="s">
        <v>1027</v>
      </c>
      <c r="J645" s="2" t="s">
        <v>1028</v>
      </c>
      <c r="K645" s="2">
        <v>963046242</v>
      </c>
      <c r="L645" s="2" t="s">
        <v>177</v>
      </c>
      <c r="M645" s="2" t="s">
        <v>40</v>
      </c>
      <c r="P645" s="2" t="s">
        <v>114</v>
      </c>
      <c r="Q645" s="2" t="s">
        <v>1029</v>
      </c>
      <c r="R645" s="2" t="s">
        <v>138</v>
      </c>
      <c r="S645" s="2">
        <v>1</v>
      </c>
      <c r="T645" s="2">
        <v>2852.95</v>
      </c>
      <c r="U645" s="2">
        <v>656.17849999999999</v>
      </c>
      <c r="V645" s="2">
        <v>3509.1284999999998</v>
      </c>
      <c r="W645" s="2">
        <f>287.1632+151.58</f>
        <v>438.7432</v>
      </c>
      <c r="X645" s="5">
        <f t="shared" si="88"/>
        <v>0.84621419933752784</v>
      </c>
      <c r="Z645" s="2" t="s">
        <v>117</v>
      </c>
      <c r="AA645" s="2" t="s">
        <v>118</v>
      </c>
      <c r="AB645" s="2" t="s">
        <v>119</v>
      </c>
      <c r="AC645" s="2" t="s">
        <v>114</v>
      </c>
      <c r="AF645" s="2">
        <f t="shared" si="90"/>
        <v>0</v>
      </c>
      <c r="AJ645" s="2">
        <f t="shared" si="91"/>
        <v>0</v>
      </c>
      <c r="AK645" s="2">
        <f t="shared" si="86"/>
        <v>2414.2067999999999</v>
      </c>
      <c r="AL645" s="5">
        <f t="shared" si="89"/>
        <v>0.84621419933752784</v>
      </c>
    </row>
    <row r="646" spans="1:38" x14ac:dyDescent="0.2">
      <c r="A646" s="2">
        <v>2025</v>
      </c>
      <c r="B646" s="2">
        <v>3</v>
      </c>
      <c r="D646" s="2" t="s">
        <v>1026</v>
      </c>
      <c r="E646" s="2" t="s">
        <v>38</v>
      </c>
      <c r="F646" s="2" t="s">
        <v>39</v>
      </c>
      <c r="G646" s="2">
        <v>514229829</v>
      </c>
      <c r="H646" s="2" t="s">
        <v>41</v>
      </c>
      <c r="I646" s="2" t="s">
        <v>1027</v>
      </c>
      <c r="J646" s="2" t="s">
        <v>1028</v>
      </c>
      <c r="K646" s="2">
        <v>963046242</v>
      </c>
      <c r="L646" s="2" t="s">
        <v>177</v>
      </c>
      <c r="M646" s="2" t="s">
        <v>40</v>
      </c>
      <c r="P646" s="2" t="s">
        <v>187</v>
      </c>
      <c r="Q646" s="2" t="s">
        <v>188</v>
      </c>
      <c r="R646" s="2" t="s">
        <v>189</v>
      </c>
      <c r="S646" s="2">
        <v>1</v>
      </c>
      <c r="T646" s="2">
        <v>50</v>
      </c>
      <c r="U646" s="2">
        <v>11.5</v>
      </c>
      <c r="V646" s="2">
        <v>61.5</v>
      </c>
      <c r="W646" s="2">
        <f>T646*40%</f>
        <v>20</v>
      </c>
      <c r="X646" s="5">
        <f t="shared" si="88"/>
        <v>0.6</v>
      </c>
      <c r="Z646" s="2" t="s">
        <v>117</v>
      </c>
      <c r="AA646" s="2" t="s">
        <v>190</v>
      </c>
      <c r="AB646" s="2" t="s">
        <v>189</v>
      </c>
      <c r="AC646" s="2" t="s">
        <v>40</v>
      </c>
      <c r="AF646" s="2">
        <f t="shared" si="90"/>
        <v>0</v>
      </c>
      <c r="AJ646" s="2">
        <f t="shared" si="91"/>
        <v>0</v>
      </c>
      <c r="AK646" s="2">
        <f t="shared" si="86"/>
        <v>30</v>
      </c>
      <c r="AL646" s="5">
        <f t="shared" si="89"/>
        <v>0.6</v>
      </c>
    </row>
    <row r="647" spans="1:38" x14ac:dyDescent="0.2">
      <c r="A647" s="2">
        <v>2025</v>
      </c>
      <c r="B647" s="2">
        <v>3</v>
      </c>
      <c r="D647" s="2" t="s">
        <v>1026</v>
      </c>
      <c r="E647" s="2" t="s">
        <v>38</v>
      </c>
      <c r="F647" s="2" t="s">
        <v>39</v>
      </c>
      <c r="G647" s="2">
        <v>514229829</v>
      </c>
      <c r="H647" s="2" t="s">
        <v>41</v>
      </c>
      <c r="I647" s="2" t="s">
        <v>1027</v>
      </c>
      <c r="J647" s="2" t="s">
        <v>1028</v>
      </c>
      <c r="K647" s="2">
        <v>963046242</v>
      </c>
      <c r="L647" s="2" t="s">
        <v>177</v>
      </c>
      <c r="M647" s="2" t="s">
        <v>40</v>
      </c>
      <c r="P647" s="2" t="s">
        <v>187</v>
      </c>
      <c r="Q647" s="2" t="s">
        <v>191</v>
      </c>
      <c r="R647" s="2" t="s">
        <v>190</v>
      </c>
      <c r="S647" s="2">
        <v>2</v>
      </c>
      <c r="T647" s="2">
        <v>100</v>
      </c>
      <c r="U647" s="2">
        <v>23</v>
      </c>
      <c r="V647" s="2">
        <v>123</v>
      </c>
      <c r="W647" s="2">
        <f>T647*50%</f>
        <v>50</v>
      </c>
      <c r="X647" s="5">
        <f t="shared" si="88"/>
        <v>0.5</v>
      </c>
      <c r="Z647" s="2" t="s">
        <v>117</v>
      </c>
      <c r="AA647" s="2" t="s">
        <v>190</v>
      </c>
      <c r="AB647" s="2" t="s">
        <v>190</v>
      </c>
      <c r="AC647" s="2" t="s">
        <v>40</v>
      </c>
      <c r="AF647" s="2">
        <f t="shared" si="90"/>
        <v>0</v>
      </c>
      <c r="AJ647" s="2">
        <f t="shared" si="91"/>
        <v>0</v>
      </c>
      <c r="AK647" s="2">
        <f t="shared" si="86"/>
        <v>50</v>
      </c>
      <c r="AL647" s="5">
        <f t="shared" si="89"/>
        <v>0.5</v>
      </c>
    </row>
    <row r="648" spans="1:38" x14ac:dyDescent="0.2">
      <c r="A648" s="2">
        <v>2025</v>
      </c>
      <c r="B648" s="2">
        <v>3</v>
      </c>
      <c r="D648" s="2" t="s">
        <v>833</v>
      </c>
      <c r="M648" s="2" t="s">
        <v>40</v>
      </c>
      <c r="P648" s="2" t="s">
        <v>187</v>
      </c>
      <c r="Q648" s="2" t="s">
        <v>188</v>
      </c>
      <c r="R648" s="2" t="s">
        <v>189</v>
      </c>
      <c r="S648" s="2">
        <v>1</v>
      </c>
      <c r="T648" s="2">
        <v>71</v>
      </c>
      <c r="U648" s="2">
        <v>16.329999999999998</v>
      </c>
      <c r="V648" s="2">
        <v>87.33</v>
      </c>
      <c r="W648" s="2">
        <f>T648*40%</f>
        <v>28.400000000000002</v>
      </c>
      <c r="X648" s="5">
        <f t="shared" si="88"/>
        <v>0.59999999999999987</v>
      </c>
      <c r="Z648" s="2" t="s">
        <v>117</v>
      </c>
      <c r="AA648" s="2" t="s">
        <v>190</v>
      </c>
      <c r="AB648" s="2" t="s">
        <v>189</v>
      </c>
      <c r="AC648" s="2" t="s">
        <v>40</v>
      </c>
      <c r="AF648" s="2">
        <f t="shared" si="90"/>
        <v>0</v>
      </c>
      <c r="AJ648" s="2">
        <f t="shared" si="91"/>
        <v>0</v>
      </c>
      <c r="AK648" s="2">
        <f t="shared" si="86"/>
        <v>42.599999999999994</v>
      </c>
      <c r="AL648" s="5">
        <f t="shared" si="89"/>
        <v>0.59999999999999987</v>
      </c>
    </row>
    <row r="649" spans="1:38" x14ac:dyDescent="0.2">
      <c r="A649" s="2">
        <v>2025</v>
      </c>
      <c r="B649" s="2">
        <v>3</v>
      </c>
      <c r="D649" s="2" t="s">
        <v>833</v>
      </c>
      <c r="M649" s="2" t="s">
        <v>40</v>
      </c>
      <c r="P649" s="2" t="s">
        <v>187</v>
      </c>
      <c r="Q649" s="2" t="s">
        <v>191</v>
      </c>
      <c r="R649" s="2" t="s">
        <v>190</v>
      </c>
      <c r="S649" s="2">
        <v>1.5</v>
      </c>
      <c r="T649" s="2">
        <v>75</v>
      </c>
      <c r="U649" s="2">
        <v>17.25</v>
      </c>
      <c r="V649" s="2">
        <v>92.25</v>
      </c>
      <c r="W649" s="2">
        <f>T649*50%</f>
        <v>37.5</v>
      </c>
      <c r="X649" s="5">
        <f t="shared" si="88"/>
        <v>0.5</v>
      </c>
      <c r="Z649" s="2" t="s">
        <v>117</v>
      </c>
      <c r="AA649" s="2" t="s">
        <v>190</v>
      </c>
      <c r="AB649" s="2" t="s">
        <v>190</v>
      </c>
      <c r="AC649" s="2" t="s">
        <v>40</v>
      </c>
      <c r="AF649" s="2">
        <f t="shared" si="90"/>
        <v>0</v>
      </c>
      <c r="AJ649" s="2">
        <f t="shared" si="91"/>
        <v>0</v>
      </c>
      <c r="AK649" s="2">
        <f t="shared" si="86"/>
        <v>37.5</v>
      </c>
      <c r="AL649" s="5">
        <f t="shared" si="89"/>
        <v>0.5</v>
      </c>
    </row>
    <row r="650" spans="1:38" x14ac:dyDescent="0.2">
      <c r="A650" s="2">
        <v>2025</v>
      </c>
      <c r="B650" s="2">
        <v>3</v>
      </c>
      <c r="D650" s="2" t="s">
        <v>1030</v>
      </c>
      <c r="E650" s="2" t="s">
        <v>108</v>
      </c>
      <c r="F650" s="2" t="s">
        <v>39</v>
      </c>
      <c r="G650" s="2">
        <v>502432357</v>
      </c>
      <c r="H650" s="2" t="s">
        <v>41</v>
      </c>
      <c r="I650" s="2" t="s">
        <v>1031</v>
      </c>
      <c r="J650" s="2" t="s">
        <v>1032</v>
      </c>
      <c r="K650" s="2">
        <v>917611946</v>
      </c>
      <c r="L650" s="2" t="s">
        <v>461</v>
      </c>
      <c r="M650" s="2" t="s">
        <v>41</v>
      </c>
      <c r="O650" s="2" t="s">
        <v>1033</v>
      </c>
      <c r="P650" s="2" t="s">
        <v>72</v>
      </c>
      <c r="Q650" s="2" t="s">
        <v>306</v>
      </c>
      <c r="R650" s="2" t="s">
        <v>307</v>
      </c>
      <c r="S650" s="2">
        <v>1</v>
      </c>
      <c r="T650" s="2">
        <v>210</v>
      </c>
      <c r="U650" s="2">
        <v>48.3</v>
      </c>
      <c r="V650" s="2">
        <v>258.3</v>
      </c>
      <c r="W650" s="2">
        <v>119.33</v>
      </c>
      <c r="X650" s="5">
        <f t="shared" si="88"/>
        <v>0.43176190476190479</v>
      </c>
      <c r="Z650" s="2" t="s">
        <v>3227</v>
      </c>
      <c r="AA650" s="2" t="s">
        <v>75</v>
      </c>
      <c r="AB650" s="2" t="s">
        <v>76</v>
      </c>
      <c r="AC650" s="2" t="s">
        <v>77</v>
      </c>
      <c r="AF650" s="2">
        <f t="shared" si="90"/>
        <v>0</v>
      </c>
      <c r="AG650" s="2">
        <v>119.33</v>
      </c>
      <c r="AH650" s="2">
        <v>220</v>
      </c>
      <c r="AJ650" s="2">
        <f t="shared" si="91"/>
        <v>0</v>
      </c>
      <c r="AK650" s="2">
        <f t="shared" si="86"/>
        <v>90.67</v>
      </c>
      <c r="AL650" s="5">
        <f t="shared" si="89"/>
        <v>0.43176190476190479</v>
      </c>
    </row>
    <row r="651" spans="1:38" x14ac:dyDescent="0.2">
      <c r="A651" s="2">
        <v>2025</v>
      </c>
      <c r="B651" s="2">
        <v>3</v>
      </c>
      <c r="D651" s="2" t="s">
        <v>1030</v>
      </c>
      <c r="E651" s="2" t="s">
        <v>108</v>
      </c>
      <c r="F651" s="2" t="s">
        <v>39</v>
      </c>
      <c r="G651" s="2">
        <v>502432357</v>
      </c>
      <c r="H651" s="2" t="s">
        <v>41</v>
      </c>
      <c r="I651" s="2" t="s">
        <v>1031</v>
      </c>
      <c r="J651" s="2" t="s">
        <v>1032</v>
      </c>
      <c r="K651" s="2">
        <v>917611946</v>
      </c>
      <c r="L651" s="2" t="s">
        <v>461</v>
      </c>
      <c r="M651" s="2" t="s">
        <v>41</v>
      </c>
      <c r="O651" s="2" t="s">
        <v>1034</v>
      </c>
      <c r="P651" s="2" t="s">
        <v>72</v>
      </c>
      <c r="Q651" s="2" t="s">
        <v>1035</v>
      </c>
      <c r="R651" s="2" t="s">
        <v>79</v>
      </c>
      <c r="S651" s="2">
        <v>1</v>
      </c>
      <c r="T651" s="2">
        <v>210</v>
      </c>
      <c r="U651" s="2">
        <v>48.3</v>
      </c>
      <c r="V651" s="2">
        <v>258.3</v>
      </c>
      <c r="W651" s="2">
        <v>113.33</v>
      </c>
      <c r="X651" s="5">
        <f t="shared" si="88"/>
        <v>0.46033333333333332</v>
      </c>
      <c r="Z651" s="2" t="s">
        <v>3227</v>
      </c>
      <c r="AA651" s="2" t="s">
        <v>75</v>
      </c>
      <c r="AB651" s="2" t="s">
        <v>76</v>
      </c>
      <c r="AC651" s="2" t="s">
        <v>77</v>
      </c>
      <c r="AF651" s="2">
        <f t="shared" si="90"/>
        <v>0</v>
      </c>
      <c r="AG651" s="2">
        <v>113.33</v>
      </c>
      <c r="AH651" s="2">
        <v>220</v>
      </c>
      <c r="AJ651" s="2">
        <f t="shared" si="91"/>
        <v>0</v>
      </c>
      <c r="AK651" s="2">
        <f t="shared" si="86"/>
        <v>96.67</v>
      </c>
      <c r="AL651" s="5">
        <f t="shared" si="89"/>
        <v>0.46033333333333332</v>
      </c>
    </row>
    <row r="652" spans="1:38" x14ac:dyDescent="0.2">
      <c r="A652" s="2">
        <v>2025</v>
      </c>
      <c r="B652" s="2">
        <v>3</v>
      </c>
      <c r="D652" s="2" t="s">
        <v>1030</v>
      </c>
      <c r="E652" s="2" t="s">
        <v>108</v>
      </c>
      <c r="F652" s="2" t="s">
        <v>39</v>
      </c>
      <c r="G652" s="2">
        <v>502432357</v>
      </c>
      <c r="H652" s="2" t="s">
        <v>41</v>
      </c>
      <c r="I652" s="2" t="s">
        <v>1031</v>
      </c>
      <c r="J652" s="2" t="s">
        <v>1032</v>
      </c>
      <c r="K652" s="2">
        <v>917611946</v>
      </c>
      <c r="L652" s="2" t="s">
        <v>461</v>
      </c>
      <c r="M652" s="2" t="s">
        <v>41</v>
      </c>
      <c r="O652" s="2" t="s">
        <v>1036</v>
      </c>
      <c r="P652" s="2" t="s">
        <v>93</v>
      </c>
      <c r="Q652" s="2" t="s">
        <v>94</v>
      </c>
      <c r="R652" s="2" t="s">
        <v>95</v>
      </c>
      <c r="S652" s="2">
        <v>2</v>
      </c>
      <c r="T652" s="2">
        <v>2.2799999999999998</v>
      </c>
      <c r="U652" s="2">
        <v>0.52439999999999998</v>
      </c>
      <c r="V652" s="2">
        <v>2.8043999999999998</v>
      </c>
      <c r="W652" s="2">
        <v>2.2799999999999998</v>
      </c>
      <c r="X652" s="5">
        <f t="shared" si="88"/>
        <v>0</v>
      </c>
      <c r="Z652" s="2" t="s">
        <v>3227</v>
      </c>
      <c r="AA652" s="2" t="s">
        <v>96</v>
      </c>
      <c r="AB652" s="2" t="s">
        <v>76</v>
      </c>
      <c r="AC652" s="2" t="s">
        <v>93</v>
      </c>
      <c r="AF652" s="2">
        <f t="shared" si="90"/>
        <v>0</v>
      </c>
      <c r="AG652" s="2">
        <v>1.1399999999999999</v>
      </c>
      <c r="AH652" s="2">
        <v>1.1399999999999999</v>
      </c>
      <c r="AJ652" s="2">
        <f t="shared" si="91"/>
        <v>0</v>
      </c>
      <c r="AK652" s="2">
        <f t="shared" si="86"/>
        <v>0</v>
      </c>
      <c r="AL652" s="5">
        <f t="shared" si="89"/>
        <v>0</v>
      </c>
    </row>
    <row r="653" spans="1:38" x14ac:dyDescent="0.2">
      <c r="A653" s="2">
        <v>2025</v>
      </c>
      <c r="B653" s="2">
        <v>3</v>
      </c>
      <c r="D653" s="2" t="s">
        <v>476</v>
      </c>
      <c r="E653" s="2" t="s">
        <v>108</v>
      </c>
      <c r="F653" s="2" t="s">
        <v>477</v>
      </c>
      <c r="G653" s="2">
        <v>500864365</v>
      </c>
      <c r="H653" s="2" t="s">
        <v>41</v>
      </c>
      <c r="I653" s="2" t="s">
        <v>478</v>
      </c>
      <c r="J653" s="2" t="s">
        <v>479</v>
      </c>
      <c r="L653" s="2" t="s">
        <v>480</v>
      </c>
      <c r="P653" s="2" t="s">
        <v>72</v>
      </c>
      <c r="Q653" s="2" t="s">
        <v>306</v>
      </c>
      <c r="R653" s="2" t="s">
        <v>307</v>
      </c>
      <c r="S653" s="2">
        <v>1</v>
      </c>
      <c r="T653" s="2">
        <v>225</v>
      </c>
      <c r="U653" s="2">
        <v>51.75</v>
      </c>
      <c r="V653" s="2">
        <v>276.75</v>
      </c>
      <c r="W653" s="2">
        <v>119.33</v>
      </c>
      <c r="X653" s="5">
        <f t="shared" si="88"/>
        <v>0.46964444444444448</v>
      </c>
      <c r="Z653" s="2" t="s">
        <v>3227</v>
      </c>
      <c r="AA653" s="2" t="s">
        <v>75</v>
      </c>
      <c r="AB653" s="2" t="s">
        <v>76</v>
      </c>
      <c r="AC653" s="2" t="s">
        <v>77</v>
      </c>
      <c r="AF653" s="2">
        <f t="shared" si="90"/>
        <v>0</v>
      </c>
      <c r="AG653" s="2">
        <v>119.33</v>
      </c>
      <c r="AH653" s="2">
        <v>220</v>
      </c>
      <c r="AJ653" s="2">
        <f t="shared" si="91"/>
        <v>0</v>
      </c>
      <c r="AK653" s="2">
        <f t="shared" si="86"/>
        <v>105.67</v>
      </c>
      <c r="AL653" s="5">
        <f t="shared" si="89"/>
        <v>0.46964444444444448</v>
      </c>
    </row>
    <row r="654" spans="1:38" x14ac:dyDescent="0.2">
      <c r="A654" s="2">
        <v>2025</v>
      </c>
      <c r="B654" s="2">
        <v>3</v>
      </c>
      <c r="D654" s="2" t="s">
        <v>476</v>
      </c>
      <c r="E654" s="2" t="s">
        <v>108</v>
      </c>
      <c r="F654" s="2" t="s">
        <v>477</v>
      </c>
      <c r="G654" s="2">
        <v>500864365</v>
      </c>
      <c r="H654" s="2" t="s">
        <v>41</v>
      </c>
      <c r="I654" s="2" t="s">
        <v>478</v>
      </c>
      <c r="J654" s="2" t="s">
        <v>479</v>
      </c>
      <c r="L654" s="2" t="s">
        <v>480</v>
      </c>
      <c r="P654" s="2" t="s">
        <v>93</v>
      </c>
      <c r="Q654" s="2" t="s">
        <v>94</v>
      </c>
      <c r="R654" s="2" t="s">
        <v>95</v>
      </c>
      <c r="S654" s="2">
        <v>1</v>
      </c>
      <c r="T654" s="2">
        <v>1.1399999999999999</v>
      </c>
      <c r="U654" s="2">
        <v>0.26219999999999999</v>
      </c>
      <c r="V654" s="2">
        <v>1.4021999999999999</v>
      </c>
      <c r="W654" s="2">
        <v>1.1399999999999999</v>
      </c>
      <c r="X654" s="5">
        <f t="shared" si="88"/>
        <v>0</v>
      </c>
      <c r="Z654" s="2" t="s">
        <v>3227</v>
      </c>
      <c r="AA654" s="2" t="s">
        <v>96</v>
      </c>
      <c r="AB654" s="2" t="s">
        <v>76</v>
      </c>
      <c r="AC654" s="2" t="s">
        <v>93</v>
      </c>
      <c r="AF654" s="2">
        <f t="shared" si="90"/>
        <v>0</v>
      </c>
      <c r="AJ654" s="2">
        <f t="shared" si="91"/>
        <v>0</v>
      </c>
      <c r="AK654" s="2">
        <f t="shared" si="86"/>
        <v>0</v>
      </c>
      <c r="AL654" s="5">
        <f t="shared" si="89"/>
        <v>0</v>
      </c>
    </row>
    <row r="655" spans="1:38" x14ac:dyDescent="0.2">
      <c r="A655" s="2">
        <v>2025</v>
      </c>
      <c r="B655" s="2">
        <v>3</v>
      </c>
      <c r="D655" s="2" t="s">
        <v>843</v>
      </c>
      <c r="E655" s="2" t="s">
        <v>38</v>
      </c>
      <c r="F655" s="2" t="s">
        <v>39</v>
      </c>
      <c r="G655" s="2">
        <v>161685080</v>
      </c>
      <c r="H655" s="2" t="s">
        <v>41</v>
      </c>
      <c r="I655" s="2" t="s">
        <v>418</v>
      </c>
      <c r="K655" s="2" t="s">
        <v>844</v>
      </c>
      <c r="L655" s="2" t="s">
        <v>418</v>
      </c>
      <c r="M655" s="2" t="s">
        <v>41</v>
      </c>
      <c r="O655" s="2" t="s">
        <v>1037</v>
      </c>
      <c r="P655" s="2" t="s">
        <v>43</v>
      </c>
      <c r="Q655" s="2" t="s">
        <v>54</v>
      </c>
      <c r="R655" s="2" t="s">
        <v>55</v>
      </c>
      <c r="S655" s="2">
        <v>2</v>
      </c>
      <c r="T655" s="2">
        <v>36</v>
      </c>
      <c r="U655" s="2">
        <v>8.2800000000000011</v>
      </c>
      <c r="V655" s="2">
        <v>44.28</v>
      </c>
      <c r="W655" s="2">
        <f>10.6*S655</f>
        <v>21.2</v>
      </c>
      <c r="X655" s="5">
        <f t="shared" si="88"/>
        <v>0.41111111111111115</v>
      </c>
      <c r="Z655" s="2" t="s">
        <v>3227</v>
      </c>
      <c r="AA655" s="2" t="s">
        <v>46</v>
      </c>
      <c r="AB655" s="2" t="s">
        <v>56</v>
      </c>
      <c r="AC655" s="2" t="s">
        <v>57</v>
      </c>
      <c r="AF655" s="2">
        <f t="shared" si="90"/>
        <v>0</v>
      </c>
      <c r="AG655" s="2">
        <v>10.6</v>
      </c>
      <c r="AH655" s="2">
        <v>18</v>
      </c>
      <c r="AJ655" s="2">
        <f t="shared" si="91"/>
        <v>0</v>
      </c>
      <c r="AK655" s="2">
        <f t="shared" si="86"/>
        <v>14.8</v>
      </c>
      <c r="AL655" s="5">
        <f t="shared" si="89"/>
        <v>0.41111111111111115</v>
      </c>
    </row>
    <row r="656" spans="1:38" x14ac:dyDescent="0.2">
      <c r="A656" s="2">
        <v>2025</v>
      </c>
      <c r="B656" s="2">
        <v>3</v>
      </c>
      <c r="D656" s="2" t="s">
        <v>485</v>
      </c>
      <c r="E656" s="2" t="s">
        <v>108</v>
      </c>
      <c r="F656" s="2" t="s">
        <v>39</v>
      </c>
      <c r="G656" s="2">
        <v>506834689</v>
      </c>
      <c r="H656" s="2" t="s">
        <v>41</v>
      </c>
      <c r="I656" s="2" t="s">
        <v>486</v>
      </c>
      <c r="J656" s="2" t="s">
        <v>487</v>
      </c>
      <c r="K656" s="2">
        <v>919866237</v>
      </c>
      <c r="L656" s="2" t="s">
        <v>461</v>
      </c>
      <c r="M656" s="2" t="s">
        <v>41</v>
      </c>
      <c r="P656" s="2" t="s">
        <v>72</v>
      </c>
      <c r="Q656" s="2" t="s">
        <v>73</v>
      </c>
      <c r="R656" s="2" t="s">
        <v>74</v>
      </c>
      <c r="S656" s="2">
        <v>1</v>
      </c>
      <c r="T656" s="2">
        <v>200</v>
      </c>
      <c r="U656" s="2">
        <v>46</v>
      </c>
      <c r="V656" s="2">
        <v>246</v>
      </c>
      <c r="W656" s="2">
        <v>117.453</v>
      </c>
      <c r="X656" s="5">
        <f t="shared" si="88"/>
        <v>0.41273499999999996</v>
      </c>
      <c r="Z656" s="2" t="s">
        <v>3227</v>
      </c>
      <c r="AA656" s="2" t="s">
        <v>75</v>
      </c>
      <c r="AB656" s="2" t="s">
        <v>76</v>
      </c>
      <c r="AC656" s="2" t="s">
        <v>77</v>
      </c>
      <c r="AF656" s="2">
        <f t="shared" si="90"/>
        <v>0</v>
      </c>
      <c r="AG656" s="2">
        <v>117.453</v>
      </c>
      <c r="AH656" s="2">
        <v>220</v>
      </c>
      <c r="AJ656" s="2">
        <f t="shared" si="91"/>
        <v>0</v>
      </c>
      <c r="AK656" s="2">
        <f t="shared" si="86"/>
        <v>82.546999999999997</v>
      </c>
      <c r="AL656" s="5">
        <f t="shared" si="89"/>
        <v>0.41273499999999996</v>
      </c>
    </row>
    <row r="657" spans="1:38" x14ac:dyDescent="0.2">
      <c r="A657" s="2">
        <v>2025</v>
      </c>
      <c r="B657" s="2">
        <v>3</v>
      </c>
      <c r="D657" s="2" t="s">
        <v>485</v>
      </c>
      <c r="E657" s="2" t="s">
        <v>108</v>
      </c>
      <c r="F657" s="2" t="s">
        <v>39</v>
      </c>
      <c r="G657" s="2">
        <v>506834689</v>
      </c>
      <c r="H657" s="2" t="s">
        <v>41</v>
      </c>
      <c r="I657" s="2" t="s">
        <v>486</v>
      </c>
      <c r="J657" s="2" t="s">
        <v>487</v>
      </c>
      <c r="K657" s="2">
        <v>919866237</v>
      </c>
      <c r="L657" s="2" t="s">
        <v>461</v>
      </c>
      <c r="M657" s="2" t="s">
        <v>41</v>
      </c>
      <c r="O657" s="2" t="s">
        <v>3147</v>
      </c>
      <c r="P657" s="2" t="s">
        <v>1038</v>
      </c>
      <c r="Q657" s="2" t="s">
        <v>1039</v>
      </c>
      <c r="R657" s="2" t="s">
        <v>1040</v>
      </c>
      <c r="S657" s="2">
        <v>4</v>
      </c>
      <c r="T657" s="2">
        <v>813.01</v>
      </c>
      <c r="U657" s="2">
        <v>186.9923</v>
      </c>
      <c r="V657" s="2">
        <v>1000.0023</v>
      </c>
      <c r="W657" s="2">
        <f>150.37*S657</f>
        <v>601.48</v>
      </c>
      <c r="X657" s="5">
        <f t="shared" si="88"/>
        <v>0.26018130158300634</v>
      </c>
      <c r="Z657" s="2" t="s">
        <v>3227</v>
      </c>
      <c r="AA657" s="2" t="s">
        <v>1041</v>
      </c>
      <c r="AB657" s="2" t="s">
        <v>1042</v>
      </c>
      <c r="AC657" s="2" t="s">
        <v>1038</v>
      </c>
      <c r="AF657" s="2">
        <f t="shared" si="90"/>
        <v>0</v>
      </c>
      <c r="AG657" s="2">
        <v>150.37</v>
      </c>
      <c r="AJ657" s="2">
        <f t="shared" si="91"/>
        <v>0</v>
      </c>
      <c r="AK657" s="2">
        <f t="shared" si="86"/>
        <v>211.52999999999997</v>
      </c>
      <c r="AL657" s="5">
        <f t="shared" si="89"/>
        <v>0.26018130158300634</v>
      </c>
    </row>
    <row r="658" spans="1:38" x14ac:dyDescent="0.2">
      <c r="A658" s="2">
        <v>2025</v>
      </c>
      <c r="B658" s="2">
        <v>3</v>
      </c>
      <c r="D658" s="2" t="s">
        <v>485</v>
      </c>
      <c r="E658" s="2" t="s">
        <v>108</v>
      </c>
      <c r="F658" s="2" t="s">
        <v>39</v>
      </c>
      <c r="G658" s="2">
        <v>506834689</v>
      </c>
      <c r="H658" s="2" t="s">
        <v>41</v>
      </c>
      <c r="I658" s="2" t="s">
        <v>486</v>
      </c>
      <c r="J658" s="2" t="s">
        <v>487</v>
      </c>
      <c r="K658" s="2">
        <v>919866237</v>
      </c>
      <c r="L658" s="2" t="s">
        <v>461</v>
      </c>
      <c r="M658" s="2" t="s">
        <v>41</v>
      </c>
      <c r="P658" s="2" t="s">
        <v>93</v>
      </c>
      <c r="Q658" s="2" t="s">
        <v>94</v>
      </c>
      <c r="R658" s="2" t="s">
        <v>95</v>
      </c>
      <c r="S658" s="2">
        <v>1</v>
      </c>
      <c r="T658" s="2">
        <v>1.1399999999999999</v>
      </c>
      <c r="U658" s="2">
        <v>0.26219999999999999</v>
      </c>
      <c r="V658" s="2">
        <v>1.4021999999999999</v>
      </c>
      <c r="W658" s="2">
        <v>1.1399999999999999</v>
      </c>
      <c r="X658" s="5">
        <f t="shared" si="88"/>
        <v>0</v>
      </c>
      <c r="Z658" s="2" t="s">
        <v>3227</v>
      </c>
      <c r="AA658" s="2" t="s">
        <v>96</v>
      </c>
      <c r="AB658" s="2" t="s">
        <v>76</v>
      </c>
      <c r="AC658" s="2" t="s">
        <v>93</v>
      </c>
      <c r="AF658" s="2">
        <f t="shared" si="90"/>
        <v>0</v>
      </c>
      <c r="AJ658" s="2">
        <f t="shared" si="91"/>
        <v>0</v>
      </c>
      <c r="AK658" s="2">
        <f t="shared" si="86"/>
        <v>0</v>
      </c>
      <c r="AL658" s="5">
        <f t="shared" si="89"/>
        <v>0</v>
      </c>
    </row>
    <row r="659" spans="1:38" x14ac:dyDescent="0.2">
      <c r="A659" s="2">
        <v>2025</v>
      </c>
      <c r="B659" s="2">
        <v>3</v>
      </c>
      <c r="D659" s="2" t="s">
        <v>1043</v>
      </c>
      <c r="P659" s="2" t="s">
        <v>166</v>
      </c>
      <c r="Q659" s="2" t="s">
        <v>1044</v>
      </c>
      <c r="R659" s="2" t="s">
        <v>1045</v>
      </c>
      <c r="S659" s="2">
        <v>4</v>
      </c>
      <c r="T659" s="2">
        <v>12</v>
      </c>
      <c r="U659" s="2">
        <v>2.76</v>
      </c>
      <c r="V659" s="2">
        <v>14.76</v>
      </c>
      <c r="W659" s="2">
        <f>2.76*S659</f>
        <v>11.04</v>
      </c>
      <c r="X659" s="5">
        <f t="shared" si="88"/>
        <v>8.0000000000000071E-2</v>
      </c>
      <c r="Z659" s="2" t="s">
        <v>3227</v>
      </c>
      <c r="AA659" s="2" t="s">
        <v>46</v>
      </c>
      <c r="AB659" s="2" t="s">
        <v>90</v>
      </c>
      <c r="AC659" s="2" t="s">
        <v>166</v>
      </c>
      <c r="AF659" s="2">
        <f t="shared" si="90"/>
        <v>0</v>
      </c>
      <c r="AJ659" s="2">
        <f t="shared" si="91"/>
        <v>0</v>
      </c>
      <c r="AK659" s="2">
        <f t="shared" si="86"/>
        <v>0.96000000000000085</v>
      </c>
      <c r="AL659" s="5">
        <f t="shared" si="89"/>
        <v>8.0000000000000071E-2</v>
      </c>
    </row>
    <row r="660" spans="1:38" x14ac:dyDescent="0.2">
      <c r="A660" s="2">
        <v>2025</v>
      </c>
      <c r="B660" s="2">
        <v>3</v>
      </c>
      <c r="D660" s="2" t="s">
        <v>1043</v>
      </c>
      <c r="P660" s="2" t="s">
        <v>166</v>
      </c>
      <c r="Q660" s="2" t="s">
        <v>1046</v>
      </c>
      <c r="R660" s="2" t="s">
        <v>1047</v>
      </c>
      <c r="S660" s="2">
        <v>4</v>
      </c>
      <c r="T660" s="2">
        <v>8.4</v>
      </c>
      <c r="U660" s="2">
        <v>1.9319999999999999</v>
      </c>
      <c r="V660" s="2">
        <v>10.332000000000001</v>
      </c>
      <c r="W660" s="2">
        <f>1.7*S660</f>
        <v>6.8</v>
      </c>
      <c r="X660" s="5">
        <f t="shared" si="88"/>
        <v>0.19047619047619052</v>
      </c>
      <c r="Z660" s="2" t="s">
        <v>3227</v>
      </c>
      <c r="AA660" s="2" t="s">
        <v>46</v>
      </c>
      <c r="AB660" s="2" t="s">
        <v>90</v>
      </c>
      <c r="AC660" s="2" t="s">
        <v>166</v>
      </c>
      <c r="AF660" s="2">
        <f t="shared" si="90"/>
        <v>0</v>
      </c>
      <c r="AJ660" s="2">
        <f t="shared" si="91"/>
        <v>0</v>
      </c>
      <c r="AK660" s="2">
        <f t="shared" si="86"/>
        <v>1.6000000000000005</v>
      </c>
      <c r="AL660" s="5">
        <f t="shared" si="89"/>
        <v>0.19047619047619052</v>
      </c>
    </row>
    <row r="661" spans="1:38" x14ac:dyDescent="0.2">
      <c r="A661" s="2">
        <v>2025</v>
      </c>
      <c r="B661" s="2">
        <v>3</v>
      </c>
      <c r="D661" s="2" t="s">
        <v>1043</v>
      </c>
      <c r="P661" s="2" t="s">
        <v>84</v>
      </c>
      <c r="Q661" s="2" t="s">
        <v>1048</v>
      </c>
      <c r="R661" s="2" t="s">
        <v>205</v>
      </c>
      <c r="S661" s="2">
        <v>1</v>
      </c>
      <c r="T661" s="2">
        <v>2.1</v>
      </c>
      <c r="U661" s="2">
        <v>0.48299999999999998</v>
      </c>
      <c r="V661" s="2">
        <v>2.5830000000000002</v>
      </c>
      <c r="W661" s="2">
        <f>1.88</f>
        <v>1.88</v>
      </c>
      <c r="X661" s="5">
        <f t="shared" si="88"/>
        <v>0.10476190476190485</v>
      </c>
      <c r="Z661" s="2" t="s">
        <v>3227</v>
      </c>
      <c r="AA661" s="2" t="s">
        <v>87</v>
      </c>
      <c r="AB661" s="2" t="s">
        <v>90</v>
      </c>
      <c r="AC661" s="2" t="s">
        <v>84</v>
      </c>
      <c r="AF661" s="2">
        <f t="shared" si="90"/>
        <v>0</v>
      </c>
      <c r="AJ661" s="2">
        <f t="shared" si="91"/>
        <v>0</v>
      </c>
      <c r="AK661" s="2">
        <f t="shared" si="86"/>
        <v>0.2200000000000002</v>
      </c>
      <c r="AL661" s="5">
        <f t="shared" si="89"/>
        <v>0.10476190476190485</v>
      </c>
    </row>
    <row r="662" spans="1:38" x14ac:dyDescent="0.2">
      <c r="A662" s="2">
        <v>2025</v>
      </c>
      <c r="B662" s="2">
        <v>3</v>
      </c>
      <c r="D662" s="2" t="s">
        <v>1049</v>
      </c>
      <c r="E662" s="2" t="s">
        <v>108</v>
      </c>
      <c r="F662" s="2" t="s">
        <v>531</v>
      </c>
      <c r="G662" s="2">
        <v>504586351</v>
      </c>
      <c r="H662" s="2" t="s">
        <v>290</v>
      </c>
      <c r="I662" s="2" t="s">
        <v>1050</v>
      </c>
      <c r="J662" s="2" t="s">
        <v>1051</v>
      </c>
      <c r="L662" s="2" t="s">
        <v>339</v>
      </c>
      <c r="M662" s="2" t="s">
        <v>40</v>
      </c>
      <c r="O662" s="2" t="s">
        <v>1052</v>
      </c>
      <c r="P662" s="2" t="s">
        <v>187</v>
      </c>
      <c r="Q662" s="2" t="s">
        <v>188</v>
      </c>
      <c r="R662" s="2" t="s">
        <v>189</v>
      </c>
      <c r="S662" s="2">
        <v>1</v>
      </c>
      <c r="T662" s="2">
        <v>50</v>
      </c>
      <c r="U662" s="2">
        <v>11.5</v>
      </c>
      <c r="V662" s="2">
        <v>61.5</v>
      </c>
      <c r="W662" s="2">
        <f>T662*40%</f>
        <v>20</v>
      </c>
      <c r="X662" s="5">
        <f t="shared" si="88"/>
        <v>0.6</v>
      </c>
      <c r="Z662" s="2" t="s">
        <v>117</v>
      </c>
      <c r="AA662" s="2" t="s">
        <v>190</v>
      </c>
      <c r="AB662" s="2" t="s">
        <v>189</v>
      </c>
      <c r="AC662" s="2" t="s">
        <v>40</v>
      </c>
      <c r="AF662" s="2">
        <f t="shared" si="90"/>
        <v>0</v>
      </c>
      <c r="AJ662" s="2">
        <f t="shared" si="91"/>
        <v>0</v>
      </c>
      <c r="AK662" s="2">
        <f t="shared" si="86"/>
        <v>30</v>
      </c>
      <c r="AL662" s="5">
        <f t="shared" si="89"/>
        <v>0.6</v>
      </c>
    </row>
    <row r="663" spans="1:38" x14ac:dyDescent="0.2">
      <c r="A663" s="2">
        <v>2025</v>
      </c>
      <c r="B663" s="2">
        <v>3</v>
      </c>
      <c r="D663" s="2" t="s">
        <v>1049</v>
      </c>
      <c r="E663" s="2" t="s">
        <v>108</v>
      </c>
      <c r="F663" s="2" t="s">
        <v>531</v>
      </c>
      <c r="G663" s="2">
        <v>504586351</v>
      </c>
      <c r="H663" s="2" t="s">
        <v>290</v>
      </c>
      <c r="I663" s="2" t="s">
        <v>1050</v>
      </c>
      <c r="J663" s="2" t="s">
        <v>1051</v>
      </c>
      <c r="L663" s="2" t="s">
        <v>339</v>
      </c>
      <c r="M663" s="2" t="s">
        <v>40</v>
      </c>
      <c r="O663" s="2" t="s">
        <v>1052</v>
      </c>
      <c r="P663" s="2" t="s">
        <v>187</v>
      </c>
      <c r="Q663" s="2" t="s">
        <v>191</v>
      </c>
      <c r="R663" s="2" t="s">
        <v>190</v>
      </c>
      <c r="S663" s="2">
        <v>2</v>
      </c>
      <c r="T663" s="2">
        <v>100</v>
      </c>
      <c r="U663" s="2">
        <v>23</v>
      </c>
      <c r="V663" s="2">
        <v>123</v>
      </c>
      <c r="W663" s="2">
        <f>T663*50%</f>
        <v>50</v>
      </c>
      <c r="X663" s="5">
        <f t="shared" si="88"/>
        <v>0.5</v>
      </c>
      <c r="Z663" s="2" t="s">
        <v>117</v>
      </c>
      <c r="AA663" s="2" t="s">
        <v>190</v>
      </c>
      <c r="AB663" s="2" t="s">
        <v>190</v>
      </c>
      <c r="AC663" s="2" t="s">
        <v>40</v>
      </c>
      <c r="AF663" s="2">
        <f t="shared" si="90"/>
        <v>0</v>
      </c>
      <c r="AJ663" s="2">
        <f t="shared" si="91"/>
        <v>0</v>
      </c>
      <c r="AK663" s="2">
        <f t="shared" si="86"/>
        <v>50</v>
      </c>
      <c r="AL663" s="5">
        <f t="shared" si="89"/>
        <v>0.5</v>
      </c>
    </row>
    <row r="664" spans="1:38" x14ac:dyDescent="0.2">
      <c r="A664" s="2">
        <v>2025</v>
      </c>
      <c r="B664" s="2">
        <v>3</v>
      </c>
      <c r="D664" s="2" t="s">
        <v>1053</v>
      </c>
      <c r="E664" s="2" t="s">
        <v>183</v>
      </c>
      <c r="F664" s="2" t="s">
        <v>1054</v>
      </c>
      <c r="G664" s="2">
        <v>500199523</v>
      </c>
      <c r="H664" s="2" t="s">
        <v>290</v>
      </c>
      <c r="I664" s="2" t="s">
        <v>293</v>
      </c>
      <c r="J664" s="2" t="s">
        <v>1055</v>
      </c>
      <c r="L664" s="2" t="s">
        <v>293</v>
      </c>
      <c r="M664" s="2" t="s">
        <v>80</v>
      </c>
      <c r="O664" s="2" t="s">
        <v>1056</v>
      </c>
      <c r="P664" s="2" t="s">
        <v>72</v>
      </c>
      <c r="Q664" s="2" t="s">
        <v>325</v>
      </c>
      <c r="R664" s="2" t="s">
        <v>79</v>
      </c>
      <c r="S664" s="2">
        <v>1</v>
      </c>
      <c r="T664" s="2">
        <v>200</v>
      </c>
      <c r="U664" s="2">
        <v>46</v>
      </c>
      <c r="V664" s="2">
        <v>246</v>
      </c>
      <c r="W664" s="2">
        <f>110.68*S664</f>
        <v>110.68</v>
      </c>
      <c r="X664" s="5">
        <f t="shared" si="88"/>
        <v>0.44659999999999994</v>
      </c>
      <c r="Z664" s="2" t="s">
        <v>3227</v>
      </c>
      <c r="AA664" s="2" t="s">
        <v>75</v>
      </c>
      <c r="AB664" s="2" t="s">
        <v>76</v>
      </c>
      <c r="AC664" s="2" t="s">
        <v>77</v>
      </c>
      <c r="AF664" s="2">
        <f t="shared" si="90"/>
        <v>0</v>
      </c>
      <c r="AG664" s="2">
        <v>110.68</v>
      </c>
      <c r="AH664" s="2">
        <v>210</v>
      </c>
      <c r="AJ664" s="2">
        <f t="shared" si="91"/>
        <v>0</v>
      </c>
      <c r="AK664" s="2">
        <f t="shared" si="86"/>
        <v>89.32</v>
      </c>
      <c r="AL664" s="5">
        <f t="shared" si="89"/>
        <v>0.44659999999999994</v>
      </c>
    </row>
    <row r="665" spans="1:38" x14ac:dyDescent="0.2">
      <c r="A665" s="2">
        <v>2025</v>
      </c>
      <c r="B665" s="2">
        <v>3</v>
      </c>
      <c r="D665" s="2" t="s">
        <v>1053</v>
      </c>
      <c r="E665" s="2" t="s">
        <v>183</v>
      </c>
      <c r="F665" s="2" t="s">
        <v>1054</v>
      </c>
      <c r="G665" s="2">
        <v>500199523</v>
      </c>
      <c r="H665" s="2" t="s">
        <v>290</v>
      </c>
      <c r="I665" s="2" t="s">
        <v>293</v>
      </c>
      <c r="J665" s="2" t="s">
        <v>1055</v>
      </c>
      <c r="L665" s="2" t="s">
        <v>293</v>
      </c>
      <c r="M665" s="2" t="s">
        <v>80</v>
      </c>
      <c r="O665" s="2" t="s">
        <v>1056</v>
      </c>
      <c r="P665" s="2" t="s">
        <v>93</v>
      </c>
      <c r="Q665" s="2" t="s">
        <v>94</v>
      </c>
      <c r="R665" s="2" t="s">
        <v>95</v>
      </c>
      <c r="S665" s="2">
        <v>1</v>
      </c>
      <c r="T665" s="2">
        <v>1.1399999999999999</v>
      </c>
      <c r="U665" s="2">
        <v>0.26219999999999999</v>
      </c>
      <c r="V665" s="2">
        <v>1.4021999999999999</v>
      </c>
      <c r="W665" s="2">
        <v>1.1399999999999999</v>
      </c>
      <c r="X665" s="5">
        <f t="shared" si="88"/>
        <v>0</v>
      </c>
      <c r="Z665" s="2" t="s">
        <v>3227</v>
      </c>
      <c r="AA665" s="2" t="s">
        <v>96</v>
      </c>
      <c r="AB665" s="2" t="s">
        <v>76</v>
      </c>
      <c r="AC665" s="2" t="s">
        <v>93</v>
      </c>
      <c r="AF665" s="2">
        <f t="shared" si="90"/>
        <v>0</v>
      </c>
      <c r="AJ665" s="2">
        <f t="shared" si="91"/>
        <v>0</v>
      </c>
      <c r="AK665" s="2">
        <f t="shared" si="86"/>
        <v>0</v>
      </c>
      <c r="AL665" s="5">
        <f t="shared" si="89"/>
        <v>0</v>
      </c>
    </row>
    <row r="666" spans="1:38" x14ac:dyDescent="0.2">
      <c r="A666" s="2">
        <v>2025</v>
      </c>
      <c r="B666" s="2">
        <v>3</v>
      </c>
      <c r="D666" s="2" t="s">
        <v>500</v>
      </c>
      <c r="E666" s="2" t="s">
        <v>38</v>
      </c>
      <c r="F666" s="2" t="s">
        <v>39</v>
      </c>
      <c r="G666" s="2">
        <v>513244468</v>
      </c>
      <c r="H666" s="2" t="s">
        <v>41</v>
      </c>
      <c r="I666" s="2" t="s">
        <v>501</v>
      </c>
      <c r="J666" s="2" t="s">
        <v>502</v>
      </c>
      <c r="K666" s="2">
        <v>918010109</v>
      </c>
      <c r="L666" s="2" t="s">
        <v>99</v>
      </c>
      <c r="M666" s="2" t="s">
        <v>41</v>
      </c>
      <c r="P666" s="2" t="s">
        <v>282</v>
      </c>
      <c r="Q666" s="2" t="s">
        <v>1057</v>
      </c>
      <c r="R666" s="2" t="s">
        <v>1058</v>
      </c>
      <c r="S666" s="2">
        <v>1</v>
      </c>
      <c r="T666" s="2">
        <v>15.9</v>
      </c>
      <c r="U666" s="2">
        <v>3.657</v>
      </c>
      <c r="V666" s="2">
        <v>19.556999999999999</v>
      </c>
      <c r="W666" s="2">
        <v>11.29</v>
      </c>
      <c r="X666" s="5">
        <f t="shared" si="88"/>
        <v>0.28993710691823904</v>
      </c>
      <c r="Z666" s="2" t="s">
        <v>3227</v>
      </c>
      <c r="AA666" s="2" t="s">
        <v>71</v>
      </c>
      <c r="AB666" s="2" t="s">
        <v>119</v>
      </c>
      <c r="AC666" s="2" t="s">
        <v>119</v>
      </c>
      <c r="AF666" s="2">
        <f t="shared" si="90"/>
        <v>0</v>
      </c>
      <c r="AJ666" s="2">
        <f t="shared" si="91"/>
        <v>0</v>
      </c>
      <c r="AK666" s="2">
        <f t="shared" si="86"/>
        <v>4.6100000000000012</v>
      </c>
      <c r="AL666" s="5">
        <f t="shared" si="89"/>
        <v>0.28993710691823904</v>
      </c>
    </row>
    <row r="667" spans="1:38" x14ac:dyDescent="0.2">
      <c r="A667" s="2">
        <v>2025</v>
      </c>
      <c r="B667" s="2">
        <v>3</v>
      </c>
      <c r="D667" s="2" t="s">
        <v>500</v>
      </c>
      <c r="E667" s="2" t="s">
        <v>38</v>
      </c>
      <c r="F667" s="2" t="s">
        <v>39</v>
      </c>
      <c r="G667" s="2">
        <v>513244468</v>
      </c>
      <c r="H667" s="2" t="s">
        <v>41</v>
      </c>
      <c r="I667" s="2" t="s">
        <v>501</v>
      </c>
      <c r="J667" s="2" t="s">
        <v>502</v>
      </c>
      <c r="K667" s="2">
        <v>918010109</v>
      </c>
      <c r="L667" s="2" t="s">
        <v>99</v>
      </c>
      <c r="M667" s="2" t="s">
        <v>41</v>
      </c>
      <c r="P667" s="2" t="s">
        <v>282</v>
      </c>
      <c r="Q667" s="2" t="s">
        <v>1059</v>
      </c>
      <c r="R667" s="2" t="s">
        <v>1060</v>
      </c>
      <c r="S667" s="2">
        <v>1</v>
      </c>
      <c r="T667" s="2">
        <v>12.9</v>
      </c>
      <c r="U667" s="2">
        <v>2.9670000000000001</v>
      </c>
      <c r="V667" s="2">
        <v>15.867000000000001</v>
      </c>
      <c r="W667" s="2">
        <v>9.16</v>
      </c>
      <c r="X667" s="5">
        <f t="shared" si="88"/>
        <v>0.28992248062015502</v>
      </c>
      <c r="Z667" s="2" t="s">
        <v>3227</v>
      </c>
      <c r="AA667" s="2" t="s">
        <v>71</v>
      </c>
      <c r="AB667" s="2" t="s">
        <v>119</v>
      </c>
      <c r="AC667" s="2" t="s">
        <v>119</v>
      </c>
      <c r="AF667" s="2">
        <f t="shared" si="90"/>
        <v>0</v>
      </c>
      <c r="AJ667" s="2">
        <f t="shared" si="91"/>
        <v>0</v>
      </c>
      <c r="AK667" s="2">
        <f t="shared" si="86"/>
        <v>3.74</v>
      </c>
      <c r="AL667" s="5">
        <f t="shared" si="89"/>
        <v>0.28992248062015502</v>
      </c>
    </row>
    <row r="668" spans="1:38" x14ac:dyDescent="0.2">
      <c r="A668" s="2">
        <v>2025</v>
      </c>
      <c r="B668" s="2">
        <v>3</v>
      </c>
      <c r="D668" s="2" t="s">
        <v>500</v>
      </c>
      <c r="E668" s="2" t="s">
        <v>38</v>
      </c>
      <c r="F668" s="2" t="s">
        <v>39</v>
      </c>
      <c r="G668" s="2">
        <v>513244468</v>
      </c>
      <c r="H668" s="2" t="s">
        <v>41</v>
      </c>
      <c r="I668" s="2" t="s">
        <v>501</v>
      </c>
      <c r="J668" s="2" t="s">
        <v>502</v>
      </c>
      <c r="K668" s="2">
        <v>918010109</v>
      </c>
      <c r="L668" s="2" t="s">
        <v>99</v>
      </c>
      <c r="M668" s="2" t="s">
        <v>41</v>
      </c>
      <c r="P668" s="2" t="s">
        <v>282</v>
      </c>
      <c r="Q668" s="2" t="s">
        <v>528</v>
      </c>
      <c r="R668" s="2" t="s">
        <v>529</v>
      </c>
      <c r="S668" s="2">
        <v>1</v>
      </c>
      <c r="T668" s="2">
        <v>399</v>
      </c>
      <c r="U668" s="2">
        <v>91.77000000000001</v>
      </c>
      <c r="V668" s="2">
        <v>490.77</v>
      </c>
      <c r="W668" s="2">
        <v>299.25</v>
      </c>
      <c r="X668" s="5">
        <f t="shared" ref="X668:X688" si="92">(T668-W668)/T668</f>
        <v>0.25</v>
      </c>
      <c r="Z668" s="2" t="s">
        <v>3227</v>
      </c>
      <c r="AA668" s="2" t="s">
        <v>71</v>
      </c>
      <c r="AB668" s="2" t="s">
        <v>119</v>
      </c>
      <c r="AC668" s="2" t="s">
        <v>119</v>
      </c>
      <c r="AF668" s="2">
        <f t="shared" si="90"/>
        <v>0</v>
      </c>
      <c r="AJ668" s="2">
        <f t="shared" si="91"/>
        <v>0</v>
      </c>
      <c r="AK668" s="2">
        <f t="shared" si="86"/>
        <v>99.75</v>
      </c>
      <c r="AL668" s="5">
        <f t="shared" ref="AL668:AL699" si="93">(T668-W668)/T668</f>
        <v>0.25</v>
      </c>
    </row>
    <row r="669" spans="1:38" x14ac:dyDescent="0.2">
      <c r="A669" s="2">
        <v>2025</v>
      </c>
      <c r="B669" s="2">
        <v>3</v>
      </c>
      <c r="D669" s="2" t="s">
        <v>500</v>
      </c>
      <c r="E669" s="2" t="s">
        <v>38</v>
      </c>
      <c r="F669" s="2" t="s">
        <v>39</v>
      </c>
      <c r="G669" s="2">
        <v>513244468</v>
      </c>
      <c r="H669" s="2" t="s">
        <v>41</v>
      </c>
      <c r="I669" s="2" t="s">
        <v>501</v>
      </c>
      <c r="J669" s="2" t="s">
        <v>502</v>
      </c>
      <c r="K669" s="2">
        <v>918010109</v>
      </c>
      <c r="L669" s="2" t="s">
        <v>99</v>
      </c>
      <c r="M669" s="2" t="s">
        <v>41</v>
      </c>
      <c r="P669" s="2" t="s">
        <v>282</v>
      </c>
      <c r="Q669" s="2" t="s">
        <v>1061</v>
      </c>
      <c r="R669" s="2" t="s">
        <v>1062</v>
      </c>
      <c r="S669" s="2">
        <v>1</v>
      </c>
      <c r="T669" s="2">
        <v>25.9</v>
      </c>
      <c r="U669" s="2">
        <v>5.9569999999999999</v>
      </c>
      <c r="V669" s="2">
        <v>31.856999999999999</v>
      </c>
      <c r="W669" s="2">
        <v>18.39</v>
      </c>
      <c r="X669" s="5">
        <f t="shared" si="92"/>
        <v>0.28996138996138993</v>
      </c>
      <c r="Z669" s="2" t="s">
        <v>3227</v>
      </c>
      <c r="AA669" s="2" t="s">
        <v>71</v>
      </c>
      <c r="AB669" s="2" t="s">
        <v>119</v>
      </c>
      <c r="AC669" s="2" t="s">
        <v>119</v>
      </c>
      <c r="AF669" s="2">
        <f t="shared" si="90"/>
        <v>0</v>
      </c>
      <c r="AJ669" s="2">
        <f t="shared" si="91"/>
        <v>0</v>
      </c>
      <c r="AK669" s="2">
        <f t="shared" si="86"/>
        <v>7.509999999999998</v>
      </c>
      <c r="AL669" s="5">
        <f t="shared" si="93"/>
        <v>0.28996138996138993</v>
      </c>
    </row>
    <row r="670" spans="1:38" x14ac:dyDescent="0.2">
      <c r="A670" s="2">
        <v>2025</v>
      </c>
      <c r="B670" s="2">
        <v>3</v>
      </c>
      <c r="D670" s="2" t="s">
        <v>500</v>
      </c>
      <c r="E670" s="2" t="s">
        <v>38</v>
      </c>
      <c r="F670" s="2" t="s">
        <v>39</v>
      </c>
      <c r="G670" s="2">
        <v>513244468</v>
      </c>
      <c r="H670" s="2" t="s">
        <v>41</v>
      </c>
      <c r="I670" s="2" t="s">
        <v>501</v>
      </c>
      <c r="J670" s="2" t="s">
        <v>502</v>
      </c>
      <c r="K670" s="2">
        <v>918010109</v>
      </c>
      <c r="L670" s="2" t="s">
        <v>99</v>
      </c>
      <c r="M670" s="2" t="s">
        <v>41</v>
      </c>
      <c r="P670" s="2" t="s">
        <v>282</v>
      </c>
      <c r="Q670" s="2" t="s">
        <v>1063</v>
      </c>
      <c r="R670" s="2" t="s">
        <v>1064</v>
      </c>
      <c r="S670" s="2">
        <v>1</v>
      </c>
      <c r="T670" s="2">
        <v>28.9</v>
      </c>
      <c r="U670" s="2">
        <v>6.6470000000000002</v>
      </c>
      <c r="V670" s="2">
        <v>35.546999999999997</v>
      </c>
      <c r="W670" s="2">
        <v>20.23</v>
      </c>
      <c r="X670" s="5">
        <f t="shared" si="92"/>
        <v>0.29999999999999993</v>
      </c>
      <c r="Z670" s="2" t="s">
        <v>3227</v>
      </c>
      <c r="AA670" s="2" t="s">
        <v>71</v>
      </c>
      <c r="AB670" s="2" t="s">
        <v>1600</v>
      </c>
      <c r="AC670" s="2" t="s">
        <v>1600</v>
      </c>
      <c r="AF670" s="2">
        <f t="shared" si="90"/>
        <v>0</v>
      </c>
      <c r="AJ670" s="2">
        <f t="shared" si="91"/>
        <v>0</v>
      </c>
      <c r="AK670" s="2">
        <f t="shared" si="86"/>
        <v>8.6699999999999982</v>
      </c>
      <c r="AL670" s="5">
        <f t="shared" si="93"/>
        <v>0.29999999999999993</v>
      </c>
    </row>
    <row r="671" spans="1:38" x14ac:dyDescent="0.2">
      <c r="A671" s="2">
        <v>2025</v>
      </c>
      <c r="B671" s="2">
        <v>3</v>
      </c>
      <c r="D671" s="2" t="s">
        <v>1065</v>
      </c>
      <c r="E671" s="2" t="s">
        <v>108</v>
      </c>
      <c r="F671" s="2" t="s">
        <v>39</v>
      </c>
      <c r="L671" s="2" t="s">
        <v>99</v>
      </c>
      <c r="M671" s="2" t="s">
        <v>41</v>
      </c>
      <c r="P671" s="2" t="s">
        <v>43</v>
      </c>
      <c r="Q671" s="2" t="s">
        <v>61</v>
      </c>
      <c r="R671" s="2" t="s">
        <v>62</v>
      </c>
      <c r="S671" s="2">
        <v>1000</v>
      </c>
      <c r="T671" s="2">
        <v>105</v>
      </c>
      <c r="U671" s="2">
        <v>24.15</v>
      </c>
      <c r="V671" s="2">
        <v>129.15</v>
      </c>
      <c r="W671" s="2">
        <f>0.082*S671</f>
        <v>82</v>
      </c>
      <c r="X671" s="5">
        <f t="shared" si="92"/>
        <v>0.21904761904761905</v>
      </c>
      <c r="Z671" s="2" t="s">
        <v>3227</v>
      </c>
      <c r="AA671" s="2" t="s">
        <v>46</v>
      </c>
      <c r="AB671" s="2" t="s">
        <v>60</v>
      </c>
      <c r="AC671" s="2" t="s">
        <v>57</v>
      </c>
      <c r="AF671" s="2">
        <f t="shared" si="90"/>
        <v>0</v>
      </c>
      <c r="AG671" s="2">
        <v>8.1999999999999993</v>
      </c>
      <c r="AH671" s="2">
        <v>13</v>
      </c>
      <c r="AJ671" s="2">
        <f t="shared" si="91"/>
        <v>0</v>
      </c>
      <c r="AK671" s="2">
        <f t="shared" si="86"/>
        <v>23</v>
      </c>
      <c r="AL671" s="5">
        <f t="shared" si="93"/>
        <v>0.21904761904761905</v>
      </c>
    </row>
    <row r="672" spans="1:38" x14ac:dyDescent="0.2">
      <c r="A672" s="2">
        <v>2025</v>
      </c>
      <c r="B672" s="2">
        <v>3</v>
      </c>
      <c r="D672" s="2" t="s">
        <v>1065</v>
      </c>
      <c r="E672" s="2" t="s">
        <v>108</v>
      </c>
      <c r="F672" s="2" t="s">
        <v>39</v>
      </c>
      <c r="L672" s="2" t="s">
        <v>99</v>
      </c>
      <c r="M672" s="2" t="s">
        <v>41</v>
      </c>
      <c r="P672" s="2" t="s">
        <v>43</v>
      </c>
      <c r="Q672" s="2" t="s">
        <v>65</v>
      </c>
      <c r="R672" s="2" t="s">
        <v>66</v>
      </c>
      <c r="S672" s="2">
        <v>2</v>
      </c>
      <c r="T672" s="2">
        <v>42</v>
      </c>
      <c r="U672" s="2">
        <v>9.66</v>
      </c>
      <c r="V672" s="2">
        <v>51.66</v>
      </c>
      <c r="W672" s="2">
        <f>15.0203*S672</f>
        <v>30.040600000000001</v>
      </c>
      <c r="X672" s="5">
        <f t="shared" si="92"/>
        <v>0.28474761904761903</v>
      </c>
      <c r="Z672" s="2" t="s">
        <v>3227</v>
      </c>
      <c r="AA672" s="2" t="s">
        <v>46</v>
      </c>
      <c r="AB672" s="2" t="s">
        <v>67</v>
      </c>
      <c r="AC672" s="2" t="s">
        <v>57</v>
      </c>
      <c r="AF672" s="2">
        <f t="shared" si="90"/>
        <v>0</v>
      </c>
      <c r="AG672" s="2">
        <v>15.020300000000001</v>
      </c>
      <c r="AH672" s="2">
        <v>27.6</v>
      </c>
      <c r="AJ672" s="2">
        <f t="shared" si="91"/>
        <v>0</v>
      </c>
      <c r="AK672" s="2">
        <f t="shared" si="86"/>
        <v>11.959399999999999</v>
      </c>
      <c r="AL672" s="5">
        <f t="shared" si="93"/>
        <v>0.28474761904761903</v>
      </c>
    </row>
    <row r="673" spans="1:38" x14ac:dyDescent="0.2">
      <c r="A673" s="2">
        <v>2025</v>
      </c>
      <c r="B673" s="2">
        <v>3</v>
      </c>
      <c r="D673" s="2" t="s">
        <v>1066</v>
      </c>
      <c r="M673" s="2" t="s">
        <v>40</v>
      </c>
      <c r="P673" s="2" t="s">
        <v>2691</v>
      </c>
      <c r="Q673" s="2" t="s">
        <v>1067</v>
      </c>
      <c r="R673" s="2" t="s">
        <v>1068</v>
      </c>
      <c r="S673" s="2">
        <v>2</v>
      </c>
      <c r="T673" s="2">
        <v>680</v>
      </c>
      <c r="U673" s="2">
        <v>156.4</v>
      </c>
      <c r="V673" s="2">
        <v>836.4</v>
      </c>
      <c r="W673" s="2">
        <f>245+19.47*2</f>
        <v>283.94</v>
      </c>
      <c r="X673" s="5">
        <f t="shared" si="92"/>
        <v>0.58244117647058824</v>
      </c>
      <c r="Z673" s="2" t="s">
        <v>3227</v>
      </c>
      <c r="AA673" s="2" t="s">
        <v>3383</v>
      </c>
      <c r="AB673" s="2" t="s">
        <v>3384</v>
      </c>
      <c r="AC673" s="2" t="s">
        <v>3385</v>
      </c>
      <c r="AF673" s="2">
        <f t="shared" si="90"/>
        <v>0</v>
      </c>
      <c r="AJ673" s="2">
        <f t="shared" si="91"/>
        <v>0</v>
      </c>
      <c r="AK673" s="2">
        <f t="shared" si="86"/>
        <v>396.06</v>
      </c>
      <c r="AL673" s="5">
        <f t="shared" si="93"/>
        <v>0.58244117647058824</v>
      </c>
    </row>
    <row r="674" spans="1:38" x14ac:dyDescent="0.2">
      <c r="A674" s="2">
        <v>2025</v>
      </c>
      <c r="B674" s="2">
        <v>3</v>
      </c>
      <c r="D674" s="2" t="s">
        <v>867</v>
      </c>
      <c r="E674" s="2" t="s">
        <v>38</v>
      </c>
      <c r="F674" s="2" t="s">
        <v>39</v>
      </c>
      <c r="G674" s="2">
        <v>226546594</v>
      </c>
      <c r="H674" s="2" t="s">
        <v>41</v>
      </c>
      <c r="I674" s="2" t="s">
        <v>868</v>
      </c>
      <c r="J674" s="2" t="s">
        <v>869</v>
      </c>
      <c r="K674" s="2">
        <v>933599817</v>
      </c>
      <c r="L674" s="2" t="s">
        <v>99</v>
      </c>
      <c r="P674" s="2" t="s">
        <v>282</v>
      </c>
      <c r="Q674" s="2" t="s">
        <v>1069</v>
      </c>
      <c r="R674" s="2" t="s">
        <v>1070</v>
      </c>
      <c r="S674" s="2">
        <v>1</v>
      </c>
      <c r="T674" s="2">
        <v>9.08</v>
      </c>
      <c r="U674" s="2">
        <v>2.0884</v>
      </c>
      <c r="V674" s="2">
        <v>11.1684</v>
      </c>
      <c r="W674" s="2">
        <f>6.0484*S674</f>
        <v>6.0484</v>
      </c>
      <c r="X674" s="5">
        <f t="shared" si="92"/>
        <v>0.33387665198237887</v>
      </c>
      <c r="Z674" s="2" t="s">
        <v>3227</v>
      </c>
      <c r="AA674" s="2" t="s">
        <v>71</v>
      </c>
      <c r="AB674" s="2" t="s">
        <v>119</v>
      </c>
      <c r="AC674" s="2" t="s">
        <v>119</v>
      </c>
      <c r="AF674" s="2">
        <f t="shared" si="90"/>
        <v>0</v>
      </c>
      <c r="AJ674" s="2">
        <f t="shared" si="91"/>
        <v>0</v>
      </c>
      <c r="AK674" s="2">
        <f t="shared" si="86"/>
        <v>3.0316000000000001</v>
      </c>
      <c r="AL674" s="5">
        <f t="shared" si="93"/>
        <v>0.33387665198237887</v>
      </c>
    </row>
    <row r="675" spans="1:38" x14ac:dyDescent="0.2">
      <c r="A675" s="2">
        <v>2025</v>
      </c>
      <c r="B675" s="2">
        <v>3</v>
      </c>
      <c r="D675" s="2" t="s">
        <v>867</v>
      </c>
      <c r="E675" s="2" t="s">
        <v>38</v>
      </c>
      <c r="F675" s="2" t="s">
        <v>39</v>
      </c>
      <c r="G675" s="2">
        <v>226546594</v>
      </c>
      <c r="H675" s="2" t="s">
        <v>41</v>
      </c>
      <c r="I675" s="2" t="s">
        <v>868</v>
      </c>
      <c r="J675" s="2" t="s">
        <v>869</v>
      </c>
      <c r="K675" s="2">
        <v>933599817</v>
      </c>
      <c r="L675" s="2" t="s">
        <v>99</v>
      </c>
      <c r="P675" s="2" t="s">
        <v>43</v>
      </c>
      <c r="Q675" s="2" t="s">
        <v>250</v>
      </c>
      <c r="R675" s="2" t="s">
        <v>251</v>
      </c>
      <c r="S675" s="2">
        <v>1</v>
      </c>
      <c r="T675" s="2">
        <v>65</v>
      </c>
      <c r="U675" s="2">
        <v>14.95</v>
      </c>
      <c r="V675" s="2">
        <v>79.95</v>
      </c>
      <c r="W675" s="2">
        <f>25.0958*S675</f>
        <v>25.095800000000001</v>
      </c>
      <c r="X675" s="5">
        <f t="shared" si="92"/>
        <v>0.61391076923076926</v>
      </c>
      <c r="Z675" s="2" t="s">
        <v>3227</v>
      </c>
      <c r="AA675" s="2" t="s">
        <v>46</v>
      </c>
      <c r="AB675" s="2" t="s">
        <v>90</v>
      </c>
      <c r="AC675" s="2" t="s">
        <v>57</v>
      </c>
      <c r="AF675" s="2">
        <f t="shared" si="90"/>
        <v>0</v>
      </c>
      <c r="AJ675" s="2">
        <f t="shared" si="91"/>
        <v>0</v>
      </c>
      <c r="AK675" s="2">
        <f t="shared" si="86"/>
        <v>39.904200000000003</v>
      </c>
      <c r="AL675" s="5">
        <f t="shared" si="93"/>
        <v>0.61391076923076926</v>
      </c>
    </row>
    <row r="676" spans="1:38" x14ac:dyDescent="0.2">
      <c r="A676" s="2">
        <v>2025</v>
      </c>
      <c r="B676" s="2">
        <v>3</v>
      </c>
      <c r="D676" s="2" t="s">
        <v>1071</v>
      </c>
      <c r="E676" s="2" t="s">
        <v>38</v>
      </c>
      <c r="F676" s="2" t="s">
        <v>39</v>
      </c>
      <c r="G676" s="2">
        <v>503843091</v>
      </c>
      <c r="H676" s="2" t="s">
        <v>41</v>
      </c>
      <c r="I676" s="2" t="s">
        <v>1554</v>
      </c>
      <c r="J676" s="2" t="s">
        <v>1824</v>
      </c>
      <c r="L676" s="2" t="s">
        <v>177</v>
      </c>
      <c r="M676" s="2" t="s">
        <v>41</v>
      </c>
      <c r="P676" s="2" t="s">
        <v>43</v>
      </c>
      <c r="Q676" s="2" t="s">
        <v>48</v>
      </c>
      <c r="R676" s="2" t="s">
        <v>49</v>
      </c>
      <c r="S676" s="2">
        <v>8</v>
      </c>
      <c r="T676" s="2">
        <v>96</v>
      </c>
      <c r="U676" s="2">
        <v>22.08</v>
      </c>
      <c r="V676" s="2">
        <v>118.08</v>
      </c>
      <c r="W676" s="2">
        <f>6.6267*S676</f>
        <v>53.013599999999997</v>
      </c>
      <c r="X676" s="5">
        <f t="shared" si="92"/>
        <v>0.44777500000000003</v>
      </c>
      <c r="Z676" s="2" t="s">
        <v>3227</v>
      </c>
      <c r="AA676" s="2" t="s">
        <v>46</v>
      </c>
      <c r="AB676" s="2" t="s">
        <v>47</v>
      </c>
      <c r="AC676" s="2" t="s">
        <v>57</v>
      </c>
      <c r="AF676" s="2">
        <f t="shared" si="90"/>
        <v>0</v>
      </c>
      <c r="AG676" s="2">
        <v>6.6266999999999996</v>
      </c>
      <c r="AH676" s="2">
        <v>12</v>
      </c>
      <c r="AJ676" s="2">
        <f t="shared" si="91"/>
        <v>0</v>
      </c>
      <c r="AK676" s="2">
        <f t="shared" si="86"/>
        <v>42.986400000000003</v>
      </c>
      <c r="AL676" s="5">
        <f t="shared" si="93"/>
        <v>0.44777500000000003</v>
      </c>
    </row>
    <row r="677" spans="1:38" x14ac:dyDescent="0.2">
      <c r="A677" s="2">
        <v>2025</v>
      </c>
      <c r="B677" s="2">
        <v>3</v>
      </c>
      <c r="D677" s="2" t="s">
        <v>1071</v>
      </c>
      <c r="E677" s="2" t="s">
        <v>38</v>
      </c>
      <c r="F677" s="2" t="s">
        <v>39</v>
      </c>
      <c r="G677" s="2">
        <v>503843091</v>
      </c>
      <c r="H677" s="2" t="s">
        <v>41</v>
      </c>
      <c r="I677" s="2" t="s">
        <v>1554</v>
      </c>
      <c r="J677" s="2" t="s">
        <v>1824</v>
      </c>
      <c r="L677" s="2" t="s">
        <v>177</v>
      </c>
      <c r="M677" s="2" t="s">
        <v>41</v>
      </c>
      <c r="P677" s="2" t="s">
        <v>43</v>
      </c>
      <c r="Q677" s="2" t="s">
        <v>61</v>
      </c>
      <c r="R677" s="2" t="s">
        <v>62</v>
      </c>
      <c r="S677" s="2">
        <v>100</v>
      </c>
      <c r="T677" s="2">
        <v>13</v>
      </c>
      <c r="U677" s="2">
        <v>2.99</v>
      </c>
      <c r="V677" s="2">
        <v>15.99</v>
      </c>
      <c r="W677" s="2">
        <f>0.082*S677</f>
        <v>8.2000000000000011</v>
      </c>
      <c r="X677" s="5">
        <f t="shared" si="92"/>
        <v>0.36923076923076914</v>
      </c>
      <c r="Z677" s="2" t="s">
        <v>3227</v>
      </c>
      <c r="AA677" s="2" t="s">
        <v>46</v>
      </c>
      <c r="AB677" s="2" t="s">
        <v>60</v>
      </c>
      <c r="AC677" s="2" t="s">
        <v>57</v>
      </c>
      <c r="AF677" s="2">
        <f t="shared" si="90"/>
        <v>0</v>
      </c>
      <c r="AG677" s="2">
        <v>8.1999999999999993</v>
      </c>
      <c r="AH677" s="2">
        <v>13</v>
      </c>
      <c r="AJ677" s="2">
        <f t="shared" si="91"/>
        <v>0</v>
      </c>
      <c r="AK677" s="2">
        <f t="shared" si="86"/>
        <v>4.7999999999999989</v>
      </c>
      <c r="AL677" s="5">
        <f t="shared" si="93"/>
        <v>0.36923076923076914</v>
      </c>
    </row>
    <row r="678" spans="1:38" x14ac:dyDescent="0.2">
      <c r="A678" s="2">
        <v>2025</v>
      </c>
      <c r="B678" s="2">
        <v>3</v>
      </c>
      <c r="D678" s="2" t="s">
        <v>530</v>
      </c>
      <c r="E678" s="2" t="s">
        <v>108</v>
      </c>
      <c r="F678" s="2" t="s">
        <v>531</v>
      </c>
      <c r="G678" s="2">
        <v>502139552</v>
      </c>
      <c r="H678" s="2" t="s">
        <v>40</v>
      </c>
      <c r="I678" s="2" t="s">
        <v>339</v>
      </c>
      <c r="J678" s="2" t="s">
        <v>532</v>
      </c>
      <c r="L678" s="2" t="s">
        <v>339</v>
      </c>
      <c r="P678" s="2" t="s">
        <v>282</v>
      </c>
      <c r="Q678" s="2" t="s">
        <v>997</v>
      </c>
      <c r="R678" s="2" t="s">
        <v>998</v>
      </c>
      <c r="S678" s="2">
        <v>1</v>
      </c>
      <c r="T678" s="2">
        <v>99</v>
      </c>
      <c r="U678" s="2">
        <v>22.77</v>
      </c>
      <c r="V678" s="2">
        <v>121.77</v>
      </c>
      <c r="W678" s="2">
        <v>77.400000000000006</v>
      </c>
      <c r="X678" s="5">
        <f t="shared" si="92"/>
        <v>0.21818181818181812</v>
      </c>
      <c r="Z678" s="2" t="s">
        <v>3227</v>
      </c>
      <c r="AA678" s="2" t="s">
        <v>71</v>
      </c>
      <c r="AB678" s="2" t="s">
        <v>119</v>
      </c>
      <c r="AC678" s="2" t="s">
        <v>119</v>
      </c>
      <c r="AF678" s="2">
        <f t="shared" si="90"/>
        <v>0</v>
      </c>
      <c r="AJ678" s="2">
        <f t="shared" si="91"/>
        <v>0</v>
      </c>
      <c r="AK678" s="2">
        <f t="shared" si="86"/>
        <v>21.599999999999994</v>
      </c>
      <c r="AL678" s="5">
        <f t="shared" si="93"/>
        <v>0.21818181818181812</v>
      </c>
    </row>
    <row r="679" spans="1:38" x14ac:dyDescent="0.2">
      <c r="A679" s="2">
        <v>2025</v>
      </c>
      <c r="B679" s="2">
        <v>3</v>
      </c>
      <c r="D679" s="2" t="s">
        <v>530</v>
      </c>
      <c r="E679" s="2" t="s">
        <v>108</v>
      </c>
      <c r="F679" s="2" t="s">
        <v>531</v>
      </c>
      <c r="G679" s="2">
        <v>502139552</v>
      </c>
      <c r="H679" s="2" t="s">
        <v>40</v>
      </c>
      <c r="I679" s="2" t="s">
        <v>339</v>
      </c>
      <c r="J679" s="2" t="s">
        <v>532</v>
      </c>
      <c r="L679" s="2" t="s">
        <v>339</v>
      </c>
      <c r="M679" s="2" t="s">
        <v>80</v>
      </c>
      <c r="P679" s="2" t="s">
        <v>72</v>
      </c>
      <c r="Q679" s="2" t="s">
        <v>73</v>
      </c>
      <c r="R679" s="2" t="s">
        <v>74</v>
      </c>
      <c r="S679" s="2">
        <v>1</v>
      </c>
      <c r="T679" s="2">
        <v>210</v>
      </c>
      <c r="U679" s="2">
        <v>48.3</v>
      </c>
      <c r="V679" s="2">
        <v>258.3</v>
      </c>
      <c r="W679" s="2">
        <v>117.453</v>
      </c>
      <c r="X679" s="5">
        <f t="shared" si="92"/>
        <v>0.44069999999999998</v>
      </c>
      <c r="Z679" s="2" t="s">
        <v>3227</v>
      </c>
      <c r="AA679" s="2" t="s">
        <v>75</v>
      </c>
      <c r="AB679" s="2" t="s">
        <v>76</v>
      </c>
      <c r="AC679" s="2" t="s">
        <v>77</v>
      </c>
      <c r="AF679" s="2">
        <f t="shared" si="90"/>
        <v>0</v>
      </c>
      <c r="AG679" s="2">
        <v>117.453</v>
      </c>
      <c r="AH679" s="2">
        <v>220</v>
      </c>
      <c r="AJ679" s="2">
        <f t="shared" si="91"/>
        <v>0</v>
      </c>
      <c r="AK679" s="2">
        <f t="shared" si="86"/>
        <v>92.546999999999997</v>
      </c>
      <c r="AL679" s="5">
        <f t="shared" si="93"/>
        <v>0.44069999999999998</v>
      </c>
    </row>
    <row r="680" spans="1:38" x14ac:dyDescent="0.2">
      <c r="A680" s="2">
        <v>2025</v>
      </c>
      <c r="B680" s="2">
        <v>3</v>
      </c>
      <c r="D680" s="2" t="s">
        <v>530</v>
      </c>
      <c r="E680" s="2" t="s">
        <v>108</v>
      </c>
      <c r="F680" s="2" t="s">
        <v>531</v>
      </c>
      <c r="G680" s="2">
        <v>502139552</v>
      </c>
      <c r="H680" s="2" t="s">
        <v>40</v>
      </c>
      <c r="I680" s="2" t="s">
        <v>339</v>
      </c>
      <c r="J680" s="2" t="s">
        <v>532</v>
      </c>
      <c r="L680" s="2" t="s">
        <v>339</v>
      </c>
      <c r="M680" s="2" t="s">
        <v>80</v>
      </c>
      <c r="P680" s="2" t="s">
        <v>72</v>
      </c>
      <c r="Q680" s="2" t="s">
        <v>1072</v>
      </c>
      <c r="R680" s="2" t="s">
        <v>381</v>
      </c>
      <c r="S680" s="2">
        <v>1</v>
      </c>
      <c r="T680" s="2">
        <v>220</v>
      </c>
      <c r="U680" s="2">
        <v>50.6</v>
      </c>
      <c r="V680" s="2">
        <v>270.60000000000002</v>
      </c>
      <c r="W680" s="2">
        <f>130.03+6.8</f>
        <v>136.83000000000001</v>
      </c>
      <c r="X680" s="5">
        <f t="shared" si="92"/>
        <v>0.37804545454545446</v>
      </c>
      <c r="Z680" s="2" t="s">
        <v>3227</v>
      </c>
      <c r="AA680" s="2" t="s">
        <v>75</v>
      </c>
      <c r="AB680" s="2" t="s">
        <v>76</v>
      </c>
      <c r="AC680" s="2" t="s">
        <v>77</v>
      </c>
      <c r="AF680" s="2">
        <f t="shared" si="90"/>
        <v>0</v>
      </c>
      <c r="AJ680" s="2">
        <f t="shared" si="91"/>
        <v>0</v>
      </c>
      <c r="AK680" s="2">
        <f t="shared" si="86"/>
        <v>83.169999999999987</v>
      </c>
      <c r="AL680" s="5">
        <f t="shared" si="93"/>
        <v>0.37804545454545446</v>
      </c>
    </row>
    <row r="681" spans="1:38" x14ac:dyDescent="0.2">
      <c r="A681" s="2">
        <v>2025</v>
      </c>
      <c r="B681" s="2">
        <v>3</v>
      </c>
      <c r="D681" s="2" t="s">
        <v>530</v>
      </c>
      <c r="E681" s="2" t="s">
        <v>108</v>
      </c>
      <c r="F681" s="2" t="s">
        <v>531</v>
      </c>
      <c r="G681" s="2">
        <v>502139552</v>
      </c>
      <c r="H681" s="2" t="s">
        <v>40</v>
      </c>
      <c r="I681" s="2" t="s">
        <v>339</v>
      </c>
      <c r="J681" s="2" t="s">
        <v>532</v>
      </c>
      <c r="L681" s="2" t="s">
        <v>339</v>
      </c>
      <c r="M681" s="2" t="s">
        <v>80</v>
      </c>
      <c r="P681" s="2" t="s">
        <v>93</v>
      </c>
      <c r="Q681" s="2" t="s">
        <v>94</v>
      </c>
      <c r="R681" s="2" t="s">
        <v>95</v>
      </c>
      <c r="S681" s="2">
        <v>2</v>
      </c>
      <c r="T681" s="2">
        <v>2.2799999999999998</v>
      </c>
      <c r="U681" s="2">
        <v>0.52439999999999998</v>
      </c>
      <c r="V681" s="2">
        <v>2.8043999999999998</v>
      </c>
      <c r="W681" s="2">
        <v>2.2799999999999998</v>
      </c>
      <c r="X681" s="5">
        <f t="shared" si="92"/>
        <v>0</v>
      </c>
      <c r="Z681" s="2" t="s">
        <v>3227</v>
      </c>
      <c r="AA681" s="2" t="s">
        <v>96</v>
      </c>
      <c r="AB681" s="2" t="s">
        <v>76</v>
      </c>
      <c r="AC681" s="2" t="s">
        <v>93</v>
      </c>
      <c r="AF681" s="2">
        <f t="shared" si="90"/>
        <v>0</v>
      </c>
      <c r="AJ681" s="2">
        <f t="shared" si="91"/>
        <v>0</v>
      </c>
      <c r="AK681" s="2">
        <f t="shared" si="86"/>
        <v>0</v>
      </c>
      <c r="AL681" s="5">
        <f t="shared" si="93"/>
        <v>0</v>
      </c>
    </row>
    <row r="682" spans="1:38" x14ac:dyDescent="0.2">
      <c r="A682" s="2">
        <v>2025</v>
      </c>
      <c r="B682" s="2">
        <v>3</v>
      </c>
      <c r="D682" s="2" t="s">
        <v>1073</v>
      </c>
      <c r="P682" s="2" t="s">
        <v>72</v>
      </c>
      <c r="Q682" s="2" t="s">
        <v>1074</v>
      </c>
      <c r="R682" s="2" t="s">
        <v>307</v>
      </c>
      <c r="S682" s="2">
        <v>1</v>
      </c>
      <c r="T682" s="2">
        <v>215</v>
      </c>
      <c r="U682" s="2">
        <v>49.45</v>
      </c>
      <c r="V682" s="2">
        <v>264.45</v>
      </c>
      <c r="W682" s="2">
        <f>112.39+7.04</f>
        <v>119.43</v>
      </c>
      <c r="X682" s="5">
        <f t="shared" si="92"/>
        <v>0.44451162790697674</v>
      </c>
      <c r="Z682" s="2" t="s">
        <v>3227</v>
      </c>
      <c r="AA682" s="2" t="s">
        <v>75</v>
      </c>
      <c r="AB682" s="2" t="s">
        <v>76</v>
      </c>
      <c r="AC682" s="2" t="s">
        <v>77</v>
      </c>
      <c r="AF682" s="2">
        <f t="shared" si="90"/>
        <v>0</v>
      </c>
      <c r="AJ682" s="2">
        <f t="shared" si="91"/>
        <v>0</v>
      </c>
      <c r="AK682" s="2">
        <f t="shared" si="86"/>
        <v>95.57</v>
      </c>
      <c r="AL682" s="5">
        <f t="shared" si="93"/>
        <v>0.44451162790697674</v>
      </c>
    </row>
    <row r="683" spans="1:38" x14ac:dyDescent="0.2">
      <c r="A683" s="2">
        <v>2025</v>
      </c>
      <c r="B683" s="2">
        <v>3</v>
      </c>
      <c r="D683" s="2" t="s">
        <v>1073</v>
      </c>
      <c r="P683" s="2" t="s">
        <v>72</v>
      </c>
      <c r="Q683" s="2" t="s">
        <v>1075</v>
      </c>
      <c r="R683" s="2" t="s">
        <v>83</v>
      </c>
      <c r="S683" s="2">
        <v>1</v>
      </c>
      <c r="T683" s="2">
        <v>250</v>
      </c>
      <c r="U683" s="2">
        <v>57.5</v>
      </c>
      <c r="V683" s="2">
        <v>307.5</v>
      </c>
      <c r="W683" s="2">
        <v>159.54</v>
      </c>
      <c r="X683" s="5">
        <f t="shared" si="92"/>
        <v>0.36184000000000005</v>
      </c>
      <c r="Z683" s="2" t="s">
        <v>3227</v>
      </c>
      <c r="AA683" s="2" t="s">
        <v>75</v>
      </c>
      <c r="AB683" s="2" t="s">
        <v>76</v>
      </c>
      <c r="AC683" s="2" t="s">
        <v>77</v>
      </c>
      <c r="AF683" s="2">
        <f t="shared" si="90"/>
        <v>0</v>
      </c>
      <c r="AG683" s="2">
        <f>144.14+15.4</f>
        <v>159.54</v>
      </c>
      <c r="AH683" s="2">
        <v>280</v>
      </c>
      <c r="AJ683" s="2">
        <f t="shared" si="91"/>
        <v>0</v>
      </c>
      <c r="AK683" s="2">
        <f t="shared" si="86"/>
        <v>90.460000000000008</v>
      </c>
      <c r="AL683" s="5">
        <f t="shared" si="93"/>
        <v>0.36184000000000005</v>
      </c>
    </row>
    <row r="684" spans="1:38" x14ac:dyDescent="0.2">
      <c r="A684" s="2">
        <v>2025</v>
      </c>
      <c r="B684" s="2">
        <v>3</v>
      </c>
      <c r="D684" s="2" t="s">
        <v>1073</v>
      </c>
      <c r="P684" s="2" t="s">
        <v>93</v>
      </c>
      <c r="Q684" s="2" t="s">
        <v>94</v>
      </c>
      <c r="R684" s="2" t="s">
        <v>95</v>
      </c>
      <c r="S684" s="2">
        <v>2</v>
      </c>
      <c r="T684" s="2">
        <v>2.2799999999999998</v>
      </c>
      <c r="U684" s="2">
        <v>0.52439999999999998</v>
      </c>
      <c r="V684" s="2">
        <v>2.8043999999999998</v>
      </c>
      <c r="W684" s="2">
        <v>2.2799999999999998</v>
      </c>
      <c r="X684" s="5">
        <f t="shared" si="92"/>
        <v>0</v>
      </c>
      <c r="Z684" s="2" t="s">
        <v>3227</v>
      </c>
      <c r="AA684" s="2" t="s">
        <v>96</v>
      </c>
      <c r="AB684" s="2" t="s">
        <v>76</v>
      </c>
      <c r="AC684" s="2" t="s">
        <v>93</v>
      </c>
      <c r="AF684" s="2">
        <f t="shared" si="90"/>
        <v>0</v>
      </c>
      <c r="AJ684" s="2">
        <f t="shared" si="91"/>
        <v>0</v>
      </c>
      <c r="AK684" s="2">
        <f t="shared" si="86"/>
        <v>0</v>
      </c>
      <c r="AL684" s="5">
        <f t="shared" si="93"/>
        <v>0</v>
      </c>
    </row>
    <row r="685" spans="1:38" x14ac:dyDescent="0.2">
      <c r="A685" s="2">
        <v>2025</v>
      </c>
      <c r="B685" s="2">
        <v>3</v>
      </c>
      <c r="D685" s="2" t="s">
        <v>549</v>
      </c>
      <c r="E685" s="2" t="s">
        <v>108</v>
      </c>
      <c r="F685" s="2" t="s">
        <v>395</v>
      </c>
      <c r="G685" s="2">
        <v>503641790</v>
      </c>
      <c r="H685" s="2" t="s">
        <v>40</v>
      </c>
      <c r="I685" s="2" t="s">
        <v>550</v>
      </c>
      <c r="J685" s="2" t="s">
        <v>551</v>
      </c>
      <c r="K685" s="2">
        <v>917753665</v>
      </c>
      <c r="L685" s="2" t="s">
        <v>99</v>
      </c>
      <c r="M685" s="2" t="s">
        <v>40</v>
      </c>
      <c r="O685" s="2" t="s">
        <v>1076</v>
      </c>
      <c r="P685" s="2" t="s">
        <v>114</v>
      </c>
      <c r="Q685" s="2" t="s">
        <v>1077</v>
      </c>
      <c r="R685" s="2" t="s">
        <v>1078</v>
      </c>
      <c r="S685" s="2">
        <v>1</v>
      </c>
      <c r="T685" s="2">
        <v>136.22999999999999</v>
      </c>
      <c r="U685" s="2">
        <v>31.332899999999999</v>
      </c>
      <c r="V685" s="2">
        <v>167.56290000000001</v>
      </c>
      <c r="W685" s="2">
        <v>74.795000000000002</v>
      </c>
      <c r="X685" s="5">
        <f t="shared" si="92"/>
        <v>0.45096527930705421</v>
      </c>
      <c r="Z685" s="2" t="s">
        <v>117</v>
      </c>
      <c r="AA685" s="2" t="s">
        <v>118</v>
      </c>
      <c r="AB685" s="2" t="s">
        <v>119</v>
      </c>
      <c r="AC685" s="2" t="s">
        <v>114</v>
      </c>
      <c r="AF685" s="2">
        <f t="shared" si="90"/>
        <v>0</v>
      </c>
      <c r="AG685" s="2">
        <v>74.795000000000002</v>
      </c>
      <c r="AJ685" s="2">
        <f t="shared" si="91"/>
        <v>0</v>
      </c>
      <c r="AK685" s="2">
        <f t="shared" si="86"/>
        <v>61.434999999999988</v>
      </c>
      <c r="AL685" s="5">
        <f t="shared" si="93"/>
        <v>0.45096527930705421</v>
      </c>
    </row>
    <row r="686" spans="1:38" x14ac:dyDescent="0.2">
      <c r="A686" s="2">
        <v>2025</v>
      </c>
      <c r="B686" s="2">
        <v>3</v>
      </c>
      <c r="D686" s="2" t="s">
        <v>549</v>
      </c>
      <c r="E686" s="2" t="s">
        <v>108</v>
      </c>
      <c r="F686" s="2" t="s">
        <v>395</v>
      </c>
      <c r="G686" s="2">
        <v>503641790</v>
      </c>
      <c r="H686" s="2" t="s">
        <v>40</v>
      </c>
      <c r="I686" s="2" t="s">
        <v>550</v>
      </c>
      <c r="J686" s="2" t="s">
        <v>551</v>
      </c>
      <c r="K686" s="2">
        <v>917753665</v>
      </c>
      <c r="L686" s="2" t="s">
        <v>99</v>
      </c>
      <c r="M686" s="2" t="s">
        <v>40</v>
      </c>
      <c r="O686" s="2" t="s">
        <v>1076</v>
      </c>
      <c r="P686" s="2" t="s">
        <v>114</v>
      </c>
      <c r="Q686" s="2" t="s">
        <v>1079</v>
      </c>
      <c r="R686" s="2" t="s">
        <v>1080</v>
      </c>
      <c r="S686" s="2">
        <v>1</v>
      </c>
      <c r="T686" s="2">
        <v>66.41</v>
      </c>
      <c r="U686" s="2">
        <v>15.2743</v>
      </c>
      <c r="V686" s="2">
        <v>81.684299999999993</v>
      </c>
      <c r="W686" s="2">
        <v>37.96</v>
      </c>
      <c r="X686" s="5">
        <f t="shared" si="92"/>
        <v>0.4283993374491793</v>
      </c>
      <c r="Z686" s="2" t="s">
        <v>117</v>
      </c>
      <c r="AA686" s="2" t="s">
        <v>118</v>
      </c>
      <c r="AB686" s="2" t="s">
        <v>119</v>
      </c>
      <c r="AC686" s="2" t="s">
        <v>114</v>
      </c>
      <c r="AF686" s="2">
        <f t="shared" si="90"/>
        <v>0</v>
      </c>
      <c r="AG686" s="2">
        <v>37.96</v>
      </c>
      <c r="AJ686" s="2">
        <f t="shared" si="91"/>
        <v>0</v>
      </c>
      <c r="AK686" s="2">
        <f t="shared" si="86"/>
        <v>28.449999999999996</v>
      </c>
      <c r="AL686" s="5">
        <f t="shared" si="93"/>
        <v>0.4283993374491793</v>
      </c>
    </row>
    <row r="687" spans="1:38" x14ac:dyDescent="0.2">
      <c r="A687" s="2">
        <v>2025</v>
      </c>
      <c r="B687" s="2">
        <v>3</v>
      </c>
      <c r="D687" s="2" t="s">
        <v>549</v>
      </c>
      <c r="E687" s="2" t="s">
        <v>108</v>
      </c>
      <c r="F687" s="2" t="s">
        <v>395</v>
      </c>
      <c r="G687" s="2">
        <v>503641790</v>
      </c>
      <c r="H687" s="2" t="s">
        <v>40</v>
      </c>
      <c r="I687" s="2" t="s">
        <v>550</v>
      </c>
      <c r="J687" s="2" t="s">
        <v>551</v>
      </c>
      <c r="K687" s="2">
        <v>917753665</v>
      </c>
      <c r="L687" s="2" t="s">
        <v>99</v>
      </c>
      <c r="M687" s="2" t="s">
        <v>80</v>
      </c>
      <c r="O687" s="2" t="s">
        <v>1081</v>
      </c>
      <c r="P687" s="2" t="s">
        <v>72</v>
      </c>
      <c r="Q687" s="2" t="s">
        <v>73</v>
      </c>
      <c r="R687" s="2" t="s">
        <v>74</v>
      </c>
      <c r="S687" s="2">
        <v>1</v>
      </c>
      <c r="T687" s="2">
        <v>210</v>
      </c>
      <c r="U687" s="2">
        <v>48.3</v>
      </c>
      <c r="V687" s="2">
        <v>258.3</v>
      </c>
      <c r="W687" s="2">
        <v>117.453</v>
      </c>
      <c r="X687" s="5">
        <f t="shared" si="92"/>
        <v>0.44069999999999998</v>
      </c>
      <c r="Z687" s="2" t="s">
        <v>3227</v>
      </c>
      <c r="AA687" s="2" t="s">
        <v>75</v>
      </c>
      <c r="AB687" s="2" t="s">
        <v>76</v>
      </c>
      <c r="AC687" s="2" t="s">
        <v>77</v>
      </c>
      <c r="AF687" s="2">
        <f t="shared" si="90"/>
        <v>0</v>
      </c>
      <c r="AG687" s="2">
        <v>117.453</v>
      </c>
      <c r="AH687" s="2">
        <v>220</v>
      </c>
      <c r="AJ687" s="2">
        <f t="shared" si="91"/>
        <v>0</v>
      </c>
      <c r="AK687" s="2">
        <f t="shared" si="86"/>
        <v>92.546999999999997</v>
      </c>
      <c r="AL687" s="5">
        <f t="shared" si="93"/>
        <v>0.44069999999999998</v>
      </c>
    </row>
    <row r="688" spans="1:38" x14ac:dyDescent="0.2">
      <c r="A688" s="2">
        <v>2025</v>
      </c>
      <c r="B688" s="2">
        <v>3</v>
      </c>
      <c r="D688" s="2" t="s">
        <v>549</v>
      </c>
      <c r="E688" s="2" t="s">
        <v>108</v>
      </c>
      <c r="F688" s="2" t="s">
        <v>395</v>
      </c>
      <c r="G688" s="2">
        <v>503641790</v>
      </c>
      <c r="H688" s="2" t="s">
        <v>40</v>
      </c>
      <c r="I688" s="2" t="s">
        <v>550</v>
      </c>
      <c r="J688" s="2" t="s">
        <v>551</v>
      </c>
      <c r="K688" s="2">
        <v>917753665</v>
      </c>
      <c r="L688" s="2" t="s">
        <v>99</v>
      </c>
      <c r="M688" s="2" t="s">
        <v>80</v>
      </c>
      <c r="O688" s="2" t="s">
        <v>1082</v>
      </c>
      <c r="P688" s="2" t="s">
        <v>72</v>
      </c>
      <c r="Q688" s="2" t="s">
        <v>664</v>
      </c>
      <c r="R688" s="2" t="s">
        <v>79</v>
      </c>
      <c r="S688" s="2">
        <v>1</v>
      </c>
      <c r="T688" s="2">
        <v>210</v>
      </c>
      <c r="U688" s="2">
        <v>48.3</v>
      </c>
      <c r="V688" s="2">
        <v>258.3</v>
      </c>
      <c r="W688" s="2">
        <f>113.905+11.25</f>
        <v>125.155</v>
      </c>
      <c r="X688" s="5">
        <f t="shared" si="92"/>
        <v>0.40402380952380951</v>
      </c>
      <c r="Z688" s="2" t="s">
        <v>3227</v>
      </c>
      <c r="AA688" s="2" t="s">
        <v>75</v>
      </c>
      <c r="AB688" s="2" t="s">
        <v>76</v>
      </c>
      <c r="AC688" s="2" t="s">
        <v>77</v>
      </c>
      <c r="AF688" s="2">
        <f t="shared" si="90"/>
        <v>0</v>
      </c>
      <c r="AG688" s="2">
        <v>111.11</v>
      </c>
      <c r="AJ688" s="2">
        <f t="shared" si="91"/>
        <v>0</v>
      </c>
      <c r="AK688" s="2">
        <f t="shared" si="86"/>
        <v>84.844999999999999</v>
      </c>
      <c r="AL688" s="5">
        <f t="shared" si="93"/>
        <v>0.40402380952380951</v>
      </c>
    </row>
    <row r="689" spans="1:38" x14ac:dyDescent="0.2">
      <c r="A689" s="2">
        <v>2025</v>
      </c>
      <c r="B689" s="2">
        <v>3</v>
      </c>
      <c r="D689" s="2" t="s">
        <v>549</v>
      </c>
      <c r="E689" s="2" t="s">
        <v>108</v>
      </c>
      <c r="F689" s="2" t="s">
        <v>395</v>
      </c>
      <c r="G689" s="2">
        <v>503641790</v>
      </c>
      <c r="H689" s="2" t="s">
        <v>40</v>
      </c>
      <c r="I689" s="2" t="s">
        <v>550</v>
      </c>
      <c r="J689" s="2" t="s">
        <v>551</v>
      </c>
      <c r="K689" s="2">
        <v>917753665</v>
      </c>
      <c r="L689" s="2" t="s">
        <v>99</v>
      </c>
      <c r="M689" s="2" t="s">
        <v>40</v>
      </c>
      <c r="O689" s="2" t="s">
        <v>1076</v>
      </c>
      <c r="P689" s="2" t="s">
        <v>187</v>
      </c>
      <c r="Q689" s="2" t="s">
        <v>188</v>
      </c>
      <c r="R689" s="2" t="s">
        <v>189</v>
      </c>
      <c r="S689" s="2">
        <v>1</v>
      </c>
      <c r="T689" s="2">
        <v>0</v>
      </c>
      <c r="U689" s="2">
        <v>0</v>
      </c>
      <c r="V689" s="2">
        <v>0</v>
      </c>
      <c r="W689" s="2">
        <f>T689*40%</f>
        <v>0</v>
      </c>
      <c r="X689" s="5">
        <v>0</v>
      </c>
      <c r="Z689" s="2" t="s">
        <v>117</v>
      </c>
      <c r="AA689" s="2" t="s">
        <v>190</v>
      </c>
      <c r="AB689" s="2" t="s">
        <v>189</v>
      </c>
      <c r="AC689" s="2" t="s">
        <v>40</v>
      </c>
      <c r="AF689" s="2">
        <f t="shared" si="90"/>
        <v>0</v>
      </c>
      <c r="AJ689" s="2">
        <f t="shared" si="91"/>
        <v>0</v>
      </c>
      <c r="AK689" s="2">
        <f t="shared" si="86"/>
        <v>0</v>
      </c>
      <c r="AL689" s="5" t="e">
        <f t="shared" si="93"/>
        <v>#DIV/0!</v>
      </c>
    </row>
    <row r="690" spans="1:38" x14ac:dyDescent="0.2">
      <c r="A690" s="2">
        <v>2025</v>
      </c>
      <c r="B690" s="2">
        <v>3</v>
      </c>
      <c r="D690" s="2" t="s">
        <v>549</v>
      </c>
      <c r="E690" s="2" t="s">
        <v>108</v>
      </c>
      <c r="F690" s="2" t="s">
        <v>395</v>
      </c>
      <c r="G690" s="2">
        <v>503641790</v>
      </c>
      <c r="H690" s="2" t="s">
        <v>40</v>
      </c>
      <c r="I690" s="2" t="s">
        <v>550</v>
      </c>
      <c r="J690" s="2" t="s">
        <v>551</v>
      </c>
      <c r="K690" s="2">
        <v>917753665</v>
      </c>
      <c r="L690" s="2" t="s">
        <v>99</v>
      </c>
      <c r="M690" s="2" t="s">
        <v>40</v>
      </c>
      <c r="O690" s="2" t="s">
        <v>1076</v>
      </c>
      <c r="P690" s="2" t="s">
        <v>187</v>
      </c>
      <c r="Q690" s="2" t="s">
        <v>191</v>
      </c>
      <c r="R690" s="2" t="s">
        <v>190</v>
      </c>
      <c r="S690" s="2">
        <v>2</v>
      </c>
      <c r="T690" s="2">
        <v>37.5</v>
      </c>
      <c r="U690" s="2">
        <v>8.625</v>
      </c>
      <c r="V690" s="2">
        <v>46.125</v>
      </c>
      <c r="W690" s="2">
        <f>T690*50%</f>
        <v>18.75</v>
      </c>
      <c r="X690" s="5">
        <f t="shared" ref="X690:X721" si="94">(T690-W690)/T690</f>
        <v>0.5</v>
      </c>
      <c r="Z690" s="2" t="s">
        <v>117</v>
      </c>
      <c r="AA690" s="2" t="s">
        <v>190</v>
      </c>
      <c r="AB690" s="2" t="s">
        <v>190</v>
      </c>
      <c r="AC690" s="2" t="s">
        <v>40</v>
      </c>
      <c r="AF690" s="2">
        <f t="shared" si="90"/>
        <v>0</v>
      </c>
      <c r="AJ690" s="2">
        <f t="shared" si="91"/>
        <v>0</v>
      </c>
      <c r="AK690" s="2">
        <f t="shared" si="86"/>
        <v>18.75</v>
      </c>
      <c r="AL690" s="5">
        <f t="shared" si="93"/>
        <v>0.5</v>
      </c>
    </row>
    <row r="691" spans="1:38" x14ac:dyDescent="0.2">
      <c r="A691" s="2">
        <v>2025</v>
      </c>
      <c r="B691" s="2">
        <v>3</v>
      </c>
      <c r="D691" s="2" t="s">
        <v>549</v>
      </c>
      <c r="E691" s="2" t="s">
        <v>108</v>
      </c>
      <c r="F691" s="2" t="s">
        <v>395</v>
      </c>
      <c r="G691" s="2">
        <v>503641790</v>
      </c>
      <c r="H691" s="2" t="s">
        <v>40</v>
      </c>
      <c r="I691" s="2" t="s">
        <v>550</v>
      </c>
      <c r="J691" s="2" t="s">
        <v>551</v>
      </c>
      <c r="K691" s="2">
        <v>917753665</v>
      </c>
      <c r="L691" s="2" t="s">
        <v>99</v>
      </c>
      <c r="M691" s="2" t="s">
        <v>80</v>
      </c>
      <c r="O691" s="2" t="s">
        <v>1082</v>
      </c>
      <c r="P691" s="2" t="s">
        <v>93</v>
      </c>
      <c r="Q691" s="2" t="s">
        <v>94</v>
      </c>
      <c r="R691" s="2" t="s">
        <v>95</v>
      </c>
      <c r="S691" s="2">
        <v>2</v>
      </c>
      <c r="T691" s="2">
        <v>2.2799999999999998</v>
      </c>
      <c r="U691" s="2">
        <v>0.52439999999999998</v>
      </c>
      <c r="V691" s="2">
        <v>2.8043999999999998</v>
      </c>
      <c r="W691" s="2">
        <v>2.2799999999999998</v>
      </c>
      <c r="X691" s="5">
        <f t="shared" si="94"/>
        <v>0</v>
      </c>
      <c r="Z691" s="2" t="s">
        <v>3227</v>
      </c>
      <c r="AA691" s="2" t="s">
        <v>96</v>
      </c>
      <c r="AB691" s="2" t="s">
        <v>76</v>
      </c>
      <c r="AC691" s="2" t="s">
        <v>93</v>
      </c>
      <c r="AF691" s="2">
        <f t="shared" si="90"/>
        <v>0</v>
      </c>
      <c r="AG691" s="2">
        <v>1.1399999999999999</v>
      </c>
      <c r="AH691" s="2">
        <v>1.1399999999999999</v>
      </c>
      <c r="AJ691" s="2">
        <f t="shared" si="91"/>
        <v>0</v>
      </c>
      <c r="AK691" s="2">
        <f t="shared" si="86"/>
        <v>0</v>
      </c>
      <c r="AL691" s="5">
        <f t="shared" si="93"/>
        <v>0</v>
      </c>
    </row>
    <row r="692" spans="1:38" x14ac:dyDescent="0.2">
      <c r="A692" s="2">
        <v>2025</v>
      </c>
      <c r="B692" s="2">
        <v>3</v>
      </c>
      <c r="D692" s="2" t="s">
        <v>1083</v>
      </c>
      <c r="P692" s="2" t="s">
        <v>1194</v>
      </c>
      <c r="Q692" s="2" t="s">
        <v>1084</v>
      </c>
      <c r="R692" s="2" t="s">
        <v>1085</v>
      </c>
      <c r="S692" s="2">
        <v>1</v>
      </c>
      <c r="T692" s="2">
        <v>2958.54</v>
      </c>
      <c r="U692" s="2">
        <v>680.46420000000001</v>
      </c>
      <c r="V692" s="2">
        <v>3639.0041999999999</v>
      </c>
      <c r="W692" s="2">
        <f>1979+184.5</f>
        <v>2163.5</v>
      </c>
      <c r="X692" s="5">
        <f t="shared" si="94"/>
        <v>0.26872714244188012</v>
      </c>
      <c r="Z692" s="2" t="s">
        <v>104</v>
      </c>
      <c r="AA692" s="2" t="s">
        <v>2746</v>
      </c>
      <c r="AB692" s="2" t="s">
        <v>2747</v>
      </c>
      <c r="AC692" s="2" t="s">
        <v>1194</v>
      </c>
      <c r="AF692" s="2">
        <f t="shared" si="90"/>
        <v>0</v>
      </c>
      <c r="AJ692" s="2">
        <f t="shared" si="91"/>
        <v>0</v>
      </c>
      <c r="AK692" s="2">
        <f t="shared" ref="AK692:AK755" si="95">T692-W692</f>
        <v>795.04</v>
      </c>
      <c r="AL692" s="5">
        <f t="shared" si="93"/>
        <v>0.26872714244188012</v>
      </c>
    </row>
    <row r="693" spans="1:38" x14ac:dyDescent="0.2">
      <c r="A693" s="2">
        <v>2025</v>
      </c>
      <c r="B693" s="2">
        <v>3</v>
      </c>
      <c r="D693" s="2" t="s">
        <v>1083</v>
      </c>
      <c r="P693" s="2" t="s">
        <v>1194</v>
      </c>
      <c r="Q693" s="2" t="s">
        <v>1086</v>
      </c>
      <c r="R693" s="2" t="s">
        <v>1087</v>
      </c>
      <c r="S693" s="2">
        <v>2</v>
      </c>
      <c r="T693" s="2">
        <v>700</v>
      </c>
      <c r="U693" s="2">
        <v>161</v>
      </c>
      <c r="V693" s="2">
        <v>861</v>
      </c>
      <c r="W693" s="2">
        <f>266.3617*S693</f>
        <v>532.72339999999997</v>
      </c>
      <c r="X693" s="5">
        <f t="shared" si="94"/>
        <v>0.23896657142857147</v>
      </c>
      <c r="Z693" s="2" t="s">
        <v>104</v>
      </c>
      <c r="AA693" s="2" t="s">
        <v>578</v>
      </c>
      <c r="AB693" s="2" t="s">
        <v>119</v>
      </c>
      <c r="AC693" s="2" t="s">
        <v>1194</v>
      </c>
      <c r="AF693" s="2">
        <f t="shared" si="90"/>
        <v>0</v>
      </c>
      <c r="AJ693" s="2">
        <f t="shared" si="91"/>
        <v>0</v>
      </c>
      <c r="AK693" s="2">
        <f t="shared" si="95"/>
        <v>167.27660000000003</v>
      </c>
      <c r="AL693" s="5">
        <f t="shared" si="93"/>
        <v>0.23896657142857147</v>
      </c>
    </row>
    <row r="694" spans="1:38" x14ac:dyDescent="0.2">
      <c r="A694" s="2">
        <v>2025</v>
      </c>
      <c r="B694" s="2">
        <v>3</v>
      </c>
      <c r="D694" s="2" t="s">
        <v>1088</v>
      </c>
      <c r="E694" s="2" t="s">
        <v>108</v>
      </c>
      <c r="F694" s="2" t="s">
        <v>39</v>
      </c>
      <c r="G694" s="2">
        <v>505194147</v>
      </c>
      <c r="H694" s="2" t="s">
        <v>109</v>
      </c>
      <c r="I694" s="2" t="s">
        <v>1089</v>
      </c>
      <c r="J694" s="2" t="s">
        <v>1090</v>
      </c>
      <c r="K694" s="2">
        <v>917523997</v>
      </c>
      <c r="L694" s="2" t="s">
        <v>112</v>
      </c>
      <c r="M694" s="2" t="s">
        <v>40</v>
      </c>
      <c r="O694" s="2" t="s">
        <v>1091</v>
      </c>
      <c r="P694" s="2" t="s">
        <v>114</v>
      </c>
      <c r="Q694" s="2" t="s">
        <v>978</v>
      </c>
      <c r="R694" s="2" t="s">
        <v>979</v>
      </c>
      <c r="S694" s="2">
        <v>1</v>
      </c>
      <c r="T694" s="2">
        <v>76.930000000000007</v>
      </c>
      <c r="U694" s="2">
        <v>17.693899999999999</v>
      </c>
      <c r="V694" s="2">
        <v>94.623900000000006</v>
      </c>
      <c r="X694" s="5">
        <f t="shared" si="94"/>
        <v>1</v>
      </c>
      <c r="Z694" s="2" t="s">
        <v>117</v>
      </c>
      <c r="AA694" s="2" t="s">
        <v>118</v>
      </c>
      <c r="AB694" s="2" t="s">
        <v>119</v>
      </c>
      <c r="AC694" s="2" t="s">
        <v>114</v>
      </c>
      <c r="AF694" s="2">
        <f t="shared" si="90"/>
        <v>0</v>
      </c>
      <c r="AJ694" s="2">
        <f t="shared" si="91"/>
        <v>0</v>
      </c>
      <c r="AK694" s="2">
        <f t="shared" si="95"/>
        <v>76.930000000000007</v>
      </c>
      <c r="AL694" s="5">
        <f t="shared" si="93"/>
        <v>1</v>
      </c>
    </row>
    <row r="695" spans="1:38" x14ac:dyDescent="0.2">
      <c r="A695" s="2">
        <v>2025</v>
      </c>
      <c r="B695" s="2">
        <v>3</v>
      </c>
      <c r="D695" s="2" t="s">
        <v>892</v>
      </c>
      <c r="P695" s="2" t="s">
        <v>72</v>
      </c>
      <c r="Q695" s="2" t="s">
        <v>832</v>
      </c>
      <c r="R695" s="2" t="s">
        <v>74</v>
      </c>
      <c r="S695" s="2">
        <v>1</v>
      </c>
      <c r="T695" s="2">
        <v>220</v>
      </c>
      <c r="U695" s="2">
        <v>50.6</v>
      </c>
      <c r="V695" s="2">
        <v>270.60000000000002</v>
      </c>
      <c r="W695" s="2">
        <v>120.636</v>
      </c>
      <c r="X695" s="5">
        <f t="shared" si="94"/>
        <v>0.45165454545454548</v>
      </c>
      <c r="Z695" s="2" t="s">
        <v>3227</v>
      </c>
      <c r="AA695" s="2" t="s">
        <v>75</v>
      </c>
      <c r="AB695" s="2" t="s">
        <v>76</v>
      </c>
      <c r="AC695" s="2" t="s">
        <v>77</v>
      </c>
      <c r="AF695" s="2">
        <f t="shared" si="90"/>
        <v>0</v>
      </c>
      <c r="AG695" s="2">
        <v>120.636</v>
      </c>
      <c r="AH695" s="2">
        <v>220</v>
      </c>
      <c r="AJ695" s="2">
        <f t="shared" si="91"/>
        <v>0</v>
      </c>
      <c r="AK695" s="2">
        <f t="shared" si="95"/>
        <v>99.364000000000004</v>
      </c>
      <c r="AL695" s="5">
        <f t="shared" si="93"/>
        <v>0.45165454545454548</v>
      </c>
    </row>
    <row r="696" spans="1:38" x14ac:dyDescent="0.2">
      <c r="A696" s="2">
        <v>2025</v>
      </c>
      <c r="B696" s="2">
        <v>3</v>
      </c>
      <c r="D696" s="2" t="s">
        <v>892</v>
      </c>
      <c r="P696" s="2" t="s">
        <v>93</v>
      </c>
      <c r="Q696" s="2" t="s">
        <v>94</v>
      </c>
      <c r="R696" s="2" t="s">
        <v>95</v>
      </c>
      <c r="S696" s="2">
        <v>1</v>
      </c>
      <c r="T696" s="2">
        <v>1.1399999999999999</v>
      </c>
      <c r="U696" s="2">
        <v>0.26219999999999999</v>
      </c>
      <c r="V696" s="2">
        <v>1.4021999999999999</v>
      </c>
      <c r="W696" s="2">
        <v>1.1399999999999999</v>
      </c>
      <c r="X696" s="5">
        <f t="shared" si="94"/>
        <v>0</v>
      </c>
      <c r="Z696" s="2" t="s">
        <v>3227</v>
      </c>
      <c r="AA696" s="2" t="s">
        <v>96</v>
      </c>
      <c r="AB696" s="2" t="s">
        <v>76</v>
      </c>
      <c r="AC696" s="2" t="s">
        <v>93</v>
      </c>
      <c r="AF696" s="2">
        <f t="shared" si="90"/>
        <v>0</v>
      </c>
      <c r="AJ696" s="2">
        <f t="shared" si="91"/>
        <v>0</v>
      </c>
      <c r="AK696" s="2">
        <f t="shared" si="95"/>
        <v>0</v>
      </c>
      <c r="AL696" s="5">
        <f t="shared" si="93"/>
        <v>0</v>
      </c>
    </row>
    <row r="697" spans="1:38" x14ac:dyDescent="0.2">
      <c r="A697" s="2">
        <v>2025</v>
      </c>
      <c r="B697" s="2">
        <v>3</v>
      </c>
      <c r="D697" s="2" t="s">
        <v>1092</v>
      </c>
      <c r="P697" s="2" t="s">
        <v>114</v>
      </c>
      <c r="Q697" s="2" t="s">
        <v>539</v>
      </c>
      <c r="R697" s="2" t="s">
        <v>540</v>
      </c>
      <c r="S697" s="2">
        <v>1</v>
      </c>
      <c r="T697" s="2">
        <v>49.81</v>
      </c>
      <c r="U697" s="2">
        <v>11.456300000000001</v>
      </c>
      <c r="V697" s="2">
        <v>61.266300000000001</v>
      </c>
      <c r="X697" s="5">
        <f t="shared" si="94"/>
        <v>1</v>
      </c>
      <c r="Z697" s="2" t="s">
        <v>117</v>
      </c>
      <c r="AF697" s="2">
        <f t="shared" si="90"/>
        <v>0</v>
      </c>
      <c r="AJ697" s="2">
        <f t="shared" si="91"/>
        <v>0</v>
      </c>
      <c r="AK697" s="2">
        <f t="shared" si="95"/>
        <v>49.81</v>
      </c>
      <c r="AL697" s="5">
        <f t="shared" si="93"/>
        <v>1</v>
      </c>
    </row>
    <row r="698" spans="1:38" x14ac:dyDescent="0.2">
      <c r="A698" s="2">
        <v>2025</v>
      </c>
      <c r="B698" s="2">
        <v>3</v>
      </c>
      <c r="D698" s="2" t="s">
        <v>1092</v>
      </c>
      <c r="M698" s="2" t="s">
        <v>40</v>
      </c>
      <c r="P698" s="2" t="s">
        <v>187</v>
      </c>
      <c r="Q698" s="2" t="s">
        <v>188</v>
      </c>
      <c r="R698" s="2" t="s">
        <v>189</v>
      </c>
      <c r="S698" s="2">
        <v>1</v>
      </c>
      <c r="T698" s="2">
        <v>50</v>
      </c>
      <c r="U698" s="2">
        <v>11.5</v>
      </c>
      <c r="V698" s="2">
        <v>61.5</v>
      </c>
      <c r="W698" s="2">
        <f>T698*40%</f>
        <v>20</v>
      </c>
      <c r="X698" s="5">
        <f t="shared" si="94"/>
        <v>0.6</v>
      </c>
      <c r="Z698" s="2" t="s">
        <v>117</v>
      </c>
      <c r="AA698" s="2" t="s">
        <v>190</v>
      </c>
      <c r="AB698" s="2" t="s">
        <v>189</v>
      </c>
      <c r="AC698" s="2" t="s">
        <v>40</v>
      </c>
      <c r="AF698" s="2">
        <f t="shared" si="90"/>
        <v>0</v>
      </c>
      <c r="AJ698" s="2">
        <f t="shared" si="91"/>
        <v>0</v>
      </c>
      <c r="AK698" s="2">
        <f t="shared" si="95"/>
        <v>30</v>
      </c>
      <c r="AL698" s="5">
        <f t="shared" si="93"/>
        <v>0.6</v>
      </c>
    </row>
    <row r="699" spans="1:38" x14ac:dyDescent="0.2">
      <c r="A699" s="2">
        <v>2025</v>
      </c>
      <c r="B699" s="2">
        <v>3</v>
      </c>
      <c r="D699" s="2" t="s">
        <v>1092</v>
      </c>
      <c r="M699" s="2" t="s">
        <v>40</v>
      </c>
      <c r="P699" s="2" t="s">
        <v>187</v>
      </c>
      <c r="Q699" s="2" t="s">
        <v>191</v>
      </c>
      <c r="R699" s="2" t="s">
        <v>190</v>
      </c>
      <c r="S699" s="2">
        <v>1</v>
      </c>
      <c r="T699" s="2">
        <v>50</v>
      </c>
      <c r="U699" s="2">
        <v>11.5</v>
      </c>
      <c r="V699" s="2">
        <v>61.5</v>
      </c>
      <c r="W699" s="2">
        <f>T699*50%</f>
        <v>25</v>
      </c>
      <c r="X699" s="5">
        <f t="shared" si="94"/>
        <v>0.5</v>
      </c>
      <c r="Z699" s="2" t="s">
        <v>117</v>
      </c>
      <c r="AA699" s="2" t="s">
        <v>190</v>
      </c>
      <c r="AB699" s="2" t="s">
        <v>190</v>
      </c>
      <c r="AC699" s="2" t="s">
        <v>40</v>
      </c>
      <c r="AF699" s="2">
        <f t="shared" si="90"/>
        <v>0</v>
      </c>
      <c r="AJ699" s="2">
        <f t="shared" si="91"/>
        <v>0</v>
      </c>
      <c r="AK699" s="2">
        <f t="shared" si="95"/>
        <v>25</v>
      </c>
      <c r="AL699" s="5">
        <f t="shared" si="93"/>
        <v>0.5</v>
      </c>
    </row>
    <row r="700" spans="1:38" x14ac:dyDescent="0.2">
      <c r="A700" s="2">
        <v>2025</v>
      </c>
      <c r="B700" s="2">
        <v>3</v>
      </c>
      <c r="D700" s="2" t="s">
        <v>574</v>
      </c>
      <c r="E700" s="2" t="s">
        <v>38</v>
      </c>
      <c r="F700" s="2" t="s">
        <v>39</v>
      </c>
      <c r="G700" s="2">
        <v>504811029</v>
      </c>
      <c r="H700" s="2" t="s">
        <v>41</v>
      </c>
      <c r="I700" s="2" t="s">
        <v>177</v>
      </c>
      <c r="J700" s="2" t="s">
        <v>575</v>
      </c>
      <c r="L700" s="2" t="s">
        <v>177</v>
      </c>
      <c r="M700" s="2" t="s">
        <v>41</v>
      </c>
      <c r="P700" s="2" t="s">
        <v>101</v>
      </c>
      <c r="Q700" s="2" t="s">
        <v>1093</v>
      </c>
      <c r="R700" s="2" t="s">
        <v>1094</v>
      </c>
      <c r="S700" s="2">
        <v>3</v>
      </c>
      <c r="T700" s="2">
        <v>8673</v>
      </c>
      <c r="U700" s="2">
        <v>1994.79</v>
      </c>
      <c r="V700" s="2">
        <v>10667.79</v>
      </c>
      <c r="W700" s="2">
        <f>2084.42+172</f>
        <v>2256.42</v>
      </c>
      <c r="X700" s="5">
        <f t="shared" si="94"/>
        <v>0.73983396748529917</v>
      </c>
      <c r="Z700" s="2" t="s">
        <v>104</v>
      </c>
      <c r="AA700" s="2" t="s">
        <v>264</v>
      </c>
      <c r="AB700" s="2" t="s">
        <v>1095</v>
      </c>
      <c r="AC700" s="2" t="s">
        <v>101</v>
      </c>
      <c r="AF700" s="2">
        <f t="shared" si="90"/>
        <v>0</v>
      </c>
      <c r="AJ700" s="2">
        <f t="shared" si="91"/>
        <v>0</v>
      </c>
      <c r="AK700" s="2">
        <f t="shared" si="95"/>
        <v>6416.58</v>
      </c>
      <c r="AL700" s="5">
        <f t="shared" ref="AL700:AL731" si="96">(T700-W700)/T700</f>
        <v>0.73983396748529917</v>
      </c>
    </row>
    <row r="701" spans="1:38" x14ac:dyDescent="0.2">
      <c r="A701" s="2">
        <v>2025</v>
      </c>
      <c r="B701" s="2">
        <v>3</v>
      </c>
      <c r="D701" s="2" t="s">
        <v>574</v>
      </c>
      <c r="E701" s="2" t="s">
        <v>38</v>
      </c>
      <c r="F701" s="2" t="s">
        <v>39</v>
      </c>
      <c r="G701" s="2">
        <v>504811029</v>
      </c>
      <c r="H701" s="2" t="s">
        <v>41</v>
      </c>
      <c r="I701" s="2" t="s">
        <v>177</v>
      </c>
      <c r="J701" s="2" t="s">
        <v>575</v>
      </c>
      <c r="L701" s="2" t="s">
        <v>177</v>
      </c>
      <c r="M701" s="2" t="s">
        <v>41</v>
      </c>
      <c r="P701" s="2" t="s">
        <v>101</v>
      </c>
      <c r="Q701" s="2" t="s">
        <v>1096</v>
      </c>
      <c r="R701" s="2" t="s">
        <v>1097</v>
      </c>
      <c r="S701" s="2">
        <v>1</v>
      </c>
      <c r="T701" s="2">
        <v>3234</v>
      </c>
      <c r="U701" s="2">
        <v>743.82</v>
      </c>
      <c r="V701" s="2">
        <v>3977.82</v>
      </c>
      <c r="W701" s="2">
        <v>1978.46</v>
      </c>
      <c r="X701" s="5">
        <f t="shared" si="94"/>
        <v>0.38823129251700678</v>
      </c>
      <c r="Z701" s="2" t="s">
        <v>104</v>
      </c>
      <c r="AA701" s="2" t="s">
        <v>105</v>
      </c>
      <c r="AB701" s="2" t="s">
        <v>106</v>
      </c>
      <c r="AC701" s="2" t="s">
        <v>101</v>
      </c>
      <c r="AF701" s="2">
        <f t="shared" si="90"/>
        <v>0</v>
      </c>
      <c r="AJ701" s="2">
        <f t="shared" si="91"/>
        <v>0</v>
      </c>
      <c r="AK701" s="2">
        <f t="shared" si="95"/>
        <v>1255.54</v>
      </c>
      <c r="AL701" s="5">
        <f t="shared" si="96"/>
        <v>0.38823129251700678</v>
      </c>
    </row>
    <row r="702" spans="1:38" x14ac:dyDescent="0.2">
      <c r="A702" s="2">
        <v>2025</v>
      </c>
      <c r="B702" s="2">
        <v>3</v>
      </c>
      <c r="D702" s="2" t="s">
        <v>1098</v>
      </c>
      <c r="P702" s="2" t="s">
        <v>114</v>
      </c>
      <c r="Q702" s="2" t="s">
        <v>1099</v>
      </c>
      <c r="R702" s="2" t="s">
        <v>1100</v>
      </c>
      <c r="S702" s="2">
        <v>1</v>
      </c>
      <c r="T702" s="2">
        <v>184.34</v>
      </c>
      <c r="U702" s="2">
        <v>42.398200000000003</v>
      </c>
      <c r="V702" s="2">
        <v>226.73820000000001</v>
      </c>
      <c r="X702" s="5">
        <f t="shared" si="94"/>
        <v>1</v>
      </c>
      <c r="Z702" s="2" t="s">
        <v>117</v>
      </c>
      <c r="AF702" s="2">
        <f t="shared" si="90"/>
        <v>0</v>
      </c>
      <c r="AJ702" s="2">
        <f t="shared" si="91"/>
        <v>0</v>
      </c>
      <c r="AK702" s="2">
        <f t="shared" si="95"/>
        <v>184.34</v>
      </c>
      <c r="AL702" s="5">
        <f t="shared" si="96"/>
        <v>1</v>
      </c>
    </row>
    <row r="703" spans="1:38" x14ac:dyDescent="0.2">
      <c r="A703" s="2">
        <v>2025</v>
      </c>
      <c r="B703" s="2">
        <v>3</v>
      </c>
      <c r="D703" s="2" t="s">
        <v>1098</v>
      </c>
      <c r="M703" s="2" t="s">
        <v>40</v>
      </c>
      <c r="P703" s="2" t="s">
        <v>187</v>
      </c>
      <c r="Q703" s="2" t="s">
        <v>191</v>
      </c>
      <c r="R703" s="2" t="s">
        <v>190</v>
      </c>
      <c r="S703" s="2">
        <v>4</v>
      </c>
      <c r="T703" s="2">
        <v>200</v>
      </c>
      <c r="U703" s="2">
        <v>46</v>
      </c>
      <c r="V703" s="2">
        <v>246</v>
      </c>
      <c r="W703" s="2">
        <f>T703*50%</f>
        <v>100</v>
      </c>
      <c r="X703" s="5">
        <f t="shared" si="94"/>
        <v>0.5</v>
      </c>
      <c r="Z703" s="2" t="s">
        <v>117</v>
      </c>
      <c r="AA703" s="2" t="s">
        <v>190</v>
      </c>
      <c r="AB703" s="2" t="s">
        <v>190</v>
      </c>
      <c r="AC703" s="2" t="s">
        <v>40</v>
      </c>
      <c r="AF703" s="2">
        <f t="shared" si="90"/>
        <v>0</v>
      </c>
      <c r="AJ703" s="2">
        <f t="shared" si="91"/>
        <v>0</v>
      </c>
      <c r="AK703" s="2">
        <f t="shared" si="95"/>
        <v>100</v>
      </c>
      <c r="AL703" s="5">
        <f t="shared" si="96"/>
        <v>0.5</v>
      </c>
    </row>
    <row r="704" spans="1:38" x14ac:dyDescent="0.2">
      <c r="A704" s="2">
        <v>2025</v>
      </c>
      <c r="B704" s="2">
        <v>3</v>
      </c>
      <c r="D704" s="2" t="s">
        <v>581</v>
      </c>
      <c r="E704" s="2" t="s">
        <v>38</v>
      </c>
      <c r="F704" s="2" t="s">
        <v>39</v>
      </c>
      <c r="G704" s="2">
        <v>518281272</v>
      </c>
      <c r="H704" s="2" t="s">
        <v>41</v>
      </c>
      <c r="I704" s="2" t="s">
        <v>1101</v>
      </c>
      <c r="J704" s="2" t="s">
        <v>1102</v>
      </c>
      <c r="L704" s="2" t="s">
        <v>177</v>
      </c>
      <c r="M704" s="2" t="s">
        <v>41</v>
      </c>
      <c r="O704" s="2" t="s">
        <v>1103</v>
      </c>
      <c r="P704" s="2" t="s">
        <v>43</v>
      </c>
      <c r="Q704" s="2" t="s">
        <v>1104</v>
      </c>
      <c r="R704" s="2" t="s">
        <v>1105</v>
      </c>
      <c r="S704" s="2">
        <v>1</v>
      </c>
      <c r="T704" s="2">
        <v>18</v>
      </c>
      <c r="U704" s="2">
        <v>4.1400000000000006</v>
      </c>
      <c r="V704" s="2">
        <v>22.14</v>
      </c>
      <c r="W704" s="2">
        <v>10</v>
      </c>
      <c r="X704" s="5">
        <f t="shared" si="94"/>
        <v>0.44444444444444442</v>
      </c>
      <c r="Z704" s="2" t="s">
        <v>3227</v>
      </c>
      <c r="AA704" s="2" t="s">
        <v>46</v>
      </c>
      <c r="AB704" s="2" t="s">
        <v>47</v>
      </c>
      <c r="AC704" s="2" t="s">
        <v>57</v>
      </c>
      <c r="AF704" s="2">
        <f t="shared" si="90"/>
        <v>0</v>
      </c>
      <c r="AG704" s="2">
        <v>10</v>
      </c>
      <c r="AH704" s="2">
        <v>21</v>
      </c>
      <c r="AJ704" s="2">
        <f t="shared" si="91"/>
        <v>0</v>
      </c>
      <c r="AK704" s="2">
        <f t="shared" si="95"/>
        <v>8</v>
      </c>
      <c r="AL704" s="5">
        <f t="shared" si="96"/>
        <v>0.44444444444444442</v>
      </c>
    </row>
    <row r="705" spans="1:38" x14ac:dyDescent="0.2">
      <c r="A705" s="2">
        <v>2025</v>
      </c>
      <c r="B705" s="2">
        <v>3</v>
      </c>
      <c r="D705" s="2" t="s">
        <v>581</v>
      </c>
      <c r="E705" s="2" t="s">
        <v>38</v>
      </c>
      <c r="F705" s="2" t="s">
        <v>39</v>
      </c>
      <c r="G705" s="2">
        <v>518281272</v>
      </c>
      <c r="H705" s="2" t="s">
        <v>41</v>
      </c>
      <c r="I705" s="2" t="s">
        <v>1101</v>
      </c>
      <c r="J705" s="2" t="s">
        <v>1102</v>
      </c>
      <c r="L705" s="2" t="s">
        <v>177</v>
      </c>
      <c r="M705" s="2" t="s">
        <v>41</v>
      </c>
      <c r="O705" s="2" t="s">
        <v>1103</v>
      </c>
      <c r="P705" s="2" t="s">
        <v>43</v>
      </c>
      <c r="Q705" s="2" t="s">
        <v>351</v>
      </c>
      <c r="R705" s="2" t="s">
        <v>352</v>
      </c>
      <c r="S705" s="2">
        <v>1</v>
      </c>
      <c r="T705" s="2">
        <v>18</v>
      </c>
      <c r="U705" s="2">
        <v>4.1400000000000006</v>
      </c>
      <c r="V705" s="2">
        <v>22.14</v>
      </c>
      <c r="W705" s="2">
        <v>10.67</v>
      </c>
      <c r="X705" s="5">
        <f t="shared" si="94"/>
        <v>0.40722222222222221</v>
      </c>
      <c r="Z705" s="2" t="s">
        <v>3227</v>
      </c>
      <c r="AA705" s="2" t="s">
        <v>46</v>
      </c>
      <c r="AB705" s="2" t="s">
        <v>47</v>
      </c>
      <c r="AC705" s="2" t="s">
        <v>57</v>
      </c>
      <c r="AF705" s="2">
        <f t="shared" si="90"/>
        <v>0</v>
      </c>
      <c r="AG705" s="2">
        <v>10.67</v>
      </c>
      <c r="AH705" s="2">
        <v>21</v>
      </c>
      <c r="AJ705" s="2">
        <f t="shared" si="91"/>
        <v>0</v>
      </c>
      <c r="AK705" s="2">
        <f t="shared" si="95"/>
        <v>7.33</v>
      </c>
      <c r="AL705" s="5">
        <f t="shared" si="96"/>
        <v>0.40722222222222221</v>
      </c>
    </row>
    <row r="706" spans="1:38" x14ac:dyDescent="0.2">
      <c r="A706" s="2">
        <v>2025</v>
      </c>
      <c r="B706" s="2">
        <v>3</v>
      </c>
      <c r="D706" s="2" t="s">
        <v>581</v>
      </c>
      <c r="E706" s="2" t="s">
        <v>38</v>
      </c>
      <c r="F706" s="2" t="s">
        <v>39</v>
      </c>
      <c r="G706" s="2">
        <v>518281272</v>
      </c>
      <c r="H706" s="2" t="s">
        <v>41</v>
      </c>
      <c r="I706" s="2" t="s">
        <v>1101</v>
      </c>
      <c r="J706" s="2" t="s">
        <v>1102</v>
      </c>
      <c r="L706" s="2" t="s">
        <v>177</v>
      </c>
      <c r="M706" s="2" t="s">
        <v>41</v>
      </c>
      <c r="P706" s="2" t="s">
        <v>43</v>
      </c>
      <c r="Q706" s="2" t="s">
        <v>592</v>
      </c>
      <c r="R706" s="2" t="s">
        <v>593</v>
      </c>
      <c r="S706" s="2">
        <v>1</v>
      </c>
      <c r="T706" s="2">
        <v>28.8</v>
      </c>
      <c r="U706" s="2">
        <v>6.6240000000000014</v>
      </c>
      <c r="V706" s="2">
        <v>35.423999999999999</v>
      </c>
      <c r="W706" s="2">
        <f>11.295*S706</f>
        <v>11.295</v>
      </c>
      <c r="X706" s="5">
        <f t="shared" si="94"/>
        <v>0.60781250000000009</v>
      </c>
      <c r="Z706" s="2" t="s">
        <v>3227</v>
      </c>
      <c r="AA706" s="2" t="s">
        <v>46</v>
      </c>
      <c r="AB706" s="2" t="s">
        <v>47</v>
      </c>
      <c r="AC706" s="2" t="s">
        <v>57</v>
      </c>
      <c r="AF706" s="2">
        <f t="shared" ref="AF706:AF769" si="97">AJ706</f>
        <v>0</v>
      </c>
      <c r="AJ706" s="2">
        <f t="shared" ref="AJ706:AJ769" si="98">AI706*T706</f>
        <v>0</v>
      </c>
      <c r="AK706" s="2">
        <f t="shared" si="95"/>
        <v>17.505000000000003</v>
      </c>
      <c r="AL706" s="5">
        <f t="shared" si="96"/>
        <v>0.60781250000000009</v>
      </c>
    </row>
    <row r="707" spans="1:38" x14ac:dyDescent="0.2">
      <c r="A707" s="2">
        <v>2025</v>
      </c>
      <c r="B707" s="2">
        <v>3</v>
      </c>
      <c r="D707" s="2" t="s">
        <v>581</v>
      </c>
      <c r="E707" s="2" t="s">
        <v>38</v>
      </c>
      <c r="F707" s="2" t="s">
        <v>39</v>
      </c>
      <c r="G707" s="2">
        <v>518281272</v>
      </c>
      <c r="H707" s="2" t="s">
        <v>41</v>
      </c>
      <c r="I707" s="2" t="s">
        <v>1101</v>
      </c>
      <c r="J707" s="2" t="s">
        <v>1102</v>
      </c>
      <c r="L707" s="2" t="s">
        <v>177</v>
      </c>
      <c r="M707" s="2" t="s">
        <v>41</v>
      </c>
      <c r="P707" s="2" t="s">
        <v>43</v>
      </c>
      <c r="Q707" s="2" t="s">
        <v>50</v>
      </c>
      <c r="R707" s="2" t="s">
        <v>51</v>
      </c>
      <c r="S707" s="2">
        <v>1</v>
      </c>
      <c r="T707" s="2">
        <v>16.8</v>
      </c>
      <c r="U707" s="2">
        <v>3.8639999999999999</v>
      </c>
      <c r="V707" s="2">
        <v>20.664000000000001</v>
      </c>
      <c r="W707" s="2">
        <f>14.4*S707</f>
        <v>14.4</v>
      </c>
      <c r="X707" s="5">
        <f t="shared" si="94"/>
        <v>0.14285714285714288</v>
      </c>
      <c r="Z707" s="2" t="s">
        <v>3227</v>
      </c>
      <c r="AA707" s="2" t="s">
        <v>46</v>
      </c>
      <c r="AB707" s="2" t="s">
        <v>47</v>
      </c>
      <c r="AC707" s="2" t="s">
        <v>57</v>
      </c>
      <c r="AF707" s="2">
        <f t="shared" si="97"/>
        <v>0</v>
      </c>
      <c r="AG707" s="2">
        <v>10.2346</v>
      </c>
      <c r="AH707" s="2">
        <v>18</v>
      </c>
      <c r="AJ707" s="2">
        <f t="shared" si="98"/>
        <v>0</v>
      </c>
      <c r="AK707" s="2">
        <f t="shared" si="95"/>
        <v>2.4000000000000004</v>
      </c>
      <c r="AL707" s="5">
        <f t="shared" si="96"/>
        <v>0.14285714285714288</v>
      </c>
    </row>
    <row r="708" spans="1:38" x14ac:dyDescent="0.2">
      <c r="A708" s="2">
        <v>2025</v>
      </c>
      <c r="B708" s="2">
        <v>3</v>
      </c>
      <c r="D708" s="2" t="s">
        <v>581</v>
      </c>
      <c r="E708" s="2" t="s">
        <v>38</v>
      </c>
      <c r="F708" s="2" t="s">
        <v>39</v>
      </c>
      <c r="G708" s="2">
        <v>518281272</v>
      </c>
      <c r="H708" s="2" t="s">
        <v>41</v>
      </c>
      <c r="I708" s="2" t="s">
        <v>1101</v>
      </c>
      <c r="J708" s="2" t="s">
        <v>1102</v>
      </c>
      <c r="L708" s="2" t="s">
        <v>177</v>
      </c>
      <c r="M708" s="2" t="s">
        <v>41</v>
      </c>
      <c r="P708" s="2" t="s">
        <v>43</v>
      </c>
      <c r="Q708" s="2" t="s">
        <v>160</v>
      </c>
      <c r="R708" s="2" t="s">
        <v>161</v>
      </c>
      <c r="S708" s="2">
        <v>1</v>
      </c>
      <c r="T708" s="2">
        <v>7.8</v>
      </c>
      <c r="U708" s="2">
        <v>1.794</v>
      </c>
      <c r="V708" s="2">
        <v>9.5939999999999994</v>
      </c>
      <c r="W708" s="2">
        <f>3.7358*S708</f>
        <v>3.7357999999999998</v>
      </c>
      <c r="X708" s="5">
        <f t="shared" si="94"/>
        <v>0.52105128205128204</v>
      </c>
      <c r="Z708" s="2" t="s">
        <v>3227</v>
      </c>
      <c r="AA708" s="2" t="s">
        <v>46</v>
      </c>
      <c r="AB708" s="2" t="s">
        <v>47</v>
      </c>
      <c r="AC708" s="2" t="s">
        <v>57</v>
      </c>
      <c r="AF708" s="2">
        <f t="shared" si="97"/>
        <v>0</v>
      </c>
      <c r="AG708" s="2">
        <v>3.7357999999999998</v>
      </c>
      <c r="AH708" s="2">
        <v>9</v>
      </c>
      <c r="AJ708" s="2">
        <f t="shared" si="98"/>
        <v>0</v>
      </c>
      <c r="AK708" s="2">
        <f t="shared" si="95"/>
        <v>4.0641999999999996</v>
      </c>
      <c r="AL708" s="5">
        <f t="shared" si="96"/>
        <v>0.52105128205128204</v>
      </c>
    </row>
    <row r="709" spans="1:38" x14ac:dyDescent="0.2">
      <c r="A709" s="2">
        <v>2025</v>
      </c>
      <c r="B709" s="2">
        <v>3</v>
      </c>
      <c r="D709" s="2" t="s">
        <v>581</v>
      </c>
      <c r="E709" s="2" t="s">
        <v>38</v>
      </c>
      <c r="F709" s="2" t="s">
        <v>39</v>
      </c>
      <c r="G709" s="2">
        <v>518281272</v>
      </c>
      <c r="H709" s="2" t="s">
        <v>41</v>
      </c>
      <c r="I709" s="2" t="s">
        <v>1101</v>
      </c>
      <c r="J709" s="2" t="s">
        <v>1102</v>
      </c>
      <c r="L709" s="2" t="s">
        <v>177</v>
      </c>
      <c r="M709" s="2" t="s">
        <v>41</v>
      </c>
      <c r="P709" s="2" t="s">
        <v>43</v>
      </c>
      <c r="Q709" s="2" t="s">
        <v>61</v>
      </c>
      <c r="R709" s="2" t="s">
        <v>62</v>
      </c>
      <c r="S709" s="2">
        <v>1000</v>
      </c>
      <c r="T709" s="2">
        <v>105</v>
      </c>
      <c r="U709" s="2">
        <v>24.15</v>
      </c>
      <c r="V709" s="2">
        <v>129.15</v>
      </c>
      <c r="W709" s="2">
        <f>0.082*S709</f>
        <v>82</v>
      </c>
      <c r="X709" s="5">
        <f t="shared" si="94"/>
        <v>0.21904761904761905</v>
      </c>
      <c r="Z709" s="2" t="s">
        <v>3227</v>
      </c>
      <c r="AA709" s="2" t="s">
        <v>46</v>
      </c>
      <c r="AB709" s="2" t="s">
        <v>60</v>
      </c>
      <c r="AC709" s="2" t="s">
        <v>57</v>
      </c>
      <c r="AF709" s="2">
        <f t="shared" si="97"/>
        <v>0</v>
      </c>
      <c r="AG709" s="2">
        <v>8.1999999999999993</v>
      </c>
      <c r="AH709" s="2">
        <v>13</v>
      </c>
      <c r="AJ709" s="2">
        <f t="shared" si="98"/>
        <v>0</v>
      </c>
      <c r="AK709" s="2">
        <f t="shared" si="95"/>
        <v>23</v>
      </c>
      <c r="AL709" s="5">
        <f t="shared" si="96"/>
        <v>0.21904761904761905</v>
      </c>
    </row>
    <row r="710" spans="1:38" x14ac:dyDescent="0.2">
      <c r="A710" s="2">
        <v>2025</v>
      </c>
      <c r="B710" s="2">
        <v>3</v>
      </c>
      <c r="D710" s="2" t="s">
        <v>582</v>
      </c>
      <c r="E710" s="2" t="s">
        <v>108</v>
      </c>
      <c r="G710" s="2">
        <v>503850276</v>
      </c>
      <c r="H710" s="2" t="s">
        <v>40</v>
      </c>
      <c r="I710" s="2" t="s">
        <v>583</v>
      </c>
      <c r="J710" s="2" t="s">
        <v>584</v>
      </c>
      <c r="L710" s="2" t="s">
        <v>201</v>
      </c>
      <c r="M710" s="2" t="s">
        <v>80</v>
      </c>
      <c r="P710" s="2" t="s">
        <v>43</v>
      </c>
      <c r="Q710" s="2" t="s">
        <v>65</v>
      </c>
      <c r="R710" s="2" t="s">
        <v>66</v>
      </c>
      <c r="S710" s="2">
        <v>16</v>
      </c>
      <c r="T710" s="2">
        <v>320</v>
      </c>
      <c r="U710" s="2">
        <v>73.600000000000009</v>
      </c>
      <c r="V710" s="2">
        <v>393.6</v>
      </c>
      <c r="W710" s="2">
        <f>15.0203*S710</f>
        <v>240.32480000000001</v>
      </c>
      <c r="X710" s="5">
        <f t="shared" si="94"/>
        <v>0.24898499999999996</v>
      </c>
      <c r="Z710" s="2" t="s">
        <v>3227</v>
      </c>
      <c r="AA710" s="2" t="s">
        <v>46</v>
      </c>
      <c r="AB710" s="2" t="s">
        <v>67</v>
      </c>
      <c r="AC710" s="2" t="s">
        <v>57</v>
      </c>
      <c r="AF710" s="2">
        <f t="shared" si="97"/>
        <v>0</v>
      </c>
      <c r="AG710" s="2">
        <v>15.020300000000001</v>
      </c>
      <c r="AH710" s="2">
        <v>27.6</v>
      </c>
      <c r="AJ710" s="2">
        <f t="shared" si="98"/>
        <v>0</v>
      </c>
      <c r="AK710" s="2">
        <f t="shared" si="95"/>
        <v>79.67519999999999</v>
      </c>
      <c r="AL710" s="5">
        <f t="shared" si="96"/>
        <v>0.24898499999999996</v>
      </c>
    </row>
    <row r="711" spans="1:38" x14ac:dyDescent="0.2">
      <c r="A711" s="2">
        <v>2025</v>
      </c>
      <c r="B711" s="2">
        <v>3</v>
      </c>
      <c r="D711" s="2" t="s">
        <v>588</v>
      </c>
      <c r="E711" s="2" t="s">
        <v>38</v>
      </c>
      <c r="F711" s="2" t="s">
        <v>39</v>
      </c>
      <c r="G711" s="2">
        <v>510339298</v>
      </c>
      <c r="H711" s="2" t="s">
        <v>41</v>
      </c>
      <c r="I711" s="2" t="s">
        <v>177</v>
      </c>
      <c r="J711" s="2" t="s">
        <v>589</v>
      </c>
      <c r="L711" s="2" t="s">
        <v>177</v>
      </c>
      <c r="M711" s="2" t="s">
        <v>41</v>
      </c>
      <c r="P711" s="2" t="s">
        <v>43</v>
      </c>
      <c r="Q711" s="2" t="s">
        <v>48</v>
      </c>
      <c r="R711" s="2" t="s">
        <v>49</v>
      </c>
      <c r="S711" s="2">
        <v>2</v>
      </c>
      <c r="T711" s="2">
        <v>24</v>
      </c>
      <c r="U711" s="2">
        <v>5.52</v>
      </c>
      <c r="V711" s="2">
        <v>29.52</v>
      </c>
      <c r="W711" s="2">
        <f>6.6267*S711</f>
        <v>13.253399999999999</v>
      </c>
      <c r="X711" s="5">
        <f t="shared" si="94"/>
        <v>0.44777500000000003</v>
      </c>
      <c r="Z711" s="2" t="s">
        <v>3227</v>
      </c>
      <c r="AA711" s="2" t="s">
        <v>46</v>
      </c>
      <c r="AB711" s="2" t="s">
        <v>47</v>
      </c>
      <c r="AC711" s="2" t="s">
        <v>57</v>
      </c>
      <c r="AF711" s="2">
        <f t="shared" si="97"/>
        <v>0</v>
      </c>
      <c r="AG711" s="2">
        <v>6.6266999999999996</v>
      </c>
      <c r="AH711" s="2">
        <v>12</v>
      </c>
      <c r="AJ711" s="2">
        <f t="shared" si="98"/>
        <v>0</v>
      </c>
      <c r="AK711" s="2">
        <f t="shared" si="95"/>
        <v>10.746600000000001</v>
      </c>
      <c r="AL711" s="5">
        <f t="shared" si="96"/>
        <v>0.44777500000000003</v>
      </c>
    </row>
    <row r="712" spans="1:38" x14ac:dyDescent="0.2">
      <c r="A712" s="2">
        <v>2025</v>
      </c>
      <c r="B712" s="2">
        <v>3</v>
      </c>
      <c r="D712" s="2" t="s">
        <v>588</v>
      </c>
      <c r="E712" s="2" t="s">
        <v>38</v>
      </c>
      <c r="F712" s="2" t="s">
        <v>39</v>
      </c>
      <c r="G712" s="2">
        <v>510339298</v>
      </c>
      <c r="H712" s="2" t="s">
        <v>41</v>
      </c>
      <c r="I712" s="2" t="s">
        <v>177</v>
      </c>
      <c r="J712" s="2" t="s">
        <v>589</v>
      </c>
      <c r="L712" s="2" t="s">
        <v>177</v>
      </c>
      <c r="M712" s="2" t="s">
        <v>41</v>
      </c>
      <c r="P712" s="2" t="s">
        <v>43</v>
      </c>
      <c r="Q712" s="2" t="s">
        <v>160</v>
      </c>
      <c r="R712" s="2" t="s">
        <v>161</v>
      </c>
      <c r="S712" s="2">
        <v>1</v>
      </c>
      <c r="T712" s="2">
        <v>7.8</v>
      </c>
      <c r="U712" s="2">
        <v>1.794</v>
      </c>
      <c r="V712" s="2">
        <v>9.5939999999999994</v>
      </c>
      <c r="W712" s="2">
        <f>3.7358*S712</f>
        <v>3.7357999999999998</v>
      </c>
      <c r="X712" s="5">
        <f t="shared" si="94"/>
        <v>0.52105128205128204</v>
      </c>
      <c r="Z712" s="2" t="s">
        <v>3227</v>
      </c>
      <c r="AA712" s="2" t="s">
        <v>46</v>
      </c>
      <c r="AB712" s="2" t="s">
        <v>47</v>
      </c>
      <c r="AC712" s="2" t="s">
        <v>57</v>
      </c>
      <c r="AF712" s="2">
        <f t="shared" si="97"/>
        <v>0</v>
      </c>
      <c r="AG712" s="2">
        <v>3.7357999999999998</v>
      </c>
      <c r="AH712" s="2">
        <v>9</v>
      </c>
      <c r="AJ712" s="2">
        <f t="shared" si="98"/>
        <v>0</v>
      </c>
      <c r="AK712" s="2">
        <f t="shared" si="95"/>
        <v>4.0641999999999996</v>
      </c>
      <c r="AL712" s="5">
        <f t="shared" si="96"/>
        <v>0.52105128205128204</v>
      </c>
    </row>
    <row r="713" spans="1:38" x14ac:dyDescent="0.2">
      <c r="A713" s="2">
        <v>2025</v>
      </c>
      <c r="B713" s="2">
        <v>3</v>
      </c>
      <c r="D713" s="2" t="s">
        <v>588</v>
      </c>
      <c r="E713" s="2" t="s">
        <v>38</v>
      </c>
      <c r="F713" s="2" t="s">
        <v>39</v>
      </c>
      <c r="G713" s="2">
        <v>510339298</v>
      </c>
      <c r="H713" s="2" t="s">
        <v>41</v>
      </c>
      <c r="I713" s="2" t="s">
        <v>177</v>
      </c>
      <c r="J713" s="2" t="s">
        <v>589</v>
      </c>
      <c r="L713" s="2" t="s">
        <v>177</v>
      </c>
      <c r="M713" s="2" t="s">
        <v>41</v>
      </c>
      <c r="P713" s="2" t="s">
        <v>43</v>
      </c>
      <c r="Q713" s="2" t="s">
        <v>54</v>
      </c>
      <c r="R713" s="2" t="s">
        <v>55</v>
      </c>
      <c r="S713" s="2">
        <v>10</v>
      </c>
      <c r="T713" s="2">
        <v>150</v>
      </c>
      <c r="U713" s="2">
        <v>34.5</v>
      </c>
      <c r="V713" s="2">
        <v>184.5</v>
      </c>
      <c r="W713" s="2">
        <f>10.6*S713</f>
        <v>106</v>
      </c>
      <c r="X713" s="5">
        <f t="shared" si="94"/>
        <v>0.29333333333333333</v>
      </c>
      <c r="Z713" s="2" t="s">
        <v>3227</v>
      </c>
      <c r="AA713" s="2" t="s">
        <v>46</v>
      </c>
      <c r="AB713" s="2" t="s">
        <v>56</v>
      </c>
      <c r="AC713" s="2" t="s">
        <v>57</v>
      </c>
      <c r="AF713" s="2">
        <f t="shared" si="97"/>
        <v>0</v>
      </c>
      <c r="AG713" s="2">
        <v>10.6</v>
      </c>
      <c r="AH713" s="2">
        <v>18</v>
      </c>
      <c r="AJ713" s="2">
        <f t="shared" si="98"/>
        <v>0</v>
      </c>
      <c r="AK713" s="2">
        <f t="shared" si="95"/>
        <v>44</v>
      </c>
      <c r="AL713" s="5">
        <f t="shared" si="96"/>
        <v>0.29333333333333333</v>
      </c>
    </row>
    <row r="714" spans="1:38" x14ac:dyDescent="0.2">
      <c r="A714" s="2">
        <v>2025</v>
      </c>
      <c r="B714" s="2">
        <v>3</v>
      </c>
      <c r="D714" s="2" t="s">
        <v>588</v>
      </c>
      <c r="E714" s="2" t="s">
        <v>38</v>
      </c>
      <c r="F714" s="2" t="s">
        <v>39</v>
      </c>
      <c r="G714" s="2">
        <v>510339298</v>
      </c>
      <c r="H714" s="2" t="s">
        <v>41</v>
      </c>
      <c r="I714" s="2" t="s">
        <v>177</v>
      </c>
      <c r="J714" s="2" t="s">
        <v>589</v>
      </c>
      <c r="L714" s="2" t="s">
        <v>177</v>
      </c>
      <c r="M714" s="2" t="s">
        <v>41</v>
      </c>
      <c r="P714" s="2" t="s">
        <v>84</v>
      </c>
      <c r="Q714" s="2" t="s">
        <v>91</v>
      </c>
      <c r="R714" s="2" t="s">
        <v>92</v>
      </c>
      <c r="S714" s="2">
        <v>4</v>
      </c>
      <c r="T714" s="2">
        <v>14.4</v>
      </c>
      <c r="U714" s="2">
        <v>3.3119999999999998</v>
      </c>
      <c r="V714" s="2">
        <v>17.712</v>
      </c>
      <c r="W714" s="2">
        <f>2.475*S714</f>
        <v>9.9</v>
      </c>
      <c r="X714" s="5">
        <f t="shared" si="94"/>
        <v>0.3125</v>
      </c>
      <c r="Z714" s="2" t="s">
        <v>3227</v>
      </c>
      <c r="AA714" s="2" t="s">
        <v>87</v>
      </c>
      <c r="AB714" s="2" t="s">
        <v>90</v>
      </c>
      <c r="AC714" s="2" t="s">
        <v>84</v>
      </c>
      <c r="AF714" s="2">
        <f t="shared" si="97"/>
        <v>0</v>
      </c>
      <c r="AJ714" s="2">
        <f t="shared" si="98"/>
        <v>0</v>
      </c>
      <c r="AK714" s="2">
        <f t="shared" si="95"/>
        <v>4.5</v>
      </c>
      <c r="AL714" s="5">
        <f t="shared" si="96"/>
        <v>0.3125</v>
      </c>
    </row>
    <row r="715" spans="1:38" x14ac:dyDescent="0.2">
      <c r="A715" s="2">
        <v>2025</v>
      </c>
      <c r="B715" s="2">
        <v>3</v>
      </c>
      <c r="D715" s="2" t="s">
        <v>1106</v>
      </c>
      <c r="G715" s="2">
        <v>502514027</v>
      </c>
      <c r="H715" s="2" t="s">
        <v>40</v>
      </c>
      <c r="M715" s="2" t="s">
        <v>40</v>
      </c>
      <c r="O715" s="2" t="s">
        <v>1107</v>
      </c>
      <c r="P715" s="2" t="s">
        <v>1108</v>
      </c>
      <c r="Q715" s="2" t="s">
        <v>1109</v>
      </c>
      <c r="R715" s="2" t="s">
        <v>1110</v>
      </c>
      <c r="S715" s="2">
        <v>1</v>
      </c>
      <c r="T715" s="2">
        <v>2450</v>
      </c>
      <c r="U715" s="2">
        <v>563.5</v>
      </c>
      <c r="V715" s="2">
        <v>3013.5</v>
      </c>
      <c r="W715" s="2">
        <v>2242.31</v>
      </c>
      <c r="X715" s="5">
        <f t="shared" si="94"/>
        <v>8.4771428571428595E-2</v>
      </c>
      <c r="Z715" s="2" t="s">
        <v>104</v>
      </c>
      <c r="AA715" s="2" t="s">
        <v>1111</v>
      </c>
      <c r="AB715" s="2" t="s">
        <v>1112</v>
      </c>
      <c r="AC715" s="2" t="s">
        <v>1108</v>
      </c>
      <c r="AF715" s="2">
        <f t="shared" si="97"/>
        <v>0</v>
      </c>
      <c r="AG715" s="2">
        <v>2242.31</v>
      </c>
      <c r="AJ715" s="2">
        <f t="shared" si="98"/>
        <v>0</v>
      </c>
      <c r="AK715" s="2">
        <f t="shared" si="95"/>
        <v>207.69000000000005</v>
      </c>
      <c r="AL715" s="5">
        <f t="shared" si="96"/>
        <v>8.4771428571428595E-2</v>
      </c>
    </row>
    <row r="716" spans="1:38" x14ac:dyDescent="0.2">
      <c r="A716" s="2">
        <v>2025</v>
      </c>
      <c r="B716" s="2">
        <v>3</v>
      </c>
      <c r="D716" s="2" t="s">
        <v>617</v>
      </c>
      <c r="E716" s="2" t="s">
        <v>38</v>
      </c>
      <c r="F716" s="2" t="s">
        <v>39</v>
      </c>
      <c r="G716" s="2">
        <v>513759654</v>
      </c>
      <c r="H716" s="2" t="s">
        <v>41</v>
      </c>
      <c r="I716" s="2" t="s">
        <v>618</v>
      </c>
      <c r="J716" s="2" t="s">
        <v>619</v>
      </c>
      <c r="L716" s="2" t="s">
        <v>418</v>
      </c>
      <c r="M716" s="2" t="s">
        <v>41</v>
      </c>
      <c r="P716" s="2" t="s">
        <v>43</v>
      </c>
      <c r="Q716" s="2" t="s">
        <v>250</v>
      </c>
      <c r="R716" s="2" t="s">
        <v>251</v>
      </c>
      <c r="S716" s="2">
        <v>1</v>
      </c>
      <c r="T716" s="2">
        <v>65</v>
      </c>
      <c r="U716" s="2">
        <v>14.95</v>
      </c>
      <c r="V716" s="2">
        <v>79.95</v>
      </c>
      <c r="W716" s="2">
        <f>25.0958*S716</f>
        <v>25.095800000000001</v>
      </c>
      <c r="X716" s="5">
        <f t="shared" si="94"/>
        <v>0.61391076923076926</v>
      </c>
      <c r="Z716" s="2" t="s">
        <v>3227</v>
      </c>
      <c r="AA716" s="2" t="s">
        <v>46</v>
      </c>
      <c r="AB716" s="2" t="s">
        <v>90</v>
      </c>
      <c r="AC716" s="2" t="s">
        <v>57</v>
      </c>
      <c r="AF716" s="2">
        <f t="shared" si="97"/>
        <v>0</v>
      </c>
      <c r="AJ716" s="2">
        <f t="shared" si="98"/>
        <v>0</v>
      </c>
      <c r="AK716" s="2">
        <f t="shared" si="95"/>
        <v>39.904200000000003</v>
      </c>
      <c r="AL716" s="5">
        <f t="shared" si="96"/>
        <v>0.61391076923076926</v>
      </c>
    </row>
    <row r="717" spans="1:38" x14ac:dyDescent="0.2">
      <c r="A717" s="2">
        <v>2025</v>
      </c>
      <c r="B717" s="2">
        <v>3</v>
      </c>
      <c r="D717" s="2" t="s">
        <v>1113</v>
      </c>
      <c r="E717" s="2" t="s">
        <v>38</v>
      </c>
      <c r="F717" s="2" t="s">
        <v>39</v>
      </c>
      <c r="G717" s="2">
        <v>210420588</v>
      </c>
      <c r="H717" s="2" t="s">
        <v>40</v>
      </c>
      <c r="I717" s="2" t="s">
        <v>1114</v>
      </c>
      <c r="J717" s="2" t="s">
        <v>1115</v>
      </c>
      <c r="K717" s="2">
        <v>914550474</v>
      </c>
      <c r="L717" s="2" t="s">
        <v>99</v>
      </c>
      <c r="M717" s="2" t="s">
        <v>40</v>
      </c>
      <c r="O717" s="2" t="s">
        <v>1116</v>
      </c>
      <c r="P717" s="2" t="s">
        <v>114</v>
      </c>
      <c r="Q717" s="2" t="s">
        <v>904</v>
      </c>
      <c r="R717" s="2" t="s">
        <v>905</v>
      </c>
      <c r="S717" s="2">
        <v>1</v>
      </c>
      <c r="T717" s="2">
        <v>699.3</v>
      </c>
      <c r="U717" s="2">
        <v>160.839</v>
      </c>
      <c r="V717" s="2">
        <v>860.1389999999999</v>
      </c>
      <c r="W717" s="2">
        <v>345.20339999999999</v>
      </c>
      <c r="X717" s="5">
        <f t="shared" si="94"/>
        <v>0.50635864435864431</v>
      </c>
      <c r="Z717" s="2" t="s">
        <v>117</v>
      </c>
      <c r="AA717" s="2" t="s">
        <v>181</v>
      </c>
      <c r="AB717" s="2" t="s">
        <v>119</v>
      </c>
      <c r="AC717" s="2" t="s">
        <v>114</v>
      </c>
      <c r="AF717" s="2">
        <f t="shared" si="97"/>
        <v>0</v>
      </c>
      <c r="AJ717" s="2">
        <f t="shared" si="98"/>
        <v>0</v>
      </c>
      <c r="AK717" s="2">
        <f t="shared" si="95"/>
        <v>354.09659999999997</v>
      </c>
      <c r="AL717" s="5">
        <f t="shared" si="96"/>
        <v>0.50635864435864431</v>
      </c>
    </row>
    <row r="718" spans="1:38" x14ac:dyDescent="0.2">
      <c r="A718" s="2">
        <v>2025</v>
      </c>
      <c r="B718" s="2">
        <v>3</v>
      </c>
      <c r="D718" s="2" t="s">
        <v>1113</v>
      </c>
      <c r="E718" s="2" t="s">
        <v>38</v>
      </c>
      <c r="F718" s="2" t="s">
        <v>39</v>
      </c>
      <c r="G718" s="2">
        <v>210420588</v>
      </c>
      <c r="H718" s="2" t="s">
        <v>40</v>
      </c>
      <c r="I718" s="2" t="s">
        <v>1114</v>
      </c>
      <c r="J718" s="2" t="s">
        <v>1115</v>
      </c>
      <c r="K718" s="2">
        <v>914550474</v>
      </c>
      <c r="L718" s="2" t="s">
        <v>99</v>
      </c>
      <c r="M718" s="2" t="s">
        <v>80</v>
      </c>
      <c r="O718" s="2" t="s">
        <v>1117</v>
      </c>
      <c r="P718" s="2" t="s">
        <v>43</v>
      </c>
      <c r="Q718" s="2" t="s">
        <v>160</v>
      </c>
      <c r="R718" s="2" t="s">
        <v>161</v>
      </c>
      <c r="S718" s="2">
        <v>4</v>
      </c>
      <c r="T718" s="2">
        <v>36</v>
      </c>
      <c r="U718" s="2">
        <v>8.2800000000000011</v>
      </c>
      <c r="V718" s="2">
        <v>44.28</v>
      </c>
      <c r="W718" s="2">
        <f>3.7358*S718</f>
        <v>14.943199999999999</v>
      </c>
      <c r="X718" s="5">
        <f t="shared" si="94"/>
        <v>0.58491111111111116</v>
      </c>
      <c r="Z718" s="2" t="s">
        <v>3227</v>
      </c>
      <c r="AA718" s="2" t="s">
        <v>46</v>
      </c>
      <c r="AB718" s="2" t="s">
        <v>47</v>
      </c>
      <c r="AC718" s="2" t="s">
        <v>57</v>
      </c>
      <c r="AF718" s="2">
        <f t="shared" si="97"/>
        <v>0</v>
      </c>
      <c r="AG718" s="2">
        <v>3.7357999999999998</v>
      </c>
      <c r="AH718" s="2">
        <v>9</v>
      </c>
      <c r="AJ718" s="2">
        <f t="shared" si="98"/>
        <v>0</v>
      </c>
      <c r="AK718" s="2">
        <f t="shared" si="95"/>
        <v>21.056800000000003</v>
      </c>
      <c r="AL718" s="5">
        <f t="shared" si="96"/>
        <v>0.58491111111111116</v>
      </c>
    </row>
    <row r="719" spans="1:38" x14ac:dyDescent="0.2">
      <c r="A719" s="2">
        <v>2025</v>
      </c>
      <c r="B719" s="2">
        <v>3</v>
      </c>
      <c r="D719" s="2" t="s">
        <v>1113</v>
      </c>
      <c r="E719" s="2" t="s">
        <v>38</v>
      </c>
      <c r="F719" s="2" t="s">
        <v>39</v>
      </c>
      <c r="G719" s="2">
        <v>210420588</v>
      </c>
      <c r="H719" s="2" t="s">
        <v>40</v>
      </c>
      <c r="I719" s="2" t="s">
        <v>1114</v>
      </c>
      <c r="J719" s="2" t="s">
        <v>1115</v>
      </c>
      <c r="K719" s="2">
        <v>914550474</v>
      </c>
      <c r="L719" s="2" t="s">
        <v>99</v>
      </c>
      <c r="M719" s="2" t="s">
        <v>40</v>
      </c>
      <c r="O719" s="2" t="s">
        <v>1116</v>
      </c>
      <c r="P719" s="2" t="s">
        <v>187</v>
      </c>
      <c r="Q719" s="2" t="s">
        <v>188</v>
      </c>
      <c r="R719" s="2" t="s">
        <v>189</v>
      </c>
      <c r="S719" s="2">
        <v>2</v>
      </c>
      <c r="T719" s="2">
        <v>50</v>
      </c>
      <c r="U719" s="2">
        <v>11.5</v>
      </c>
      <c r="V719" s="2">
        <v>61.5</v>
      </c>
      <c r="W719" s="2">
        <f>T719*40%</f>
        <v>20</v>
      </c>
      <c r="X719" s="5">
        <f t="shared" si="94"/>
        <v>0.6</v>
      </c>
      <c r="Z719" s="2" t="s">
        <v>117</v>
      </c>
      <c r="AA719" s="2" t="s">
        <v>190</v>
      </c>
      <c r="AB719" s="2" t="s">
        <v>189</v>
      </c>
      <c r="AC719" s="2" t="s">
        <v>40</v>
      </c>
      <c r="AF719" s="2">
        <f t="shared" si="97"/>
        <v>0</v>
      </c>
      <c r="AJ719" s="2">
        <f t="shared" si="98"/>
        <v>0</v>
      </c>
      <c r="AK719" s="2">
        <f t="shared" si="95"/>
        <v>30</v>
      </c>
      <c r="AL719" s="5">
        <f t="shared" si="96"/>
        <v>0.6</v>
      </c>
    </row>
    <row r="720" spans="1:38" x14ac:dyDescent="0.2">
      <c r="A720" s="2">
        <v>2025</v>
      </c>
      <c r="B720" s="2">
        <v>3</v>
      </c>
      <c r="D720" s="2" t="s">
        <v>1113</v>
      </c>
      <c r="E720" s="2" t="s">
        <v>38</v>
      </c>
      <c r="F720" s="2" t="s">
        <v>39</v>
      </c>
      <c r="G720" s="2">
        <v>210420588</v>
      </c>
      <c r="H720" s="2" t="s">
        <v>40</v>
      </c>
      <c r="I720" s="2" t="s">
        <v>1114</v>
      </c>
      <c r="J720" s="2" t="s">
        <v>1115</v>
      </c>
      <c r="K720" s="2">
        <v>914550474</v>
      </c>
      <c r="L720" s="2" t="s">
        <v>99</v>
      </c>
      <c r="M720" s="2" t="s">
        <v>40</v>
      </c>
      <c r="O720" s="2" t="s">
        <v>1116</v>
      </c>
      <c r="P720" s="2" t="s">
        <v>187</v>
      </c>
      <c r="Q720" s="2" t="s">
        <v>191</v>
      </c>
      <c r="R720" s="2" t="s">
        <v>190</v>
      </c>
      <c r="S720" s="2">
        <v>3</v>
      </c>
      <c r="T720" s="2">
        <v>100</v>
      </c>
      <c r="U720" s="2">
        <v>23</v>
      </c>
      <c r="V720" s="2">
        <v>123</v>
      </c>
      <c r="W720" s="2">
        <f>T720*50%</f>
        <v>50</v>
      </c>
      <c r="X720" s="5">
        <f t="shared" si="94"/>
        <v>0.5</v>
      </c>
      <c r="Z720" s="2" t="s">
        <v>117</v>
      </c>
      <c r="AA720" s="2" t="s">
        <v>190</v>
      </c>
      <c r="AB720" s="2" t="s">
        <v>190</v>
      </c>
      <c r="AC720" s="2" t="s">
        <v>40</v>
      </c>
      <c r="AF720" s="2">
        <f t="shared" si="97"/>
        <v>0</v>
      </c>
      <c r="AJ720" s="2">
        <f t="shared" si="98"/>
        <v>0</v>
      </c>
      <c r="AK720" s="2">
        <f t="shared" si="95"/>
        <v>50</v>
      </c>
      <c r="AL720" s="5">
        <f t="shared" si="96"/>
        <v>0.5</v>
      </c>
    </row>
    <row r="721" spans="1:38" x14ac:dyDescent="0.2">
      <c r="A721" s="2">
        <v>2025</v>
      </c>
      <c r="B721" s="2">
        <v>3</v>
      </c>
      <c r="D721" s="2" t="s">
        <v>1118</v>
      </c>
      <c r="P721" s="2" t="s">
        <v>43</v>
      </c>
      <c r="Q721" s="2" t="s">
        <v>164</v>
      </c>
      <c r="R721" s="2" t="s">
        <v>165</v>
      </c>
      <c r="S721" s="2">
        <v>1</v>
      </c>
      <c r="T721" s="2">
        <v>15</v>
      </c>
      <c r="U721" s="2">
        <v>3.45</v>
      </c>
      <c r="V721" s="2">
        <v>18.45</v>
      </c>
      <c r="W721" s="2">
        <f>7.9612*S721</f>
        <v>7.9611999999999998</v>
      </c>
      <c r="X721" s="5">
        <f t="shared" si="94"/>
        <v>0.46925333333333336</v>
      </c>
      <c r="Z721" s="2" t="s">
        <v>3227</v>
      </c>
      <c r="AA721" s="2" t="s">
        <v>46</v>
      </c>
      <c r="AB721" s="2" t="s">
        <v>67</v>
      </c>
      <c r="AC721" s="2" t="s">
        <v>57</v>
      </c>
      <c r="AF721" s="2">
        <f t="shared" si="97"/>
        <v>0</v>
      </c>
      <c r="AG721" s="2">
        <v>7.9611999999999998</v>
      </c>
      <c r="AH721" s="2">
        <v>14.4</v>
      </c>
      <c r="AJ721" s="2">
        <f t="shared" si="98"/>
        <v>0</v>
      </c>
      <c r="AK721" s="2">
        <f t="shared" si="95"/>
        <v>7.0388000000000002</v>
      </c>
      <c r="AL721" s="5">
        <f t="shared" si="96"/>
        <v>0.46925333333333336</v>
      </c>
    </row>
    <row r="722" spans="1:38" x14ac:dyDescent="0.2">
      <c r="A722" s="2">
        <v>2025</v>
      </c>
      <c r="B722" s="2">
        <v>3</v>
      </c>
      <c r="D722" s="2" t="s">
        <v>1119</v>
      </c>
      <c r="E722" s="2" t="s">
        <v>108</v>
      </c>
      <c r="F722" s="2" t="s">
        <v>477</v>
      </c>
      <c r="L722" s="2" t="s">
        <v>99</v>
      </c>
      <c r="M722" s="2" t="s">
        <v>40</v>
      </c>
      <c r="P722" s="2" t="s">
        <v>187</v>
      </c>
      <c r="Q722" s="2" t="s">
        <v>188</v>
      </c>
      <c r="R722" s="2" t="s">
        <v>189</v>
      </c>
      <c r="S722" s="2">
        <v>1</v>
      </c>
      <c r="T722" s="2">
        <v>50</v>
      </c>
      <c r="U722" s="2">
        <v>11.5</v>
      </c>
      <c r="V722" s="2">
        <v>61.5</v>
      </c>
      <c r="W722" s="2">
        <f>T722*40%</f>
        <v>20</v>
      </c>
      <c r="X722" s="5">
        <f t="shared" ref="X722:X753" si="99">(T722-W722)/T722</f>
        <v>0.6</v>
      </c>
      <c r="Z722" s="2" t="s">
        <v>117</v>
      </c>
      <c r="AA722" s="2" t="s">
        <v>190</v>
      </c>
      <c r="AB722" s="2" t="s">
        <v>189</v>
      </c>
      <c r="AC722" s="2" t="s">
        <v>40</v>
      </c>
      <c r="AF722" s="2">
        <f t="shared" si="97"/>
        <v>0</v>
      </c>
      <c r="AJ722" s="2">
        <f t="shared" si="98"/>
        <v>0</v>
      </c>
      <c r="AK722" s="2">
        <f t="shared" si="95"/>
        <v>30</v>
      </c>
      <c r="AL722" s="5">
        <f t="shared" si="96"/>
        <v>0.6</v>
      </c>
    </row>
    <row r="723" spans="1:38" x14ac:dyDescent="0.2">
      <c r="A723" s="2">
        <v>2025</v>
      </c>
      <c r="B723" s="2">
        <v>3</v>
      </c>
      <c r="D723" s="2" t="s">
        <v>1119</v>
      </c>
      <c r="E723" s="2" t="s">
        <v>108</v>
      </c>
      <c r="F723" s="2" t="s">
        <v>477</v>
      </c>
      <c r="L723" s="2" t="s">
        <v>99</v>
      </c>
      <c r="M723" s="2" t="s">
        <v>40</v>
      </c>
      <c r="P723" s="2" t="s">
        <v>187</v>
      </c>
      <c r="Q723" s="2" t="s">
        <v>191</v>
      </c>
      <c r="R723" s="2" t="s">
        <v>190</v>
      </c>
      <c r="S723" s="2">
        <v>1</v>
      </c>
      <c r="T723" s="2">
        <v>50</v>
      </c>
      <c r="U723" s="2">
        <v>11.5</v>
      </c>
      <c r="V723" s="2">
        <v>61.5</v>
      </c>
      <c r="W723" s="2">
        <f>T723*50%</f>
        <v>25</v>
      </c>
      <c r="X723" s="5">
        <f t="shared" si="99"/>
        <v>0.5</v>
      </c>
      <c r="Z723" s="2" t="s">
        <v>117</v>
      </c>
      <c r="AA723" s="2" t="s">
        <v>190</v>
      </c>
      <c r="AB723" s="2" t="s">
        <v>190</v>
      </c>
      <c r="AC723" s="2" t="s">
        <v>40</v>
      </c>
      <c r="AF723" s="2">
        <f t="shared" si="97"/>
        <v>0</v>
      </c>
      <c r="AJ723" s="2">
        <f t="shared" si="98"/>
        <v>0</v>
      </c>
      <c r="AK723" s="2">
        <f t="shared" si="95"/>
        <v>25</v>
      </c>
      <c r="AL723" s="5">
        <f t="shared" si="96"/>
        <v>0.5</v>
      </c>
    </row>
    <row r="724" spans="1:38" x14ac:dyDescent="0.2">
      <c r="A724" s="2">
        <v>2025</v>
      </c>
      <c r="B724" s="2">
        <v>3</v>
      </c>
      <c r="D724" s="2" t="s">
        <v>1119</v>
      </c>
      <c r="E724" s="2" t="s">
        <v>108</v>
      </c>
      <c r="F724" s="2" t="s">
        <v>477</v>
      </c>
      <c r="L724" s="2" t="s">
        <v>99</v>
      </c>
      <c r="P724" s="2" t="s">
        <v>40</v>
      </c>
      <c r="Q724" s="2" t="s">
        <v>363</v>
      </c>
      <c r="R724" s="2" t="s">
        <v>364</v>
      </c>
      <c r="S724" s="2">
        <v>1</v>
      </c>
      <c r="T724" s="2">
        <v>122.56</v>
      </c>
      <c r="U724" s="2">
        <v>28.188800000000001</v>
      </c>
      <c r="V724" s="2">
        <v>150.74879999999999</v>
      </c>
      <c r="X724" s="5">
        <f t="shared" si="99"/>
        <v>1</v>
      </c>
      <c r="Z724" s="2" t="s">
        <v>119</v>
      </c>
      <c r="AA724" s="2" t="s">
        <v>3380</v>
      </c>
      <c r="AF724" s="2">
        <f t="shared" si="97"/>
        <v>0</v>
      </c>
      <c r="AJ724" s="2">
        <f t="shared" si="98"/>
        <v>0</v>
      </c>
      <c r="AK724" s="2">
        <f t="shared" si="95"/>
        <v>122.56</v>
      </c>
      <c r="AL724" s="5">
        <f t="shared" si="96"/>
        <v>1</v>
      </c>
    </row>
    <row r="725" spans="1:38" x14ac:dyDescent="0.2">
      <c r="A725" s="2">
        <v>2025</v>
      </c>
      <c r="B725" s="2">
        <v>3</v>
      </c>
      <c r="D725" s="2" t="s">
        <v>633</v>
      </c>
      <c r="E725" s="2" t="s">
        <v>183</v>
      </c>
      <c r="F725" s="2" t="s">
        <v>366</v>
      </c>
      <c r="H725" s="2" t="s">
        <v>290</v>
      </c>
      <c r="L725" s="2" t="s">
        <v>339</v>
      </c>
      <c r="M725" s="2" t="s">
        <v>80</v>
      </c>
      <c r="P725" s="2" t="s">
        <v>72</v>
      </c>
      <c r="Q725" s="2" t="s">
        <v>73</v>
      </c>
      <c r="R725" s="2" t="s">
        <v>74</v>
      </c>
      <c r="S725" s="2">
        <v>1</v>
      </c>
      <c r="T725" s="2">
        <v>210</v>
      </c>
      <c r="U725" s="2">
        <v>48.3</v>
      </c>
      <c r="V725" s="2">
        <v>258.3</v>
      </c>
      <c r="W725" s="2">
        <v>117.453</v>
      </c>
      <c r="X725" s="5">
        <f t="shared" si="99"/>
        <v>0.44069999999999998</v>
      </c>
      <c r="Z725" s="2" t="s">
        <v>3227</v>
      </c>
      <c r="AA725" s="2" t="s">
        <v>75</v>
      </c>
      <c r="AB725" s="2" t="s">
        <v>76</v>
      </c>
      <c r="AC725" s="2" t="s">
        <v>77</v>
      </c>
      <c r="AF725" s="2">
        <f t="shared" si="97"/>
        <v>0</v>
      </c>
      <c r="AG725" s="2">
        <v>117.453</v>
      </c>
      <c r="AH725" s="2">
        <v>220</v>
      </c>
      <c r="AJ725" s="2">
        <f t="shared" si="98"/>
        <v>0</v>
      </c>
      <c r="AK725" s="2">
        <f t="shared" si="95"/>
        <v>92.546999999999997</v>
      </c>
      <c r="AL725" s="5">
        <f t="shared" si="96"/>
        <v>0.44069999999999998</v>
      </c>
    </row>
    <row r="726" spans="1:38" x14ac:dyDescent="0.2">
      <c r="A726" s="2">
        <v>2025</v>
      </c>
      <c r="B726" s="2">
        <v>3</v>
      </c>
      <c r="D726" s="2" t="s">
        <v>633</v>
      </c>
      <c r="E726" s="2" t="s">
        <v>183</v>
      </c>
      <c r="F726" s="2" t="s">
        <v>366</v>
      </c>
      <c r="H726" s="2" t="s">
        <v>290</v>
      </c>
      <c r="L726" s="2" t="s">
        <v>339</v>
      </c>
      <c r="M726" s="2" t="s">
        <v>80</v>
      </c>
      <c r="P726" s="2" t="s">
        <v>93</v>
      </c>
      <c r="Q726" s="2" t="s">
        <v>94</v>
      </c>
      <c r="R726" s="2" t="s">
        <v>95</v>
      </c>
      <c r="S726" s="2">
        <v>1</v>
      </c>
      <c r="T726" s="2">
        <v>1.1399999999999999</v>
      </c>
      <c r="U726" s="2">
        <v>0.26219999999999999</v>
      </c>
      <c r="V726" s="2">
        <v>1.4021999999999999</v>
      </c>
      <c r="W726" s="2">
        <v>1.1399999999999999</v>
      </c>
      <c r="X726" s="5">
        <f t="shared" si="99"/>
        <v>0</v>
      </c>
      <c r="Z726" s="2" t="s">
        <v>3227</v>
      </c>
      <c r="AA726" s="2" t="s">
        <v>96</v>
      </c>
      <c r="AB726" s="2" t="s">
        <v>76</v>
      </c>
      <c r="AC726" s="2" t="s">
        <v>93</v>
      </c>
      <c r="AF726" s="2">
        <f t="shared" si="97"/>
        <v>0</v>
      </c>
      <c r="AJ726" s="2">
        <f t="shared" si="98"/>
        <v>0</v>
      </c>
      <c r="AK726" s="2">
        <f t="shared" si="95"/>
        <v>0</v>
      </c>
      <c r="AL726" s="5">
        <f t="shared" si="96"/>
        <v>0</v>
      </c>
    </row>
    <row r="727" spans="1:38" x14ac:dyDescent="0.2">
      <c r="A727" s="2">
        <v>2025</v>
      </c>
      <c r="B727" s="2">
        <v>3</v>
      </c>
      <c r="C727" s="2" t="s">
        <v>3454</v>
      </c>
      <c r="D727" s="2" t="s">
        <v>1120</v>
      </c>
      <c r="E727" s="2" t="s">
        <v>108</v>
      </c>
      <c r="F727" s="2" t="s">
        <v>39</v>
      </c>
      <c r="G727" s="2">
        <v>504923765</v>
      </c>
      <c r="H727" s="2" t="s">
        <v>109</v>
      </c>
      <c r="I727" s="2" t="s">
        <v>3245</v>
      </c>
      <c r="J727" s="2" t="s">
        <v>3246</v>
      </c>
      <c r="K727" s="2">
        <v>96179412</v>
      </c>
      <c r="L727" s="2" t="s">
        <v>461</v>
      </c>
      <c r="M727" s="2" t="s">
        <v>40</v>
      </c>
      <c r="O727" s="2" t="s">
        <v>3248</v>
      </c>
      <c r="P727" s="2" t="s">
        <v>187</v>
      </c>
      <c r="Q727" s="2" t="s">
        <v>188</v>
      </c>
      <c r="R727" s="2" t="s">
        <v>189</v>
      </c>
      <c r="S727" s="2">
        <v>1</v>
      </c>
      <c r="T727" s="2">
        <v>197</v>
      </c>
      <c r="U727" s="2">
        <v>45.31</v>
      </c>
      <c r="V727" s="2">
        <v>242.31</v>
      </c>
      <c r="W727" s="2">
        <f>T727*40%</f>
        <v>78.800000000000011</v>
      </c>
      <c r="X727" s="5">
        <f t="shared" si="99"/>
        <v>0.6</v>
      </c>
      <c r="Z727" s="2" t="s">
        <v>117</v>
      </c>
      <c r="AA727" s="2" t="s">
        <v>190</v>
      </c>
      <c r="AB727" s="2" t="s">
        <v>189</v>
      </c>
      <c r="AC727" s="2" t="s">
        <v>40</v>
      </c>
      <c r="AF727" s="2">
        <f t="shared" si="97"/>
        <v>0</v>
      </c>
      <c r="AJ727" s="2">
        <f t="shared" si="98"/>
        <v>0</v>
      </c>
      <c r="AK727" s="2">
        <f t="shared" si="95"/>
        <v>118.19999999999999</v>
      </c>
      <c r="AL727" s="5">
        <f t="shared" si="96"/>
        <v>0.6</v>
      </c>
    </row>
    <row r="728" spans="1:38" x14ac:dyDescent="0.2">
      <c r="A728" s="2">
        <v>2025</v>
      </c>
      <c r="B728" s="2">
        <v>3</v>
      </c>
      <c r="C728" s="2" t="s">
        <v>3454</v>
      </c>
      <c r="D728" s="2" t="s">
        <v>1120</v>
      </c>
      <c r="E728" s="2" t="s">
        <v>108</v>
      </c>
      <c r="F728" s="2" t="s">
        <v>39</v>
      </c>
      <c r="G728" s="2">
        <v>504923765</v>
      </c>
      <c r="H728" s="2" t="s">
        <v>109</v>
      </c>
      <c r="I728" s="2" t="s">
        <v>3245</v>
      </c>
      <c r="J728" s="2" t="s">
        <v>3246</v>
      </c>
      <c r="K728" s="2">
        <v>96179412</v>
      </c>
      <c r="L728" s="2" t="s">
        <v>461</v>
      </c>
      <c r="M728" s="2" t="s">
        <v>40</v>
      </c>
      <c r="O728" s="2" t="s">
        <v>3248</v>
      </c>
      <c r="P728" s="2" t="s">
        <v>187</v>
      </c>
      <c r="Q728" s="2" t="s">
        <v>191</v>
      </c>
      <c r="R728" s="2" t="s">
        <v>190</v>
      </c>
      <c r="S728" s="2">
        <v>0.75</v>
      </c>
      <c r="T728" s="2">
        <v>37.5</v>
      </c>
      <c r="U728" s="2">
        <v>8.625</v>
      </c>
      <c r="V728" s="2">
        <v>46.125</v>
      </c>
      <c r="W728" s="2">
        <f>T728*50%</f>
        <v>18.75</v>
      </c>
      <c r="X728" s="5">
        <f t="shared" si="99"/>
        <v>0.5</v>
      </c>
      <c r="Z728" s="2" t="s">
        <v>117</v>
      </c>
      <c r="AA728" s="2" t="s">
        <v>190</v>
      </c>
      <c r="AB728" s="2" t="s">
        <v>190</v>
      </c>
      <c r="AC728" s="2" t="s">
        <v>40</v>
      </c>
      <c r="AF728" s="2">
        <f t="shared" si="97"/>
        <v>0</v>
      </c>
      <c r="AJ728" s="2">
        <f t="shared" si="98"/>
        <v>0</v>
      </c>
      <c r="AK728" s="2">
        <f t="shared" si="95"/>
        <v>18.75</v>
      </c>
      <c r="AL728" s="5">
        <f t="shared" si="96"/>
        <v>0.5</v>
      </c>
    </row>
    <row r="729" spans="1:38" x14ac:dyDescent="0.2">
      <c r="A729" s="2">
        <v>2025</v>
      </c>
      <c r="B729" s="2">
        <v>3</v>
      </c>
      <c r="D729" s="2" t="s">
        <v>917</v>
      </c>
      <c r="E729" s="2" t="s">
        <v>752</v>
      </c>
      <c r="F729" s="2" t="s">
        <v>918</v>
      </c>
      <c r="G729" s="2">
        <v>505973960</v>
      </c>
      <c r="H729" s="2" t="s">
        <v>40</v>
      </c>
      <c r="I729" s="2" t="s">
        <v>156</v>
      </c>
      <c r="J729" s="2" t="s">
        <v>919</v>
      </c>
      <c r="L729" s="2" t="s">
        <v>99</v>
      </c>
      <c r="M729" s="2" t="s">
        <v>80</v>
      </c>
      <c r="O729" s="2" t="s">
        <v>1121</v>
      </c>
      <c r="P729" s="2" t="s">
        <v>43</v>
      </c>
      <c r="Q729" s="2" t="s">
        <v>964</v>
      </c>
      <c r="R729" s="2" t="s">
        <v>965</v>
      </c>
      <c r="S729" s="2">
        <v>1</v>
      </c>
      <c r="T729" s="2">
        <v>3</v>
      </c>
      <c r="U729" s="2">
        <v>0.69000000000000006</v>
      </c>
      <c r="V729" s="2">
        <v>3.69</v>
      </c>
      <c r="W729" s="2">
        <v>1.77</v>
      </c>
      <c r="X729" s="5">
        <f t="shared" si="99"/>
        <v>0.41</v>
      </c>
      <c r="Z729" s="2" t="s">
        <v>3227</v>
      </c>
      <c r="AA729" s="2" t="s">
        <v>46</v>
      </c>
      <c r="AB729" s="2" t="s">
        <v>60</v>
      </c>
      <c r="AC729" s="2" t="s">
        <v>57</v>
      </c>
      <c r="AF729" s="2">
        <f t="shared" si="97"/>
        <v>0</v>
      </c>
      <c r="AJ729" s="2">
        <f t="shared" si="98"/>
        <v>0</v>
      </c>
      <c r="AK729" s="2">
        <f t="shared" si="95"/>
        <v>1.23</v>
      </c>
      <c r="AL729" s="5">
        <f t="shared" si="96"/>
        <v>0.41</v>
      </c>
    </row>
    <row r="730" spans="1:38" x14ac:dyDescent="0.2">
      <c r="A730" s="2">
        <v>2025</v>
      </c>
      <c r="B730" s="2">
        <v>3</v>
      </c>
      <c r="D730" s="2" t="s">
        <v>917</v>
      </c>
      <c r="E730" s="2" t="s">
        <v>752</v>
      </c>
      <c r="F730" s="2" t="s">
        <v>918</v>
      </c>
      <c r="G730" s="2">
        <v>505973960</v>
      </c>
      <c r="H730" s="2" t="s">
        <v>40</v>
      </c>
      <c r="I730" s="2" t="s">
        <v>156</v>
      </c>
      <c r="J730" s="2" t="s">
        <v>919</v>
      </c>
      <c r="L730" s="2" t="s">
        <v>99</v>
      </c>
      <c r="M730" s="2" t="s">
        <v>80</v>
      </c>
      <c r="O730" s="2" t="s">
        <v>1121</v>
      </c>
      <c r="P730" s="2" t="s">
        <v>43</v>
      </c>
      <c r="Q730" s="2" t="s">
        <v>967</v>
      </c>
      <c r="R730" s="2" t="s">
        <v>968</v>
      </c>
      <c r="S730" s="2">
        <v>1</v>
      </c>
      <c r="T730" s="2">
        <v>27</v>
      </c>
      <c r="U730" s="2">
        <v>6.21</v>
      </c>
      <c r="V730" s="2">
        <v>33.21</v>
      </c>
      <c r="W730" s="2">
        <v>18.2</v>
      </c>
      <c r="X730" s="5">
        <f t="shared" si="99"/>
        <v>0.32592592592592595</v>
      </c>
      <c r="Z730" s="2" t="s">
        <v>3227</v>
      </c>
      <c r="AA730" s="2" t="s">
        <v>46</v>
      </c>
      <c r="AB730" s="2" t="s">
        <v>60</v>
      </c>
      <c r="AC730" s="2" t="s">
        <v>57</v>
      </c>
      <c r="AF730" s="2">
        <f t="shared" si="97"/>
        <v>0</v>
      </c>
      <c r="AJ730" s="2">
        <f t="shared" si="98"/>
        <v>0</v>
      </c>
      <c r="AK730" s="2">
        <f t="shared" si="95"/>
        <v>8.8000000000000007</v>
      </c>
      <c r="AL730" s="5">
        <f t="shared" si="96"/>
        <v>0.32592592592592595</v>
      </c>
    </row>
    <row r="731" spans="1:38" x14ac:dyDescent="0.2">
      <c r="A731" s="2">
        <v>2025</v>
      </c>
      <c r="B731" s="2">
        <v>3</v>
      </c>
      <c r="C731" s="2" t="s">
        <v>3457</v>
      </c>
      <c r="D731" s="2" t="s">
        <v>655</v>
      </c>
      <c r="E731" s="2" t="s">
        <v>38</v>
      </c>
      <c r="G731" s="2">
        <v>509116590</v>
      </c>
      <c r="H731" s="2" t="s">
        <v>290</v>
      </c>
      <c r="I731" s="2" t="s">
        <v>656</v>
      </c>
      <c r="J731" s="2" t="s">
        <v>657</v>
      </c>
      <c r="L731" s="2" t="s">
        <v>293</v>
      </c>
      <c r="M731" s="2" t="s">
        <v>80</v>
      </c>
      <c r="P731" s="2" t="s">
        <v>72</v>
      </c>
      <c r="Q731" s="2" t="s">
        <v>1122</v>
      </c>
      <c r="R731" s="2" t="s">
        <v>79</v>
      </c>
      <c r="S731" s="2">
        <v>1</v>
      </c>
      <c r="T731" s="2">
        <v>181.24</v>
      </c>
      <c r="U731" s="2">
        <v>41.685200000000002</v>
      </c>
      <c r="V731" s="2">
        <v>222.92519999999999</v>
      </c>
      <c r="W731" s="2">
        <v>109.74</v>
      </c>
      <c r="X731" s="5">
        <f t="shared" si="99"/>
        <v>0.39450452438755246</v>
      </c>
      <c r="Z731" s="2" t="s">
        <v>3227</v>
      </c>
      <c r="AA731" s="2" t="s">
        <v>75</v>
      </c>
      <c r="AB731" s="2" t="s">
        <v>76</v>
      </c>
      <c r="AC731" s="2" t="s">
        <v>77</v>
      </c>
      <c r="AF731" s="2">
        <f t="shared" si="97"/>
        <v>0</v>
      </c>
      <c r="AJ731" s="2">
        <f t="shared" si="98"/>
        <v>0</v>
      </c>
      <c r="AK731" s="2">
        <f t="shared" si="95"/>
        <v>71.500000000000014</v>
      </c>
      <c r="AL731" s="5">
        <f t="shared" si="96"/>
        <v>0.39450452438755246</v>
      </c>
    </row>
    <row r="732" spans="1:38" x14ac:dyDescent="0.2">
      <c r="A732" s="2">
        <v>2025</v>
      </c>
      <c r="B732" s="2">
        <v>3</v>
      </c>
      <c r="C732" s="2" t="s">
        <v>3457</v>
      </c>
      <c r="D732" s="2" t="s">
        <v>655</v>
      </c>
      <c r="E732" s="2" t="s">
        <v>38</v>
      </c>
      <c r="G732" s="2">
        <v>509116590</v>
      </c>
      <c r="H732" s="2" t="s">
        <v>290</v>
      </c>
      <c r="I732" s="2" t="s">
        <v>656</v>
      </c>
      <c r="J732" s="2" t="s">
        <v>657</v>
      </c>
      <c r="L732" s="2" t="s">
        <v>293</v>
      </c>
      <c r="M732" s="2" t="s">
        <v>80</v>
      </c>
      <c r="P732" s="2" t="s">
        <v>93</v>
      </c>
      <c r="Q732" s="2" t="s">
        <v>94</v>
      </c>
      <c r="R732" s="2" t="s">
        <v>95</v>
      </c>
      <c r="S732" s="2">
        <v>1</v>
      </c>
      <c r="T732" s="2">
        <v>1.1399999999999999</v>
      </c>
      <c r="U732" s="2">
        <v>0.26219999999999999</v>
      </c>
      <c r="V732" s="2">
        <v>1.4021999999999999</v>
      </c>
      <c r="W732" s="2">
        <v>1.1399999999999999</v>
      </c>
      <c r="X732" s="5">
        <f t="shared" si="99"/>
        <v>0</v>
      </c>
      <c r="Z732" s="2" t="s">
        <v>3227</v>
      </c>
      <c r="AA732" s="2" t="s">
        <v>96</v>
      </c>
      <c r="AB732" s="2" t="s">
        <v>76</v>
      </c>
      <c r="AC732" s="2" t="s">
        <v>93</v>
      </c>
      <c r="AF732" s="2">
        <f t="shared" si="97"/>
        <v>0</v>
      </c>
      <c r="AJ732" s="2">
        <f t="shared" si="98"/>
        <v>0</v>
      </c>
      <c r="AK732" s="2">
        <f t="shared" si="95"/>
        <v>0</v>
      </c>
      <c r="AL732" s="5">
        <f t="shared" ref="AL732:AL763" si="100">(T732-W732)/T732</f>
        <v>0</v>
      </c>
    </row>
    <row r="733" spans="1:38" x14ac:dyDescent="0.2">
      <c r="A733" s="2">
        <v>2025</v>
      </c>
      <c r="B733" s="2">
        <v>3</v>
      </c>
      <c r="D733" s="2" t="s">
        <v>1123</v>
      </c>
      <c r="M733" s="2" t="s">
        <v>40</v>
      </c>
      <c r="P733" s="2" t="s">
        <v>187</v>
      </c>
      <c r="Q733" s="2" t="s">
        <v>188</v>
      </c>
      <c r="R733" s="2" t="s">
        <v>189</v>
      </c>
      <c r="S733" s="2">
        <v>1</v>
      </c>
      <c r="T733" s="2">
        <v>67</v>
      </c>
      <c r="U733" s="2">
        <v>15.41</v>
      </c>
      <c r="V733" s="2">
        <v>82.41</v>
      </c>
      <c r="W733" s="2">
        <f>T733*40%</f>
        <v>26.8</v>
      </c>
      <c r="X733" s="5">
        <f t="shared" si="99"/>
        <v>0.60000000000000009</v>
      </c>
      <c r="Z733" s="2" t="s">
        <v>117</v>
      </c>
      <c r="AA733" s="2" t="s">
        <v>190</v>
      </c>
      <c r="AB733" s="2" t="s">
        <v>189</v>
      </c>
      <c r="AC733" s="2" t="s">
        <v>40</v>
      </c>
      <c r="AF733" s="2">
        <f t="shared" si="97"/>
        <v>0</v>
      </c>
      <c r="AJ733" s="2">
        <f t="shared" si="98"/>
        <v>0</v>
      </c>
      <c r="AK733" s="2">
        <f t="shared" si="95"/>
        <v>40.200000000000003</v>
      </c>
      <c r="AL733" s="5">
        <f t="shared" si="100"/>
        <v>0.60000000000000009</v>
      </c>
    </row>
    <row r="734" spans="1:38" x14ac:dyDescent="0.2">
      <c r="A734" s="2">
        <v>2025</v>
      </c>
      <c r="B734" s="2">
        <v>3</v>
      </c>
      <c r="D734" s="2" t="s">
        <v>1123</v>
      </c>
      <c r="M734" s="2" t="s">
        <v>40</v>
      </c>
      <c r="P734" s="2" t="s">
        <v>187</v>
      </c>
      <c r="Q734" s="2" t="s">
        <v>191</v>
      </c>
      <c r="R734" s="2" t="s">
        <v>190</v>
      </c>
      <c r="S734" s="2">
        <v>1</v>
      </c>
      <c r="T734" s="2">
        <v>50</v>
      </c>
      <c r="U734" s="2">
        <v>11.5</v>
      </c>
      <c r="V734" s="2">
        <v>61.5</v>
      </c>
      <c r="W734" s="2">
        <f>T734*50%</f>
        <v>25</v>
      </c>
      <c r="X734" s="5">
        <f t="shared" si="99"/>
        <v>0.5</v>
      </c>
      <c r="Z734" s="2" t="s">
        <v>117</v>
      </c>
      <c r="AA734" s="2" t="s">
        <v>190</v>
      </c>
      <c r="AB734" s="2" t="s">
        <v>190</v>
      </c>
      <c r="AC734" s="2" t="s">
        <v>40</v>
      </c>
      <c r="AF734" s="2">
        <f t="shared" si="97"/>
        <v>0</v>
      </c>
      <c r="AJ734" s="2">
        <f t="shared" si="98"/>
        <v>0</v>
      </c>
      <c r="AK734" s="2">
        <f t="shared" si="95"/>
        <v>25</v>
      </c>
      <c r="AL734" s="5">
        <f t="shared" si="100"/>
        <v>0.5</v>
      </c>
    </row>
    <row r="735" spans="1:38" x14ac:dyDescent="0.2">
      <c r="A735" s="2">
        <v>2025</v>
      </c>
      <c r="B735" s="2">
        <v>3</v>
      </c>
      <c r="D735" s="2" t="s">
        <v>1124</v>
      </c>
      <c r="E735" s="2" t="s">
        <v>108</v>
      </c>
      <c r="F735" s="2" t="s">
        <v>39</v>
      </c>
      <c r="G735" s="2">
        <v>515742279</v>
      </c>
      <c r="H735" s="2" t="s">
        <v>41</v>
      </c>
      <c r="I735" s="2" t="s">
        <v>2294</v>
      </c>
      <c r="J735" s="2" t="s">
        <v>2295</v>
      </c>
      <c r="K735" s="2">
        <v>965790183</v>
      </c>
      <c r="L735" s="2" t="s">
        <v>177</v>
      </c>
      <c r="M735" s="2" t="s">
        <v>41</v>
      </c>
      <c r="O735" s="2" t="s">
        <v>3218</v>
      </c>
      <c r="P735" s="2" t="s">
        <v>282</v>
      </c>
      <c r="Q735" s="2" t="s">
        <v>434</v>
      </c>
      <c r="R735" s="2" t="s">
        <v>435</v>
      </c>
      <c r="S735" s="2">
        <v>1</v>
      </c>
      <c r="T735" s="2">
        <v>595</v>
      </c>
      <c r="U735" s="2">
        <v>136.85</v>
      </c>
      <c r="V735" s="2">
        <v>731.85</v>
      </c>
      <c r="W735" s="2">
        <v>417</v>
      </c>
      <c r="X735" s="5">
        <f t="shared" si="99"/>
        <v>0.29915966386554621</v>
      </c>
      <c r="Z735" s="2" t="s">
        <v>104</v>
      </c>
      <c r="AA735" s="2" t="s">
        <v>387</v>
      </c>
      <c r="AB735" s="2" t="s">
        <v>388</v>
      </c>
      <c r="AC735" s="2" t="s">
        <v>389</v>
      </c>
      <c r="AF735" s="2">
        <f t="shared" si="97"/>
        <v>0</v>
      </c>
      <c r="AJ735" s="2">
        <f t="shared" si="98"/>
        <v>0</v>
      </c>
      <c r="AK735" s="2">
        <f t="shared" si="95"/>
        <v>178</v>
      </c>
      <c r="AL735" s="5">
        <f t="shared" si="100"/>
        <v>0.29915966386554621</v>
      </c>
    </row>
    <row r="736" spans="1:38" x14ac:dyDescent="0.2">
      <c r="A736" s="2">
        <v>2025</v>
      </c>
      <c r="B736" s="2">
        <v>3</v>
      </c>
      <c r="D736" s="2" t="s">
        <v>1125</v>
      </c>
      <c r="E736" s="2" t="s">
        <v>38</v>
      </c>
      <c r="F736" s="2" t="s">
        <v>39</v>
      </c>
      <c r="G736" s="2">
        <v>501551298</v>
      </c>
      <c r="H736" s="2" t="s">
        <v>109</v>
      </c>
      <c r="I736" s="2" t="s">
        <v>1126</v>
      </c>
      <c r="J736" s="2" t="s">
        <v>1127</v>
      </c>
      <c r="L736" s="2" t="s">
        <v>461</v>
      </c>
      <c r="M736" s="2" t="s">
        <v>40</v>
      </c>
      <c r="O736" s="2" t="s">
        <v>1128</v>
      </c>
      <c r="P736" s="2" t="s">
        <v>114</v>
      </c>
      <c r="Q736" s="2" t="s">
        <v>1129</v>
      </c>
      <c r="R736" s="2" t="s">
        <v>1130</v>
      </c>
      <c r="S736" s="2">
        <v>2</v>
      </c>
      <c r="T736" s="2">
        <v>22.92</v>
      </c>
      <c r="U736" s="2">
        <v>5.2716000000000003</v>
      </c>
      <c r="V736" s="2">
        <v>28.191600000000001</v>
      </c>
      <c r="W736" s="2">
        <f>5.4834*S736</f>
        <v>10.966799999999999</v>
      </c>
      <c r="X736" s="5">
        <f t="shared" si="99"/>
        <v>0.52151832460732994</v>
      </c>
      <c r="Z736" s="2" t="s">
        <v>117</v>
      </c>
      <c r="AA736" s="2" t="s">
        <v>118</v>
      </c>
      <c r="AB736" s="2" t="s">
        <v>119</v>
      </c>
      <c r="AC736" s="2" t="s">
        <v>114</v>
      </c>
      <c r="AF736" s="2">
        <f t="shared" si="97"/>
        <v>0</v>
      </c>
      <c r="AG736" s="2">
        <v>5.4833999999999996</v>
      </c>
      <c r="AJ736" s="2">
        <f t="shared" si="98"/>
        <v>0</v>
      </c>
      <c r="AK736" s="2">
        <f t="shared" si="95"/>
        <v>11.953200000000002</v>
      </c>
      <c r="AL736" s="5">
        <f t="shared" si="100"/>
        <v>0.52151832460732994</v>
      </c>
    </row>
    <row r="737" spans="1:38" x14ac:dyDescent="0.2">
      <c r="A737" s="2">
        <v>2025</v>
      </c>
      <c r="B737" s="2">
        <v>3</v>
      </c>
      <c r="D737" s="2" t="s">
        <v>1125</v>
      </c>
      <c r="E737" s="2" t="s">
        <v>38</v>
      </c>
      <c r="F737" s="2" t="s">
        <v>39</v>
      </c>
      <c r="G737" s="2">
        <v>501551298</v>
      </c>
      <c r="H737" s="2" t="s">
        <v>109</v>
      </c>
      <c r="I737" s="2" t="s">
        <v>1126</v>
      </c>
      <c r="J737" s="2" t="s">
        <v>1127</v>
      </c>
      <c r="L737" s="2" t="s">
        <v>461</v>
      </c>
      <c r="M737" s="2" t="s">
        <v>40</v>
      </c>
      <c r="O737" s="2" t="s">
        <v>1128</v>
      </c>
      <c r="P737" s="2" t="s">
        <v>169</v>
      </c>
      <c r="Q737" s="2" t="s">
        <v>170</v>
      </c>
      <c r="R737" s="2" t="s">
        <v>170</v>
      </c>
      <c r="S737" s="2">
        <v>1</v>
      </c>
      <c r="T737" s="2">
        <v>5</v>
      </c>
      <c r="U737" s="2">
        <v>1.1499999999999999</v>
      </c>
      <c r="V737" s="2">
        <v>6.15</v>
      </c>
      <c r="W737" s="2">
        <v>6</v>
      </c>
      <c r="X737" s="5">
        <f t="shared" si="99"/>
        <v>-0.2</v>
      </c>
      <c r="Z737" s="2" t="s">
        <v>169</v>
      </c>
      <c r="AA737" s="2" t="s">
        <v>169</v>
      </c>
      <c r="AF737" s="2">
        <f t="shared" si="97"/>
        <v>0</v>
      </c>
      <c r="AJ737" s="2">
        <f t="shared" si="98"/>
        <v>0</v>
      </c>
      <c r="AK737" s="2">
        <f t="shared" si="95"/>
        <v>-1</v>
      </c>
      <c r="AL737" s="5">
        <f t="shared" si="100"/>
        <v>-0.2</v>
      </c>
    </row>
    <row r="738" spans="1:38" x14ac:dyDescent="0.2">
      <c r="A738" s="2">
        <v>2025</v>
      </c>
      <c r="B738" s="2">
        <v>3</v>
      </c>
      <c r="D738" s="2" t="s">
        <v>928</v>
      </c>
      <c r="E738" s="2" t="s">
        <v>38</v>
      </c>
      <c r="F738" s="2" t="s">
        <v>39</v>
      </c>
      <c r="G738" s="2" t="s">
        <v>929</v>
      </c>
      <c r="H738" s="2" t="s">
        <v>41</v>
      </c>
      <c r="I738" s="2" t="s">
        <v>626</v>
      </c>
      <c r="J738" s="2" t="s">
        <v>930</v>
      </c>
      <c r="L738" s="2" t="s">
        <v>626</v>
      </c>
      <c r="M738" s="2" t="s">
        <v>41</v>
      </c>
      <c r="P738" s="2" t="s">
        <v>282</v>
      </c>
      <c r="Q738" s="2" t="s">
        <v>528</v>
      </c>
      <c r="R738" s="2" t="s">
        <v>529</v>
      </c>
      <c r="S738" s="2">
        <v>1</v>
      </c>
      <c r="T738" s="2">
        <v>399</v>
      </c>
      <c r="V738" s="2">
        <f>T738</f>
        <v>399</v>
      </c>
      <c r="W738" s="2">
        <v>299.25</v>
      </c>
      <c r="X738" s="5">
        <f t="shared" si="99"/>
        <v>0.25</v>
      </c>
      <c r="Z738" s="2" t="s">
        <v>3227</v>
      </c>
      <c r="AA738" s="2" t="s">
        <v>71</v>
      </c>
      <c r="AB738" s="2" t="s">
        <v>119</v>
      </c>
      <c r="AC738" s="2" t="s">
        <v>119</v>
      </c>
      <c r="AF738" s="2">
        <f t="shared" si="97"/>
        <v>0</v>
      </c>
      <c r="AJ738" s="2">
        <f t="shared" si="98"/>
        <v>0</v>
      </c>
      <c r="AK738" s="2">
        <f t="shared" si="95"/>
        <v>99.75</v>
      </c>
      <c r="AL738" s="5">
        <f t="shared" si="100"/>
        <v>0.25</v>
      </c>
    </row>
    <row r="739" spans="1:38" x14ac:dyDescent="0.2">
      <c r="A739" s="2">
        <v>2025</v>
      </c>
      <c r="B739" s="2">
        <v>4</v>
      </c>
      <c r="D739" s="2" t="s">
        <v>37</v>
      </c>
      <c r="E739" s="2" t="s">
        <v>38</v>
      </c>
      <c r="F739" s="2" t="s">
        <v>39</v>
      </c>
      <c r="H739" s="2" t="s">
        <v>40</v>
      </c>
      <c r="P739" s="2" t="s">
        <v>282</v>
      </c>
      <c r="Q739" s="2" t="s">
        <v>1061</v>
      </c>
      <c r="R739" s="2" t="s">
        <v>1062</v>
      </c>
      <c r="S739" s="2">
        <v>1</v>
      </c>
      <c r="T739" s="2">
        <v>25.9</v>
      </c>
      <c r="U739" s="2">
        <f>T739*23%</f>
        <v>5.9569999999999999</v>
      </c>
      <c r="V739" s="2">
        <f>T739+U739</f>
        <v>31.856999999999999</v>
      </c>
      <c r="W739" s="2">
        <v>18.39</v>
      </c>
      <c r="X739" s="5">
        <f t="shared" si="99"/>
        <v>0.28996138996138993</v>
      </c>
      <c r="Z739" s="2" t="s">
        <v>3227</v>
      </c>
      <c r="AA739" s="2" t="s">
        <v>71</v>
      </c>
      <c r="AB739" s="2" t="s">
        <v>119</v>
      </c>
      <c r="AC739" s="2" t="s">
        <v>119</v>
      </c>
      <c r="AF739" s="2">
        <f t="shared" si="97"/>
        <v>0</v>
      </c>
      <c r="AJ739" s="2">
        <f t="shared" si="98"/>
        <v>0</v>
      </c>
      <c r="AK739" s="2">
        <f t="shared" si="95"/>
        <v>7.509999999999998</v>
      </c>
      <c r="AL739" s="5">
        <f t="shared" si="100"/>
        <v>0.28996138996138993</v>
      </c>
    </row>
    <row r="740" spans="1:38" x14ac:dyDescent="0.2">
      <c r="A740" s="2">
        <v>2025</v>
      </c>
      <c r="B740" s="2">
        <v>4</v>
      </c>
      <c r="D740" s="2" t="s">
        <v>37</v>
      </c>
      <c r="E740" s="2" t="s">
        <v>38</v>
      </c>
      <c r="F740" s="2" t="s">
        <v>39</v>
      </c>
      <c r="H740" s="2" t="s">
        <v>40</v>
      </c>
      <c r="P740" s="2" t="s">
        <v>282</v>
      </c>
      <c r="Q740" s="2" t="s">
        <v>399</v>
      </c>
      <c r="R740" s="2" t="s">
        <v>400</v>
      </c>
      <c r="S740" s="2">
        <v>2</v>
      </c>
      <c r="T740" s="2">
        <v>28.4</v>
      </c>
      <c r="U740" s="2">
        <v>6.532</v>
      </c>
      <c r="V740" s="2">
        <v>34.932000000000002</v>
      </c>
      <c r="W740" s="2">
        <f>17.4*S740</f>
        <v>34.799999999999997</v>
      </c>
      <c r="X740" s="5">
        <f t="shared" si="99"/>
        <v>-0.22535211267605629</v>
      </c>
      <c r="Z740" s="2" t="s">
        <v>3227</v>
      </c>
      <c r="AA740" s="2" t="s">
        <v>46</v>
      </c>
      <c r="AB740" s="2" t="s">
        <v>60</v>
      </c>
      <c r="AC740" s="2" t="s">
        <v>3332</v>
      </c>
      <c r="AF740" s="2">
        <f t="shared" si="97"/>
        <v>0</v>
      </c>
      <c r="AJ740" s="2">
        <f t="shared" si="98"/>
        <v>0</v>
      </c>
      <c r="AK740" s="2">
        <f t="shared" si="95"/>
        <v>-6.3999999999999986</v>
      </c>
      <c r="AL740" s="5">
        <f t="shared" si="100"/>
        <v>-0.22535211267605629</v>
      </c>
    </row>
    <row r="741" spans="1:38" x14ac:dyDescent="0.2">
      <c r="A741" s="2">
        <v>2025</v>
      </c>
      <c r="B741" s="2">
        <v>4</v>
      </c>
      <c r="D741" s="2" t="s">
        <v>37</v>
      </c>
      <c r="E741" s="2" t="s">
        <v>38</v>
      </c>
      <c r="F741" s="2" t="s">
        <v>39</v>
      </c>
      <c r="H741" s="2" t="s">
        <v>40</v>
      </c>
      <c r="M741" s="2" t="s">
        <v>80</v>
      </c>
      <c r="O741" s="2" t="s">
        <v>1131</v>
      </c>
      <c r="P741" s="2" t="s">
        <v>43</v>
      </c>
      <c r="Q741" s="2" t="s">
        <v>351</v>
      </c>
      <c r="R741" s="2" t="s">
        <v>352</v>
      </c>
      <c r="S741" s="2">
        <v>3</v>
      </c>
      <c r="T741" s="2">
        <v>42</v>
      </c>
      <c r="U741" s="2">
        <v>9.66</v>
      </c>
      <c r="V741" s="2">
        <v>51.66</v>
      </c>
      <c r="W741" s="2">
        <f>10.67*S741</f>
        <v>32.01</v>
      </c>
      <c r="X741" s="5">
        <f t="shared" si="99"/>
        <v>0.23785714285714291</v>
      </c>
      <c r="Z741" s="2" t="s">
        <v>3227</v>
      </c>
      <c r="AA741" s="2" t="s">
        <v>46</v>
      </c>
      <c r="AB741" s="2" t="s">
        <v>47</v>
      </c>
      <c r="AC741" s="2" t="s">
        <v>57</v>
      </c>
      <c r="AF741" s="2">
        <f t="shared" si="97"/>
        <v>0</v>
      </c>
      <c r="AG741" s="2">
        <v>10.67</v>
      </c>
      <c r="AH741" s="2">
        <v>21</v>
      </c>
      <c r="AJ741" s="2">
        <f t="shared" si="98"/>
        <v>0</v>
      </c>
      <c r="AK741" s="2">
        <f t="shared" si="95"/>
        <v>9.990000000000002</v>
      </c>
      <c r="AL741" s="5">
        <f t="shared" si="100"/>
        <v>0.23785714285714291</v>
      </c>
    </row>
    <row r="742" spans="1:38" x14ac:dyDescent="0.2">
      <c r="A742" s="2">
        <v>2025</v>
      </c>
      <c r="B742" s="2">
        <v>4</v>
      </c>
      <c r="D742" s="2" t="s">
        <v>37</v>
      </c>
      <c r="E742" s="2" t="s">
        <v>38</v>
      </c>
      <c r="F742" s="2" t="s">
        <v>39</v>
      </c>
      <c r="H742" s="2" t="s">
        <v>40</v>
      </c>
      <c r="M742" s="2" t="s">
        <v>80</v>
      </c>
      <c r="O742" s="2" t="s">
        <v>1131</v>
      </c>
      <c r="P742" s="2" t="s">
        <v>43</v>
      </c>
      <c r="Q742" s="2" t="s">
        <v>158</v>
      </c>
      <c r="R742" s="2" t="s">
        <v>159</v>
      </c>
      <c r="S742" s="2">
        <v>1</v>
      </c>
      <c r="T742" s="2">
        <v>14</v>
      </c>
      <c r="U742" s="2">
        <v>3.22</v>
      </c>
      <c r="V742" s="2">
        <v>17.22</v>
      </c>
      <c r="W742" s="2">
        <f>9.3*S742</f>
        <v>9.3000000000000007</v>
      </c>
      <c r="X742" s="5">
        <f t="shared" si="99"/>
        <v>0.33571428571428569</v>
      </c>
      <c r="Z742" s="2" t="s">
        <v>3227</v>
      </c>
      <c r="AA742" s="2" t="s">
        <v>46</v>
      </c>
      <c r="AB742" s="2" t="s">
        <v>47</v>
      </c>
      <c r="AC742" s="2" t="s">
        <v>57</v>
      </c>
      <c r="AF742" s="2">
        <f t="shared" si="97"/>
        <v>0</v>
      </c>
      <c r="AG742" s="2">
        <v>9.3000000000000007</v>
      </c>
      <c r="AH742" s="2">
        <v>21</v>
      </c>
      <c r="AJ742" s="2">
        <f t="shared" si="98"/>
        <v>0</v>
      </c>
      <c r="AK742" s="2">
        <f t="shared" si="95"/>
        <v>4.6999999999999993</v>
      </c>
      <c r="AL742" s="5">
        <f t="shared" si="100"/>
        <v>0.33571428571428569</v>
      </c>
    </row>
    <row r="743" spans="1:38" x14ac:dyDescent="0.2">
      <c r="A743" s="2">
        <v>2025</v>
      </c>
      <c r="B743" s="2">
        <v>4</v>
      </c>
      <c r="D743" s="2" t="s">
        <v>37</v>
      </c>
      <c r="E743" s="2" t="s">
        <v>38</v>
      </c>
      <c r="F743" s="2" t="s">
        <v>39</v>
      </c>
      <c r="H743" s="2" t="s">
        <v>40</v>
      </c>
      <c r="P743" s="2" t="s">
        <v>43</v>
      </c>
      <c r="Q743" s="2" t="s">
        <v>160</v>
      </c>
      <c r="R743" s="2" t="s">
        <v>161</v>
      </c>
      <c r="S743" s="2">
        <v>1</v>
      </c>
      <c r="T743" s="2">
        <v>7.8</v>
      </c>
      <c r="U743" s="2">
        <v>1.794</v>
      </c>
      <c r="V743" s="2">
        <v>9.5939999999999994</v>
      </c>
      <c r="W743" s="2">
        <f>3.7358*S743</f>
        <v>3.7357999999999998</v>
      </c>
      <c r="X743" s="5">
        <f t="shared" si="99"/>
        <v>0.52105128205128204</v>
      </c>
      <c r="Z743" s="2" t="s">
        <v>3227</v>
      </c>
      <c r="AA743" s="2" t="s">
        <v>46</v>
      </c>
      <c r="AB743" s="2" t="s">
        <v>47</v>
      </c>
      <c r="AC743" s="2" t="s">
        <v>57</v>
      </c>
      <c r="AF743" s="2">
        <f t="shared" si="97"/>
        <v>0</v>
      </c>
      <c r="AG743" s="2">
        <v>3.7357999999999998</v>
      </c>
      <c r="AH743" s="2">
        <v>9</v>
      </c>
      <c r="AJ743" s="2">
        <f t="shared" si="98"/>
        <v>0</v>
      </c>
      <c r="AK743" s="2">
        <f t="shared" si="95"/>
        <v>4.0641999999999996</v>
      </c>
      <c r="AL743" s="5">
        <f t="shared" si="100"/>
        <v>0.52105128205128204</v>
      </c>
    </row>
    <row r="744" spans="1:38" x14ac:dyDescent="0.2">
      <c r="A744" s="2">
        <v>2025</v>
      </c>
      <c r="B744" s="2">
        <v>4</v>
      </c>
      <c r="D744" s="2" t="s">
        <v>37</v>
      </c>
      <c r="E744" s="2" t="s">
        <v>38</v>
      </c>
      <c r="F744" s="2" t="s">
        <v>39</v>
      </c>
      <c r="H744" s="2" t="s">
        <v>40</v>
      </c>
      <c r="P744" s="2" t="s">
        <v>43</v>
      </c>
      <c r="Q744" s="2" t="s">
        <v>54</v>
      </c>
      <c r="R744" s="2" t="s">
        <v>55</v>
      </c>
      <c r="S744" s="2">
        <v>6</v>
      </c>
      <c r="T744" s="2">
        <v>100</v>
      </c>
      <c r="U744" s="2">
        <v>23</v>
      </c>
      <c r="V744" s="2">
        <v>123</v>
      </c>
      <c r="W744" s="2">
        <f>10.6*S744</f>
        <v>63.599999999999994</v>
      </c>
      <c r="X744" s="5">
        <f t="shared" si="99"/>
        <v>0.36400000000000005</v>
      </c>
      <c r="Z744" s="2" t="s">
        <v>3227</v>
      </c>
      <c r="AA744" s="2" t="s">
        <v>46</v>
      </c>
      <c r="AB744" s="2" t="s">
        <v>56</v>
      </c>
      <c r="AC744" s="2" t="s">
        <v>57</v>
      </c>
      <c r="AF744" s="2">
        <f t="shared" si="97"/>
        <v>0</v>
      </c>
      <c r="AG744" s="2">
        <v>10.6</v>
      </c>
      <c r="AH744" s="2">
        <v>18</v>
      </c>
      <c r="AJ744" s="2">
        <f t="shared" si="98"/>
        <v>0</v>
      </c>
      <c r="AK744" s="2">
        <f t="shared" si="95"/>
        <v>36.400000000000006</v>
      </c>
      <c r="AL744" s="5">
        <f t="shared" si="100"/>
        <v>0.36400000000000005</v>
      </c>
    </row>
    <row r="745" spans="1:38" x14ac:dyDescent="0.2">
      <c r="A745" s="2">
        <v>2025</v>
      </c>
      <c r="B745" s="2">
        <v>4</v>
      </c>
      <c r="D745" s="2" t="s">
        <v>37</v>
      </c>
      <c r="E745" s="2" t="s">
        <v>38</v>
      </c>
      <c r="F745" s="2" t="s">
        <v>39</v>
      </c>
      <c r="H745" s="2" t="s">
        <v>40</v>
      </c>
      <c r="P745" s="2" t="s">
        <v>43</v>
      </c>
      <c r="Q745" s="2" t="s">
        <v>61</v>
      </c>
      <c r="R745" s="2" t="s">
        <v>62</v>
      </c>
      <c r="S745" s="2">
        <v>200</v>
      </c>
      <c r="T745" s="2">
        <v>26</v>
      </c>
      <c r="U745" s="2">
        <v>5.98</v>
      </c>
      <c r="V745" s="2">
        <v>31.98</v>
      </c>
      <c r="W745" s="2">
        <f>0.082*S745</f>
        <v>16.400000000000002</v>
      </c>
      <c r="X745" s="5">
        <f t="shared" si="99"/>
        <v>0.36923076923076914</v>
      </c>
      <c r="Z745" s="2" t="s">
        <v>3227</v>
      </c>
      <c r="AA745" s="2" t="s">
        <v>46</v>
      </c>
      <c r="AB745" s="2" t="s">
        <v>60</v>
      </c>
      <c r="AC745" s="2" t="s">
        <v>57</v>
      </c>
      <c r="AF745" s="2">
        <f t="shared" si="97"/>
        <v>0</v>
      </c>
      <c r="AG745" s="2">
        <v>8.1999999999999993</v>
      </c>
      <c r="AH745" s="2">
        <v>13</v>
      </c>
      <c r="AJ745" s="2">
        <f t="shared" si="98"/>
        <v>0</v>
      </c>
      <c r="AK745" s="2">
        <f t="shared" si="95"/>
        <v>9.5999999999999979</v>
      </c>
      <c r="AL745" s="5">
        <f t="shared" si="100"/>
        <v>0.36923076923076914</v>
      </c>
    </row>
    <row r="746" spans="1:38" x14ac:dyDescent="0.2">
      <c r="A746" s="2">
        <v>2025</v>
      </c>
      <c r="B746" s="2">
        <v>4</v>
      </c>
      <c r="D746" s="2" t="s">
        <v>37</v>
      </c>
      <c r="E746" s="2" t="s">
        <v>38</v>
      </c>
      <c r="F746" s="2" t="s">
        <v>39</v>
      </c>
      <c r="H746" s="2" t="s">
        <v>40</v>
      </c>
      <c r="M746" s="2" t="s">
        <v>41</v>
      </c>
      <c r="O746" s="2" t="s">
        <v>1132</v>
      </c>
      <c r="P746" s="2" t="s">
        <v>43</v>
      </c>
      <c r="Q746" s="2" t="s">
        <v>420</v>
      </c>
      <c r="R746" s="2" t="s">
        <v>421</v>
      </c>
      <c r="S746" s="2">
        <v>4</v>
      </c>
      <c r="T746" s="2">
        <v>26.4</v>
      </c>
      <c r="U746" s="2">
        <v>6.0720000000000001</v>
      </c>
      <c r="V746" s="2">
        <v>32.472000000000001</v>
      </c>
      <c r="W746" s="2">
        <f>3.7556*S746</f>
        <v>15.022399999999999</v>
      </c>
      <c r="X746" s="5">
        <f t="shared" si="99"/>
        <v>0.43096969696969695</v>
      </c>
      <c r="Z746" s="2" t="s">
        <v>3227</v>
      </c>
      <c r="AA746" s="2" t="s">
        <v>46</v>
      </c>
      <c r="AB746" s="2" t="s">
        <v>60</v>
      </c>
      <c r="AC746" s="2" t="s">
        <v>57</v>
      </c>
      <c r="AF746" s="2">
        <f t="shared" si="97"/>
        <v>0</v>
      </c>
      <c r="AG746" s="2">
        <v>3.7555999999999998</v>
      </c>
      <c r="AH746" s="2">
        <v>7.2</v>
      </c>
      <c r="AJ746" s="2">
        <f t="shared" si="98"/>
        <v>0</v>
      </c>
      <c r="AK746" s="2">
        <f t="shared" si="95"/>
        <v>11.377599999999999</v>
      </c>
      <c r="AL746" s="5">
        <f t="shared" si="100"/>
        <v>0.43096969696969695</v>
      </c>
    </row>
    <row r="747" spans="1:38" x14ac:dyDescent="0.2">
      <c r="A747" s="2">
        <v>2025</v>
      </c>
      <c r="B747" s="2">
        <v>4</v>
      </c>
      <c r="D747" s="2" t="s">
        <v>37</v>
      </c>
      <c r="E747" s="2" t="s">
        <v>38</v>
      </c>
      <c r="F747" s="2" t="s">
        <v>39</v>
      </c>
      <c r="H747" s="2" t="s">
        <v>40</v>
      </c>
      <c r="P747" s="2" t="s">
        <v>43</v>
      </c>
      <c r="Q747" s="2" t="s">
        <v>63</v>
      </c>
      <c r="R747" s="2" t="s">
        <v>64</v>
      </c>
      <c r="S747" s="2">
        <v>11</v>
      </c>
      <c r="T747" s="2">
        <v>24.9</v>
      </c>
      <c r="U747" s="2">
        <v>5.7270000000000003</v>
      </c>
      <c r="V747" s="2">
        <v>30.626999999999999</v>
      </c>
      <c r="W747" s="2">
        <f>0.8561*S747</f>
        <v>9.4170999999999996</v>
      </c>
      <c r="X747" s="5">
        <f t="shared" si="99"/>
        <v>0.62180321285140561</v>
      </c>
      <c r="Z747" s="2" t="s">
        <v>3227</v>
      </c>
      <c r="AA747" s="2" t="s">
        <v>46</v>
      </c>
      <c r="AB747" s="2" t="s">
        <v>60</v>
      </c>
      <c r="AC747" s="2" t="s">
        <v>57</v>
      </c>
      <c r="AF747" s="2">
        <f t="shared" si="97"/>
        <v>0</v>
      </c>
      <c r="AG747" s="2">
        <v>0.85609999999999997</v>
      </c>
      <c r="AH747" s="2">
        <v>1.8</v>
      </c>
      <c r="AJ747" s="2">
        <f t="shared" si="98"/>
        <v>0</v>
      </c>
      <c r="AK747" s="2">
        <f t="shared" si="95"/>
        <v>15.482899999999999</v>
      </c>
      <c r="AL747" s="5">
        <f t="shared" si="100"/>
        <v>0.62180321285140561</v>
      </c>
    </row>
    <row r="748" spans="1:38" x14ac:dyDescent="0.2">
      <c r="A748" s="2">
        <v>2025</v>
      </c>
      <c r="B748" s="2">
        <v>4</v>
      </c>
      <c r="D748" s="2" t="s">
        <v>37</v>
      </c>
      <c r="E748" s="2" t="s">
        <v>38</v>
      </c>
      <c r="F748" s="2" t="s">
        <v>39</v>
      </c>
      <c r="H748" s="2" t="s">
        <v>40</v>
      </c>
      <c r="P748" s="2" t="s">
        <v>43</v>
      </c>
      <c r="Q748" s="2" t="s">
        <v>164</v>
      </c>
      <c r="R748" s="2" t="s">
        <v>165</v>
      </c>
      <c r="S748" s="2">
        <v>1</v>
      </c>
      <c r="T748" s="2">
        <v>14.5</v>
      </c>
      <c r="U748" s="2">
        <v>3.335</v>
      </c>
      <c r="V748" s="2">
        <v>17.835000000000001</v>
      </c>
      <c r="W748" s="2">
        <f>7.9612*S748</f>
        <v>7.9611999999999998</v>
      </c>
      <c r="X748" s="5">
        <f t="shared" si="99"/>
        <v>0.45095172413793105</v>
      </c>
      <c r="Z748" s="2" t="s">
        <v>3227</v>
      </c>
      <c r="AA748" s="2" t="s">
        <v>46</v>
      </c>
      <c r="AB748" s="2" t="s">
        <v>67</v>
      </c>
      <c r="AC748" s="2" t="s">
        <v>57</v>
      </c>
      <c r="AF748" s="2">
        <f t="shared" si="97"/>
        <v>0</v>
      </c>
      <c r="AG748" s="2">
        <v>7.9611999999999998</v>
      </c>
      <c r="AH748" s="2">
        <v>14.4</v>
      </c>
      <c r="AJ748" s="2">
        <f t="shared" si="98"/>
        <v>0</v>
      </c>
      <c r="AK748" s="2">
        <f t="shared" si="95"/>
        <v>6.5388000000000002</v>
      </c>
      <c r="AL748" s="5">
        <f t="shared" si="100"/>
        <v>0.45095172413793105</v>
      </c>
    </row>
    <row r="749" spans="1:38" x14ac:dyDescent="0.2">
      <c r="A749" s="2">
        <v>2025</v>
      </c>
      <c r="B749" s="2">
        <v>4</v>
      </c>
      <c r="D749" s="2" t="s">
        <v>37</v>
      </c>
      <c r="E749" s="2" t="s">
        <v>38</v>
      </c>
      <c r="F749" s="2" t="s">
        <v>39</v>
      </c>
      <c r="H749" s="2" t="s">
        <v>40</v>
      </c>
      <c r="P749" s="2" t="s">
        <v>43</v>
      </c>
      <c r="Q749" s="2" t="s">
        <v>260</v>
      </c>
      <c r="R749" s="2" t="s">
        <v>261</v>
      </c>
      <c r="S749" s="2">
        <v>1</v>
      </c>
      <c r="T749" s="2">
        <v>12</v>
      </c>
      <c r="U749" s="2">
        <v>2.76</v>
      </c>
      <c r="V749" s="2">
        <v>14.76</v>
      </c>
      <c r="W749" s="2">
        <f>8.3145*S749</f>
        <v>8.3145000000000007</v>
      </c>
      <c r="X749" s="5">
        <f t="shared" si="99"/>
        <v>0.30712499999999993</v>
      </c>
      <c r="Z749" s="2" t="s">
        <v>3227</v>
      </c>
      <c r="AA749" s="2" t="s">
        <v>46</v>
      </c>
      <c r="AB749" s="2" t="s">
        <v>67</v>
      </c>
      <c r="AC749" s="2" t="s">
        <v>57</v>
      </c>
      <c r="AF749" s="2">
        <f t="shared" si="97"/>
        <v>0</v>
      </c>
      <c r="AG749" s="2">
        <v>8.3145000000000007</v>
      </c>
      <c r="AH749" s="2">
        <v>15</v>
      </c>
      <c r="AJ749" s="2">
        <f t="shared" si="98"/>
        <v>0</v>
      </c>
      <c r="AK749" s="2">
        <f t="shared" si="95"/>
        <v>3.6854999999999993</v>
      </c>
      <c r="AL749" s="5">
        <f t="shared" si="100"/>
        <v>0.30712499999999993</v>
      </c>
    </row>
    <row r="750" spans="1:38" x14ac:dyDescent="0.2">
      <c r="A750" s="2">
        <v>2025</v>
      </c>
      <c r="B750" s="2">
        <v>4</v>
      </c>
      <c r="D750" s="2" t="s">
        <v>37</v>
      </c>
      <c r="E750" s="2" t="s">
        <v>38</v>
      </c>
      <c r="F750" s="2" t="s">
        <v>39</v>
      </c>
      <c r="H750" s="2" t="s">
        <v>40</v>
      </c>
      <c r="P750" s="2" t="s">
        <v>72</v>
      </c>
      <c r="Q750" s="2" t="s">
        <v>73</v>
      </c>
      <c r="R750" s="2" t="s">
        <v>74</v>
      </c>
      <c r="S750" s="2">
        <v>3</v>
      </c>
      <c r="T750" s="2">
        <v>695.76</v>
      </c>
      <c r="U750" s="2">
        <v>160.0248</v>
      </c>
      <c r="V750" s="2">
        <v>855.78480000000002</v>
      </c>
      <c r="W750" s="2">
        <v>352.35899999999998</v>
      </c>
      <c r="X750" s="5">
        <f t="shared" si="99"/>
        <v>0.49356243532252503</v>
      </c>
      <c r="Z750" s="2" t="s">
        <v>3227</v>
      </c>
      <c r="AA750" s="2" t="s">
        <v>75</v>
      </c>
      <c r="AB750" s="2" t="s">
        <v>76</v>
      </c>
      <c r="AC750" s="2" t="s">
        <v>77</v>
      </c>
      <c r="AF750" s="2">
        <f t="shared" si="97"/>
        <v>0</v>
      </c>
      <c r="AG750" s="2">
        <v>117.453</v>
      </c>
      <c r="AH750" s="2">
        <v>220</v>
      </c>
      <c r="AJ750" s="2">
        <f t="shared" si="98"/>
        <v>0</v>
      </c>
      <c r="AK750" s="2">
        <f t="shared" si="95"/>
        <v>343.40100000000001</v>
      </c>
      <c r="AL750" s="5">
        <f t="shared" si="100"/>
        <v>0.49356243532252503</v>
      </c>
    </row>
    <row r="751" spans="1:38" x14ac:dyDescent="0.2">
      <c r="A751" s="2">
        <v>2025</v>
      </c>
      <c r="B751" s="2">
        <v>4</v>
      </c>
      <c r="D751" s="2" t="s">
        <v>37</v>
      </c>
      <c r="E751" s="2" t="s">
        <v>38</v>
      </c>
      <c r="F751" s="2" t="s">
        <v>39</v>
      </c>
      <c r="H751" s="2" t="s">
        <v>40</v>
      </c>
      <c r="L751" s="2" t="s">
        <v>99</v>
      </c>
      <c r="M751" s="2" t="s">
        <v>80</v>
      </c>
      <c r="O751" s="2" t="s">
        <v>1133</v>
      </c>
      <c r="P751" s="2" t="s">
        <v>72</v>
      </c>
      <c r="Q751" s="2" t="s">
        <v>557</v>
      </c>
      <c r="R751" s="2" t="s">
        <v>307</v>
      </c>
      <c r="S751" s="2">
        <v>2</v>
      </c>
      <c r="T751" s="2">
        <v>404.22</v>
      </c>
      <c r="U751" s="2">
        <v>92.970600000000005</v>
      </c>
      <c r="V751" s="2">
        <v>497.19060000000002</v>
      </c>
      <c r="W751" s="2">
        <f>122.446*S751</f>
        <v>244.892</v>
      </c>
      <c r="X751" s="5">
        <f t="shared" si="99"/>
        <v>0.39416159517094657</v>
      </c>
      <c r="Z751" s="2" t="s">
        <v>3227</v>
      </c>
      <c r="AA751" s="2" t="s">
        <v>75</v>
      </c>
      <c r="AB751" s="2" t="s">
        <v>76</v>
      </c>
      <c r="AC751" s="2" t="s">
        <v>77</v>
      </c>
      <c r="AF751" s="2">
        <f t="shared" si="97"/>
        <v>0</v>
      </c>
      <c r="AG751" s="2">
        <v>122.446</v>
      </c>
      <c r="AH751" s="2">
        <v>230</v>
      </c>
      <c r="AJ751" s="2">
        <f t="shared" si="98"/>
        <v>0</v>
      </c>
      <c r="AK751" s="2">
        <f t="shared" si="95"/>
        <v>159.32800000000003</v>
      </c>
      <c r="AL751" s="5">
        <f t="shared" si="100"/>
        <v>0.39416159517094657</v>
      </c>
    </row>
    <row r="752" spans="1:38" x14ac:dyDescent="0.2">
      <c r="A752" s="2">
        <v>2025</v>
      </c>
      <c r="B752" s="2">
        <v>4</v>
      </c>
      <c r="D752" s="2" t="s">
        <v>37</v>
      </c>
      <c r="E752" s="2" t="s">
        <v>38</v>
      </c>
      <c r="F752" s="2" t="s">
        <v>39</v>
      </c>
      <c r="H752" s="2" t="s">
        <v>40</v>
      </c>
      <c r="M752" s="2" t="s">
        <v>80</v>
      </c>
      <c r="O752" s="2" t="s">
        <v>3192</v>
      </c>
      <c r="P752" s="2" t="s">
        <v>72</v>
      </c>
      <c r="Q752" s="2" t="s">
        <v>533</v>
      </c>
      <c r="R752" s="2" t="s">
        <v>534</v>
      </c>
      <c r="S752" s="2">
        <v>1</v>
      </c>
      <c r="T752" s="2">
        <v>145</v>
      </c>
      <c r="U752" s="2">
        <v>33.35</v>
      </c>
      <c r="V752" s="2">
        <v>178.35</v>
      </c>
      <c r="W752" s="2">
        <f>110.125+11.77</f>
        <v>121.895</v>
      </c>
      <c r="X752" s="5">
        <f t="shared" si="99"/>
        <v>0.15934482758620691</v>
      </c>
      <c r="Z752" s="2" t="s">
        <v>3227</v>
      </c>
      <c r="AA752" s="2" t="s">
        <v>75</v>
      </c>
      <c r="AB752" s="2" t="s">
        <v>76</v>
      </c>
      <c r="AC752" s="2" t="s">
        <v>77</v>
      </c>
      <c r="AF752" s="2">
        <f t="shared" si="97"/>
        <v>0</v>
      </c>
      <c r="AG752" s="2">
        <f>110.125+11.77</f>
        <v>121.895</v>
      </c>
      <c r="AJ752" s="2">
        <f t="shared" si="98"/>
        <v>0</v>
      </c>
      <c r="AK752" s="2">
        <f t="shared" si="95"/>
        <v>23.105000000000004</v>
      </c>
      <c r="AL752" s="5">
        <f t="shared" si="100"/>
        <v>0.15934482758620691</v>
      </c>
    </row>
    <row r="753" spans="1:38" x14ac:dyDescent="0.2">
      <c r="A753" s="2">
        <v>2025</v>
      </c>
      <c r="B753" s="2">
        <v>4</v>
      </c>
      <c r="D753" s="2" t="s">
        <v>37</v>
      </c>
      <c r="E753" s="2" t="s">
        <v>38</v>
      </c>
      <c r="F753" s="2" t="s">
        <v>39</v>
      </c>
      <c r="H753" s="2" t="s">
        <v>40</v>
      </c>
      <c r="P753" s="2" t="s">
        <v>72</v>
      </c>
      <c r="Q753" s="2" t="s">
        <v>1134</v>
      </c>
      <c r="R753" s="2" t="s">
        <v>534</v>
      </c>
      <c r="S753" s="2">
        <v>1</v>
      </c>
      <c r="T753" s="2">
        <v>283.41000000000003</v>
      </c>
      <c r="U753" s="2">
        <v>65.184300000000007</v>
      </c>
      <c r="V753" s="2">
        <v>348.59429999999998</v>
      </c>
      <c r="W753" s="2">
        <v>122.25</v>
      </c>
      <c r="X753" s="5">
        <f t="shared" si="99"/>
        <v>0.56864613104689321</v>
      </c>
      <c r="Z753" s="2" t="s">
        <v>3227</v>
      </c>
      <c r="AA753" s="2" t="s">
        <v>75</v>
      </c>
      <c r="AB753" s="2" t="s">
        <v>76</v>
      </c>
      <c r="AC753" s="2" t="s">
        <v>77</v>
      </c>
      <c r="AF753" s="2">
        <f t="shared" si="97"/>
        <v>0</v>
      </c>
      <c r="AJ753" s="2">
        <f t="shared" si="98"/>
        <v>0</v>
      </c>
      <c r="AK753" s="2">
        <f t="shared" si="95"/>
        <v>161.16000000000003</v>
      </c>
      <c r="AL753" s="5">
        <f t="shared" si="100"/>
        <v>0.56864613104689321</v>
      </c>
    </row>
    <row r="754" spans="1:38" x14ac:dyDescent="0.2">
      <c r="A754" s="2">
        <v>2025</v>
      </c>
      <c r="B754" s="2">
        <v>4</v>
      </c>
      <c r="D754" s="2" t="s">
        <v>37</v>
      </c>
      <c r="E754" s="2" t="s">
        <v>38</v>
      </c>
      <c r="F754" s="2" t="s">
        <v>39</v>
      </c>
      <c r="H754" s="2" t="s">
        <v>40</v>
      </c>
      <c r="P754" s="2" t="s">
        <v>93</v>
      </c>
      <c r="Q754" s="2" t="s">
        <v>94</v>
      </c>
      <c r="R754" s="2" t="s">
        <v>95</v>
      </c>
      <c r="S754" s="2">
        <v>7</v>
      </c>
      <c r="T754" s="2">
        <v>7.98</v>
      </c>
      <c r="U754" s="2">
        <v>1.8353999999999999</v>
      </c>
      <c r="V754" s="2">
        <v>9.8154000000000003</v>
      </c>
      <c r="W754" s="2">
        <v>7.98</v>
      </c>
      <c r="X754" s="5">
        <f t="shared" ref="X754:X757" si="101">(T754-W754)/T754</f>
        <v>0</v>
      </c>
      <c r="Z754" s="2" t="s">
        <v>3227</v>
      </c>
      <c r="AA754" s="2" t="s">
        <v>96</v>
      </c>
      <c r="AB754" s="2" t="s">
        <v>76</v>
      </c>
      <c r="AC754" s="2" t="s">
        <v>93</v>
      </c>
      <c r="AF754" s="2">
        <f t="shared" si="97"/>
        <v>0</v>
      </c>
      <c r="AJ754" s="2">
        <f t="shared" si="98"/>
        <v>0</v>
      </c>
      <c r="AK754" s="2">
        <f t="shared" si="95"/>
        <v>0</v>
      </c>
      <c r="AL754" s="5">
        <f t="shared" si="100"/>
        <v>0</v>
      </c>
    </row>
    <row r="755" spans="1:38" x14ac:dyDescent="0.2">
      <c r="A755" s="2">
        <v>2025</v>
      </c>
      <c r="B755" s="2">
        <v>4</v>
      </c>
      <c r="D755" s="2" t="s">
        <v>97</v>
      </c>
      <c r="E755" s="2" t="s">
        <v>98</v>
      </c>
      <c r="F755" s="2" t="s">
        <v>39</v>
      </c>
      <c r="G755" s="2">
        <v>517450925</v>
      </c>
      <c r="H755" s="2" t="s">
        <v>40</v>
      </c>
      <c r="I755" s="2" t="s">
        <v>99</v>
      </c>
      <c r="J755" s="2" t="s">
        <v>100</v>
      </c>
      <c r="L755" s="2" t="s">
        <v>99</v>
      </c>
      <c r="M755" s="2" t="s">
        <v>40</v>
      </c>
      <c r="P755" s="2" t="s">
        <v>101</v>
      </c>
      <c r="Q755" s="2" t="s">
        <v>262</v>
      </c>
      <c r="R755" s="2" t="s">
        <v>263</v>
      </c>
      <c r="S755" s="2">
        <v>-1</v>
      </c>
      <c r="T755" s="2">
        <v>-20000</v>
      </c>
      <c r="U755" s="2">
        <v>-4600</v>
      </c>
      <c r="V755" s="2">
        <v>-24600</v>
      </c>
      <c r="Z755" s="2" t="s">
        <v>104</v>
      </c>
      <c r="AA755" s="2" t="s">
        <v>264</v>
      </c>
      <c r="AB755" s="2" t="s">
        <v>265</v>
      </c>
      <c r="AC755" s="2" t="s">
        <v>101</v>
      </c>
      <c r="AF755" s="2">
        <f t="shared" si="97"/>
        <v>0</v>
      </c>
      <c r="AJ755" s="2">
        <f t="shared" si="98"/>
        <v>0</v>
      </c>
      <c r="AK755" s="2">
        <f t="shared" si="95"/>
        <v>-20000</v>
      </c>
      <c r="AL755" s="5">
        <f t="shared" si="100"/>
        <v>1</v>
      </c>
    </row>
    <row r="756" spans="1:38" x14ac:dyDescent="0.2">
      <c r="A756" s="2">
        <v>2025</v>
      </c>
      <c r="B756" s="2">
        <v>4</v>
      </c>
      <c r="D756" s="2" t="s">
        <v>97</v>
      </c>
      <c r="E756" s="2" t="s">
        <v>98</v>
      </c>
      <c r="F756" s="2" t="s">
        <v>39</v>
      </c>
      <c r="G756" s="2">
        <v>517450925</v>
      </c>
      <c r="H756" s="2" t="s">
        <v>40</v>
      </c>
      <c r="I756" s="2" t="s">
        <v>99</v>
      </c>
      <c r="J756" s="2" t="s">
        <v>100</v>
      </c>
      <c r="L756" s="2" t="s">
        <v>99</v>
      </c>
      <c r="M756" s="2" t="s">
        <v>40</v>
      </c>
      <c r="P756" s="2" t="s">
        <v>68</v>
      </c>
      <c r="Q756" s="2" t="s">
        <v>266</v>
      </c>
      <c r="R756" s="2" t="s">
        <v>267</v>
      </c>
      <c r="S756" s="2">
        <v>1</v>
      </c>
      <c r="T756" s="2">
        <v>19.2</v>
      </c>
      <c r="U756" s="2">
        <v>4.4160000000000004</v>
      </c>
      <c r="V756" s="2">
        <v>23.616</v>
      </c>
      <c r="W756" s="2">
        <v>11.94</v>
      </c>
      <c r="X756" s="5">
        <f t="shared" si="101"/>
        <v>0.37812499999999999</v>
      </c>
      <c r="Z756" s="2" t="s">
        <v>3227</v>
      </c>
      <c r="AA756" s="2" t="s">
        <v>71</v>
      </c>
      <c r="AB756" s="2" t="s">
        <v>68</v>
      </c>
      <c r="AC756" s="2" t="s">
        <v>3231</v>
      </c>
      <c r="AF756" s="2">
        <f t="shared" si="97"/>
        <v>0</v>
      </c>
      <c r="AJ756" s="2">
        <f t="shared" si="98"/>
        <v>0</v>
      </c>
      <c r="AK756" s="2">
        <f t="shared" ref="AK756:AK774" si="102">T756-W756</f>
        <v>7.26</v>
      </c>
      <c r="AL756" s="5">
        <f t="shared" si="100"/>
        <v>0.37812499999999999</v>
      </c>
    </row>
    <row r="757" spans="1:38" x14ac:dyDescent="0.2">
      <c r="A757" s="2">
        <v>2025</v>
      </c>
      <c r="B757" s="2">
        <v>4</v>
      </c>
      <c r="D757" s="2" t="s">
        <v>97</v>
      </c>
      <c r="E757" s="2" t="s">
        <v>98</v>
      </c>
      <c r="F757" s="2" t="s">
        <v>39</v>
      </c>
      <c r="G757" s="2">
        <v>517450925</v>
      </c>
      <c r="H757" s="2" t="s">
        <v>40</v>
      </c>
      <c r="I757" s="2" t="s">
        <v>99</v>
      </c>
      <c r="J757" s="2" t="s">
        <v>100</v>
      </c>
      <c r="L757" s="2" t="s">
        <v>99</v>
      </c>
      <c r="M757" s="2" t="s">
        <v>40</v>
      </c>
      <c r="P757" s="2" t="s">
        <v>84</v>
      </c>
      <c r="Q757" s="2" t="s">
        <v>1135</v>
      </c>
      <c r="R757" s="2" t="s">
        <v>1136</v>
      </c>
      <c r="S757" s="2">
        <v>1</v>
      </c>
      <c r="T757" s="2">
        <v>232.32</v>
      </c>
      <c r="U757" s="2">
        <v>53.433599999999998</v>
      </c>
      <c r="V757" s="2">
        <v>285.75360000000001</v>
      </c>
      <c r="W757" s="2">
        <v>170.37</v>
      </c>
      <c r="X757" s="5">
        <f t="shared" si="101"/>
        <v>0.26665805785123964</v>
      </c>
      <c r="Z757" s="2" t="s">
        <v>3227</v>
      </c>
      <c r="AA757" s="2" t="s">
        <v>87</v>
      </c>
      <c r="AB757" s="2" t="s">
        <v>90</v>
      </c>
      <c r="AC757" s="2" t="s">
        <v>84</v>
      </c>
      <c r="AF757" s="2">
        <f t="shared" si="97"/>
        <v>0</v>
      </c>
      <c r="AJ757" s="2">
        <f t="shared" si="98"/>
        <v>0</v>
      </c>
      <c r="AK757" s="2">
        <f t="shared" si="102"/>
        <v>61.949999999999989</v>
      </c>
      <c r="AL757" s="5">
        <f t="shared" si="100"/>
        <v>0.26665805785123964</v>
      </c>
    </row>
    <row r="758" spans="1:38" x14ac:dyDescent="0.2">
      <c r="A758" s="2">
        <v>2025</v>
      </c>
      <c r="B758" s="2">
        <v>4</v>
      </c>
      <c r="D758" s="2" t="s">
        <v>97</v>
      </c>
      <c r="E758" s="2" t="s">
        <v>98</v>
      </c>
      <c r="F758" s="2" t="s">
        <v>39</v>
      </c>
      <c r="G758" s="2">
        <v>517450925</v>
      </c>
      <c r="H758" s="2" t="s">
        <v>40</v>
      </c>
      <c r="I758" s="2" t="s">
        <v>99</v>
      </c>
      <c r="J758" s="2" t="s">
        <v>100</v>
      </c>
      <c r="L758" s="2" t="s">
        <v>99</v>
      </c>
      <c r="M758" s="2" t="s">
        <v>40</v>
      </c>
      <c r="Q758" s="2" t="s">
        <v>699</v>
      </c>
      <c r="R758" s="2" t="s">
        <v>700</v>
      </c>
      <c r="S758" s="2">
        <v>1</v>
      </c>
      <c r="T758" s="2">
        <v>0</v>
      </c>
      <c r="U758" s="2">
        <v>0</v>
      </c>
      <c r="V758" s="2">
        <v>0</v>
      </c>
      <c r="Z758" s="2" t="s">
        <v>104</v>
      </c>
      <c r="AF758" s="2">
        <f t="shared" si="97"/>
        <v>0</v>
      </c>
      <c r="AJ758" s="2">
        <f t="shared" si="98"/>
        <v>0</v>
      </c>
      <c r="AK758" s="2">
        <f t="shared" si="102"/>
        <v>0</v>
      </c>
      <c r="AL758" s="5" t="e">
        <f t="shared" si="100"/>
        <v>#DIV/0!</v>
      </c>
    </row>
    <row r="759" spans="1:38" x14ac:dyDescent="0.2">
      <c r="A759" s="2">
        <v>2025</v>
      </c>
      <c r="B759" s="2">
        <v>4</v>
      </c>
      <c r="D759" s="2" t="s">
        <v>97</v>
      </c>
      <c r="E759" s="2" t="s">
        <v>98</v>
      </c>
      <c r="F759" s="2" t="s">
        <v>39</v>
      </c>
      <c r="G759" s="2">
        <v>517450925</v>
      </c>
      <c r="H759" s="2" t="s">
        <v>40</v>
      </c>
      <c r="I759" s="2" t="s">
        <v>99</v>
      </c>
      <c r="J759" s="2" t="s">
        <v>100</v>
      </c>
      <c r="L759" s="2" t="s">
        <v>99</v>
      </c>
      <c r="M759" s="2" t="s">
        <v>40</v>
      </c>
      <c r="P759" s="2" t="s">
        <v>698</v>
      </c>
      <c r="Q759" s="2" t="s">
        <v>702</v>
      </c>
      <c r="R759" s="2" t="s">
        <v>703</v>
      </c>
      <c r="S759" s="2">
        <v>1</v>
      </c>
      <c r="T759" s="2">
        <v>2394</v>
      </c>
      <c r="U759" s="2">
        <v>550.62</v>
      </c>
      <c r="V759" s="2">
        <v>2944.62</v>
      </c>
      <c r="W759" s="2">
        <f>1975+48.2</f>
        <v>2023.2</v>
      </c>
      <c r="X759" s="5">
        <f t="shared" ref="X759:X770" si="103">(T759-W759)/T759</f>
        <v>0.15488721804511277</v>
      </c>
      <c r="Z759" s="2" t="s">
        <v>104</v>
      </c>
      <c r="AA759" s="2" t="s">
        <v>150</v>
      </c>
      <c r="AB759" s="2" t="s">
        <v>151</v>
      </c>
      <c r="AC759" s="2" t="s">
        <v>698</v>
      </c>
      <c r="AF759" s="2">
        <f t="shared" si="97"/>
        <v>0</v>
      </c>
      <c r="AJ759" s="2">
        <f t="shared" si="98"/>
        <v>0</v>
      </c>
      <c r="AK759" s="2">
        <f t="shared" si="102"/>
        <v>370.79999999999995</v>
      </c>
      <c r="AL759" s="5">
        <f t="shared" si="100"/>
        <v>0.15488721804511277</v>
      </c>
    </row>
    <row r="760" spans="1:38" x14ac:dyDescent="0.2">
      <c r="A760" s="2">
        <v>2025</v>
      </c>
      <c r="B760" s="2">
        <v>4</v>
      </c>
      <c r="D760" s="2" t="s">
        <v>1137</v>
      </c>
      <c r="E760" s="2" t="s">
        <v>38</v>
      </c>
      <c r="G760" s="2">
        <v>506131904</v>
      </c>
      <c r="H760" s="2" t="s">
        <v>40</v>
      </c>
      <c r="I760" s="2" t="s">
        <v>1138</v>
      </c>
      <c r="J760" s="2" t="s">
        <v>1139</v>
      </c>
      <c r="L760" s="2" t="s">
        <v>201</v>
      </c>
      <c r="M760" s="2" t="s">
        <v>40</v>
      </c>
      <c r="P760" s="2" t="s">
        <v>187</v>
      </c>
      <c r="Q760" s="2" t="s">
        <v>188</v>
      </c>
      <c r="R760" s="2" t="s">
        <v>189</v>
      </c>
      <c r="S760" s="2">
        <v>1</v>
      </c>
      <c r="T760" s="2">
        <v>63</v>
      </c>
      <c r="U760" s="2">
        <v>14.49</v>
      </c>
      <c r="V760" s="2">
        <v>77.489999999999995</v>
      </c>
      <c r="W760" s="2">
        <f>T760*40%</f>
        <v>25.200000000000003</v>
      </c>
      <c r="X760" s="5">
        <f t="shared" si="103"/>
        <v>0.6</v>
      </c>
      <c r="Z760" s="2" t="s">
        <v>117</v>
      </c>
      <c r="AA760" s="2" t="s">
        <v>190</v>
      </c>
      <c r="AB760" s="2" t="s">
        <v>189</v>
      </c>
      <c r="AC760" s="2" t="s">
        <v>40</v>
      </c>
      <c r="AF760" s="2">
        <f t="shared" si="97"/>
        <v>0</v>
      </c>
      <c r="AJ760" s="2">
        <f t="shared" si="98"/>
        <v>0</v>
      </c>
      <c r="AK760" s="2">
        <f t="shared" si="102"/>
        <v>37.799999999999997</v>
      </c>
      <c r="AL760" s="5">
        <f t="shared" si="100"/>
        <v>0.6</v>
      </c>
    </row>
    <row r="761" spans="1:38" x14ac:dyDescent="0.2">
      <c r="A761" s="2">
        <v>2025</v>
      </c>
      <c r="B761" s="2">
        <v>4</v>
      </c>
      <c r="D761" s="2" t="s">
        <v>1137</v>
      </c>
      <c r="E761" s="2" t="s">
        <v>38</v>
      </c>
      <c r="G761" s="2">
        <v>506131904</v>
      </c>
      <c r="H761" s="2" t="s">
        <v>40</v>
      </c>
      <c r="I761" s="2" t="s">
        <v>1138</v>
      </c>
      <c r="J761" s="2" t="s">
        <v>1139</v>
      </c>
      <c r="L761" s="2" t="s">
        <v>201</v>
      </c>
      <c r="M761" s="2" t="s">
        <v>40</v>
      </c>
      <c r="P761" s="2" t="s">
        <v>187</v>
      </c>
      <c r="Q761" s="2" t="s">
        <v>191</v>
      </c>
      <c r="R761" s="2" t="s">
        <v>190</v>
      </c>
      <c r="S761" s="2">
        <v>0.5</v>
      </c>
      <c r="T761" s="2">
        <v>25</v>
      </c>
      <c r="U761" s="2">
        <v>5.75</v>
      </c>
      <c r="V761" s="2">
        <v>30.75</v>
      </c>
      <c r="W761" s="2">
        <f>T761*50%</f>
        <v>12.5</v>
      </c>
      <c r="X761" s="5">
        <f t="shared" si="103"/>
        <v>0.5</v>
      </c>
      <c r="Z761" s="2" t="s">
        <v>117</v>
      </c>
      <c r="AA761" s="2" t="s">
        <v>190</v>
      </c>
      <c r="AB761" s="2" t="s">
        <v>190</v>
      </c>
      <c r="AC761" s="2" t="s">
        <v>40</v>
      </c>
      <c r="AF761" s="2">
        <f t="shared" si="97"/>
        <v>0</v>
      </c>
      <c r="AJ761" s="2">
        <f t="shared" si="98"/>
        <v>0</v>
      </c>
      <c r="AK761" s="2">
        <f t="shared" si="102"/>
        <v>12.5</v>
      </c>
      <c r="AL761" s="5">
        <f t="shared" si="100"/>
        <v>0.5</v>
      </c>
    </row>
    <row r="762" spans="1:38" x14ac:dyDescent="0.2">
      <c r="A762" s="2">
        <v>2025</v>
      </c>
      <c r="B762" s="2">
        <v>4</v>
      </c>
      <c r="D762" s="2" t="s">
        <v>1137</v>
      </c>
      <c r="E762" s="2" t="s">
        <v>38</v>
      </c>
      <c r="G762" s="2">
        <v>506131904</v>
      </c>
      <c r="H762" s="2" t="s">
        <v>40</v>
      </c>
      <c r="I762" s="2" t="s">
        <v>1138</v>
      </c>
      <c r="J762" s="2" t="s">
        <v>1139</v>
      </c>
      <c r="L762" s="2" t="s">
        <v>201</v>
      </c>
      <c r="M762" s="2" t="s">
        <v>40</v>
      </c>
      <c r="P762" s="2" t="s">
        <v>40</v>
      </c>
      <c r="Q762" s="2" t="s">
        <v>363</v>
      </c>
      <c r="R762" s="2" t="s">
        <v>364</v>
      </c>
      <c r="S762" s="2">
        <v>1</v>
      </c>
      <c r="T762" s="2">
        <v>12.22</v>
      </c>
      <c r="U762" s="2">
        <v>2.8106</v>
      </c>
      <c r="V762" s="2">
        <v>15.0306</v>
      </c>
      <c r="X762" s="5">
        <f t="shared" si="103"/>
        <v>1</v>
      </c>
      <c r="Z762" s="2" t="s">
        <v>119</v>
      </c>
      <c r="AA762" s="2" t="s">
        <v>3380</v>
      </c>
      <c r="AF762" s="2">
        <f t="shared" si="97"/>
        <v>0</v>
      </c>
      <c r="AJ762" s="2">
        <f t="shared" si="98"/>
        <v>0</v>
      </c>
      <c r="AK762" s="2">
        <f t="shared" si="102"/>
        <v>12.22</v>
      </c>
      <c r="AL762" s="5">
        <f t="shared" si="100"/>
        <v>1</v>
      </c>
    </row>
    <row r="763" spans="1:38" x14ac:dyDescent="0.2">
      <c r="A763" s="2">
        <v>2025</v>
      </c>
      <c r="B763" s="2">
        <v>4</v>
      </c>
      <c r="D763" s="2" t="s">
        <v>1140</v>
      </c>
      <c r="E763" s="2" t="s">
        <v>108</v>
      </c>
      <c r="F763" s="2" t="s">
        <v>477</v>
      </c>
      <c r="G763" s="2">
        <v>504576658</v>
      </c>
      <c r="H763" s="2" t="s">
        <v>41</v>
      </c>
      <c r="I763" s="2" t="s">
        <v>1141</v>
      </c>
      <c r="J763" s="2" t="s">
        <v>1142</v>
      </c>
      <c r="L763" s="2" t="s">
        <v>99</v>
      </c>
      <c r="M763" s="2" t="s">
        <v>41</v>
      </c>
      <c r="O763" s="2" t="s">
        <v>1143</v>
      </c>
      <c r="P763" s="2" t="s">
        <v>43</v>
      </c>
      <c r="Q763" s="2" t="s">
        <v>61</v>
      </c>
      <c r="R763" s="2" t="s">
        <v>62</v>
      </c>
      <c r="S763" s="2">
        <v>1000</v>
      </c>
      <c r="T763" s="2">
        <v>105</v>
      </c>
      <c r="U763" s="2">
        <v>24.15</v>
      </c>
      <c r="V763" s="2">
        <v>129.15</v>
      </c>
      <c r="W763" s="2">
        <f>0.082*S763</f>
        <v>82</v>
      </c>
      <c r="X763" s="5">
        <f t="shared" si="103"/>
        <v>0.21904761904761905</v>
      </c>
      <c r="Z763" s="2" t="s">
        <v>3227</v>
      </c>
      <c r="AA763" s="2" t="s">
        <v>46</v>
      </c>
      <c r="AB763" s="2" t="s">
        <v>60</v>
      </c>
      <c r="AC763" s="2" t="s">
        <v>57</v>
      </c>
      <c r="AF763" s="2">
        <f t="shared" si="97"/>
        <v>0</v>
      </c>
      <c r="AG763" s="2">
        <v>8.1999999999999993</v>
      </c>
      <c r="AH763" s="2">
        <v>13</v>
      </c>
      <c r="AJ763" s="2">
        <f t="shared" si="98"/>
        <v>0</v>
      </c>
      <c r="AK763" s="2">
        <f t="shared" si="102"/>
        <v>23</v>
      </c>
      <c r="AL763" s="5">
        <f t="shared" si="100"/>
        <v>0.21904761904761905</v>
      </c>
    </row>
    <row r="764" spans="1:38" x14ac:dyDescent="0.2">
      <c r="A764" s="2">
        <v>2025</v>
      </c>
      <c r="B764" s="2">
        <v>4</v>
      </c>
      <c r="D764" s="2" t="s">
        <v>1144</v>
      </c>
      <c r="P764" s="2" t="s">
        <v>114</v>
      </c>
      <c r="Q764" s="2" t="s">
        <v>561</v>
      </c>
      <c r="R764" s="2" t="s">
        <v>562</v>
      </c>
      <c r="S764" s="2">
        <v>2</v>
      </c>
      <c r="T764" s="2">
        <v>28.57</v>
      </c>
      <c r="U764" s="2">
        <f>T764*23%</f>
        <v>6.5711000000000004</v>
      </c>
      <c r="V764" s="2">
        <f>T764+U764</f>
        <v>35.141100000000002</v>
      </c>
      <c r="X764" s="5">
        <f t="shared" si="103"/>
        <v>1</v>
      </c>
      <c r="Z764" s="2" t="s">
        <v>117</v>
      </c>
      <c r="AF764" s="2">
        <f t="shared" si="97"/>
        <v>0</v>
      </c>
      <c r="AJ764" s="2">
        <f t="shared" si="98"/>
        <v>0</v>
      </c>
      <c r="AK764" s="2">
        <f t="shared" si="102"/>
        <v>28.57</v>
      </c>
      <c r="AL764" s="5">
        <f t="shared" ref="AL764:AL774" si="104">(T764-W764)/T764</f>
        <v>1</v>
      </c>
    </row>
    <row r="765" spans="1:38" x14ac:dyDescent="0.2">
      <c r="A765" s="2">
        <v>2025</v>
      </c>
      <c r="B765" s="2">
        <v>4</v>
      </c>
      <c r="D765" s="2" t="s">
        <v>143</v>
      </c>
      <c r="M765" s="2" t="s">
        <v>40</v>
      </c>
      <c r="P765" s="2" t="s">
        <v>187</v>
      </c>
      <c r="Q765" s="2" t="s">
        <v>188</v>
      </c>
      <c r="R765" s="2" t="s">
        <v>189</v>
      </c>
      <c r="S765" s="2">
        <v>1</v>
      </c>
      <c r="T765" s="2">
        <v>228</v>
      </c>
      <c r="U765" s="2">
        <v>52.44</v>
      </c>
      <c r="V765" s="2">
        <v>280.44</v>
      </c>
      <c r="W765" s="2">
        <f>T765*40%</f>
        <v>91.2</v>
      </c>
      <c r="X765" s="5">
        <f t="shared" si="103"/>
        <v>0.60000000000000009</v>
      </c>
      <c r="Z765" s="2" t="s">
        <v>117</v>
      </c>
      <c r="AA765" s="2" t="s">
        <v>190</v>
      </c>
      <c r="AB765" s="2" t="s">
        <v>189</v>
      </c>
      <c r="AC765" s="2" t="s">
        <v>40</v>
      </c>
      <c r="AF765" s="2">
        <f t="shared" si="97"/>
        <v>0</v>
      </c>
      <c r="AJ765" s="2">
        <f t="shared" si="98"/>
        <v>0</v>
      </c>
      <c r="AK765" s="2">
        <f t="shared" si="102"/>
        <v>136.80000000000001</v>
      </c>
      <c r="AL765" s="5">
        <f t="shared" si="104"/>
        <v>0.60000000000000009</v>
      </c>
    </row>
    <row r="766" spans="1:38" x14ac:dyDescent="0.2">
      <c r="A766" s="2">
        <v>2025</v>
      </c>
      <c r="B766" s="2">
        <v>4</v>
      </c>
      <c r="D766" s="2" t="s">
        <v>143</v>
      </c>
      <c r="M766" s="2" t="s">
        <v>40</v>
      </c>
      <c r="P766" s="2" t="s">
        <v>187</v>
      </c>
      <c r="Q766" s="2" t="s">
        <v>191</v>
      </c>
      <c r="R766" s="2" t="s">
        <v>190</v>
      </c>
      <c r="S766" s="2">
        <v>2</v>
      </c>
      <c r="T766" s="2">
        <v>100</v>
      </c>
      <c r="U766" s="2">
        <v>23</v>
      </c>
      <c r="V766" s="2">
        <v>123</v>
      </c>
      <c r="W766" s="2">
        <f>T766*50%</f>
        <v>50</v>
      </c>
      <c r="X766" s="5">
        <f t="shared" si="103"/>
        <v>0.5</v>
      </c>
      <c r="Z766" s="2" t="s">
        <v>117</v>
      </c>
      <c r="AA766" s="2" t="s">
        <v>190</v>
      </c>
      <c r="AB766" s="2" t="s">
        <v>190</v>
      </c>
      <c r="AC766" s="2" t="s">
        <v>40</v>
      </c>
      <c r="AF766" s="2">
        <f t="shared" si="97"/>
        <v>0</v>
      </c>
      <c r="AJ766" s="2">
        <f t="shared" si="98"/>
        <v>0</v>
      </c>
      <c r="AK766" s="2">
        <f t="shared" si="102"/>
        <v>50</v>
      </c>
      <c r="AL766" s="5">
        <f t="shared" si="104"/>
        <v>0.5</v>
      </c>
    </row>
    <row r="767" spans="1:38" x14ac:dyDescent="0.2">
      <c r="A767" s="2">
        <v>2025</v>
      </c>
      <c r="B767" s="2">
        <v>4</v>
      </c>
      <c r="D767" s="2" t="s">
        <v>1145</v>
      </c>
      <c r="E767" s="2" t="s">
        <v>108</v>
      </c>
      <c r="F767" s="2" t="s">
        <v>39</v>
      </c>
      <c r="G767" s="2">
        <v>518312798</v>
      </c>
      <c r="H767" s="2" t="s">
        <v>41</v>
      </c>
      <c r="I767" s="2" t="s">
        <v>1146</v>
      </c>
      <c r="J767" s="2" t="s">
        <v>1147</v>
      </c>
      <c r="L767" s="2" t="s">
        <v>133</v>
      </c>
      <c r="M767" s="2" t="s">
        <v>41</v>
      </c>
      <c r="O767" s="2" t="s">
        <v>1148</v>
      </c>
      <c r="P767" s="2" t="s">
        <v>40</v>
      </c>
      <c r="Q767" s="2" t="s">
        <v>363</v>
      </c>
      <c r="R767" s="2" t="s">
        <v>364</v>
      </c>
      <c r="S767" s="2">
        <v>1</v>
      </c>
      <c r="T767" s="2">
        <v>1250</v>
      </c>
      <c r="U767" s="2">
        <v>287.5</v>
      </c>
      <c r="V767" s="2">
        <v>1537.5</v>
      </c>
      <c r="W767" s="2">
        <f>T767*75%</f>
        <v>937.5</v>
      </c>
      <c r="X767" s="5">
        <f t="shared" si="103"/>
        <v>0.25</v>
      </c>
      <c r="Z767" s="2" t="s">
        <v>1149</v>
      </c>
      <c r="AA767" s="2" t="s">
        <v>150</v>
      </c>
      <c r="AB767" s="2" t="s">
        <v>475</v>
      </c>
      <c r="AC767" s="2" t="s">
        <v>475</v>
      </c>
      <c r="AF767" s="2">
        <f t="shared" si="97"/>
        <v>0</v>
      </c>
      <c r="AJ767" s="2">
        <f t="shared" si="98"/>
        <v>0</v>
      </c>
      <c r="AK767" s="2">
        <f t="shared" si="102"/>
        <v>312.5</v>
      </c>
      <c r="AL767" s="5">
        <f t="shared" si="104"/>
        <v>0.25</v>
      </c>
    </row>
    <row r="768" spans="1:38" x14ac:dyDescent="0.2">
      <c r="A768" s="2">
        <v>2025</v>
      </c>
      <c r="B768" s="2">
        <v>4</v>
      </c>
      <c r="D768" s="2" t="s">
        <v>1150</v>
      </c>
      <c r="P768" s="2" t="s">
        <v>114</v>
      </c>
      <c r="Q768" s="2" t="s">
        <v>1151</v>
      </c>
      <c r="R768" s="2" t="s">
        <v>1152</v>
      </c>
      <c r="S768" s="2">
        <v>1</v>
      </c>
      <c r="T768" s="2">
        <v>252.66</v>
      </c>
      <c r="X768" s="5">
        <f t="shared" si="103"/>
        <v>1</v>
      </c>
      <c r="Z768" s="2" t="s">
        <v>117</v>
      </c>
      <c r="AF768" s="2">
        <f t="shared" si="97"/>
        <v>0</v>
      </c>
      <c r="AJ768" s="2">
        <f t="shared" si="98"/>
        <v>0</v>
      </c>
      <c r="AK768" s="2">
        <f t="shared" si="102"/>
        <v>252.66</v>
      </c>
      <c r="AL768" s="5">
        <f t="shared" si="104"/>
        <v>1</v>
      </c>
    </row>
    <row r="769" spans="1:38" x14ac:dyDescent="0.2">
      <c r="A769" s="2">
        <v>2025</v>
      </c>
      <c r="B769" s="2">
        <v>4</v>
      </c>
      <c r="D769" s="2" t="s">
        <v>1153</v>
      </c>
      <c r="P769" s="2" t="s">
        <v>282</v>
      </c>
      <c r="Q769" s="2" t="s">
        <v>1154</v>
      </c>
      <c r="R769" s="2" t="s">
        <v>1155</v>
      </c>
      <c r="S769" s="2">
        <v>1</v>
      </c>
      <c r="T769" s="2">
        <v>2990</v>
      </c>
      <c r="U769" s="2">
        <f>T769*23%</f>
        <v>687.7</v>
      </c>
      <c r="V769" s="2">
        <f>T769+U769</f>
        <v>3677.7</v>
      </c>
      <c r="W769" s="2">
        <v>2190</v>
      </c>
      <c r="X769" s="5">
        <f t="shared" si="103"/>
        <v>0.26755852842809363</v>
      </c>
      <c r="Z769" s="2" t="s">
        <v>104</v>
      </c>
      <c r="AA769" s="2" t="s">
        <v>1574</v>
      </c>
      <c r="AB769" s="2" t="s">
        <v>388</v>
      </c>
      <c r="AC769" s="2" t="s">
        <v>1327</v>
      </c>
      <c r="AF769" s="2">
        <f t="shared" si="97"/>
        <v>0</v>
      </c>
      <c r="AJ769" s="2">
        <f t="shared" si="98"/>
        <v>0</v>
      </c>
      <c r="AK769" s="2">
        <f t="shared" si="102"/>
        <v>800</v>
      </c>
      <c r="AL769" s="5">
        <f t="shared" si="104"/>
        <v>0.26755852842809363</v>
      </c>
    </row>
    <row r="770" spans="1:38" x14ac:dyDescent="0.2">
      <c r="A770" s="2">
        <v>2025</v>
      </c>
      <c r="B770" s="2">
        <v>4</v>
      </c>
      <c r="D770" s="2" t="s">
        <v>1153</v>
      </c>
      <c r="P770" s="2" t="s">
        <v>282</v>
      </c>
      <c r="Q770" s="2" t="s">
        <v>1156</v>
      </c>
      <c r="R770" s="2" t="s">
        <v>1157</v>
      </c>
      <c r="S770" s="2">
        <v>1</v>
      </c>
      <c r="T770" s="2">
        <v>345</v>
      </c>
      <c r="U770" s="2">
        <f>T770*23%</f>
        <v>79.350000000000009</v>
      </c>
      <c r="V770" s="2">
        <f>T770+U770</f>
        <v>424.35</v>
      </c>
      <c r="W770" s="2">
        <v>241.5</v>
      </c>
      <c r="X770" s="5">
        <f t="shared" si="103"/>
        <v>0.3</v>
      </c>
      <c r="Z770" s="2" t="s">
        <v>104</v>
      </c>
      <c r="AA770" s="2" t="s">
        <v>1574</v>
      </c>
      <c r="AB770" s="2" t="s">
        <v>388</v>
      </c>
      <c r="AC770" s="2" t="s">
        <v>1327</v>
      </c>
      <c r="AF770" s="2">
        <f t="shared" ref="AF770:AF833" si="105">AJ770</f>
        <v>0</v>
      </c>
      <c r="AJ770" s="2">
        <f t="shared" ref="AJ770:AJ833" si="106">AI770*T770</f>
        <v>0</v>
      </c>
      <c r="AK770" s="2">
        <f t="shared" si="102"/>
        <v>103.5</v>
      </c>
      <c r="AL770" s="5">
        <f t="shared" si="104"/>
        <v>0.3</v>
      </c>
    </row>
    <row r="771" spans="1:38" x14ac:dyDescent="0.2">
      <c r="A771" s="2">
        <v>2025</v>
      </c>
      <c r="B771" s="2">
        <v>4</v>
      </c>
      <c r="D771" s="2" t="s">
        <v>1153</v>
      </c>
      <c r="P771" s="2" t="s">
        <v>282</v>
      </c>
      <c r="Q771" s="2" t="s">
        <v>1158</v>
      </c>
      <c r="R771" s="2" t="s">
        <v>1159</v>
      </c>
      <c r="S771" s="2">
        <v>1</v>
      </c>
      <c r="T771" s="2">
        <v>0</v>
      </c>
      <c r="U771" s="2">
        <f>T771*23%</f>
        <v>0</v>
      </c>
      <c r="V771" s="2">
        <f>T771+U771</f>
        <v>0</v>
      </c>
      <c r="W771" s="2">
        <v>0</v>
      </c>
      <c r="X771" s="5">
        <v>0</v>
      </c>
      <c r="AF771" s="2">
        <f t="shared" si="105"/>
        <v>0</v>
      </c>
      <c r="AJ771" s="2">
        <f t="shared" si="106"/>
        <v>0</v>
      </c>
      <c r="AK771" s="2">
        <f t="shared" si="102"/>
        <v>0</v>
      </c>
      <c r="AL771" s="5" t="e">
        <f t="shared" si="104"/>
        <v>#DIV/0!</v>
      </c>
    </row>
    <row r="772" spans="1:38" x14ac:dyDescent="0.2">
      <c r="A772" s="2">
        <v>2025</v>
      </c>
      <c r="B772" s="2">
        <v>4</v>
      </c>
      <c r="D772" s="2" t="s">
        <v>182</v>
      </c>
      <c r="E772" s="2" t="s">
        <v>183</v>
      </c>
      <c r="F772" s="2" t="s">
        <v>184</v>
      </c>
      <c r="G772" s="2">
        <v>503116920</v>
      </c>
      <c r="H772" s="2" t="s">
        <v>41</v>
      </c>
      <c r="I772" s="2" t="s">
        <v>185</v>
      </c>
      <c r="J772" s="2" t="s">
        <v>186</v>
      </c>
      <c r="K772" s="2">
        <v>919591406</v>
      </c>
      <c r="L772" s="2" t="s">
        <v>99</v>
      </c>
      <c r="P772" s="2" t="s">
        <v>68</v>
      </c>
      <c r="Q772" s="2" t="s">
        <v>1160</v>
      </c>
      <c r="R772" s="2" t="s">
        <v>1161</v>
      </c>
      <c r="S772" s="2">
        <v>1</v>
      </c>
      <c r="T772" s="2">
        <v>70</v>
      </c>
      <c r="U772" s="2">
        <v>16.100000000000001</v>
      </c>
      <c r="V772" s="2">
        <v>86.1</v>
      </c>
      <c r="W772" s="2">
        <v>47.4</v>
      </c>
      <c r="X772" s="5">
        <f>(T772-W772)/T772</f>
        <v>0.3228571428571429</v>
      </c>
      <c r="Z772" s="2" t="s">
        <v>3227</v>
      </c>
      <c r="AA772" s="2" t="s">
        <v>71</v>
      </c>
      <c r="AB772" s="2" t="s">
        <v>68</v>
      </c>
      <c r="AC772" s="2" t="s">
        <v>3231</v>
      </c>
      <c r="AF772" s="2">
        <f t="shared" si="105"/>
        <v>0</v>
      </c>
      <c r="AJ772" s="2">
        <f t="shared" si="106"/>
        <v>0</v>
      </c>
      <c r="AK772" s="2">
        <f t="shared" si="102"/>
        <v>22.6</v>
      </c>
      <c r="AL772" s="5">
        <f t="shared" si="104"/>
        <v>0.3228571428571429</v>
      </c>
    </row>
    <row r="773" spans="1:38" x14ac:dyDescent="0.2">
      <c r="A773" s="2">
        <v>2025</v>
      </c>
      <c r="B773" s="2">
        <v>4</v>
      </c>
      <c r="C773" s="2" t="s">
        <v>3322</v>
      </c>
      <c r="D773" s="2" t="s">
        <v>1162</v>
      </c>
      <c r="E773" s="2" t="s">
        <v>752</v>
      </c>
      <c r="F773" s="2" t="s">
        <v>1217</v>
      </c>
      <c r="G773" s="2">
        <v>508199280</v>
      </c>
      <c r="H773" s="2" t="s">
        <v>40</v>
      </c>
      <c r="I773" s="2" t="s">
        <v>1163</v>
      </c>
      <c r="L773" s="2" t="s">
        <v>293</v>
      </c>
      <c r="M773" s="2" t="s">
        <v>40</v>
      </c>
      <c r="P773" s="2" t="s">
        <v>114</v>
      </c>
      <c r="Q773" s="2" t="s">
        <v>179</v>
      </c>
      <c r="R773" s="2" t="s">
        <v>180</v>
      </c>
      <c r="S773" s="2">
        <v>1</v>
      </c>
      <c r="T773" s="2">
        <v>699.3</v>
      </c>
      <c r="U773" s="2">
        <v>160.839</v>
      </c>
      <c r="V773" s="2">
        <v>860.1389999999999</v>
      </c>
      <c r="W773" s="2">
        <v>346.57</v>
      </c>
      <c r="X773" s="5">
        <f>(T773-W773)/T773</f>
        <v>0.50440440440440437</v>
      </c>
      <c r="Z773" s="2" t="s">
        <v>117</v>
      </c>
      <c r="AA773" s="2" t="s">
        <v>181</v>
      </c>
      <c r="AB773" s="2" t="s">
        <v>119</v>
      </c>
      <c r="AC773" s="2" t="s">
        <v>114</v>
      </c>
      <c r="AF773" s="2">
        <f t="shared" si="105"/>
        <v>0</v>
      </c>
      <c r="AJ773" s="2">
        <f t="shared" si="106"/>
        <v>0</v>
      </c>
      <c r="AK773" s="2">
        <f t="shared" si="102"/>
        <v>352.72999999999996</v>
      </c>
      <c r="AL773" s="5">
        <f t="shared" si="104"/>
        <v>0.50440440440440437</v>
      </c>
    </row>
    <row r="774" spans="1:38" x14ac:dyDescent="0.2">
      <c r="A774" s="2">
        <v>2025</v>
      </c>
      <c r="B774" s="2">
        <v>4</v>
      </c>
      <c r="C774" s="2" t="s">
        <v>3322</v>
      </c>
      <c r="D774" s="2" t="s">
        <v>1162</v>
      </c>
      <c r="E774" s="2" t="s">
        <v>752</v>
      </c>
      <c r="F774" s="2" t="s">
        <v>1217</v>
      </c>
      <c r="G774" s="2">
        <v>508199280</v>
      </c>
      <c r="H774" s="2" t="s">
        <v>40</v>
      </c>
      <c r="I774" s="2" t="s">
        <v>1163</v>
      </c>
      <c r="L774" s="2" t="s">
        <v>293</v>
      </c>
      <c r="M774" s="2" t="s">
        <v>40</v>
      </c>
      <c r="P774" s="2" t="s">
        <v>187</v>
      </c>
      <c r="Q774" s="2" t="s">
        <v>188</v>
      </c>
      <c r="R774" s="2" t="s">
        <v>189</v>
      </c>
      <c r="S774" s="2">
        <v>1</v>
      </c>
      <c r="T774" s="2">
        <v>73</v>
      </c>
      <c r="U774" s="2">
        <v>16.79</v>
      </c>
      <c r="V774" s="2">
        <v>89.789999999999992</v>
      </c>
      <c r="W774" s="2">
        <f>T774*40%</f>
        <v>29.200000000000003</v>
      </c>
      <c r="X774" s="5">
        <f>(T774-W774)/T774</f>
        <v>0.6</v>
      </c>
      <c r="Z774" s="2" t="s">
        <v>117</v>
      </c>
      <c r="AA774" s="2" t="s">
        <v>190</v>
      </c>
      <c r="AB774" s="2" t="s">
        <v>189</v>
      </c>
      <c r="AC774" s="2" t="s">
        <v>40</v>
      </c>
      <c r="AF774" s="2">
        <f t="shared" si="105"/>
        <v>0</v>
      </c>
      <c r="AJ774" s="2">
        <f t="shared" si="106"/>
        <v>0</v>
      </c>
      <c r="AK774" s="2">
        <f t="shared" si="102"/>
        <v>43.8</v>
      </c>
      <c r="AL774" s="5">
        <f t="shared" si="104"/>
        <v>0.6</v>
      </c>
    </row>
    <row r="775" spans="1:38" x14ac:dyDescent="0.2">
      <c r="A775" s="2">
        <v>2025</v>
      </c>
      <c r="B775" s="2">
        <v>4</v>
      </c>
      <c r="C775" s="2" t="s">
        <v>3322</v>
      </c>
      <c r="D775" s="2" t="s">
        <v>1162</v>
      </c>
      <c r="E775" s="2" t="s">
        <v>752</v>
      </c>
      <c r="F775" s="2" t="s">
        <v>1217</v>
      </c>
      <c r="G775" s="2">
        <v>508199280</v>
      </c>
      <c r="H775" s="2" t="s">
        <v>40</v>
      </c>
      <c r="I775" s="2" t="s">
        <v>1163</v>
      </c>
      <c r="L775" s="2" t="s">
        <v>293</v>
      </c>
      <c r="M775" s="2" t="s">
        <v>40</v>
      </c>
      <c r="P775" s="2" t="s">
        <v>187</v>
      </c>
      <c r="Q775" s="2" t="s">
        <v>191</v>
      </c>
      <c r="R775" s="2" t="s">
        <v>190</v>
      </c>
      <c r="S775" s="2">
        <v>1.5</v>
      </c>
      <c r="T775" s="2">
        <v>0</v>
      </c>
      <c r="U775" s="2">
        <v>0</v>
      </c>
      <c r="V775" s="2">
        <v>0</v>
      </c>
      <c r="W775" s="2">
        <f>T775*50%</f>
        <v>0</v>
      </c>
      <c r="X775" s="5">
        <v>0</v>
      </c>
      <c r="Z775" s="2" t="s">
        <v>117</v>
      </c>
      <c r="AA775" s="2" t="s">
        <v>190</v>
      </c>
      <c r="AB775" s="2" t="s">
        <v>190</v>
      </c>
      <c r="AC775" s="2" t="s">
        <v>40</v>
      </c>
      <c r="AF775" s="2">
        <f t="shared" si="105"/>
        <v>0</v>
      </c>
      <c r="AJ775" s="2">
        <f t="shared" si="106"/>
        <v>0</v>
      </c>
      <c r="AK775" s="2">
        <v>0</v>
      </c>
      <c r="AL775" s="5">
        <v>0</v>
      </c>
    </row>
    <row r="776" spans="1:38" x14ac:dyDescent="0.2">
      <c r="A776" s="2">
        <v>2025</v>
      </c>
      <c r="B776" s="2">
        <v>4</v>
      </c>
      <c r="D776" s="2" t="s">
        <v>689</v>
      </c>
      <c r="E776" s="2" t="s">
        <v>108</v>
      </c>
      <c r="F776" s="2" t="s">
        <v>39</v>
      </c>
      <c r="G776" s="2">
        <v>503589950</v>
      </c>
      <c r="H776" s="2" t="s">
        <v>41</v>
      </c>
      <c r="I776" s="2" t="s">
        <v>610</v>
      </c>
      <c r="J776" s="2" t="s">
        <v>690</v>
      </c>
      <c r="K776" s="2">
        <v>913036545</v>
      </c>
      <c r="L776" s="2" t="s">
        <v>177</v>
      </c>
      <c r="M776" s="2" t="s">
        <v>41</v>
      </c>
      <c r="O776" s="2" t="s">
        <v>1164</v>
      </c>
      <c r="P776" s="2" t="s">
        <v>43</v>
      </c>
      <c r="Q776" s="2" t="s">
        <v>1165</v>
      </c>
      <c r="R776" s="2" t="s">
        <v>1166</v>
      </c>
      <c r="S776" s="2">
        <v>1</v>
      </c>
      <c r="T776" s="2">
        <v>33</v>
      </c>
      <c r="U776" s="2">
        <v>7.5900000000000007</v>
      </c>
      <c r="V776" s="2">
        <v>40.590000000000003</v>
      </c>
      <c r="W776" s="2">
        <f>18.6</f>
        <v>18.600000000000001</v>
      </c>
      <c r="X776" s="5">
        <f>(T776-W776)/T776</f>
        <v>0.43636363636363634</v>
      </c>
      <c r="Z776" s="2" t="s">
        <v>3227</v>
      </c>
      <c r="AA776" s="2" t="s">
        <v>46</v>
      </c>
      <c r="AB776" s="2" t="s">
        <v>47</v>
      </c>
      <c r="AC776" s="2" t="s">
        <v>57</v>
      </c>
      <c r="AF776" s="2">
        <f t="shared" si="105"/>
        <v>0</v>
      </c>
      <c r="AJ776" s="2">
        <f t="shared" si="106"/>
        <v>0</v>
      </c>
      <c r="AK776" s="2">
        <f t="shared" ref="AK776:AK793" si="107">T776-W776</f>
        <v>14.399999999999999</v>
      </c>
      <c r="AL776" s="5">
        <f t="shared" ref="AL776:AL793" si="108">(T776-W776)/T776</f>
        <v>0.43636363636363634</v>
      </c>
    </row>
    <row r="777" spans="1:38" x14ac:dyDescent="0.2">
      <c r="A777" s="2">
        <v>2025</v>
      </c>
      <c r="B777" s="2">
        <v>4</v>
      </c>
      <c r="D777" s="2" t="s">
        <v>192</v>
      </c>
      <c r="E777" s="2" t="s">
        <v>108</v>
      </c>
      <c r="F777" s="2" t="s">
        <v>193</v>
      </c>
      <c r="G777" s="2">
        <v>502044411</v>
      </c>
      <c r="H777" s="2" t="s">
        <v>40</v>
      </c>
      <c r="I777" s="2" t="s">
        <v>156</v>
      </c>
      <c r="J777" s="2" t="s">
        <v>194</v>
      </c>
      <c r="L777" s="2" t="s">
        <v>99</v>
      </c>
      <c r="M777" s="2" t="s">
        <v>40</v>
      </c>
      <c r="O777" s="2" t="s">
        <v>1167</v>
      </c>
      <c r="P777" s="2" t="s">
        <v>187</v>
      </c>
      <c r="Q777" s="2" t="s">
        <v>188</v>
      </c>
      <c r="R777" s="2" t="s">
        <v>189</v>
      </c>
      <c r="S777" s="2">
        <v>1</v>
      </c>
      <c r="T777" s="2">
        <v>0</v>
      </c>
      <c r="U777" s="2">
        <v>0</v>
      </c>
      <c r="V777" s="2">
        <v>0</v>
      </c>
      <c r="W777" s="2">
        <f>T777*40%</f>
        <v>0</v>
      </c>
      <c r="X777" s="5">
        <v>0</v>
      </c>
      <c r="Z777" s="2" t="s">
        <v>117</v>
      </c>
      <c r="AA777" s="2" t="s">
        <v>190</v>
      </c>
      <c r="AB777" s="2" t="s">
        <v>189</v>
      </c>
      <c r="AC777" s="2" t="s">
        <v>40</v>
      </c>
      <c r="AF777" s="2">
        <f t="shared" si="105"/>
        <v>0</v>
      </c>
      <c r="AJ777" s="2">
        <f t="shared" si="106"/>
        <v>0</v>
      </c>
      <c r="AK777" s="2">
        <f t="shared" si="107"/>
        <v>0</v>
      </c>
      <c r="AL777" s="5" t="e">
        <f t="shared" si="108"/>
        <v>#DIV/0!</v>
      </c>
    </row>
    <row r="778" spans="1:38" x14ac:dyDescent="0.2">
      <c r="A778" s="2">
        <v>2025</v>
      </c>
      <c r="B778" s="2">
        <v>4</v>
      </c>
      <c r="D778" s="2" t="s">
        <v>192</v>
      </c>
      <c r="E778" s="2" t="s">
        <v>108</v>
      </c>
      <c r="F778" s="2" t="s">
        <v>193</v>
      </c>
      <c r="G778" s="2">
        <v>502044411</v>
      </c>
      <c r="H778" s="2" t="s">
        <v>40</v>
      </c>
      <c r="I778" s="2" t="s">
        <v>156</v>
      </c>
      <c r="J778" s="2" t="s">
        <v>194</v>
      </c>
      <c r="L778" s="2" t="s">
        <v>99</v>
      </c>
      <c r="M778" s="2" t="s">
        <v>40</v>
      </c>
      <c r="O778" s="2" t="s">
        <v>1167</v>
      </c>
      <c r="P778" s="2" t="s">
        <v>187</v>
      </c>
      <c r="Q778" s="2" t="s">
        <v>191</v>
      </c>
      <c r="R778" s="2" t="s">
        <v>190</v>
      </c>
      <c r="S778" s="2">
        <v>1</v>
      </c>
      <c r="T778" s="2">
        <v>50</v>
      </c>
      <c r="U778" s="2">
        <v>11.5</v>
      </c>
      <c r="V778" s="2">
        <v>61.5</v>
      </c>
      <c r="W778" s="2">
        <f>T778*50%</f>
        <v>25</v>
      </c>
      <c r="X778" s="5">
        <f t="shared" ref="X778:X787" si="109">(T778-W778)/T778</f>
        <v>0.5</v>
      </c>
      <c r="Z778" s="2" t="s">
        <v>117</v>
      </c>
      <c r="AA778" s="2" t="s">
        <v>190</v>
      </c>
      <c r="AB778" s="2" t="s">
        <v>190</v>
      </c>
      <c r="AC778" s="2" t="s">
        <v>40</v>
      </c>
      <c r="AF778" s="2">
        <f t="shared" si="105"/>
        <v>0</v>
      </c>
      <c r="AJ778" s="2">
        <f t="shared" si="106"/>
        <v>0</v>
      </c>
      <c r="AK778" s="2">
        <f t="shared" si="107"/>
        <v>25</v>
      </c>
      <c r="AL778" s="5">
        <f t="shared" si="108"/>
        <v>0.5</v>
      </c>
    </row>
    <row r="779" spans="1:38" x14ac:dyDescent="0.2">
      <c r="A779" s="2">
        <v>2025</v>
      </c>
      <c r="B779" s="2">
        <v>4</v>
      </c>
      <c r="D779" s="2" t="s">
        <v>1168</v>
      </c>
      <c r="E779" s="2" t="s">
        <v>752</v>
      </c>
      <c r="F779" s="2" t="s">
        <v>1169</v>
      </c>
      <c r="G779" s="2">
        <v>505760088</v>
      </c>
      <c r="H779" s="2" t="s">
        <v>290</v>
      </c>
      <c r="I779" s="2" t="s">
        <v>1170</v>
      </c>
      <c r="J779" s="2" t="s">
        <v>1171</v>
      </c>
      <c r="L779" s="2" t="s">
        <v>339</v>
      </c>
      <c r="M779" s="2" t="s">
        <v>1172</v>
      </c>
      <c r="O779" s="2" t="s">
        <v>1173</v>
      </c>
      <c r="P779" s="2" t="s">
        <v>43</v>
      </c>
      <c r="Q779" s="2" t="s">
        <v>1174</v>
      </c>
      <c r="R779" s="2" t="s">
        <v>1175</v>
      </c>
      <c r="S779" s="2">
        <v>1</v>
      </c>
      <c r="T779" s="2">
        <v>5</v>
      </c>
      <c r="U779" s="2">
        <v>1.1499999999999999</v>
      </c>
      <c r="V779" s="2">
        <v>6.15</v>
      </c>
      <c r="W779" s="2">
        <v>1.8107</v>
      </c>
      <c r="X779" s="5">
        <f t="shared" si="109"/>
        <v>0.63786000000000009</v>
      </c>
      <c r="Z779" s="2" t="s">
        <v>3227</v>
      </c>
      <c r="AA779" s="2" t="s">
        <v>46</v>
      </c>
      <c r="AB779" s="2" t="s">
        <v>60</v>
      </c>
      <c r="AC779" s="2" t="s">
        <v>57</v>
      </c>
      <c r="AF779" s="2">
        <f t="shared" si="105"/>
        <v>0</v>
      </c>
      <c r="AG779" s="2">
        <v>1.8107</v>
      </c>
      <c r="AH779" s="2">
        <v>3</v>
      </c>
      <c r="AJ779" s="2">
        <f t="shared" si="106"/>
        <v>0</v>
      </c>
      <c r="AK779" s="2">
        <f t="shared" si="107"/>
        <v>3.1893000000000002</v>
      </c>
      <c r="AL779" s="5">
        <f t="shared" si="108"/>
        <v>0.63786000000000009</v>
      </c>
    </row>
    <row r="780" spans="1:38" x14ac:dyDescent="0.2">
      <c r="A780" s="2">
        <v>2025</v>
      </c>
      <c r="B780" s="2">
        <v>4</v>
      </c>
      <c r="D780" s="2" t="s">
        <v>1168</v>
      </c>
      <c r="E780" s="2" t="s">
        <v>752</v>
      </c>
      <c r="F780" s="2" t="s">
        <v>1169</v>
      </c>
      <c r="G780" s="2">
        <v>505760088</v>
      </c>
      <c r="H780" s="2" t="s">
        <v>290</v>
      </c>
      <c r="I780" s="2" t="s">
        <v>1170</v>
      </c>
      <c r="J780" s="2" t="s">
        <v>1171</v>
      </c>
      <c r="L780" s="2" t="s">
        <v>339</v>
      </c>
      <c r="M780" s="2" t="s">
        <v>1172</v>
      </c>
      <c r="O780" s="2" t="s">
        <v>1173</v>
      </c>
      <c r="P780" s="2" t="s">
        <v>43</v>
      </c>
      <c r="Q780" s="2" t="s">
        <v>1176</v>
      </c>
      <c r="R780" s="2" t="s">
        <v>1177</v>
      </c>
      <c r="S780" s="2">
        <v>1</v>
      </c>
      <c r="T780" s="2">
        <v>25</v>
      </c>
      <c r="U780" s="2">
        <v>5.75</v>
      </c>
      <c r="V780" s="2">
        <v>30.75</v>
      </c>
      <c r="W780" s="2">
        <v>20.3</v>
      </c>
      <c r="X780" s="5">
        <f t="shared" si="109"/>
        <v>0.18799999999999997</v>
      </c>
      <c r="Z780" s="2" t="s">
        <v>3227</v>
      </c>
      <c r="AA780" s="2" t="s">
        <v>46</v>
      </c>
      <c r="AB780" s="2" t="s">
        <v>60</v>
      </c>
      <c r="AC780" s="2" t="s">
        <v>57</v>
      </c>
      <c r="AF780" s="2">
        <f t="shared" si="105"/>
        <v>0</v>
      </c>
      <c r="AG780" s="2">
        <v>20.3</v>
      </c>
      <c r="AH780" s="2">
        <v>30.6</v>
      </c>
      <c r="AJ780" s="2">
        <f t="shared" si="106"/>
        <v>0</v>
      </c>
      <c r="AK780" s="2">
        <f t="shared" si="107"/>
        <v>4.6999999999999993</v>
      </c>
      <c r="AL780" s="5">
        <f t="shared" si="108"/>
        <v>0.18799999999999997</v>
      </c>
    </row>
    <row r="781" spans="1:38" x14ac:dyDescent="0.2">
      <c r="A781" s="2">
        <v>2025</v>
      </c>
      <c r="B781" s="2">
        <v>4</v>
      </c>
      <c r="D781" s="2" t="s">
        <v>1168</v>
      </c>
      <c r="E781" s="2" t="s">
        <v>752</v>
      </c>
      <c r="F781" s="2" t="s">
        <v>1169</v>
      </c>
      <c r="G781" s="2">
        <v>505760088</v>
      </c>
      <c r="H781" s="2" t="s">
        <v>290</v>
      </c>
      <c r="I781" s="2" t="s">
        <v>1170</v>
      </c>
      <c r="J781" s="2" t="s">
        <v>1171</v>
      </c>
      <c r="L781" s="2" t="s">
        <v>339</v>
      </c>
      <c r="M781" s="2" t="s">
        <v>1172</v>
      </c>
      <c r="O781" s="2" t="s">
        <v>1173</v>
      </c>
      <c r="P781" s="2" t="s">
        <v>43</v>
      </c>
      <c r="Q781" s="2" t="s">
        <v>971</v>
      </c>
      <c r="R781" s="2" t="s">
        <v>972</v>
      </c>
      <c r="S781" s="2">
        <v>4</v>
      </c>
      <c r="T781" s="2">
        <v>120</v>
      </c>
      <c r="U781" s="2">
        <v>27.6</v>
      </c>
      <c r="V781" s="2">
        <v>147.6</v>
      </c>
      <c r="W781" s="2">
        <f>18.9342*S781</f>
        <v>75.736800000000002</v>
      </c>
      <c r="X781" s="5">
        <f t="shared" si="109"/>
        <v>0.36885999999999997</v>
      </c>
      <c r="Z781" s="2" t="s">
        <v>3227</v>
      </c>
      <c r="AA781" s="2" t="s">
        <v>46</v>
      </c>
      <c r="AB781" s="2" t="s">
        <v>60</v>
      </c>
      <c r="AC781" s="2" t="s">
        <v>57</v>
      </c>
      <c r="AF781" s="2">
        <f t="shared" si="105"/>
        <v>0</v>
      </c>
      <c r="AG781" s="2">
        <v>18.934200000000001</v>
      </c>
      <c r="AH781" s="2">
        <v>29</v>
      </c>
      <c r="AJ781" s="2">
        <f t="shared" si="106"/>
        <v>0</v>
      </c>
      <c r="AK781" s="2">
        <f t="shared" si="107"/>
        <v>44.263199999999998</v>
      </c>
      <c r="AL781" s="5">
        <f t="shared" si="108"/>
        <v>0.36885999999999997</v>
      </c>
    </row>
    <row r="782" spans="1:38" x14ac:dyDescent="0.2">
      <c r="A782" s="2">
        <v>2025</v>
      </c>
      <c r="B782" s="2">
        <v>4</v>
      </c>
      <c r="D782" s="2" t="s">
        <v>1178</v>
      </c>
      <c r="E782" s="2" t="s">
        <v>38</v>
      </c>
      <c r="F782" s="2" t="s">
        <v>39</v>
      </c>
      <c r="G782" s="2">
        <v>502089075</v>
      </c>
      <c r="H782" s="2" t="s">
        <v>41</v>
      </c>
      <c r="I782" s="2" t="s">
        <v>1179</v>
      </c>
      <c r="J782" s="2" t="s">
        <v>1180</v>
      </c>
      <c r="L782" s="2" t="s">
        <v>461</v>
      </c>
      <c r="M782" s="2" t="s">
        <v>41</v>
      </c>
      <c r="O782" s="2" t="s">
        <v>1181</v>
      </c>
      <c r="P782" s="2" t="s">
        <v>43</v>
      </c>
      <c r="Q782" s="2" t="s">
        <v>234</v>
      </c>
      <c r="R782" s="2" t="s">
        <v>235</v>
      </c>
      <c r="S782" s="2">
        <v>1</v>
      </c>
      <c r="T782" s="2">
        <v>13.2</v>
      </c>
      <c r="U782" s="2">
        <v>3.036</v>
      </c>
      <c r="V782" s="2">
        <v>16.236000000000001</v>
      </c>
      <c r="W782" s="2">
        <v>7.2217000000000002</v>
      </c>
      <c r="X782" s="5">
        <f t="shared" si="109"/>
        <v>0.45290151515151511</v>
      </c>
      <c r="Z782" s="2" t="s">
        <v>3227</v>
      </c>
      <c r="AA782" s="2" t="s">
        <v>46</v>
      </c>
      <c r="AB782" s="2" t="s">
        <v>56</v>
      </c>
      <c r="AC782" s="2" t="s">
        <v>57</v>
      </c>
      <c r="AF782" s="2">
        <f t="shared" si="105"/>
        <v>0</v>
      </c>
      <c r="AG782" s="2">
        <v>7.2217000000000002</v>
      </c>
      <c r="AH782" s="2">
        <v>14.4</v>
      </c>
      <c r="AJ782" s="2">
        <f t="shared" si="106"/>
        <v>0</v>
      </c>
      <c r="AK782" s="2">
        <f t="shared" si="107"/>
        <v>5.9782999999999991</v>
      </c>
      <c r="AL782" s="5">
        <f t="shared" si="108"/>
        <v>0.45290151515151511</v>
      </c>
    </row>
    <row r="783" spans="1:38" x14ac:dyDescent="0.2">
      <c r="A783" s="2">
        <v>2025</v>
      </c>
      <c r="B783" s="2">
        <v>4</v>
      </c>
      <c r="D783" s="2" t="s">
        <v>1178</v>
      </c>
      <c r="E783" s="2" t="s">
        <v>38</v>
      </c>
      <c r="F783" s="2" t="s">
        <v>39</v>
      </c>
      <c r="G783" s="2">
        <v>502089075</v>
      </c>
      <c r="H783" s="2" t="s">
        <v>41</v>
      </c>
      <c r="I783" s="2" t="s">
        <v>1179</v>
      </c>
      <c r="J783" s="2" t="s">
        <v>1180</v>
      </c>
      <c r="L783" s="2" t="s">
        <v>461</v>
      </c>
      <c r="M783" s="2" t="s">
        <v>41</v>
      </c>
      <c r="O783" s="2" t="s">
        <v>1181</v>
      </c>
      <c r="P783" s="2" t="s">
        <v>43</v>
      </c>
      <c r="Q783" s="2" t="s">
        <v>236</v>
      </c>
      <c r="R783" s="2" t="s">
        <v>237</v>
      </c>
      <c r="S783" s="2">
        <v>1</v>
      </c>
      <c r="T783" s="2">
        <v>16.2</v>
      </c>
      <c r="U783" s="2">
        <v>3.726</v>
      </c>
      <c r="V783" s="2">
        <v>19.925999999999998</v>
      </c>
      <c r="W783" s="2">
        <f>9.075*S783</f>
        <v>9.0749999999999993</v>
      </c>
      <c r="X783" s="5">
        <f t="shared" si="109"/>
        <v>0.43981481481481483</v>
      </c>
      <c r="Z783" s="2" t="s">
        <v>3227</v>
      </c>
      <c r="AA783" s="2" t="s">
        <v>46</v>
      </c>
      <c r="AB783" s="2" t="s">
        <v>56</v>
      </c>
      <c r="AC783" s="2" t="s">
        <v>57</v>
      </c>
      <c r="AF783" s="2">
        <f t="shared" si="105"/>
        <v>0</v>
      </c>
      <c r="AJ783" s="2">
        <f t="shared" si="106"/>
        <v>0</v>
      </c>
      <c r="AK783" s="2">
        <f t="shared" si="107"/>
        <v>7.125</v>
      </c>
      <c r="AL783" s="5">
        <f t="shared" si="108"/>
        <v>0.43981481481481483</v>
      </c>
    </row>
    <row r="784" spans="1:38" x14ac:dyDescent="0.2">
      <c r="A784" s="2">
        <v>2025</v>
      </c>
      <c r="B784" s="2">
        <v>4</v>
      </c>
      <c r="D784" s="2" t="s">
        <v>1178</v>
      </c>
      <c r="E784" s="2" t="s">
        <v>38</v>
      </c>
      <c r="F784" s="2" t="s">
        <v>39</v>
      </c>
      <c r="G784" s="2">
        <v>502089075</v>
      </c>
      <c r="H784" s="2" t="s">
        <v>41</v>
      </c>
      <c r="I784" s="2" t="s">
        <v>1179</v>
      </c>
      <c r="J784" s="2" t="s">
        <v>1180</v>
      </c>
      <c r="L784" s="2" t="s">
        <v>461</v>
      </c>
      <c r="M784" s="2" t="s">
        <v>41</v>
      </c>
      <c r="O784" s="2" t="s">
        <v>1181</v>
      </c>
      <c r="P784" s="2" t="s">
        <v>43</v>
      </c>
      <c r="Q784" s="2" t="s">
        <v>238</v>
      </c>
      <c r="R784" s="2" t="s">
        <v>239</v>
      </c>
      <c r="S784" s="2">
        <v>1</v>
      </c>
      <c r="T784" s="2">
        <v>19.8</v>
      </c>
      <c r="U784" s="2">
        <v>4.5540000000000003</v>
      </c>
      <c r="V784" s="2">
        <v>24.353999999999999</v>
      </c>
      <c r="W784" s="2">
        <f>11.045*S784</f>
        <v>11.045</v>
      </c>
      <c r="X784" s="5">
        <f t="shared" si="109"/>
        <v>0.44217171717171722</v>
      </c>
      <c r="Z784" s="2" t="s">
        <v>3227</v>
      </c>
      <c r="AA784" s="2" t="s">
        <v>46</v>
      </c>
      <c r="AB784" s="2" t="s">
        <v>56</v>
      </c>
      <c r="AC784" s="2" t="s">
        <v>57</v>
      </c>
      <c r="AF784" s="2">
        <f t="shared" si="105"/>
        <v>0</v>
      </c>
      <c r="AJ784" s="2">
        <f t="shared" si="106"/>
        <v>0</v>
      </c>
      <c r="AK784" s="2">
        <f t="shared" si="107"/>
        <v>8.7550000000000008</v>
      </c>
      <c r="AL784" s="5">
        <f t="shared" si="108"/>
        <v>0.44217171717171722</v>
      </c>
    </row>
    <row r="785" spans="1:38" x14ac:dyDescent="0.2">
      <c r="A785" s="2">
        <v>2025</v>
      </c>
      <c r="B785" s="2">
        <v>4</v>
      </c>
      <c r="D785" s="2" t="s">
        <v>1178</v>
      </c>
      <c r="E785" s="2" t="s">
        <v>38</v>
      </c>
      <c r="F785" s="2" t="s">
        <v>39</v>
      </c>
      <c r="G785" s="2">
        <v>502089075</v>
      </c>
      <c r="H785" s="2" t="s">
        <v>41</v>
      </c>
      <c r="I785" s="2" t="s">
        <v>1179</v>
      </c>
      <c r="J785" s="2" t="s">
        <v>1180</v>
      </c>
      <c r="L785" s="2" t="s">
        <v>461</v>
      </c>
      <c r="M785" s="2" t="s">
        <v>41</v>
      </c>
      <c r="O785" s="2" t="s">
        <v>1182</v>
      </c>
      <c r="P785" s="2" t="s">
        <v>43</v>
      </c>
      <c r="Q785" s="2" t="s">
        <v>240</v>
      </c>
      <c r="R785" s="2" t="s">
        <v>241</v>
      </c>
      <c r="S785" s="2">
        <v>1</v>
      </c>
      <c r="T785" s="2">
        <v>24</v>
      </c>
      <c r="U785" s="2">
        <v>5.52</v>
      </c>
      <c r="V785" s="2">
        <v>29.52</v>
      </c>
      <c r="W785" s="2">
        <f>13.4067*S785</f>
        <v>13.406700000000001</v>
      </c>
      <c r="X785" s="5">
        <f t="shared" si="109"/>
        <v>0.44138749999999999</v>
      </c>
      <c r="Z785" s="2" t="s">
        <v>3227</v>
      </c>
      <c r="AA785" s="2" t="s">
        <v>46</v>
      </c>
      <c r="AB785" s="2" t="s">
        <v>56</v>
      </c>
      <c r="AC785" s="2" t="s">
        <v>57</v>
      </c>
      <c r="AF785" s="2">
        <f t="shared" si="105"/>
        <v>0</v>
      </c>
      <c r="AJ785" s="2">
        <f t="shared" si="106"/>
        <v>0</v>
      </c>
      <c r="AK785" s="2">
        <f t="shared" si="107"/>
        <v>10.593299999999999</v>
      </c>
      <c r="AL785" s="5">
        <f t="shared" si="108"/>
        <v>0.44138749999999999</v>
      </c>
    </row>
    <row r="786" spans="1:38" x14ac:dyDescent="0.2">
      <c r="A786" s="2">
        <v>2025</v>
      </c>
      <c r="B786" s="2">
        <v>4</v>
      </c>
      <c r="D786" s="2" t="s">
        <v>1178</v>
      </c>
      <c r="E786" s="2" t="s">
        <v>38</v>
      </c>
      <c r="F786" s="2" t="s">
        <v>39</v>
      </c>
      <c r="G786" s="2">
        <v>502089075</v>
      </c>
      <c r="H786" s="2" t="s">
        <v>41</v>
      </c>
      <c r="I786" s="2" t="s">
        <v>1179</v>
      </c>
      <c r="J786" s="2" t="s">
        <v>1180</v>
      </c>
      <c r="L786" s="2" t="s">
        <v>461</v>
      </c>
      <c r="M786" s="2" t="s">
        <v>41</v>
      </c>
      <c r="O786" s="2" t="s">
        <v>1181</v>
      </c>
      <c r="P786" s="2" t="s">
        <v>43</v>
      </c>
      <c r="Q786" s="2" t="s">
        <v>244</v>
      </c>
      <c r="R786" s="2" t="s">
        <v>245</v>
      </c>
      <c r="S786" s="2">
        <v>1</v>
      </c>
      <c r="T786" s="2">
        <v>16.8</v>
      </c>
      <c r="U786" s="2">
        <v>3.8639999999999999</v>
      </c>
      <c r="V786" s="2">
        <v>20.664000000000001</v>
      </c>
      <c r="W786" s="2">
        <f>9.2346*S786</f>
        <v>9.2346000000000004</v>
      </c>
      <c r="X786" s="5">
        <f t="shared" si="109"/>
        <v>0.45032142857142859</v>
      </c>
      <c r="Z786" s="2" t="s">
        <v>3227</v>
      </c>
      <c r="AA786" s="2" t="s">
        <v>46</v>
      </c>
      <c r="AB786" s="2" t="s">
        <v>56</v>
      </c>
      <c r="AC786" s="2" t="s">
        <v>57</v>
      </c>
      <c r="AF786" s="2">
        <f t="shared" si="105"/>
        <v>0</v>
      </c>
      <c r="AJ786" s="2">
        <f t="shared" si="106"/>
        <v>0</v>
      </c>
      <c r="AK786" s="2">
        <f t="shared" si="107"/>
        <v>7.5654000000000003</v>
      </c>
      <c r="AL786" s="5">
        <f t="shared" si="108"/>
        <v>0.45032142857142859</v>
      </c>
    </row>
    <row r="787" spans="1:38" x14ac:dyDescent="0.2">
      <c r="A787" s="2">
        <v>2025</v>
      </c>
      <c r="B787" s="2">
        <v>4</v>
      </c>
      <c r="D787" s="2" t="s">
        <v>1178</v>
      </c>
      <c r="E787" s="2" t="s">
        <v>38</v>
      </c>
      <c r="F787" s="2" t="s">
        <v>39</v>
      </c>
      <c r="G787" s="2">
        <v>502089075</v>
      </c>
      <c r="H787" s="2" t="s">
        <v>41</v>
      </c>
      <c r="I787" s="2" t="s">
        <v>1179</v>
      </c>
      <c r="J787" s="2" t="s">
        <v>1180</v>
      </c>
      <c r="L787" s="2" t="s">
        <v>461</v>
      </c>
      <c r="M787" s="2" t="s">
        <v>41</v>
      </c>
      <c r="O787" s="2" t="s">
        <v>1181</v>
      </c>
      <c r="P787" s="2" t="s">
        <v>43</v>
      </c>
      <c r="Q787" s="2" t="s">
        <v>54</v>
      </c>
      <c r="R787" s="2" t="s">
        <v>55</v>
      </c>
      <c r="S787" s="2">
        <v>3</v>
      </c>
      <c r="T787" s="2">
        <v>54</v>
      </c>
      <c r="U787" s="2">
        <f>T787*23%</f>
        <v>12.42</v>
      </c>
      <c r="V787" s="2">
        <f>T787+U787</f>
        <v>66.42</v>
      </c>
      <c r="W787" s="2">
        <f>10.6*S787</f>
        <v>31.799999999999997</v>
      </c>
      <c r="X787" s="5">
        <f t="shared" si="109"/>
        <v>0.41111111111111115</v>
      </c>
      <c r="Z787" s="2" t="s">
        <v>3227</v>
      </c>
      <c r="AA787" s="2" t="s">
        <v>46</v>
      </c>
      <c r="AB787" s="2" t="s">
        <v>56</v>
      </c>
      <c r="AC787" s="2" t="s">
        <v>57</v>
      </c>
      <c r="AF787" s="2">
        <f t="shared" si="105"/>
        <v>0</v>
      </c>
      <c r="AG787" s="2">
        <v>10.6</v>
      </c>
      <c r="AH787" s="2">
        <v>18</v>
      </c>
      <c r="AJ787" s="2">
        <f t="shared" si="106"/>
        <v>0</v>
      </c>
      <c r="AK787" s="2">
        <f t="shared" si="107"/>
        <v>22.200000000000003</v>
      </c>
      <c r="AL787" s="5">
        <f t="shared" si="108"/>
        <v>0.41111111111111115</v>
      </c>
    </row>
    <row r="788" spans="1:38" x14ac:dyDescent="0.2">
      <c r="A788" s="2">
        <v>2025</v>
      </c>
      <c r="B788" s="2">
        <v>4</v>
      </c>
      <c r="D788" s="2" t="s">
        <v>706</v>
      </c>
      <c r="E788" s="2" t="s">
        <v>183</v>
      </c>
      <c r="G788" s="2">
        <v>500038996</v>
      </c>
      <c r="H788" s="2" t="s">
        <v>109</v>
      </c>
      <c r="I788" s="2" t="s">
        <v>707</v>
      </c>
      <c r="J788" s="2" t="s">
        <v>708</v>
      </c>
      <c r="K788" s="2">
        <v>913640179</v>
      </c>
      <c r="L788" s="2" t="s">
        <v>133</v>
      </c>
      <c r="M788" s="2" t="s">
        <v>109</v>
      </c>
      <c r="P788" s="2" t="s">
        <v>114</v>
      </c>
      <c r="Q788" s="2" t="s">
        <v>834</v>
      </c>
      <c r="R788" s="2" t="s">
        <v>835</v>
      </c>
      <c r="S788" s="2">
        <v>1</v>
      </c>
      <c r="T788" s="2">
        <v>0</v>
      </c>
      <c r="U788" s="2">
        <v>0</v>
      </c>
      <c r="V788" s="2">
        <v>0</v>
      </c>
      <c r="X788" s="5">
        <v>0</v>
      </c>
      <c r="Z788" s="2" t="s">
        <v>117</v>
      </c>
      <c r="AF788" s="2">
        <f t="shared" si="105"/>
        <v>0</v>
      </c>
      <c r="AJ788" s="2">
        <f t="shared" si="106"/>
        <v>0</v>
      </c>
      <c r="AK788" s="2">
        <f t="shared" si="107"/>
        <v>0</v>
      </c>
      <c r="AL788" s="5" t="e">
        <f t="shared" si="108"/>
        <v>#DIV/0!</v>
      </c>
    </row>
    <row r="789" spans="1:38" x14ac:dyDescent="0.2">
      <c r="A789" s="2">
        <v>2025</v>
      </c>
      <c r="B789" s="2">
        <v>4</v>
      </c>
      <c r="D789" s="2" t="s">
        <v>706</v>
      </c>
      <c r="E789" s="2" t="s">
        <v>183</v>
      </c>
      <c r="G789" s="2">
        <v>500038996</v>
      </c>
      <c r="H789" s="2" t="s">
        <v>109</v>
      </c>
      <c r="I789" s="2" t="s">
        <v>707</v>
      </c>
      <c r="J789" s="2" t="s">
        <v>708</v>
      </c>
      <c r="K789" s="2">
        <v>913640179</v>
      </c>
      <c r="L789" s="2" t="s">
        <v>133</v>
      </c>
      <c r="M789" s="2" t="s">
        <v>109</v>
      </c>
      <c r="P789" s="2" t="s">
        <v>114</v>
      </c>
      <c r="Q789" s="2" t="s">
        <v>1183</v>
      </c>
      <c r="R789" s="2" t="s">
        <v>1184</v>
      </c>
      <c r="S789" s="2">
        <v>1</v>
      </c>
      <c r="T789" s="2">
        <v>11660</v>
      </c>
      <c r="U789" s="2">
        <v>2681.8</v>
      </c>
      <c r="V789" s="2">
        <v>14341.8</v>
      </c>
      <c r="W789" s="2">
        <v>7437.5950000000003</v>
      </c>
      <c r="X789" s="5">
        <f>(T789-W789)/T789</f>
        <v>0.36212735849056604</v>
      </c>
      <c r="Z789" s="2" t="s">
        <v>104</v>
      </c>
      <c r="AA789" s="2" t="s">
        <v>414</v>
      </c>
      <c r="AB789" s="2" t="s">
        <v>151</v>
      </c>
      <c r="AC789" s="2" t="s">
        <v>114</v>
      </c>
      <c r="AF789" s="2">
        <f t="shared" si="105"/>
        <v>0</v>
      </c>
      <c r="AJ789" s="2">
        <f t="shared" si="106"/>
        <v>0</v>
      </c>
      <c r="AK789" s="2">
        <f t="shared" si="107"/>
        <v>4222.4049999999997</v>
      </c>
      <c r="AL789" s="5">
        <f t="shared" si="108"/>
        <v>0.36212735849056604</v>
      </c>
    </row>
    <row r="790" spans="1:38" x14ac:dyDescent="0.2">
      <c r="A790" s="2">
        <v>2025</v>
      </c>
      <c r="B790" s="2">
        <v>4</v>
      </c>
      <c r="D790" s="2" t="s">
        <v>706</v>
      </c>
      <c r="E790" s="2" t="s">
        <v>183</v>
      </c>
      <c r="G790" s="2">
        <v>500038996</v>
      </c>
      <c r="H790" s="2" t="s">
        <v>109</v>
      </c>
      <c r="I790" s="2" t="s">
        <v>707</v>
      </c>
      <c r="J790" s="2" t="s">
        <v>708</v>
      </c>
      <c r="K790" s="2">
        <v>913640179</v>
      </c>
      <c r="L790" s="2" t="s">
        <v>133</v>
      </c>
      <c r="M790" s="2" t="s">
        <v>109</v>
      </c>
      <c r="O790" s="2" t="s">
        <v>1185</v>
      </c>
      <c r="P790" s="2" t="s">
        <v>68</v>
      </c>
      <c r="Q790" s="2" t="s">
        <v>1160</v>
      </c>
      <c r="R790" s="2" t="s">
        <v>1161</v>
      </c>
      <c r="S790" s="2">
        <v>2</v>
      </c>
      <c r="T790" s="2">
        <v>140</v>
      </c>
      <c r="U790" s="2">
        <v>32.200000000000003</v>
      </c>
      <c r="V790" s="2">
        <v>172.2</v>
      </c>
      <c r="W790" s="2">
        <v>94.8</v>
      </c>
      <c r="X790" s="5">
        <f>(T790-W790)/T790</f>
        <v>0.3228571428571429</v>
      </c>
      <c r="Z790" s="2" t="s">
        <v>3227</v>
      </c>
      <c r="AA790" s="2" t="s">
        <v>71</v>
      </c>
      <c r="AB790" s="2" t="s">
        <v>68</v>
      </c>
      <c r="AC790" s="2" t="s">
        <v>3231</v>
      </c>
      <c r="AF790" s="2">
        <f t="shared" si="105"/>
        <v>0</v>
      </c>
      <c r="AJ790" s="2">
        <f t="shared" si="106"/>
        <v>0</v>
      </c>
      <c r="AK790" s="2">
        <f t="shared" si="107"/>
        <v>45.2</v>
      </c>
      <c r="AL790" s="5">
        <f t="shared" si="108"/>
        <v>0.3228571428571429</v>
      </c>
    </row>
    <row r="791" spans="1:38" x14ac:dyDescent="0.2">
      <c r="A791" s="2">
        <v>2025</v>
      </c>
      <c r="B791" s="2">
        <v>4</v>
      </c>
      <c r="D791" s="2" t="s">
        <v>706</v>
      </c>
      <c r="E791" s="2" t="s">
        <v>183</v>
      </c>
      <c r="G791" s="2">
        <v>500038996</v>
      </c>
      <c r="H791" s="2" t="s">
        <v>109</v>
      </c>
      <c r="I791" s="2" t="s">
        <v>707</v>
      </c>
      <c r="J791" s="2" t="s">
        <v>708</v>
      </c>
      <c r="K791" s="2">
        <v>913640179</v>
      </c>
      <c r="L791" s="2" t="s">
        <v>133</v>
      </c>
      <c r="M791" s="2" t="s">
        <v>109</v>
      </c>
      <c r="O791" s="2" t="s">
        <v>1185</v>
      </c>
      <c r="P791" s="2" t="s">
        <v>169</v>
      </c>
      <c r="Q791" s="2" t="s">
        <v>170</v>
      </c>
      <c r="R791" s="2" t="s">
        <v>170</v>
      </c>
      <c r="S791" s="2">
        <v>2</v>
      </c>
      <c r="T791" s="2">
        <v>10</v>
      </c>
      <c r="U791" s="2">
        <v>2.2999999999999998</v>
      </c>
      <c r="V791" s="2">
        <v>12.3</v>
      </c>
      <c r="W791" s="2">
        <v>6</v>
      </c>
      <c r="X791" s="5">
        <f>(T791-W791)/T791</f>
        <v>0.4</v>
      </c>
      <c r="Z791" s="2" t="s">
        <v>169</v>
      </c>
      <c r="AA791" s="2" t="s">
        <v>169</v>
      </c>
      <c r="AF791" s="2">
        <f t="shared" si="105"/>
        <v>0</v>
      </c>
      <c r="AJ791" s="2">
        <f t="shared" si="106"/>
        <v>0</v>
      </c>
      <c r="AK791" s="2">
        <f t="shared" si="107"/>
        <v>4</v>
      </c>
      <c r="AL791" s="5">
        <f t="shared" si="108"/>
        <v>0.4</v>
      </c>
    </row>
    <row r="792" spans="1:38" x14ac:dyDescent="0.2">
      <c r="A792" s="2">
        <v>2025</v>
      </c>
      <c r="B792" s="2">
        <v>4</v>
      </c>
      <c r="D792" s="2" t="s">
        <v>1186</v>
      </c>
      <c r="E792" s="2" t="s">
        <v>38</v>
      </c>
      <c r="F792" s="2" t="s">
        <v>39</v>
      </c>
      <c r="G792" s="2">
        <v>502245247</v>
      </c>
      <c r="H792" s="2" t="s">
        <v>40</v>
      </c>
      <c r="I792" s="2" t="s">
        <v>429</v>
      </c>
      <c r="J792" s="2" t="s">
        <v>1187</v>
      </c>
      <c r="L792" s="2" t="s">
        <v>99</v>
      </c>
      <c r="M792" s="2" t="s">
        <v>80</v>
      </c>
      <c r="O792" s="2" t="s">
        <v>1188</v>
      </c>
      <c r="P792" s="2" t="s">
        <v>72</v>
      </c>
      <c r="Q792" s="2" t="s">
        <v>73</v>
      </c>
      <c r="R792" s="2" t="s">
        <v>74</v>
      </c>
      <c r="S792" s="2">
        <v>1</v>
      </c>
      <c r="T792" s="2">
        <v>218.37</v>
      </c>
      <c r="U792" s="2">
        <v>50.225099999999998</v>
      </c>
      <c r="V792" s="2">
        <v>268.5951</v>
      </c>
      <c r="W792" s="2">
        <v>117.453</v>
      </c>
      <c r="X792" s="5">
        <f>(T792-W792)/T792</f>
        <v>0.46213765627146586</v>
      </c>
      <c r="Z792" s="2" t="s">
        <v>3227</v>
      </c>
      <c r="AA792" s="2" t="s">
        <v>75</v>
      </c>
      <c r="AB792" s="2" t="s">
        <v>76</v>
      </c>
      <c r="AC792" s="2" t="s">
        <v>77</v>
      </c>
      <c r="AF792" s="2">
        <f t="shared" si="105"/>
        <v>0</v>
      </c>
      <c r="AG792" s="2">
        <v>117.453</v>
      </c>
      <c r="AH792" s="2">
        <v>220</v>
      </c>
      <c r="AJ792" s="2">
        <f t="shared" si="106"/>
        <v>0</v>
      </c>
      <c r="AK792" s="2">
        <f t="shared" si="107"/>
        <v>100.917</v>
      </c>
      <c r="AL792" s="5">
        <f t="shared" si="108"/>
        <v>0.46213765627146586</v>
      </c>
    </row>
    <row r="793" spans="1:38" x14ac:dyDescent="0.2">
      <c r="A793" s="2">
        <v>2025</v>
      </c>
      <c r="B793" s="2">
        <v>4</v>
      </c>
      <c r="D793" s="2" t="s">
        <v>1186</v>
      </c>
      <c r="E793" s="2" t="s">
        <v>38</v>
      </c>
      <c r="F793" s="2" t="s">
        <v>39</v>
      </c>
      <c r="G793" s="2">
        <v>502245247</v>
      </c>
      <c r="H793" s="2" t="s">
        <v>40</v>
      </c>
      <c r="I793" s="2" t="s">
        <v>429</v>
      </c>
      <c r="J793" s="2" t="s">
        <v>1187</v>
      </c>
      <c r="L793" s="2" t="s">
        <v>99</v>
      </c>
      <c r="M793" s="2" t="s">
        <v>80</v>
      </c>
      <c r="O793" s="2" t="s">
        <v>1188</v>
      </c>
      <c r="P793" s="2" t="s">
        <v>93</v>
      </c>
      <c r="Q793" s="2" t="s">
        <v>94</v>
      </c>
      <c r="R793" s="2" t="s">
        <v>95</v>
      </c>
      <c r="S793" s="2">
        <v>1</v>
      </c>
      <c r="T793" s="2">
        <v>1.1399999999999999</v>
      </c>
      <c r="U793" s="2">
        <v>0.26219999999999999</v>
      </c>
      <c r="V793" s="2">
        <v>1.4021999999999999</v>
      </c>
      <c r="W793" s="2">
        <v>1.1399999999999999</v>
      </c>
      <c r="X793" s="5">
        <f>(T793-W793)/T793</f>
        <v>0</v>
      </c>
      <c r="Z793" s="2" t="s">
        <v>3227</v>
      </c>
      <c r="AA793" s="2" t="s">
        <v>96</v>
      </c>
      <c r="AB793" s="2" t="s">
        <v>76</v>
      </c>
      <c r="AC793" s="2" t="s">
        <v>93</v>
      </c>
      <c r="AF793" s="2">
        <f t="shared" si="105"/>
        <v>0</v>
      </c>
      <c r="AJ793" s="2">
        <f t="shared" si="106"/>
        <v>0</v>
      </c>
      <c r="AK793" s="2">
        <f t="shared" si="107"/>
        <v>0</v>
      </c>
      <c r="AL793" s="5">
        <f t="shared" si="108"/>
        <v>0</v>
      </c>
    </row>
    <row r="794" spans="1:38" x14ac:dyDescent="0.2">
      <c r="A794" s="2">
        <v>2025</v>
      </c>
      <c r="B794" s="2">
        <v>4</v>
      </c>
      <c r="D794" s="2" t="s">
        <v>1189</v>
      </c>
      <c r="E794" s="2" t="s">
        <v>38</v>
      </c>
      <c r="F794" s="2" t="s">
        <v>39</v>
      </c>
      <c r="G794" s="2">
        <v>515912336</v>
      </c>
      <c r="H794" s="2" t="s">
        <v>41</v>
      </c>
      <c r="I794" s="2" t="s">
        <v>564</v>
      </c>
      <c r="J794" s="2" t="s">
        <v>1190</v>
      </c>
      <c r="K794" s="2">
        <v>965705708</v>
      </c>
      <c r="L794" s="2" t="s">
        <v>418</v>
      </c>
      <c r="M794" s="2" t="s">
        <v>40</v>
      </c>
      <c r="O794" s="2" t="s">
        <v>1191</v>
      </c>
      <c r="P794" s="2" t="s">
        <v>40</v>
      </c>
      <c r="Q794" s="2" t="s">
        <v>363</v>
      </c>
      <c r="R794" s="2" t="s">
        <v>364</v>
      </c>
      <c r="S794" s="2">
        <v>-1</v>
      </c>
      <c r="T794" s="2">
        <v>-64.97</v>
      </c>
      <c r="U794" s="2">
        <v>-14.943099999999999</v>
      </c>
      <c r="V794" s="2">
        <v>-79.9131</v>
      </c>
      <c r="Z794" s="2" t="s">
        <v>119</v>
      </c>
      <c r="AA794" s="2" t="s">
        <v>3380</v>
      </c>
      <c r="AF794" s="2">
        <f t="shared" si="105"/>
        <v>0</v>
      </c>
      <c r="AJ794" s="2">
        <f t="shared" si="106"/>
        <v>0</v>
      </c>
    </row>
    <row r="795" spans="1:38" x14ac:dyDescent="0.2">
      <c r="A795" s="2">
        <v>2025</v>
      </c>
      <c r="B795" s="2">
        <v>4</v>
      </c>
      <c r="D795" s="2" t="s">
        <v>326</v>
      </c>
      <c r="E795" s="2" t="s">
        <v>108</v>
      </c>
      <c r="F795" s="2" t="s">
        <v>39</v>
      </c>
      <c r="G795" s="2">
        <v>501544801</v>
      </c>
      <c r="H795" s="2" t="s">
        <v>41</v>
      </c>
      <c r="I795" s="2" t="s">
        <v>327</v>
      </c>
      <c r="J795" s="2" t="s">
        <v>328</v>
      </c>
      <c r="L795" s="2" t="s">
        <v>177</v>
      </c>
      <c r="P795" s="2" t="s">
        <v>72</v>
      </c>
      <c r="Q795" s="2" t="s">
        <v>1192</v>
      </c>
      <c r="R795" s="2" t="s">
        <v>197</v>
      </c>
      <c r="S795" s="2">
        <v>1</v>
      </c>
      <c r="T795" s="2">
        <v>245</v>
      </c>
      <c r="U795" s="2">
        <v>56.35</v>
      </c>
      <c r="V795" s="2">
        <v>301.35000000000002</v>
      </c>
      <c r="W795" s="2">
        <f>138.1+10.13</f>
        <v>148.22999999999999</v>
      </c>
      <c r="X795" s="5">
        <f t="shared" ref="X795:X801" si="110">(T795-W795)/T795</f>
        <v>0.39497959183673476</v>
      </c>
      <c r="Z795" s="2" t="s">
        <v>3227</v>
      </c>
      <c r="AA795" s="2" t="s">
        <v>75</v>
      </c>
      <c r="AB795" s="2" t="s">
        <v>76</v>
      </c>
      <c r="AC795" s="2" t="s">
        <v>77</v>
      </c>
      <c r="AF795" s="2">
        <f t="shared" si="105"/>
        <v>0</v>
      </c>
      <c r="AJ795" s="2">
        <f t="shared" si="106"/>
        <v>0</v>
      </c>
      <c r="AK795" s="2">
        <f t="shared" ref="AK795:AK827" si="111">T795-W795</f>
        <v>96.77000000000001</v>
      </c>
      <c r="AL795" s="5">
        <f t="shared" ref="AL795:AL827" si="112">(T795-W795)/T795</f>
        <v>0.39497959183673476</v>
      </c>
    </row>
    <row r="796" spans="1:38" x14ac:dyDescent="0.2">
      <c r="A796" s="2">
        <v>2025</v>
      </c>
      <c r="B796" s="2">
        <v>4</v>
      </c>
      <c r="D796" s="2" t="s">
        <v>326</v>
      </c>
      <c r="E796" s="2" t="s">
        <v>108</v>
      </c>
      <c r="F796" s="2" t="s">
        <v>39</v>
      </c>
      <c r="G796" s="2">
        <v>501544801</v>
      </c>
      <c r="H796" s="2" t="s">
        <v>41</v>
      </c>
      <c r="I796" s="2" t="s">
        <v>327</v>
      </c>
      <c r="J796" s="2" t="s">
        <v>328</v>
      </c>
      <c r="L796" s="2" t="s">
        <v>177</v>
      </c>
      <c r="P796" s="2" t="s">
        <v>93</v>
      </c>
      <c r="Q796" s="2" t="s">
        <v>94</v>
      </c>
      <c r="R796" s="2" t="s">
        <v>95</v>
      </c>
      <c r="S796" s="2">
        <v>1</v>
      </c>
      <c r="T796" s="2">
        <v>1.1399999999999999</v>
      </c>
      <c r="U796" s="2">
        <v>0.26219999999999999</v>
      </c>
      <c r="V796" s="2">
        <v>1.4021999999999999</v>
      </c>
      <c r="W796" s="2">
        <v>1.1399999999999999</v>
      </c>
      <c r="X796" s="5">
        <f t="shared" si="110"/>
        <v>0</v>
      </c>
      <c r="Z796" s="2" t="s">
        <v>3227</v>
      </c>
      <c r="AA796" s="2" t="s">
        <v>96</v>
      </c>
      <c r="AB796" s="2" t="s">
        <v>76</v>
      </c>
      <c r="AC796" s="2" t="s">
        <v>93</v>
      </c>
      <c r="AF796" s="2">
        <f t="shared" si="105"/>
        <v>0</v>
      </c>
      <c r="AJ796" s="2">
        <f t="shared" si="106"/>
        <v>0</v>
      </c>
      <c r="AK796" s="2">
        <f t="shared" si="111"/>
        <v>0</v>
      </c>
      <c r="AL796" s="5">
        <f t="shared" si="112"/>
        <v>0</v>
      </c>
    </row>
    <row r="797" spans="1:38" x14ac:dyDescent="0.2">
      <c r="A797" s="2">
        <v>2025</v>
      </c>
      <c r="B797" s="2">
        <v>4</v>
      </c>
      <c r="D797" s="2" t="s">
        <v>731</v>
      </c>
      <c r="E797" s="2" t="s">
        <v>108</v>
      </c>
      <c r="F797" s="2" t="s">
        <v>39</v>
      </c>
      <c r="G797" s="2">
        <v>502757396</v>
      </c>
      <c r="H797" s="2" t="s">
        <v>40</v>
      </c>
      <c r="I797" s="2" t="s">
        <v>99</v>
      </c>
      <c r="J797" s="2" t="s">
        <v>732</v>
      </c>
      <c r="L797" s="2" t="s">
        <v>99</v>
      </c>
      <c r="M797" s="2" t="s">
        <v>80</v>
      </c>
      <c r="O797" s="2" t="s">
        <v>3219</v>
      </c>
      <c r="P797" s="2" t="s">
        <v>72</v>
      </c>
      <c r="Q797" s="2" t="s">
        <v>73</v>
      </c>
      <c r="R797" s="2" t="s">
        <v>74</v>
      </c>
      <c r="S797" s="2">
        <v>2</v>
      </c>
      <c r="T797" s="2">
        <v>400</v>
      </c>
      <c r="U797" s="2">
        <v>92</v>
      </c>
      <c r="V797" s="2">
        <v>492</v>
      </c>
      <c r="W797" s="2">
        <v>234.90600000000001</v>
      </c>
      <c r="X797" s="5">
        <f t="shared" si="110"/>
        <v>0.41273499999999996</v>
      </c>
      <c r="Z797" s="2" t="s">
        <v>3227</v>
      </c>
      <c r="AA797" s="2" t="s">
        <v>75</v>
      </c>
      <c r="AB797" s="2" t="s">
        <v>76</v>
      </c>
      <c r="AC797" s="2" t="s">
        <v>77</v>
      </c>
      <c r="AF797" s="2">
        <f t="shared" si="105"/>
        <v>0</v>
      </c>
      <c r="AG797" s="2">
        <v>117.453</v>
      </c>
      <c r="AH797" s="2">
        <v>220</v>
      </c>
      <c r="AJ797" s="2">
        <f t="shared" si="106"/>
        <v>0</v>
      </c>
      <c r="AK797" s="2">
        <f t="shared" si="111"/>
        <v>165.09399999999999</v>
      </c>
      <c r="AL797" s="5">
        <f t="shared" si="112"/>
        <v>0.41273499999999996</v>
      </c>
    </row>
    <row r="798" spans="1:38" x14ac:dyDescent="0.2">
      <c r="A798" s="2">
        <v>2025</v>
      </c>
      <c r="B798" s="2">
        <v>4</v>
      </c>
      <c r="D798" s="2" t="s">
        <v>731</v>
      </c>
      <c r="E798" s="2" t="s">
        <v>108</v>
      </c>
      <c r="F798" s="2" t="s">
        <v>39</v>
      </c>
      <c r="G798" s="2">
        <v>502757396</v>
      </c>
      <c r="H798" s="2" t="s">
        <v>40</v>
      </c>
      <c r="I798" s="2" t="s">
        <v>99</v>
      </c>
      <c r="J798" s="2" t="s">
        <v>732</v>
      </c>
      <c r="L798" s="2" t="s">
        <v>99</v>
      </c>
      <c r="M798" s="2" t="s">
        <v>80</v>
      </c>
      <c r="O798" s="2" t="s">
        <v>3219</v>
      </c>
      <c r="P798" s="2" t="s">
        <v>93</v>
      </c>
      <c r="Q798" s="2" t="s">
        <v>94</v>
      </c>
      <c r="R798" s="2" t="s">
        <v>95</v>
      </c>
      <c r="S798" s="2">
        <v>2</v>
      </c>
      <c r="T798" s="2">
        <v>2.2799999999999998</v>
      </c>
      <c r="U798" s="2">
        <v>0.52439999999999998</v>
      </c>
      <c r="V798" s="2">
        <v>2.8043999999999998</v>
      </c>
      <c r="W798" s="2">
        <v>2.2799999999999998</v>
      </c>
      <c r="X798" s="5">
        <f t="shared" si="110"/>
        <v>0</v>
      </c>
      <c r="Z798" s="2" t="s">
        <v>3227</v>
      </c>
      <c r="AA798" s="2" t="s">
        <v>96</v>
      </c>
      <c r="AB798" s="2" t="s">
        <v>76</v>
      </c>
      <c r="AC798" s="2" t="s">
        <v>93</v>
      </c>
      <c r="AF798" s="2">
        <f t="shared" si="105"/>
        <v>0</v>
      </c>
      <c r="AG798" s="2">
        <v>1.1399999999999999</v>
      </c>
      <c r="AH798" s="2">
        <v>1.1399999999999999</v>
      </c>
      <c r="AJ798" s="2">
        <f t="shared" si="106"/>
        <v>0</v>
      </c>
      <c r="AK798" s="2">
        <f t="shared" si="111"/>
        <v>0</v>
      </c>
      <c r="AL798" s="5">
        <f t="shared" si="112"/>
        <v>0</v>
      </c>
    </row>
    <row r="799" spans="1:38" x14ac:dyDescent="0.2">
      <c r="A799" s="2">
        <v>2025</v>
      </c>
      <c r="B799" s="2">
        <v>4</v>
      </c>
      <c r="D799" s="2" t="s">
        <v>336</v>
      </c>
      <c r="E799" s="2" t="s">
        <v>108</v>
      </c>
      <c r="F799" s="2" t="s">
        <v>39</v>
      </c>
      <c r="G799" s="2">
        <v>503373494</v>
      </c>
      <c r="H799" s="2" t="s">
        <v>290</v>
      </c>
      <c r="I799" s="2" t="s">
        <v>337</v>
      </c>
      <c r="J799" s="2" t="s">
        <v>338</v>
      </c>
      <c r="K799" s="2">
        <v>965852001</v>
      </c>
      <c r="L799" s="2" t="s">
        <v>339</v>
      </c>
      <c r="M799" s="2" t="s">
        <v>40</v>
      </c>
      <c r="O799" s="2" t="s">
        <v>1193</v>
      </c>
      <c r="P799" s="2" t="s">
        <v>1194</v>
      </c>
      <c r="Q799" s="2" t="s">
        <v>1195</v>
      </c>
      <c r="R799" s="2" t="s">
        <v>1196</v>
      </c>
      <c r="S799" s="2">
        <v>1</v>
      </c>
      <c r="T799" s="2">
        <v>850</v>
      </c>
      <c r="U799" s="2">
        <f>T799*23%</f>
        <v>195.5</v>
      </c>
      <c r="V799" s="2">
        <f>T799+U799</f>
        <v>1045.5</v>
      </c>
      <c r="W799" s="2">
        <v>402</v>
      </c>
      <c r="X799" s="5">
        <f t="shared" si="110"/>
        <v>0.5270588235294118</v>
      </c>
      <c r="Z799" s="2" t="s">
        <v>117</v>
      </c>
      <c r="AA799" s="2" t="s">
        <v>118</v>
      </c>
      <c r="AB799" s="2" t="s">
        <v>119</v>
      </c>
      <c r="AC799" s="2" t="s">
        <v>1194</v>
      </c>
      <c r="AF799" s="2">
        <f t="shared" si="105"/>
        <v>0</v>
      </c>
      <c r="AJ799" s="2">
        <f t="shared" si="106"/>
        <v>0</v>
      </c>
      <c r="AK799" s="2">
        <f t="shared" si="111"/>
        <v>448</v>
      </c>
      <c r="AL799" s="5">
        <f t="shared" si="112"/>
        <v>0.5270588235294118</v>
      </c>
    </row>
    <row r="800" spans="1:38" x14ac:dyDescent="0.2">
      <c r="A800" s="2">
        <v>2025</v>
      </c>
      <c r="B800" s="2">
        <v>4</v>
      </c>
      <c r="D800" s="2" t="s">
        <v>336</v>
      </c>
      <c r="E800" s="2" t="s">
        <v>108</v>
      </c>
      <c r="F800" s="2" t="s">
        <v>39</v>
      </c>
      <c r="G800" s="2">
        <v>503373494</v>
      </c>
      <c r="H800" s="2" t="s">
        <v>290</v>
      </c>
      <c r="I800" s="2" t="s">
        <v>337</v>
      </c>
      <c r="J800" s="2" t="s">
        <v>338</v>
      </c>
      <c r="K800" s="2">
        <v>965852001</v>
      </c>
      <c r="L800" s="2" t="s">
        <v>339</v>
      </c>
      <c r="M800" s="2" t="s">
        <v>40</v>
      </c>
      <c r="O800" s="2" t="s">
        <v>1193</v>
      </c>
      <c r="P800" s="2" t="s">
        <v>1194</v>
      </c>
      <c r="Q800" s="2" t="s">
        <v>1197</v>
      </c>
      <c r="R800" s="2" t="s">
        <v>1198</v>
      </c>
      <c r="S800" s="2">
        <v>1</v>
      </c>
      <c r="T800" s="2">
        <v>530</v>
      </c>
      <c r="U800" s="2">
        <v>121.9</v>
      </c>
      <c r="V800" s="2">
        <v>651.9</v>
      </c>
      <c r="X800" s="5">
        <f t="shared" si="110"/>
        <v>1</v>
      </c>
      <c r="Z800" s="2" t="s">
        <v>104</v>
      </c>
      <c r="AA800" s="2" t="s">
        <v>1199</v>
      </c>
      <c r="AB800" s="2" t="s">
        <v>119</v>
      </c>
      <c r="AC800" s="2" t="s">
        <v>1194</v>
      </c>
      <c r="AF800" s="2">
        <f t="shared" si="105"/>
        <v>0</v>
      </c>
      <c r="AJ800" s="2">
        <f t="shared" si="106"/>
        <v>0</v>
      </c>
      <c r="AK800" s="2">
        <f t="shared" si="111"/>
        <v>530</v>
      </c>
      <c r="AL800" s="5">
        <f t="shared" si="112"/>
        <v>1</v>
      </c>
    </row>
    <row r="801" spans="1:38" x14ac:dyDescent="0.2">
      <c r="A801" s="2">
        <v>2025</v>
      </c>
      <c r="B801" s="2">
        <v>4</v>
      </c>
      <c r="D801" s="2" t="s">
        <v>336</v>
      </c>
      <c r="E801" s="2" t="s">
        <v>108</v>
      </c>
      <c r="F801" s="2" t="s">
        <v>39</v>
      </c>
      <c r="G801" s="2">
        <v>503373494</v>
      </c>
      <c r="H801" s="2" t="s">
        <v>290</v>
      </c>
      <c r="I801" s="2" t="s">
        <v>337</v>
      </c>
      <c r="J801" s="2" t="s">
        <v>338</v>
      </c>
      <c r="K801" s="2">
        <v>965852001</v>
      </c>
      <c r="L801" s="2" t="s">
        <v>339</v>
      </c>
      <c r="M801" s="2" t="s">
        <v>40</v>
      </c>
      <c r="O801" s="2" t="s">
        <v>1193</v>
      </c>
      <c r="P801" s="2" t="s">
        <v>187</v>
      </c>
      <c r="Q801" s="2" t="s">
        <v>191</v>
      </c>
      <c r="R801" s="2" t="s">
        <v>190</v>
      </c>
      <c r="S801" s="2">
        <v>1</v>
      </c>
      <c r="T801" s="2">
        <v>200</v>
      </c>
      <c r="U801" s="2">
        <v>46</v>
      </c>
      <c r="V801" s="2">
        <v>246</v>
      </c>
      <c r="W801" s="2">
        <f>T801*50%</f>
        <v>100</v>
      </c>
      <c r="X801" s="5">
        <f t="shared" si="110"/>
        <v>0.5</v>
      </c>
      <c r="Z801" s="2" t="s">
        <v>117</v>
      </c>
      <c r="AA801" s="2" t="s">
        <v>190</v>
      </c>
      <c r="AB801" s="2" t="s">
        <v>190</v>
      </c>
      <c r="AC801" s="2" t="s">
        <v>40</v>
      </c>
      <c r="AF801" s="2">
        <f t="shared" si="105"/>
        <v>0</v>
      </c>
      <c r="AJ801" s="2">
        <f t="shared" si="106"/>
        <v>0</v>
      </c>
      <c r="AK801" s="2">
        <f t="shared" si="111"/>
        <v>100</v>
      </c>
      <c r="AL801" s="5">
        <f t="shared" si="112"/>
        <v>0.5</v>
      </c>
    </row>
    <row r="802" spans="1:38" x14ac:dyDescent="0.2">
      <c r="A802" s="2">
        <v>2025</v>
      </c>
      <c r="B802" s="2">
        <v>4</v>
      </c>
      <c r="D802" s="2" t="s">
        <v>336</v>
      </c>
      <c r="E802" s="2" t="s">
        <v>108</v>
      </c>
      <c r="F802" s="2" t="s">
        <v>39</v>
      </c>
      <c r="G802" s="2">
        <v>503373494</v>
      </c>
      <c r="H802" s="2" t="s">
        <v>290</v>
      </c>
      <c r="I802" s="2" t="s">
        <v>337</v>
      </c>
      <c r="J802" s="2" t="s">
        <v>338</v>
      </c>
      <c r="K802" s="2">
        <v>965852001</v>
      </c>
      <c r="L802" s="2" t="s">
        <v>339</v>
      </c>
      <c r="M802" s="2" t="s">
        <v>40</v>
      </c>
      <c r="O802" s="2" t="s">
        <v>1193</v>
      </c>
      <c r="P802" s="2" t="s">
        <v>40</v>
      </c>
      <c r="Q802" s="2" t="s">
        <v>363</v>
      </c>
      <c r="R802" s="2" t="s">
        <v>364</v>
      </c>
      <c r="S802" s="2">
        <v>1</v>
      </c>
      <c r="T802" s="2">
        <v>0</v>
      </c>
      <c r="U802" s="2">
        <v>0</v>
      </c>
      <c r="V802" s="2">
        <v>0</v>
      </c>
      <c r="Z802" s="2" t="s">
        <v>117</v>
      </c>
      <c r="AA802" s="2" t="s">
        <v>118</v>
      </c>
      <c r="AB802" s="2" t="s">
        <v>119</v>
      </c>
      <c r="AF802" s="2">
        <f t="shared" si="105"/>
        <v>0</v>
      </c>
      <c r="AJ802" s="2">
        <f t="shared" si="106"/>
        <v>0</v>
      </c>
      <c r="AK802" s="2">
        <f t="shared" si="111"/>
        <v>0</v>
      </c>
      <c r="AL802" s="5" t="e">
        <f t="shared" si="112"/>
        <v>#DIV/0!</v>
      </c>
    </row>
    <row r="803" spans="1:38" x14ac:dyDescent="0.2">
      <c r="A803" s="2">
        <v>2025</v>
      </c>
      <c r="B803" s="2">
        <v>4</v>
      </c>
      <c r="D803" s="2" t="s">
        <v>744</v>
      </c>
      <c r="E803" s="2" t="s">
        <v>108</v>
      </c>
      <c r="F803" s="2" t="s">
        <v>39</v>
      </c>
      <c r="G803" s="2">
        <v>509181163</v>
      </c>
      <c r="H803" s="2" t="s">
        <v>40</v>
      </c>
      <c r="I803" s="2" t="s">
        <v>745</v>
      </c>
      <c r="J803" s="2" t="s">
        <v>746</v>
      </c>
      <c r="K803" s="2">
        <v>962372760</v>
      </c>
      <c r="L803" s="2" t="s">
        <v>201</v>
      </c>
      <c r="P803" s="2" t="s">
        <v>114</v>
      </c>
      <c r="Q803" s="2" t="s">
        <v>1200</v>
      </c>
      <c r="R803" s="2" t="s">
        <v>1201</v>
      </c>
      <c r="S803" s="2">
        <v>1</v>
      </c>
      <c r="T803" s="2">
        <v>356.81</v>
      </c>
      <c r="X803" s="5">
        <f t="shared" ref="X803:X827" si="113">(T803-W803)/T803</f>
        <v>1</v>
      </c>
      <c r="Z803" s="2" t="s">
        <v>117</v>
      </c>
      <c r="AF803" s="2">
        <f t="shared" si="105"/>
        <v>0</v>
      </c>
      <c r="AJ803" s="2">
        <f t="shared" si="106"/>
        <v>0</v>
      </c>
      <c r="AK803" s="2">
        <f t="shared" si="111"/>
        <v>356.81</v>
      </c>
      <c r="AL803" s="5">
        <f t="shared" si="112"/>
        <v>1</v>
      </c>
    </row>
    <row r="804" spans="1:38" x14ac:dyDescent="0.2">
      <c r="A804" s="2">
        <v>2025</v>
      </c>
      <c r="B804" s="2">
        <v>4</v>
      </c>
      <c r="D804" s="2" t="s">
        <v>1202</v>
      </c>
      <c r="E804" s="2" t="s">
        <v>38</v>
      </c>
      <c r="F804" s="2" t="s">
        <v>39</v>
      </c>
      <c r="G804" s="2">
        <v>507181522</v>
      </c>
      <c r="H804" s="2" t="s">
        <v>290</v>
      </c>
      <c r="I804" s="2" t="s">
        <v>1203</v>
      </c>
      <c r="J804" s="2" t="s">
        <v>1204</v>
      </c>
      <c r="K804" s="2">
        <v>913806033</v>
      </c>
      <c r="L804" s="2" t="s">
        <v>293</v>
      </c>
      <c r="P804" s="2" t="s">
        <v>282</v>
      </c>
      <c r="Q804" s="2" t="s">
        <v>1205</v>
      </c>
      <c r="R804" s="2" t="s">
        <v>1206</v>
      </c>
      <c r="S804" s="2">
        <v>1</v>
      </c>
      <c r="T804" s="2">
        <v>23.9</v>
      </c>
      <c r="U804" s="2">
        <f>T804*23%</f>
        <v>5.4969999999999999</v>
      </c>
      <c r="V804" s="2">
        <f>T804+U804</f>
        <v>29.396999999999998</v>
      </c>
      <c r="W804" s="2">
        <v>14.34</v>
      </c>
      <c r="X804" s="5">
        <f t="shared" si="113"/>
        <v>0.39999999999999997</v>
      </c>
      <c r="Z804" s="2" t="s">
        <v>3227</v>
      </c>
      <c r="AA804" s="2" t="s">
        <v>71</v>
      </c>
      <c r="AB804" s="2" t="s">
        <v>119</v>
      </c>
      <c r="AC804" s="2" t="s">
        <v>119</v>
      </c>
      <c r="AF804" s="2">
        <f t="shared" si="105"/>
        <v>0</v>
      </c>
      <c r="AJ804" s="2">
        <f t="shared" si="106"/>
        <v>0</v>
      </c>
      <c r="AK804" s="2">
        <f t="shared" si="111"/>
        <v>9.5599999999999987</v>
      </c>
      <c r="AL804" s="5">
        <f t="shared" si="112"/>
        <v>0.39999999999999997</v>
      </c>
    </row>
    <row r="805" spans="1:38" x14ac:dyDescent="0.2">
      <c r="A805" s="2">
        <v>2025</v>
      </c>
      <c r="B805" s="2">
        <v>4</v>
      </c>
      <c r="D805" s="2" t="s">
        <v>1202</v>
      </c>
      <c r="E805" s="2" t="s">
        <v>38</v>
      </c>
      <c r="F805" s="2" t="s">
        <v>39</v>
      </c>
      <c r="G805" s="2">
        <v>507181522</v>
      </c>
      <c r="H805" s="2" t="s">
        <v>290</v>
      </c>
      <c r="I805" s="2" t="s">
        <v>1203</v>
      </c>
      <c r="J805" s="2" t="s">
        <v>1204</v>
      </c>
      <c r="K805" s="2">
        <v>913806033</v>
      </c>
      <c r="L805" s="2" t="s">
        <v>293</v>
      </c>
      <c r="P805" s="2" t="s">
        <v>43</v>
      </c>
      <c r="Q805" s="2" t="s">
        <v>48</v>
      </c>
      <c r="R805" s="2" t="s">
        <v>49</v>
      </c>
      <c r="S805" s="2">
        <v>2</v>
      </c>
      <c r="T805" s="2">
        <v>24</v>
      </c>
      <c r="U805" s="2">
        <f>T805*23%</f>
        <v>5.5200000000000005</v>
      </c>
      <c r="V805" s="2">
        <f>T805+U805</f>
        <v>29.52</v>
      </c>
      <c r="W805" s="2">
        <f>6.6267*S805</f>
        <v>13.253399999999999</v>
      </c>
      <c r="X805" s="5">
        <f t="shared" si="113"/>
        <v>0.44777500000000003</v>
      </c>
      <c r="Z805" s="2" t="s">
        <v>3227</v>
      </c>
      <c r="AA805" s="2" t="s">
        <v>46</v>
      </c>
      <c r="AB805" s="2" t="s">
        <v>47</v>
      </c>
      <c r="AC805" s="2" t="s">
        <v>57</v>
      </c>
      <c r="AF805" s="2">
        <f t="shared" si="105"/>
        <v>0</v>
      </c>
      <c r="AG805" s="2">
        <v>6.6266999999999996</v>
      </c>
      <c r="AH805" s="2">
        <v>12</v>
      </c>
      <c r="AJ805" s="2">
        <f t="shared" si="106"/>
        <v>0</v>
      </c>
      <c r="AK805" s="2">
        <f t="shared" si="111"/>
        <v>10.746600000000001</v>
      </c>
      <c r="AL805" s="5">
        <f t="shared" si="112"/>
        <v>0.44777500000000003</v>
      </c>
    </row>
    <row r="806" spans="1:38" x14ac:dyDescent="0.2">
      <c r="A806" s="2">
        <v>2025</v>
      </c>
      <c r="B806" s="2">
        <v>4</v>
      </c>
      <c r="D806" s="2" t="s">
        <v>1202</v>
      </c>
      <c r="E806" s="2" t="s">
        <v>38</v>
      </c>
      <c r="F806" s="2" t="s">
        <v>39</v>
      </c>
      <c r="G806" s="2">
        <v>507181522</v>
      </c>
      <c r="H806" s="2" t="s">
        <v>290</v>
      </c>
      <c r="I806" s="2" t="s">
        <v>1203</v>
      </c>
      <c r="J806" s="2" t="s">
        <v>1204</v>
      </c>
      <c r="K806" s="2">
        <v>913806033</v>
      </c>
      <c r="L806" s="2" t="s">
        <v>293</v>
      </c>
      <c r="P806" s="2" t="s">
        <v>43</v>
      </c>
      <c r="Q806" s="2" t="s">
        <v>50</v>
      </c>
      <c r="R806" s="2" t="s">
        <v>51</v>
      </c>
      <c r="S806" s="2">
        <v>1</v>
      </c>
      <c r="T806" s="2">
        <v>16.8</v>
      </c>
      <c r="U806" s="2">
        <f>T806*23%</f>
        <v>3.8640000000000003</v>
      </c>
      <c r="V806" s="2">
        <f>T806+U806</f>
        <v>20.664000000000001</v>
      </c>
      <c r="W806" s="2">
        <f>14.4*S806</f>
        <v>14.4</v>
      </c>
      <c r="X806" s="5">
        <f t="shared" si="113"/>
        <v>0.14285714285714288</v>
      </c>
      <c r="Z806" s="2" t="s">
        <v>3227</v>
      </c>
      <c r="AA806" s="2" t="s">
        <v>46</v>
      </c>
      <c r="AB806" s="2" t="s">
        <v>47</v>
      </c>
      <c r="AC806" s="2" t="s">
        <v>57</v>
      </c>
      <c r="AF806" s="2">
        <f t="shared" si="105"/>
        <v>0</v>
      </c>
      <c r="AG806" s="2">
        <v>10.2346</v>
      </c>
      <c r="AH806" s="2">
        <v>18</v>
      </c>
      <c r="AJ806" s="2">
        <f t="shared" si="106"/>
        <v>0</v>
      </c>
      <c r="AK806" s="2">
        <f t="shared" si="111"/>
        <v>2.4000000000000004</v>
      </c>
      <c r="AL806" s="5">
        <f t="shared" si="112"/>
        <v>0.14285714285714288</v>
      </c>
    </row>
    <row r="807" spans="1:38" x14ac:dyDescent="0.2">
      <c r="A807" s="2">
        <v>2025</v>
      </c>
      <c r="B807" s="2">
        <v>4</v>
      </c>
      <c r="D807" s="2" t="s">
        <v>1202</v>
      </c>
      <c r="E807" s="2" t="s">
        <v>38</v>
      </c>
      <c r="F807" s="2" t="s">
        <v>39</v>
      </c>
      <c r="G807" s="2">
        <v>507181522</v>
      </c>
      <c r="H807" s="2" t="s">
        <v>290</v>
      </c>
      <c r="I807" s="2" t="s">
        <v>1203</v>
      </c>
      <c r="J807" s="2" t="s">
        <v>1204</v>
      </c>
      <c r="K807" s="2">
        <v>913806033</v>
      </c>
      <c r="L807" s="2" t="s">
        <v>293</v>
      </c>
      <c r="P807" s="2" t="s">
        <v>43</v>
      </c>
      <c r="Q807" s="2" t="s">
        <v>160</v>
      </c>
      <c r="R807" s="2" t="s">
        <v>161</v>
      </c>
      <c r="S807" s="2">
        <v>1</v>
      </c>
      <c r="T807" s="2">
        <v>7.8</v>
      </c>
      <c r="U807" s="2">
        <v>1.794</v>
      </c>
      <c r="V807" s="2">
        <v>9.5939999999999994</v>
      </c>
      <c r="W807" s="2">
        <f>3.7358*S807</f>
        <v>3.7357999999999998</v>
      </c>
      <c r="X807" s="5">
        <f t="shared" si="113"/>
        <v>0.52105128205128204</v>
      </c>
      <c r="Z807" s="2" t="s">
        <v>3227</v>
      </c>
      <c r="AA807" s="2" t="s">
        <v>46</v>
      </c>
      <c r="AB807" s="2" t="s">
        <v>47</v>
      </c>
      <c r="AC807" s="2" t="s">
        <v>57</v>
      </c>
      <c r="AF807" s="2">
        <f t="shared" si="105"/>
        <v>0</v>
      </c>
      <c r="AG807" s="2">
        <v>3.7357999999999998</v>
      </c>
      <c r="AH807" s="2">
        <v>9</v>
      </c>
      <c r="AJ807" s="2">
        <f t="shared" si="106"/>
        <v>0</v>
      </c>
      <c r="AK807" s="2">
        <f t="shared" si="111"/>
        <v>4.0641999999999996</v>
      </c>
      <c r="AL807" s="5">
        <f t="shared" si="112"/>
        <v>0.52105128205128204</v>
      </c>
    </row>
    <row r="808" spans="1:38" x14ac:dyDescent="0.2">
      <c r="A808" s="2">
        <v>2025</v>
      </c>
      <c r="B808" s="2">
        <v>4</v>
      </c>
      <c r="D808" s="2" t="s">
        <v>1202</v>
      </c>
      <c r="E808" s="2" t="s">
        <v>38</v>
      </c>
      <c r="F808" s="2" t="s">
        <v>39</v>
      </c>
      <c r="G808" s="2">
        <v>507181522</v>
      </c>
      <c r="H808" s="2" t="s">
        <v>290</v>
      </c>
      <c r="I808" s="2" t="s">
        <v>1203</v>
      </c>
      <c r="J808" s="2" t="s">
        <v>1204</v>
      </c>
      <c r="K808" s="2">
        <v>913806033</v>
      </c>
      <c r="L808" s="2" t="s">
        <v>293</v>
      </c>
      <c r="P808" s="2" t="s">
        <v>166</v>
      </c>
      <c r="Q808" s="2" t="s">
        <v>1046</v>
      </c>
      <c r="R808" s="2" t="s">
        <v>1047</v>
      </c>
      <c r="S808" s="2">
        <v>20</v>
      </c>
      <c r="T808" s="2">
        <v>42</v>
      </c>
      <c r="U808" s="2">
        <f>T808*23%</f>
        <v>9.66</v>
      </c>
      <c r="V808" s="2">
        <f>T808+U808</f>
        <v>51.66</v>
      </c>
      <c r="X808" s="5">
        <f t="shared" si="113"/>
        <v>1</v>
      </c>
      <c r="Z808" s="2" t="s">
        <v>3227</v>
      </c>
      <c r="AA808" s="2" t="s">
        <v>87</v>
      </c>
      <c r="AB808" s="2" t="s">
        <v>119</v>
      </c>
      <c r="AC808" s="2" t="s">
        <v>166</v>
      </c>
      <c r="AF808" s="2">
        <f t="shared" si="105"/>
        <v>0</v>
      </c>
      <c r="AJ808" s="2">
        <f t="shared" si="106"/>
        <v>0</v>
      </c>
      <c r="AK808" s="2">
        <f t="shared" si="111"/>
        <v>42</v>
      </c>
      <c r="AL808" s="5">
        <f t="shared" si="112"/>
        <v>1</v>
      </c>
    </row>
    <row r="809" spans="1:38" x14ac:dyDescent="0.2">
      <c r="A809" s="2">
        <v>2025</v>
      </c>
      <c r="B809" s="2">
        <v>4</v>
      </c>
      <c r="D809" s="2" t="s">
        <v>1202</v>
      </c>
      <c r="E809" s="2" t="s">
        <v>38</v>
      </c>
      <c r="F809" s="2" t="s">
        <v>39</v>
      </c>
      <c r="G809" s="2">
        <v>507181522</v>
      </c>
      <c r="H809" s="2" t="s">
        <v>290</v>
      </c>
      <c r="I809" s="2" t="s">
        <v>1203</v>
      </c>
      <c r="J809" s="2" t="s">
        <v>1204</v>
      </c>
      <c r="K809" s="2">
        <v>913806033</v>
      </c>
      <c r="L809" s="2" t="s">
        <v>293</v>
      </c>
      <c r="P809" s="2" t="s">
        <v>166</v>
      </c>
      <c r="Q809" s="2" t="s">
        <v>1207</v>
      </c>
      <c r="R809" s="2" t="s">
        <v>1208</v>
      </c>
      <c r="S809" s="2">
        <v>15</v>
      </c>
      <c r="T809" s="2">
        <v>49.5</v>
      </c>
      <c r="U809" s="2">
        <f>T809*23%</f>
        <v>11.385</v>
      </c>
      <c r="V809" s="2">
        <f>T809+U809</f>
        <v>60.884999999999998</v>
      </c>
      <c r="X809" s="5">
        <f t="shared" si="113"/>
        <v>1</v>
      </c>
      <c r="Z809" s="2" t="s">
        <v>3227</v>
      </c>
      <c r="AA809" s="2" t="s">
        <v>87</v>
      </c>
      <c r="AB809" s="2" t="s">
        <v>60</v>
      </c>
      <c r="AC809" s="2" t="s">
        <v>166</v>
      </c>
      <c r="AF809" s="2">
        <f t="shared" si="105"/>
        <v>0</v>
      </c>
      <c r="AJ809" s="2">
        <f t="shared" si="106"/>
        <v>0</v>
      </c>
      <c r="AK809" s="2">
        <f t="shared" si="111"/>
        <v>49.5</v>
      </c>
      <c r="AL809" s="5">
        <f t="shared" si="112"/>
        <v>1</v>
      </c>
    </row>
    <row r="810" spans="1:38" x14ac:dyDescent="0.2">
      <c r="A810" s="2">
        <v>2025</v>
      </c>
      <c r="B810" s="2">
        <v>4</v>
      </c>
      <c r="D810" s="2" t="s">
        <v>1202</v>
      </c>
      <c r="E810" s="2" t="s">
        <v>38</v>
      </c>
      <c r="F810" s="2" t="s">
        <v>39</v>
      </c>
      <c r="G810" s="2">
        <v>507181522</v>
      </c>
      <c r="H810" s="2" t="s">
        <v>290</v>
      </c>
      <c r="I810" s="2" t="s">
        <v>1203</v>
      </c>
      <c r="J810" s="2" t="s">
        <v>1204</v>
      </c>
      <c r="K810" s="2">
        <v>913806033</v>
      </c>
      <c r="L810" s="2" t="s">
        <v>293</v>
      </c>
      <c r="P810" s="2" t="s">
        <v>84</v>
      </c>
      <c r="Q810" s="2" t="s">
        <v>1209</v>
      </c>
      <c r="R810" s="2" t="s">
        <v>1210</v>
      </c>
      <c r="S810" s="2">
        <v>15</v>
      </c>
      <c r="T810" s="2">
        <v>44.1</v>
      </c>
      <c r="U810" s="2">
        <f>T810*23%</f>
        <v>10.143000000000001</v>
      </c>
      <c r="V810" s="2">
        <f>T810+U810</f>
        <v>54.243000000000002</v>
      </c>
      <c r="X810" s="5">
        <f t="shared" si="113"/>
        <v>1</v>
      </c>
      <c r="Z810" s="2" t="s">
        <v>3227</v>
      </c>
      <c r="AA810" s="2" t="s">
        <v>87</v>
      </c>
      <c r="AB810" s="2" t="s">
        <v>60</v>
      </c>
      <c r="AC810" s="2" t="s">
        <v>84</v>
      </c>
      <c r="AF810" s="2">
        <f t="shared" si="105"/>
        <v>0</v>
      </c>
      <c r="AJ810" s="2">
        <f t="shared" si="106"/>
        <v>0</v>
      </c>
      <c r="AK810" s="2">
        <f t="shared" si="111"/>
        <v>44.1</v>
      </c>
      <c r="AL810" s="5">
        <f t="shared" si="112"/>
        <v>1</v>
      </c>
    </row>
    <row r="811" spans="1:38" x14ac:dyDescent="0.2">
      <c r="A811" s="2">
        <v>2025</v>
      </c>
      <c r="B811" s="2">
        <v>4</v>
      </c>
      <c r="D811" s="2" t="s">
        <v>1202</v>
      </c>
      <c r="E811" s="2" t="s">
        <v>38</v>
      </c>
      <c r="F811" s="2" t="s">
        <v>39</v>
      </c>
      <c r="G811" s="2">
        <v>507181522</v>
      </c>
      <c r="H811" s="2" t="s">
        <v>290</v>
      </c>
      <c r="I811" s="2" t="s">
        <v>1203</v>
      </c>
      <c r="J811" s="2" t="s">
        <v>1204</v>
      </c>
      <c r="K811" s="2">
        <v>913806033</v>
      </c>
      <c r="L811" s="2" t="s">
        <v>293</v>
      </c>
      <c r="P811" s="2" t="s">
        <v>84</v>
      </c>
      <c r="Q811" s="2" t="s">
        <v>1211</v>
      </c>
      <c r="R811" s="2" t="s">
        <v>1212</v>
      </c>
      <c r="S811" s="2">
        <v>1</v>
      </c>
      <c r="T811" s="2">
        <v>12</v>
      </c>
      <c r="U811" s="2">
        <v>2.76</v>
      </c>
      <c r="V811" s="2">
        <v>14.76</v>
      </c>
      <c r="X811" s="5">
        <f t="shared" si="113"/>
        <v>1</v>
      </c>
      <c r="Z811" s="2" t="s">
        <v>3227</v>
      </c>
      <c r="AA811" s="2" t="s">
        <v>87</v>
      </c>
      <c r="AB811" s="2" t="s">
        <v>90</v>
      </c>
      <c r="AC811" s="2" t="s">
        <v>84</v>
      </c>
      <c r="AF811" s="2">
        <f t="shared" si="105"/>
        <v>0</v>
      </c>
      <c r="AJ811" s="2">
        <f t="shared" si="106"/>
        <v>0</v>
      </c>
      <c r="AK811" s="2">
        <f t="shared" si="111"/>
        <v>12</v>
      </c>
      <c r="AL811" s="5">
        <f t="shared" si="112"/>
        <v>1</v>
      </c>
    </row>
    <row r="812" spans="1:38" x14ac:dyDescent="0.2">
      <c r="A812" s="2">
        <v>2025</v>
      </c>
      <c r="B812" s="2">
        <v>4</v>
      </c>
      <c r="D812" s="2" t="s">
        <v>1202</v>
      </c>
      <c r="E812" s="2" t="s">
        <v>38</v>
      </c>
      <c r="F812" s="2" t="s">
        <v>39</v>
      </c>
      <c r="G812" s="2">
        <v>507181522</v>
      </c>
      <c r="H812" s="2" t="s">
        <v>290</v>
      </c>
      <c r="I812" s="2" t="s">
        <v>1203</v>
      </c>
      <c r="J812" s="2" t="s">
        <v>1204</v>
      </c>
      <c r="K812" s="2">
        <v>913806033</v>
      </c>
      <c r="L812" s="2" t="s">
        <v>293</v>
      </c>
      <c r="P812" s="2" t="s">
        <v>84</v>
      </c>
      <c r="Q812" s="2" t="s">
        <v>270</v>
      </c>
      <c r="R812" s="2" t="s">
        <v>271</v>
      </c>
      <c r="S812" s="2">
        <v>1</v>
      </c>
      <c r="T812" s="2">
        <v>10.199999999999999</v>
      </c>
      <c r="U812" s="2">
        <v>2.3460000000000001</v>
      </c>
      <c r="V812" s="2">
        <v>12.545999999999999</v>
      </c>
      <c r="W812" s="2">
        <v>6.86</v>
      </c>
      <c r="X812" s="5">
        <f t="shared" si="113"/>
        <v>0.32745098039215681</v>
      </c>
      <c r="Z812" s="2" t="s">
        <v>3227</v>
      </c>
      <c r="AA812" s="2" t="s">
        <v>87</v>
      </c>
      <c r="AB812" s="2" t="s">
        <v>90</v>
      </c>
      <c r="AC812" s="2" t="s">
        <v>84</v>
      </c>
      <c r="AF812" s="2">
        <f t="shared" si="105"/>
        <v>0</v>
      </c>
      <c r="AJ812" s="2">
        <f t="shared" si="106"/>
        <v>0</v>
      </c>
      <c r="AK812" s="2">
        <f t="shared" si="111"/>
        <v>3.339999999999999</v>
      </c>
      <c r="AL812" s="5">
        <f t="shared" si="112"/>
        <v>0.32745098039215681</v>
      </c>
    </row>
    <row r="813" spans="1:38" x14ac:dyDescent="0.2">
      <c r="A813" s="2">
        <v>2025</v>
      </c>
      <c r="B813" s="2">
        <v>4</v>
      </c>
      <c r="D813" s="2" t="s">
        <v>990</v>
      </c>
      <c r="E813" s="2" t="s">
        <v>38</v>
      </c>
      <c r="F813" s="2" t="s">
        <v>39</v>
      </c>
      <c r="G813" s="2">
        <v>513796878</v>
      </c>
      <c r="H813" s="2" t="s">
        <v>40</v>
      </c>
      <c r="I813" s="2" t="s">
        <v>991</v>
      </c>
      <c r="J813" s="2" t="s">
        <v>992</v>
      </c>
      <c r="K813" s="2">
        <v>964159861</v>
      </c>
      <c r="L813" s="2" t="s">
        <v>201</v>
      </c>
      <c r="M813" s="2" t="s">
        <v>80</v>
      </c>
      <c r="O813" s="2" t="s">
        <v>1213</v>
      </c>
      <c r="P813" s="2" t="s">
        <v>72</v>
      </c>
      <c r="Q813" s="2" t="s">
        <v>557</v>
      </c>
      <c r="R813" s="2" t="s">
        <v>307</v>
      </c>
      <c r="S813" s="2">
        <v>1</v>
      </c>
      <c r="T813" s="2">
        <v>218.37</v>
      </c>
      <c r="U813" s="2">
        <v>50.225099999999998</v>
      </c>
      <c r="V813" s="2">
        <v>268.5951</v>
      </c>
      <c r="W813" s="2">
        <v>122.446</v>
      </c>
      <c r="X813" s="5">
        <f t="shared" si="113"/>
        <v>0.43927279388194351</v>
      </c>
      <c r="Z813" s="2" t="s">
        <v>3227</v>
      </c>
      <c r="AA813" s="2" t="s">
        <v>75</v>
      </c>
      <c r="AB813" s="2" t="s">
        <v>76</v>
      </c>
      <c r="AC813" s="2" t="s">
        <v>77</v>
      </c>
      <c r="AF813" s="2">
        <f t="shared" si="105"/>
        <v>0</v>
      </c>
      <c r="AG813" s="2">
        <v>122.446</v>
      </c>
      <c r="AH813" s="2">
        <v>230</v>
      </c>
      <c r="AJ813" s="2">
        <f t="shared" si="106"/>
        <v>0</v>
      </c>
      <c r="AK813" s="2">
        <f t="shared" si="111"/>
        <v>95.924000000000007</v>
      </c>
      <c r="AL813" s="5">
        <f t="shared" si="112"/>
        <v>0.43927279388194351</v>
      </c>
    </row>
    <row r="814" spans="1:38" x14ac:dyDescent="0.2">
      <c r="A814" s="2">
        <v>2025</v>
      </c>
      <c r="B814" s="2">
        <v>4</v>
      </c>
      <c r="D814" s="2" t="s">
        <v>990</v>
      </c>
      <c r="E814" s="2" t="s">
        <v>38</v>
      </c>
      <c r="F814" s="2" t="s">
        <v>39</v>
      </c>
      <c r="G814" s="2">
        <v>513796878</v>
      </c>
      <c r="H814" s="2" t="s">
        <v>40</v>
      </c>
      <c r="I814" s="2" t="s">
        <v>991</v>
      </c>
      <c r="J814" s="2" t="s">
        <v>992</v>
      </c>
      <c r="K814" s="2">
        <v>964159861</v>
      </c>
      <c r="L814" s="2" t="s">
        <v>201</v>
      </c>
      <c r="M814" s="2" t="s">
        <v>80</v>
      </c>
      <c r="O814" s="2" t="s">
        <v>1213</v>
      </c>
      <c r="P814" s="2" t="s">
        <v>93</v>
      </c>
      <c r="Q814" s="2" t="s">
        <v>94</v>
      </c>
      <c r="R814" s="2" t="s">
        <v>95</v>
      </c>
      <c r="S814" s="2">
        <v>1</v>
      </c>
      <c r="T814" s="2">
        <v>1.1399999999999999</v>
      </c>
      <c r="U814" s="2">
        <v>0.26219999999999999</v>
      </c>
      <c r="V814" s="2">
        <v>1.4021999999999999</v>
      </c>
      <c r="W814" s="2">
        <v>1.1399999999999999</v>
      </c>
      <c r="X814" s="5">
        <f t="shared" si="113"/>
        <v>0</v>
      </c>
      <c r="Z814" s="2" t="s">
        <v>3227</v>
      </c>
      <c r="AA814" s="2" t="s">
        <v>96</v>
      </c>
      <c r="AB814" s="2" t="s">
        <v>76</v>
      </c>
      <c r="AC814" s="2" t="s">
        <v>93</v>
      </c>
      <c r="AF814" s="2">
        <f t="shared" si="105"/>
        <v>0</v>
      </c>
      <c r="AG814" s="2">
        <v>1.1399999999999999</v>
      </c>
      <c r="AH814" s="2">
        <v>1.1399999999999999</v>
      </c>
      <c r="AJ814" s="2">
        <f t="shared" si="106"/>
        <v>0</v>
      </c>
      <c r="AK814" s="2">
        <f t="shared" si="111"/>
        <v>0</v>
      </c>
      <c r="AL814" s="5">
        <f t="shared" si="112"/>
        <v>0</v>
      </c>
    </row>
    <row r="815" spans="1:38" x14ac:dyDescent="0.2">
      <c r="A815" s="2">
        <v>2025</v>
      </c>
      <c r="B815" s="2">
        <v>4</v>
      </c>
      <c r="D815" s="2" t="s">
        <v>749</v>
      </c>
      <c r="E815" s="2" t="s">
        <v>108</v>
      </c>
      <c r="F815" s="2" t="s">
        <v>39</v>
      </c>
      <c r="G815" s="2">
        <v>510039537</v>
      </c>
      <c r="H815" s="2" t="s">
        <v>40</v>
      </c>
      <c r="I815" s="2" t="s">
        <v>571</v>
      </c>
      <c r="J815" s="2" t="s">
        <v>750</v>
      </c>
      <c r="K815" s="2">
        <v>969042927</v>
      </c>
      <c r="L815" s="2" t="s">
        <v>571</v>
      </c>
      <c r="P815" s="2" t="s">
        <v>114</v>
      </c>
      <c r="Q815" s="2" t="s">
        <v>1214</v>
      </c>
      <c r="R815" s="2" t="s">
        <v>1215</v>
      </c>
      <c r="S815" s="2">
        <v>1</v>
      </c>
      <c r="T815" s="2">
        <v>49.71</v>
      </c>
      <c r="X815" s="5">
        <f t="shared" si="113"/>
        <v>1</v>
      </c>
      <c r="Z815" s="2" t="s">
        <v>117</v>
      </c>
      <c r="AF815" s="2">
        <f t="shared" si="105"/>
        <v>0</v>
      </c>
      <c r="AJ815" s="2">
        <f t="shared" si="106"/>
        <v>0</v>
      </c>
      <c r="AK815" s="2">
        <f t="shared" si="111"/>
        <v>49.71</v>
      </c>
      <c r="AL815" s="5">
        <f t="shared" si="112"/>
        <v>1</v>
      </c>
    </row>
    <row r="816" spans="1:38" x14ac:dyDescent="0.2">
      <c r="A816" s="2">
        <v>2025</v>
      </c>
      <c r="B816" s="2">
        <v>4</v>
      </c>
      <c r="D816" s="2" t="s">
        <v>749</v>
      </c>
      <c r="E816" s="2" t="s">
        <v>108</v>
      </c>
      <c r="F816" s="2" t="s">
        <v>39</v>
      </c>
      <c r="G816" s="2">
        <v>510039537</v>
      </c>
      <c r="H816" s="2" t="s">
        <v>40</v>
      </c>
      <c r="I816" s="2" t="s">
        <v>571</v>
      </c>
      <c r="J816" s="2" t="s">
        <v>750</v>
      </c>
      <c r="K816" s="2">
        <v>969042927</v>
      </c>
      <c r="L816" s="2" t="s">
        <v>571</v>
      </c>
      <c r="M816" s="2" t="s">
        <v>40</v>
      </c>
      <c r="P816" s="2" t="s">
        <v>187</v>
      </c>
      <c r="Q816" s="2" t="s">
        <v>188</v>
      </c>
      <c r="R816" s="2" t="s">
        <v>189</v>
      </c>
      <c r="S816" s="2">
        <v>1</v>
      </c>
      <c r="T816" s="2">
        <v>184</v>
      </c>
      <c r="U816" s="2">
        <v>42.32</v>
      </c>
      <c r="V816" s="2">
        <v>226.32</v>
      </c>
      <c r="W816" s="2">
        <f>T816*40%</f>
        <v>73.600000000000009</v>
      </c>
      <c r="X816" s="5">
        <f t="shared" si="113"/>
        <v>0.6</v>
      </c>
      <c r="Z816" s="2" t="s">
        <v>117</v>
      </c>
      <c r="AA816" s="2" t="s">
        <v>190</v>
      </c>
      <c r="AB816" s="2" t="s">
        <v>189</v>
      </c>
      <c r="AC816" s="2" t="s">
        <v>40</v>
      </c>
      <c r="AF816" s="2">
        <f t="shared" si="105"/>
        <v>0</v>
      </c>
      <c r="AJ816" s="2">
        <f t="shared" si="106"/>
        <v>0</v>
      </c>
      <c r="AK816" s="2">
        <f t="shared" si="111"/>
        <v>110.39999999999999</v>
      </c>
      <c r="AL816" s="5">
        <f t="shared" si="112"/>
        <v>0.6</v>
      </c>
    </row>
    <row r="817" spans="1:38" x14ac:dyDescent="0.2">
      <c r="A817" s="2">
        <v>2025</v>
      </c>
      <c r="B817" s="2">
        <v>4</v>
      </c>
      <c r="D817" s="2" t="s">
        <v>749</v>
      </c>
      <c r="E817" s="2" t="s">
        <v>108</v>
      </c>
      <c r="F817" s="2" t="s">
        <v>39</v>
      </c>
      <c r="G817" s="2">
        <v>510039537</v>
      </c>
      <c r="H817" s="2" t="s">
        <v>40</v>
      </c>
      <c r="I817" s="2" t="s">
        <v>571</v>
      </c>
      <c r="J817" s="2" t="s">
        <v>750</v>
      </c>
      <c r="K817" s="2">
        <v>969042927</v>
      </c>
      <c r="L817" s="2" t="s">
        <v>571</v>
      </c>
      <c r="M817" s="2" t="s">
        <v>40</v>
      </c>
      <c r="P817" s="2" t="s">
        <v>187</v>
      </c>
      <c r="Q817" s="2" t="s">
        <v>191</v>
      </c>
      <c r="R817" s="2" t="s">
        <v>190</v>
      </c>
      <c r="S817" s="2">
        <v>1</v>
      </c>
      <c r="T817" s="2">
        <v>50</v>
      </c>
      <c r="U817" s="2">
        <v>11.5</v>
      </c>
      <c r="V817" s="2">
        <v>61.5</v>
      </c>
      <c r="W817" s="2">
        <f>T817*50%</f>
        <v>25</v>
      </c>
      <c r="X817" s="5">
        <f t="shared" si="113"/>
        <v>0.5</v>
      </c>
      <c r="Z817" s="2" t="s">
        <v>117</v>
      </c>
      <c r="AA817" s="2" t="s">
        <v>190</v>
      </c>
      <c r="AB817" s="2" t="s">
        <v>190</v>
      </c>
      <c r="AC817" s="2" t="s">
        <v>40</v>
      </c>
      <c r="AF817" s="2">
        <f t="shared" si="105"/>
        <v>0</v>
      </c>
      <c r="AJ817" s="2">
        <f t="shared" si="106"/>
        <v>0</v>
      </c>
      <c r="AK817" s="2">
        <f t="shared" si="111"/>
        <v>25</v>
      </c>
      <c r="AL817" s="5">
        <f t="shared" si="112"/>
        <v>0.5</v>
      </c>
    </row>
    <row r="818" spans="1:38" x14ac:dyDescent="0.2">
      <c r="A818" s="2">
        <v>2025</v>
      </c>
      <c r="B818" s="2">
        <v>4</v>
      </c>
      <c r="D818" s="2" t="s">
        <v>1216</v>
      </c>
      <c r="E818" s="2" t="s">
        <v>752</v>
      </c>
      <c r="F818" s="2" t="s">
        <v>1217</v>
      </c>
      <c r="G818" s="2">
        <v>505181983</v>
      </c>
      <c r="H818" s="2" t="s">
        <v>109</v>
      </c>
      <c r="I818" s="2" t="s">
        <v>1218</v>
      </c>
      <c r="J818" s="2" t="s">
        <v>1219</v>
      </c>
      <c r="L818" s="2" t="s">
        <v>112</v>
      </c>
      <c r="M818" s="2" t="s">
        <v>80</v>
      </c>
      <c r="O818" s="2" t="s">
        <v>1220</v>
      </c>
      <c r="P818" s="2" t="s">
        <v>43</v>
      </c>
      <c r="Q818" s="2" t="s">
        <v>48</v>
      </c>
      <c r="R818" s="2" t="s">
        <v>49</v>
      </c>
      <c r="S818" s="2">
        <v>3</v>
      </c>
      <c r="T818" s="2">
        <v>36</v>
      </c>
      <c r="U818" s="2">
        <f>T818*23%</f>
        <v>8.2800000000000011</v>
      </c>
      <c r="V818" s="2">
        <f>T818+U818</f>
        <v>44.28</v>
      </c>
      <c r="W818" s="2">
        <f>6.6267*S818</f>
        <v>19.880099999999999</v>
      </c>
      <c r="X818" s="5">
        <f t="shared" si="113"/>
        <v>0.44777500000000003</v>
      </c>
      <c r="Z818" s="2" t="s">
        <v>3227</v>
      </c>
      <c r="AA818" s="2" t="s">
        <v>46</v>
      </c>
      <c r="AB818" s="2" t="s">
        <v>47</v>
      </c>
      <c r="AC818" s="2" t="s">
        <v>57</v>
      </c>
      <c r="AF818" s="2">
        <f t="shared" si="105"/>
        <v>0</v>
      </c>
      <c r="AG818" s="2">
        <v>6.6266999999999996</v>
      </c>
      <c r="AH818" s="2">
        <v>12</v>
      </c>
      <c r="AJ818" s="2">
        <f t="shared" si="106"/>
        <v>0</v>
      </c>
      <c r="AK818" s="2">
        <f t="shared" si="111"/>
        <v>16.119900000000001</v>
      </c>
      <c r="AL818" s="5">
        <f t="shared" si="112"/>
        <v>0.44777500000000003</v>
      </c>
    </row>
    <row r="819" spans="1:38" x14ac:dyDescent="0.2">
      <c r="A819" s="2">
        <v>2025</v>
      </c>
      <c r="B819" s="2">
        <v>4</v>
      </c>
      <c r="D819" s="2" t="s">
        <v>1216</v>
      </c>
      <c r="E819" s="2" t="s">
        <v>752</v>
      </c>
      <c r="F819" s="2" t="s">
        <v>1217</v>
      </c>
      <c r="G819" s="2">
        <v>505181983</v>
      </c>
      <c r="H819" s="2" t="s">
        <v>109</v>
      </c>
      <c r="I819" s="2" t="s">
        <v>1218</v>
      </c>
      <c r="J819" s="2" t="s">
        <v>1219</v>
      </c>
      <c r="L819" s="2" t="s">
        <v>112</v>
      </c>
      <c r="M819" s="2" t="s">
        <v>80</v>
      </c>
      <c r="O819" s="2" t="s">
        <v>1220</v>
      </c>
      <c r="P819" s="2" t="s">
        <v>43</v>
      </c>
      <c r="Q819" s="2" t="s">
        <v>52</v>
      </c>
      <c r="R819" s="2" t="s">
        <v>53</v>
      </c>
      <c r="S819" s="2">
        <v>1</v>
      </c>
      <c r="T819" s="2">
        <v>9.6</v>
      </c>
      <c r="U819" s="2">
        <f>T819*23%</f>
        <v>2.2080000000000002</v>
      </c>
      <c r="V819" s="2">
        <f>T819+U819</f>
        <v>11.808</v>
      </c>
      <c r="W819" s="2">
        <f>5.2973*S819</f>
        <v>5.2972999999999999</v>
      </c>
      <c r="X819" s="5">
        <f t="shared" si="113"/>
        <v>0.44819791666666664</v>
      </c>
      <c r="Z819" s="2" t="s">
        <v>3227</v>
      </c>
      <c r="AA819" s="2" t="s">
        <v>46</v>
      </c>
      <c r="AB819" s="2" t="s">
        <v>47</v>
      </c>
      <c r="AC819" s="2" t="s">
        <v>57</v>
      </c>
      <c r="AF819" s="2">
        <f t="shared" si="105"/>
        <v>0</v>
      </c>
      <c r="AG819" s="2">
        <v>5.2972999999999999</v>
      </c>
      <c r="AH819" s="2">
        <v>10.8</v>
      </c>
      <c r="AJ819" s="2">
        <f t="shared" si="106"/>
        <v>0</v>
      </c>
      <c r="AK819" s="2">
        <f t="shared" si="111"/>
        <v>4.3026999999999997</v>
      </c>
      <c r="AL819" s="5">
        <f t="shared" si="112"/>
        <v>0.44819791666666664</v>
      </c>
    </row>
    <row r="820" spans="1:38" x14ac:dyDescent="0.2">
      <c r="A820" s="2">
        <v>2025</v>
      </c>
      <c r="B820" s="2">
        <v>4</v>
      </c>
      <c r="D820" s="2" t="s">
        <v>1216</v>
      </c>
      <c r="E820" s="2" t="s">
        <v>752</v>
      </c>
      <c r="F820" s="2" t="s">
        <v>1217</v>
      </c>
      <c r="G820" s="2">
        <v>505181983</v>
      </c>
      <c r="H820" s="2" t="s">
        <v>109</v>
      </c>
      <c r="I820" s="2" t="s">
        <v>1218</v>
      </c>
      <c r="J820" s="2" t="s">
        <v>1219</v>
      </c>
      <c r="L820" s="2" t="s">
        <v>112</v>
      </c>
      <c r="M820" s="2" t="s">
        <v>80</v>
      </c>
      <c r="O820" s="2" t="s">
        <v>1220</v>
      </c>
      <c r="P820" s="2" t="s">
        <v>43</v>
      </c>
      <c r="Q820" s="2" t="s">
        <v>234</v>
      </c>
      <c r="R820" s="2" t="s">
        <v>235</v>
      </c>
      <c r="S820" s="2">
        <v>1</v>
      </c>
      <c r="T820" s="2">
        <v>13.2</v>
      </c>
      <c r="U820" s="2">
        <f>T820*23%</f>
        <v>3.036</v>
      </c>
      <c r="V820" s="2">
        <f>T820+U820</f>
        <v>16.236000000000001</v>
      </c>
      <c r="W820" s="2">
        <v>7.2217000000000002</v>
      </c>
      <c r="X820" s="5">
        <f t="shared" si="113"/>
        <v>0.45290151515151511</v>
      </c>
      <c r="Z820" s="2" t="s">
        <v>3227</v>
      </c>
      <c r="AA820" s="2" t="s">
        <v>46</v>
      </c>
      <c r="AB820" s="2" t="s">
        <v>56</v>
      </c>
      <c r="AC820" s="2" t="s">
        <v>57</v>
      </c>
      <c r="AF820" s="2">
        <f t="shared" si="105"/>
        <v>0</v>
      </c>
      <c r="AG820" s="2">
        <v>7.2217000000000002</v>
      </c>
      <c r="AH820" s="2">
        <v>14.4</v>
      </c>
      <c r="AJ820" s="2">
        <f t="shared" si="106"/>
        <v>0</v>
      </c>
      <c r="AK820" s="2">
        <f t="shared" si="111"/>
        <v>5.9782999999999991</v>
      </c>
      <c r="AL820" s="5">
        <f t="shared" si="112"/>
        <v>0.45290151515151511</v>
      </c>
    </row>
    <row r="821" spans="1:38" x14ac:dyDescent="0.2">
      <c r="A821" s="2">
        <v>2025</v>
      </c>
      <c r="B821" s="2">
        <v>4</v>
      </c>
      <c r="D821" s="2" t="s">
        <v>1216</v>
      </c>
      <c r="E821" s="2" t="s">
        <v>752</v>
      </c>
      <c r="F821" s="2" t="s">
        <v>1217</v>
      </c>
      <c r="G821" s="2">
        <v>505181983</v>
      </c>
      <c r="H821" s="2" t="s">
        <v>109</v>
      </c>
      <c r="I821" s="2" t="s">
        <v>1218</v>
      </c>
      <c r="J821" s="2" t="s">
        <v>1219</v>
      </c>
      <c r="L821" s="2" t="s">
        <v>112</v>
      </c>
      <c r="M821" s="2" t="s">
        <v>80</v>
      </c>
      <c r="O821" s="2" t="s">
        <v>1220</v>
      </c>
      <c r="P821" s="2" t="s">
        <v>43</v>
      </c>
      <c r="Q821" s="2" t="s">
        <v>54</v>
      </c>
      <c r="R821" s="2" t="s">
        <v>55</v>
      </c>
      <c r="S821" s="2">
        <v>3</v>
      </c>
      <c r="T821" s="2">
        <v>54</v>
      </c>
      <c r="U821" s="2">
        <f>T821*23%</f>
        <v>12.42</v>
      </c>
      <c r="V821" s="2">
        <f>T821+U821</f>
        <v>66.42</v>
      </c>
      <c r="W821" s="2">
        <f>10.6*S821</f>
        <v>31.799999999999997</v>
      </c>
      <c r="X821" s="5">
        <f t="shared" si="113"/>
        <v>0.41111111111111115</v>
      </c>
      <c r="Z821" s="2" t="s">
        <v>3227</v>
      </c>
      <c r="AA821" s="2" t="s">
        <v>46</v>
      </c>
      <c r="AB821" s="2" t="s">
        <v>56</v>
      </c>
      <c r="AC821" s="2" t="s">
        <v>57</v>
      </c>
      <c r="AF821" s="2">
        <f t="shared" si="105"/>
        <v>0</v>
      </c>
      <c r="AG821" s="2">
        <v>10.6</v>
      </c>
      <c r="AH821" s="2">
        <v>18</v>
      </c>
      <c r="AJ821" s="2">
        <f t="shared" si="106"/>
        <v>0</v>
      </c>
      <c r="AK821" s="2">
        <f t="shared" si="111"/>
        <v>22.200000000000003</v>
      </c>
      <c r="AL821" s="5">
        <f t="shared" si="112"/>
        <v>0.41111111111111115</v>
      </c>
    </row>
    <row r="822" spans="1:38" x14ac:dyDescent="0.2">
      <c r="A822" s="2">
        <v>2025</v>
      </c>
      <c r="B822" s="2">
        <v>4</v>
      </c>
      <c r="D822" s="2" t="s">
        <v>1216</v>
      </c>
      <c r="E822" s="2" t="s">
        <v>752</v>
      </c>
      <c r="F822" s="2" t="s">
        <v>1217</v>
      </c>
      <c r="G822" s="2">
        <v>505181983</v>
      </c>
      <c r="H822" s="2" t="s">
        <v>109</v>
      </c>
      <c r="I822" s="2" t="s">
        <v>1218</v>
      </c>
      <c r="J822" s="2" t="s">
        <v>1219</v>
      </c>
      <c r="L822" s="2" t="s">
        <v>112</v>
      </c>
      <c r="M822" s="2" t="s">
        <v>80</v>
      </c>
      <c r="O822" s="2" t="s">
        <v>1220</v>
      </c>
      <c r="P822" s="2" t="s">
        <v>43</v>
      </c>
      <c r="Q822" s="2" t="s">
        <v>61</v>
      </c>
      <c r="R822" s="2" t="s">
        <v>62</v>
      </c>
      <c r="S822" s="2">
        <v>300</v>
      </c>
      <c r="T822" s="2">
        <v>39</v>
      </c>
      <c r="U822" s="2">
        <f>T822*23%</f>
        <v>8.9700000000000006</v>
      </c>
      <c r="V822" s="2">
        <f>T822+U822</f>
        <v>47.97</v>
      </c>
      <c r="W822" s="2">
        <f>0.082*S822</f>
        <v>24.6</v>
      </c>
      <c r="X822" s="5">
        <f t="shared" si="113"/>
        <v>0.3692307692307692</v>
      </c>
      <c r="Z822" s="2" t="s">
        <v>3227</v>
      </c>
      <c r="AA822" s="2" t="s">
        <v>46</v>
      </c>
      <c r="AB822" s="2" t="s">
        <v>60</v>
      </c>
      <c r="AC822" s="2" t="s">
        <v>57</v>
      </c>
      <c r="AF822" s="2">
        <f t="shared" si="105"/>
        <v>0</v>
      </c>
      <c r="AG822" s="2">
        <v>8.1999999999999993</v>
      </c>
      <c r="AH822" s="2">
        <v>13</v>
      </c>
      <c r="AJ822" s="2">
        <f t="shared" si="106"/>
        <v>0</v>
      </c>
      <c r="AK822" s="2">
        <f t="shared" si="111"/>
        <v>14.399999999999999</v>
      </c>
      <c r="AL822" s="5">
        <f t="shared" si="112"/>
        <v>0.3692307692307692</v>
      </c>
    </row>
    <row r="823" spans="1:38" x14ac:dyDescent="0.2">
      <c r="A823" s="2">
        <v>2025</v>
      </c>
      <c r="B823" s="2">
        <v>4</v>
      </c>
      <c r="D823" s="2" t="s">
        <v>1216</v>
      </c>
      <c r="E823" s="2" t="s">
        <v>752</v>
      </c>
      <c r="F823" s="2" t="s">
        <v>1217</v>
      </c>
      <c r="G823" s="2">
        <v>505181983</v>
      </c>
      <c r="H823" s="2" t="s">
        <v>109</v>
      </c>
      <c r="I823" s="2" t="s">
        <v>1218</v>
      </c>
      <c r="J823" s="2" t="s">
        <v>1219</v>
      </c>
      <c r="L823" s="2" t="s">
        <v>112</v>
      </c>
      <c r="M823" s="2" t="s">
        <v>80</v>
      </c>
      <c r="O823" s="2" t="s">
        <v>1220</v>
      </c>
      <c r="P823" s="2" t="s">
        <v>43</v>
      </c>
      <c r="Q823" s="2" t="s">
        <v>65</v>
      </c>
      <c r="R823" s="2" t="s">
        <v>66</v>
      </c>
      <c r="S823" s="2">
        <v>2</v>
      </c>
      <c r="T823" s="2">
        <v>43</v>
      </c>
      <c r="U823" s="2">
        <v>73.600000000000009</v>
      </c>
      <c r="V823" s="2">
        <v>393.6</v>
      </c>
      <c r="W823" s="2">
        <f>15.0203*S823</f>
        <v>30.040600000000001</v>
      </c>
      <c r="X823" s="5">
        <f t="shared" si="113"/>
        <v>0.30138139534883718</v>
      </c>
      <c r="Z823" s="2" t="s">
        <v>3227</v>
      </c>
      <c r="AA823" s="2" t="s">
        <v>46</v>
      </c>
      <c r="AB823" s="2" t="s">
        <v>67</v>
      </c>
      <c r="AC823" s="2" t="s">
        <v>57</v>
      </c>
      <c r="AF823" s="2">
        <f t="shared" si="105"/>
        <v>0</v>
      </c>
      <c r="AG823" s="2">
        <v>15.020300000000001</v>
      </c>
      <c r="AH823" s="2">
        <v>27.6</v>
      </c>
      <c r="AJ823" s="2">
        <f t="shared" si="106"/>
        <v>0</v>
      </c>
      <c r="AK823" s="2">
        <f t="shared" si="111"/>
        <v>12.959399999999999</v>
      </c>
      <c r="AL823" s="5">
        <f t="shared" si="112"/>
        <v>0.30138139534883718</v>
      </c>
    </row>
    <row r="824" spans="1:38" x14ac:dyDescent="0.2">
      <c r="A824" s="2">
        <v>2025</v>
      </c>
      <c r="B824" s="2">
        <v>4</v>
      </c>
      <c r="D824" s="2" t="s">
        <v>359</v>
      </c>
      <c r="E824" s="2" t="s">
        <v>108</v>
      </c>
      <c r="F824" s="2" t="s">
        <v>39</v>
      </c>
      <c r="G824" s="2">
        <v>503413909</v>
      </c>
      <c r="H824" s="2" t="s">
        <v>109</v>
      </c>
      <c r="I824" s="2" t="s">
        <v>360</v>
      </c>
      <c r="J824" s="2" t="s">
        <v>361</v>
      </c>
      <c r="L824" s="2" t="s">
        <v>360</v>
      </c>
      <c r="M824" s="2" t="s">
        <v>80</v>
      </c>
      <c r="O824" s="2" t="s">
        <v>1221</v>
      </c>
      <c r="P824" s="2" t="s">
        <v>658</v>
      </c>
      <c r="Q824" s="2" t="s">
        <v>1222</v>
      </c>
      <c r="R824" s="2" t="s">
        <v>1223</v>
      </c>
      <c r="S824" s="2">
        <v>1</v>
      </c>
      <c r="T824" s="2">
        <v>195</v>
      </c>
      <c r="U824" s="2">
        <v>44.85</v>
      </c>
      <c r="V824" s="2">
        <v>239.85</v>
      </c>
      <c r="W824" s="2">
        <v>103.72</v>
      </c>
      <c r="X824" s="5">
        <f t="shared" si="113"/>
        <v>0.46810256410256412</v>
      </c>
      <c r="Z824" s="2" t="s">
        <v>3227</v>
      </c>
      <c r="AA824" s="2" t="s">
        <v>75</v>
      </c>
      <c r="AB824" s="2" t="s">
        <v>76</v>
      </c>
      <c r="AC824" s="2" t="s">
        <v>658</v>
      </c>
      <c r="AF824" s="2">
        <f t="shared" si="105"/>
        <v>0</v>
      </c>
      <c r="AG824" s="2">
        <f>95.4+8.32</f>
        <v>103.72</v>
      </c>
      <c r="AH824" s="2">
        <v>162.84</v>
      </c>
      <c r="AJ824" s="2">
        <f t="shared" si="106"/>
        <v>0</v>
      </c>
      <c r="AK824" s="2">
        <f t="shared" si="111"/>
        <v>91.28</v>
      </c>
      <c r="AL824" s="5">
        <f t="shared" si="112"/>
        <v>0.46810256410256412</v>
      </c>
    </row>
    <row r="825" spans="1:38" x14ac:dyDescent="0.2">
      <c r="A825" s="2">
        <v>2025</v>
      </c>
      <c r="B825" s="2">
        <v>4</v>
      </c>
      <c r="D825" s="2" t="s">
        <v>359</v>
      </c>
      <c r="E825" s="2" t="s">
        <v>108</v>
      </c>
      <c r="F825" s="2" t="s">
        <v>39</v>
      </c>
      <c r="G825" s="2">
        <v>503413909</v>
      </c>
      <c r="H825" s="2" t="s">
        <v>109</v>
      </c>
      <c r="I825" s="2" t="s">
        <v>360</v>
      </c>
      <c r="J825" s="2" t="s">
        <v>361</v>
      </c>
      <c r="L825" s="2" t="s">
        <v>360</v>
      </c>
      <c r="M825" s="2" t="s">
        <v>80</v>
      </c>
      <c r="O825" s="2" t="s">
        <v>1224</v>
      </c>
      <c r="P825" s="2" t="s">
        <v>1038</v>
      </c>
      <c r="Q825" s="2" t="s">
        <v>1225</v>
      </c>
      <c r="R825" s="2" t="s">
        <v>1226</v>
      </c>
      <c r="S825" s="2">
        <v>1</v>
      </c>
      <c r="T825" s="2">
        <v>260</v>
      </c>
      <c r="U825" s="2">
        <v>59.8</v>
      </c>
      <c r="V825" s="2">
        <v>319.8</v>
      </c>
      <c r="W825" s="2">
        <v>137.1</v>
      </c>
      <c r="X825" s="5">
        <f t="shared" si="113"/>
        <v>0.47269230769230769</v>
      </c>
      <c r="Z825" s="2" t="s">
        <v>3227</v>
      </c>
      <c r="AA825" s="2" t="s">
        <v>75</v>
      </c>
      <c r="AB825" s="2" t="s">
        <v>76</v>
      </c>
      <c r="AC825" s="2" t="s">
        <v>1038</v>
      </c>
      <c r="AF825" s="2">
        <f t="shared" si="105"/>
        <v>0</v>
      </c>
      <c r="AG825" s="2">
        <v>137.1</v>
      </c>
      <c r="AH825" s="2">
        <v>260</v>
      </c>
      <c r="AJ825" s="2">
        <f t="shared" si="106"/>
        <v>0</v>
      </c>
      <c r="AK825" s="2">
        <f t="shared" si="111"/>
        <v>122.9</v>
      </c>
      <c r="AL825" s="5">
        <f t="shared" si="112"/>
        <v>0.47269230769230769</v>
      </c>
    </row>
    <row r="826" spans="1:38" x14ac:dyDescent="0.2">
      <c r="A826" s="2">
        <v>2025</v>
      </c>
      <c r="B826" s="2">
        <v>4</v>
      </c>
      <c r="D826" s="2" t="s">
        <v>359</v>
      </c>
      <c r="E826" s="2" t="s">
        <v>108</v>
      </c>
      <c r="F826" s="2" t="s">
        <v>39</v>
      </c>
      <c r="G826" s="2">
        <v>503413909</v>
      </c>
      <c r="H826" s="2" t="s">
        <v>109</v>
      </c>
      <c r="I826" s="2" t="s">
        <v>360</v>
      </c>
      <c r="J826" s="2" t="s">
        <v>361</v>
      </c>
      <c r="L826" s="2" t="s">
        <v>360</v>
      </c>
      <c r="M826" s="2" t="s">
        <v>80</v>
      </c>
      <c r="O826" s="2" t="s">
        <v>1227</v>
      </c>
      <c r="P826" s="2" t="s">
        <v>93</v>
      </c>
      <c r="Q826" s="2" t="s">
        <v>94</v>
      </c>
      <c r="R826" s="2" t="s">
        <v>95</v>
      </c>
      <c r="S826" s="2">
        <v>2</v>
      </c>
      <c r="T826" s="2">
        <v>2.2799999999999998</v>
      </c>
      <c r="U826" s="2">
        <v>0.52439999999999998</v>
      </c>
      <c r="V826" s="2">
        <v>2.8043999999999998</v>
      </c>
      <c r="W826" s="2">
        <v>2.2799999999999998</v>
      </c>
      <c r="X826" s="5">
        <f t="shared" si="113"/>
        <v>0</v>
      </c>
      <c r="Z826" s="2" t="s">
        <v>3227</v>
      </c>
      <c r="AA826" s="2" t="s">
        <v>96</v>
      </c>
      <c r="AB826" s="2" t="s">
        <v>76</v>
      </c>
      <c r="AC826" s="2" t="s">
        <v>93</v>
      </c>
      <c r="AF826" s="2">
        <f t="shared" si="105"/>
        <v>0</v>
      </c>
      <c r="AG826" s="2">
        <v>1.1399999999999999</v>
      </c>
      <c r="AH826" s="2">
        <v>1.1399999999999999</v>
      </c>
      <c r="AJ826" s="2">
        <f t="shared" si="106"/>
        <v>0</v>
      </c>
      <c r="AK826" s="2">
        <f t="shared" si="111"/>
        <v>0</v>
      </c>
      <c r="AL826" s="5">
        <f t="shared" si="112"/>
        <v>0</v>
      </c>
    </row>
    <row r="827" spans="1:38" x14ac:dyDescent="0.2">
      <c r="A827" s="2">
        <v>2025</v>
      </c>
      <c r="B827" s="2">
        <v>4</v>
      </c>
      <c r="D827" s="2" t="s">
        <v>1228</v>
      </c>
      <c r="P827" s="2" t="s">
        <v>101</v>
      </c>
      <c r="Q827" s="2" t="s">
        <v>262</v>
      </c>
      <c r="R827" s="2" t="s">
        <v>263</v>
      </c>
      <c r="S827" s="2">
        <v>1</v>
      </c>
      <c r="T827" s="2">
        <v>11500</v>
      </c>
      <c r="U827" s="2">
        <v>2645</v>
      </c>
      <c r="V827" s="2">
        <v>14145</v>
      </c>
      <c r="X827" s="5">
        <f t="shared" si="113"/>
        <v>1</v>
      </c>
      <c r="Z827" s="2" t="s">
        <v>104</v>
      </c>
      <c r="AA827" s="2" t="s">
        <v>264</v>
      </c>
      <c r="AB827" s="2" t="s">
        <v>265</v>
      </c>
      <c r="AC827" s="2" t="s">
        <v>101</v>
      </c>
      <c r="AF827" s="2">
        <f t="shared" si="105"/>
        <v>0</v>
      </c>
      <c r="AJ827" s="2">
        <f t="shared" si="106"/>
        <v>0</v>
      </c>
      <c r="AK827" s="2">
        <f t="shared" si="111"/>
        <v>11500</v>
      </c>
      <c r="AL827" s="5">
        <f t="shared" si="112"/>
        <v>1</v>
      </c>
    </row>
    <row r="828" spans="1:38" x14ac:dyDescent="0.2">
      <c r="A828" s="2">
        <v>2025</v>
      </c>
      <c r="B828" s="2">
        <v>4</v>
      </c>
      <c r="D828" s="2" t="s">
        <v>1228</v>
      </c>
      <c r="M828" s="2" t="s">
        <v>40</v>
      </c>
      <c r="P828" s="2" t="s">
        <v>40</v>
      </c>
      <c r="Q828" s="2" t="s">
        <v>1229</v>
      </c>
      <c r="R828" s="2" t="s">
        <v>1230</v>
      </c>
      <c r="S828" s="2">
        <v>-1</v>
      </c>
      <c r="T828" s="2">
        <v>-3369.92</v>
      </c>
      <c r="Z828" s="2" t="s">
        <v>119</v>
      </c>
      <c r="AF828" s="2">
        <f t="shared" si="105"/>
        <v>0</v>
      </c>
      <c r="AJ828" s="2">
        <f t="shared" si="106"/>
        <v>0</v>
      </c>
    </row>
    <row r="829" spans="1:38" x14ac:dyDescent="0.2">
      <c r="A829" s="2">
        <v>2025</v>
      </c>
      <c r="B829" s="2">
        <v>4</v>
      </c>
      <c r="D829" s="2" t="s">
        <v>781</v>
      </c>
      <c r="E829" s="2" t="s">
        <v>38</v>
      </c>
      <c r="F829" s="2" t="s">
        <v>39</v>
      </c>
      <c r="G829" s="2">
        <v>510219675</v>
      </c>
      <c r="H829" s="2" t="s">
        <v>40</v>
      </c>
      <c r="I829" s="2" t="s">
        <v>782</v>
      </c>
      <c r="J829" s="2" t="s">
        <v>783</v>
      </c>
      <c r="K829" s="2">
        <v>917341136</v>
      </c>
      <c r="L829" s="2" t="s">
        <v>99</v>
      </c>
      <c r="M829" s="2" t="s">
        <v>80</v>
      </c>
      <c r="O829" s="2" t="s">
        <v>1231</v>
      </c>
      <c r="P829" s="2" t="s">
        <v>43</v>
      </c>
      <c r="Q829" s="2" t="s">
        <v>351</v>
      </c>
      <c r="R829" s="2" t="s">
        <v>352</v>
      </c>
      <c r="S829" s="2">
        <v>1</v>
      </c>
      <c r="T829" s="2">
        <v>18</v>
      </c>
      <c r="U829" s="2">
        <v>4.1400000000000006</v>
      </c>
      <c r="V829" s="2">
        <v>22.14</v>
      </c>
      <c r="W829" s="2">
        <v>10.67</v>
      </c>
      <c r="X829" s="5">
        <f t="shared" ref="X829:X839" si="114">(T829-W829)/T829</f>
        <v>0.40722222222222221</v>
      </c>
      <c r="Z829" s="2" t="s">
        <v>3227</v>
      </c>
      <c r="AA829" s="2" t="s">
        <v>46</v>
      </c>
      <c r="AB829" s="2" t="s">
        <v>47</v>
      </c>
      <c r="AC829" s="2" t="s">
        <v>57</v>
      </c>
      <c r="AF829" s="2">
        <f t="shared" si="105"/>
        <v>0</v>
      </c>
      <c r="AG829" s="2">
        <v>10.67</v>
      </c>
      <c r="AH829" s="2">
        <v>21</v>
      </c>
      <c r="AJ829" s="2">
        <f t="shared" si="106"/>
        <v>0</v>
      </c>
      <c r="AK829" s="2">
        <f t="shared" ref="AK829:AK839" si="115">T829-W829</f>
        <v>7.33</v>
      </c>
      <c r="AL829" s="5">
        <f t="shared" ref="AL829:AL839" si="116">(T829-W829)/T829</f>
        <v>0.40722222222222221</v>
      </c>
    </row>
    <row r="830" spans="1:38" x14ac:dyDescent="0.2">
      <c r="A830" s="2">
        <v>2025</v>
      </c>
      <c r="B830" s="2">
        <v>4</v>
      </c>
      <c r="D830" s="2" t="s">
        <v>781</v>
      </c>
      <c r="E830" s="2" t="s">
        <v>38</v>
      </c>
      <c r="F830" s="2" t="s">
        <v>39</v>
      </c>
      <c r="G830" s="2">
        <v>510219675</v>
      </c>
      <c r="H830" s="2" t="s">
        <v>40</v>
      </c>
      <c r="I830" s="2" t="s">
        <v>782</v>
      </c>
      <c r="J830" s="2" t="s">
        <v>783</v>
      </c>
      <c r="K830" s="2">
        <v>917341136</v>
      </c>
      <c r="L830" s="2" t="s">
        <v>99</v>
      </c>
      <c r="P830" s="2" t="s">
        <v>43</v>
      </c>
      <c r="Q830" s="2" t="s">
        <v>857</v>
      </c>
      <c r="R830" s="2" t="s">
        <v>858</v>
      </c>
      <c r="S830" s="2">
        <v>1</v>
      </c>
      <c r="T830" s="2">
        <v>18</v>
      </c>
      <c r="U830" s="2">
        <v>4.1400000000000006</v>
      </c>
      <c r="V830" s="2">
        <v>22.14</v>
      </c>
      <c r="W830" s="2">
        <f>8.735*S830</f>
        <v>8.7349999999999994</v>
      </c>
      <c r="X830" s="5">
        <f t="shared" si="114"/>
        <v>0.5147222222222223</v>
      </c>
      <c r="Z830" s="2" t="s">
        <v>3227</v>
      </c>
      <c r="AA830" s="2" t="s">
        <v>46</v>
      </c>
      <c r="AB830" s="2" t="s">
        <v>47</v>
      </c>
      <c r="AC830" s="2" t="s">
        <v>57</v>
      </c>
      <c r="AF830" s="2">
        <f t="shared" si="105"/>
        <v>0</v>
      </c>
      <c r="AJ830" s="2">
        <f t="shared" si="106"/>
        <v>0</v>
      </c>
      <c r="AK830" s="2">
        <f t="shared" si="115"/>
        <v>9.2650000000000006</v>
      </c>
      <c r="AL830" s="5">
        <f t="shared" si="116"/>
        <v>0.5147222222222223</v>
      </c>
    </row>
    <row r="831" spans="1:38" x14ac:dyDescent="0.2">
      <c r="A831" s="2">
        <v>2025</v>
      </c>
      <c r="B831" s="2">
        <v>4</v>
      </c>
      <c r="D831" s="2" t="s">
        <v>781</v>
      </c>
      <c r="E831" s="2" t="s">
        <v>38</v>
      </c>
      <c r="F831" s="2" t="s">
        <v>39</v>
      </c>
      <c r="G831" s="2">
        <v>510219675</v>
      </c>
      <c r="H831" s="2" t="s">
        <v>40</v>
      </c>
      <c r="I831" s="2" t="s">
        <v>782</v>
      </c>
      <c r="J831" s="2" t="s">
        <v>783</v>
      </c>
      <c r="K831" s="2">
        <v>917341136</v>
      </c>
      <c r="L831" s="2" t="s">
        <v>99</v>
      </c>
      <c r="P831" s="2" t="s">
        <v>43</v>
      </c>
      <c r="Q831" s="2" t="s">
        <v>160</v>
      </c>
      <c r="R831" s="2" t="s">
        <v>161</v>
      </c>
      <c r="S831" s="2">
        <v>1</v>
      </c>
      <c r="T831" s="2">
        <v>7.8</v>
      </c>
      <c r="U831" s="2">
        <v>1.794</v>
      </c>
      <c r="V831" s="2">
        <v>9.5939999999999994</v>
      </c>
      <c r="W831" s="2">
        <f>3.7358*S831</f>
        <v>3.7357999999999998</v>
      </c>
      <c r="X831" s="5">
        <f t="shared" si="114"/>
        <v>0.52105128205128204</v>
      </c>
      <c r="Z831" s="2" t="s">
        <v>3227</v>
      </c>
      <c r="AA831" s="2" t="s">
        <v>46</v>
      </c>
      <c r="AB831" s="2" t="s">
        <v>47</v>
      </c>
      <c r="AC831" s="2" t="s">
        <v>57</v>
      </c>
      <c r="AF831" s="2">
        <f t="shared" si="105"/>
        <v>0</v>
      </c>
      <c r="AG831" s="2">
        <v>3.7357999999999998</v>
      </c>
      <c r="AH831" s="2">
        <v>9</v>
      </c>
      <c r="AJ831" s="2">
        <f t="shared" si="106"/>
        <v>0</v>
      </c>
      <c r="AK831" s="2">
        <f t="shared" si="115"/>
        <v>4.0641999999999996</v>
      </c>
      <c r="AL831" s="5">
        <f t="shared" si="116"/>
        <v>0.52105128205128204</v>
      </c>
    </row>
    <row r="832" spans="1:38" x14ac:dyDescent="0.2">
      <c r="A832" s="2">
        <v>2025</v>
      </c>
      <c r="B832" s="2">
        <v>4</v>
      </c>
      <c r="D832" s="2" t="s">
        <v>1232</v>
      </c>
      <c r="L832" s="2" t="s">
        <v>571</v>
      </c>
      <c r="M832" s="2" t="s">
        <v>80</v>
      </c>
      <c r="O832" s="2" t="s">
        <v>1233</v>
      </c>
      <c r="P832" s="2" t="s">
        <v>72</v>
      </c>
      <c r="Q832" s="2" t="s">
        <v>301</v>
      </c>
      <c r="R832" s="2" t="s">
        <v>74</v>
      </c>
      <c r="S832" s="2">
        <v>1</v>
      </c>
      <c r="T832" s="2">
        <v>193.2</v>
      </c>
      <c r="U832" s="2">
        <v>44.436</v>
      </c>
      <c r="V832" s="2">
        <v>237.636</v>
      </c>
      <c r="W832" s="2">
        <v>121.46</v>
      </c>
      <c r="X832" s="5">
        <f t="shared" si="114"/>
        <v>0.37132505175983438</v>
      </c>
      <c r="Z832" s="2" t="s">
        <v>3227</v>
      </c>
      <c r="AA832" s="2" t="s">
        <v>75</v>
      </c>
      <c r="AB832" s="2" t="s">
        <v>76</v>
      </c>
      <c r="AC832" s="2" t="s">
        <v>77</v>
      </c>
      <c r="AF832" s="2">
        <f t="shared" si="105"/>
        <v>0</v>
      </c>
      <c r="AG832" s="2">
        <v>121.46</v>
      </c>
      <c r="AH832" s="2">
        <v>210</v>
      </c>
      <c r="AJ832" s="2">
        <f t="shared" si="106"/>
        <v>0</v>
      </c>
      <c r="AK832" s="2">
        <f t="shared" si="115"/>
        <v>71.739999999999995</v>
      </c>
      <c r="AL832" s="5">
        <f t="shared" si="116"/>
        <v>0.37132505175983438</v>
      </c>
    </row>
    <row r="833" spans="1:38" x14ac:dyDescent="0.2">
      <c r="A833" s="2">
        <v>2025</v>
      </c>
      <c r="B833" s="2">
        <v>4</v>
      </c>
      <c r="D833" s="2" t="s">
        <v>1232</v>
      </c>
      <c r="P833" s="2" t="s">
        <v>93</v>
      </c>
      <c r="Q833" s="2" t="s">
        <v>94</v>
      </c>
      <c r="R833" s="2" t="s">
        <v>95</v>
      </c>
      <c r="S833" s="2">
        <v>1</v>
      </c>
      <c r="T833" s="2">
        <v>1.1399999999999999</v>
      </c>
      <c r="U833" s="2">
        <v>0.26219999999999999</v>
      </c>
      <c r="V833" s="2">
        <v>1.4021999999999999</v>
      </c>
      <c r="W833" s="2">
        <v>1.1399999999999999</v>
      </c>
      <c r="X833" s="5">
        <f t="shared" si="114"/>
        <v>0</v>
      </c>
      <c r="Z833" s="2" t="s">
        <v>3227</v>
      </c>
      <c r="AA833" s="2" t="s">
        <v>96</v>
      </c>
      <c r="AB833" s="2" t="s">
        <v>76</v>
      </c>
      <c r="AC833" s="2" t="s">
        <v>93</v>
      </c>
      <c r="AF833" s="2">
        <f t="shared" si="105"/>
        <v>0</v>
      </c>
      <c r="AJ833" s="2">
        <f t="shared" si="106"/>
        <v>0</v>
      </c>
      <c r="AK833" s="2">
        <f t="shared" si="115"/>
        <v>0</v>
      </c>
      <c r="AL833" s="5">
        <f t="shared" si="116"/>
        <v>0</v>
      </c>
    </row>
    <row r="834" spans="1:38" x14ac:dyDescent="0.2">
      <c r="A834" s="2">
        <v>2025</v>
      </c>
      <c r="B834" s="2">
        <v>4</v>
      </c>
      <c r="D834" s="2" t="s">
        <v>391</v>
      </c>
      <c r="E834" s="2" t="s">
        <v>38</v>
      </c>
      <c r="F834" s="2" t="s">
        <v>39</v>
      </c>
      <c r="G834" s="2">
        <v>206206143</v>
      </c>
      <c r="H834" s="2" t="s">
        <v>41</v>
      </c>
      <c r="I834" s="2" t="s">
        <v>392</v>
      </c>
      <c r="J834" s="2" t="s">
        <v>393</v>
      </c>
      <c r="L834" s="2" t="s">
        <v>99</v>
      </c>
      <c r="M834" s="2" t="s">
        <v>80</v>
      </c>
      <c r="P834" s="2" t="s">
        <v>72</v>
      </c>
      <c r="Q834" s="2" t="s">
        <v>73</v>
      </c>
      <c r="R834" s="2" t="s">
        <v>74</v>
      </c>
      <c r="S834" s="2">
        <v>1</v>
      </c>
      <c r="T834" s="2">
        <v>200</v>
      </c>
      <c r="U834" s="2">
        <v>46</v>
      </c>
      <c r="V834" s="2">
        <v>246</v>
      </c>
      <c r="W834" s="2">
        <v>117.453</v>
      </c>
      <c r="X834" s="5">
        <f t="shared" si="114"/>
        <v>0.41273499999999996</v>
      </c>
      <c r="Z834" s="2" t="s">
        <v>3227</v>
      </c>
      <c r="AA834" s="2" t="s">
        <v>75</v>
      </c>
      <c r="AB834" s="2" t="s">
        <v>76</v>
      </c>
      <c r="AC834" s="2" t="s">
        <v>77</v>
      </c>
      <c r="AF834" s="2">
        <f t="shared" ref="AF834:AF897" si="117">AJ834</f>
        <v>0</v>
      </c>
      <c r="AG834" s="2">
        <v>117.453</v>
      </c>
      <c r="AH834" s="2">
        <v>220</v>
      </c>
      <c r="AJ834" s="2">
        <f t="shared" ref="AJ834:AJ897" si="118">AI834*T834</f>
        <v>0</v>
      </c>
      <c r="AK834" s="2">
        <f t="shared" si="115"/>
        <v>82.546999999999997</v>
      </c>
      <c r="AL834" s="5">
        <f t="shared" si="116"/>
        <v>0.41273499999999996</v>
      </c>
    </row>
    <row r="835" spans="1:38" x14ac:dyDescent="0.2">
      <c r="A835" s="2">
        <v>2025</v>
      </c>
      <c r="B835" s="2">
        <v>4</v>
      </c>
      <c r="D835" s="2" t="s">
        <v>391</v>
      </c>
      <c r="E835" s="2" t="s">
        <v>38</v>
      </c>
      <c r="F835" s="2" t="s">
        <v>39</v>
      </c>
      <c r="G835" s="2">
        <v>206206143</v>
      </c>
      <c r="H835" s="2" t="s">
        <v>41</v>
      </c>
      <c r="I835" s="2" t="s">
        <v>392</v>
      </c>
      <c r="J835" s="2" t="s">
        <v>393</v>
      </c>
      <c r="L835" s="2" t="s">
        <v>99</v>
      </c>
      <c r="P835" s="2" t="s">
        <v>93</v>
      </c>
      <c r="Q835" s="2" t="s">
        <v>94</v>
      </c>
      <c r="R835" s="2" t="s">
        <v>95</v>
      </c>
      <c r="S835" s="2">
        <v>1</v>
      </c>
      <c r="T835" s="2">
        <v>1.1399999999999999</v>
      </c>
      <c r="U835" s="2">
        <v>0.26219999999999999</v>
      </c>
      <c r="V835" s="2">
        <v>1.4021999999999999</v>
      </c>
      <c r="W835" s="2">
        <v>1.1399999999999999</v>
      </c>
      <c r="X835" s="5">
        <f t="shared" si="114"/>
        <v>0</v>
      </c>
      <c r="Z835" s="2" t="s">
        <v>3227</v>
      </c>
      <c r="AA835" s="2" t="s">
        <v>96</v>
      </c>
      <c r="AB835" s="2" t="s">
        <v>76</v>
      </c>
      <c r="AC835" s="2" t="s">
        <v>93</v>
      </c>
      <c r="AF835" s="2">
        <f t="shared" si="117"/>
        <v>0</v>
      </c>
      <c r="AJ835" s="2">
        <f t="shared" si="118"/>
        <v>0</v>
      </c>
      <c r="AK835" s="2">
        <f t="shared" si="115"/>
        <v>0</v>
      </c>
      <c r="AL835" s="5">
        <f t="shared" si="116"/>
        <v>0</v>
      </c>
    </row>
    <row r="836" spans="1:38" x14ac:dyDescent="0.2">
      <c r="A836" s="2">
        <v>2025</v>
      </c>
      <c r="B836" s="2">
        <v>4</v>
      </c>
      <c r="D836" s="2" t="s">
        <v>1009</v>
      </c>
      <c r="E836" s="2" t="s">
        <v>108</v>
      </c>
      <c r="F836" s="2" t="s">
        <v>39</v>
      </c>
      <c r="G836" s="2">
        <v>507063481</v>
      </c>
      <c r="H836" s="2" t="s">
        <v>290</v>
      </c>
      <c r="I836" s="2" t="s">
        <v>1010</v>
      </c>
      <c r="J836" s="2" t="s">
        <v>1011</v>
      </c>
      <c r="L836" s="2" t="s">
        <v>293</v>
      </c>
      <c r="M836" s="2" t="s">
        <v>40</v>
      </c>
      <c r="P836" s="2" t="s">
        <v>187</v>
      </c>
      <c r="Q836" s="2" t="s">
        <v>188</v>
      </c>
      <c r="R836" s="2" t="s">
        <v>189</v>
      </c>
      <c r="S836" s="2">
        <v>1</v>
      </c>
      <c r="T836" s="2">
        <v>55</v>
      </c>
      <c r="U836" s="2">
        <v>12.65</v>
      </c>
      <c r="V836" s="2">
        <v>67.650000000000006</v>
      </c>
      <c r="W836" s="2">
        <f>T836*40%</f>
        <v>22</v>
      </c>
      <c r="X836" s="5">
        <f t="shared" si="114"/>
        <v>0.6</v>
      </c>
      <c r="Z836" s="2" t="s">
        <v>117</v>
      </c>
      <c r="AA836" s="2" t="s">
        <v>190</v>
      </c>
      <c r="AB836" s="2" t="s">
        <v>189</v>
      </c>
      <c r="AC836" s="2" t="s">
        <v>40</v>
      </c>
      <c r="AF836" s="2">
        <f t="shared" si="117"/>
        <v>0</v>
      </c>
      <c r="AJ836" s="2">
        <f t="shared" si="118"/>
        <v>0</v>
      </c>
      <c r="AK836" s="2">
        <f t="shared" si="115"/>
        <v>33</v>
      </c>
      <c r="AL836" s="5">
        <f t="shared" si="116"/>
        <v>0.6</v>
      </c>
    </row>
    <row r="837" spans="1:38" x14ac:dyDescent="0.2">
      <c r="A837" s="2">
        <v>2025</v>
      </c>
      <c r="B837" s="2">
        <v>4</v>
      </c>
      <c r="D837" s="2" t="s">
        <v>1009</v>
      </c>
      <c r="E837" s="2" t="s">
        <v>108</v>
      </c>
      <c r="F837" s="2" t="s">
        <v>39</v>
      </c>
      <c r="G837" s="2">
        <v>507063481</v>
      </c>
      <c r="H837" s="2" t="s">
        <v>290</v>
      </c>
      <c r="I837" s="2" t="s">
        <v>1010</v>
      </c>
      <c r="J837" s="2" t="s">
        <v>1011</v>
      </c>
      <c r="L837" s="2" t="s">
        <v>293</v>
      </c>
      <c r="M837" s="2" t="s">
        <v>40</v>
      </c>
      <c r="P837" s="2" t="s">
        <v>187</v>
      </c>
      <c r="Q837" s="2" t="s">
        <v>191</v>
      </c>
      <c r="R837" s="2" t="s">
        <v>190</v>
      </c>
      <c r="S837" s="2">
        <v>0.5</v>
      </c>
      <c r="T837" s="2">
        <v>25</v>
      </c>
      <c r="U837" s="2">
        <v>5.75</v>
      </c>
      <c r="V837" s="2">
        <v>30.75</v>
      </c>
      <c r="W837" s="2">
        <f>T837*50%</f>
        <v>12.5</v>
      </c>
      <c r="X837" s="5">
        <f t="shared" si="114"/>
        <v>0.5</v>
      </c>
      <c r="Z837" s="2" t="s">
        <v>117</v>
      </c>
      <c r="AA837" s="2" t="s">
        <v>190</v>
      </c>
      <c r="AB837" s="2" t="s">
        <v>190</v>
      </c>
      <c r="AC837" s="2" t="s">
        <v>40</v>
      </c>
      <c r="AF837" s="2">
        <f t="shared" si="117"/>
        <v>0</v>
      </c>
      <c r="AJ837" s="2">
        <f t="shared" si="118"/>
        <v>0</v>
      </c>
      <c r="AK837" s="2">
        <f t="shared" si="115"/>
        <v>12.5</v>
      </c>
      <c r="AL837" s="5">
        <f t="shared" si="116"/>
        <v>0.5</v>
      </c>
    </row>
    <row r="838" spans="1:38" x14ac:dyDescent="0.2">
      <c r="A838" s="2">
        <v>2025</v>
      </c>
      <c r="B838" s="2">
        <v>4</v>
      </c>
      <c r="C838" s="2" t="s">
        <v>3408</v>
      </c>
      <c r="D838" s="2" t="s">
        <v>3406</v>
      </c>
      <c r="E838" s="2" t="s">
        <v>38</v>
      </c>
      <c r="F838" s="2" t="s">
        <v>39</v>
      </c>
      <c r="L838" s="2" t="s">
        <v>339</v>
      </c>
      <c r="M838" s="2" t="s">
        <v>40</v>
      </c>
      <c r="O838" s="2" t="s">
        <v>1234</v>
      </c>
      <c r="P838" s="2" t="s">
        <v>282</v>
      </c>
      <c r="Q838" s="2" t="s">
        <v>1235</v>
      </c>
      <c r="R838" s="2" t="s">
        <v>1236</v>
      </c>
      <c r="S838" s="2">
        <v>1</v>
      </c>
      <c r="T838" s="2">
        <v>3990</v>
      </c>
      <c r="U838" s="2">
        <f>T838*23%</f>
        <v>917.7</v>
      </c>
      <c r="V838" s="2">
        <f>T838+U838</f>
        <v>4907.7</v>
      </c>
      <c r="W838" s="2">
        <v>3246.85</v>
      </c>
      <c r="X838" s="5">
        <f t="shared" si="114"/>
        <v>0.18625313283208023</v>
      </c>
      <c r="Z838" s="2" t="s">
        <v>104</v>
      </c>
      <c r="AA838" s="2" t="s">
        <v>1574</v>
      </c>
      <c r="AB838" s="2" t="s">
        <v>388</v>
      </c>
      <c r="AC838" s="2" t="s">
        <v>1327</v>
      </c>
      <c r="AF838" s="2">
        <f t="shared" si="117"/>
        <v>0</v>
      </c>
      <c r="AG838" s="2">
        <f>3203.85+43</f>
        <v>3246.85</v>
      </c>
      <c r="AJ838" s="2">
        <f t="shared" si="118"/>
        <v>0</v>
      </c>
      <c r="AK838" s="2">
        <f t="shared" si="115"/>
        <v>743.15000000000009</v>
      </c>
      <c r="AL838" s="5">
        <f t="shared" si="116"/>
        <v>0.18625313283208023</v>
      </c>
    </row>
    <row r="839" spans="1:38" x14ac:dyDescent="0.2">
      <c r="A839" s="2">
        <v>2025</v>
      </c>
      <c r="B839" s="2">
        <v>4</v>
      </c>
      <c r="C839" s="2" t="s">
        <v>3408</v>
      </c>
      <c r="D839" s="2" t="s">
        <v>3406</v>
      </c>
      <c r="E839" s="2" t="s">
        <v>38</v>
      </c>
      <c r="F839" s="2" t="s">
        <v>39</v>
      </c>
      <c r="L839" s="2" t="s">
        <v>339</v>
      </c>
      <c r="M839" s="2" t="s">
        <v>40</v>
      </c>
      <c r="O839" s="2" t="s">
        <v>1234</v>
      </c>
      <c r="P839" s="2" t="s">
        <v>282</v>
      </c>
      <c r="Q839" s="2" t="s">
        <v>1154</v>
      </c>
      <c r="R839" s="2" t="s">
        <v>1155</v>
      </c>
      <c r="S839" s="2">
        <v>1</v>
      </c>
      <c r="T839" s="2">
        <v>2990</v>
      </c>
      <c r="U839" s="2">
        <f>T839*23%</f>
        <v>687.7</v>
      </c>
      <c r="V839" s="2">
        <f>T839+U839</f>
        <v>3677.7</v>
      </c>
      <c r="W839" s="2">
        <v>2190</v>
      </c>
      <c r="X839" s="5">
        <f t="shared" si="114"/>
        <v>0.26755852842809363</v>
      </c>
      <c r="Z839" s="2" t="s">
        <v>104</v>
      </c>
      <c r="AA839" s="2" t="s">
        <v>1574</v>
      </c>
      <c r="AB839" s="2" t="s">
        <v>388</v>
      </c>
      <c r="AC839" s="2" t="s">
        <v>1327</v>
      </c>
      <c r="AF839" s="2">
        <f t="shared" si="117"/>
        <v>0</v>
      </c>
      <c r="AG839" s="2">
        <v>2190</v>
      </c>
      <c r="AJ839" s="2">
        <f t="shared" si="118"/>
        <v>0</v>
      </c>
      <c r="AK839" s="2">
        <f t="shared" si="115"/>
        <v>800</v>
      </c>
      <c r="AL839" s="5">
        <f t="shared" si="116"/>
        <v>0.26755852842809363</v>
      </c>
    </row>
    <row r="840" spans="1:38" x14ac:dyDescent="0.2">
      <c r="A840" s="2">
        <v>2025</v>
      </c>
      <c r="B840" s="2">
        <v>4</v>
      </c>
      <c r="C840" s="2" t="s">
        <v>3408</v>
      </c>
      <c r="D840" s="2" t="s">
        <v>3406</v>
      </c>
      <c r="E840" s="2" t="s">
        <v>38</v>
      </c>
      <c r="F840" s="2" t="s">
        <v>39</v>
      </c>
      <c r="L840" s="2" t="s">
        <v>339</v>
      </c>
      <c r="M840" s="2" t="s">
        <v>40</v>
      </c>
      <c r="O840" s="2" t="s">
        <v>1234</v>
      </c>
      <c r="P840" s="2" t="s">
        <v>282</v>
      </c>
      <c r="Q840" s="2" t="s">
        <v>1158</v>
      </c>
      <c r="R840" s="2" t="s">
        <v>1159</v>
      </c>
      <c r="S840" s="2">
        <v>1</v>
      </c>
      <c r="T840" s="2">
        <v>0</v>
      </c>
      <c r="U840" s="2">
        <v>0</v>
      </c>
      <c r="V840" s="2">
        <v>0</v>
      </c>
      <c r="W840" s="2">
        <v>0</v>
      </c>
      <c r="X840" s="5">
        <v>0</v>
      </c>
      <c r="Z840" s="2" t="s">
        <v>104</v>
      </c>
      <c r="AA840" s="2" t="s">
        <v>1574</v>
      </c>
      <c r="AB840" s="2" t="s">
        <v>388</v>
      </c>
      <c r="AC840" s="2" t="s">
        <v>1327</v>
      </c>
      <c r="AF840" s="2">
        <f t="shared" si="117"/>
        <v>0</v>
      </c>
      <c r="AJ840" s="2">
        <f t="shared" si="118"/>
        <v>0</v>
      </c>
      <c r="AK840" s="2">
        <v>0</v>
      </c>
      <c r="AL840" s="5">
        <v>0</v>
      </c>
    </row>
    <row r="841" spans="1:38" x14ac:dyDescent="0.2">
      <c r="A841" s="2">
        <v>2025</v>
      </c>
      <c r="B841" s="2">
        <v>4</v>
      </c>
      <c r="D841" s="2" t="s">
        <v>415</v>
      </c>
      <c r="E841" s="2" t="s">
        <v>38</v>
      </c>
      <c r="F841" s="2" t="s">
        <v>39</v>
      </c>
      <c r="G841" s="2">
        <v>219908800</v>
      </c>
      <c r="H841" s="2" t="s">
        <v>41</v>
      </c>
      <c r="I841" s="2" t="s">
        <v>416</v>
      </c>
      <c r="J841" s="2" t="s">
        <v>417</v>
      </c>
      <c r="L841" s="2" t="s">
        <v>418</v>
      </c>
      <c r="M841" s="2" t="s">
        <v>41</v>
      </c>
      <c r="P841" s="2" t="s">
        <v>43</v>
      </c>
      <c r="Q841" s="2" t="s">
        <v>54</v>
      </c>
      <c r="R841" s="2" t="s">
        <v>55</v>
      </c>
      <c r="S841" s="2">
        <v>2</v>
      </c>
      <c r="T841" s="2">
        <v>36</v>
      </c>
      <c r="U841" s="2">
        <f>T841*23%</f>
        <v>8.2800000000000011</v>
      </c>
      <c r="V841" s="2">
        <f>T841+U841</f>
        <v>44.28</v>
      </c>
      <c r="W841" s="2">
        <f>10.6*S841</f>
        <v>21.2</v>
      </c>
      <c r="X841" s="5">
        <f t="shared" ref="X841:X872" si="119">(T841-W841)/T841</f>
        <v>0.41111111111111115</v>
      </c>
      <c r="Z841" s="2" t="s">
        <v>3227</v>
      </c>
      <c r="AA841" s="2" t="s">
        <v>46</v>
      </c>
      <c r="AB841" s="2" t="s">
        <v>56</v>
      </c>
      <c r="AC841" s="2" t="s">
        <v>57</v>
      </c>
      <c r="AF841" s="2">
        <f t="shared" si="117"/>
        <v>0</v>
      </c>
      <c r="AG841" s="2">
        <v>10.6</v>
      </c>
      <c r="AH841" s="2">
        <v>18</v>
      </c>
      <c r="AJ841" s="2">
        <f t="shared" si="118"/>
        <v>0</v>
      </c>
      <c r="AK841" s="2">
        <f t="shared" ref="AK841:AK904" si="120">T841-W841</f>
        <v>14.8</v>
      </c>
      <c r="AL841" s="5">
        <f t="shared" ref="AL841:AL872" si="121">(T841-W841)/T841</f>
        <v>0.41111111111111115</v>
      </c>
    </row>
    <row r="842" spans="1:38" x14ac:dyDescent="0.2">
      <c r="A842" s="2">
        <v>2025</v>
      </c>
      <c r="B842" s="2">
        <v>4</v>
      </c>
      <c r="D842" s="2" t="s">
        <v>415</v>
      </c>
      <c r="E842" s="2" t="s">
        <v>38</v>
      </c>
      <c r="F842" s="2" t="s">
        <v>39</v>
      </c>
      <c r="G842" s="2">
        <v>219908800</v>
      </c>
      <c r="H842" s="2" t="s">
        <v>41</v>
      </c>
      <c r="I842" s="2" t="s">
        <v>416</v>
      </c>
      <c r="J842" s="2" t="s">
        <v>417</v>
      </c>
      <c r="L842" s="2" t="s">
        <v>418</v>
      </c>
      <c r="M842" s="2" t="s">
        <v>41</v>
      </c>
      <c r="P842" s="2" t="s">
        <v>43</v>
      </c>
      <c r="Q842" s="2" t="s">
        <v>58</v>
      </c>
      <c r="R842" s="2" t="s">
        <v>59</v>
      </c>
      <c r="S842" s="2">
        <v>200</v>
      </c>
      <c r="T842" s="2">
        <v>26</v>
      </c>
      <c r="U842" s="2">
        <f>T842*23%</f>
        <v>5.98</v>
      </c>
      <c r="V842" s="2">
        <f>T842+U842</f>
        <v>31.98</v>
      </c>
      <c r="W842" s="2">
        <f>0.0914*S842</f>
        <v>18.279999999999998</v>
      </c>
      <c r="X842" s="5">
        <f t="shared" si="119"/>
        <v>0.29692307692307701</v>
      </c>
      <c r="Z842" s="2" t="s">
        <v>3227</v>
      </c>
      <c r="AA842" s="2" t="s">
        <v>46</v>
      </c>
      <c r="AB842" s="2" t="s">
        <v>60</v>
      </c>
      <c r="AC842" s="2" t="s">
        <v>57</v>
      </c>
      <c r="AF842" s="2">
        <f t="shared" si="117"/>
        <v>0</v>
      </c>
      <c r="AG842" s="2">
        <v>9.14</v>
      </c>
      <c r="AH842" s="2">
        <v>16</v>
      </c>
      <c r="AJ842" s="2">
        <f t="shared" si="118"/>
        <v>0</v>
      </c>
      <c r="AK842" s="2">
        <f t="shared" si="120"/>
        <v>7.7200000000000024</v>
      </c>
      <c r="AL842" s="5">
        <f t="shared" si="121"/>
        <v>0.29692307692307701</v>
      </c>
    </row>
    <row r="843" spans="1:38" x14ac:dyDescent="0.2">
      <c r="A843" s="2">
        <v>2025</v>
      </c>
      <c r="B843" s="2">
        <v>4</v>
      </c>
      <c r="D843" s="2" t="s">
        <v>1015</v>
      </c>
      <c r="E843" s="2" t="s">
        <v>108</v>
      </c>
      <c r="F843" s="2" t="s">
        <v>477</v>
      </c>
      <c r="G843" s="2">
        <v>503815284</v>
      </c>
      <c r="H843" s="2" t="s">
        <v>40</v>
      </c>
      <c r="I843" s="2" t="s">
        <v>156</v>
      </c>
      <c r="J843" s="2" t="s">
        <v>2538</v>
      </c>
      <c r="L843" s="2" t="s">
        <v>99</v>
      </c>
      <c r="M843" s="2" t="s">
        <v>80</v>
      </c>
      <c r="P843" s="2" t="s">
        <v>282</v>
      </c>
      <c r="Q843" s="2" t="s">
        <v>1237</v>
      </c>
      <c r="R843" s="2" t="s">
        <v>1238</v>
      </c>
      <c r="S843" s="2">
        <v>1</v>
      </c>
      <c r="T843" s="2">
        <v>70</v>
      </c>
      <c r="U843" s="2">
        <f>T843*23%</f>
        <v>16.100000000000001</v>
      </c>
      <c r="V843" s="2">
        <f>T843+U843</f>
        <v>86.1</v>
      </c>
      <c r="W843" s="2">
        <v>50</v>
      </c>
      <c r="X843" s="5">
        <f t="shared" si="119"/>
        <v>0.2857142857142857</v>
      </c>
      <c r="Z843" s="2" t="s">
        <v>3227</v>
      </c>
      <c r="AA843" s="2" t="s">
        <v>71</v>
      </c>
      <c r="AB843" s="2" t="s">
        <v>119</v>
      </c>
      <c r="AC843" s="2" t="s">
        <v>119</v>
      </c>
      <c r="AF843" s="2">
        <f t="shared" si="117"/>
        <v>0</v>
      </c>
      <c r="AJ843" s="2">
        <f t="shared" si="118"/>
        <v>0</v>
      </c>
      <c r="AK843" s="2">
        <f t="shared" si="120"/>
        <v>20</v>
      </c>
      <c r="AL843" s="5">
        <f t="shared" si="121"/>
        <v>0.2857142857142857</v>
      </c>
    </row>
    <row r="844" spans="1:38" x14ac:dyDescent="0.2">
      <c r="A844" s="2">
        <v>2025</v>
      </c>
      <c r="B844" s="2">
        <v>4</v>
      </c>
      <c r="D844" s="2" t="s">
        <v>422</v>
      </c>
      <c r="E844" s="2" t="s">
        <v>98</v>
      </c>
      <c r="F844" s="2" t="s">
        <v>39</v>
      </c>
      <c r="G844" s="2">
        <v>503523470</v>
      </c>
      <c r="H844" s="2" t="s">
        <v>40</v>
      </c>
      <c r="I844" s="2" t="s">
        <v>423</v>
      </c>
      <c r="J844" s="2" t="s">
        <v>424</v>
      </c>
      <c r="L844" s="2" t="s">
        <v>201</v>
      </c>
      <c r="M844" s="2" t="s">
        <v>80</v>
      </c>
      <c r="P844" s="2" t="s">
        <v>43</v>
      </c>
      <c r="Q844" s="2" t="s">
        <v>160</v>
      </c>
      <c r="R844" s="2" t="s">
        <v>161</v>
      </c>
      <c r="S844" s="2">
        <v>1</v>
      </c>
      <c r="T844" s="2">
        <v>7.8</v>
      </c>
      <c r="U844" s="2">
        <v>1.794</v>
      </c>
      <c r="V844" s="2">
        <v>9.5939999999999994</v>
      </c>
      <c r="W844" s="2">
        <f>3.7358*S844</f>
        <v>3.7357999999999998</v>
      </c>
      <c r="X844" s="5">
        <f t="shared" si="119"/>
        <v>0.52105128205128204</v>
      </c>
      <c r="Z844" s="2" t="s">
        <v>3227</v>
      </c>
      <c r="AA844" s="2" t="s">
        <v>46</v>
      </c>
      <c r="AB844" s="2" t="s">
        <v>47</v>
      </c>
      <c r="AC844" s="2" t="s">
        <v>57</v>
      </c>
      <c r="AF844" s="2">
        <f t="shared" si="117"/>
        <v>0</v>
      </c>
      <c r="AG844" s="2">
        <v>3.7357999999999998</v>
      </c>
      <c r="AH844" s="2">
        <v>9</v>
      </c>
      <c r="AJ844" s="2">
        <f t="shared" si="118"/>
        <v>0</v>
      </c>
      <c r="AK844" s="2">
        <f t="shared" si="120"/>
        <v>4.0641999999999996</v>
      </c>
      <c r="AL844" s="5">
        <f t="shared" si="121"/>
        <v>0.52105128205128204</v>
      </c>
    </row>
    <row r="845" spans="1:38" x14ac:dyDescent="0.2">
      <c r="A845" s="2">
        <v>2025</v>
      </c>
      <c r="B845" s="2">
        <v>4</v>
      </c>
      <c r="D845" s="2" t="s">
        <v>422</v>
      </c>
      <c r="E845" s="2" t="s">
        <v>98</v>
      </c>
      <c r="F845" s="2" t="s">
        <v>39</v>
      </c>
      <c r="G845" s="2">
        <v>503523470</v>
      </c>
      <c r="H845" s="2" t="s">
        <v>40</v>
      </c>
      <c r="I845" s="2" t="s">
        <v>423</v>
      </c>
      <c r="J845" s="2" t="s">
        <v>424</v>
      </c>
      <c r="L845" s="2" t="s">
        <v>201</v>
      </c>
      <c r="M845" s="2" t="s">
        <v>80</v>
      </c>
      <c r="P845" s="2" t="s">
        <v>43</v>
      </c>
      <c r="Q845" s="2" t="s">
        <v>54</v>
      </c>
      <c r="R845" s="2" t="s">
        <v>55</v>
      </c>
      <c r="S845" s="2">
        <v>1</v>
      </c>
      <c r="T845" s="2">
        <v>18</v>
      </c>
      <c r="U845" s="2">
        <f>T845*23%</f>
        <v>4.1400000000000006</v>
      </c>
      <c r="V845" s="2">
        <f>T845+U845</f>
        <v>22.14</v>
      </c>
      <c r="W845" s="2">
        <f>10.6*S845</f>
        <v>10.6</v>
      </c>
      <c r="X845" s="5">
        <f t="shared" si="119"/>
        <v>0.41111111111111115</v>
      </c>
      <c r="Z845" s="2" t="s">
        <v>3227</v>
      </c>
      <c r="AA845" s="2" t="s">
        <v>46</v>
      </c>
      <c r="AB845" s="2" t="s">
        <v>56</v>
      </c>
      <c r="AC845" s="2" t="s">
        <v>57</v>
      </c>
      <c r="AF845" s="2">
        <f t="shared" si="117"/>
        <v>0</v>
      </c>
      <c r="AG845" s="2">
        <v>10.6</v>
      </c>
      <c r="AH845" s="2">
        <v>18</v>
      </c>
      <c r="AJ845" s="2">
        <f t="shared" si="118"/>
        <v>0</v>
      </c>
      <c r="AK845" s="2">
        <f t="shared" si="120"/>
        <v>7.4</v>
      </c>
      <c r="AL845" s="5">
        <f t="shared" si="121"/>
        <v>0.41111111111111115</v>
      </c>
    </row>
    <row r="846" spans="1:38" x14ac:dyDescent="0.2">
      <c r="A846" s="2">
        <v>2025</v>
      </c>
      <c r="B846" s="2">
        <v>4</v>
      </c>
      <c r="C846" s="2" t="s">
        <v>3408</v>
      </c>
      <c r="D846" s="2" t="s">
        <v>1239</v>
      </c>
      <c r="E846" s="2" t="s">
        <v>38</v>
      </c>
      <c r="F846" s="2" t="s">
        <v>39</v>
      </c>
      <c r="M846" s="2" t="s">
        <v>40</v>
      </c>
      <c r="P846" s="2" t="s">
        <v>68</v>
      </c>
      <c r="Q846" s="2" t="s">
        <v>1160</v>
      </c>
      <c r="R846" s="2" t="s">
        <v>1161</v>
      </c>
      <c r="S846" s="2">
        <v>1</v>
      </c>
      <c r="T846" s="2">
        <v>70</v>
      </c>
      <c r="U846" s="2">
        <v>16.100000000000001</v>
      </c>
      <c r="V846" s="2">
        <v>86.1</v>
      </c>
      <c r="W846" s="2">
        <v>47.4</v>
      </c>
      <c r="X846" s="5">
        <f t="shared" si="119"/>
        <v>0.3228571428571429</v>
      </c>
      <c r="Z846" s="2" t="s">
        <v>3227</v>
      </c>
      <c r="AA846" s="2" t="s">
        <v>71</v>
      </c>
      <c r="AB846" s="2" t="s">
        <v>68</v>
      </c>
      <c r="AC846" s="2" t="s">
        <v>3231</v>
      </c>
      <c r="AF846" s="2">
        <f t="shared" si="117"/>
        <v>0</v>
      </c>
      <c r="AJ846" s="2">
        <f t="shared" si="118"/>
        <v>0</v>
      </c>
      <c r="AK846" s="2">
        <f t="shared" si="120"/>
        <v>22.6</v>
      </c>
      <c r="AL846" s="5">
        <f t="shared" si="121"/>
        <v>0.3228571428571429</v>
      </c>
    </row>
    <row r="847" spans="1:38" x14ac:dyDescent="0.2">
      <c r="A847" s="2">
        <v>2025</v>
      </c>
      <c r="B847" s="2">
        <v>4</v>
      </c>
      <c r="C847" s="2" t="s">
        <v>3408</v>
      </c>
      <c r="D847" s="2" t="s">
        <v>1239</v>
      </c>
      <c r="E847" s="2" t="s">
        <v>38</v>
      </c>
      <c r="F847" s="2" t="s">
        <v>39</v>
      </c>
      <c r="M847" s="2" t="s">
        <v>40</v>
      </c>
      <c r="P847" s="2" t="s">
        <v>169</v>
      </c>
      <c r="Q847" s="2" t="s">
        <v>170</v>
      </c>
      <c r="R847" s="2" t="s">
        <v>170</v>
      </c>
      <c r="S847" s="2">
        <v>1</v>
      </c>
      <c r="T847" s="2">
        <v>5</v>
      </c>
      <c r="U847" s="2">
        <v>1.1499999999999999</v>
      </c>
      <c r="V847" s="2">
        <v>6.15</v>
      </c>
      <c r="W847" s="2">
        <v>6</v>
      </c>
      <c r="X847" s="5">
        <f t="shared" si="119"/>
        <v>-0.2</v>
      </c>
      <c r="Z847" s="2" t="s">
        <v>169</v>
      </c>
      <c r="AA847" s="2" t="s">
        <v>169</v>
      </c>
      <c r="AF847" s="2">
        <f t="shared" si="117"/>
        <v>0</v>
      </c>
      <c r="AJ847" s="2">
        <f t="shared" si="118"/>
        <v>0</v>
      </c>
      <c r="AK847" s="2">
        <f t="shared" si="120"/>
        <v>-1</v>
      </c>
      <c r="AL847" s="5">
        <f t="shared" si="121"/>
        <v>-0.2</v>
      </c>
    </row>
    <row r="848" spans="1:38" x14ac:dyDescent="0.2">
      <c r="A848" s="2">
        <v>2025</v>
      </c>
      <c r="B848" s="2">
        <v>4</v>
      </c>
      <c r="D848" s="2" t="s">
        <v>1240</v>
      </c>
      <c r="E848" s="2" t="s">
        <v>108</v>
      </c>
      <c r="F848" s="2" t="s">
        <v>531</v>
      </c>
      <c r="G848" s="2">
        <v>502421584</v>
      </c>
      <c r="H848" s="2" t="s">
        <v>40</v>
      </c>
      <c r="I848" s="2" t="s">
        <v>3220</v>
      </c>
      <c r="J848" s="2" t="s">
        <v>3221</v>
      </c>
      <c r="L848" s="2" t="s">
        <v>339</v>
      </c>
      <c r="M848" s="2" t="s">
        <v>40</v>
      </c>
      <c r="O848" s="2" t="s">
        <v>3222</v>
      </c>
      <c r="P848" s="2" t="s">
        <v>187</v>
      </c>
      <c r="Q848" s="2" t="s">
        <v>188</v>
      </c>
      <c r="R848" s="2" t="s">
        <v>189</v>
      </c>
      <c r="S848" s="2">
        <v>1</v>
      </c>
      <c r="T848" s="2">
        <v>50</v>
      </c>
      <c r="U848" s="2">
        <v>11.5</v>
      </c>
      <c r="V848" s="2">
        <v>61.5</v>
      </c>
      <c r="W848" s="2">
        <f>T848*40%</f>
        <v>20</v>
      </c>
      <c r="X848" s="5">
        <f t="shared" si="119"/>
        <v>0.6</v>
      </c>
      <c r="Z848" s="2" t="s">
        <v>117</v>
      </c>
      <c r="AA848" s="2" t="s">
        <v>190</v>
      </c>
      <c r="AB848" s="2" t="s">
        <v>189</v>
      </c>
      <c r="AC848" s="2" t="s">
        <v>40</v>
      </c>
      <c r="AF848" s="2">
        <f t="shared" si="117"/>
        <v>0</v>
      </c>
      <c r="AJ848" s="2">
        <f t="shared" si="118"/>
        <v>0</v>
      </c>
      <c r="AK848" s="2">
        <f t="shared" si="120"/>
        <v>30</v>
      </c>
      <c r="AL848" s="5">
        <f t="shared" si="121"/>
        <v>0.6</v>
      </c>
    </row>
    <row r="849" spans="1:38" x14ac:dyDescent="0.2">
      <c r="A849" s="2">
        <v>2025</v>
      </c>
      <c r="B849" s="2">
        <v>4</v>
      </c>
      <c r="D849" s="2" t="s">
        <v>1240</v>
      </c>
      <c r="E849" s="2" t="s">
        <v>108</v>
      </c>
      <c r="F849" s="2" t="s">
        <v>531</v>
      </c>
      <c r="G849" s="2">
        <v>502421584</v>
      </c>
      <c r="H849" s="2" t="s">
        <v>40</v>
      </c>
      <c r="I849" s="2" t="s">
        <v>3220</v>
      </c>
      <c r="J849" s="2" t="s">
        <v>3221</v>
      </c>
      <c r="L849" s="2" t="s">
        <v>339</v>
      </c>
      <c r="M849" s="2" t="s">
        <v>40</v>
      </c>
      <c r="O849" s="2" t="s">
        <v>3222</v>
      </c>
      <c r="P849" s="2" t="s">
        <v>187</v>
      </c>
      <c r="Q849" s="2" t="s">
        <v>191</v>
      </c>
      <c r="R849" s="2" t="s">
        <v>190</v>
      </c>
      <c r="S849" s="2">
        <v>0.5</v>
      </c>
      <c r="T849" s="2">
        <v>25</v>
      </c>
      <c r="U849" s="2">
        <v>5.75</v>
      </c>
      <c r="V849" s="2">
        <v>30.75</v>
      </c>
      <c r="W849" s="2">
        <f>T849*50%</f>
        <v>12.5</v>
      </c>
      <c r="X849" s="5">
        <f t="shared" si="119"/>
        <v>0.5</v>
      </c>
      <c r="Z849" s="2" t="s">
        <v>117</v>
      </c>
      <c r="AA849" s="2" t="s">
        <v>190</v>
      </c>
      <c r="AB849" s="2" t="s">
        <v>190</v>
      </c>
      <c r="AC849" s="2" t="s">
        <v>40</v>
      </c>
      <c r="AF849" s="2">
        <f t="shared" si="117"/>
        <v>0</v>
      </c>
      <c r="AJ849" s="2">
        <f t="shared" si="118"/>
        <v>0</v>
      </c>
      <c r="AK849" s="2">
        <f t="shared" si="120"/>
        <v>12.5</v>
      </c>
      <c r="AL849" s="5">
        <f t="shared" si="121"/>
        <v>0.5</v>
      </c>
    </row>
    <row r="850" spans="1:38" x14ac:dyDescent="0.2">
      <c r="A850" s="2">
        <v>2025</v>
      </c>
      <c r="B850" s="2">
        <v>4</v>
      </c>
      <c r="D850" s="2" t="s">
        <v>1241</v>
      </c>
      <c r="M850" s="2" t="s">
        <v>40</v>
      </c>
      <c r="P850" s="2" t="s">
        <v>187</v>
      </c>
      <c r="Q850" s="2" t="s">
        <v>188</v>
      </c>
      <c r="R850" s="2" t="s">
        <v>189</v>
      </c>
      <c r="S850" s="2">
        <v>1</v>
      </c>
      <c r="T850" s="2">
        <v>50</v>
      </c>
      <c r="U850" s="2">
        <v>11.5</v>
      </c>
      <c r="V850" s="2">
        <v>61.5</v>
      </c>
      <c r="W850" s="2">
        <f>T850*40%</f>
        <v>20</v>
      </c>
      <c r="X850" s="5">
        <f t="shared" si="119"/>
        <v>0.6</v>
      </c>
      <c r="Z850" s="2" t="s">
        <v>117</v>
      </c>
      <c r="AA850" s="2" t="s">
        <v>190</v>
      </c>
      <c r="AB850" s="2" t="s">
        <v>189</v>
      </c>
      <c r="AC850" s="2" t="s">
        <v>40</v>
      </c>
      <c r="AF850" s="2">
        <f t="shared" si="117"/>
        <v>0</v>
      </c>
      <c r="AJ850" s="2">
        <f t="shared" si="118"/>
        <v>0</v>
      </c>
      <c r="AK850" s="2">
        <f t="shared" si="120"/>
        <v>30</v>
      </c>
      <c r="AL850" s="5">
        <f t="shared" si="121"/>
        <v>0.6</v>
      </c>
    </row>
    <row r="851" spans="1:38" x14ac:dyDescent="0.2">
      <c r="A851" s="2">
        <v>2025</v>
      </c>
      <c r="B851" s="2">
        <v>4</v>
      </c>
      <c r="D851" s="2" t="s">
        <v>1241</v>
      </c>
      <c r="M851" s="2" t="s">
        <v>40</v>
      </c>
      <c r="P851" s="2" t="s">
        <v>187</v>
      </c>
      <c r="Q851" s="2" t="s">
        <v>191</v>
      </c>
      <c r="R851" s="2" t="s">
        <v>190</v>
      </c>
      <c r="S851" s="2">
        <v>1</v>
      </c>
      <c r="T851" s="2">
        <v>50</v>
      </c>
      <c r="U851" s="2">
        <v>11.5</v>
      </c>
      <c r="V851" s="2">
        <v>61.5</v>
      </c>
      <c r="W851" s="2">
        <f>T851*50%</f>
        <v>25</v>
      </c>
      <c r="X851" s="5">
        <f t="shared" si="119"/>
        <v>0.5</v>
      </c>
      <c r="Z851" s="2" t="s">
        <v>117</v>
      </c>
      <c r="AA851" s="2" t="s">
        <v>190</v>
      </c>
      <c r="AB851" s="2" t="s">
        <v>190</v>
      </c>
      <c r="AC851" s="2" t="s">
        <v>40</v>
      </c>
      <c r="AF851" s="2">
        <f t="shared" si="117"/>
        <v>0</v>
      </c>
      <c r="AJ851" s="2">
        <f t="shared" si="118"/>
        <v>0</v>
      </c>
      <c r="AK851" s="2">
        <f t="shared" si="120"/>
        <v>25</v>
      </c>
      <c r="AL851" s="5">
        <f t="shared" si="121"/>
        <v>0.5</v>
      </c>
    </row>
    <row r="852" spans="1:38" x14ac:dyDescent="0.2">
      <c r="A852" s="2">
        <v>2025</v>
      </c>
      <c r="B852" s="2">
        <v>4</v>
      </c>
      <c r="D852" s="2" t="s">
        <v>1242</v>
      </c>
      <c r="P852" s="2" t="s">
        <v>282</v>
      </c>
      <c r="Q852" s="2" t="s">
        <v>1069</v>
      </c>
      <c r="R852" s="2" t="s">
        <v>1070</v>
      </c>
      <c r="S852" s="2">
        <v>1</v>
      </c>
      <c r="T852" s="2">
        <v>9.08</v>
      </c>
      <c r="U852" s="2">
        <f>T852*23%</f>
        <v>2.0884</v>
      </c>
      <c r="V852" s="2">
        <f>T852+U852</f>
        <v>11.1684</v>
      </c>
      <c r="W852" s="2">
        <f>6.0484*S852</f>
        <v>6.0484</v>
      </c>
      <c r="X852" s="5">
        <f t="shared" si="119"/>
        <v>0.33387665198237887</v>
      </c>
      <c r="Z852" s="2" t="s">
        <v>3227</v>
      </c>
      <c r="AA852" s="2" t="s">
        <v>71</v>
      </c>
      <c r="AB852" s="2" t="s">
        <v>119</v>
      </c>
      <c r="AC852" s="2" t="s">
        <v>119</v>
      </c>
      <c r="AF852" s="2">
        <f t="shared" si="117"/>
        <v>0</v>
      </c>
      <c r="AJ852" s="2">
        <f t="shared" si="118"/>
        <v>0</v>
      </c>
      <c r="AK852" s="2">
        <f t="shared" si="120"/>
        <v>3.0316000000000001</v>
      </c>
      <c r="AL852" s="5">
        <f t="shared" si="121"/>
        <v>0.33387665198237887</v>
      </c>
    </row>
    <row r="853" spans="1:38" x14ac:dyDescent="0.2">
      <c r="A853" s="2">
        <v>2025</v>
      </c>
      <c r="B853" s="2">
        <v>4</v>
      </c>
      <c r="D853" s="2" t="s">
        <v>1242</v>
      </c>
      <c r="P853" s="2" t="s">
        <v>43</v>
      </c>
      <c r="Q853" s="2" t="s">
        <v>54</v>
      </c>
      <c r="R853" s="2" t="s">
        <v>55</v>
      </c>
      <c r="S853" s="2">
        <v>5</v>
      </c>
      <c r="T853" s="2">
        <v>90</v>
      </c>
      <c r="U853" s="2">
        <f>T853*23%</f>
        <v>20.7</v>
      </c>
      <c r="V853" s="2">
        <f>T853+U853</f>
        <v>110.7</v>
      </c>
      <c r="W853" s="2">
        <f>10.6*S853</f>
        <v>53</v>
      </c>
      <c r="X853" s="5">
        <f t="shared" si="119"/>
        <v>0.41111111111111109</v>
      </c>
      <c r="Z853" s="2" t="s">
        <v>3227</v>
      </c>
      <c r="AA853" s="2" t="s">
        <v>46</v>
      </c>
      <c r="AB853" s="2" t="s">
        <v>56</v>
      </c>
      <c r="AC853" s="2" t="s">
        <v>57</v>
      </c>
      <c r="AF853" s="2">
        <f t="shared" si="117"/>
        <v>0</v>
      </c>
      <c r="AG853" s="2">
        <v>10.6</v>
      </c>
      <c r="AH853" s="2">
        <v>18</v>
      </c>
      <c r="AJ853" s="2">
        <f t="shared" si="118"/>
        <v>0</v>
      </c>
      <c r="AK853" s="2">
        <f t="shared" si="120"/>
        <v>37</v>
      </c>
      <c r="AL853" s="5">
        <f t="shared" si="121"/>
        <v>0.41111111111111109</v>
      </c>
    </row>
    <row r="854" spans="1:38" x14ac:dyDescent="0.2">
      <c r="A854" s="2">
        <v>2025</v>
      </c>
      <c r="B854" s="2">
        <v>4</v>
      </c>
      <c r="C854" s="2" t="s">
        <v>3311</v>
      </c>
      <c r="D854" s="2" t="s">
        <v>1242</v>
      </c>
      <c r="E854" s="2" t="s">
        <v>38</v>
      </c>
      <c r="F854" s="2" t="s">
        <v>39</v>
      </c>
      <c r="L854" s="2" t="s">
        <v>201</v>
      </c>
      <c r="M854" s="2" t="s">
        <v>80</v>
      </c>
      <c r="P854" s="2" t="s">
        <v>43</v>
      </c>
      <c r="Q854" s="2" t="s">
        <v>1243</v>
      </c>
      <c r="R854" s="2" t="s">
        <v>1244</v>
      </c>
      <c r="S854" s="2">
        <v>1</v>
      </c>
      <c r="T854" s="2">
        <v>9</v>
      </c>
      <c r="U854" s="2">
        <f>T854*23%</f>
        <v>2.0700000000000003</v>
      </c>
      <c r="V854" s="2">
        <f>T854+U854</f>
        <v>11.07</v>
      </c>
      <c r="W854" s="2">
        <v>4.16</v>
      </c>
      <c r="X854" s="5">
        <f t="shared" si="119"/>
        <v>0.5377777777777778</v>
      </c>
      <c r="Z854" s="2" t="s">
        <v>3227</v>
      </c>
      <c r="AA854" s="2" t="s">
        <v>46</v>
      </c>
      <c r="AB854" s="2" t="s">
        <v>90</v>
      </c>
      <c r="AC854" s="2" t="s">
        <v>57</v>
      </c>
      <c r="AF854" s="2">
        <f t="shared" si="117"/>
        <v>0</v>
      </c>
      <c r="AJ854" s="2">
        <f t="shared" si="118"/>
        <v>0</v>
      </c>
      <c r="AK854" s="2">
        <f t="shared" si="120"/>
        <v>4.84</v>
      </c>
      <c r="AL854" s="5">
        <f t="shared" si="121"/>
        <v>0.5377777777777778</v>
      </c>
    </row>
    <row r="855" spans="1:38" x14ac:dyDescent="0.2">
      <c r="A855" s="2">
        <v>2025</v>
      </c>
      <c r="B855" s="2">
        <v>4</v>
      </c>
      <c r="D855" s="2" t="s">
        <v>1017</v>
      </c>
      <c r="E855" s="2" t="s">
        <v>108</v>
      </c>
      <c r="F855" s="2" t="s">
        <v>477</v>
      </c>
      <c r="G855" s="2">
        <v>505647338</v>
      </c>
      <c r="H855" s="2" t="s">
        <v>290</v>
      </c>
      <c r="I855" s="2" t="s">
        <v>1018</v>
      </c>
      <c r="J855" s="2" t="s">
        <v>1019</v>
      </c>
      <c r="L855" s="2" t="s">
        <v>293</v>
      </c>
      <c r="M855" s="2" t="s">
        <v>80</v>
      </c>
      <c r="O855" s="2" t="s">
        <v>1245</v>
      </c>
      <c r="P855" s="2" t="s">
        <v>72</v>
      </c>
      <c r="Q855" s="2" t="s">
        <v>73</v>
      </c>
      <c r="R855" s="2" t="s">
        <v>74</v>
      </c>
      <c r="S855" s="2">
        <v>1</v>
      </c>
      <c r="T855" s="2">
        <v>215</v>
      </c>
      <c r="U855" s="2">
        <v>49.45</v>
      </c>
      <c r="V855" s="2">
        <v>264.45</v>
      </c>
      <c r="W855" s="2">
        <v>117.453</v>
      </c>
      <c r="X855" s="5">
        <f t="shared" si="119"/>
        <v>0.45370697674418603</v>
      </c>
      <c r="Z855" s="2" t="s">
        <v>3227</v>
      </c>
      <c r="AA855" s="2" t="s">
        <v>75</v>
      </c>
      <c r="AB855" s="2" t="s">
        <v>76</v>
      </c>
      <c r="AC855" s="2" t="s">
        <v>77</v>
      </c>
      <c r="AF855" s="2">
        <f t="shared" si="117"/>
        <v>0</v>
      </c>
      <c r="AG855" s="2">
        <v>117.453</v>
      </c>
      <c r="AH855" s="2">
        <v>220</v>
      </c>
      <c r="AJ855" s="2">
        <f t="shared" si="118"/>
        <v>0</v>
      </c>
      <c r="AK855" s="2">
        <f t="shared" si="120"/>
        <v>97.546999999999997</v>
      </c>
      <c r="AL855" s="5">
        <f t="shared" si="121"/>
        <v>0.45370697674418603</v>
      </c>
    </row>
    <row r="856" spans="1:38" x14ac:dyDescent="0.2">
      <c r="A856" s="2">
        <v>2025</v>
      </c>
      <c r="B856" s="2">
        <v>4</v>
      </c>
      <c r="D856" s="2" t="s">
        <v>1017</v>
      </c>
      <c r="E856" s="2" t="s">
        <v>108</v>
      </c>
      <c r="F856" s="2" t="s">
        <v>477</v>
      </c>
      <c r="G856" s="2">
        <v>505647338</v>
      </c>
      <c r="H856" s="2" t="s">
        <v>290</v>
      </c>
      <c r="I856" s="2" t="s">
        <v>1018</v>
      </c>
      <c r="J856" s="2" t="s">
        <v>1019</v>
      </c>
      <c r="L856" s="2" t="s">
        <v>293</v>
      </c>
      <c r="M856" s="2" t="s">
        <v>80</v>
      </c>
      <c r="O856" s="2" t="s">
        <v>1246</v>
      </c>
      <c r="P856" s="2" t="s">
        <v>72</v>
      </c>
      <c r="Q856" s="2" t="s">
        <v>330</v>
      </c>
      <c r="R856" s="2" t="s">
        <v>331</v>
      </c>
      <c r="S856" s="2">
        <v>1</v>
      </c>
      <c r="T856" s="2">
        <v>190</v>
      </c>
      <c r="U856" s="2">
        <v>43.7</v>
      </c>
      <c r="V856" s="2">
        <v>233.7</v>
      </c>
      <c r="W856" s="2">
        <v>111.11</v>
      </c>
      <c r="X856" s="5">
        <f t="shared" si="119"/>
        <v>0.41521052631578947</v>
      </c>
      <c r="Z856" s="2" t="s">
        <v>3227</v>
      </c>
      <c r="AA856" s="2" t="s">
        <v>75</v>
      </c>
      <c r="AB856" s="2" t="s">
        <v>76</v>
      </c>
      <c r="AC856" s="2" t="s">
        <v>77</v>
      </c>
      <c r="AF856" s="2">
        <f t="shared" si="117"/>
        <v>0</v>
      </c>
      <c r="AG856" s="2">
        <v>101.30500000000001</v>
      </c>
      <c r="AH856" s="2">
        <v>190</v>
      </c>
      <c r="AJ856" s="2">
        <f t="shared" si="118"/>
        <v>0</v>
      </c>
      <c r="AK856" s="2">
        <f t="shared" si="120"/>
        <v>78.89</v>
      </c>
      <c r="AL856" s="5">
        <f t="shared" si="121"/>
        <v>0.41521052631578947</v>
      </c>
    </row>
    <row r="857" spans="1:38" x14ac:dyDescent="0.2">
      <c r="A857" s="2">
        <v>2025</v>
      </c>
      <c r="B857" s="2">
        <v>4</v>
      </c>
      <c r="D857" s="2" t="s">
        <v>1017</v>
      </c>
      <c r="E857" s="2" t="s">
        <v>108</v>
      </c>
      <c r="F857" s="2" t="s">
        <v>477</v>
      </c>
      <c r="G857" s="2">
        <v>505647338</v>
      </c>
      <c r="H857" s="2" t="s">
        <v>290</v>
      </c>
      <c r="I857" s="2" t="s">
        <v>1018</v>
      </c>
      <c r="J857" s="2" t="s">
        <v>1019</v>
      </c>
      <c r="L857" s="2" t="s">
        <v>293</v>
      </c>
      <c r="M857" s="2" t="s">
        <v>80</v>
      </c>
      <c r="O857" s="2" t="s">
        <v>1247</v>
      </c>
      <c r="P857" s="2" t="s">
        <v>93</v>
      </c>
      <c r="Q857" s="2" t="s">
        <v>94</v>
      </c>
      <c r="R857" s="2" t="s">
        <v>95</v>
      </c>
      <c r="S857" s="2">
        <v>2</v>
      </c>
      <c r="T857" s="2">
        <v>2.2799999999999998</v>
      </c>
      <c r="U857" s="2">
        <v>0.52439999999999998</v>
      </c>
      <c r="V857" s="2">
        <v>2.8043999999999998</v>
      </c>
      <c r="W857" s="2">
        <v>2.2799999999999998</v>
      </c>
      <c r="X857" s="5">
        <f t="shared" si="119"/>
        <v>0</v>
      </c>
      <c r="Z857" s="2" t="s">
        <v>3227</v>
      </c>
      <c r="AA857" s="2" t="s">
        <v>96</v>
      </c>
      <c r="AB857" s="2" t="s">
        <v>76</v>
      </c>
      <c r="AC857" s="2" t="s">
        <v>93</v>
      </c>
      <c r="AF857" s="2">
        <f t="shared" si="117"/>
        <v>0</v>
      </c>
      <c r="AG857" s="2">
        <v>1.1399999999999999</v>
      </c>
      <c r="AH857" s="2">
        <v>1.1399999999999999</v>
      </c>
      <c r="AJ857" s="2">
        <f t="shared" si="118"/>
        <v>0</v>
      </c>
      <c r="AK857" s="2">
        <f t="shared" si="120"/>
        <v>0</v>
      </c>
      <c r="AL857" s="5">
        <f t="shared" si="121"/>
        <v>0</v>
      </c>
    </row>
    <row r="858" spans="1:38" x14ac:dyDescent="0.2">
      <c r="A858" s="2">
        <v>2025</v>
      </c>
      <c r="B858" s="2">
        <v>4</v>
      </c>
      <c r="D858" s="2" t="s">
        <v>1021</v>
      </c>
      <c r="P858" s="2" t="s">
        <v>43</v>
      </c>
      <c r="Q858" s="2" t="s">
        <v>48</v>
      </c>
      <c r="R858" s="2" t="s">
        <v>49</v>
      </c>
      <c r="S858" s="2">
        <v>2</v>
      </c>
      <c r="T858" s="2">
        <v>24</v>
      </c>
      <c r="U858" s="2">
        <f>T858*23%</f>
        <v>5.5200000000000005</v>
      </c>
      <c r="V858" s="2">
        <f>T858+U858</f>
        <v>29.52</v>
      </c>
      <c r="W858" s="2">
        <f>6.6267*S858</f>
        <v>13.253399999999999</v>
      </c>
      <c r="X858" s="5">
        <f t="shared" si="119"/>
        <v>0.44777500000000003</v>
      </c>
      <c r="Z858" s="2" t="s">
        <v>3227</v>
      </c>
      <c r="AA858" s="2" t="s">
        <v>46</v>
      </c>
      <c r="AB858" s="2" t="s">
        <v>47</v>
      </c>
      <c r="AC858" s="2" t="s">
        <v>57</v>
      </c>
      <c r="AF858" s="2">
        <f t="shared" si="117"/>
        <v>0</v>
      </c>
      <c r="AG858" s="2">
        <v>6.6266999999999996</v>
      </c>
      <c r="AH858" s="2">
        <v>12</v>
      </c>
      <c r="AJ858" s="2">
        <f t="shared" si="118"/>
        <v>0</v>
      </c>
      <c r="AK858" s="2">
        <f t="shared" si="120"/>
        <v>10.746600000000001</v>
      </c>
      <c r="AL858" s="5">
        <f t="shared" si="121"/>
        <v>0.44777500000000003</v>
      </c>
    </row>
    <row r="859" spans="1:38" x14ac:dyDescent="0.2">
      <c r="A859" s="2">
        <v>2025</v>
      </c>
      <c r="B859" s="2">
        <v>4</v>
      </c>
      <c r="D859" s="2" t="s">
        <v>451</v>
      </c>
      <c r="E859" s="2" t="s">
        <v>108</v>
      </c>
      <c r="F859" s="2" t="s">
        <v>39</v>
      </c>
      <c r="G859" s="2">
        <v>506085686</v>
      </c>
      <c r="H859" s="2" t="s">
        <v>40</v>
      </c>
      <c r="I859" s="2" t="s">
        <v>452</v>
      </c>
      <c r="J859" s="2" t="s">
        <v>453</v>
      </c>
      <c r="K859" s="2">
        <v>917241919</v>
      </c>
      <c r="L859" s="2" t="s">
        <v>398</v>
      </c>
      <c r="P859" s="2" t="s">
        <v>114</v>
      </c>
      <c r="Q859" s="2" t="s">
        <v>808</v>
      </c>
      <c r="R859" s="2" t="s">
        <v>809</v>
      </c>
      <c r="S859" s="2">
        <v>1</v>
      </c>
      <c r="T859" s="2">
        <v>71.819999999999993</v>
      </c>
      <c r="U859" s="2">
        <f>T859*23%</f>
        <v>16.518599999999999</v>
      </c>
      <c r="V859" s="2">
        <f>T859+U859</f>
        <v>88.338599999999985</v>
      </c>
      <c r="W859" s="2">
        <v>40.357500000000002</v>
      </c>
      <c r="X859" s="5">
        <f t="shared" si="119"/>
        <v>0.43807435254803667</v>
      </c>
      <c r="Z859" s="2" t="s">
        <v>117</v>
      </c>
      <c r="AA859" s="2" t="s">
        <v>118</v>
      </c>
      <c r="AB859" s="2" t="s">
        <v>119</v>
      </c>
      <c r="AC859" s="2" t="s">
        <v>114</v>
      </c>
      <c r="AF859" s="2">
        <f t="shared" si="117"/>
        <v>0</v>
      </c>
      <c r="AJ859" s="2">
        <f t="shared" si="118"/>
        <v>0</v>
      </c>
      <c r="AK859" s="2">
        <f t="shared" si="120"/>
        <v>31.462499999999991</v>
      </c>
      <c r="AL859" s="5">
        <f t="shared" si="121"/>
        <v>0.43807435254803667</v>
      </c>
    </row>
    <row r="860" spans="1:38" x14ac:dyDescent="0.2">
      <c r="A860" s="2">
        <v>2025</v>
      </c>
      <c r="B860" s="2">
        <v>4</v>
      </c>
      <c r="D860" s="2" t="s">
        <v>451</v>
      </c>
      <c r="E860" s="2" t="s">
        <v>108</v>
      </c>
      <c r="F860" s="2" t="s">
        <v>39</v>
      </c>
      <c r="G860" s="2">
        <v>506085686</v>
      </c>
      <c r="H860" s="2" t="s">
        <v>40</v>
      </c>
      <c r="I860" s="2" t="s">
        <v>452</v>
      </c>
      <c r="J860" s="2" t="s">
        <v>453</v>
      </c>
      <c r="K860" s="2">
        <v>917241919</v>
      </c>
      <c r="L860" s="2" t="s">
        <v>398</v>
      </c>
      <c r="M860" s="2" t="s">
        <v>40</v>
      </c>
      <c r="P860" s="2" t="s">
        <v>187</v>
      </c>
      <c r="Q860" s="2" t="s">
        <v>188</v>
      </c>
      <c r="R860" s="2" t="s">
        <v>189</v>
      </c>
      <c r="S860" s="2">
        <v>4</v>
      </c>
      <c r="T860" s="2">
        <v>344.25</v>
      </c>
      <c r="U860" s="2">
        <v>79.177500000000009</v>
      </c>
      <c r="V860" s="2">
        <v>423.42750000000001</v>
      </c>
      <c r="W860" s="2">
        <f>T860*40%</f>
        <v>137.70000000000002</v>
      </c>
      <c r="X860" s="5">
        <f t="shared" si="119"/>
        <v>0.6</v>
      </c>
      <c r="Z860" s="2" t="s">
        <v>117</v>
      </c>
      <c r="AA860" s="2" t="s">
        <v>190</v>
      </c>
      <c r="AB860" s="2" t="s">
        <v>189</v>
      </c>
      <c r="AC860" s="2" t="s">
        <v>40</v>
      </c>
      <c r="AF860" s="2">
        <f t="shared" si="117"/>
        <v>0</v>
      </c>
      <c r="AJ860" s="2">
        <f t="shared" si="118"/>
        <v>0</v>
      </c>
      <c r="AK860" s="2">
        <f t="shared" si="120"/>
        <v>206.54999999999998</v>
      </c>
      <c r="AL860" s="5">
        <f t="shared" si="121"/>
        <v>0.6</v>
      </c>
    </row>
    <row r="861" spans="1:38" x14ac:dyDescent="0.2">
      <c r="A861" s="2">
        <v>2025</v>
      </c>
      <c r="B861" s="2">
        <v>4</v>
      </c>
      <c r="D861" s="2" t="s">
        <v>451</v>
      </c>
      <c r="E861" s="2" t="s">
        <v>108</v>
      </c>
      <c r="F861" s="2" t="s">
        <v>39</v>
      </c>
      <c r="G861" s="2">
        <v>506085686</v>
      </c>
      <c r="H861" s="2" t="s">
        <v>40</v>
      </c>
      <c r="I861" s="2" t="s">
        <v>452</v>
      </c>
      <c r="J861" s="2" t="s">
        <v>453</v>
      </c>
      <c r="K861" s="2">
        <v>917241919</v>
      </c>
      <c r="L861" s="2" t="s">
        <v>398</v>
      </c>
      <c r="M861" s="2" t="s">
        <v>40</v>
      </c>
      <c r="P861" s="2" t="s">
        <v>187</v>
      </c>
      <c r="Q861" s="2" t="s">
        <v>191</v>
      </c>
      <c r="R861" s="2" t="s">
        <v>190</v>
      </c>
      <c r="S861" s="2">
        <v>6.25</v>
      </c>
      <c r="T861" s="2">
        <v>281.25</v>
      </c>
      <c r="U861" s="2">
        <v>64.6875</v>
      </c>
      <c r="V861" s="2">
        <v>345.9375</v>
      </c>
      <c r="W861" s="2">
        <f>T861*50%</f>
        <v>140.625</v>
      </c>
      <c r="X861" s="5">
        <f t="shared" si="119"/>
        <v>0.5</v>
      </c>
      <c r="Z861" s="2" t="s">
        <v>117</v>
      </c>
      <c r="AA861" s="2" t="s">
        <v>190</v>
      </c>
      <c r="AB861" s="2" t="s">
        <v>190</v>
      </c>
      <c r="AC861" s="2" t="s">
        <v>40</v>
      </c>
      <c r="AF861" s="2">
        <f t="shared" si="117"/>
        <v>0</v>
      </c>
      <c r="AJ861" s="2">
        <f t="shared" si="118"/>
        <v>0</v>
      </c>
      <c r="AK861" s="2">
        <f t="shared" si="120"/>
        <v>140.625</v>
      </c>
      <c r="AL861" s="5">
        <f t="shared" si="121"/>
        <v>0.5</v>
      </c>
    </row>
    <row r="862" spans="1:38" x14ac:dyDescent="0.2">
      <c r="A862" s="2">
        <v>2025</v>
      </c>
      <c r="B862" s="2">
        <v>4</v>
      </c>
      <c r="C862" s="2" t="s">
        <v>3408</v>
      </c>
      <c r="D862" s="15" t="s">
        <v>3337</v>
      </c>
      <c r="E862" s="2" t="s">
        <v>108</v>
      </c>
      <c r="F862" s="2" t="s">
        <v>39</v>
      </c>
      <c r="L862" s="2" t="s">
        <v>461</v>
      </c>
      <c r="M862" s="2" t="s">
        <v>80</v>
      </c>
      <c r="P862" s="2" t="s">
        <v>72</v>
      </c>
      <c r="Q862" s="2" t="s">
        <v>1248</v>
      </c>
      <c r="R862" s="2" t="s">
        <v>74</v>
      </c>
      <c r="S862" s="2">
        <v>1</v>
      </c>
      <c r="T862" s="2">
        <v>220</v>
      </c>
      <c r="U862" s="2">
        <v>50.6</v>
      </c>
      <c r="V862" s="2">
        <v>270.60000000000002</v>
      </c>
      <c r="W862" s="2">
        <v>155.54</v>
      </c>
      <c r="X862" s="5">
        <f t="shared" si="119"/>
        <v>0.29300000000000004</v>
      </c>
      <c r="Z862" s="2" t="s">
        <v>3227</v>
      </c>
      <c r="AA862" s="2" t="s">
        <v>75</v>
      </c>
      <c r="AB862" s="2" t="s">
        <v>76</v>
      </c>
      <c r="AC862" s="2" t="s">
        <v>77</v>
      </c>
      <c r="AF862" s="2">
        <f t="shared" si="117"/>
        <v>0</v>
      </c>
      <c r="AJ862" s="2">
        <f t="shared" si="118"/>
        <v>0</v>
      </c>
      <c r="AK862" s="2">
        <f t="shared" si="120"/>
        <v>64.460000000000008</v>
      </c>
      <c r="AL862" s="5">
        <f t="shared" si="121"/>
        <v>0.29300000000000004</v>
      </c>
    </row>
    <row r="863" spans="1:38" x14ac:dyDescent="0.2">
      <c r="A863" s="2">
        <v>2025</v>
      </c>
      <c r="B863" s="2">
        <v>4</v>
      </c>
      <c r="C863" s="2" t="s">
        <v>3408</v>
      </c>
      <c r="D863" s="15" t="s">
        <v>3337</v>
      </c>
      <c r="E863" s="2" t="s">
        <v>108</v>
      </c>
      <c r="F863" s="2" t="s">
        <v>39</v>
      </c>
      <c r="L863" s="2" t="s">
        <v>461</v>
      </c>
      <c r="M863" s="2" t="s">
        <v>80</v>
      </c>
      <c r="P863" s="2" t="s">
        <v>93</v>
      </c>
      <c r="Q863" s="2" t="s">
        <v>94</v>
      </c>
      <c r="R863" s="2" t="s">
        <v>95</v>
      </c>
      <c r="S863" s="2">
        <v>1</v>
      </c>
      <c r="T863" s="2">
        <v>1.1399999999999999</v>
      </c>
      <c r="U863" s="2">
        <v>0.26219999999999999</v>
      </c>
      <c r="V863" s="2">
        <v>1.4021999999999999</v>
      </c>
      <c r="W863" s="2">
        <v>1.1399999999999999</v>
      </c>
      <c r="X863" s="5">
        <f t="shared" si="119"/>
        <v>0</v>
      </c>
      <c r="Z863" s="2" t="s">
        <v>3227</v>
      </c>
      <c r="AA863" s="2" t="s">
        <v>96</v>
      </c>
      <c r="AB863" s="2" t="s">
        <v>76</v>
      </c>
      <c r="AC863" s="2" t="s">
        <v>93</v>
      </c>
      <c r="AF863" s="2">
        <f t="shared" si="117"/>
        <v>0</v>
      </c>
      <c r="AJ863" s="2">
        <f t="shared" si="118"/>
        <v>0</v>
      </c>
      <c r="AK863" s="2">
        <f t="shared" si="120"/>
        <v>0</v>
      </c>
      <c r="AL863" s="5">
        <f t="shared" si="121"/>
        <v>0</v>
      </c>
    </row>
    <row r="864" spans="1:38" x14ac:dyDescent="0.2">
      <c r="A864" s="2">
        <v>2025</v>
      </c>
      <c r="B864" s="2">
        <v>4</v>
      </c>
      <c r="D864" s="2" t="s">
        <v>1249</v>
      </c>
      <c r="P864" s="2" t="s">
        <v>40</v>
      </c>
      <c r="Q864" s="2" t="s">
        <v>363</v>
      </c>
      <c r="R864" s="2" t="s">
        <v>364</v>
      </c>
      <c r="S864" s="2">
        <v>1</v>
      </c>
      <c r="T864" s="2">
        <v>1250</v>
      </c>
      <c r="U864" s="2">
        <v>287.5</v>
      </c>
      <c r="V864" s="2">
        <v>1537.5</v>
      </c>
      <c r="X864" s="5">
        <f t="shared" si="119"/>
        <v>1</v>
      </c>
      <c r="Z864" s="2" t="s">
        <v>119</v>
      </c>
      <c r="AA864" s="2" t="s">
        <v>3380</v>
      </c>
      <c r="AF864" s="2">
        <f t="shared" si="117"/>
        <v>0</v>
      </c>
      <c r="AJ864" s="2">
        <f t="shared" si="118"/>
        <v>0</v>
      </c>
      <c r="AK864" s="2">
        <f t="shared" si="120"/>
        <v>1250</v>
      </c>
      <c r="AL864" s="5">
        <f t="shared" si="121"/>
        <v>1</v>
      </c>
    </row>
    <row r="865" spans="1:38" x14ac:dyDescent="0.2">
      <c r="A865" s="2">
        <v>2025</v>
      </c>
      <c r="B865" s="2">
        <v>4</v>
      </c>
      <c r="D865" s="2" t="s">
        <v>462</v>
      </c>
      <c r="E865" s="2" t="s">
        <v>108</v>
      </c>
      <c r="F865" s="2" t="s">
        <v>39</v>
      </c>
      <c r="G865" s="2">
        <v>506531031</v>
      </c>
      <c r="H865" s="2" t="s">
        <v>109</v>
      </c>
      <c r="I865" s="2" t="s">
        <v>463</v>
      </c>
      <c r="J865" s="2" t="s">
        <v>464</v>
      </c>
      <c r="L865" s="2" t="s">
        <v>112</v>
      </c>
      <c r="P865" s="2" t="s">
        <v>114</v>
      </c>
      <c r="Q865" s="2" t="s">
        <v>1250</v>
      </c>
      <c r="R865" s="2" t="s">
        <v>1251</v>
      </c>
      <c r="S865" s="2">
        <v>1</v>
      </c>
      <c r="T865" s="2">
        <v>382.35</v>
      </c>
      <c r="U865" s="2">
        <f>T865*23%</f>
        <v>87.940500000000014</v>
      </c>
      <c r="V865" s="2">
        <f>T865+U865</f>
        <v>470.29050000000007</v>
      </c>
      <c r="W865" s="2">
        <v>183.26</v>
      </c>
      <c r="X865" s="5">
        <f t="shared" si="119"/>
        <v>0.52070092846868055</v>
      </c>
      <c r="Z865" s="2" t="s">
        <v>117</v>
      </c>
      <c r="AA865" s="2" t="s">
        <v>118</v>
      </c>
      <c r="AB865" s="2" t="s">
        <v>119</v>
      </c>
      <c r="AC865" s="2" t="s">
        <v>114</v>
      </c>
      <c r="AF865" s="2">
        <f t="shared" si="117"/>
        <v>0</v>
      </c>
      <c r="AJ865" s="2">
        <f t="shared" si="118"/>
        <v>0</v>
      </c>
      <c r="AK865" s="2">
        <f t="shared" si="120"/>
        <v>199.09000000000003</v>
      </c>
      <c r="AL865" s="5">
        <f t="shared" si="121"/>
        <v>0.52070092846868055</v>
      </c>
    </row>
    <row r="866" spans="1:38" x14ac:dyDescent="0.2">
      <c r="A866" s="2">
        <v>2025</v>
      </c>
      <c r="B866" s="2">
        <v>4</v>
      </c>
      <c r="C866" s="2" t="s">
        <v>3311</v>
      </c>
      <c r="D866" s="2" t="s">
        <v>3310</v>
      </c>
      <c r="E866" s="2" t="s">
        <v>38</v>
      </c>
      <c r="F866" s="2" t="s">
        <v>39</v>
      </c>
      <c r="L866" s="2" t="s">
        <v>418</v>
      </c>
      <c r="M866" s="2" t="s">
        <v>41</v>
      </c>
      <c r="P866" s="2" t="s">
        <v>114</v>
      </c>
      <c r="Q866" s="2" t="s">
        <v>412</v>
      </c>
      <c r="R866" s="2" t="s">
        <v>413</v>
      </c>
      <c r="S866" s="2">
        <v>1</v>
      </c>
      <c r="T866" s="2">
        <v>15000</v>
      </c>
      <c r="U866" s="2">
        <v>3450</v>
      </c>
      <c r="V866" s="2">
        <v>18450</v>
      </c>
      <c r="W866" s="2">
        <v>10669.4</v>
      </c>
      <c r="X866" s="5">
        <f t="shared" si="119"/>
        <v>0.28870666666666667</v>
      </c>
      <c r="Z866" s="2" t="s">
        <v>104</v>
      </c>
      <c r="AA866" s="2" t="s">
        <v>414</v>
      </c>
      <c r="AB866" s="2" t="s">
        <v>151</v>
      </c>
      <c r="AC866" s="2" t="s">
        <v>114</v>
      </c>
      <c r="AF866" s="2">
        <f t="shared" si="117"/>
        <v>0</v>
      </c>
      <c r="AG866" s="2">
        <v>10669.4</v>
      </c>
      <c r="AJ866" s="2">
        <f t="shared" si="118"/>
        <v>0</v>
      </c>
      <c r="AK866" s="2">
        <f t="shared" si="120"/>
        <v>4330.6000000000004</v>
      </c>
      <c r="AL866" s="5">
        <f t="shared" si="121"/>
        <v>0.28870666666666667</v>
      </c>
    </row>
    <row r="867" spans="1:38" x14ac:dyDescent="0.2">
      <c r="A867" s="2">
        <v>2025</v>
      </c>
      <c r="B867" s="2">
        <v>4</v>
      </c>
      <c r="C867" s="2" t="s">
        <v>3311</v>
      </c>
      <c r="D867" s="2" t="s">
        <v>3312</v>
      </c>
      <c r="E867" s="2" t="s">
        <v>38</v>
      </c>
      <c r="F867" s="2" t="s">
        <v>470</v>
      </c>
      <c r="G867" s="2">
        <v>513626930</v>
      </c>
      <c r="H867" s="2" t="s">
        <v>40</v>
      </c>
      <c r="I867" s="2" t="s">
        <v>339</v>
      </c>
      <c r="J867" s="2" t="s">
        <v>471</v>
      </c>
      <c r="L867" s="2" t="s">
        <v>177</v>
      </c>
      <c r="M867" s="2" t="s">
        <v>41</v>
      </c>
      <c r="P867" s="2" t="s">
        <v>282</v>
      </c>
      <c r="Q867" s="2" t="s">
        <v>1252</v>
      </c>
      <c r="R867" s="2" t="s">
        <v>1253</v>
      </c>
      <c r="S867" s="2">
        <v>1</v>
      </c>
      <c r="T867" s="2">
        <v>2350</v>
      </c>
      <c r="U867" s="2">
        <f>T867*23%</f>
        <v>540.5</v>
      </c>
      <c r="V867" s="2">
        <f>T867+U867</f>
        <v>2890.5</v>
      </c>
      <c r="W867" s="2">
        <v>1239</v>
      </c>
      <c r="X867" s="5">
        <f t="shared" si="119"/>
        <v>0.47276595744680849</v>
      </c>
      <c r="Z867" s="2" t="s">
        <v>104</v>
      </c>
      <c r="AA867" s="2" t="s">
        <v>387</v>
      </c>
      <c r="AB867" s="2" t="s">
        <v>388</v>
      </c>
      <c r="AC867" s="2" t="s">
        <v>389</v>
      </c>
      <c r="AF867" s="2">
        <f t="shared" si="117"/>
        <v>0</v>
      </c>
      <c r="AG867" s="2">
        <v>1239</v>
      </c>
      <c r="AJ867" s="2">
        <f t="shared" si="118"/>
        <v>0</v>
      </c>
      <c r="AK867" s="2">
        <f t="shared" si="120"/>
        <v>1111</v>
      </c>
      <c r="AL867" s="5">
        <f t="shared" si="121"/>
        <v>0.47276595744680849</v>
      </c>
    </row>
    <row r="868" spans="1:38" x14ac:dyDescent="0.2">
      <c r="A868" s="2">
        <v>2025</v>
      </c>
      <c r="B868" s="2">
        <v>4</v>
      </c>
      <c r="D868" s="2" t="s">
        <v>843</v>
      </c>
      <c r="E868" s="2" t="s">
        <v>38</v>
      </c>
      <c r="F868" s="2" t="s">
        <v>39</v>
      </c>
      <c r="G868" s="2">
        <v>161685080</v>
      </c>
      <c r="H868" s="2" t="s">
        <v>41</v>
      </c>
      <c r="I868" s="2" t="s">
        <v>418</v>
      </c>
      <c r="K868" s="2" t="s">
        <v>844</v>
      </c>
      <c r="L868" s="2" t="s">
        <v>418</v>
      </c>
      <c r="M868" s="2" t="s">
        <v>41</v>
      </c>
      <c r="O868" s="2" t="s">
        <v>1254</v>
      </c>
      <c r="P868" s="2" t="s">
        <v>43</v>
      </c>
      <c r="Q868" s="2" t="s">
        <v>48</v>
      </c>
      <c r="R868" s="2" t="s">
        <v>49</v>
      </c>
      <c r="S868" s="2">
        <v>1</v>
      </c>
      <c r="T868" s="2">
        <v>12</v>
      </c>
      <c r="U868" s="2">
        <f>T868*23%</f>
        <v>2.7600000000000002</v>
      </c>
      <c r="V868" s="2">
        <f>T868+U868</f>
        <v>14.76</v>
      </c>
      <c r="W868" s="2">
        <f>6.6267*S868</f>
        <v>6.6266999999999996</v>
      </c>
      <c r="X868" s="5">
        <f t="shared" si="119"/>
        <v>0.44777500000000003</v>
      </c>
      <c r="Z868" s="2" t="s">
        <v>3227</v>
      </c>
      <c r="AA868" s="2" t="s">
        <v>46</v>
      </c>
      <c r="AB868" s="2" t="s">
        <v>47</v>
      </c>
      <c r="AC868" s="2" t="s">
        <v>57</v>
      </c>
      <c r="AF868" s="2">
        <f t="shared" si="117"/>
        <v>0</v>
      </c>
      <c r="AG868" s="2">
        <v>6.6266999999999996</v>
      </c>
      <c r="AH868" s="2">
        <v>12</v>
      </c>
      <c r="AJ868" s="2">
        <f t="shared" si="118"/>
        <v>0</v>
      </c>
      <c r="AK868" s="2">
        <f t="shared" si="120"/>
        <v>5.3733000000000004</v>
      </c>
      <c r="AL868" s="5">
        <f t="shared" si="121"/>
        <v>0.44777500000000003</v>
      </c>
    </row>
    <row r="869" spans="1:38" x14ac:dyDescent="0.2">
      <c r="A869" s="2">
        <v>2025</v>
      </c>
      <c r="B869" s="2">
        <v>4</v>
      </c>
      <c r="D869" s="2" t="s">
        <v>843</v>
      </c>
      <c r="E869" s="2" t="s">
        <v>38</v>
      </c>
      <c r="F869" s="2" t="s">
        <v>39</v>
      </c>
      <c r="G869" s="2">
        <v>161685080</v>
      </c>
      <c r="H869" s="2" t="s">
        <v>41</v>
      </c>
      <c r="I869" s="2" t="s">
        <v>418</v>
      </c>
      <c r="K869" s="2" t="s">
        <v>844</v>
      </c>
      <c r="L869" s="2" t="s">
        <v>418</v>
      </c>
      <c r="M869" s="2" t="s">
        <v>41</v>
      </c>
      <c r="O869" s="2" t="s">
        <v>1254</v>
      </c>
      <c r="P869" s="2" t="s">
        <v>43</v>
      </c>
      <c r="Q869" s="2" t="s">
        <v>54</v>
      </c>
      <c r="R869" s="2" t="s">
        <v>55</v>
      </c>
      <c r="S869" s="2">
        <v>1</v>
      </c>
      <c r="T869" s="2">
        <v>18</v>
      </c>
      <c r="U869" s="2">
        <f>T869*23%</f>
        <v>4.1400000000000006</v>
      </c>
      <c r="V869" s="2">
        <f>T869+U869</f>
        <v>22.14</v>
      </c>
      <c r="W869" s="2">
        <f>10.6*S869</f>
        <v>10.6</v>
      </c>
      <c r="X869" s="5">
        <f t="shared" si="119"/>
        <v>0.41111111111111115</v>
      </c>
      <c r="Z869" s="2" t="s">
        <v>3227</v>
      </c>
      <c r="AA869" s="2" t="s">
        <v>46</v>
      </c>
      <c r="AB869" s="2" t="s">
        <v>56</v>
      </c>
      <c r="AC869" s="2" t="s">
        <v>57</v>
      </c>
      <c r="AF869" s="2">
        <f t="shared" si="117"/>
        <v>0</v>
      </c>
      <c r="AG869" s="2">
        <v>10.6</v>
      </c>
      <c r="AH869" s="2">
        <v>18</v>
      </c>
      <c r="AJ869" s="2">
        <f t="shared" si="118"/>
        <v>0</v>
      </c>
      <c r="AK869" s="2">
        <f t="shared" si="120"/>
        <v>7.4</v>
      </c>
      <c r="AL869" s="5">
        <f t="shared" si="121"/>
        <v>0.41111111111111115</v>
      </c>
    </row>
    <row r="870" spans="1:38" x14ac:dyDescent="0.2">
      <c r="A870" s="2">
        <v>2025</v>
      </c>
      <c r="B870" s="2">
        <v>4</v>
      </c>
      <c r="D870" s="2" t="s">
        <v>843</v>
      </c>
      <c r="E870" s="2" t="s">
        <v>38</v>
      </c>
      <c r="F870" s="2" t="s">
        <v>39</v>
      </c>
      <c r="G870" s="2">
        <v>161685080</v>
      </c>
      <c r="H870" s="2" t="s">
        <v>41</v>
      </c>
      <c r="I870" s="2" t="s">
        <v>418</v>
      </c>
      <c r="K870" s="2" t="s">
        <v>844</v>
      </c>
      <c r="L870" s="2" t="s">
        <v>418</v>
      </c>
      <c r="M870" s="2" t="s">
        <v>41</v>
      </c>
      <c r="O870" s="2" t="s">
        <v>1254</v>
      </c>
      <c r="P870" s="2" t="s">
        <v>43</v>
      </c>
      <c r="Q870" s="2" t="s">
        <v>61</v>
      </c>
      <c r="R870" s="2" t="s">
        <v>62</v>
      </c>
      <c r="S870" s="2">
        <v>100</v>
      </c>
      <c r="T870" s="2">
        <v>13</v>
      </c>
      <c r="U870" s="2">
        <f>T870*23%</f>
        <v>2.99</v>
      </c>
      <c r="V870" s="2">
        <f>T870+U870</f>
        <v>15.99</v>
      </c>
      <c r="W870" s="2">
        <f>0.082*S870</f>
        <v>8.2000000000000011</v>
      </c>
      <c r="X870" s="5">
        <f t="shared" si="119"/>
        <v>0.36923076923076914</v>
      </c>
      <c r="Z870" s="2" t="s">
        <v>3227</v>
      </c>
      <c r="AA870" s="2" t="s">
        <v>46</v>
      </c>
      <c r="AB870" s="2" t="s">
        <v>60</v>
      </c>
      <c r="AC870" s="2" t="s">
        <v>57</v>
      </c>
      <c r="AF870" s="2">
        <f t="shared" si="117"/>
        <v>0</v>
      </c>
      <c r="AG870" s="2">
        <v>8.1999999999999993</v>
      </c>
      <c r="AH870" s="2">
        <v>13</v>
      </c>
      <c r="AJ870" s="2">
        <f t="shared" si="118"/>
        <v>0</v>
      </c>
      <c r="AK870" s="2">
        <f t="shared" si="120"/>
        <v>4.7999999999999989</v>
      </c>
      <c r="AL870" s="5">
        <f t="shared" si="121"/>
        <v>0.36923076923076914</v>
      </c>
    </row>
    <row r="871" spans="1:38" x14ac:dyDescent="0.2">
      <c r="A871" s="2">
        <v>2025</v>
      </c>
      <c r="B871" s="2">
        <v>4</v>
      </c>
      <c r="D871" s="2" t="s">
        <v>846</v>
      </c>
      <c r="P871" s="2" t="s">
        <v>72</v>
      </c>
      <c r="Q871" s="2" t="s">
        <v>73</v>
      </c>
      <c r="R871" s="2" t="s">
        <v>74</v>
      </c>
      <c r="S871" s="2">
        <v>1</v>
      </c>
      <c r="T871" s="2">
        <v>210</v>
      </c>
      <c r="U871" s="2">
        <v>48.3</v>
      </c>
      <c r="V871" s="2">
        <v>258.3</v>
      </c>
      <c r="W871" s="2">
        <v>117.453</v>
      </c>
      <c r="X871" s="5">
        <f t="shared" si="119"/>
        <v>0.44069999999999998</v>
      </c>
      <c r="Z871" s="2" t="s">
        <v>3227</v>
      </c>
      <c r="AA871" s="2" t="s">
        <v>75</v>
      </c>
      <c r="AB871" s="2" t="s">
        <v>76</v>
      </c>
      <c r="AC871" s="2" t="s">
        <v>77</v>
      </c>
      <c r="AF871" s="2">
        <f t="shared" si="117"/>
        <v>0</v>
      </c>
      <c r="AG871" s="2">
        <v>117.453</v>
      </c>
      <c r="AH871" s="2">
        <v>220</v>
      </c>
      <c r="AJ871" s="2">
        <f t="shared" si="118"/>
        <v>0</v>
      </c>
      <c r="AK871" s="2">
        <f t="shared" si="120"/>
        <v>92.546999999999997</v>
      </c>
      <c r="AL871" s="5">
        <f t="shared" si="121"/>
        <v>0.44069999999999998</v>
      </c>
    </row>
    <row r="872" spans="1:38" x14ac:dyDescent="0.2">
      <c r="A872" s="2">
        <v>2025</v>
      </c>
      <c r="B872" s="2">
        <v>4</v>
      </c>
      <c r="D872" s="2" t="s">
        <v>846</v>
      </c>
      <c r="P872" s="2" t="s">
        <v>93</v>
      </c>
      <c r="Q872" s="2" t="s">
        <v>94</v>
      </c>
      <c r="R872" s="2" t="s">
        <v>95</v>
      </c>
      <c r="S872" s="2">
        <v>1</v>
      </c>
      <c r="T872" s="2">
        <v>1.1399999999999999</v>
      </c>
      <c r="U872" s="2">
        <v>0.26219999999999999</v>
      </c>
      <c r="V872" s="2">
        <v>1.4021999999999999</v>
      </c>
      <c r="W872" s="2">
        <v>1.1399999999999999</v>
      </c>
      <c r="X872" s="5">
        <f t="shared" si="119"/>
        <v>0</v>
      </c>
      <c r="Z872" s="2" t="s">
        <v>3227</v>
      </c>
      <c r="AA872" s="2" t="s">
        <v>96</v>
      </c>
      <c r="AB872" s="2" t="s">
        <v>76</v>
      </c>
      <c r="AC872" s="2" t="s">
        <v>93</v>
      </c>
      <c r="AF872" s="2">
        <f t="shared" si="117"/>
        <v>0</v>
      </c>
      <c r="AJ872" s="2">
        <f t="shared" si="118"/>
        <v>0</v>
      </c>
      <c r="AK872" s="2">
        <f t="shared" si="120"/>
        <v>0</v>
      </c>
      <c r="AL872" s="5">
        <f t="shared" si="121"/>
        <v>0</v>
      </c>
    </row>
    <row r="873" spans="1:38" x14ac:dyDescent="0.2">
      <c r="A873" s="2">
        <v>2025</v>
      </c>
      <c r="B873" s="2">
        <v>4</v>
      </c>
      <c r="D873" s="2" t="s">
        <v>485</v>
      </c>
      <c r="E873" s="2" t="s">
        <v>108</v>
      </c>
      <c r="F873" s="2" t="s">
        <v>39</v>
      </c>
      <c r="G873" s="2">
        <v>506834689</v>
      </c>
      <c r="H873" s="2" t="s">
        <v>41</v>
      </c>
      <c r="I873" s="2" t="s">
        <v>486</v>
      </c>
      <c r="J873" s="2" t="s">
        <v>487</v>
      </c>
      <c r="K873" s="2">
        <v>919866237</v>
      </c>
      <c r="L873" s="2" t="s">
        <v>461</v>
      </c>
      <c r="M873" s="2" t="s">
        <v>41</v>
      </c>
      <c r="P873" s="2" t="s">
        <v>43</v>
      </c>
      <c r="Q873" s="2" t="s">
        <v>224</v>
      </c>
      <c r="R873" s="2" t="s">
        <v>225</v>
      </c>
      <c r="S873" s="2">
        <v>1</v>
      </c>
      <c r="T873" s="2">
        <v>15.6</v>
      </c>
      <c r="U873" s="2">
        <f>T873*23%</f>
        <v>3.5880000000000001</v>
      </c>
      <c r="V873" s="2">
        <f>T873+U873</f>
        <v>19.187999999999999</v>
      </c>
      <c r="W873" s="2">
        <v>9.06</v>
      </c>
      <c r="X873" s="5">
        <f t="shared" ref="X873:X904" si="122">(T873-W873)/T873</f>
        <v>0.41923076923076918</v>
      </c>
      <c r="Z873" s="2" t="s">
        <v>3227</v>
      </c>
      <c r="AA873" s="2" t="s">
        <v>46</v>
      </c>
      <c r="AB873" s="2" t="s">
        <v>56</v>
      </c>
      <c r="AC873" s="2" t="s">
        <v>57</v>
      </c>
      <c r="AF873" s="2">
        <f t="shared" si="117"/>
        <v>0</v>
      </c>
      <c r="AJ873" s="2">
        <f t="shared" si="118"/>
        <v>0</v>
      </c>
      <c r="AK873" s="2">
        <f t="shared" si="120"/>
        <v>6.5399999999999991</v>
      </c>
      <c r="AL873" s="5">
        <f t="shared" ref="AL873:AL904" si="123">(T873-W873)/T873</f>
        <v>0.41923076923076918</v>
      </c>
    </row>
    <row r="874" spans="1:38" x14ac:dyDescent="0.2">
      <c r="A874" s="2">
        <v>2025</v>
      </c>
      <c r="B874" s="2">
        <v>4</v>
      </c>
      <c r="D874" s="2" t="s">
        <v>485</v>
      </c>
      <c r="E874" s="2" t="s">
        <v>108</v>
      </c>
      <c r="F874" s="2" t="s">
        <v>39</v>
      </c>
      <c r="G874" s="2">
        <v>506834689</v>
      </c>
      <c r="H874" s="2" t="s">
        <v>41</v>
      </c>
      <c r="I874" s="2" t="s">
        <v>486</v>
      </c>
      <c r="J874" s="2" t="s">
        <v>487</v>
      </c>
      <c r="K874" s="2">
        <v>919866237</v>
      </c>
      <c r="L874" s="2" t="s">
        <v>461</v>
      </c>
      <c r="M874" s="2" t="s">
        <v>41</v>
      </c>
      <c r="P874" s="2" t="s">
        <v>43</v>
      </c>
      <c r="Q874" s="2" t="s">
        <v>226</v>
      </c>
      <c r="R874" s="2" t="s">
        <v>227</v>
      </c>
      <c r="S874" s="2">
        <v>1</v>
      </c>
      <c r="T874" s="2">
        <v>17.399999999999999</v>
      </c>
      <c r="U874" s="2">
        <f>T874*23%</f>
        <v>4.0019999999999998</v>
      </c>
      <c r="V874" s="2">
        <f>T874+U874</f>
        <v>21.401999999999997</v>
      </c>
      <c r="W874" s="2">
        <v>10.46</v>
      </c>
      <c r="X874" s="5">
        <f t="shared" si="122"/>
        <v>0.39885057471264357</v>
      </c>
      <c r="Z874" s="2" t="s">
        <v>3227</v>
      </c>
      <c r="AA874" s="2" t="s">
        <v>46</v>
      </c>
      <c r="AB874" s="2" t="s">
        <v>56</v>
      </c>
      <c r="AC874" s="2" t="s">
        <v>57</v>
      </c>
      <c r="AF874" s="2">
        <f t="shared" si="117"/>
        <v>0</v>
      </c>
      <c r="AJ874" s="2">
        <f t="shared" si="118"/>
        <v>0</v>
      </c>
      <c r="AK874" s="2">
        <f t="shared" si="120"/>
        <v>6.9399999999999977</v>
      </c>
      <c r="AL874" s="5">
        <f t="shared" si="123"/>
        <v>0.39885057471264357</v>
      </c>
    </row>
    <row r="875" spans="1:38" x14ac:dyDescent="0.2">
      <c r="A875" s="2">
        <v>2025</v>
      </c>
      <c r="B875" s="2">
        <v>4</v>
      </c>
      <c r="D875" s="2" t="s">
        <v>485</v>
      </c>
      <c r="E875" s="2" t="s">
        <v>108</v>
      </c>
      <c r="F875" s="2" t="s">
        <v>39</v>
      </c>
      <c r="G875" s="2">
        <v>506834689</v>
      </c>
      <c r="H875" s="2" t="s">
        <v>41</v>
      </c>
      <c r="I875" s="2" t="s">
        <v>486</v>
      </c>
      <c r="J875" s="2" t="s">
        <v>487</v>
      </c>
      <c r="K875" s="2">
        <v>919866237</v>
      </c>
      <c r="L875" s="2" t="s">
        <v>461</v>
      </c>
      <c r="M875" s="2" t="s">
        <v>41</v>
      </c>
      <c r="P875" s="2" t="s">
        <v>43</v>
      </c>
      <c r="Q875" s="2" t="s">
        <v>61</v>
      </c>
      <c r="R875" s="2" t="s">
        <v>62</v>
      </c>
      <c r="S875" s="2">
        <v>2000</v>
      </c>
      <c r="T875" s="2">
        <v>210</v>
      </c>
      <c r="U875" s="2">
        <f>T875*23%</f>
        <v>48.300000000000004</v>
      </c>
      <c r="V875" s="2">
        <f>T875+U875</f>
        <v>258.3</v>
      </c>
      <c r="W875" s="2">
        <f>0.082*S875</f>
        <v>164</v>
      </c>
      <c r="X875" s="5">
        <f t="shared" si="122"/>
        <v>0.21904761904761905</v>
      </c>
      <c r="Z875" s="2" t="s">
        <v>3227</v>
      </c>
      <c r="AA875" s="2" t="s">
        <v>46</v>
      </c>
      <c r="AB875" s="2" t="s">
        <v>60</v>
      </c>
      <c r="AC875" s="2" t="s">
        <v>57</v>
      </c>
      <c r="AF875" s="2">
        <f t="shared" si="117"/>
        <v>0</v>
      </c>
      <c r="AG875" s="2">
        <v>8.1999999999999993</v>
      </c>
      <c r="AH875" s="2">
        <v>13</v>
      </c>
      <c r="AJ875" s="2">
        <f t="shared" si="118"/>
        <v>0</v>
      </c>
      <c r="AK875" s="2">
        <f t="shared" si="120"/>
        <v>46</v>
      </c>
      <c r="AL875" s="5">
        <f t="shared" si="123"/>
        <v>0.21904761904761905</v>
      </c>
    </row>
    <row r="876" spans="1:38" x14ac:dyDescent="0.2">
      <c r="A876" s="2">
        <v>2025</v>
      </c>
      <c r="B876" s="2">
        <v>4</v>
      </c>
      <c r="D876" s="2" t="s">
        <v>485</v>
      </c>
      <c r="E876" s="2" t="s">
        <v>108</v>
      </c>
      <c r="F876" s="2" t="s">
        <v>39</v>
      </c>
      <c r="G876" s="2">
        <v>506834689</v>
      </c>
      <c r="H876" s="2" t="s">
        <v>41</v>
      </c>
      <c r="I876" s="2" t="s">
        <v>486</v>
      </c>
      <c r="J876" s="2" t="s">
        <v>487</v>
      </c>
      <c r="K876" s="2">
        <v>919866237</v>
      </c>
      <c r="L876" s="2" t="s">
        <v>461</v>
      </c>
      <c r="M876" s="2" t="s">
        <v>40</v>
      </c>
      <c r="P876" s="2" t="s">
        <v>187</v>
      </c>
      <c r="Q876" s="2" t="s">
        <v>188</v>
      </c>
      <c r="R876" s="2" t="s">
        <v>189</v>
      </c>
      <c r="S876" s="2">
        <v>1</v>
      </c>
      <c r="T876" s="2">
        <v>127</v>
      </c>
      <c r="U876" s="2">
        <v>29.21</v>
      </c>
      <c r="V876" s="2">
        <v>156.21</v>
      </c>
      <c r="W876" s="2">
        <f>T876*40%</f>
        <v>50.800000000000004</v>
      </c>
      <c r="X876" s="5">
        <f t="shared" si="122"/>
        <v>0.59999999999999987</v>
      </c>
      <c r="Z876" s="2" t="s">
        <v>117</v>
      </c>
      <c r="AA876" s="2" t="s">
        <v>190</v>
      </c>
      <c r="AB876" s="2" t="s">
        <v>189</v>
      </c>
      <c r="AC876" s="2" t="s">
        <v>40</v>
      </c>
      <c r="AF876" s="2">
        <f t="shared" si="117"/>
        <v>0</v>
      </c>
      <c r="AJ876" s="2">
        <f t="shared" si="118"/>
        <v>0</v>
      </c>
      <c r="AK876" s="2">
        <f t="shared" si="120"/>
        <v>76.199999999999989</v>
      </c>
      <c r="AL876" s="5">
        <f t="shared" si="123"/>
        <v>0.59999999999999987</v>
      </c>
    </row>
    <row r="877" spans="1:38" x14ac:dyDescent="0.2">
      <c r="A877" s="2">
        <v>2025</v>
      </c>
      <c r="B877" s="2">
        <v>4</v>
      </c>
      <c r="D877" s="2" t="s">
        <v>485</v>
      </c>
      <c r="E877" s="2" t="s">
        <v>108</v>
      </c>
      <c r="F877" s="2" t="s">
        <v>39</v>
      </c>
      <c r="G877" s="2">
        <v>506834689</v>
      </c>
      <c r="H877" s="2" t="s">
        <v>41</v>
      </c>
      <c r="I877" s="2" t="s">
        <v>486</v>
      </c>
      <c r="J877" s="2" t="s">
        <v>487</v>
      </c>
      <c r="K877" s="2">
        <v>919866237</v>
      </c>
      <c r="L877" s="2" t="s">
        <v>461</v>
      </c>
      <c r="M877" s="2" t="s">
        <v>40</v>
      </c>
      <c r="P877" s="2" t="s">
        <v>187</v>
      </c>
      <c r="Q877" s="2" t="s">
        <v>191</v>
      </c>
      <c r="R877" s="2" t="s">
        <v>190</v>
      </c>
      <c r="S877" s="2">
        <v>1</v>
      </c>
      <c r="T877" s="2">
        <v>50</v>
      </c>
      <c r="U877" s="2">
        <v>11.5</v>
      </c>
      <c r="V877" s="2">
        <v>61.5</v>
      </c>
      <c r="W877" s="2">
        <f>T877*50%</f>
        <v>25</v>
      </c>
      <c r="X877" s="5">
        <f t="shared" si="122"/>
        <v>0.5</v>
      </c>
      <c r="Z877" s="2" t="s">
        <v>117</v>
      </c>
      <c r="AA877" s="2" t="s">
        <v>190</v>
      </c>
      <c r="AB877" s="2" t="s">
        <v>190</v>
      </c>
      <c r="AC877" s="2" t="s">
        <v>40</v>
      </c>
      <c r="AF877" s="2">
        <f t="shared" si="117"/>
        <v>0</v>
      </c>
      <c r="AJ877" s="2">
        <f t="shared" si="118"/>
        <v>0</v>
      </c>
      <c r="AK877" s="2">
        <f t="shared" si="120"/>
        <v>25</v>
      </c>
      <c r="AL877" s="5">
        <f t="shared" si="123"/>
        <v>0.5</v>
      </c>
    </row>
    <row r="878" spans="1:38" x14ac:dyDescent="0.2">
      <c r="A878" s="2">
        <v>2025</v>
      </c>
      <c r="B878" s="2">
        <v>4</v>
      </c>
      <c r="D878" s="2" t="s">
        <v>485</v>
      </c>
      <c r="E878" s="2" t="s">
        <v>108</v>
      </c>
      <c r="F878" s="2" t="s">
        <v>39</v>
      </c>
      <c r="G878" s="2">
        <v>506834689</v>
      </c>
      <c r="H878" s="2" t="s">
        <v>41</v>
      </c>
      <c r="I878" s="2" t="s">
        <v>486</v>
      </c>
      <c r="J878" s="2" t="s">
        <v>487</v>
      </c>
      <c r="K878" s="2">
        <v>919866237</v>
      </c>
      <c r="L878" s="2" t="s">
        <v>461</v>
      </c>
      <c r="M878" s="2" t="s">
        <v>40</v>
      </c>
      <c r="P878" s="2" t="s">
        <v>40</v>
      </c>
      <c r="Q878" s="2" t="s">
        <v>363</v>
      </c>
      <c r="R878" s="2" t="s">
        <v>364</v>
      </c>
      <c r="S878" s="2">
        <v>1</v>
      </c>
      <c r="T878" s="2">
        <v>101.5</v>
      </c>
      <c r="U878" s="2">
        <v>23.344999999999999</v>
      </c>
      <c r="V878" s="2">
        <v>124.845</v>
      </c>
      <c r="X878" s="5">
        <f t="shared" si="122"/>
        <v>1</v>
      </c>
      <c r="Z878" s="2" t="s">
        <v>119</v>
      </c>
      <c r="AA878" s="2" t="s">
        <v>3380</v>
      </c>
      <c r="AF878" s="2">
        <f t="shared" si="117"/>
        <v>0</v>
      </c>
      <c r="AJ878" s="2">
        <f t="shared" si="118"/>
        <v>0</v>
      </c>
      <c r="AK878" s="2">
        <f t="shared" si="120"/>
        <v>101.5</v>
      </c>
      <c r="AL878" s="5">
        <f t="shared" si="123"/>
        <v>1</v>
      </c>
    </row>
    <row r="879" spans="1:38" x14ac:dyDescent="0.2">
      <c r="A879" s="2">
        <v>2025</v>
      </c>
      <c r="B879" s="2">
        <v>4</v>
      </c>
      <c r="D879" s="2" t="s">
        <v>1255</v>
      </c>
      <c r="P879" s="2" t="s">
        <v>72</v>
      </c>
      <c r="Q879" s="2" t="s">
        <v>1075</v>
      </c>
      <c r="R879" s="2" t="s">
        <v>83</v>
      </c>
      <c r="S879" s="2">
        <v>1</v>
      </c>
      <c r="T879" s="2">
        <v>260</v>
      </c>
      <c r="U879" s="2">
        <v>59.8</v>
      </c>
      <c r="V879" s="2">
        <v>319.8</v>
      </c>
      <c r="W879" s="2">
        <v>159.54</v>
      </c>
      <c r="X879" s="5">
        <f t="shared" si="122"/>
        <v>0.38638461538461544</v>
      </c>
      <c r="Z879" s="2" t="s">
        <v>3227</v>
      </c>
      <c r="AA879" s="2" t="s">
        <v>75</v>
      </c>
      <c r="AB879" s="2" t="s">
        <v>76</v>
      </c>
      <c r="AC879" s="2" t="s">
        <v>77</v>
      </c>
      <c r="AF879" s="2">
        <f t="shared" si="117"/>
        <v>0</v>
      </c>
      <c r="AG879" s="2">
        <f>144.14+15.4</f>
        <v>159.54</v>
      </c>
      <c r="AH879" s="2">
        <v>280</v>
      </c>
      <c r="AJ879" s="2">
        <f t="shared" si="118"/>
        <v>0</v>
      </c>
      <c r="AK879" s="2">
        <f t="shared" si="120"/>
        <v>100.46000000000001</v>
      </c>
      <c r="AL879" s="5">
        <f t="shared" si="123"/>
        <v>0.38638461538461544</v>
      </c>
    </row>
    <row r="880" spans="1:38" x14ac:dyDescent="0.2">
      <c r="A880" s="2">
        <v>2025</v>
      </c>
      <c r="B880" s="2">
        <v>4</v>
      </c>
      <c r="D880" s="2" t="s">
        <v>1255</v>
      </c>
      <c r="P880" s="2" t="s">
        <v>93</v>
      </c>
      <c r="Q880" s="2" t="s">
        <v>94</v>
      </c>
      <c r="R880" s="2" t="s">
        <v>95</v>
      </c>
      <c r="S880" s="2">
        <v>1</v>
      </c>
      <c r="T880" s="2">
        <v>1.1399999999999999</v>
      </c>
      <c r="U880" s="2">
        <v>0.26219999999999999</v>
      </c>
      <c r="V880" s="2">
        <v>1.4021999999999999</v>
      </c>
      <c r="W880" s="2">
        <v>1.1399999999999999</v>
      </c>
      <c r="X880" s="5">
        <f t="shared" si="122"/>
        <v>0</v>
      </c>
      <c r="Z880" s="2" t="s">
        <v>3227</v>
      </c>
      <c r="AA880" s="2" t="s">
        <v>96</v>
      </c>
      <c r="AB880" s="2" t="s">
        <v>76</v>
      </c>
      <c r="AC880" s="2" t="s">
        <v>93</v>
      </c>
      <c r="AF880" s="2">
        <f t="shared" si="117"/>
        <v>0</v>
      </c>
      <c r="AJ880" s="2">
        <f t="shared" si="118"/>
        <v>0</v>
      </c>
      <c r="AK880" s="2">
        <f t="shared" si="120"/>
        <v>0</v>
      </c>
      <c r="AL880" s="5">
        <f t="shared" si="123"/>
        <v>0</v>
      </c>
    </row>
    <row r="881" spans="1:38" x14ac:dyDescent="0.2">
      <c r="A881" s="2">
        <v>2025</v>
      </c>
      <c r="B881" s="2">
        <v>4</v>
      </c>
      <c r="D881" s="2" t="s">
        <v>488</v>
      </c>
      <c r="E881" s="2" t="s">
        <v>38</v>
      </c>
      <c r="F881" s="2" t="s">
        <v>39</v>
      </c>
      <c r="G881" s="2">
        <v>507380312</v>
      </c>
      <c r="H881" s="2" t="s">
        <v>40</v>
      </c>
      <c r="I881" s="2" t="s">
        <v>489</v>
      </c>
      <c r="J881" s="2" t="s">
        <v>490</v>
      </c>
      <c r="K881" s="2">
        <v>912293443</v>
      </c>
      <c r="L881" s="2" t="s">
        <v>99</v>
      </c>
      <c r="M881" s="2" t="s">
        <v>40</v>
      </c>
      <c r="P881" s="2" t="s">
        <v>40</v>
      </c>
      <c r="Q881" s="2" t="s">
        <v>491</v>
      </c>
      <c r="R881" s="2" t="s">
        <v>492</v>
      </c>
      <c r="S881" s="2">
        <v>2</v>
      </c>
      <c r="T881" s="2">
        <v>1328.08</v>
      </c>
      <c r="U881" s="2">
        <v>305.45839999999998</v>
      </c>
      <c r="V881" s="2">
        <v>1633.5383999999999</v>
      </c>
      <c r="X881" s="5">
        <f t="shared" si="122"/>
        <v>1</v>
      </c>
      <c r="Z881" s="2" t="s">
        <v>119</v>
      </c>
      <c r="AA881" s="2" t="s">
        <v>492</v>
      </c>
      <c r="AF881" s="2">
        <f t="shared" si="117"/>
        <v>0</v>
      </c>
      <c r="AJ881" s="2">
        <f t="shared" si="118"/>
        <v>0</v>
      </c>
      <c r="AK881" s="2">
        <f t="shared" si="120"/>
        <v>1328.08</v>
      </c>
      <c r="AL881" s="5">
        <f t="shared" si="123"/>
        <v>1</v>
      </c>
    </row>
    <row r="882" spans="1:38" x14ac:dyDescent="0.2">
      <c r="A882" s="2">
        <v>2025</v>
      </c>
      <c r="B882" s="2">
        <v>4</v>
      </c>
      <c r="D882" s="2" t="s">
        <v>1256</v>
      </c>
      <c r="P882" s="2" t="s">
        <v>72</v>
      </c>
      <c r="Q882" s="2" t="s">
        <v>73</v>
      </c>
      <c r="R882" s="2" t="s">
        <v>74</v>
      </c>
      <c r="S882" s="2">
        <v>1</v>
      </c>
      <c r="T882" s="2">
        <v>210</v>
      </c>
      <c r="U882" s="2">
        <v>48.3</v>
      </c>
      <c r="V882" s="2">
        <v>258.3</v>
      </c>
      <c r="W882" s="2">
        <v>117.453</v>
      </c>
      <c r="X882" s="5">
        <f t="shared" si="122"/>
        <v>0.44069999999999998</v>
      </c>
      <c r="Z882" s="2" t="s">
        <v>3227</v>
      </c>
      <c r="AA882" s="2" t="s">
        <v>75</v>
      </c>
      <c r="AB882" s="2" t="s">
        <v>76</v>
      </c>
      <c r="AC882" s="2" t="s">
        <v>77</v>
      </c>
      <c r="AF882" s="2">
        <f t="shared" si="117"/>
        <v>0</v>
      </c>
      <c r="AG882" s="2">
        <v>117.453</v>
      </c>
      <c r="AH882" s="2">
        <v>220</v>
      </c>
      <c r="AJ882" s="2">
        <f t="shared" si="118"/>
        <v>0</v>
      </c>
      <c r="AK882" s="2">
        <f t="shared" si="120"/>
        <v>92.546999999999997</v>
      </c>
      <c r="AL882" s="5">
        <f t="shared" si="123"/>
        <v>0.44069999999999998</v>
      </c>
    </row>
    <row r="883" spans="1:38" x14ac:dyDescent="0.2">
      <c r="A883" s="2">
        <v>2025</v>
      </c>
      <c r="B883" s="2">
        <v>4</v>
      </c>
      <c r="D883" s="2" t="s">
        <v>1256</v>
      </c>
      <c r="P883" s="2" t="s">
        <v>93</v>
      </c>
      <c r="Q883" s="2" t="s">
        <v>94</v>
      </c>
      <c r="R883" s="2" t="s">
        <v>95</v>
      </c>
      <c r="S883" s="2">
        <v>1</v>
      </c>
      <c r="T883" s="2">
        <v>1.1399999999999999</v>
      </c>
      <c r="U883" s="2">
        <v>0.26219999999999999</v>
      </c>
      <c r="V883" s="2">
        <v>1.4021999999999999</v>
      </c>
      <c r="W883" s="2">
        <v>1.1399999999999999</v>
      </c>
      <c r="X883" s="5">
        <f t="shared" si="122"/>
        <v>0</v>
      </c>
      <c r="Z883" s="2" t="s">
        <v>3227</v>
      </c>
      <c r="AA883" s="2" t="s">
        <v>96</v>
      </c>
      <c r="AB883" s="2" t="s">
        <v>76</v>
      </c>
      <c r="AC883" s="2" t="s">
        <v>93</v>
      </c>
      <c r="AF883" s="2">
        <f t="shared" si="117"/>
        <v>0</v>
      </c>
      <c r="AJ883" s="2">
        <f t="shared" si="118"/>
        <v>0</v>
      </c>
      <c r="AK883" s="2">
        <f t="shared" si="120"/>
        <v>0</v>
      </c>
      <c r="AL883" s="5">
        <f t="shared" si="123"/>
        <v>0</v>
      </c>
    </row>
    <row r="884" spans="1:38" x14ac:dyDescent="0.2">
      <c r="A884" s="2">
        <v>2025</v>
      </c>
      <c r="B884" s="2">
        <v>4</v>
      </c>
      <c r="C884" s="2" t="s">
        <v>3408</v>
      </c>
      <c r="D884" s="2" t="s">
        <v>1257</v>
      </c>
      <c r="E884" s="2" t="s">
        <v>38</v>
      </c>
      <c r="F884" s="2" t="s">
        <v>39</v>
      </c>
      <c r="L884" s="2" t="s">
        <v>339</v>
      </c>
      <c r="M884" s="2" t="s">
        <v>40</v>
      </c>
      <c r="P884" s="2" t="s">
        <v>114</v>
      </c>
      <c r="Q884" s="2" t="s">
        <v>1258</v>
      </c>
      <c r="R884" s="2" t="s">
        <v>1259</v>
      </c>
      <c r="S884" s="2">
        <v>1</v>
      </c>
      <c r="T884" s="2">
        <v>7400</v>
      </c>
      <c r="U884" s="2">
        <f>T884*23%</f>
        <v>1702</v>
      </c>
      <c r="V884" s="2">
        <f>T884+U884</f>
        <v>9102</v>
      </c>
      <c r="W884" s="2">
        <f>5194.7+166.3</f>
        <v>5361</v>
      </c>
      <c r="X884" s="5">
        <f t="shared" si="122"/>
        <v>0.27554054054054056</v>
      </c>
      <c r="Z884" s="2" t="s">
        <v>104</v>
      </c>
      <c r="AA884" s="2" t="s">
        <v>616</v>
      </c>
      <c r="AB884" s="2" t="s">
        <v>151</v>
      </c>
      <c r="AC884" s="2" t="s">
        <v>114</v>
      </c>
      <c r="AF884" s="2">
        <f t="shared" si="117"/>
        <v>0</v>
      </c>
      <c r="AJ884" s="2">
        <f t="shared" si="118"/>
        <v>0</v>
      </c>
      <c r="AK884" s="2">
        <f t="shared" si="120"/>
        <v>2039</v>
      </c>
      <c r="AL884" s="5">
        <f t="shared" si="123"/>
        <v>0.27554054054054056</v>
      </c>
    </row>
    <row r="885" spans="1:38" x14ac:dyDescent="0.2">
      <c r="A885" s="2">
        <v>2025</v>
      </c>
      <c r="B885" s="2">
        <v>4</v>
      </c>
      <c r="D885" s="2" t="s">
        <v>1053</v>
      </c>
      <c r="E885" s="2" t="s">
        <v>183</v>
      </c>
      <c r="F885" s="2" t="s">
        <v>1054</v>
      </c>
      <c r="G885" s="2">
        <v>500199523</v>
      </c>
      <c r="H885" s="2" t="s">
        <v>290</v>
      </c>
      <c r="I885" s="2" t="s">
        <v>293</v>
      </c>
      <c r="J885" s="2" t="s">
        <v>1055</v>
      </c>
      <c r="L885" s="2" t="s">
        <v>293</v>
      </c>
      <c r="M885" s="2" t="s">
        <v>80</v>
      </c>
      <c r="O885" s="2" t="s">
        <v>1260</v>
      </c>
      <c r="P885" s="2" t="s">
        <v>72</v>
      </c>
      <c r="Q885" s="2" t="s">
        <v>1261</v>
      </c>
      <c r="R885" s="2" t="s">
        <v>307</v>
      </c>
      <c r="S885" s="2">
        <v>1</v>
      </c>
      <c r="T885" s="2">
        <v>220</v>
      </c>
      <c r="U885" s="2">
        <v>50.6</v>
      </c>
      <c r="V885" s="2">
        <v>270.60000000000002</v>
      </c>
      <c r="W885" s="2">
        <v>107.35</v>
      </c>
      <c r="X885" s="5">
        <f t="shared" si="122"/>
        <v>0.51204545454545458</v>
      </c>
      <c r="Z885" s="2" t="s">
        <v>3227</v>
      </c>
      <c r="AA885" s="2" t="s">
        <v>75</v>
      </c>
      <c r="AB885" s="2" t="s">
        <v>76</v>
      </c>
      <c r="AC885" s="2" t="s">
        <v>77</v>
      </c>
      <c r="AF885" s="2">
        <f t="shared" si="117"/>
        <v>0</v>
      </c>
      <c r="AG885" s="2">
        <v>107.35</v>
      </c>
      <c r="AJ885" s="2">
        <f t="shared" si="118"/>
        <v>0</v>
      </c>
      <c r="AK885" s="2">
        <f t="shared" si="120"/>
        <v>112.65</v>
      </c>
      <c r="AL885" s="5">
        <f t="shared" si="123"/>
        <v>0.51204545454545458</v>
      </c>
    </row>
    <row r="886" spans="1:38" x14ac:dyDescent="0.2">
      <c r="A886" s="2">
        <v>2025</v>
      </c>
      <c r="B886" s="2">
        <v>4</v>
      </c>
      <c r="D886" s="2" t="s">
        <v>1053</v>
      </c>
      <c r="E886" s="2" t="s">
        <v>183</v>
      </c>
      <c r="F886" s="2" t="s">
        <v>1054</v>
      </c>
      <c r="G886" s="2">
        <v>500199523</v>
      </c>
      <c r="H886" s="2" t="s">
        <v>290</v>
      </c>
      <c r="I886" s="2" t="s">
        <v>293</v>
      </c>
      <c r="J886" s="2" t="s">
        <v>1055</v>
      </c>
      <c r="L886" s="2" t="s">
        <v>293</v>
      </c>
      <c r="M886" s="2" t="s">
        <v>80</v>
      </c>
      <c r="O886" s="2" t="s">
        <v>1260</v>
      </c>
      <c r="P886" s="2" t="s">
        <v>169</v>
      </c>
      <c r="Q886" s="2" t="s">
        <v>170</v>
      </c>
      <c r="R886" s="2" t="s">
        <v>170</v>
      </c>
      <c r="S886" s="2">
        <v>1</v>
      </c>
      <c r="T886" s="2">
        <v>35</v>
      </c>
      <c r="U886" s="2">
        <v>8.0500000000000007</v>
      </c>
      <c r="V886" s="2">
        <v>43.05</v>
      </c>
      <c r="W886" s="2">
        <v>23</v>
      </c>
      <c r="X886" s="5">
        <f t="shared" si="122"/>
        <v>0.34285714285714286</v>
      </c>
      <c r="Z886" s="2" t="s">
        <v>169</v>
      </c>
      <c r="AA886" s="2" t="s">
        <v>169</v>
      </c>
      <c r="AF886" s="2">
        <f t="shared" si="117"/>
        <v>0</v>
      </c>
      <c r="AJ886" s="2">
        <f t="shared" si="118"/>
        <v>0</v>
      </c>
      <c r="AK886" s="2">
        <f t="shared" si="120"/>
        <v>12</v>
      </c>
      <c r="AL886" s="5">
        <f t="shared" si="123"/>
        <v>0.34285714285714286</v>
      </c>
    </row>
    <row r="887" spans="1:38" x14ac:dyDescent="0.2">
      <c r="A887" s="2">
        <v>2025</v>
      </c>
      <c r="B887" s="2">
        <v>4</v>
      </c>
      <c r="D887" s="2" t="s">
        <v>1053</v>
      </c>
      <c r="E887" s="2" t="s">
        <v>183</v>
      </c>
      <c r="F887" s="2" t="s">
        <v>1054</v>
      </c>
      <c r="G887" s="2">
        <v>500199523</v>
      </c>
      <c r="H887" s="2" t="s">
        <v>290</v>
      </c>
      <c r="I887" s="2" t="s">
        <v>293</v>
      </c>
      <c r="J887" s="2" t="s">
        <v>1055</v>
      </c>
      <c r="L887" s="2" t="s">
        <v>293</v>
      </c>
      <c r="M887" s="2" t="s">
        <v>80</v>
      </c>
      <c r="O887" s="2" t="s">
        <v>1260</v>
      </c>
      <c r="P887" s="2" t="s">
        <v>93</v>
      </c>
      <c r="Q887" s="2" t="s">
        <v>94</v>
      </c>
      <c r="R887" s="2" t="s">
        <v>95</v>
      </c>
      <c r="S887" s="2">
        <v>1</v>
      </c>
      <c r="T887" s="2">
        <v>1.1399999999999999</v>
      </c>
      <c r="U887" s="2">
        <v>0.26219999999999999</v>
      </c>
      <c r="V887" s="2">
        <v>1.4021999999999999</v>
      </c>
      <c r="W887" s="2">
        <v>1.1399999999999999</v>
      </c>
      <c r="X887" s="5">
        <f t="shared" si="122"/>
        <v>0</v>
      </c>
      <c r="Z887" s="2" t="s">
        <v>3227</v>
      </c>
      <c r="AA887" s="2" t="s">
        <v>96</v>
      </c>
      <c r="AB887" s="2" t="s">
        <v>76</v>
      </c>
      <c r="AC887" s="2" t="s">
        <v>93</v>
      </c>
      <c r="AF887" s="2">
        <f t="shared" si="117"/>
        <v>0</v>
      </c>
      <c r="AJ887" s="2">
        <f t="shared" si="118"/>
        <v>0</v>
      </c>
      <c r="AK887" s="2">
        <f t="shared" si="120"/>
        <v>0</v>
      </c>
      <c r="AL887" s="5">
        <f t="shared" si="123"/>
        <v>0</v>
      </c>
    </row>
    <row r="888" spans="1:38" x14ac:dyDescent="0.2">
      <c r="A888" s="2">
        <v>2025</v>
      </c>
      <c r="B888" s="2">
        <v>4</v>
      </c>
      <c r="D888" s="2" t="s">
        <v>1066</v>
      </c>
      <c r="P888" s="2" t="s">
        <v>40</v>
      </c>
      <c r="Q888" s="2" t="s">
        <v>363</v>
      </c>
      <c r="R888" s="2" t="s">
        <v>364</v>
      </c>
      <c r="S888" s="2">
        <v>1</v>
      </c>
      <c r="T888" s="2">
        <v>361.2</v>
      </c>
      <c r="U888" s="2">
        <v>83.076000000000008</v>
      </c>
      <c r="V888" s="2">
        <v>444.27600000000001</v>
      </c>
      <c r="X888" s="5">
        <f t="shared" si="122"/>
        <v>1</v>
      </c>
      <c r="Z888" s="2" t="s">
        <v>119</v>
      </c>
      <c r="AA888" s="2" t="s">
        <v>3380</v>
      </c>
      <c r="AF888" s="2">
        <f t="shared" si="117"/>
        <v>0</v>
      </c>
      <c r="AJ888" s="2">
        <f t="shared" si="118"/>
        <v>0</v>
      </c>
      <c r="AK888" s="2">
        <f t="shared" si="120"/>
        <v>361.2</v>
      </c>
      <c r="AL888" s="5">
        <f t="shared" si="123"/>
        <v>1</v>
      </c>
    </row>
    <row r="889" spans="1:38" x14ac:dyDescent="0.2">
      <c r="A889" s="2">
        <v>2025</v>
      </c>
      <c r="B889" s="2">
        <v>4</v>
      </c>
      <c r="D889" s="2" t="s">
        <v>507</v>
      </c>
      <c r="E889" s="2" t="s">
        <v>38</v>
      </c>
      <c r="F889" s="2" t="s">
        <v>39</v>
      </c>
      <c r="G889" s="2">
        <v>514446170</v>
      </c>
      <c r="H889" s="2" t="s">
        <v>41</v>
      </c>
      <c r="I889" s="2" t="s">
        <v>177</v>
      </c>
      <c r="J889" s="2" t="s">
        <v>3134</v>
      </c>
      <c r="L889" s="2" t="s">
        <v>177</v>
      </c>
      <c r="M889" s="2" t="s">
        <v>41</v>
      </c>
      <c r="O889" s="2" t="s">
        <v>3136</v>
      </c>
      <c r="P889" s="2" t="s">
        <v>43</v>
      </c>
      <c r="Q889" s="2" t="s">
        <v>48</v>
      </c>
      <c r="R889" s="2" t="s">
        <v>49</v>
      </c>
      <c r="S889" s="2">
        <v>2</v>
      </c>
      <c r="T889" s="2">
        <v>24</v>
      </c>
      <c r="U889" s="2">
        <f>T889*23%</f>
        <v>5.5200000000000005</v>
      </c>
      <c r="V889" s="2">
        <f>T889+U889</f>
        <v>29.52</v>
      </c>
      <c r="W889" s="2">
        <f>6.6267*S889</f>
        <v>13.253399999999999</v>
      </c>
      <c r="X889" s="5">
        <f t="shared" si="122"/>
        <v>0.44777500000000003</v>
      </c>
      <c r="Z889" s="2" t="s">
        <v>3227</v>
      </c>
      <c r="AA889" s="2" t="s">
        <v>46</v>
      </c>
      <c r="AB889" s="2" t="s">
        <v>47</v>
      </c>
      <c r="AC889" s="2" t="s">
        <v>57</v>
      </c>
      <c r="AF889" s="2">
        <f t="shared" si="117"/>
        <v>0</v>
      </c>
      <c r="AG889" s="2">
        <v>6.6266999999999996</v>
      </c>
      <c r="AH889" s="2">
        <v>12</v>
      </c>
      <c r="AJ889" s="2">
        <f t="shared" si="118"/>
        <v>0</v>
      </c>
      <c r="AK889" s="2">
        <f t="shared" si="120"/>
        <v>10.746600000000001</v>
      </c>
      <c r="AL889" s="5">
        <f t="shared" si="123"/>
        <v>0.44777500000000003</v>
      </c>
    </row>
    <row r="890" spans="1:38" x14ac:dyDescent="0.2">
      <c r="A890" s="2">
        <v>2025</v>
      </c>
      <c r="B890" s="2">
        <v>4</v>
      </c>
      <c r="D890" s="2" t="s">
        <v>507</v>
      </c>
      <c r="E890" s="2" t="s">
        <v>38</v>
      </c>
      <c r="F890" s="2" t="s">
        <v>39</v>
      </c>
      <c r="G890" s="2">
        <v>514446170</v>
      </c>
      <c r="H890" s="2" t="s">
        <v>41</v>
      </c>
      <c r="I890" s="2" t="s">
        <v>177</v>
      </c>
      <c r="J890" s="2" t="s">
        <v>3134</v>
      </c>
      <c r="L890" s="2" t="s">
        <v>177</v>
      </c>
      <c r="M890" s="2" t="s">
        <v>41</v>
      </c>
      <c r="O890" s="2" t="s">
        <v>3136</v>
      </c>
      <c r="P890" s="2" t="s">
        <v>43</v>
      </c>
      <c r="Q890" s="2" t="s">
        <v>160</v>
      </c>
      <c r="R890" s="2" t="s">
        <v>161</v>
      </c>
      <c r="S890" s="2">
        <v>1</v>
      </c>
      <c r="T890" s="2">
        <v>7.8</v>
      </c>
      <c r="U890" s="2">
        <v>1.794</v>
      </c>
      <c r="V890" s="2">
        <v>9.5939999999999994</v>
      </c>
      <c r="W890" s="2">
        <f>3.7358*S890</f>
        <v>3.7357999999999998</v>
      </c>
      <c r="X890" s="5">
        <f t="shared" si="122"/>
        <v>0.52105128205128204</v>
      </c>
      <c r="Z890" s="2" t="s">
        <v>3227</v>
      </c>
      <c r="AA890" s="2" t="s">
        <v>46</v>
      </c>
      <c r="AB890" s="2" t="s">
        <v>47</v>
      </c>
      <c r="AC890" s="2" t="s">
        <v>57</v>
      </c>
      <c r="AF890" s="2">
        <f t="shared" si="117"/>
        <v>0</v>
      </c>
      <c r="AG890" s="2">
        <v>3.7357999999999998</v>
      </c>
      <c r="AH890" s="2">
        <v>9</v>
      </c>
      <c r="AJ890" s="2">
        <f t="shared" si="118"/>
        <v>0</v>
      </c>
      <c r="AK890" s="2">
        <f t="shared" si="120"/>
        <v>4.0641999999999996</v>
      </c>
      <c r="AL890" s="5">
        <f t="shared" si="123"/>
        <v>0.52105128205128204</v>
      </c>
    </row>
    <row r="891" spans="1:38" x14ac:dyDescent="0.2">
      <c r="A891" s="2">
        <v>2025</v>
      </c>
      <c r="B891" s="2">
        <v>4</v>
      </c>
      <c r="D891" s="2" t="s">
        <v>509</v>
      </c>
      <c r="E891" s="2" t="s">
        <v>38</v>
      </c>
      <c r="F891" s="2" t="s">
        <v>39</v>
      </c>
      <c r="G891" s="2">
        <v>513405020</v>
      </c>
      <c r="H891" s="2" t="s">
        <v>40</v>
      </c>
      <c r="I891" s="2" t="s">
        <v>156</v>
      </c>
      <c r="J891" s="2" t="s">
        <v>510</v>
      </c>
      <c r="K891" s="2">
        <v>919770433</v>
      </c>
      <c r="L891" s="2" t="s">
        <v>99</v>
      </c>
      <c r="P891" s="2" t="s">
        <v>43</v>
      </c>
      <c r="Q891" s="2" t="s">
        <v>54</v>
      </c>
      <c r="R891" s="2" t="s">
        <v>55</v>
      </c>
      <c r="S891" s="2">
        <v>2</v>
      </c>
      <c r="T891" s="2">
        <v>36</v>
      </c>
      <c r="U891" s="2">
        <f>T891*23%</f>
        <v>8.2800000000000011</v>
      </c>
      <c r="V891" s="2">
        <f>T891+U891</f>
        <v>44.28</v>
      </c>
      <c r="W891" s="2">
        <f>10.6*S891</f>
        <v>21.2</v>
      </c>
      <c r="X891" s="5">
        <f t="shared" si="122"/>
        <v>0.41111111111111115</v>
      </c>
      <c r="Z891" s="2" t="s">
        <v>3227</v>
      </c>
      <c r="AA891" s="2" t="s">
        <v>46</v>
      </c>
      <c r="AB891" s="2" t="s">
        <v>56</v>
      </c>
      <c r="AC891" s="2" t="s">
        <v>57</v>
      </c>
      <c r="AF891" s="2">
        <f t="shared" si="117"/>
        <v>0</v>
      </c>
      <c r="AG891" s="2">
        <v>10.6</v>
      </c>
      <c r="AH891" s="2">
        <v>18</v>
      </c>
      <c r="AJ891" s="2">
        <f t="shared" si="118"/>
        <v>0</v>
      </c>
      <c r="AK891" s="2">
        <f t="shared" si="120"/>
        <v>14.8</v>
      </c>
      <c r="AL891" s="5">
        <f t="shared" si="123"/>
        <v>0.41111111111111115</v>
      </c>
    </row>
    <row r="892" spans="1:38" x14ac:dyDescent="0.2">
      <c r="A892" s="2">
        <v>2025</v>
      </c>
      <c r="B892" s="2">
        <v>4</v>
      </c>
      <c r="D892" s="2" t="s">
        <v>509</v>
      </c>
      <c r="E892" s="2" t="s">
        <v>38</v>
      </c>
      <c r="F892" s="2" t="s">
        <v>39</v>
      </c>
      <c r="G892" s="2">
        <v>513405020</v>
      </c>
      <c r="H892" s="2" t="s">
        <v>40</v>
      </c>
      <c r="I892" s="2" t="s">
        <v>156</v>
      </c>
      <c r="J892" s="2" t="s">
        <v>510</v>
      </c>
      <c r="K892" s="2">
        <v>919770433</v>
      </c>
      <c r="L892" s="2" t="s">
        <v>99</v>
      </c>
      <c r="P892" s="2" t="s">
        <v>43</v>
      </c>
      <c r="Q892" s="2" t="s">
        <v>61</v>
      </c>
      <c r="R892" s="2" t="s">
        <v>62</v>
      </c>
      <c r="S892" s="2">
        <v>100</v>
      </c>
      <c r="T892" s="2">
        <v>13</v>
      </c>
      <c r="U892" s="2">
        <f>T892*23%</f>
        <v>2.99</v>
      </c>
      <c r="V892" s="2">
        <f>T892+U892</f>
        <v>15.99</v>
      </c>
      <c r="W892" s="2">
        <f>0.082*S892</f>
        <v>8.2000000000000011</v>
      </c>
      <c r="X892" s="5">
        <f t="shared" si="122"/>
        <v>0.36923076923076914</v>
      </c>
      <c r="Z892" s="2" t="s">
        <v>3227</v>
      </c>
      <c r="AA892" s="2" t="s">
        <v>46</v>
      </c>
      <c r="AB892" s="2" t="s">
        <v>60</v>
      </c>
      <c r="AC892" s="2" t="s">
        <v>57</v>
      </c>
      <c r="AF892" s="2">
        <f t="shared" si="117"/>
        <v>0</v>
      </c>
      <c r="AG892" s="2">
        <v>8.1999999999999993</v>
      </c>
      <c r="AH892" s="2">
        <v>13</v>
      </c>
      <c r="AJ892" s="2">
        <f t="shared" si="118"/>
        <v>0</v>
      </c>
      <c r="AK892" s="2">
        <f t="shared" si="120"/>
        <v>4.7999999999999989</v>
      </c>
      <c r="AL892" s="5">
        <f t="shared" si="123"/>
        <v>0.36923076923076914</v>
      </c>
    </row>
    <row r="893" spans="1:38" x14ac:dyDescent="0.2">
      <c r="A893" s="2">
        <v>2025</v>
      </c>
      <c r="B893" s="2">
        <v>4</v>
      </c>
      <c r="D893" s="2" t="s">
        <v>509</v>
      </c>
      <c r="E893" s="2" t="s">
        <v>38</v>
      </c>
      <c r="F893" s="2" t="s">
        <v>39</v>
      </c>
      <c r="G893" s="2">
        <v>513405020</v>
      </c>
      <c r="H893" s="2" t="s">
        <v>40</v>
      </c>
      <c r="I893" s="2" t="s">
        <v>156</v>
      </c>
      <c r="J893" s="2" t="s">
        <v>510</v>
      </c>
      <c r="K893" s="2">
        <v>919770433</v>
      </c>
      <c r="L893" s="2" t="s">
        <v>99</v>
      </c>
      <c r="P893" s="2" t="s">
        <v>43</v>
      </c>
      <c r="Q893" s="2" t="s">
        <v>65</v>
      </c>
      <c r="R893" s="2" t="s">
        <v>66</v>
      </c>
      <c r="S893" s="2">
        <v>1</v>
      </c>
      <c r="T893" s="2">
        <v>21.5</v>
      </c>
      <c r="U893" s="2">
        <v>73.600000000000009</v>
      </c>
      <c r="V893" s="2">
        <v>393.6</v>
      </c>
      <c r="W893" s="2">
        <f>15.0203*S893</f>
        <v>15.020300000000001</v>
      </c>
      <c r="X893" s="5">
        <f t="shared" si="122"/>
        <v>0.30138139534883718</v>
      </c>
      <c r="Z893" s="2" t="s">
        <v>3227</v>
      </c>
      <c r="AA893" s="2" t="s">
        <v>46</v>
      </c>
      <c r="AB893" s="2" t="s">
        <v>67</v>
      </c>
      <c r="AC893" s="2" t="s">
        <v>57</v>
      </c>
      <c r="AF893" s="2">
        <f t="shared" si="117"/>
        <v>0</v>
      </c>
      <c r="AG893" s="2">
        <v>15.020300000000001</v>
      </c>
      <c r="AH893" s="2">
        <v>27.6</v>
      </c>
      <c r="AJ893" s="2">
        <f t="shared" si="118"/>
        <v>0</v>
      </c>
      <c r="AK893" s="2">
        <f t="shared" si="120"/>
        <v>6.4796999999999993</v>
      </c>
      <c r="AL893" s="5">
        <f t="shared" si="123"/>
        <v>0.30138139534883718</v>
      </c>
    </row>
    <row r="894" spans="1:38" x14ac:dyDescent="0.2">
      <c r="A894" s="2">
        <v>2025</v>
      </c>
      <c r="B894" s="2">
        <v>4</v>
      </c>
      <c r="D894" s="2" t="s">
        <v>867</v>
      </c>
      <c r="E894" s="2" t="s">
        <v>38</v>
      </c>
      <c r="F894" s="2" t="s">
        <v>39</v>
      </c>
      <c r="G894" s="2">
        <v>226546594</v>
      </c>
      <c r="H894" s="2" t="s">
        <v>41</v>
      </c>
      <c r="I894" s="2" t="s">
        <v>868</v>
      </c>
      <c r="J894" s="2" t="s">
        <v>869</v>
      </c>
      <c r="K894" s="2">
        <v>933599817</v>
      </c>
      <c r="L894" s="2" t="s">
        <v>99</v>
      </c>
      <c r="P894" s="2" t="s">
        <v>282</v>
      </c>
      <c r="Q894" s="2" t="s">
        <v>1069</v>
      </c>
      <c r="R894" s="2" t="s">
        <v>1070</v>
      </c>
      <c r="S894" s="2">
        <v>2</v>
      </c>
      <c r="T894" s="2">
        <v>18.16</v>
      </c>
      <c r="U894" s="2">
        <f>T894*23%</f>
        <v>4.1768000000000001</v>
      </c>
      <c r="V894" s="2">
        <f>T894+U894</f>
        <v>22.3368</v>
      </c>
      <c r="W894" s="2">
        <f>6.0484*S894</f>
        <v>12.0968</v>
      </c>
      <c r="X894" s="5">
        <f t="shared" si="122"/>
        <v>0.33387665198237887</v>
      </c>
      <c r="Z894" s="2" t="s">
        <v>3227</v>
      </c>
      <c r="AA894" s="2" t="s">
        <v>71</v>
      </c>
      <c r="AB894" s="2" t="s">
        <v>119</v>
      </c>
      <c r="AC894" s="2" t="s">
        <v>119</v>
      </c>
      <c r="AF894" s="2">
        <f t="shared" si="117"/>
        <v>0</v>
      </c>
      <c r="AJ894" s="2">
        <f t="shared" si="118"/>
        <v>0</v>
      </c>
      <c r="AK894" s="2">
        <f t="shared" si="120"/>
        <v>6.0632000000000001</v>
      </c>
      <c r="AL894" s="5">
        <f t="shared" si="123"/>
        <v>0.33387665198237887</v>
      </c>
    </row>
    <row r="895" spans="1:38" x14ac:dyDescent="0.2">
      <c r="A895" s="2">
        <v>2025</v>
      </c>
      <c r="B895" s="2">
        <v>4</v>
      </c>
      <c r="D895" s="2" t="s">
        <v>873</v>
      </c>
      <c r="P895" s="2" t="s">
        <v>72</v>
      </c>
      <c r="Q895" s="2" t="s">
        <v>206</v>
      </c>
      <c r="R895" s="2" t="s">
        <v>207</v>
      </c>
      <c r="S895" s="2">
        <v>1</v>
      </c>
      <c r="T895" s="2">
        <v>440</v>
      </c>
      <c r="U895" s="2">
        <v>101.2</v>
      </c>
      <c r="V895" s="2">
        <v>541.20000000000005</v>
      </c>
      <c r="W895" s="2">
        <f>291.59*S895</f>
        <v>291.58999999999997</v>
      </c>
      <c r="X895" s="5">
        <f t="shared" si="122"/>
        <v>0.33729545454545462</v>
      </c>
      <c r="Z895" s="2" t="s">
        <v>3227</v>
      </c>
      <c r="AA895" s="2" t="s">
        <v>75</v>
      </c>
      <c r="AB895" s="2" t="s">
        <v>76</v>
      </c>
      <c r="AC895" s="2" t="s">
        <v>77</v>
      </c>
      <c r="AF895" s="2">
        <f t="shared" si="117"/>
        <v>0</v>
      </c>
      <c r="AG895" s="2">
        <v>291.58999999999997</v>
      </c>
      <c r="AH895" s="2">
        <v>450</v>
      </c>
      <c r="AJ895" s="2">
        <f t="shared" si="118"/>
        <v>0</v>
      </c>
      <c r="AK895" s="2">
        <f t="shared" si="120"/>
        <v>148.41000000000003</v>
      </c>
      <c r="AL895" s="5">
        <f t="shared" si="123"/>
        <v>0.33729545454545462</v>
      </c>
    </row>
    <row r="896" spans="1:38" x14ac:dyDescent="0.2">
      <c r="A896" s="2">
        <v>2025</v>
      </c>
      <c r="B896" s="2">
        <v>4</v>
      </c>
      <c r="D896" s="2" t="s">
        <v>873</v>
      </c>
      <c r="P896" s="2" t="s">
        <v>93</v>
      </c>
      <c r="Q896" s="2" t="s">
        <v>94</v>
      </c>
      <c r="R896" s="2" t="s">
        <v>95</v>
      </c>
      <c r="S896" s="2">
        <v>1</v>
      </c>
      <c r="T896" s="2">
        <v>1.1399999999999999</v>
      </c>
      <c r="U896" s="2">
        <v>0.26219999999999999</v>
      </c>
      <c r="V896" s="2">
        <v>1.4021999999999999</v>
      </c>
      <c r="W896" s="2">
        <v>1.1399999999999999</v>
      </c>
      <c r="X896" s="5">
        <f t="shared" si="122"/>
        <v>0</v>
      </c>
      <c r="Z896" s="2" t="s">
        <v>3227</v>
      </c>
      <c r="AA896" s="2" t="s">
        <v>96</v>
      </c>
      <c r="AB896" s="2" t="s">
        <v>76</v>
      </c>
      <c r="AC896" s="2" t="s">
        <v>93</v>
      </c>
      <c r="AF896" s="2">
        <f t="shared" si="117"/>
        <v>0</v>
      </c>
      <c r="AJ896" s="2">
        <f t="shared" si="118"/>
        <v>0</v>
      </c>
      <c r="AK896" s="2">
        <f t="shared" si="120"/>
        <v>0</v>
      </c>
      <c r="AL896" s="5">
        <f t="shared" si="123"/>
        <v>0</v>
      </c>
    </row>
    <row r="897" spans="1:38" x14ac:dyDescent="0.2">
      <c r="A897" s="2">
        <v>2025</v>
      </c>
      <c r="B897" s="2">
        <v>4</v>
      </c>
      <c r="D897" s="2" t="s">
        <v>549</v>
      </c>
      <c r="E897" s="2" t="s">
        <v>108</v>
      </c>
      <c r="F897" s="2" t="s">
        <v>395</v>
      </c>
      <c r="G897" s="2">
        <v>503641790</v>
      </c>
      <c r="H897" s="2" t="s">
        <v>40</v>
      </c>
      <c r="I897" s="2" t="s">
        <v>550</v>
      </c>
      <c r="J897" s="2" t="s">
        <v>551</v>
      </c>
      <c r="K897" s="2">
        <v>917753665</v>
      </c>
      <c r="L897" s="2" t="s">
        <v>99</v>
      </c>
      <c r="M897" s="2" t="s">
        <v>80</v>
      </c>
      <c r="O897" s="2" t="s">
        <v>1262</v>
      </c>
      <c r="P897" s="2" t="s">
        <v>72</v>
      </c>
      <c r="Q897" s="2" t="s">
        <v>681</v>
      </c>
      <c r="R897" s="2" t="s">
        <v>74</v>
      </c>
      <c r="S897" s="2">
        <v>1</v>
      </c>
      <c r="T897" s="2">
        <v>210</v>
      </c>
      <c r="U897" s="2">
        <v>48.3</v>
      </c>
      <c r="V897" s="2">
        <v>258.3</v>
      </c>
      <c r="W897" s="2">
        <v>104.49</v>
      </c>
      <c r="X897" s="5">
        <f t="shared" si="122"/>
        <v>0.50242857142857145</v>
      </c>
      <c r="Z897" s="2" t="s">
        <v>3227</v>
      </c>
      <c r="AA897" s="2" t="s">
        <v>75</v>
      </c>
      <c r="AB897" s="2" t="s">
        <v>76</v>
      </c>
      <c r="AC897" s="2" t="s">
        <v>77</v>
      </c>
      <c r="AF897" s="2">
        <f t="shared" si="117"/>
        <v>0</v>
      </c>
      <c r="AG897" s="2">
        <v>104.49</v>
      </c>
      <c r="AH897" s="2">
        <v>220</v>
      </c>
      <c r="AJ897" s="2">
        <f t="shared" si="118"/>
        <v>0</v>
      </c>
      <c r="AK897" s="2">
        <f t="shared" si="120"/>
        <v>105.51</v>
      </c>
      <c r="AL897" s="5">
        <f t="shared" si="123"/>
        <v>0.50242857142857145</v>
      </c>
    </row>
    <row r="898" spans="1:38" x14ac:dyDescent="0.2">
      <c r="A898" s="2">
        <v>2025</v>
      </c>
      <c r="B898" s="2">
        <v>4</v>
      </c>
      <c r="D898" s="2" t="s">
        <v>549</v>
      </c>
      <c r="E898" s="2" t="s">
        <v>108</v>
      </c>
      <c r="F898" s="2" t="s">
        <v>395</v>
      </c>
      <c r="G898" s="2">
        <v>503641790</v>
      </c>
      <c r="H898" s="2" t="s">
        <v>40</v>
      </c>
      <c r="I898" s="2" t="s">
        <v>550</v>
      </c>
      <c r="J898" s="2" t="s">
        <v>551</v>
      </c>
      <c r="K898" s="2">
        <v>917753665</v>
      </c>
      <c r="L898" s="2" t="s">
        <v>99</v>
      </c>
      <c r="M898" s="2" t="s">
        <v>80</v>
      </c>
      <c r="O898" s="2" t="s">
        <v>1262</v>
      </c>
      <c r="P898" s="2" t="s">
        <v>93</v>
      </c>
      <c r="Q898" s="2" t="s">
        <v>94</v>
      </c>
      <c r="R898" s="2" t="s">
        <v>95</v>
      </c>
      <c r="S898" s="2">
        <v>1</v>
      </c>
      <c r="T898" s="2">
        <v>1.1399999999999999</v>
      </c>
      <c r="U898" s="2">
        <v>0.26219999999999999</v>
      </c>
      <c r="V898" s="2">
        <v>1.4021999999999999</v>
      </c>
      <c r="W898" s="2">
        <v>1.1399999999999999</v>
      </c>
      <c r="X898" s="5">
        <f t="shared" si="122"/>
        <v>0</v>
      </c>
      <c r="Z898" s="2" t="s">
        <v>3227</v>
      </c>
      <c r="AA898" s="2" t="s">
        <v>96</v>
      </c>
      <c r="AB898" s="2" t="s">
        <v>76</v>
      </c>
      <c r="AC898" s="2" t="s">
        <v>93</v>
      </c>
      <c r="AF898" s="2">
        <f t="shared" ref="AF898:AF961" si="124">AJ898</f>
        <v>0</v>
      </c>
      <c r="AG898" s="2">
        <v>1.1399999999999999</v>
      </c>
      <c r="AH898" s="2">
        <v>1.1399999999999999</v>
      </c>
      <c r="AJ898" s="2">
        <f t="shared" ref="AJ898:AJ961" si="125">AI898*T898</f>
        <v>0</v>
      </c>
      <c r="AK898" s="2">
        <f t="shared" si="120"/>
        <v>0</v>
      </c>
      <c r="AL898" s="5">
        <f t="shared" si="123"/>
        <v>0</v>
      </c>
    </row>
    <row r="899" spans="1:38" x14ac:dyDescent="0.2">
      <c r="A899" s="2">
        <v>2025</v>
      </c>
      <c r="B899" s="2">
        <v>4</v>
      </c>
      <c r="D899" s="2" t="s">
        <v>558</v>
      </c>
      <c r="E899" s="2" t="s">
        <v>108</v>
      </c>
      <c r="F899" s="2" t="s">
        <v>39</v>
      </c>
      <c r="G899" s="2">
        <v>506517233</v>
      </c>
      <c r="H899" s="2" t="s">
        <v>80</v>
      </c>
      <c r="I899" s="2" t="s">
        <v>559</v>
      </c>
      <c r="J899" s="2" t="s">
        <v>560</v>
      </c>
      <c r="L899" s="2" t="s">
        <v>133</v>
      </c>
      <c r="P899" s="2" t="s">
        <v>114</v>
      </c>
      <c r="Q899" s="2" t="s">
        <v>1263</v>
      </c>
      <c r="R899" s="2" t="s">
        <v>1264</v>
      </c>
      <c r="S899" s="2">
        <v>1</v>
      </c>
      <c r="T899" s="2">
        <v>15.45</v>
      </c>
      <c r="U899" s="2">
        <v>3.5535000000000001</v>
      </c>
      <c r="V899" s="2">
        <v>19.003499999999999</v>
      </c>
      <c r="W899" s="2">
        <v>3.2646999999999999</v>
      </c>
      <c r="X899" s="5">
        <f t="shared" si="122"/>
        <v>0.78869255663430426</v>
      </c>
      <c r="Z899" s="2" t="s">
        <v>117</v>
      </c>
      <c r="AA899" s="2" t="s">
        <v>118</v>
      </c>
      <c r="AB899" s="2" t="s">
        <v>119</v>
      </c>
      <c r="AC899" s="2" t="s">
        <v>114</v>
      </c>
      <c r="AF899" s="2">
        <f t="shared" si="124"/>
        <v>0</v>
      </c>
      <c r="AJ899" s="2">
        <f t="shared" si="125"/>
        <v>0</v>
      </c>
      <c r="AK899" s="2">
        <f t="shared" si="120"/>
        <v>12.1853</v>
      </c>
      <c r="AL899" s="5">
        <f t="shared" si="123"/>
        <v>0.78869255663430426</v>
      </c>
    </row>
    <row r="900" spans="1:38" x14ac:dyDescent="0.2">
      <c r="A900" s="2">
        <v>2025</v>
      </c>
      <c r="B900" s="2">
        <v>4</v>
      </c>
      <c r="D900" s="2" t="s">
        <v>558</v>
      </c>
      <c r="E900" s="2" t="s">
        <v>108</v>
      </c>
      <c r="F900" s="2" t="s">
        <v>39</v>
      </c>
      <c r="G900" s="2">
        <v>506517233</v>
      </c>
      <c r="H900" s="2" t="s">
        <v>80</v>
      </c>
      <c r="I900" s="2" t="s">
        <v>559</v>
      </c>
      <c r="J900" s="2" t="s">
        <v>560</v>
      </c>
      <c r="L900" s="2" t="s">
        <v>133</v>
      </c>
      <c r="P900" s="2" t="s">
        <v>114</v>
      </c>
      <c r="Q900" s="2" t="s">
        <v>1265</v>
      </c>
      <c r="R900" s="2" t="s">
        <v>1266</v>
      </c>
      <c r="S900" s="2">
        <v>2</v>
      </c>
      <c r="T900" s="2">
        <v>49.43</v>
      </c>
      <c r="U900" s="2">
        <v>11.3689</v>
      </c>
      <c r="V900" s="2">
        <v>60.798900000000003</v>
      </c>
      <c r="W900" s="2">
        <f>14*S900</f>
        <v>28</v>
      </c>
      <c r="X900" s="5">
        <f t="shared" si="122"/>
        <v>0.43354238316811655</v>
      </c>
      <c r="Z900" s="2" t="s">
        <v>117</v>
      </c>
      <c r="AA900" s="2" t="s">
        <v>118</v>
      </c>
      <c r="AB900" s="2" t="s">
        <v>119</v>
      </c>
      <c r="AC900" s="2" t="s">
        <v>114</v>
      </c>
      <c r="AF900" s="2">
        <f t="shared" si="124"/>
        <v>0</v>
      </c>
      <c r="AJ900" s="2">
        <f t="shared" si="125"/>
        <v>0</v>
      </c>
      <c r="AK900" s="2">
        <f t="shared" si="120"/>
        <v>21.43</v>
      </c>
      <c r="AL900" s="5">
        <f t="shared" si="123"/>
        <v>0.43354238316811655</v>
      </c>
    </row>
    <row r="901" spans="1:38" x14ac:dyDescent="0.2">
      <c r="A901" s="2">
        <v>2025</v>
      </c>
      <c r="B901" s="2">
        <v>4</v>
      </c>
      <c r="D901" s="2" t="s">
        <v>558</v>
      </c>
      <c r="E901" s="2" t="s">
        <v>108</v>
      </c>
      <c r="F901" s="2" t="s">
        <v>39</v>
      </c>
      <c r="G901" s="2">
        <v>506517233</v>
      </c>
      <c r="H901" s="2" t="s">
        <v>80</v>
      </c>
      <c r="I901" s="2" t="s">
        <v>559</v>
      </c>
      <c r="J901" s="2" t="s">
        <v>560</v>
      </c>
      <c r="L901" s="2" t="s">
        <v>133</v>
      </c>
      <c r="M901" s="2" t="s">
        <v>80</v>
      </c>
      <c r="O901" s="2" t="s">
        <v>1267</v>
      </c>
      <c r="P901" s="2" t="s">
        <v>72</v>
      </c>
      <c r="Q901" s="2" t="s">
        <v>330</v>
      </c>
      <c r="R901" s="2" t="s">
        <v>331</v>
      </c>
      <c r="S901" s="2">
        <v>3</v>
      </c>
      <c r="T901" s="2">
        <v>316.5</v>
      </c>
      <c r="U901" s="2">
        <v>72.795000000000002</v>
      </c>
      <c r="V901" s="2">
        <v>389.29500000000002</v>
      </c>
      <c r="W901" s="2">
        <v>303.91500000000002</v>
      </c>
      <c r="X901" s="5">
        <f t="shared" si="122"/>
        <v>3.9763033175355386E-2</v>
      </c>
      <c r="Z901" s="2" t="s">
        <v>3227</v>
      </c>
      <c r="AA901" s="2" t="s">
        <v>75</v>
      </c>
      <c r="AB901" s="2" t="s">
        <v>76</v>
      </c>
      <c r="AC901" s="2" t="s">
        <v>77</v>
      </c>
      <c r="AF901" s="2">
        <f t="shared" si="124"/>
        <v>0</v>
      </c>
      <c r="AG901" s="2">
        <v>101.30500000000001</v>
      </c>
      <c r="AH901" s="2">
        <v>190</v>
      </c>
      <c r="AJ901" s="2">
        <f t="shared" si="125"/>
        <v>0</v>
      </c>
      <c r="AK901" s="2">
        <f t="shared" si="120"/>
        <v>12.58499999999998</v>
      </c>
      <c r="AL901" s="5">
        <f t="shared" si="123"/>
        <v>3.9763033175355386E-2</v>
      </c>
    </row>
    <row r="902" spans="1:38" x14ac:dyDescent="0.2">
      <c r="A902" s="2">
        <v>2025</v>
      </c>
      <c r="B902" s="2">
        <v>4</v>
      </c>
      <c r="D902" s="2" t="s">
        <v>558</v>
      </c>
      <c r="E902" s="2" t="s">
        <v>108</v>
      </c>
      <c r="F902" s="2" t="s">
        <v>39</v>
      </c>
      <c r="G902" s="2">
        <v>506517233</v>
      </c>
      <c r="H902" s="2" t="s">
        <v>80</v>
      </c>
      <c r="I902" s="2" t="s">
        <v>559</v>
      </c>
      <c r="J902" s="2" t="s">
        <v>560</v>
      </c>
      <c r="L902" s="2" t="s">
        <v>133</v>
      </c>
      <c r="M902" s="2" t="s">
        <v>80</v>
      </c>
      <c r="O902" s="2" t="s">
        <v>3149</v>
      </c>
      <c r="P902" s="2" t="s">
        <v>1038</v>
      </c>
      <c r="Q902" s="2" t="s">
        <v>1268</v>
      </c>
      <c r="R902" s="2" t="s">
        <v>1269</v>
      </c>
      <c r="S902" s="2">
        <v>8</v>
      </c>
      <c r="T902" s="2">
        <v>883.6</v>
      </c>
      <c r="U902" s="2">
        <v>203.22800000000001</v>
      </c>
      <c r="V902" s="2">
        <v>1086.828</v>
      </c>
      <c r="W902" s="2">
        <f>94*S902</f>
        <v>752</v>
      </c>
      <c r="X902" s="5">
        <f t="shared" si="122"/>
        <v>0.14893617021276598</v>
      </c>
      <c r="Z902" s="2" t="s">
        <v>3227</v>
      </c>
      <c r="AA902" s="2" t="s">
        <v>1041</v>
      </c>
      <c r="AB902" s="2" t="s">
        <v>1270</v>
      </c>
      <c r="AC902" s="2" t="s">
        <v>1038</v>
      </c>
      <c r="AF902" s="2">
        <f t="shared" si="124"/>
        <v>0</v>
      </c>
      <c r="AG902" s="2">
        <v>94</v>
      </c>
      <c r="AJ902" s="2">
        <f t="shared" si="125"/>
        <v>0</v>
      </c>
      <c r="AK902" s="2">
        <f t="shared" si="120"/>
        <v>131.60000000000002</v>
      </c>
      <c r="AL902" s="5">
        <f t="shared" si="123"/>
        <v>0.14893617021276598</v>
      </c>
    </row>
    <row r="903" spans="1:38" x14ac:dyDescent="0.2">
      <c r="A903" s="2">
        <v>2025</v>
      </c>
      <c r="B903" s="2">
        <v>4</v>
      </c>
      <c r="D903" s="2" t="s">
        <v>558</v>
      </c>
      <c r="E903" s="2" t="s">
        <v>108</v>
      </c>
      <c r="F903" s="2" t="s">
        <v>39</v>
      </c>
      <c r="G903" s="2">
        <v>506517233</v>
      </c>
      <c r="H903" s="2" t="s">
        <v>80</v>
      </c>
      <c r="I903" s="2" t="s">
        <v>559</v>
      </c>
      <c r="J903" s="2" t="s">
        <v>560</v>
      </c>
      <c r="L903" s="2" t="s">
        <v>133</v>
      </c>
      <c r="M903" s="2" t="s">
        <v>40</v>
      </c>
      <c r="P903" s="2" t="s">
        <v>187</v>
      </c>
      <c r="Q903" s="2" t="s">
        <v>188</v>
      </c>
      <c r="R903" s="2" t="s">
        <v>189</v>
      </c>
      <c r="S903" s="2">
        <v>1</v>
      </c>
      <c r="T903" s="2">
        <v>138</v>
      </c>
      <c r="U903" s="2">
        <v>31.74</v>
      </c>
      <c r="V903" s="2">
        <v>169.74</v>
      </c>
      <c r="W903" s="2">
        <f>T903*40%</f>
        <v>55.2</v>
      </c>
      <c r="X903" s="5">
        <f t="shared" si="122"/>
        <v>0.6</v>
      </c>
      <c r="Z903" s="2" t="s">
        <v>117</v>
      </c>
      <c r="AA903" s="2" t="s">
        <v>190</v>
      </c>
      <c r="AB903" s="2" t="s">
        <v>189</v>
      </c>
      <c r="AC903" s="2" t="s">
        <v>40</v>
      </c>
      <c r="AF903" s="2">
        <f t="shared" si="124"/>
        <v>0</v>
      </c>
      <c r="AJ903" s="2">
        <f t="shared" si="125"/>
        <v>0</v>
      </c>
      <c r="AK903" s="2">
        <f t="shared" si="120"/>
        <v>82.8</v>
      </c>
      <c r="AL903" s="5">
        <f t="shared" si="123"/>
        <v>0.6</v>
      </c>
    </row>
    <row r="904" spans="1:38" x14ac:dyDescent="0.2">
      <c r="A904" s="2">
        <v>2025</v>
      </c>
      <c r="B904" s="2">
        <v>4</v>
      </c>
      <c r="D904" s="2" t="s">
        <v>558</v>
      </c>
      <c r="E904" s="2" t="s">
        <v>108</v>
      </c>
      <c r="F904" s="2" t="s">
        <v>39</v>
      </c>
      <c r="G904" s="2">
        <v>506517233</v>
      </c>
      <c r="H904" s="2" t="s">
        <v>80</v>
      </c>
      <c r="I904" s="2" t="s">
        <v>559</v>
      </c>
      <c r="J904" s="2" t="s">
        <v>560</v>
      </c>
      <c r="L904" s="2" t="s">
        <v>133</v>
      </c>
      <c r="M904" s="2" t="s">
        <v>40</v>
      </c>
      <c r="P904" s="2" t="s">
        <v>187</v>
      </c>
      <c r="Q904" s="2" t="s">
        <v>191</v>
      </c>
      <c r="R904" s="2" t="s">
        <v>190</v>
      </c>
      <c r="S904" s="2">
        <v>2</v>
      </c>
      <c r="T904" s="2">
        <v>50</v>
      </c>
      <c r="U904" s="2">
        <v>11.5</v>
      </c>
      <c r="V904" s="2">
        <v>61.5</v>
      </c>
      <c r="W904" s="2">
        <f>T904*50%</f>
        <v>25</v>
      </c>
      <c r="X904" s="5">
        <f t="shared" si="122"/>
        <v>0.5</v>
      </c>
      <c r="Z904" s="2" t="s">
        <v>117</v>
      </c>
      <c r="AA904" s="2" t="s">
        <v>190</v>
      </c>
      <c r="AB904" s="2" t="s">
        <v>190</v>
      </c>
      <c r="AC904" s="2" t="s">
        <v>40</v>
      </c>
      <c r="AF904" s="2">
        <f t="shared" si="124"/>
        <v>0</v>
      </c>
      <c r="AJ904" s="2">
        <f t="shared" si="125"/>
        <v>0</v>
      </c>
      <c r="AK904" s="2">
        <f t="shared" si="120"/>
        <v>25</v>
      </c>
      <c r="AL904" s="5">
        <f t="shared" si="123"/>
        <v>0.5</v>
      </c>
    </row>
    <row r="905" spans="1:38" x14ac:dyDescent="0.2">
      <c r="A905" s="2">
        <v>2025</v>
      </c>
      <c r="B905" s="2">
        <v>4</v>
      </c>
      <c r="D905" s="2" t="s">
        <v>558</v>
      </c>
      <c r="E905" s="2" t="s">
        <v>108</v>
      </c>
      <c r="F905" s="2" t="s">
        <v>39</v>
      </c>
      <c r="G905" s="2">
        <v>506517233</v>
      </c>
      <c r="H905" s="2" t="s">
        <v>80</v>
      </c>
      <c r="I905" s="2" t="s">
        <v>559</v>
      </c>
      <c r="J905" s="2" t="s">
        <v>560</v>
      </c>
      <c r="L905" s="2" t="s">
        <v>133</v>
      </c>
      <c r="M905" s="2" t="s">
        <v>80</v>
      </c>
      <c r="P905" s="2" t="s">
        <v>169</v>
      </c>
      <c r="Q905" s="2" t="s">
        <v>170</v>
      </c>
      <c r="R905" s="2" t="s">
        <v>170</v>
      </c>
      <c r="S905" s="2">
        <v>2</v>
      </c>
      <c r="T905" s="2">
        <v>105</v>
      </c>
      <c r="U905" s="2">
        <v>24.15</v>
      </c>
      <c r="V905" s="2">
        <v>129.15</v>
      </c>
      <c r="W905" s="2">
        <v>120</v>
      </c>
      <c r="X905" s="5">
        <f t="shared" ref="X905:X912" si="126">(T905-W905)/T905</f>
        <v>-0.14285714285714285</v>
      </c>
      <c r="Z905" s="2" t="s">
        <v>169</v>
      </c>
      <c r="AA905" s="2" t="s">
        <v>169</v>
      </c>
      <c r="AF905" s="2">
        <f t="shared" si="124"/>
        <v>0</v>
      </c>
      <c r="AJ905" s="2">
        <f t="shared" si="125"/>
        <v>0</v>
      </c>
      <c r="AK905" s="2">
        <f t="shared" ref="AK905:AK968" si="127">T905-W905</f>
        <v>-15</v>
      </c>
      <c r="AL905" s="5">
        <f t="shared" ref="AL905:AL922" si="128">(T905-W905)/T905</f>
        <v>-0.14285714285714285</v>
      </c>
    </row>
    <row r="906" spans="1:38" x14ac:dyDescent="0.2">
      <c r="A906" s="2">
        <v>2025</v>
      </c>
      <c r="B906" s="2">
        <v>4</v>
      </c>
      <c r="D906" s="2" t="s">
        <v>558</v>
      </c>
      <c r="E906" s="2" t="s">
        <v>108</v>
      </c>
      <c r="F906" s="2" t="s">
        <v>39</v>
      </c>
      <c r="G906" s="2">
        <v>506517233</v>
      </c>
      <c r="H906" s="2" t="s">
        <v>80</v>
      </c>
      <c r="I906" s="2" t="s">
        <v>559</v>
      </c>
      <c r="J906" s="2" t="s">
        <v>560</v>
      </c>
      <c r="L906" s="2" t="s">
        <v>133</v>
      </c>
      <c r="P906" s="2" t="s">
        <v>93</v>
      </c>
      <c r="Q906" s="2" t="s">
        <v>94</v>
      </c>
      <c r="R906" s="2" t="s">
        <v>95</v>
      </c>
      <c r="S906" s="2">
        <v>3</v>
      </c>
      <c r="T906" s="2">
        <v>3.42</v>
      </c>
      <c r="U906" s="2">
        <v>0.78659999999999997</v>
      </c>
      <c r="V906" s="2">
        <v>4.2065999999999999</v>
      </c>
      <c r="W906" s="2">
        <v>3.42</v>
      </c>
      <c r="X906" s="5">
        <f t="shared" si="126"/>
        <v>0</v>
      </c>
      <c r="Z906" s="2" t="s">
        <v>3227</v>
      </c>
      <c r="AA906" s="2" t="s">
        <v>96</v>
      </c>
      <c r="AB906" s="2" t="s">
        <v>76</v>
      </c>
      <c r="AC906" s="2" t="s">
        <v>93</v>
      </c>
      <c r="AF906" s="2">
        <f t="shared" si="124"/>
        <v>0</v>
      </c>
      <c r="AJ906" s="2">
        <f t="shared" si="125"/>
        <v>0</v>
      </c>
      <c r="AK906" s="2">
        <f t="shared" si="127"/>
        <v>0</v>
      </c>
      <c r="AL906" s="5">
        <f t="shared" si="128"/>
        <v>0</v>
      </c>
    </row>
    <row r="907" spans="1:38" x14ac:dyDescent="0.2">
      <c r="A907" s="2">
        <v>2025</v>
      </c>
      <c r="B907" s="2">
        <v>4</v>
      </c>
      <c r="D907" s="2" t="s">
        <v>1271</v>
      </c>
      <c r="E907" s="2" t="s">
        <v>108</v>
      </c>
      <c r="F907" s="2" t="s">
        <v>39</v>
      </c>
      <c r="G907" s="2">
        <v>502618540</v>
      </c>
      <c r="H907" s="2" t="s">
        <v>41</v>
      </c>
      <c r="I907" s="2" t="s">
        <v>1272</v>
      </c>
      <c r="J907" s="2" t="s">
        <v>1273</v>
      </c>
      <c r="L907" s="2" t="s">
        <v>177</v>
      </c>
      <c r="M907" s="2" t="s">
        <v>40</v>
      </c>
      <c r="O907" s="2" t="s">
        <v>1274</v>
      </c>
      <c r="P907" s="2" t="s">
        <v>114</v>
      </c>
      <c r="Q907" s="2" t="s">
        <v>1077</v>
      </c>
      <c r="R907" s="2" t="s">
        <v>1078</v>
      </c>
      <c r="S907" s="2">
        <v>1</v>
      </c>
      <c r="T907" s="2">
        <v>158.93</v>
      </c>
      <c r="U907" s="2">
        <v>36.553900000000013</v>
      </c>
      <c r="V907" s="2">
        <v>195.48390000000001</v>
      </c>
      <c r="W907" s="2">
        <v>74.795000000000002</v>
      </c>
      <c r="X907" s="5">
        <f t="shared" si="126"/>
        <v>0.52938400553702891</v>
      </c>
      <c r="Z907" s="2" t="s">
        <v>117</v>
      </c>
      <c r="AA907" s="2" t="s">
        <v>118</v>
      </c>
      <c r="AB907" s="2" t="s">
        <v>119</v>
      </c>
      <c r="AC907" s="2" t="s">
        <v>114</v>
      </c>
      <c r="AF907" s="2">
        <f t="shared" si="124"/>
        <v>0</v>
      </c>
      <c r="AG907" s="2">
        <v>74.795000000000002</v>
      </c>
      <c r="AJ907" s="2">
        <f t="shared" si="125"/>
        <v>0</v>
      </c>
      <c r="AK907" s="2">
        <f t="shared" si="127"/>
        <v>84.135000000000005</v>
      </c>
      <c r="AL907" s="5">
        <f t="shared" si="128"/>
        <v>0.52938400553702891</v>
      </c>
    </row>
    <row r="908" spans="1:38" x14ac:dyDescent="0.2">
      <c r="A908" s="2">
        <v>2025</v>
      </c>
      <c r="B908" s="2">
        <v>4</v>
      </c>
      <c r="D908" s="2" t="s">
        <v>1275</v>
      </c>
      <c r="E908" s="2" t="s">
        <v>108</v>
      </c>
      <c r="F908" s="2" t="s">
        <v>39</v>
      </c>
      <c r="G908" s="2">
        <v>506187993</v>
      </c>
      <c r="H908" s="2" t="s">
        <v>290</v>
      </c>
      <c r="I908" s="2" t="s">
        <v>1276</v>
      </c>
      <c r="J908" s="2" t="s">
        <v>1277</v>
      </c>
      <c r="L908" s="2" t="s">
        <v>339</v>
      </c>
      <c r="M908" s="2" t="s">
        <v>40</v>
      </c>
      <c r="O908" s="2" t="s">
        <v>1278</v>
      </c>
      <c r="P908" s="2" t="s">
        <v>114</v>
      </c>
      <c r="Q908" s="6" t="s">
        <v>126</v>
      </c>
      <c r="R908" s="2" t="s">
        <v>127</v>
      </c>
      <c r="S908" s="2">
        <v>1</v>
      </c>
      <c r="T908" s="2">
        <v>7.11</v>
      </c>
      <c r="U908" s="2">
        <v>1.6353</v>
      </c>
      <c r="V908" s="2">
        <v>8.7453000000000003</v>
      </c>
      <c r="W908" s="2">
        <v>3.3595999999999999</v>
      </c>
      <c r="X908" s="5">
        <f t="shared" si="126"/>
        <v>0.52748241912798877</v>
      </c>
      <c r="Z908" s="2" t="s">
        <v>117</v>
      </c>
      <c r="AA908" s="2" t="s">
        <v>118</v>
      </c>
      <c r="AB908" s="2" t="s">
        <v>119</v>
      </c>
      <c r="AC908" s="2" t="s">
        <v>114</v>
      </c>
      <c r="AF908" s="2">
        <f t="shared" si="124"/>
        <v>0</v>
      </c>
      <c r="AG908" s="2">
        <v>3.3595999999999999</v>
      </c>
      <c r="AJ908" s="2">
        <f t="shared" si="125"/>
        <v>0</v>
      </c>
      <c r="AK908" s="2">
        <f t="shared" si="127"/>
        <v>3.7504000000000004</v>
      </c>
      <c r="AL908" s="5">
        <f t="shared" si="128"/>
        <v>0.52748241912798877</v>
      </c>
    </row>
    <row r="909" spans="1:38" x14ac:dyDescent="0.2">
      <c r="A909" s="2">
        <v>2025</v>
      </c>
      <c r="B909" s="2">
        <v>4</v>
      </c>
      <c r="D909" s="2" t="s">
        <v>1275</v>
      </c>
      <c r="E909" s="2" t="s">
        <v>108</v>
      </c>
      <c r="F909" s="2" t="s">
        <v>39</v>
      </c>
      <c r="G909" s="2">
        <v>506187993</v>
      </c>
      <c r="H909" s="2" t="s">
        <v>290</v>
      </c>
      <c r="I909" s="2" t="s">
        <v>1276</v>
      </c>
      <c r="J909" s="2" t="s">
        <v>1277</v>
      </c>
      <c r="L909" s="2" t="s">
        <v>339</v>
      </c>
      <c r="M909" s="2" t="s">
        <v>40</v>
      </c>
      <c r="O909" s="2" t="s">
        <v>1278</v>
      </c>
      <c r="P909" s="2" t="s">
        <v>114</v>
      </c>
      <c r="Q909" s="6" t="s">
        <v>1279</v>
      </c>
      <c r="R909" s="2" t="s">
        <v>1280</v>
      </c>
      <c r="S909" s="2">
        <v>1</v>
      </c>
      <c r="T909" s="2">
        <v>7.1</v>
      </c>
      <c r="U909" s="2">
        <v>1.633</v>
      </c>
      <c r="V909" s="2">
        <v>8.7330000000000005</v>
      </c>
      <c r="W909" s="2">
        <v>3.3188</v>
      </c>
      <c r="X909" s="5">
        <f t="shared" si="126"/>
        <v>0.53256338028169015</v>
      </c>
      <c r="Z909" s="2" t="s">
        <v>117</v>
      </c>
      <c r="AA909" s="2" t="s">
        <v>118</v>
      </c>
      <c r="AB909" s="2" t="s">
        <v>119</v>
      </c>
      <c r="AC909" s="2" t="s">
        <v>114</v>
      </c>
      <c r="AF909" s="2">
        <f t="shared" si="124"/>
        <v>0</v>
      </c>
      <c r="AG909" s="2">
        <v>3.3188</v>
      </c>
      <c r="AJ909" s="2">
        <f t="shared" si="125"/>
        <v>0</v>
      </c>
      <c r="AK909" s="2">
        <f t="shared" si="127"/>
        <v>3.7811999999999997</v>
      </c>
      <c r="AL909" s="5">
        <f t="shared" si="128"/>
        <v>0.53256338028169015</v>
      </c>
    </row>
    <row r="910" spans="1:38" x14ac:dyDescent="0.2">
      <c r="A910" s="2">
        <v>2025</v>
      </c>
      <c r="B910" s="2">
        <v>4</v>
      </c>
      <c r="D910" s="2" t="s">
        <v>1275</v>
      </c>
      <c r="M910" s="2" t="s">
        <v>40</v>
      </c>
      <c r="P910" s="2" t="s">
        <v>187</v>
      </c>
      <c r="Q910" s="2" t="s">
        <v>188</v>
      </c>
      <c r="R910" s="2" t="s">
        <v>189</v>
      </c>
      <c r="S910" s="2">
        <v>1</v>
      </c>
      <c r="T910" s="2">
        <v>75</v>
      </c>
      <c r="U910" s="2">
        <v>17.25</v>
      </c>
      <c r="V910" s="2">
        <v>92.25</v>
      </c>
      <c r="W910" s="2">
        <f>T910*40%</f>
        <v>30</v>
      </c>
      <c r="X910" s="5">
        <f t="shared" si="126"/>
        <v>0.6</v>
      </c>
      <c r="Z910" s="2" t="s">
        <v>117</v>
      </c>
      <c r="AA910" s="2" t="s">
        <v>190</v>
      </c>
      <c r="AB910" s="2" t="s">
        <v>189</v>
      </c>
      <c r="AC910" s="2" t="s">
        <v>40</v>
      </c>
      <c r="AF910" s="2">
        <f t="shared" si="124"/>
        <v>0</v>
      </c>
      <c r="AJ910" s="2">
        <f t="shared" si="125"/>
        <v>0</v>
      </c>
      <c r="AK910" s="2">
        <f t="shared" si="127"/>
        <v>45</v>
      </c>
      <c r="AL910" s="5">
        <f t="shared" si="128"/>
        <v>0.6</v>
      </c>
    </row>
    <row r="911" spans="1:38" x14ac:dyDescent="0.2">
      <c r="A911" s="2">
        <v>2025</v>
      </c>
      <c r="B911" s="2">
        <v>4</v>
      </c>
      <c r="D911" s="2" t="s">
        <v>1275</v>
      </c>
      <c r="M911" s="2" t="s">
        <v>40</v>
      </c>
      <c r="P911" s="2" t="s">
        <v>187</v>
      </c>
      <c r="Q911" s="2" t="s">
        <v>191</v>
      </c>
      <c r="R911" s="2" t="s">
        <v>190</v>
      </c>
      <c r="S911" s="2">
        <v>2</v>
      </c>
      <c r="T911" s="2">
        <v>99.99</v>
      </c>
      <c r="U911" s="2">
        <v>22.997699999999998</v>
      </c>
      <c r="V911" s="2">
        <v>122.9877</v>
      </c>
      <c r="W911" s="2">
        <f>T911*50%</f>
        <v>49.994999999999997</v>
      </c>
      <c r="X911" s="5">
        <f t="shared" si="126"/>
        <v>0.5</v>
      </c>
      <c r="Z911" s="2" t="s">
        <v>117</v>
      </c>
      <c r="AA911" s="2" t="s">
        <v>190</v>
      </c>
      <c r="AB911" s="2" t="s">
        <v>190</v>
      </c>
      <c r="AC911" s="2" t="s">
        <v>40</v>
      </c>
      <c r="AF911" s="2">
        <f t="shared" si="124"/>
        <v>0</v>
      </c>
      <c r="AJ911" s="2">
        <f t="shared" si="125"/>
        <v>0</v>
      </c>
      <c r="AK911" s="2">
        <f t="shared" si="127"/>
        <v>49.994999999999997</v>
      </c>
      <c r="AL911" s="5">
        <f t="shared" si="128"/>
        <v>0.5</v>
      </c>
    </row>
    <row r="912" spans="1:38" x14ac:dyDescent="0.2">
      <c r="A912" s="2">
        <v>2025</v>
      </c>
      <c r="B912" s="2">
        <v>4</v>
      </c>
      <c r="C912" s="2" t="s">
        <v>3408</v>
      </c>
      <c r="D912" s="2" t="s">
        <v>1281</v>
      </c>
      <c r="E912" s="2" t="s">
        <v>183</v>
      </c>
      <c r="F912" s="2" t="s">
        <v>2994</v>
      </c>
      <c r="L912" s="2" t="s">
        <v>99</v>
      </c>
      <c r="M912" s="2" t="s">
        <v>80</v>
      </c>
      <c r="P912" s="2" t="s">
        <v>282</v>
      </c>
      <c r="Q912" s="2" t="s">
        <v>1282</v>
      </c>
      <c r="R912" s="2" t="s">
        <v>1283</v>
      </c>
      <c r="S912" s="2">
        <v>1</v>
      </c>
      <c r="T912" s="2">
        <v>1720</v>
      </c>
      <c r="U912" s="2">
        <f t="shared" ref="U912:U918" si="129">T912*23%</f>
        <v>395.6</v>
      </c>
      <c r="V912" s="2">
        <f t="shared" ref="V912:V918" si="130">T912+U912</f>
        <v>2115.6</v>
      </c>
      <c r="W912" s="2">
        <f>1294+95</f>
        <v>1389</v>
      </c>
      <c r="X912" s="5">
        <f t="shared" si="126"/>
        <v>0.19244186046511627</v>
      </c>
      <c r="Z912" s="2" t="s">
        <v>104</v>
      </c>
      <c r="AA912" s="2" t="s">
        <v>1574</v>
      </c>
      <c r="AB912" s="2" t="s">
        <v>388</v>
      </c>
      <c r="AC912" s="2" t="s">
        <v>1327</v>
      </c>
      <c r="AF912" s="2">
        <f t="shared" si="124"/>
        <v>0</v>
      </c>
      <c r="AJ912" s="2">
        <f t="shared" si="125"/>
        <v>0</v>
      </c>
      <c r="AK912" s="2">
        <f t="shared" si="127"/>
        <v>331</v>
      </c>
      <c r="AL912" s="5">
        <f t="shared" si="128"/>
        <v>0.19244186046511627</v>
      </c>
    </row>
    <row r="913" spans="1:38" x14ac:dyDescent="0.2">
      <c r="A913" s="2">
        <v>2025</v>
      </c>
      <c r="B913" s="2">
        <v>4</v>
      </c>
      <c r="C913" s="2" t="s">
        <v>3408</v>
      </c>
      <c r="D913" s="2" t="s">
        <v>1281</v>
      </c>
      <c r="E913" s="2" t="s">
        <v>183</v>
      </c>
      <c r="F913" s="2" t="s">
        <v>2994</v>
      </c>
      <c r="L913" s="2" t="s">
        <v>99</v>
      </c>
      <c r="M913" s="2" t="s">
        <v>80</v>
      </c>
      <c r="P913" s="2" t="s">
        <v>282</v>
      </c>
      <c r="Q913" s="2" t="s">
        <v>1284</v>
      </c>
      <c r="R913" s="2" t="s">
        <v>1285</v>
      </c>
      <c r="S913" s="2">
        <v>1</v>
      </c>
      <c r="T913" s="2">
        <v>0</v>
      </c>
      <c r="U913" s="2">
        <f t="shared" si="129"/>
        <v>0</v>
      </c>
      <c r="V913" s="2">
        <f t="shared" si="130"/>
        <v>0</v>
      </c>
      <c r="W913" s="2">
        <v>0</v>
      </c>
      <c r="X913" s="5">
        <v>0</v>
      </c>
      <c r="Z913" s="2" t="s">
        <v>104</v>
      </c>
      <c r="AA913" s="2" t="s">
        <v>1574</v>
      </c>
      <c r="AB913" s="2" t="s">
        <v>388</v>
      </c>
      <c r="AC913" s="2" t="s">
        <v>1327</v>
      </c>
      <c r="AF913" s="2">
        <f t="shared" si="124"/>
        <v>0</v>
      </c>
      <c r="AJ913" s="2">
        <f t="shared" si="125"/>
        <v>0</v>
      </c>
      <c r="AK913" s="2">
        <f t="shared" si="127"/>
        <v>0</v>
      </c>
      <c r="AL913" s="5" t="e">
        <f t="shared" si="128"/>
        <v>#DIV/0!</v>
      </c>
    </row>
    <row r="914" spans="1:38" x14ac:dyDescent="0.2">
      <c r="A914" s="2">
        <v>2025</v>
      </c>
      <c r="B914" s="2">
        <v>4</v>
      </c>
      <c r="C914" s="2" t="s">
        <v>3408</v>
      </c>
      <c r="D914" s="2" t="s">
        <v>1281</v>
      </c>
      <c r="E914" s="2" t="s">
        <v>183</v>
      </c>
      <c r="F914" s="2" t="s">
        <v>2994</v>
      </c>
      <c r="L914" s="2" t="s">
        <v>99</v>
      </c>
      <c r="M914" s="2" t="s">
        <v>80</v>
      </c>
      <c r="P914" s="2" t="s">
        <v>282</v>
      </c>
      <c r="Q914" s="2" t="s">
        <v>1286</v>
      </c>
      <c r="R914" s="2" t="s">
        <v>1287</v>
      </c>
      <c r="S914" s="2">
        <v>1</v>
      </c>
      <c r="T914" s="2">
        <v>1530</v>
      </c>
      <c r="U914" s="2">
        <f t="shared" si="129"/>
        <v>351.90000000000003</v>
      </c>
      <c r="V914" s="2">
        <f t="shared" si="130"/>
        <v>1881.9</v>
      </c>
      <c r="W914" s="2">
        <v>1150</v>
      </c>
      <c r="X914" s="5">
        <f>(T914-W914)/T914</f>
        <v>0.24836601307189543</v>
      </c>
      <c r="Z914" s="2" t="s">
        <v>104</v>
      </c>
      <c r="AA914" s="2" t="s">
        <v>1574</v>
      </c>
      <c r="AB914" s="2" t="s">
        <v>388</v>
      </c>
      <c r="AC914" s="2" t="s">
        <v>1327</v>
      </c>
      <c r="AF914" s="2">
        <f t="shared" si="124"/>
        <v>0</v>
      </c>
      <c r="AJ914" s="2">
        <f t="shared" si="125"/>
        <v>0</v>
      </c>
      <c r="AK914" s="2">
        <f t="shared" si="127"/>
        <v>380</v>
      </c>
      <c r="AL914" s="5">
        <f t="shared" si="128"/>
        <v>0.24836601307189543</v>
      </c>
    </row>
    <row r="915" spans="1:38" x14ac:dyDescent="0.2">
      <c r="A915" s="2">
        <v>2025</v>
      </c>
      <c r="B915" s="2">
        <v>4</v>
      </c>
      <c r="C915" s="2" t="s">
        <v>3408</v>
      </c>
      <c r="D915" s="2" t="s">
        <v>1281</v>
      </c>
      <c r="E915" s="2" t="s">
        <v>183</v>
      </c>
      <c r="F915" s="2" t="s">
        <v>2994</v>
      </c>
      <c r="L915" s="2" t="s">
        <v>99</v>
      </c>
      <c r="M915" s="2" t="s">
        <v>80</v>
      </c>
      <c r="P915" s="2" t="s">
        <v>282</v>
      </c>
      <c r="Q915" s="2" t="s">
        <v>1158</v>
      </c>
      <c r="R915" s="2" t="s">
        <v>1159</v>
      </c>
      <c r="S915" s="2">
        <v>1</v>
      </c>
      <c r="T915" s="2">
        <v>0</v>
      </c>
      <c r="U915" s="2">
        <f t="shared" si="129"/>
        <v>0</v>
      </c>
      <c r="V915" s="2">
        <f t="shared" si="130"/>
        <v>0</v>
      </c>
      <c r="W915" s="2">
        <v>0</v>
      </c>
      <c r="X915" s="5">
        <v>0</v>
      </c>
      <c r="Z915" s="2" t="s">
        <v>104</v>
      </c>
      <c r="AA915" s="2" t="s">
        <v>1574</v>
      </c>
      <c r="AB915" s="2" t="s">
        <v>388</v>
      </c>
      <c r="AC915" s="2" t="s">
        <v>1327</v>
      </c>
      <c r="AF915" s="2">
        <f t="shared" si="124"/>
        <v>0</v>
      </c>
      <c r="AJ915" s="2">
        <f t="shared" si="125"/>
        <v>0</v>
      </c>
      <c r="AK915" s="2">
        <f t="shared" si="127"/>
        <v>0</v>
      </c>
      <c r="AL915" s="5" t="e">
        <f t="shared" si="128"/>
        <v>#DIV/0!</v>
      </c>
    </row>
    <row r="916" spans="1:38" x14ac:dyDescent="0.2">
      <c r="A916" s="2">
        <v>2025</v>
      </c>
      <c r="B916" s="2">
        <v>4</v>
      </c>
      <c r="C916" s="2" t="s">
        <v>3408</v>
      </c>
      <c r="D916" s="2" t="s">
        <v>1281</v>
      </c>
      <c r="E916" s="2" t="s">
        <v>183</v>
      </c>
      <c r="F916" s="2" t="s">
        <v>2994</v>
      </c>
      <c r="L916" s="2" t="s">
        <v>99</v>
      </c>
      <c r="M916" s="2" t="s">
        <v>80</v>
      </c>
      <c r="P916" s="2" t="s">
        <v>282</v>
      </c>
      <c r="Q916" s="2" t="s">
        <v>1288</v>
      </c>
      <c r="R916" s="2" t="s">
        <v>1289</v>
      </c>
      <c r="S916" s="2">
        <v>1</v>
      </c>
      <c r="T916" s="2">
        <v>0</v>
      </c>
      <c r="U916" s="2">
        <f t="shared" si="129"/>
        <v>0</v>
      </c>
      <c r="V916" s="2">
        <f t="shared" si="130"/>
        <v>0</v>
      </c>
      <c r="W916" s="2">
        <v>0</v>
      </c>
      <c r="X916" s="5">
        <v>0</v>
      </c>
      <c r="Z916" s="2" t="s">
        <v>104</v>
      </c>
      <c r="AA916" s="2" t="s">
        <v>1574</v>
      </c>
      <c r="AB916" s="2" t="s">
        <v>388</v>
      </c>
      <c r="AC916" s="2" t="s">
        <v>1327</v>
      </c>
      <c r="AF916" s="2">
        <f t="shared" si="124"/>
        <v>0</v>
      </c>
      <c r="AJ916" s="2">
        <f t="shared" si="125"/>
        <v>0</v>
      </c>
      <c r="AK916" s="2">
        <f t="shared" si="127"/>
        <v>0</v>
      </c>
      <c r="AL916" s="5" t="e">
        <f t="shared" si="128"/>
        <v>#DIV/0!</v>
      </c>
    </row>
    <row r="917" spans="1:38" x14ac:dyDescent="0.2">
      <c r="A917" s="2">
        <v>2025</v>
      </c>
      <c r="B917" s="2">
        <v>4</v>
      </c>
      <c r="D917" s="2" t="s">
        <v>1290</v>
      </c>
      <c r="M917" s="2" t="s">
        <v>80</v>
      </c>
      <c r="P917" s="2" t="s">
        <v>114</v>
      </c>
      <c r="Q917" s="2" t="s">
        <v>1291</v>
      </c>
      <c r="R917" s="2" t="s">
        <v>1292</v>
      </c>
      <c r="S917" s="2">
        <v>1</v>
      </c>
      <c r="T917" s="2">
        <v>726.89</v>
      </c>
      <c r="U917" s="2">
        <f t="shared" si="129"/>
        <v>167.18469999999999</v>
      </c>
      <c r="V917" s="2">
        <f t="shared" si="130"/>
        <v>894.07470000000001</v>
      </c>
      <c r="W917" s="2">
        <v>412.05500000000001</v>
      </c>
      <c r="X917" s="5">
        <f t="shared" ref="X917:X922" si="131">(T917-W917)/T917</f>
        <v>0.43312605758780554</v>
      </c>
      <c r="Z917" s="2" t="s">
        <v>117</v>
      </c>
      <c r="AA917" s="2" t="s">
        <v>118</v>
      </c>
      <c r="AB917" s="2" t="s">
        <v>119</v>
      </c>
      <c r="AC917" s="2" t="s">
        <v>114</v>
      </c>
      <c r="AF917" s="2">
        <f t="shared" si="124"/>
        <v>0</v>
      </c>
      <c r="AJ917" s="2">
        <f t="shared" si="125"/>
        <v>0</v>
      </c>
      <c r="AK917" s="2">
        <f t="shared" si="127"/>
        <v>314.83499999999998</v>
      </c>
      <c r="AL917" s="5">
        <f t="shared" si="128"/>
        <v>0.43312605758780554</v>
      </c>
    </row>
    <row r="918" spans="1:38" x14ac:dyDescent="0.2">
      <c r="A918" s="2">
        <v>2025</v>
      </c>
      <c r="B918" s="2">
        <v>4</v>
      </c>
      <c r="D918" s="2" t="s">
        <v>574</v>
      </c>
      <c r="E918" s="2" t="s">
        <v>38</v>
      </c>
      <c r="F918" s="2" t="s">
        <v>39</v>
      </c>
      <c r="G918" s="2">
        <v>504811029</v>
      </c>
      <c r="H918" s="2" t="s">
        <v>41</v>
      </c>
      <c r="I918" s="2" t="s">
        <v>177</v>
      </c>
      <c r="J918" s="2" t="s">
        <v>575</v>
      </c>
      <c r="L918" s="2" t="s">
        <v>177</v>
      </c>
      <c r="M918" s="2" t="s">
        <v>41</v>
      </c>
      <c r="P918" s="2" t="s">
        <v>114</v>
      </c>
      <c r="Q918" s="2" t="s">
        <v>1293</v>
      </c>
      <c r="R918" s="2" t="s">
        <v>1294</v>
      </c>
      <c r="S918" s="2">
        <v>1</v>
      </c>
      <c r="T918" s="2">
        <v>584.86</v>
      </c>
      <c r="U918" s="2">
        <f t="shared" si="129"/>
        <v>134.51780000000002</v>
      </c>
      <c r="V918" s="2">
        <f t="shared" si="130"/>
        <v>719.37779999999998</v>
      </c>
      <c r="W918" s="2">
        <v>286.25</v>
      </c>
      <c r="X918" s="5">
        <f t="shared" si="131"/>
        <v>0.51056663133057489</v>
      </c>
      <c r="Z918" s="2" t="s">
        <v>117</v>
      </c>
      <c r="AA918" s="2" t="s">
        <v>118</v>
      </c>
      <c r="AB918" s="2" t="s">
        <v>119</v>
      </c>
      <c r="AC918" s="2" t="s">
        <v>114</v>
      </c>
      <c r="AF918" s="2">
        <f t="shared" si="124"/>
        <v>0</v>
      </c>
      <c r="AJ918" s="2">
        <f t="shared" si="125"/>
        <v>0</v>
      </c>
      <c r="AK918" s="2">
        <f t="shared" si="127"/>
        <v>298.61</v>
      </c>
      <c r="AL918" s="5">
        <f t="shared" si="128"/>
        <v>0.51056663133057489</v>
      </c>
    </row>
    <row r="919" spans="1:38" x14ac:dyDescent="0.2">
      <c r="A919" s="2">
        <v>2025</v>
      </c>
      <c r="B919" s="2">
        <v>4</v>
      </c>
      <c r="D919" s="2" t="s">
        <v>1295</v>
      </c>
      <c r="E919" s="2" t="s">
        <v>183</v>
      </c>
      <c r="F919" s="2" t="s">
        <v>366</v>
      </c>
      <c r="G919" s="2">
        <v>500625654</v>
      </c>
      <c r="H919" s="2" t="s">
        <v>290</v>
      </c>
      <c r="I919" s="2" t="s">
        <v>339</v>
      </c>
      <c r="J919" s="2" t="s">
        <v>1296</v>
      </c>
      <c r="L919" s="2" t="s">
        <v>339</v>
      </c>
      <c r="M919" s="2" t="s">
        <v>80</v>
      </c>
      <c r="O919" s="2" t="s">
        <v>3199</v>
      </c>
      <c r="P919" s="2" t="s">
        <v>72</v>
      </c>
      <c r="Q919" s="2" t="s">
        <v>78</v>
      </c>
      <c r="R919" s="2" t="s">
        <v>79</v>
      </c>
      <c r="S919" s="2">
        <v>1</v>
      </c>
      <c r="T919" s="2">
        <v>198.85</v>
      </c>
      <c r="U919" s="2">
        <v>45.735500000000002</v>
      </c>
      <c r="V919" s="2">
        <v>244.5855</v>
      </c>
      <c r="W919" s="2">
        <v>111.98</v>
      </c>
      <c r="X919" s="5">
        <f t="shared" si="131"/>
        <v>0.43686195624842844</v>
      </c>
      <c r="Z919" s="2" t="s">
        <v>3227</v>
      </c>
      <c r="AA919" s="2" t="s">
        <v>75</v>
      </c>
      <c r="AB919" s="2" t="s">
        <v>76</v>
      </c>
      <c r="AC919" s="2" t="s">
        <v>77</v>
      </c>
      <c r="AF919" s="2">
        <f t="shared" si="124"/>
        <v>0</v>
      </c>
      <c r="AG919" s="2">
        <v>111.98</v>
      </c>
      <c r="AH919" s="2">
        <v>210</v>
      </c>
      <c r="AJ919" s="2">
        <f t="shared" si="125"/>
        <v>0</v>
      </c>
      <c r="AK919" s="2">
        <f t="shared" si="127"/>
        <v>86.86999999999999</v>
      </c>
      <c r="AL919" s="5">
        <f t="shared" si="128"/>
        <v>0.43686195624842844</v>
      </c>
    </row>
    <row r="920" spans="1:38" x14ac:dyDescent="0.2">
      <c r="A920" s="2">
        <v>2025</v>
      </c>
      <c r="B920" s="2">
        <v>4</v>
      </c>
      <c r="D920" s="2" t="s">
        <v>1295</v>
      </c>
      <c r="E920" s="2" t="s">
        <v>183</v>
      </c>
      <c r="F920" s="2" t="s">
        <v>366</v>
      </c>
      <c r="G920" s="2">
        <v>500625654</v>
      </c>
      <c r="H920" s="2" t="s">
        <v>290</v>
      </c>
      <c r="I920" s="2" t="s">
        <v>339</v>
      </c>
      <c r="J920" s="2" t="s">
        <v>1296</v>
      </c>
      <c r="L920" s="2" t="s">
        <v>339</v>
      </c>
      <c r="M920" s="2" t="s">
        <v>80</v>
      </c>
      <c r="P920" s="2" t="s">
        <v>93</v>
      </c>
      <c r="Q920" s="2" t="s">
        <v>94</v>
      </c>
      <c r="R920" s="2" t="s">
        <v>95</v>
      </c>
      <c r="S920" s="2">
        <v>1</v>
      </c>
      <c r="T920" s="2">
        <v>1.1399999999999999</v>
      </c>
      <c r="U920" s="2">
        <v>0.26219999999999999</v>
      </c>
      <c r="V920" s="2">
        <v>1.4021999999999999</v>
      </c>
      <c r="W920" s="2">
        <v>1.1399999999999999</v>
      </c>
      <c r="X920" s="5">
        <f t="shared" si="131"/>
        <v>0</v>
      </c>
      <c r="Z920" s="2" t="s">
        <v>3227</v>
      </c>
      <c r="AA920" s="2" t="s">
        <v>96</v>
      </c>
      <c r="AB920" s="2" t="s">
        <v>76</v>
      </c>
      <c r="AC920" s="2" t="s">
        <v>93</v>
      </c>
      <c r="AF920" s="2">
        <f t="shared" si="124"/>
        <v>0</v>
      </c>
      <c r="AJ920" s="2">
        <f t="shared" si="125"/>
        <v>0</v>
      </c>
      <c r="AK920" s="2">
        <f t="shared" si="127"/>
        <v>0</v>
      </c>
      <c r="AL920" s="5">
        <f t="shared" si="128"/>
        <v>0</v>
      </c>
    </row>
    <row r="921" spans="1:38" x14ac:dyDescent="0.2">
      <c r="A921" s="2">
        <v>2025</v>
      </c>
      <c r="B921" s="2">
        <v>4</v>
      </c>
      <c r="D921" s="2" t="s">
        <v>1297</v>
      </c>
      <c r="M921" s="2" t="s">
        <v>40</v>
      </c>
      <c r="P921" s="2" t="s">
        <v>114</v>
      </c>
      <c r="Q921" s="2" t="s">
        <v>179</v>
      </c>
      <c r="R921" s="2" t="s">
        <v>180</v>
      </c>
      <c r="S921" s="2">
        <v>1</v>
      </c>
      <c r="T921" s="2">
        <v>690.61</v>
      </c>
      <c r="U921" s="2">
        <v>158.84030000000001</v>
      </c>
      <c r="V921" s="2">
        <v>849.45029999999997</v>
      </c>
      <c r="W921" s="2">
        <v>346.57</v>
      </c>
      <c r="X921" s="5">
        <f t="shared" si="131"/>
        <v>0.49816828600802193</v>
      </c>
      <c r="Z921" s="2" t="s">
        <v>117</v>
      </c>
      <c r="AA921" s="2" t="s">
        <v>181</v>
      </c>
      <c r="AB921" s="2" t="s">
        <v>119</v>
      </c>
      <c r="AC921" s="2" t="s">
        <v>114</v>
      </c>
      <c r="AF921" s="2">
        <f t="shared" si="124"/>
        <v>0</v>
      </c>
      <c r="AJ921" s="2">
        <f t="shared" si="125"/>
        <v>0</v>
      </c>
      <c r="AK921" s="2">
        <f t="shared" si="127"/>
        <v>344.04</v>
      </c>
      <c r="AL921" s="5">
        <f t="shared" si="128"/>
        <v>0.49816828600802193</v>
      </c>
    </row>
    <row r="922" spans="1:38" x14ac:dyDescent="0.2">
      <c r="A922" s="2">
        <v>2025</v>
      </c>
      <c r="B922" s="2">
        <v>4</v>
      </c>
      <c r="D922" s="2" t="s">
        <v>1297</v>
      </c>
      <c r="M922" s="2" t="s">
        <v>40</v>
      </c>
      <c r="P922" s="2" t="s">
        <v>187</v>
      </c>
      <c r="Q922" s="2" t="s">
        <v>188</v>
      </c>
      <c r="R922" s="2" t="s">
        <v>189</v>
      </c>
      <c r="S922" s="2">
        <v>1</v>
      </c>
      <c r="T922" s="2">
        <v>133</v>
      </c>
      <c r="U922" s="2">
        <v>30.59</v>
      </c>
      <c r="V922" s="2">
        <v>163.59</v>
      </c>
      <c r="W922" s="2">
        <f>T922*40%</f>
        <v>53.2</v>
      </c>
      <c r="X922" s="5">
        <f t="shared" si="131"/>
        <v>0.6</v>
      </c>
      <c r="Z922" s="2" t="s">
        <v>117</v>
      </c>
      <c r="AA922" s="2" t="s">
        <v>190</v>
      </c>
      <c r="AB922" s="2" t="s">
        <v>189</v>
      </c>
      <c r="AC922" s="2" t="s">
        <v>40</v>
      </c>
      <c r="AF922" s="2">
        <f t="shared" si="124"/>
        <v>0</v>
      </c>
      <c r="AJ922" s="2">
        <f t="shared" si="125"/>
        <v>0</v>
      </c>
      <c r="AK922" s="2">
        <f t="shared" si="127"/>
        <v>79.8</v>
      </c>
      <c r="AL922" s="5">
        <f t="shared" si="128"/>
        <v>0.6</v>
      </c>
    </row>
    <row r="923" spans="1:38" x14ac:dyDescent="0.2">
      <c r="A923" s="2">
        <v>2025</v>
      </c>
      <c r="B923" s="2">
        <v>4</v>
      </c>
      <c r="D923" s="2" t="s">
        <v>1297</v>
      </c>
      <c r="M923" s="2" t="s">
        <v>40</v>
      </c>
      <c r="P923" s="2" t="s">
        <v>187</v>
      </c>
      <c r="Q923" s="2" t="s">
        <v>191</v>
      </c>
      <c r="R923" s="2" t="s">
        <v>190</v>
      </c>
      <c r="S923" s="2">
        <v>1</v>
      </c>
      <c r="T923" s="2">
        <v>0</v>
      </c>
      <c r="U923" s="2">
        <v>0</v>
      </c>
      <c r="V923" s="2">
        <v>0</v>
      </c>
      <c r="W923" s="2">
        <f>T923*50%</f>
        <v>0</v>
      </c>
      <c r="X923" s="5">
        <v>0</v>
      </c>
      <c r="Z923" s="2" t="s">
        <v>117</v>
      </c>
      <c r="AA923" s="2" t="s">
        <v>190</v>
      </c>
      <c r="AB923" s="2" t="s">
        <v>190</v>
      </c>
      <c r="AC923" s="2" t="s">
        <v>40</v>
      </c>
      <c r="AF923" s="2">
        <f t="shared" si="124"/>
        <v>0</v>
      </c>
      <c r="AJ923" s="2">
        <f t="shared" si="125"/>
        <v>0</v>
      </c>
      <c r="AK923" s="2">
        <f t="shared" si="127"/>
        <v>0</v>
      </c>
      <c r="AL923" s="5">
        <v>0</v>
      </c>
    </row>
    <row r="924" spans="1:38" x14ac:dyDescent="0.2">
      <c r="A924" s="2">
        <v>2025</v>
      </c>
      <c r="B924" s="2">
        <v>4</v>
      </c>
      <c r="D924" s="2" t="s">
        <v>624</v>
      </c>
      <c r="E924" s="2" t="s">
        <v>38</v>
      </c>
      <c r="F924" s="2" t="s">
        <v>39</v>
      </c>
      <c r="G924" s="2" t="s">
        <v>625</v>
      </c>
      <c r="H924" s="2" t="s">
        <v>40</v>
      </c>
      <c r="I924" s="2" t="s">
        <v>626</v>
      </c>
      <c r="J924" s="2" t="s">
        <v>627</v>
      </c>
      <c r="L924" s="2" t="s">
        <v>626</v>
      </c>
      <c r="M924" s="2" t="s">
        <v>40</v>
      </c>
      <c r="P924" s="2" t="s">
        <v>114</v>
      </c>
      <c r="Q924" s="2" t="s">
        <v>904</v>
      </c>
      <c r="R924" s="2" t="s">
        <v>905</v>
      </c>
      <c r="S924" s="2">
        <v>1</v>
      </c>
      <c r="T924" s="2">
        <v>465.7</v>
      </c>
      <c r="V924" s="2">
        <f>T924</f>
        <v>465.7</v>
      </c>
      <c r="W924" s="2">
        <v>345.20339999999999</v>
      </c>
      <c r="X924" s="5">
        <f t="shared" ref="X924:X961" si="132">(T924-W924)/T924</f>
        <v>0.25874296757569254</v>
      </c>
      <c r="Z924" s="2" t="s">
        <v>117</v>
      </c>
      <c r="AA924" s="2" t="s">
        <v>181</v>
      </c>
      <c r="AB924" s="2" t="s">
        <v>119</v>
      </c>
      <c r="AC924" s="2" t="s">
        <v>114</v>
      </c>
      <c r="AF924" s="2">
        <f t="shared" si="124"/>
        <v>0</v>
      </c>
      <c r="AJ924" s="2">
        <f t="shared" si="125"/>
        <v>0</v>
      </c>
      <c r="AK924" s="2">
        <f t="shared" si="127"/>
        <v>120.4966</v>
      </c>
      <c r="AL924" s="5">
        <f t="shared" ref="AL924:AL961" si="133">(T924-W924)/T924</f>
        <v>0.25874296757569254</v>
      </c>
    </row>
    <row r="925" spans="1:38" x14ac:dyDescent="0.2">
      <c r="A925" s="2">
        <v>2025</v>
      </c>
      <c r="B925" s="2">
        <v>4</v>
      </c>
      <c r="D925" s="2" t="s">
        <v>1298</v>
      </c>
      <c r="P925" s="2" t="s">
        <v>43</v>
      </c>
      <c r="Q925" s="2" t="s">
        <v>48</v>
      </c>
      <c r="R925" s="2" t="s">
        <v>49</v>
      </c>
      <c r="S925" s="2">
        <v>3</v>
      </c>
      <c r="T925" s="2">
        <v>36</v>
      </c>
      <c r="U925" s="2">
        <f>T925*23%</f>
        <v>8.2800000000000011</v>
      </c>
      <c r="V925" s="2">
        <f>T925+U925</f>
        <v>44.28</v>
      </c>
      <c r="W925" s="2">
        <f>6.6267*S925</f>
        <v>19.880099999999999</v>
      </c>
      <c r="X925" s="5">
        <f t="shared" si="132"/>
        <v>0.44777500000000003</v>
      </c>
      <c r="Z925" s="2" t="s">
        <v>3227</v>
      </c>
      <c r="AA925" s="2" t="s">
        <v>46</v>
      </c>
      <c r="AB925" s="2" t="s">
        <v>47</v>
      </c>
      <c r="AC925" s="2" t="s">
        <v>57</v>
      </c>
      <c r="AF925" s="2">
        <f t="shared" si="124"/>
        <v>0</v>
      </c>
      <c r="AG925" s="2">
        <v>6.6266999999999996</v>
      </c>
      <c r="AH925" s="2">
        <v>12</v>
      </c>
      <c r="AJ925" s="2">
        <f t="shared" si="125"/>
        <v>0</v>
      </c>
      <c r="AK925" s="2">
        <f t="shared" si="127"/>
        <v>16.119900000000001</v>
      </c>
      <c r="AL925" s="5">
        <f t="shared" si="133"/>
        <v>0.44777500000000003</v>
      </c>
    </row>
    <row r="926" spans="1:38" x14ac:dyDescent="0.2">
      <c r="A926" s="2">
        <v>2025</v>
      </c>
      <c r="B926" s="2">
        <v>4</v>
      </c>
      <c r="D926" s="2" t="s">
        <v>1299</v>
      </c>
      <c r="P926" s="2" t="s">
        <v>114</v>
      </c>
      <c r="Q926" s="2" t="s">
        <v>1300</v>
      </c>
      <c r="R926" s="2" t="s">
        <v>1301</v>
      </c>
      <c r="S926" s="2">
        <v>2</v>
      </c>
      <c r="T926" s="2">
        <v>18.59</v>
      </c>
      <c r="U926" s="2">
        <f>T926*23%</f>
        <v>4.2757000000000005</v>
      </c>
      <c r="V926" s="2">
        <f>T926+U926</f>
        <v>22.8657</v>
      </c>
      <c r="W926" s="2">
        <f>5.2*S926</f>
        <v>10.4</v>
      </c>
      <c r="X926" s="5">
        <f t="shared" si="132"/>
        <v>0.44055944055944052</v>
      </c>
      <c r="Z926" s="2" t="s">
        <v>117</v>
      </c>
      <c r="AA926" s="2" t="s">
        <v>118</v>
      </c>
      <c r="AB926" s="2" t="s">
        <v>119</v>
      </c>
      <c r="AC926" s="2" t="s">
        <v>114</v>
      </c>
      <c r="AF926" s="2">
        <f t="shared" si="124"/>
        <v>0</v>
      </c>
      <c r="AJ926" s="2">
        <f t="shared" si="125"/>
        <v>0</v>
      </c>
      <c r="AK926" s="2">
        <f t="shared" si="127"/>
        <v>8.19</v>
      </c>
      <c r="AL926" s="5">
        <f t="shared" si="133"/>
        <v>0.44055944055944052</v>
      </c>
    </row>
    <row r="927" spans="1:38" x14ac:dyDescent="0.2">
      <c r="A927" s="2">
        <v>2025</v>
      </c>
      <c r="B927" s="2">
        <v>4</v>
      </c>
      <c r="D927" s="2" t="s">
        <v>1302</v>
      </c>
      <c r="P927" s="2" t="s">
        <v>1194</v>
      </c>
      <c r="Q927" s="2" t="s">
        <v>1086</v>
      </c>
      <c r="R927" s="2" t="s">
        <v>1087</v>
      </c>
      <c r="S927" s="2">
        <v>1</v>
      </c>
      <c r="T927" s="2">
        <v>580</v>
      </c>
      <c r="U927" s="2">
        <v>133.4</v>
      </c>
      <c r="V927" s="2">
        <v>713.4</v>
      </c>
      <c r="W927" s="2">
        <v>266.36169999999998</v>
      </c>
      <c r="X927" s="5">
        <f t="shared" si="132"/>
        <v>0.5407556896551724</v>
      </c>
      <c r="Z927" s="2" t="s">
        <v>104</v>
      </c>
      <c r="AA927" s="2" t="s">
        <v>1199</v>
      </c>
      <c r="AB927" s="2" t="s">
        <v>119</v>
      </c>
      <c r="AC927" s="2" t="s">
        <v>1194</v>
      </c>
      <c r="AF927" s="2">
        <f t="shared" si="124"/>
        <v>0</v>
      </c>
      <c r="AJ927" s="2">
        <f t="shared" si="125"/>
        <v>0</v>
      </c>
      <c r="AK927" s="2">
        <f t="shared" si="127"/>
        <v>313.63830000000002</v>
      </c>
      <c r="AL927" s="5">
        <f t="shared" si="133"/>
        <v>0.5407556896551724</v>
      </c>
    </row>
    <row r="928" spans="1:38" x14ac:dyDescent="0.2">
      <c r="A928" s="2">
        <v>2025</v>
      </c>
      <c r="B928" s="2">
        <v>4</v>
      </c>
      <c r="D928" s="2" t="s">
        <v>906</v>
      </c>
      <c r="P928" s="2" t="s">
        <v>40</v>
      </c>
      <c r="Q928" s="2" t="s">
        <v>363</v>
      </c>
      <c r="R928" s="2" t="s">
        <v>364</v>
      </c>
      <c r="S928" s="2">
        <v>1</v>
      </c>
      <c r="T928" s="2">
        <v>600</v>
      </c>
      <c r="U928" s="2">
        <v>138</v>
      </c>
      <c r="V928" s="2">
        <v>738</v>
      </c>
      <c r="X928" s="5">
        <f t="shared" si="132"/>
        <v>1</v>
      </c>
      <c r="Z928" s="2" t="s">
        <v>119</v>
      </c>
      <c r="AA928" s="2" t="s">
        <v>3380</v>
      </c>
      <c r="AF928" s="2">
        <f t="shared" si="124"/>
        <v>0</v>
      </c>
      <c r="AJ928" s="2">
        <f t="shared" si="125"/>
        <v>0</v>
      </c>
      <c r="AK928" s="2">
        <f t="shared" si="127"/>
        <v>600</v>
      </c>
      <c r="AL928" s="5">
        <f t="shared" si="133"/>
        <v>1</v>
      </c>
    </row>
    <row r="929" spans="1:38" x14ac:dyDescent="0.2">
      <c r="A929" s="2">
        <v>2025</v>
      </c>
      <c r="B929" s="2">
        <v>4</v>
      </c>
      <c r="D929" s="2" t="s">
        <v>1303</v>
      </c>
      <c r="P929" s="2" t="s">
        <v>1194</v>
      </c>
      <c r="Q929" s="2" t="s">
        <v>1304</v>
      </c>
      <c r="R929" s="2" t="s">
        <v>1305</v>
      </c>
      <c r="S929" s="2">
        <v>1</v>
      </c>
      <c r="T929" s="2">
        <v>7660</v>
      </c>
      <c r="U929" s="2">
        <v>1761.8</v>
      </c>
      <c r="V929" s="2">
        <v>9421.7999999999993</v>
      </c>
      <c r="W929" s="2">
        <f>5124+473.78</f>
        <v>5597.78</v>
      </c>
      <c r="X929" s="5">
        <f t="shared" si="132"/>
        <v>0.26921932114882507</v>
      </c>
      <c r="Z929" s="2" t="s">
        <v>104</v>
      </c>
      <c r="AA929" s="2" t="s">
        <v>2746</v>
      </c>
      <c r="AB929" s="2" t="s">
        <v>3397</v>
      </c>
      <c r="AC929" s="2" t="s">
        <v>1194</v>
      </c>
      <c r="AF929" s="2">
        <f t="shared" si="124"/>
        <v>0</v>
      </c>
      <c r="AJ929" s="2">
        <f t="shared" si="125"/>
        <v>0</v>
      </c>
      <c r="AK929" s="2">
        <f t="shared" si="127"/>
        <v>2062.2200000000003</v>
      </c>
      <c r="AL929" s="5">
        <f t="shared" si="133"/>
        <v>0.26921932114882507</v>
      </c>
    </row>
    <row r="930" spans="1:38" x14ac:dyDescent="0.2">
      <c r="A930" s="2">
        <v>2025</v>
      </c>
      <c r="B930" s="2">
        <v>4</v>
      </c>
      <c r="D930" s="2" t="s">
        <v>633</v>
      </c>
      <c r="E930" s="2" t="s">
        <v>183</v>
      </c>
      <c r="F930" s="2" t="s">
        <v>366</v>
      </c>
      <c r="H930" s="2" t="s">
        <v>290</v>
      </c>
      <c r="L930" s="2" t="s">
        <v>339</v>
      </c>
      <c r="M930" s="2" t="s">
        <v>80</v>
      </c>
      <c r="P930" s="2" t="s">
        <v>72</v>
      </c>
      <c r="Q930" s="2" t="s">
        <v>664</v>
      </c>
      <c r="R930" s="2" t="s">
        <v>79</v>
      </c>
      <c r="S930" s="2">
        <v>1</v>
      </c>
      <c r="T930" s="2">
        <v>220</v>
      </c>
      <c r="U930" s="2">
        <v>50.6</v>
      </c>
      <c r="V930" s="2">
        <v>270.60000000000002</v>
      </c>
      <c r="W930" s="2">
        <f>113.905+11.25</f>
        <v>125.155</v>
      </c>
      <c r="X930" s="5">
        <f t="shared" si="132"/>
        <v>0.43111363636363637</v>
      </c>
      <c r="Z930" s="2" t="s">
        <v>3227</v>
      </c>
      <c r="AA930" s="2" t="s">
        <v>75</v>
      </c>
      <c r="AB930" s="2" t="s">
        <v>76</v>
      </c>
      <c r="AC930" s="2" t="s">
        <v>77</v>
      </c>
      <c r="AF930" s="2">
        <f t="shared" si="124"/>
        <v>0</v>
      </c>
      <c r="AJ930" s="2">
        <f t="shared" si="125"/>
        <v>0</v>
      </c>
      <c r="AK930" s="2">
        <f t="shared" si="127"/>
        <v>94.844999999999999</v>
      </c>
      <c r="AL930" s="5">
        <f t="shared" si="133"/>
        <v>0.43111363636363637</v>
      </c>
    </row>
    <row r="931" spans="1:38" x14ac:dyDescent="0.2">
      <c r="A931" s="2">
        <v>2025</v>
      </c>
      <c r="B931" s="2">
        <v>4</v>
      </c>
      <c r="D931" s="2" t="s">
        <v>633</v>
      </c>
      <c r="E931" s="2" t="s">
        <v>183</v>
      </c>
      <c r="F931" s="2" t="s">
        <v>366</v>
      </c>
      <c r="H931" s="2" t="s">
        <v>290</v>
      </c>
      <c r="L931" s="2" t="s">
        <v>339</v>
      </c>
      <c r="M931" s="2" t="s">
        <v>80</v>
      </c>
      <c r="P931" s="2" t="s">
        <v>93</v>
      </c>
      <c r="Q931" s="2" t="s">
        <v>94</v>
      </c>
      <c r="R931" s="2" t="s">
        <v>95</v>
      </c>
      <c r="S931" s="2">
        <v>1</v>
      </c>
      <c r="T931" s="2">
        <v>1.1399999999999999</v>
      </c>
      <c r="U931" s="2">
        <v>0.26219999999999999</v>
      </c>
      <c r="V931" s="2">
        <v>1.4021999999999999</v>
      </c>
      <c r="W931" s="2">
        <v>1.1399999999999999</v>
      </c>
      <c r="X931" s="5">
        <f t="shared" si="132"/>
        <v>0</v>
      </c>
      <c r="Z931" s="2" t="s">
        <v>3227</v>
      </c>
      <c r="AA931" s="2" t="s">
        <v>96</v>
      </c>
      <c r="AB931" s="2" t="s">
        <v>76</v>
      </c>
      <c r="AC931" s="2" t="s">
        <v>93</v>
      </c>
      <c r="AF931" s="2">
        <f t="shared" si="124"/>
        <v>0</v>
      </c>
      <c r="AJ931" s="2">
        <f t="shared" si="125"/>
        <v>0</v>
      </c>
      <c r="AK931" s="2">
        <f t="shared" si="127"/>
        <v>0</v>
      </c>
      <c r="AL931" s="5">
        <f t="shared" si="133"/>
        <v>0</v>
      </c>
    </row>
    <row r="932" spans="1:38" x14ac:dyDescent="0.2">
      <c r="A932" s="2">
        <v>2025</v>
      </c>
      <c r="B932" s="2">
        <v>4</v>
      </c>
      <c r="C932" s="2" t="s">
        <v>3408</v>
      </c>
      <c r="D932" s="2" t="s">
        <v>1120</v>
      </c>
      <c r="E932" s="2" t="s">
        <v>108</v>
      </c>
      <c r="F932" s="2" t="s">
        <v>39</v>
      </c>
      <c r="G932" s="2">
        <v>504923765</v>
      </c>
      <c r="H932" s="2" t="s">
        <v>109</v>
      </c>
      <c r="I932" s="2" t="s">
        <v>3245</v>
      </c>
      <c r="J932" s="2" t="s">
        <v>3246</v>
      </c>
      <c r="K932" s="2">
        <v>96179412</v>
      </c>
      <c r="L932" s="2" t="s">
        <v>461</v>
      </c>
      <c r="M932" s="2" t="s">
        <v>40</v>
      </c>
      <c r="O932" s="2" t="s">
        <v>3249</v>
      </c>
      <c r="P932" s="2" t="s">
        <v>3256</v>
      </c>
      <c r="Q932" s="2" t="s">
        <v>1306</v>
      </c>
      <c r="R932" s="2" t="s">
        <v>1307</v>
      </c>
      <c r="S932" s="2">
        <v>1</v>
      </c>
      <c r="T932" s="2">
        <v>11875</v>
      </c>
      <c r="U932" s="2">
        <f>T932*23%</f>
        <v>2731.25</v>
      </c>
      <c r="V932" s="2">
        <f>T932+U932</f>
        <v>14606.25</v>
      </c>
      <c r="W932" s="2">
        <v>13290</v>
      </c>
      <c r="X932" s="5">
        <f t="shared" si="132"/>
        <v>-0.1191578947368421</v>
      </c>
      <c r="Z932" s="2" t="s">
        <v>104</v>
      </c>
      <c r="AA932" s="2" t="s">
        <v>3255</v>
      </c>
      <c r="AB932" s="2" t="s">
        <v>1112</v>
      </c>
      <c r="AC932" s="2" t="s">
        <v>3254</v>
      </c>
      <c r="AF932" s="2">
        <f t="shared" si="124"/>
        <v>0</v>
      </c>
      <c r="AJ932" s="2">
        <f t="shared" si="125"/>
        <v>0</v>
      </c>
      <c r="AK932" s="2">
        <f t="shared" si="127"/>
        <v>-1415</v>
      </c>
      <c r="AL932" s="5">
        <f t="shared" si="133"/>
        <v>-0.1191578947368421</v>
      </c>
    </row>
    <row r="933" spans="1:38" x14ac:dyDescent="0.2">
      <c r="A933" s="2">
        <v>2025</v>
      </c>
      <c r="B933" s="2">
        <v>4</v>
      </c>
      <c r="C933" s="2" t="s">
        <v>3322</v>
      </c>
      <c r="D933" s="2" t="s">
        <v>655</v>
      </c>
      <c r="E933" s="2" t="s">
        <v>38</v>
      </c>
      <c r="G933" s="2">
        <v>509116590</v>
      </c>
      <c r="H933" s="2" t="s">
        <v>290</v>
      </c>
      <c r="I933" s="2" t="s">
        <v>656</v>
      </c>
      <c r="J933" s="2" t="s">
        <v>657</v>
      </c>
      <c r="L933" s="2" t="s">
        <v>293</v>
      </c>
      <c r="M933" s="2" t="s">
        <v>80</v>
      </c>
      <c r="O933" s="2" t="s">
        <v>1311</v>
      </c>
      <c r="P933" s="2" t="s">
        <v>72</v>
      </c>
      <c r="Q933" s="2" t="s">
        <v>681</v>
      </c>
      <c r="R933" s="2" t="s">
        <v>74</v>
      </c>
      <c r="S933" s="2">
        <v>1</v>
      </c>
      <c r="T933" s="2">
        <v>210</v>
      </c>
      <c r="U933" s="2">
        <v>48.3</v>
      </c>
      <c r="V933" s="2">
        <v>258.3</v>
      </c>
      <c r="W933" s="2">
        <v>104.49</v>
      </c>
      <c r="X933" s="5">
        <f t="shared" si="132"/>
        <v>0.50242857142857145</v>
      </c>
      <c r="Z933" s="2" t="s">
        <v>3227</v>
      </c>
      <c r="AA933" s="2" t="s">
        <v>75</v>
      </c>
      <c r="AB933" s="2" t="s">
        <v>76</v>
      </c>
      <c r="AC933" s="2" t="s">
        <v>77</v>
      </c>
      <c r="AF933" s="2">
        <f t="shared" si="124"/>
        <v>0</v>
      </c>
      <c r="AG933" s="2">
        <v>104.49</v>
      </c>
      <c r="AH933" s="2">
        <v>220</v>
      </c>
      <c r="AJ933" s="2">
        <f t="shared" si="125"/>
        <v>0</v>
      </c>
      <c r="AK933" s="2">
        <f t="shared" si="127"/>
        <v>105.51</v>
      </c>
      <c r="AL933" s="5">
        <f t="shared" si="133"/>
        <v>0.50242857142857145</v>
      </c>
    </row>
    <row r="934" spans="1:38" x14ac:dyDescent="0.2">
      <c r="A934" s="2">
        <v>2025</v>
      </c>
      <c r="B934" s="2">
        <v>4</v>
      </c>
      <c r="C934" s="2" t="s">
        <v>3322</v>
      </c>
      <c r="D934" s="2" t="s">
        <v>655</v>
      </c>
      <c r="E934" s="2" t="s">
        <v>38</v>
      </c>
      <c r="G934" s="2">
        <v>509116590</v>
      </c>
      <c r="H934" s="2" t="s">
        <v>290</v>
      </c>
      <c r="I934" s="2" t="s">
        <v>656</v>
      </c>
      <c r="J934" s="2" t="s">
        <v>657</v>
      </c>
      <c r="L934" s="2" t="s">
        <v>293</v>
      </c>
      <c r="M934" s="2" t="s">
        <v>80</v>
      </c>
      <c r="P934" s="2" t="s">
        <v>93</v>
      </c>
      <c r="Q934" s="2" t="s">
        <v>94</v>
      </c>
      <c r="R934" s="2" t="s">
        <v>95</v>
      </c>
      <c r="S934" s="2">
        <v>1</v>
      </c>
      <c r="T934" s="2">
        <v>1.1399999999999999</v>
      </c>
      <c r="U934" s="2">
        <v>0.26219999999999999</v>
      </c>
      <c r="V934" s="2">
        <v>1.4021999999999999</v>
      </c>
      <c r="W934" s="2">
        <v>1.1399999999999999</v>
      </c>
      <c r="X934" s="5">
        <f t="shared" si="132"/>
        <v>0</v>
      </c>
      <c r="Z934" s="2" t="s">
        <v>3227</v>
      </c>
      <c r="AA934" s="2" t="s">
        <v>96</v>
      </c>
      <c r="AB934" s="2" t="s">
        <v>76</v>
      </c>
      <c r="AC934" s="2" t="s">
        <v>93</v>
      </c>
      <c r="AF934" s="2">
        <f t="shared" si="124"/>
        <v>0</v>
      </c>
      <c r="AJ934" s="2">
        <f t="shared" si="125"/>
        <v>0</v>
      </c>
      <c r="AK934" s="2">
        <f t="shared" si="127"/>
        <v>0</v>
      </c>
      <c r="AL934" s="5">
        <f t="shared" si="133"/>
        <v>0</v>
      </c>
    </row>
    <row r="935" spans="1:38" x14ac:dyDescent="0.2">
      <c r="A935" s="2">
        <v>2025</v>
      </c>
      <c r="B935" s="2">
        <v>4</v>
      </c>
      <c r="D935" s="2" t="s">
        <v>1312</v>
      </c>
      <c r="E935" s="2" t="s">
        <v>38</v>
      </c>
      <c r="F935" s="2" t="s">
        <v>39</v>
      </c>
      <c r="G935" s="2">
        <v>509512739</v>
      </c>
      <c r="H935" s="2" t="s">
        <v>41</v>
      </c>
      <c r="I935" s="2" t="s">
        <v>177</v>
      </c>
      <c r="J935" s="2" t="s">
        <v>1313</v>
      </c>
      <c r="L935" s="2" t="s">
        <v>177</v>
      </c>
      <c r="M935" s="2" t="s">
        <v>41</v>
      </c>
      <c r="O935" s="2" t="s">
        <v>1314</v>
      </c>
      <c r="P935" s="2" t="s">
        <v>43</v>
      </c>
      <c r="Q935" s="2" t="s">
        <v>54</v>
      </c>
      <c r="R935" s="2" t="s">
        <v>55</v>
      </c>
      <c r="S935" s="2">
        <v>2</v>
      </c>
      <c r="T935" s="2">
        <v>34</v>
      </c>
      <c r="U935" s="2">
        <f>T935*23%</f>
        <v>7.82</v>
      </c>
      <c r="V935" s="2">
        <f>T935+U935</f>
        <v>41.82</v>
      </c>
      <c r="W935" s="2">
        <f>10.6*S935</f>
        <v>21.2</v>
      </c>
      <c r="X935" s="5">
        <f t="shared" si="132"/>
        <v>0.37647058823529411</v>
      </c>
      <c r="Z935" s="2" t="s">
        <v>3227</v>
      </c>
      <c r="AA935" s="2" t="s">
        <v>46</v>
      </c>
      <c r="AB935" s="2" t="s">
        <v>56</v>
      </c>
      <c r="AC935" s="2" t="s">
        <v>57</v>
      </c>
      <c r="AF935" s="2">
        <f t="shared" si="124"/>
        <v>0</v>
      </c>
      <c r="AG935" s="2">
        <v>10.6</v>
      </c>
      <c r="AH935" s="2">
        <v>18</v>
      </c>
      <c r="AJ935" s="2">
        <f t="shared" si="125"/>
        <v>0</v>
      </c>
      <c r="AK935" s="2">
        <f t="shared" si="127"/>
        <v>12.8</v>
      </c>
      <c r="AL935" s="5">
        <f t="shared" si="133"/>
        <v>0.37647058823529411</v>
      </c>
    </row>
    <row r="936" spans="1:38" x14ac:dyDescent="0.2">
      <c r="A936" s="2">
        <v>2025</v>
      </c>
      <c r="B936" s="2">
        <v>4</v>
      </c>
      <c r="D936" s="2" t="s">
        <v>1312</v>
      </c>
      <c r="E936" s="2" t="s">
        <v>38</v>
      </c>
      <c r="F936" s="2" t="s">
        <v>39</v>
      </c>
      <c r="G936" s="2">
        <v>509512739</v>
      </c>
      <c r="H936" s="2" t="s">
        <v>41</v>
      </c>
      <c r="I936" s="2" t="s">
        <v>177</v>
      </c>
      <c r="J936" s="2" t="s">
        <v>1313</v>
      </c>
      <c r="L936" s="2" t="s">
        <v>177</v>
      </c>
      <c r="M936" s="2" t="s">
        <v>41</v>
      </c>
      <c r="O936" s="2" t="s">
        <v>1314</v>
      </c>
      <c r="P936" s="2" t="s">
        <v>43</v>
      </c>
      <c r="Q936" s="2" t="s">
        <v>63</v>
      </c>
      <c r="R936" s="2" t="s">
        <v>64</v>
      </c>
      <c r="S936" s="2">
        <v>4</v>
      </c>
      <c r="T936" s="2">
        <v>7.2</v>
      </c>
      <c r="U936" s="2">
        <f>T936*23%</f>
        <v>1.6560000000000001</v>
      </c>
      <c r="V936" s="2">
        <f>T936+U936</f>
        <v>8.8559999999999999</v>
      </c>
      <c r="W936" s="2">
        <f>0.8561*S936</f>
        <v>3.4243999999999999</v>
      </c>
      <c r="X936" s="5">
        <f t="shared" si="132"/>
        <v>0.5243888888888889</v>
      </c>
      <c r="Z936" s="2" t="s">
        <v>3227</v>
      </c>
      <c r="AA936" s="2" t="s">
        <v>46</v>
      </c>
      <c r="AB936" s="2" t="s">
        <v>60</v>
      </c>
      <c r="AC936" s="2" t="s">
        <v>57</v>
      </c>
      <c r="AF936" s="2">
        <f t="shared" si="124"/>
        <v>0</v>
      </c>
      <c r="AG936" s="2">
        <v>0.85609999999999997</v>
      </c>
      <c r="AH936" s="2">
        <v>1.8</v>
      </c>
      <c r="AJ936" s="2">
        <f t="shared" si="125"/>
        <v>0</v>
      </c>
      <c r="AK936" s="2">
        <f t="shared" si="127"/>
        <v>3.7756000000000003</v>
      </c>
      <c r="AL936" s="5">
        <f t="shared" si="133"/>
        <v>0.5243888888888889</v>
      </c>
    </row>
    <row r="937" spans="1:38" x14ac:dyDescent="0.2">
      <c r="A937" s="2">
        <v>2025</v>
      </c>
      <c r="B937" s="2">
        <v>4</v>
      </c>
      <c r="D937" s="2" t="s">
        <v>1312</v>
      </c>
      <c r="E937" s="2" t="s">
        <v>38</v>
      </c>
      <c r="F937" s="2" t="s">
        <v>39</v>
      </c>
      <c r="G937" s="2">
        <v>509512739</v>
      </c>
      <c r="H937" s="2" t="s">
        <v>41</v>
      </c>
      <c r="I937" s="2" t="s">
        <v>177</v>
      </c>
      <c r="J937" s="2" t="s">
        <v>1313</v>
      </c>
      <c r="L937" s="2" t="s">
        <v>177</v>
      </c>
      <c r="M937" s="2" t="s">
        <v>41</v>
      </c>
      <c r="O937" s="2" t="s">
        <v>1314</v>
      </c>
      <c r="P937" s="2" t="s">
        <v>43</v>
      </c>
      <c r="Q937" s="2" t="s">
        <v>334</v>
      </c>
      <c r="R937" s="2" t="s">
        <v>335</v>
      </c>
      <c r="S937" s="2">
        <v>4</v>
      </c>
      <c r="T937" s="2">
        <v>12</v>
      </c>
      <c r="U937" s="2">
        <f>T937*23%</f>
        <v>2.7600000000000002</v>
      </c>
      <c r="V937" s="2">
        <f>T937+U937</f>
        <v>14.76</v>
      </c>
      <c r="W937" s="2">
        <f>1.1122*S937</f>
        <v>4.4488000000000003</v>
      </c>
      <c r="X937" s="5">
        <f t="shared" si="132"/>
        <v>0.62926666666666664</v>
      </c>
      <c r="Z937" s="2" t="s">
        <v>3227</v>
      </c>
      <c r="AA937" s="2" t="s">
        <v>46</v>
      </c>
      <c r="AB937" s="2" t="s">
        <v>60</v>
      </c>
      <c r="AC937" s="2" t="s">
        <v>57</v>
      </c>
      <c r="AF937" s="2">
        <f t="shared" si="124"/>
        <v>0</v>
      </c>
      <c r="AG937" s="2">
        <v>1.1122000000000001</v>
      </c>
      <c r="AH937" s="2">
        <v>3</v>
      </c>
      <c r="AJ937" s="2">
        <f t="shared" si="125"/>
        <v>0</v>
      </c>
      <c r="AK937" s="2">
        <f t="shared" si="127"/>
        <v>7.5511999999999997</v>
      </c>
      <c r="AL937" s="5">
        <f t="shared" si="133"/>
        <v>0.62926666666666664</v>
      </c>
    </row>
    <row r="938" spans="1:38" x14ac:dyDescent="0.2">
      <c r="A938" s="2">
        <v>2025</v>
      </c>
      <c r="B938" s="2">
        <v>4</v>
      </c>
      <c r="D938" s="2" t="s">
        <v>1315</v>
      </c>
      <c r="G938" s="2">
        <v>507220633</v>
      </c>
      <c r="I938" s="2" t="s">
        <v>3151</v>
      </c>
      <c r="M938" s="2" t="s">
        <v>80</v>
      </c>
      <c r="O938" s="2" t="s">
        <v>3150</v>
      </c>
      <c r="P938" s="2" t="s">
        <v>1038</v>
      </c>
      <c r="Q938" s="2" t="s">
        <v>1316</v>
      </c>
      <c r="R938" s="2" t="s">
        <v>1317</v>
      </c>
      <c r="S938" s="2">
        <v>4</v>
      </c>
      <c r="T938" s="2">
        <v>487.81</v>
      </c>
      <c r="U938" s="2">
        <v>112.19629999999999</v>
      </c>
      <c r="V938" s="2">
        <v>600.00630000000001</v>
      </c>
      <c r="W938" s="2">
        <f>71.96*S938</f>
        <v>287.83999999999997</v>
      </c>
      <c r="X938" s="5">
        <f t="shared" si="132"/>
        <v>0.4099341956909453</v>
      </c>
      <c r="Z938" s="2" t="s">
        <v>3227</v>
      </c>
      <c r="AA938" s="2" t="s">
        <v>1041</v>
      </c>
      <c r="AB938" s="2" t="s">
        <v>1318</v>
      </c>
      <c r="AC938" s="2" t="s">
        <v>1038</v>
      </c>
      <c r="AF938" s="2">
        <f t="shared" si="124"/>
        <v>0</v>
      </c>
      <c r="AJ938" s="2">
        <f t="shared" si="125"/>
        <v>0</v>
      </c>
      <c r="AK938" s="2">
        <f t="shared" si="127"/>
        <v>199.97000000000003</v>
      </c>
      <c r="AL938" s="5">
        <f t="shared" si="133"/>
        <v>0.4099341956909453</v>
      </c>
    </row>
    <row r="939" spans="1:38" x14ac:dyDescent="0.2">
      <c r="A939" s="2">
        <v>2025</v>
      </c>
      <c r="B939" s="2">
        <v>4</v>
      </c>
      <c r="D939" s="2" t="s">
        <v>928</v>
      </c>
      <c r="E939" s="2" t="s">
        <v>38</v>
      </c>
      <c r="F939" s="2" t="s">
        <v>39</v>
      </c>
      <c r="G939" s="2" t="s">
        <v>929</v>
      </c>
      <c r="H939" s="2" t="s">
        <v>41</v>
      </c>
      <c r="I939" s="2" t="s">
        <v>626</v>
      </c>
      <c r="J939" s="2" t="s">
        <v>930</v>
      </c>
      <c r="L939" s="2" t="s">
        <v>626</v>
      </c>
      <c r="M939" s="2" t="s">
        <v>41</v>
      </c>
      <c r="P939" s="2" t="s">
        <v>43</v>
      </c>
      <c r="Q939" s="2" t="s">
        <v>236</v>
      </c>
      <c r="R939" s="2" t="s">
        <v>237</v>
      </c>
      <c r="S939" s="2">
        <v>1</v>
      </c>
      <c r="T939" s="2">
        <v>16.2</v>
      </c>
      <c r="V939" s="2">
        <f t="shared" ref="V939:V946" si="134">T939</f>
        <v>16.2</v>
      </c>
      <c r="W939" s="2">
        <f>9.075*S939</f>
        <v>9.0749999999999993</v>
      </c>
      <c r="X939" s="5">
        <f t="shared" si="132"/>
        <v>0.43981481481481483</v>
      </c>
      <c r="Z939" s="2" t="s">
        <v>3227</v>
      </c>
      <c r="AA939" s="2" t="s">
        <v>46</v>
      </c>
      <c r="AB939" s="2" t="s">
        <v>56</v>
      </c>
      <c r="AC939" s="2" t="s">
        <v>57</v>
      </c>
      <c r="AF939" s="2">
        <f t="shared" si="124"/>
        <v>0</v>
      </c>
      <c r="AJ939" s="2">
        <f t="shared" si="125"/>
        <v>0</v>
      </c>
      <c r="AK939" s="2">
        <f t="shared" si="127"/>
        <v>7.125</v>
      </c>
      <c r="AL939" s="5">
        <f t="shared" si="133"/>
        <v>0.43981481481481483</v>
      </c>
    </row>
    <row r="940" spans="1:38" x14ac:dyDescent="0.2">
      <c r="A940" s="2">
        <v>2025</v>
      </c>
      <c r="B940" s="2">
        <v>4</v>
      </c>
      <c r="D940" s="2" t="s">
        <v>928</v>
      </c>
      <c r="E940" s="2" t="s">
        <v>38</v>
      </c>
      <c r="F940" s="2" t="s">
        <v>39</v>
      </c>
      <c r="G940" s="2" t="s">
        <v>929</v>
      </c>
      <c r="H940" s="2" t="s">
        <v>41</v>
      </c>
      <c r="I940" s="2" t="s">
        <v>626</v>
      </c>
      <c r="J940" s="2" t="s">
        <v>930</v>
      </c>
      <c r="L940" s="2" t="s">
        <v>626</v>
      </c>
      <c r="M940" s="2" t="s">
        <v>41</v>
      </c>
      <c r="P940" s="2" t="s">
        <v>43</v>
      </c>
      <c r="Q940" s="2" t="s">
        <v>238</v>
      </c>
      <c r="R940" s="2" t="s">
        <v>239</v>
      </c>
      <c r="S940" s="2">
        <v>1</v>
      </c>
      <c r="T940" s="2">
        <v>19.8</v>
      </c>
      <c r="V940" s="2">
        <f t="shared" si="134"/>
        <v>19.8</v>
      </c>
      <c r="W940" s="2">
        <f>11.045*S940</f>
        <v>11.045</v>
      </c>
      <c r="X940" s="5">
        <f t="shared" si="132"/>
        <v>0.44217171717171722</v>
      </c>
      <c r="Z940" s="2" t="s">
        <v>3227</v>
      </c>
      <c r="AA940" s="2" t="s">
        <v>46</v>
      </c>
      <c r="AB940" s="2" t="s">
        <v>56</v>
      </c>
      <c r="AC940" s="2" t="s">
        <v>57</v>
      </c>
      <c r="AF940" s="2">
        <f t="shared" si="124"/>
        <v>0</v>
      </c>
      <c r="AJ940" s="2">
        <f t="shared" si="125"/>
        <v>0</v>
      </c>
      <c r="AK940" s="2">
        <f t="shared" si="127"/>
        <v>8.7550000000000008</v>
      </c>
      <c r="AL940" s="5">
        <f t="shared" si="133"/>
        <v>0.44217171717171722</v>
      </c>
    </row>
    <row r="941" spans="1:38" x14ac:dyDescent="0.2">
      <c r="A941" s="2">
        <v>2025</v>
      </c>
      <c r="B941" s="2">
        <v>4</v>
      </c>
      <c r="D941" s="2" t="s">
        <v>928</v>
      </c>
      <c r="E941" s="2" t="s">
        <v>38</v>
      </c>
      <c r="F941" s="2" t="s">
        <v>39</v>
      </c>
      <c r="G941" s="2" t="s">
        <v>929</v>
      </c>
      <c r="H941" s="2" t="s">
        <v>41</v>
      </c>
      <c r="I941" s="2" t="s">
        <v>626</v>
      </c>
      <c r="J941" s="2" t="s">
        <v>930</v>
      </c>
      <c r="L941" s="2" t="s">
        <v>626</v>
      </c>
      <c r="M941" s="2" t="s">
        <v>41</v>
      </c>
      <c r="P941" s="2" t="s">
        <v>43</v>
      </c>
      <c r="Q941" s="2" t="s">
        <v>240</v>
      </c>
      <c r="R941" s="2" t="s">
        <v>241</v>
      </c>
      <c r="S941" s="2">
        <v>1</v>
      </c>
      <c r="T941" s="2">
        <v>24</v>
      </c>
      <c r="V941" s="2">
        <f t="shared" si="134"/>
        <v>24</v>
      </c>
      <c r="W941" s="2">
        <f>13.4067*S941</f>
        <v>13.406700000000001</v>
      </c>
      <c r="X941" s="5">
        <f t="shared" si="132"/>
        <v>0.44138749999999999</v>
      </c>
      <c r="Z941" s="2" t="s">
        <v>3227</v>
      </c>
      <c r="AA941" s="2" t="s">
        <v>46</v>
      </c>
      <c r="AB941" s="2" t="s">
        <v>56</v>
      </c>
      <c r="AC941" s="2" t="s">
        <v>57</v>
      </c>
      <c r="AF941" s="2">
        <f t="shared" si="124"/>
        <v>0</v>
      </c>
      <c r="AJ941" s="2">
        <f t="shared" si="125"/>
        <v>0</v>
      </c>
      <c r="AK941" s="2">
        <f t="shared" si="127"/>
        <v>10.593299999999999</v>
      </c>
      <c r="AL941" s="5">
        <f t="shared" si="133"/>
        <v>0.44138749999999999</v>
      </c>
    </row>
    <row r="942" spans="1:38" x14ac:dyDescent="0.2">
      <c r="A942" s="2">
        <v>2025</v>
      </c>
      <c r="B942" s="2">
        <v>4</v>
      </c>
      <c r="D942" s="2" t="s">
        <v>928</v>
      </c>
      <c r="E942" s="2" t="s">
        <v>38</v>
      </c>
      <c r="F942" s="2" t="s">
        <v>39</v>
      </c>
      <c r="G942" s="2" t="s">
        <v>929</v>
      </c>
      <c r="H942" s="2" t="s">
        <v>41</v>
      </c>
      <c r="I942" s="2" t="s">
        <v>626</v>
      </c>
      <c r="J942" s="2" t="s">
        <v>930</v>
      </c>
      <c r="L942" s="2" t="s">
        <v>626</v>
      </c>
      <c r="M942" s="2" t="s">
        <v>41</v>
      </c>
      <c r="P942" s="2" t="s">
        <v>43</v>
      </c>
      <c r="Q942" s="2" t="s">
        <v>244</v>
      </c>
      <c r="R942" s="2" t="s">
        <v>245</v>
      </c>
      <c r="S942" s="2">
        <v>1</v>
      </c>
      <c r="T942" s="2">
        <v>16.8</v>
      </c>
      <c r="V942" s="2">
        <f t="shared" si="134"/>
        <v>16.8</v>
      </c>
      <c r="W942" s="2">
        <f>9.2346*S942</f>
        <v>9.2346000000000004</v>
      </c>
      <c r="X942" s="5">
        <f t="shared" si="132"/>
        <v>0.45032142857142859</v>
      </c>
      <c r="Z942" s="2" t="s">
        <v>3227</v>
      </c>
      <c r="AA942" s="2" t="s">
        <v>46</v>
      </c>
      <c r="AB942" s="2" t="s">
        <v>56</v>
      </c>
      <c r="AC942" s="2" t="s">
        <v>57</v>
      </c>
      <c r="AF942" s="2">
        <f t="shared" si="124"/>
        <v>0</v>
      </c>
      <c r="AJ942" s="2">
        <f t="shared" si="125"/>
        <v>0</v>
      </c>
      <c r="AK942" s="2">
        <f t="shared" si="127"/>
        <v>7.5654000000000003</v>
      </c>
      <c r="AL942" s="5">
        <f t="shared" si="133"/>
        <v>0.45032142857142859</v>
      </c>
    </row>
    <row r="943" spans="1:38" x14ac:dyDescent="0.2">
      <c r="A943" s="2">
        <v>2025</v>
      </c>
      <c r="B943" s="2">
        <v>4</v>
      </c>
      <c r="D943" s="2" t="s">
        <v>928</v>
      </c>
      <c r="E943" s="2" t="s">
        <v>38</v>
      </c>
      <c r="F943" s="2" t="s">
        <v>39</v>
      </c>
      <c r="G943" s="2" t="s">
        <v>929</v>
      </c>
      <c r="H943" s="2" t="s">
        <v>41</v>
      </c>
      <c r="I943" s="2" t="s">
        <v>626</v>
      </c>
      <c r="J943" s="2" t="s">
        <v>930</v>
      </c>
      <c r="L943" s="2" t="s">
        <v>626</v>
      </c>
      <c r="M943" s="2" t="s">
        <v>41</v>
      </c>
      <c r="P943" s="2" t="s">
        <v>43</v>
      </c>
      <c r="Q943" s="2" t="s">
        <v>246</v>
      </c>
      <c r="R943" s="2" t="s">
        <v>247</v>
      </c>
      <c r="S943" s="2">
        <v>1</v>
      </c>
      <c r="T943" s="2">
        <v>19.2</v>
      </c>
      <c r="V943" s="2">
        <f t="shared" si="134"/>
        <v>19.2</v>
      </c>
      <c r="W943" s="2">
        <f>10.5267*S943</f>
        <v>10.5267</v>
      </c>
      <c r="X943" s="5">
        <f t="shared" si="132"/>
        <v>0.45173437499999997</v>
      </c>
      <c r="Z943" s="2" t="s">
        <v>3227</v>
      </c>
      <c r="AA943" s="2" t="s">
        <v>46</v>
      </c>
      <c r="AB943" s="2" t="s">
        <v>56</v>
      </c>
      <c r="AC943" s="2" t="s">
        <v>57</v>
      </c>
      <c r="AF943" s="2">
        <f t="shared" si="124"/>
        <v>0</v>
      </c>
      <c r="AJ943" s="2">
        <f t="shared" si="125"/>
        <v>0</v>
      </c>
      <c r="AK943" s="2">
        <f t="shared" si="127"/>
        <v>8.6732999999999993</v>
      </c>
      <c r="AL943" s="5">
        <f t="shared" si="133"/>
        <v>0.45173437499999997</v>
      </c>
    </row>
    <row r="944" spans="1:38" x14ac:dyDescent="0.2">
      <c r="A944" s="2">
        <v>2025</v>
      </c>
      <c r="B944" s="2">
        <v>4</v>
      </c>
      <c r="D944" s="2" t="s">
        <v>928</v>
      </c>
      <c r="E944" s="2" t="s">
        <v>38</v>
      </c>
      <c r="F944" s="2" t="s">
        <v>39</v>
      </c>
      <c r="G944" s="2" t="s">
        <v>929</v>
      </c>
      <c r="H944" s="2" t="s">
        <v>41</v>
      </c>
      <c r="I944" s="2" t="s">
        <v>626</v>
      </c>
      <c r="J944" s="2" t="s">
        <v>930</v>
      </c>
      <c r="L944" s="2" t="s">
        <v>626</v>
      </c>
      <c r="M944" s="2" t="s">
        <v>41</v>
      </c>
      <c r="P944" s="2" t="s">
        <v>43</v>
      </c>
      <c r="Q944" s="2" t="s">
        <v>285</v>
      </c>
      <c r="R944" s="2" t="s">
        <v>286</v>
      </c>
      <c r="S944" s="2">
        <v>1</v>
      </c>
      <c r="T944" s="2">
        <v>22.2</v>
      </c>
      <c r="V944" s="2">
        <f t="shared" si="134"/>
        <v>22.2</v>
      </c>
      <c r="W944" s="2">
        <f>12.2604*S944</f>
        <v>12.260400000000001</v>
      </c>
      <c r="X944" s="5">
        <f t="shared" si="132"/>
        <v>0.44772972972972969</v>
      </c>
      <c r="Z944" s="2" t="s">
        <v>3227</v>
      </c>
      <c r="AA944" s="2" t="s">
        <v>46</v>
      </c>
      <c r="AB944" s="2" t="s">
        <v>56</v>
      </c>
      <c r="AC944" s="2" t="s">
        <v>57</v>
      </c>
      <c r="AF944" s="2">
        <f t="shared" si="124"/>
        <v>0</v>
      </c>
      <c r="AJ944" s="2">
        <f t="shared" si="125"/>
        <v>0</v>
      </c>
      <c r="AK944" s="2">
        <f t="shared" si="127"/>
        <v>9.9395999999999987</v>
      </c>
      <c r="AL944" s="5">
        <f t="shared" si="133"/>
        <v>0.44772972972972969</v>
      </c>
    </row>
    <row r="945" spans="1:38" x14ac:dyDescent="0.2">
      <c r="A945" s="2">
        <v>2025</v>
      </c>
      <c r="B945" s="2">
        <v>4</v>
      </c>
      <c r="D945" s="2" t="s">
        <v>928</v>
      </c>
      <c r="E945" s="2" t="s">
        <v>38</v>
      </c>
      <c r="F945" s="2" t="s">
        <v>39</v>
      </c>
      <c r="G945" s="2" t="s">
        <v>929</v>
      </c>
      <c r="H945" s="2" t="s">
        <v>41</v>
      </c>
      <c r="I945" s="2" t="s">
        <v>626</v>
      </c>
      <c r="J945" s="2" t="s">
        <v>930</v>
      </c>
      <c r="L945" s="2" t="s">
        <v>626</v>
      </c>
      <c r="M945" s="2" t="s">
        <v>41</v>
      </c>
      <c r="P945" s="2" t="s">
        <v>43</v>
      </c>
      <c r="Q945" s="2" t="s">
        <v>250</v>
      </c>
      <c r="R945" s="2" t="s">
        <v>251</v>
      </c>
      <c r="S945" s="2">
        <v>1</v>
      </c>
      <c r="T945" s="2">
        <v>65</v>
      </c>
      <c r="V945" s="2">
        <f t="shared" si="134"/>
        <v>65</v>
      </c>
      <c r="W945" s="2">
        <f>25.0958*S945</f>
        <v>25.095800000000001</v>
      </c>
      <c r="X945" s="5">
        <f t="shared" si="132"/>
        <v>0.61391076923076926</v>
      </c>
      <c r="Z945" s="2" t="s">
        <v>3227</v>
      </c>
      <c r="AA945" s="2" t="s">
        <v>46</v>
      </c>
      <c r="AB945" s="2" t="s">
        <v>90</v>
      </c>
      <c r="AC945" s="2" t="s">
        <v>57</v>
      </c>
      <c r="AF945" s="2">
        <f t="shared" si="124"/>
        <v>0</v>
      </c>
      <c r="AJ945" s="2">
        <f t="shared" si="125"/>
        <v>0</v>
      </c>
      <c r="AK945" s="2">
        <f t="shared" si="127"/>
        <v>39.904200000000003</v>
      </c>
      <c r="AL945" s="5">
        <f t="shared" si="133"/>
        <v>0.61391076923076926</v>
      </c>
    </row>
    <row r="946" spans="1:38" x14ac:dyDescent="0.2">
      <c r="A946" s="2">
        <v>2025</v>
      </c>
      <c r="B946" s="2">
        <v>4</v>
      </c>
      <c r="D946" s="2" t="s">
        <v>928</v>
      </c>
      <c r="E946" s="2" t="s">
        <v>38</v>
      </c>
      <c r="F946" s="2" t="s">
        <v>39</v>
      </c>
      <c r="G946" s="2" t="s">
        <v>929</v>
      </c>
      <c r="H946" s="2" t="s">
        <v>41</v>
      </c>
      <c r="I946" s="2" t="s">
        <v>626</v>
      </c>
      <c r="J946" s="2" t="s">
        <v>930</v>
      </c>
      <c r="L946" s="2" t="s">
        <v>626</v>
      </c>
      <c r="M946" s="2" t="s">
        <v>41</v>
      </c>
      <c r="P946" s="2" t="s">
        <v>43</v>
      </c>
      <c r="Q946" s="2" t="s">
        <v>1319</v>
      </c>
      <c r="R946" s="2" t="s">
        <v>1320</v>
      </c>
      <c r="S946" s="2">
        <v>1</v>
      </c>
      <c r="T946" s="2">
        <v>9</v>
      </c>
      <c r="V946" s="2">
        <f t="shared" si="134"/>
        <v>9</v>
      </c>
      <c r="W946" s="2">
        <v>5.04</v>
      </c>
      <c r="X946" s="5">
        <f t="shared" si="132"/>
        <v>0.44</v>
      </c>
      <c r="Z946" s="2" t="s">
        <v>3227</v>
      </c>
      <c r="AA946" s="2" t="s">
        <v>46</v>
      </c>
      <c r="AB946" s="2" t="s">
        <v>67</v>
      </c>
      <c r="AC946" s="2" t="s">
        <v>57</v>
      </c>
      <c r="AF946" s="2">
        <f t="shared" si="124"/>
        <v>0</v>
      </c>
      <c r="AJ946" s="2">
        <f t="shared" si="125"/>
        <v>0</v>
      </c>
      <c r="AK946" s="2">
        <f t="shared" si="127"/>
        <v>3.96</v>
      </c>
      <c r="AL946" s="5">
        <f t="shared" si="133"/>
        <v>0.44</v>
      </c>
    </row>
    <row r="947" spans="1:38" x14ac:dyDescent="0.2">
      <c r="A947" s="2">
        <v>2025</v>
      </c>
      <c r="B947" s="2">
        <v>5</v>
      </c>
      <c r="D947" s="2" t="s">
        <v>37</v>
      </c>
      <c r="E947" s="2" t="s">
        <v>38</v>
      </c>
      <c r="F947" s="2" t="s">
        <v>39</v>
      </c>
      <c r="H947" s="2" t="s">
        <v>40</v>
      </c>
      <c r="P947" s="2" t="s">
        <v>282</v>
      </c>
      <c r="Q947" s="2" t="s">
        <v>1205</v>
      </c>
      <c r="R947" s="2" t="s">
        <v>1206</v>
      </c>
      <c r="S947" s="2">
        <v>1</v>
      </c>
      <c r="T947" s="2">
        <v>30</v>
      </c>
      <c r="U947" s="2">
        <v>6.9</v>
      </c>
      <c r="V947" s="2">
        <v>36.9</v>
      </c>
      <c r="W947" s="2">
        <v>14.34</v>
      </c>
      <c r="X947" s="5">
        <f t="shared" si="132"/>
        <v>0.52200000000000002</v>
      </c>
      <c r="Z947" s="2" t="s">
        <v>3227</v>
      </c>
      <c r="AA947" s="2" t="s">
        <v>71</v>
      </c>
      <c r="AB947" s="2" t="s">
        <v>119</v>
      </c>
      <c r="AC947" s="2" t="s">
        <v>119</v>
      </c>
      <c r="AF947" s="2">
        <f t="shared" si="124"/>
        <v>0</v>
      </c>
      <c r="AG947" s="2">
        <v>14.34</v>
      </c>
      <c r="AJ947" s="2">
        <f t="shared" si="125"/>
        <v>0</v>
      </c>
      <c r="AK947" s="2">
        <f t="shared" si="127"/>
        <v>15.66</v>
      </c>
      <c r="AL947" s="5">
        <f t="shared" si="133"/>
        <v>0.52200000000000002</v>
      </c>
    </row>
    <row r="948" spans="1:38" x14ac:dyDescent="0.2">
      <c r="A948" s="2">
        <v>2025</v>
      </c>
      <c r="B948" s="2">
        <v>5</v>
      </c>
      <c r="D948" s="2" t="s">
        <v>37</v>
      </c>
      <c r="E948" s="2" t="s">
        <v>38</v>
      </c>
      <c r="F948" s="2" t="s">
        <v>39</v>
      </c>
      <c r="H948" s="2" t="s">
        <v>40</v>
      </c>
      <c r="I948" s="2" t="s">
        <v>1321</v>
      </c>
      <c r="L948" s="2" t="s">
        <v>99</v>
      </c>
      <c r="M948" s="2" t="s">
        <v>80</v>
      </c>
      <c r="O948" s="2" t="s">
        <v>1322</v>
      </c>
      <c r="P948" s="2" t="s">
        <v>43</v>
      </c>
      <c r="Q948" s="2" t="s">
        <v>158</v>
      </c>
      <c r="R948" s="2" t="s">
        <v>159</v>
      </c>
      <c r="S948" s="2">
        <v>1</v>
      </c>
      <c r="T948" s="2">
        <v>18</v>
      </c>
      <c r="U948" s="2">
        <v>4.1400000000000006</v>
      </c>
      <c r="V948" s="2">
        <v>22.14</v>
      </c>
      <c r="W948" s="2">
        <f>9.3*S948</f>
        <v>9.3000000000000007</v>
      </c>
      <c r="X948" s="5">
        <f t="shared" si="132"/>
        <v>0.48333333333333328</v>
      </c>
      <c r="Z948" s="2" t="s">
        <v>3227</v>
      </c>
      <c r="AA948" s="2" t="s">
        <v>46</v>
      </c>
      <c r="AB948" s="2" t="s">
        <v>47</v>
      </c>
      <c r="AC948" s="2" t="s">
        <v>57</v>
      </c>
      <c r="AF948" s="2">
        <f t="shared" si="124"/>
        <v>0</v>
      </c>
      <c r="AG948" s="2">
        <v>9.3000000000000007</v>
      </c>
      <c r="AH948" s="2">
        <v>21</v>
      </c>
      <c r="AJ948" s="2">
        <f t="shared" si="125"/>
        <v>0</v>
      </c>
      <c r="AK948" s="2">
        <f t="shared" si="127"/>
        <v>8.6999999999999993</v>
      </c>
      <c r="AL948" s="5">
        <f t="shared" si="133"/>
        <v>0.48333333333333328</v>
      </c>
    </row>
    <row r="949" spans="1:38" x14ac:dyDescent="0.2">
      <c r="A949" s="2">
        <v>2025</v>
      </c>
      <c r="B949" s="2">
        <v>5</v>
      </c>
      <c r="D949" s="2" t="s">
        <v>37</v>
      </c>
      <c r="E949" s="2" t="s">
        <v>38</v>
      </c>
      <c r="F949" s="2" t="s">
        <v>39</v>
      </c>
      <c r="H949" s="2" t="s">
        <v>40</v>
      </c>
      <c r="P949" s="2" t="s">
        <v>43</v>
      </c>
      <c r="Q949" s="2" t="s">
        <v>160</v>
      </c>
      <c r="R949" s="2" t="s">
        <v>161</v>
      </c>
      <c r="S949" s="2">
        <v>1</v>
      </c>
      <c r="T949" s="2">
        <v>7.8</v>
      </c>
      <c r="U949" s="2">
        <v>1.794</v>
      </c>
      <c r="V949" s="2">
        <v>9.5939999999999994</v>
      </c>
      <c r="W949" s="2">
        <f>3.7358*S949</f>
        <v>3.7357999999999998</v>
      </c>
      <c r="X949" s="5">
        <f t="shared" si="132"/>
        <v>0.52105128205128204</v>
      </c>
      <c r="Z949" s="2" t="s">
        <v>3227</v>
      </c>
      <c r="AA949" s="2" t="s">
        <v>46</v>
      </c>
      <c r="AB949" s="2" t="s">
        <v>47</v>
      </c>
      <c r="AC949" s="2" t="s">
        <v>57</v>
      </c>
      <c r="AF949" s="2">
        <f t="shared" si="124"/>
        <v>0</v>
      </c>
      <c r="AG949" s="2">
        <v>3.7357999999999998</v>
      </c>
      <c r="AH949" s="2">
        <v>9</v>
      </c>
      <c r="AJ949" s="2">
        <f t="shared" si="125"/>
        <v>0</v>
      </c>
      <c r="AK949" s="2">
        <f t="shared" si="127"/>
        <v>4.0641999999999996</v>
      </c>
      <c r="AL949" s="5">
        <f t="shared" si="133"/>
        <v>0.52105128205128204</v>
      </c>
    </row>
    <row r="950" spans="1:38" x14ac:dyDescent="0.2">
      <c r="A950" s="2">
        <v>2025</v>
      </c>
      <c r="B950" s="2">
        <v>5</v>
      </c>
      <c r="D950" s="2" t="s">
        <v>37</v>
      </c>
      <c r="E950" s="2" t="s">
        <v>38</v>
      </c>
      <c r="F950" s="2" t="s">
        <v>39</v>
      </c>
      <c r="H950" s="2" t="s">
        <v>40</v>
      </c>
      <c r="P950" s="2" t="s">
        <v>43</v>
      </c>
      <c r="Q950" s="2" t="s">
        <v>240</v>
      </c>
      <c r="R950" s="2" t="s">
        <v>241</v>
      </c>
      <c r="S950" s="2">
        <v>1</v>
      </c>
      <c r="T950" s="2">
        <v>24</v>
      </c>
      <c r="U950" s="2">
        <v>5.52</v>
      </c>
      <c r="V950" s="2">
        <v>29.52</v>
      </c>
      <c r="W950" s="2">
        <f>13.4067*S950</f>
        <v>13.406700000000001</v>
      </c>
      <c r="X950" s="5">
        <f t="shared" si="132"/>
        <v>0.44138749999999999</v>
      </c>
      <c r="Z950" s="2" t="s">
        <v>3227</v>
      </c>
      <c r="AA950" s="2" t="s">
        <v>46</v>
      </c>
      <c r="AB950" s="2" t="s">
        <v>56</v>
      </c>
      <c r="AC950" s="2" t="s">
        <v>57</v>
      </c>
      <c r="AF950" s="2">
        <f t="shared" si="124"/>
        <v>0</v>
      </c>
      <c r="AJ950" s="2">
        <f t="shared" si="125"/>
        <v>0</v>
      </c>
      <c r="AK950" s="2">
        <f t="shared" si="127"/>
        <v>10.593299999999999</v>
      </c>
      <c r="AL950" s="5">
        <f t="shared" si="133"/>
        <v>0.44138749999999999</v>
      </c>
    </row>
    <row r="951" spans="1:38" x14ac:dyDescent="0.2">
      <c r="A951" s="2">
        <v>2025</v>
      </c>
      <c r="B951" s="2">
        <v>5</v>
      </c>
      <c r="D951" s="2" t="s">
        <v>37</v>
      </c>
      <c r="E951" s="2" t="s">
        <v>38</v>
      </c>
      <c r="F951" s="2" t="s">
        <v>39</v>
      </c>
      <c r="H951" s="2" t="s">
        <v>40</v>
      </c>
      <c r="P951" s="2" t="s">
        <v>43</v>
      </c>
      <c r="Q951" s="2" t="s">
        <v>248</v>
      </c>
      <c r="R951" s="2" t="s">
        <v>249</v>
      </c>
      <c r="S951" s="2">
        <v>1</v>
      </c>
      <c r="T951" s="2">
        <v>23.4</v>
      </c>
      <c r="U951" s="2">
        <v>5.3819999999999997</v>
      </c>
      <c r="V951" s="2">
        <v>28.782</v>
      </c>
      <c r="W951" s="2">
        <f>12.71*S951</f>
        <v>12.71</v>
      </c>
      <c r="X951" s="5">
        <f t="shared" si="132"/>
        <v>0.45683760683760677</v>
      </c>
      <c r="Z951" s="2" t="s">
        <v>3227</v>
      </c>
      <c r="AA951" s="2" t="s">
        <v>46</v>
      </c>
      <c r="AB951" s="2" t="s">
        <v>56</v>
      </c>
      <c r="AC951" s="2" t="s">
        <v>57</v>
      </c>
      <c r="AF951" s="2">
        <f t="shared" si="124"/>
        <v>0</v>
      </c>
      <c r="AJ951" s="2">
        <f t="shared" si="125"/>
        <v>0</v>
      </c>
      <c r="AK951" s="2">
        <f t="shared" si="127"/>
        <v>10.689999999999998</v>
      </c>
      <c r="AL951" s="5">
        <f t="shared" si="133"/>
        <v>0.45683760683760677</v>
      </c>
    </row>
    <row r="952" spans="1:38" x14ac:dyDescent="0.2">
      <c r="A952" s="2">
        <v>2025</v>
      </c>
      <c r="B952" s="2">
        <v>5</v>
      </c>
      <c r="D952" s="2" t="s">
        <v>37</v>
      </c>
      <c r="E952" s="2" t="s">
        <v>38</v>
      </c>
      <c r="F952" s="2" t="s">
        <v>39</v>
      </c>
      <c r="H952" s="2" t="s">
        <v>40</v>
      </c>
      <c r="P952" s="2" t="s">
        <v>43</v>
      </c>
      <c r="Q952" s="2" t="s">
        <v>54</v>
      </c>
      <c r="R952" s="2" t="s">
        <v>55</v>
      </c>
      <c r="S952" s="2">
        <v>15</v>
      </c>
      <c r="T952" s="2">
        <v>190</v>
      </c>
      <c r="U952" s="2">
        <v>43.7</v>
      </c>
      <c r="V952" s="2">
        <v>233.7</v>
      </c>
      <c r="W952" s="2">
        <f>10.6*S952</f>
        <v>159</v>
      </c>
      <c r="X952" s="5">
        <f t="shared" si="132"/>
        <v>0.16315789473684211</v>
      </c>
      <c r="Z952" s="2" t="s">
        <v>3227</v>
      </c>
      <c r="AA952" s="2" t="s">
        <v>46</v>
      </c>
      <c r="AB952" s="2" t="s">
        <v>56</v>
      </c>
      <c r="AC952" s="2" t="s">
        <v>57</v>
      </c>
      <c r="AF952" s="2">
        <f t="shared" si="124"/>
        <v>0</v>
      </c>
      <c r="AG952" s="2">
        <v>10.6</v>
      </c>
      <c r="AH952" s="2">
        <v>18</v>
      </c>
      <c r="AJ952" s="2">
        <f t="shared" si="125"/>
        <v>0</v>
      </c>
      <c r="AK952" s="2">
        <f t="shared" si="127"/>
        <v>31</v>
      </c>
      <c r="AL952" s="5">
        <f t="shared" si="133"/>
        <v>0.16315789473684211</v>
      </c>
    </row>
    <row r="953" spans="1:38" x14ac:dyDescent="0.2">
      <c r="A953" s="2">
        <v>2025</v>
      </c>
      <c r="B953" s="2">
        <v>5</v>
      </c>
      <c r="D953" s="2" t="s">
        <v>37</v>
      </c>
      <c r="E953" s="2" t="s">
        <v>38</v>
      </c>
      <c r="F953" s="2" t="s">
        <v>39</v>
      </c>
      <c r="H953" s="2" t="s">
        <v>40</v>
      </c>
      <c r="P953" s="2" t="s">
        <v>43</v>
      </c>
      <c r="Q953" s="2" t="s">
        <v>58</v>
      </c>
      <c r="R953" s="2" t="s">
        <v>59</v>
      </c>
      <c r="S953" s="2">
        <v>900</v>
      </c>
      <c r="T953" s="2">
        <v>108</v>
      </c>
      <c r="U953" s="2">
        <v>24.84</v>
      </c>
      <c r="V953" s="2">
        <v>132.84</v>
      </c>
      <c r="W953" s="2">
        <f>0.0914*S953</f>
        <v>82.259999999999991</v>
      </c>
      <c r="X953" s="5">
        <f t="shared" si="132"/>
        <v>0.23833333333333342</v>
      </c>
      <c r="Z953" s="2" t="s">
        <v>3227</v>
      </c>
      <c r="AA953" s="2" t="s">
        <v>46</v>
      </c>
      <c r="AB953" s="2" t="s">
        <v>60</v>
      </c>
      <c r="AC953" s="2" t="s">
        <v>57</v>
      </c>
      <c r="AF953" s="2">
        <f t="shared" si="124"/>
        <v>0</v>
      </c>
      <c r="AG953" s="2">
        <v>9.14</v>
      </c>
      <c r="AH953" s="2">
        <v>16</v>
      </c>
      <c r="AJ953" s="2">
        <f t="shared" si="125"/>
        <v>0</v>
      </c>
      <c r="AK953" s="2">
        <f t="shared" si="127"/>
        <v>25.740000000000009</v>
      </c>
      <c r="AL953" s="5">
        <f t="shared" si="133"/>
        <v>0.23833333333333342</v>
      </c>
    </row>
    <row r="954" spans="1:38" x14ac:dyDescent="0.2">
      <c r="A954" s="2">
        <v>2025</v>
      </c>
      <c r="B954" s="2">
        <v>5</v>
      </c>
      <c r="D954" s="2" t="s">
        <v>37</v>
      </c>
      <c r="E954" s="2" t="s">
        <v>38</v>
      </c>
      <c r="F954" s="2" t="s">
        <v>39</v>
      </c>
      <c r="H954" s="2" t="s">
        <v>40</v>
      </c>
      <c r="P954" s="2" t="s">
        <v>43</v>
      </c>
      <c r="Q954" s="2" t="s">
        <v>61</v>
      </c>
      <c r="R954" s="2" t="s">
        <v>62</v>
      </c>
      <c r="S954" s="2">
        <v>1800</v>
      </c>
      <c r="T954" s="2">
        <v>185</v>
      </c>
      <c r="U954" s="2">
        <v>42.55</v>
      </c>
      <c r="V954" s="2">
        <v>227.55</v>
      </c>
      <c r="W954" s="2">
        <f>0.082*S954</f>
        <v>147.6</v>
      </c>
      <c r="X954" s="5">
        <f t="shared" si="132"/>
        <v>0.20216216216216221</v>
      </c>
      <c r="Z954" s="2" t="s">
        <v>3227</v>
      </c>
      <c r="AA954" s="2" t="s">
        <v>46</v>
      </c>
      <c r="AB954" s="2" t="s">
        <v>60</v>
      </c>
      <c r="AC954" s="2" t="s">
        <v>57</v>
      </c>
      <c r="AF954" s="2">
        <f t="shared" si="124"/>
        <v>0</v>
      </c>
      <c r="AG954" s="2">
        <v>8.1999999999999993</v>
      </c>
      <c r="AH954" s="2">
        <v>13</v>
      </c>
      <c r="AJ954" s="2">
        <f t="shared" si="125"/>
        <v>0</v>
      </c>
      <c r="AK954" s="2">
        <f t="shared" si="127"/>
        <v>37.400000000000006</v>
      </c>
      <c r="AL954" s="5">
        <f t="shared" si="133"/>
        <v>0.20216216216216221</v>
      </c>
    </row>
    <row r="955" spans="1:38" x14ac:dyDescent="0.2">
      <c r="A955" s="2">
        <v>2025</v>
      </c>
      <c r="B955" s="2">
        <v>5</v>
      </c>
      <c r="D955" s="2" t="s">
        <v>37</v>
      </c>
      <c r="E955" s="2" t="s">
        <v>38</v>
      </c>
      <c r="F955" s="2" t="s">
        <v>39</v>
      </c>
      <c r="H955" s="2" t="s">
        <v>40</v>
      </c>
      <c r="P955" s="2" t="s">
        <v>43</v>
      </c>
      <c r="Q955" s="2" t="s">
        <v>65</v>
      </c>
      <c r="R955" s="2" t="s">
        <v>66</v>
      </c>
      <c r="S955" s="2">
        <v>2</v>
      </c>
      <c r="T955" s="2">
        <v>40.5</v>
      </c>
      <c r="U955" s="2">
        <v>9.3150000000000013</v>
      </c>
      <c r="V955" s="2">
        <v>49.814999999999998</v>
      </c>
      <c r="W955" s="2">
        <f>15.0203*S955</f>
        <v>30.040600000000001</v>
      </c>
      <c r="X955" s="5">
        <f t="shared" si="132"/>
        <v>0.25825679012345676</v>
      </c>
      <c r="Z955" s="2" t="s">
        <v>3227</v>
      </c>
      <c r="AA955" s="2" t="s">
        <v>46</v>
      </c>
      <c r="AB955" s="2" t="s">
        <v>67</v>
      </c>
      <c r="AC955" s="2" t="s">
        <v>57</v>
      </c>
      <c r="AF955" s="2">
        <f t="shared" si="124"/>
        <v>0</v>
      </c>
      <c r="AG955" s="2">
        <v>15.020300000000001</v>
      </c>
      <c r="AH955" s="2">
        <v>27.6</v>
      </c>
      <c r="AJ955" s="2">
        <f t="shared" si="125"/>
        <v>0</v>
      </c>
      <c r="AK955" s="2">
        <f t="shared" si="127"/>
        <v>10.459399999999999</v>
      </c>
      <c r="AL955" s="5">
        <f t="shared" si="133"/>
        <v>0.25825679012345676</v>
      </c>
    </row>
    <row r="956" spans="1:38" x14ac:dyDescent="0.2">
      <c r="A956" s="2">
        <v>2025</v>
      </c>
      <c r="B956" s="2">
        <v>5</v>
      </c>
      <c r="D956" s="2" t="s">
        <v>37</v>
      </c>
      <c r="E956" s="2" t="s">
        <v>38</v>
      </c>
      <c r="F956" s="2" t="s">
        <v>39</v>
      </c>
      <c r="H956" s="2" t="s">
        <v>40</v>
      </c>
      <c r="P956" s="2" t="s">
        <v>72</v>
      </c>
      <c r="Q956" s="2" t="s">
        <v>912</v>
      </c>
      <c r="R956" s="2" t="s">
        <v>74</v>
      </c>
      <c r="S956" s="2">
        <v>1</v>
      </c>
      <c r="T956" s="2">
        <v>222.44</v>
      </c>
      <c r="U956" s="2">
        <v>51.161200000000001</v>
      </c>
      <c r="V956" s="2">
        <v>273.60120000000001</v>
      </c>
      <c r="W956" s="2">
        <f>115.92+6.06</f>
        <v>121.98</v>
      </c>
      <c r="X956" s="5">
        <f t="shared" si="132"/>
        <v>0.4516274051429599</v>
      </c>
      <c r="Z956" s="2" t="s">
        <v>3227</v>
      </c>
      <c r="AA956" s="2" t="s">
        <v>75</v>
      </c>
      <c r="AB956" s="2" t="s">
        <v>76</v>
      </c>
      <c r="AC956" s="2" t="s">
        <v>77</v>
      </c>
      <c r="AF956" s="2">
        <f t="shared" si="124"/>
        <v>0</v>
      </c>
      <c r="AJ956" s="2">
        <f t="shared" si="125"/>
        <v>0</v>
      </c>
      <c r="AK956" s="2">
        <f t="shared" si="127"/>
        <v>100.46</v>
      </c>
      <c r="AL956" s="5">
        <f t="shared" si="133"/>
        <v>0.4516274051429599</v>
      </c>
    </row>
    <row r="957" spans="1:38" x14ac:dyDescent="0.2">
      <c r="A957" s="2">
        <v>2025</v>
      </c>
      <c r="B957" s="2">
        <v>5</v>
      </c>
      <c r="D957" s="2" t="s">
        <v>37</v>
      </c>
      <c r="E957" s="2" t="s">
        <v>38</v>
      </c>
      <c r="F957" s="2" t="s">
        <v>39</v>
      </c>
      <c r="H957" s="2" t="s">
        <v>40</v>
      </c>
      <c r="P957" s="2" t="s">
        <v>72</v>
      </c>
      <c r="Q957" s="2" t="s">
        <v>325</v>
      </c>
      <c r="R957" s="2" t="s">
        <v>79</v>
      </c>
      <c r="S957" s="2">
        <v>1</v>
      </c>
      <c r="T957" s="2">
        <v>206.18</v>
      </c>
      <c r="U957" s="2">
        <v>47.421400000000013</v>
      </c>
      <c r="V957" s="2">
        <v>253.60140000000001</v>
      </c>
      <c r="W957" s="2">
        <f>110.68*S957</f>
        <v>110.68</v>
      </c>
      <c r="X957" s="5">
        <f t="shared" si="132"/>
        <v>0.46318750606266368</v>
      </c>
      <c r="Z957" s="2" t="s">
        <v>3227</v>
      </c>
      <c r="AA957" s="2" t="s">
        <v>75</v>
      </c>
      <c r="AB957" s="2" t="s">
        <v>76</v>
      </c>
      <c r="AC957" s="2" t="s">
        <v>77</v>
      </c>
      <c r="AF957" s="2">
        <f t="shared" si="124"/>
        <v>0</v>
      </c>
      <c r="AG957" s="2">
        <v>110.68</v>
      </c>
      <c r="AH957" s="2">
        <v>210</v>
      </c>
      <c r="AJ957" s="2">
        <f t="shared" si="125"/>
        <v>0</v>
      </c>
      <c r="AK957" s="2">
        <f t="shared" si="127"/>
        <v>95.5</v>
      </c>
      <c r="AL957" s="5">
        <f t="shared" si="133"/>
        <v>0.46318750606266368</v>
      </c>
    </row>
    <row r="958" spans="1:38" x14ac:dyDescent="0.2">
      <c r="A958" s="2">
        <v>2025</v>
      </c>
      <c r="B958" s="2">
        <v>5</v>
      </c>
      <c r="D958" s="2" t="s">
        <v>37</v>
      </c>
      <c r="E958" s="2" t="s">
        <v>38</v>
      </c>
      <c r="F958" s="2" t="s">
        <v>39</v>
      </c>
      <c r="H958" s="2" t="s">
        <v>40</v>
      </c>
      <c r="P958" s="2" t="s">
        <v>84</v>
      </c>
      <c r="Q958" s="2" t="s">
        <v>270</v>
      </c>
      <c r="R958" s="2" t="s">
        <v>271</v>
      </c>
      <c r="S958" s="2">
        <v>1</v>
      </c>
      <c r="T958" s="2">
        <v>10.8</v>
      </c>
      <c r="U958" s="2">
        <v>2.484</v>
      </c>
      <c r="V958" s="2">
        <v>13.284000000000001</v>
      </c>
      <c r="W958" s="2">
        <v>6.86</v>
      </c>
      <c r="X958" s="5">
        <f t="shared" si="132"/>
        <v>0.36481481481481481</v>
      </c>
      <c r="Z958" s="2" t="s">
        <v>3227</v>
      </c>
      <c r="AA958" s="2" t="s">
        <v>87</v>
      </c>
      <c r="AB958" s="2" t="s">
        <v>90</v>
      </c>
      <c r="AC958" s="2" t="s">
        <v>84</v>
      </c>
      <c r="AF958" s="2">
        <f t="shared" si="124"/>
        <v>0</v>
      </c>
      <c r="AG958" s="2">
        <v>6.86</v>
      </c>
      <c r="AH958" s="2">
        <v>13.2</v>
      </c>
      <c r="AJ958" s="2">
        <f t="shared" si="125"/>
        <v>0</v>
      </c>
      <c r="AK958" s="2">
        <f t="shared" si="127"/>
        <v>3.9400000000000004</v>
      </c>
      <c r="AL958" s="5">
        <f t="shared" si="133"/>
        <v>0.36481481481481481</v>
      </c>
    </row>
    <row r="959" spans="1:38" x14ac:dyDescent="0.2">
      <c r="A959" s="2">
        <v>2025</v>
      </c>
      <c r="B959" s="2">
        <v>5</v>
      </c>
      <c r="D959" s="2" t="s">
        <v>37</v>
      </c>
      <c r="E959" s="2" t="s">
        <v>38</v>
      </c>
      <c r="F959" s="2" t="s">
        <v>39</v>
      </c>
      <c r="H959" s="2" t="s">
        <v>40</v>
      </c>
      <c r="P959" s="2" t="s">
        <v>93</v>
      </c>
      <c r="Q959" s="2" t="s">
        <v>94</v>
      </c>
      <c r="R959" s="2" t="s">
        <v>95</v>
      </c>
      <c r="S959" s="2">
        <v>2</v>
      </c>
      <c r="T959" s="2">
        <v>2.2799999999999998</v>
      </c>
      <c r="U959" s="2">
        <v>0.52439999999999998</v>
      </c>
      <c r="V959" s="2">
        <v>2.8043999999999998</v>
      </c>
      <c r="W959" s="2">
        <v>2.2799999999999998</v>
      </c>
      <c r="X959" s="5">
        <f t="shared" si="132"/>
        <v>0</v>
      </c>
      <c r="Z959" s="2" t="s">
        <v>3227</v>
      </c>
      <c r="AA959" s="2" t="s">
        <v>96</v>
      </c>
      <c r="AB959" s="2" t="s">
        <v>76</v>
      </c>
      <c r="AC959" s="2" t="s">
        <v>93</v>
      </c>
      <c r="AF959" s="2">
        <f t="shared" si="124"/>
        <v>0</v>
      </c>
      <c r="AG959" s="2">
        <v>1.1399999999999999</v>
      </c>
      <c r="AH959" s="2">
        <v>1.1399999999999999</v>
      </c>
      <c r="AJ959" s="2">
        <f t="shared" si="125"/>
        <v>0</v>
      </c>
      <c r="AK959" s="2">
        <f t="shared" si="127"/>
        <v>0</v>
      </c>
      <c r="AL959" s="5">
        <f t="shared" si="133"/>
        <v>0</v>
      </c>
    </row>
    <row r="960" spans="1:38" x14ac:dyDescent="0.2">
      <c r="A960" s="2">
        <v>2025</v>
      </c>
      <c r="B960" s="2">
        <v>5</v>
      </c>
      <c r="D960" s="2" t="s">
        <v>1323</v>
      </c>
      <c r="P960" s="2" t="s">
        <v>43</v>
      </c>
      <c r="Q960" s="2" t="s">
        <v>54</v>
      </c>
      <c r="R960" s="2" t="s">
        <v>55</v>
      </c>
      <c r="S960" s="2">
        <v>2</v>
      </c>
      <c r="T960" s="2">
        <v>36</v>
      </c>
      <c r="U960" s="2">
        <v>8.2800000000000011</v>
      </c>
      <c r="V960" s="2">
        <v>44.28</v>
      </c>
      <c r="W960" s="2">
        <f>10.6*S960</f>
        <v>21.2</v>
      </c>
      <c r="X960" s="5">
        <f t="shared" si="132"/>
        <v>0.41111111111111115</v>
      </c>
      <c r="Z960" s="2" t="s">
        <v>3227</v>
      </c>
      <c r="AA960" s="2" t="s">
        <v>46</v>
      </c>
      <c r="AB960" s="2" t="s">
        <v>56</v>
      </c>
      <c r="AC960" s="2" t="s">
        <v>57</v>
      </c>
      <c r="AF960" s="2">
        <f t="shared" si="124"/>
        <v>0</v>
      </c>
      <c r="AG960" s="2">
        <v>10.6</v>
      </c>
      <c r="AH960" s="2">
        <v>18</v>
      </c>
      <c r="AJ960" s="2">
        <f t="shared" si="125"/>
        <v>0</v>
      </c>
      <c r="AK960" s="2">
        <f t="shared" si="127"/>
        <v>14.8</v>
      </c>
      <c r="AL960" s="5">
        <f t="shared" si="133"/>
        <v>0.41111111111111115</v>
      </c>
    </row>
    <row r="961" spans="1:38" x14ac:dyDescent="0.2">
      <c r="A961" s="2">
        <v>2025</v>
      </c>
      <c r="B961" s="2">
        <v>5</v>
      </c>
      <c r="D961" s="2" t="s">
        <v>1323</v>
      </c>
      <c r="P961" s="2" t="s">
        <v>43</v>
      </c>
      <c r="Q961" s="2" t="s">
        <v>61</v>
      </c>
      <c r="R961" s="2" t="s">
        <v>62</v>
      </c>
      <c r="S961" s="2">
        <v>100</v>
      </c>
      <c r="T961" s="2">
        <v>13</v>
      </c>
      <c r="U961" s="2">
        <v>2.99</v>
      </c>
      <c r="V961" s="2">
        <v>15.99</v>
      </c>
      <c r="W961" s="2">
        <f>0.082*S961</f>
        <v>8.2000000000000011</v>
      </c>
      <c r="X961" s="5">
        <f t="shared" si="132"/>
        <v>0.36923076923076914</v>
      </c>
      <c r="Z961" s="2" t="s">
        <v>3227</v>
      </c>
      <c r="AA961" s="2" t="s">
        <v>46</v>
      </c>
      <c r="AB961" s="2" t="s">
        <v>60</v>
      </c>
      <c r="AC961" s="2" t="s">
        <v>57</v>
      </c>
      <c r="AF961" s="2">
        <f t="shared" si="124"/>
        <v>0</v>
      </c>
      <c r="AG961" s="2">
        <v>8.1999999999999993</v>
      </c>
      <c r="AH961" s="2">
        <v>13</v>
      </c>
      <c r="AJ961" s="2">
        <f t="shared" si="125"/>
        <v>0</v>
      </c>
      <c r="AK961" s="2">
        <f t="shared" si="127"/>
        <v>4.7999999999999989</v>
      </c>
      <c r="AL961" s="5">
        <f t="shared" si="133"/>
        <v>0.36923076923076914</v>
      </c>
    </row>
    <row r="962" spans="1:38" x14ac:dyDescent="0.2">
      <c r="A962" s="2">
        <v>2025</v>
      </c>
      <c r="B962" s="2">
        <v>5</v>
      </c>
      <c r="D962" s="2" t="s">
        <v>1324</v>
      </c>
      <c r="P962" s="2" t="s">
        <v>282</v>
      </c>
      <c r="Q962" s="2" t="s">
        <v>1325</v>
      </c>
      <c r="R962" s="2" t="s">
        <v>1326</v>
      </c>
      <c r="S962" s="2">
        <v>1</v>
      </c>
      <c r="T962" s="2">
        <v>0</v>
      </c>
      <c r="U962" s="2">
        <v>0</v>
      </c>
      <c r="V962" s="2">
        <v>0</v>
      </c>
      <c r="W962" s="2">
        <v>25.9</v>
      </c>
      <c r="Z962" s="2" t="s">
        <v>3227</v>
      </c>
      <c r="AA962" s="2" t="s">
        <v>578</v>
      </c>
      <c r="AB962" s="2" t="s">
        <v>119</v>
      </c>
      <c r="AC962" s="2" t="s">
        <v>1327</v>
      </c>
      <c r="AF962" s="2">
        <f t="shared" ref="AF962:AF1025" si="135">AJ962</f>
        <v>0</v>
      </c>
      <c r="AJ962" s="2">
        <f t="shared" ref="AJ962:AJ1025" si="136">AI962*T962</f>
        <v>0</v>
      </c>
      <c r="AK962" s="2">
        <f t="shared" si="127"/>
        <v>-25.9</v>
      </c>
    </row>
    <row r="963" spans="1:38" x14ac:dyDescent="0.2">
      <c r="A963" s="2">
        <v>2025</v>
      </c>
      <c r="B963" s="2">
        <v>5</v>
      </c>
      <c r="D963" s="2" t="s">
        <v>1324</v>
      </c>
      <c r="P963" s="2" t="s">
        <v>282</v>
      </c>
      <c r="Q963" s="2" t="s">
        <v>1328</v>
      </c>
      <c r="R963" s="2" t="s">
        <v>1329</v>
      </c>
      <c r="S963" s="2">
        <v>1</v>
      </c>
      <c r="T963" s="2">
        <v>2300</v>
      </c>
      <c r="U963" s="2">
        <v>529</v>
      </c>
      <c r="V963" s="2">
        <v>2829</v>
      </c>
      <c r="W963" s="2">
        <f>1658.3+45.26</f>
        <v>1703.56</v>
      </c>
      <c r="X963" s="5">
        <f t="shared" ref="X963:X983" si="137">(T963-W963)/T963</f>
        <v>0.25932173913043483</v>
      </c>
      <c r="Z963" s="2" t="s">
        <v>104</v>
      </c>
      <c r="AA963" s="2" t="s">
        <v>387</v>
      </c>
      <c r="AB963" s="2" t="s">
        <v>1330</v>
      </c>
      <c r="AC963" s="2" t="s">
        <v>1327</v>
      </c>
      <c r="AF963" s="2">
        <f t="shared" si="135"/>
        <v>0</v>
      </c>
      <c r="AG963" s="2">
        <v>1703.56</v>
      </c>
      <c r="AJ963" s="2">
        <f t="shared" si="136"/>
        <v>0</v>
      </c>
      <c r="AK963" s="2">
        <f t="shared" si="127"/>
        <v>596.44000000000005</v>
      </c>
      <c r="AL963" s="5">
        <f t="shared" ref="AL963:AL983" si="138">(T963-W963)/T963</f>
        <v>0.25932173913043483</v>
      </c>
    </row>
    <row r="964" spans="1:38" x14ac:dyDescent="0.2">
      <c r="A964" s="2">
        <v>2025</v>
      </c>
      <c r="B964" s="2">
        <v>5</v>
      </c>
      <c r="D964" s="2" t="s">
        <v>1331</v>
      </c>
      <c r="M964" s="2" t="s">
        <v>40</v>
      </c>
      <c r="P964" s="2" t="s">
        <v>114</v>
      </c>
      <c r="Q964" s="2" t="s">
        <v>373</v>
      </c>
      <c r="R964" s="2" t="s">
        <v>374</v>
      </c>
      <c r="S964" s="2">
        <v>1</v>
      </c>
      <c r="T964" s="2">
        <v>45.07</v>
      </c>
      <c r="U964" s="2">
        <v>10.366099999999999</v>
      </c>
      <c r="V964" s="2">
        <v>55.436100000000003</v>
      </c>
      <c r="W964" s="2">
        <f>23.042*S964</f>
        <v>23.042000000000002</v>
      </c>
      <c r="X964" s="5">
        <f t="shared" si="137"/>
        <v>0.48875083203905034</v>
      </c>
      <c r="Z964" s="2" t="s">
        <v>117</v>
      </c>
      <c r="AA964" s="2" t="s">
        <v>118</v>
      </c>
      <c r="AB964" s="2" t="s">
        <v>119</v>
      </c>
      <c r="AC964" s="2" t="s">
        <v>114</v>
      </c>
      <c r="AF964" s="2">
        <f t="shared" si="135"/>
        <v>0</v>
      </c>
      <c r="AG964" s="2">
        <v>22.2</v>
      </c>
      <c r="AJ964" s="2">
        <f t="shared" si="136"/>
        <v>0</v>
      </c>
      <c r="AK964" s="2">
        <f t="shared" si="127"/>
        <v>22.027999999999999</v>
      </c>
      <c r="AL964" s="5">
        <f t="shared" si="138"/>
        <v>0.48875083203905034</v>
      </c>
    </row>
    <row r="965" spans="1:38" x14ac:dyDescent="0.2">
      <c r="A965" s="2">
        <v>2025</v>
      </c>
      <c r="B965" s="2">
        <v>5</v>
      </c>
      <c r="D965" s="2" t="s">
        <v>1331</v>
      </c>
      <c r="P965" s="2" t="s">
        <v>114</v>
      </c>
      <c r="Q965" s="2" t="s">
        <v>1332</v>
      </c>
      <c r="R965" s="2" t="s">
        <v>1333</v>
      </c>
      <c r="S965" s="2">
        <v>1</v>
      </c>
      <c r="T965" s="2">
        <v>65.510000000000005</v>
      </c>
      <c r="U965" s="2">
        <v>15.067299999999999</v>
      </c>
      <c r="V965" s="2">
        <v>80.577300000000008</v>
      </c>
      <c r="W965" s="2">
        <v>33.728900000000003</v>
      </c>
      <c r="X965" s="5">
        <f t="shared" si="137"/>
        <v>0.48513356739429092</v>
      </c>
      <c r="Z965" s="2" t="s">
        <v>117</v>
      </c>
      <c r="AA965" s="2" t="s">
        <v>118</v>
      </c>
      <c r="AB965" s="2" t="s">
        <v>119</v>
      </c>
      <c r="AC965" s="2" t="s">
        <v>114</v>
      </c>
      <c r="AF965" s="2">
        <f t="shared" si="135"/>
        <v>0</v>
      </c>
      <c r="AG965" s="2">
        <v>33.728900000000003</v>
      </c>
      <c r="AJ965" s="2">
        <f t="shared" si="136"/>
        <v>0</v>
      </c>
      <c r="AK965" s="2">
        <f t="shared" si="127"/>
        <v>31.781100000000002</v>
      </c>
      <c r="AL965" s="5">
        <f t="shared" si="138"/>
        <v>0.48513356739429092</v>
      </c>
    </row>
    <row r="966" spans="1:38" x14ac:dyDescent="0.2">
      <c r="A966" s="2">
        <v>2025</v>
      </c>
      <c r="B966" s="2">
        <v>5</v>
      </c>
      <c r="D966" s="2" t="s">
        <v>689</v>
      </c>
      <c r="E966" s="2" t="s">
        <v>108</v>
      </c>
      <c r="F966" s="2" t="s">
        <v>39</v>
      </c>
      <c r="G966" s="2">
        <v>503589950</v>
      </c>
      <c r="H966" s="2" t="s">
        <v>41</v>
      </c>
      <c r="I966" s="2" t="s">
        <v>610</v>
      </c>
      <c r="J966" s="2" t="s">
        <v>690</v>
      </c>
      <c r="K966" s="2">
        <v>913036545</v>
      </c>
      <c r="L966" s="2" t="s">
        <v>177</v>
      </c>
      <c r="M966" s="2" t="s">
        <v>41</v>
      </c>
      <c r="O966" s="2" t="s">
        <v>1334</v>
      </c>
      <c r="P966" s="2" t="s">
        <v>43</v>
      </c>
      <c r="Q966" s="2" t="s">
        <v>1335</v>
      </c>
      <c r="R966" s="2" t="s">
        <v>1336</v>
      </c>
      <c r="S966" s="2">
        <v>12</v>
      </c>
      <c r="T966" s="2">
        <v>21.6</v>
      </c>
      <c r="U966" s="2">
        <v>4.9680000000000009</v>
      </c>
      <c r="V966" s="2">
        <v>26.568000000000001</v>
      </c>
      <c r="W966" s="2">
        <f>1*S966</f>
        <v>12</v>
      </c>
      <c r="X966" s="5">
        <f t="shared" si="137"/>
        <v>0.44444444444444448</v>
      </c>
      <c r="Z966" s="2" t="s">
        <v>3227</v>
      </c>
      <c r="AA966" s="2" t="s">
        <v>46</v>
      </c>
      <c r="AB966" s="2" t="s">
        <v>60</v>
      </c>
      <c r="AC966" s="2" t="s">
        <v>57</v>
      </c>
      <c r="AF966" s="2">
        <f t="shared" si="135"/>
        <v>0</v>
      </c>
      <c r="AJ966" s="2">
        <f t="shared" si="136"/>
        <v>0</v>
      </c>
      <c r="AK966" s="2">
        <f t="shared" si="127"/>
        <v>9.6000000000000014</v>
      </c>
      <c r="AL966" s="5">
        <f t="shared" si="138"/>
        <v>0.44444444444444448</v>
      </c>
    </row>
    <row r="967" spans="1:38" x14ac:dyDescent="0.2">
      <c r="A967" s="2">
        <v>2025</v>
      </c>
      <c r="B967" s="2">
        <v>5</v>
      </c>
      <c r="D967" s="2" t="s">
        <v>192</v>
      </c>
      <c r="E967" s="2" t="s">
        <v>108</v>
      </c>
      <c r="F967" s="2" t="s">
        <v>193</v>
      </c>
      <c r="G967" s="2">
        <v>502044411</v>
      </c>
      <c r="H967" s="2" t="s">
        <v>40</v>
      </c>
      <c r="I967" s="2" t="s">
        <v>156</v>
      </c>
      <c r="J967" s="2" t="s">
        <v>194</v>
      </c>
      <c r="L967" s="2" t="s">
        <v>99</v>
      </c>
      <c r="M967" s="2" t="s">
        <v>40</v>
      </c>
      <c r="O967" s="2" t="s">
        <v>1337</v>
      </c>
      <c r="P967" s="2" t="s">
        <v>114</v>
      </c>
      <c r="Q967" s="2" t="s">
        <v>1338</v>
      </c>
      <c r="R967" s="2" t="s">
        <v>1339</v>
      </c>
      <c r="S967" s="2">
        <v>1</v>
      </c>
      <c r="T967" s="2">
        <v>22.89</v>
      </c>
      <c r="U967" s="2">
        <v>5.2647000000000004</v>
      </c>
      <c r="V967" s="2">
        <v>28.154699999999998</v>
      </c>
      <c r="W967" s="2">
        <v>11.99</v>
      </c>
      <c r="X967" s="5">
        <f t="shared" si="137"/>
        <v>0.47619047619047622</v>
      </c>
      <c r="Z967" s="2" t="s">
        <v>117</v>
      </c>
      <c r="AA967" s="2" t="s">
        <v>118</v>
      </c>
      <c r="AB967" s="2" t="s">
        <v>119</v>
      </c>
      <c r="AC967" s="2" t="s">
        <v>114</v>
      </c>
      <c r="AF967" s="2">
        <f t="shared" si="135"/>
        <v>0</v>
      </c>
      <c r="AG967" s="2">
        <v>11.99</v>
      </c>
      <c r="AJ967" s="2">
        <f t="shared" si="136"/>
        <v>0</v>
      </c>
      <c r="AK967" s="2">
        <f t="shared" si="127"/>
        <v>10.9</v>
      </c>
      <c r="AL967" s="5">
        <f t="shared" si="138"/>
        <v>0.47619047619047622</v>
      </c>
    </row>
    <row r="968" spans="1:38" x14ac:dyDescent="0.2">
      <c r="A968" s="2">
        <v>2025</v>
      </c>
      <c r="B968" s="2">
        <v>5</v>
      </c>
      <c r="D968" s="2" t="s">
        <v>192</v>
      </c>
      <c r="E968" s="2" t="s">
        <v>108</v>
      </c>
      <c r="F968" s="2" t="s">
        <v>193</v>
      </c>
      <c r="G968" s="2">
        <v>502044411</v>
      </c>
      <c r="H968" s="2" t="s">
        <v>40</v>
      </c>
      <c r="I968" s="2" t="s">
        <v>156</v>
      </c>
      <c r="J968" s="2" t="s">
        <v>194</v>
      </c>
      <c r="L968" s="2" t="s">
        <v>99</v>
      </c>
      <c r="M968" s="2" t="s">
        <v>40</v>
      </c>
      <c r="O968" s="2" t="s">
        <v>1340</v>
      </c>
      <c r="P968" s="2" t="s">
        <v>114</v>
      </c>
      <c r="Q968" s="2" t="s">
        <v>1341</v>
      </c>
      <c r="R968" s="2" t="s">
        <v>1342</v>
      </c>
      <c r="S968" s="2">
        <v>1</v>
      </c>
      <c r="T968" s="2">
        <v>34.549999999999997</v>
      </c>
      <c r="U968" s="2">
        <v>7.9464999999999986</v>
      </c>
      <c r="V968" s="2">
        <v>42.496499999999997</v>
      </c>
      <c r="W968" s="7">
        <v>15.902100000000001</v>
      </c>
      <c r="X968" s="5">
        <f t="shared" si="137"/>
        <v>0.53973661360347314</v>
      </c>
      <c r="Z968" s="2" t="s">
        <v>117</v>
      </c>
      <c r="AA968" s="2" t="s">
        <v>118</v>
      </c>
      <c r="AB968" s="2" t="s">
        <v>119</v>
      </c>
      <c r="AC968" s="2" t="s">
        <v>114</v>
      </c>
      <c r="AF968" s="2">
        <f t="shared" si="135"/>
        <v>0</v>
      </c>
      <c r="AG968" s="2">
        <v>15.902100000000001</v>
      </c>
      <c r="AJ968" s="2">
        <f t="shared" si="136"/>
        <v>0</v>
      </c>
      <c r="AK968" s="2">
        <f t="shared" si="127"/>
        <v>18.647899999999996</v>
      </c>
      <c r="AL968" s="5">
        <f t="shared" si="138"/>
        <v>0.53973661360347314</v>
      </c>
    </row>
    <row r="969" spans="1:38" x14ac:dyDescent="0.2">
      <c r="A969" s="2">
        <v>2025</v>
      </c>
      <c r="B969" s="2">
        <v>5</v>
      </c>
      <c r="D969" s="2" t="s">
        <v>192</v>
      </c>
      <c r="E969" s="2" t="s">
        <v>108</v>
      </c>
      <c r="F969" s="2" t="s">
        <v>193</v>
      </c>
      <c r="G969" s="2">
        <v>502044411</v>
      </c>
      <c r="H969" s="2" t="s">
        <v>40</v>
      </c>
      <c r="I969" s="2" t="s">
        <v>156</v>
      </c>
      <c r="J969" s="2" t="s">
        <v>194</v>
      </c>
      <c r="L969" s="2" t="s">
        <v>99</v>
      </c>
      <c r="M969" s="2" t="s">
        <v>40</v>
      </c>
      <c r="O969" s="2" t="s">
        <v>1337</v>
      </c>
      <c r="P969" s="2" t="s">
        <v>114</v>
      </c>
      <c r="Q969" s="2" t="s">
        <v>1343</v>
      </c>
      <c r="R969" s="2" t="s">
        <v>442</v>
      </c>
      <c r="S969" s="2">
        <v>1</v>
      </c>
      <c r="T969" s="2">
        <v>42.8</v>
      </c>
      <c r="U969" s="2">
        <v>9.8439999999999994</v>
      </c>
      <c r="V969" s="2">
        <v>52.643999999999998</v>
      </c>
      <c r="W969" s="2">
        <v>20.49</v>
      </c>
      <c r="X969" s="5">
        <f t="shared" si="137"/>
        <v>0.52126168224299063</v>
      </c>
      <c r="Z969" s="2" t="s">
        <v>117</v>
      </c>
      <c r="AA969" s="2" t="s">
        <v>118</v>
      </c>
      <c r="AB969" s="2" t="s">
        <v>119</v>
      </c>
      <c r="AC969" s="2" t="s">
        <v>114</v>
      </c>
      <c r="AF969" s="2">
        <f t="shared" si="135"/>
        <v>0</v>
      </c>
      <c r="AG969" s="2">
        <v>20.49</v>
      </c>
      <c r="AJ969" s="2">
        <f t="shared" si="136"/>
        <v>0</v>
      </c>
      <c r="AK969" s="2">
        <f t="shared" ref="AK969:AK1032" si="139">T969-W969</f>
        <v>22.31</v>
      </c>
      <c r="AL969" s="5">
        <f t="shared" si="138"/>
        <v>0.52126168224299063</v>
      </c>
    </row>
    <row r="970" spans="1:38" x14ac:dyDescent="0.2">
      <c r="A970" s="2">
        <v>2025</v>
      </c>
      <c r="B970" s="2">
        <v>5</v>
      </c>
      <c r="D970" s="2" t="s">
        <v>1344</v>
      </c>
      <c r="P970" s="2" t="s">
        <v>72</v>
      </c>
      <c r="Q970" s="2" t="s">
        <v>1345</v>
      </c>
      <c r="R970" s="2" t="s">
        <v>79</v>
      </c>
      <c r="S970" s="2">
        <v>1</v>
      </c>
      <c r="T970" s="2">
        <v>210</v>
      </c>
      <c r="U970" s="2">
        <v>48.3</v>
      </c>
      <c r="V970" s="2">
        <v>258.3</v>
      </c>
      <c r="W970" s="2">
        <v>96.15</v>
      </c>
      <c r="X970" s="5">
        <f t="shared" si="137"/>
        <v>0.54214285714285715</v>
      </c>
      <c r="Z970" s="2" t="s">
        <v>3227</v>
      </c>
      <c r="AA970" s="2" t="s">
        <v>75</v>
      </c>
      <c r="AB970" s="2" t="s">
        <v>76</v>
      </c>
      <c r="AC970" s="2" t="s">
        <v>77</v>
      </c>
      <c r="AF970" s="2">
        <f t="shared" si="135"/>
        <v>0</v>
      </c>
      <c r="AJ970" s="2">
        <f t="shared" si="136"/>
        <v>0</v>
      </c>
      <c r="AK970" s="2">
        <f t="shared" si="139"/>
        <v>113.85</v>
      </c>
      <c r="AL970" s="5">
        <f t="shared" si="138"/>
        <v>0.54214285714285715</v>
      </c>
    </row>
    <row r="971" spans="1:38" x14ac:dyDescent="0.2">
      <c r="A971" s="2">
        <v>2025</v>
      </c>
      <c r="B971" s="2">
        <v>5</v>
      </c>
      <c r="D971" s="2" t="s">
        <v>1344</v>
      </c>
      <c r="P971" s="2" t="s">
        <v>93</v>
      </c>
      <c r="Q971" s="2" t="s">
        <v>94</v>
      </c>
      <c r="R971" s="2" t="s">
        <v>95</v>
      </c>
      <c r="S971" s="2">
        <v>1</v>
      </c>
      <c r="T971" s="2">
        <v>1.1399999999999999</v>
      </c>
      <c r="U971" s="2">
        <v>0.26219999999999999</v>
      </c>
      <c r="V971" s="2">
        <v>1.4021999999999999</v>
      </c>
      <c r="W971" s="2">
        <v>1.1399999999999999</v>
      </c>
      <c r="X971" s="5">
        <f t="shared" si="137"/>
        <v>0</v>
      </c>
      <c r="Z971" s="2" t="s">
        <v>3227</v>
      </c>
      <c r="AA971" s="2" t="s">
        <v>96</v>
      </c>
      <c r="AB971" s="2" t="s">
        <v>76</v>
      </c>
      <c r="AC971" s="2" t="s">
        <v>93</v>
      </c>
      <c r="AF971" s="2">
        <f t="shared" si="135"/>
        <v>0</v>
      </c>
      <c r="AJ971" s="2">
        <f t="shared" si="136"/>
        <v>0</v>
      </c>
      <c r="AK971" s="2">
        <f t="shared" si="139"/>
        <v>0</v>
      </c>
      <c r="AL971" s="5">
        <f t="shared" si="138"/>
        <v>0</v>
      </c>
    </row>
    <row r="972" spans="1:38" x14ac:dyDescent="0.2">
      <c r="A972" s="2">
        <v>2025</v>
      </c>
      <c r="B972" s="2">
        <v>5</v>
      </c>
      <c r="D972" s="2" t="s">
        <v>1168</v>
      </c>
      <c r="E972" s="2" t="s">
        <v>752</v>
      </c>
      <c r="F972" s="2" t="s">
        <v>1169</v>
      </c>
      <c r="G972" s="2">
        <v>505760088</v>
      </c>
      <c r="H972" s="2" t="s">
        <v>290</v>
      </c>
      <c r="I972" s="2" t="s">
        <v>1170</v>
      </c>
      <c r="J972" s="2" t="s">
        <v>1171</v>
      </c>
      <c r="L972" s="2" t="s">
        <v>339</v>
      </c>
      <c r="M972" s="2" t="s">
        <v>40</v>
      </c>
      <c r="O972" s="2" t="s">
        <v>1346</v>
      </c>
      <c r="P972" s="2" t="s">
        <v>114</v>
      </c>
      <c r="Q972" s="2" t="s">
        <v>539</v>
      </c>
      <c r="R972" s="2" t="s">
        <v>540</v>
      </c>
      <c r="S972" s="2">
        <v>2</v>
      </c>
      <c r="T972" s="2">
        <v>99.62</v>
      </c>
      <c r="U972" s="2">
        <v>22.912600000000001</v>
      </c>
      <c r="V972" s="2">
        <v>122.5326</v>
      </c>
      <c r="W972" s="2">
        <f>24.454*S972</f>
        <v>48.908000000000001</v>
      </c>
      <c r="X972" s="5">
        <f t="shared" si="137"/>
        <v>0.5090544067456334</v>
      </c>
      <c r="Z972" s="2" t="s">
        <v>117</v>
      </c>
      <c r="AA972" s="2" t="s">
        <v>118</v>
      </c>
      <c r="AB972" s="2" t="s">
        <v>119</v>
      </c>
      <c r="AC972" s="2" t="s">
        <v>114</v>
      </c>
      <c r="AF972" s="2">
        <f t="shared" si="135"/>
        <v>0</v>
      </c>
      <c r="AG972" s="2">
        <v>24.454000000000001</v>
      </c>
      <c r="AJ972" s="2">
        <f t="shared" si="136"/>
        <v>0</v>
      </c>
      <c r="AK972" s="2">
        <f t="shared" si="139"/>
        <v>50.712000000000003</v>
      </c>
      <c r="AL972" s="5">
        <f t="shared" si="138"/>
        <v>0.5090544067456334</v>
      </c>
    </row>
    <row r="973" spans="1:38" x14ac:dyDescent="0.2">
      <c r="A973" s="2">
        <v>2025</v>
      </c>
      <c r="B973" s="2">
        <v>5</v>
      </c>
      <c r="D973" s="2" t="s">
        <v>693</v>
      </c>
      <c r="E973" s="2" t="s">
        <v>38</v>
      </c>
      <c r="F973" s="2" t="s">
        <v>39</v>
      </c>
      <c r="G973" s="2">
        <v>508574358</v>
      </c>
      <c r="H973" s="2" t="s">
        <v>41</v>
      </c>
      <c r="I973" s="2" t="s">
        <v>694</v>
      </c>
      <c r="J973" s="2" t="s">
        <v>695</v>
      </c>
      <c r="K973" s="2">
        <v>917295518</v>
      </c>
      <c r="L973" s="2" t="s">
        <v>177</v>
      </c>
      <c r="M973" s="2" t="s">
        <v>41</v>
      </c>
      <c r="P973" s="2" t="s">
        <v>43</v>
      </c>
      <c r="Q973" s="2" t="s">
        <v>420</v>
      </c>
      <c r="R973" s="2" t="s">
        <v>421</v>
      </c>
      <c r="S973" s="2">
        <v>10</v>
      </c>
      <c r="T973" s="2">
        <v>66</v>
      </c>
      <c r="U973" s="2">
        <v>15.18</v>
      </c>
      <c r="V973" s="2">
        <v>81.180000000000007</v>
      </c>
      <c r="W973" s="2">
        <f>3.7556*S973</f>
        <v>37.555999999999997</v>
      </c>
      <c r="X973" s="5">
        <f t="shared" si="137"/>
        <v>0.430969696969697</v>
      </c>
      <c r="Z973" s="2" t="s">
        <v>3227</v>
      </c>
      <c r="AA973" s="2" t="s">
        <v>46</v>
      </c>
      <c r="AB973" s="2" t="s">
        <v>60</v>
      </c>
      <c r="AC973" s="2" t="s">
        <v>57</v>
      </c>
      <c r="AF973" s="2">
        <f t="shared" si="135"/>
        <v>0</v>
      </c>
      <c r="AG973" s="2">
        <v>3.7555999999999998</v>
      </c>
      <c r="AH973" s="2">
        <v>7.2</v>
      </c>
      <c r="AJ973" s="2">
        <f t="shared" si="136"/>
        <v>0</v>
      </c>
      <c r="AK973" s="2">
        <f t="shared" si="139"/>
        <v>28.444000000000003</v>
      </c>
      <c r="AL973" s="5">
        <f t="shared" si="138"/>
        <v>0.430969696969697</v>
      </c>
    </row>
    <row r="974" spans="1:38" x14ac:dyDescent="0.2">
      <c r="A974" s="2">
        <v>2025</v>
      </c>
      <c r="B974" s="2">
        <v>5</v>
      </c>
      <c r="D974" s="2" t="s">
        <v>1347</v>
      </c>
      <c r="P974" s="2" t="s">
        <v>1038</v>
      </c>
      <c r="Q974" s="2" t="s">
        <v>1348</v>
      </c>
      <c r="R974" s="2" t="s">
        <v>1349</v>
      </c>
      <c r="S974" s="2">
        <v>4</v>
      </c>
      <c r="T974" s="2">
        <v>612</v>
      </c>
      <c r="U974" s="2">
        <v>140.76</v>
      </c>
      <c r="V974" s="2">
        <v>752.76</v>
      </c>
      <c r="W974" s="2">
        <f>108.6*4</f>
        <v>434.4</v>
      </c>
      <c r="X974" s="5">
        <f t="shared" si="137"/>
        <v>0.29019607843137257</v>
      </c>
      <c r="Z974" s="2" t="s">
        <v>3227</v>
      </c>
      <c r="AA974" s="2" t="s">
        <v>1041</v>
      </c>
      <c r="AB974" s="2" t="s">
        <v>1318</v>
      </c>
      <c r="AC974" s="2" t="s">
        <v>1038</v>
      </c>
      <c r="AF974" s="2">
        <f t="shared" si="135"/>
        <v>0</v>
      </c>
      <c r="AJ974" s="2">
        <f t="shared" si="136"/>
        <v>0</v>
      </c>
      <c r="AK974" s="2">
        <f t="shared" si="139"/>
        <v>177.60000000000002</v>
      </c>
      <c r="AL974" s="5">
        <f t="shared" si="138"/>
        <v>0.29019607843137257</v>
      </c>
    </row>
    <row r="975" spans="1:38" x14ac:dyDescent="0.2">
      <c r="A975" s="2">
        <v>2025</v>
      </c>
      <c r="B975" s="2">
        <v>5</v>
      </c>
      <c r="D975" s="2" t="s">
        <v>332</v>
      </c>
      <c r="E975" s="2" t="s">
        <v>108</v>
      </c>
      <c r="F975" s="2" t="s">
        <v>39</v>
      </c>
      <c r="G975" s="2">
        <v>513493557</v>
      </c>
      <c r="H975" s="2" t="s">
        <v>41</v>
      </c>
      <c r="I975" s="2" t="s">
        <v>279</v>
      </c>
      <c r="J975" s="2" t="s">
        <v>333</v>
      </c>
      <c r="L975" s="2" t="s">
        <v>177</v>
      </c>
      <c r="M975" s="2" t="s">
        <v>41</v>
      </c>
      <c r="P975" s="2" t="s">
        <v>43</v>
      </c>
      <c r="Q975" s="2" t="s">
        <v>63</v>
      </c>
      <c r="R975" s="2" t="s">
        <v>64</v>
      </c>
      <c r="S975" s="2">
        <v>20</v>
      </c>
      <c r="T975" s="2">
        <v>36</v>
      </c>
      <c r="U975" s="2">
        <v>8.2800000000000011</v>
      </c>
      <c r="V975" s="2">
        <v>44.28</v>
      </c>
      <c r="W975" s="2">
        <f>0.8561*S975</f>
        <v>17.122</v>
      </c>
      <c r="X975" s="5">
        <f t="shared" si="137"/>
        <v>0.5243888888888889</v>
      </c>
      <c r="Z975" s="2" t="s">
        <v>3227</v>
      </c>
      <c r="AA975" s="2" t="s">
        <v>46</v>
      </c>
      <c r="AB975" s="2" t="s">
        <v>60</v>
      </c>
      <c r="AC975" s="2" t="s">
        <v>57</v>
      </c>
      <c r="AF975" s="2">
        <f t="shared" si="135"/>
        <v>0</v>
      </c>
      <c r="AG975" s="2">
        <v>0.85609999999999997</v>
      </c>
      <c r="AH975" s="2">
        <v>1.8</v>
      </c>
      <c r="AJ975" s="2">
        <f t="shared" si="136"/>
        <v>0</v>
      </c>
      <c r="AK975" s="2">
        <f t="shared" si="139"/>
        <v>18.878</v>
      </c>
      <c r="AL975" s="5">
        <f t="shared" si="138"/>
        <v>0.5243888888888889</v>
      </c>
    </row>
    <row r="976" spans="1:38" x14ac:dyDescent="0.2">
      <c r="A976" s="2">
        <v>2025</v>
      </c>
      <c r="B976" s="2">
        <v>5</v>
      </c>
      <c r="D976" s="2" t="s">
        <v>332</v>
      </c>
      <c r="E976" s="2" t="s">
        <v>108</v>
      </c>
      <c r="F976" s="2" t="s">
        <v>39</v>
      </c>
      <c r="G976" s="2">
        <v>513493557</v>
      </c>
      <c r="H976" s="2" t="s">
        <v>41</v>
      </c>
      <c r="I976" s="2" t="s">
        <v>279</v>
      </c>
      <c r="J976" s="2" t="s">
        <v>333</v>
      </c>
      <c r="L976" s="2" t="s">
        <v>177</v>
      </c>
      <c r="M976" s="2" t="s">
        <v>41</v>
      </c>
      <c r="P976" s="2" t="s">
        <v>43</v>
      </c>
      <c r="Q976" s="2" t="s">
        <v>65</v>
      </c>
      <c r="R976" s="2" t="s">
        <v>66</v>
      </c>
      <c r="S976" s="2">
        <v>3</v>
      </c>
      <c r="T976" s="2">
        <v>63</v>
      </c>
      <c r="U976" s="2">
        <v>14.49</v>
      </c>
      <c r="V976" s="2">
        <v>77.489999999999995</v>
      </c>
      <c r="W976" s="2">
        <f>15.0203*S976</f>
        <v>45.060900000000004</v>
      </c>
      <c r="X976" s="5">
        <f t="shared" si="137"/>
        <v>0.28474761904761897</v>
      </c>
      <c r="Z976" s="2" t="s">
        <v>3227</v>
      </c>
      <c r="AA976" s="2" t="s">
        <v>46</v>
      </c>
      <c r="AB976" s="2" t="s">
        <v>67</v>
      </c>
      <c r="AC976" s="2" t="s">
        <v>57</v>
      </c>
      <c r="AF976" s="2">
        <f t="shared" si="135"/>
        <v>0</v>
      </c>
      <c r="AG976" s="2">
        <v>15.020300000000001</v>
      </c>
      <c r="AH976" s="2">
        <v>27.6</v>
      </c>
      <c r="AJ976" s="2">
        <f t="shared" si="136"/>
        <v>0</v>
      </c>
      <c r="AK976" s="2">
        <f t="shared" si="139"/>
        <v>17.939099999999996</v>
      </c>
      <c r="AL976" s="5">
        <f t="shared" si="138"/>
        <v>0.28474761904761897</v>
      </c>
    </row>
    <row r="977" spans="1:38" x14ac:dyDescent="0.2">
      <c r="A977" s="2">
        <v>2025</v>
      </c>
      <c r="B977" s="2">
        <v>5</v>
      </c>
      <c r="D977" s="2" t="s">
        <v>731</v>
      </c>
      <c r="E977" s="2" t="s">
        <v>108</v>
      </c>
      <c r="G977" s="2">
        <v>502757396</v>
      </c>
      <c r="H977" s="2" t="s">
        <v>40</v>
      </c>
      <c r="I977" s="2" t="s">
        <v>99</v>
      </c>
      <c r="J977" s="2" t="s">
        <v>732</v>
      </c>
      <c r="L977" s="2" t="s">
        <v>99</v>
      </c>
      <c r="M977" s="2" t="s">
        <v>80</v>
      </c>
      <c r="P977" s="2" t="s">
        <v>72</v>
      </c>
      <c r="Q977" s="2" t="s">
        <v>73</v>
      </c>
      <c r="R977" s="2" t="s">
        <v>74</v>
      </c>
      <c r="S977" s="2">
        <v>1</v>
      </c>
      <c r="T977" s="2">
        <v>210</v>
      </c>
      <c r="U977" s="2">
        <v>48.3</v>
      </c>
      <c r="V977" s="2">
        <v>258.3</v>
      </c>
      <c r="W977" s="2">
        <v>117.453</v>
      </c>
      <c r="X977" s="5">
        <f t="shared" si="137"/>
        <v>0.44069999999999998</v>
      </c>
      <c r="Z977" s="2" t="s">
        <v>3227</v>
      </c>
      <c r="AA977" s="2" t="s">
        <v>75</v>
      </c>
      <c r="AB977" s="2" t="s">
        <v>76</v>
      </c>
      <c r="AC977" s="2" t="s">
        <v>77</v>
      </c>
      <c r="AF977" s="2">
        <f t="shared" si="135"/>
        <v>0</v>
      </c>
      <c r="AG977" s="2">
        <v>117.453</v>
      </c>
      <c r="AH977" s="2">
        <v>220</v>
      </c>
      <c r="AJ977" s="2">
        <f t="shared" si="136"/>
        <v>0</v>
      </c>
      <c r="AK977" s="2">
        <f t="shared" si="139"/>
        <v>92.546999999999997</v>
      </c>
      <c r="AL977" s="5">
        <f t="shared" si="138"/>
        <v>0.44069999999999998</v>
      </c>
    </row>
    <row r="978" spans="1:38" x14ac:dyDescent="0.2">
      <c r="A978" s="2">
        <v>2025</v>
      </c>
      <c r="B978" s="2">
        <v>5</v>
      </c>
      <c r="D978" s="2" t="s">
        <v>731</v>
      </c>
      <c r="E978" s="2" t="s">
        <v>108</v>
      </c>
      <c r="G978" s="2">
        <v>502757396</v>
      </c>
      <c r="H978" s="2" t="s">
        <v>40</v>
      </c>
      <c r="I978" s="2" t="s">
        <v>99</v>
      </c>
      <c r="J978" s="2" t="s">
        <v>732</v>
      </c>
      <c r="L978" s="2" t="s">
        <v>99</v>
      </c>
      <c r="M978" s="2" t="s">
        <v>80</v>
      </c>
      <c r="P978" s="2" t="s">
        <v>93</v>
      </c>
      <c r="Q978" s="2" t="s">
        <v>94</v>
      </c>
      <c r="R978" s="2" t="s">
        <v>95</v>
      </c>
      <c r="S978" s="2">
        <v>1</v>
      </c>
      <c r="T978" s="2">
        <v>1.1399999999999999</v>
      </c>
      <c r="U978" s="2">
        <v>0.26219999999999999</v>
      </c>
      <c r="V978" s="2">
        <v>1.4021999999999999</v>
      </c>
      <c r="W978" s="2">
        <v>1.1399999999999999</v>
      </c>
      <c r="X978" s="5">
        <f t="shared" si="137"/>
        <v>0</v>
      </c>
      <c r="Z978" s="2" t="s">
        <v>3227</v>
      </c>
      <c r="AA978" s="2" t="s">
        <v>96</v>
      </c>
      <c r="AB978" s="2" t="s">
        <v>76</v>
      </c>
      <c r="AC978" s="2" t="s">
        <v>93</v>
      </c>
      <c r="AF978" s="2">
        <f t="shared" si="135"/>
        <v>0</v>
      </c>
      <c r="AG978" s="2">
        <v>1.1399999999999999</v>
      </c>
      <c r="AH978" s="2">
        <v>1.1399999999999999</v>
      </c>
      <c r="AJ978" s="2">
        <f t="shared" si="136"/>
        <v>0</v>
      </c>
      <c r="AK978" s="2">
        <f t="shared" si="139"/>
        <v>0</v>
      </c>
      <c r="AL978" s="5">
        <f t="shared" si="138"/>
        <v>0</v>
      </c>
    </row>
    <row r="979" spans="1:38" x14ac:dyDescent="0.2">
      <c r="A979" s="2">
        <v>2025</v>
      </c>
      <c r="B979" s="2">
        <v>5</v>
      </c>
      <c r="C979" s="2" t="s">
        <v>3325</v>
      </c>
      <c r="D979" s="2" t="s">
        <v>1350</v>
      </c>
      <c r="E979" s="2" t="s">
        <v>38</v>
      </c>
      <c r="F979" s="2" t="s">
        <v>39</v>
      </c>
      <c r="L979" s="2" t="s">
        <v>99</v>
      </c>
      <c r="M979" s="2" t="s">
        <v>41</v>
      </c>
      <c r="P979" s="2" t="s">
        <v>282</v>
      </c>
      <c r="Q979" s="2" t="s">
        <v>496</v>
      </c>
      <c r="R979" s="2" t="s">
        <v>497</v>
      </c>
      <c r="S979" s="2">
        <v>1</v>
      </c>
      <c r="T979" s="2">
        <v>89</v>
      </c>
      <c r="U979" s="2">
        <v>20.47</v>
      </c>
      <c r="V979" s="2">
        <v>109.47</v>
      </c>
      <c r="W979" s="2">
        <f>62.3</f>
        <v>62.3</v>
      </c>
      <c r="X979" s="5">
        <f t="shared" si="137"/>
        <v>0.30000000000000004</v>
      </c>
      <c r="Z979" s="2" t="s">
        <v>3227</v>
      </c>
      <c r="AA979" s="2" t="s">
        <v>71</v>
      </c>
      <c r="AB979" s="2" t="s">
        <v>119</v>
      </c>
      <c r="AC979" s="2" t="s">
        <v>119</v>
      </c>
      <c r="AF979" s="2">
        <f t="shared" si="135"/>
        <v>0</v>
      </c>
      <c r="AJ979" s="2">
        <f t="shared" si="136"/>
        <v>0</v>
      </c>
      <c r="AK979" s="2">
        <f t="shared" si="139"/>
        <v>26.700000000000003</v>
      </c>
      <c r="AL979" s="5">
        <f t="shared" si="138"/>
        <v>0.30000000000000004</v>
      </c>
    </row>
    <row r="980" spans="1:38" x14ac:dyDescent="0.2">
      <c r="A980" s="2">
        <v>2025</v>
      </c>
      <c r="B980" s="2">
        <v>5</v>
      </c>
      <c r="C980" s="2" t="s">
        <v>3325</v>
      </c>
      <c r="D980" s="2" t="s">
        <v>1350</v>
      </c>
      <c r="E980" s="2" t="s">
        <v>38</v>
      </c>
      <c r="F980" s="2" t="s">
        <v>39</v>
      </c>
      <c r="L980" s="2" t="s">
        <v>99</v>
      </c>
      <c r="M980" s="2" t="s">
        <v>41</v>
      </c>
      <c r="P980" s="2" t="s">
        <v>282</v>
      </c>
      <c r="Q980" s="2" t="s">
        <v>1351</v>
      </c>
      <c r="R980" s="2" t="s">
        <v>1352</v>
      </c>
      <c r="S980" s="2">
        <v>1</v>
      </c>
      <c r="T980" s="2">
        <v>699</v>
      </c>
      <c r="U980" s="2">
        <v>160.77000000000001</v>
      </c>
      <c r="V980" s="2">
        <v>859.77</v>
      </c>
      <c r="W980" s="2">
        <v>489.3</v>
      </c>
      <c r="X980" s="5">
        <f t="shared" si="137"/>
        <v>0.3</v>
      </c>
      <c r="Z980" s="2" t="s">
        <v>3227</v>
      </c>
      <c r="AA980" s="2" t="s">
        <v>71</v>
      </c>
      <c r="AB980" s="2" t="s">
        <v>119</v>
      </c>
      <c r="AC980" s="2" t="s">
        <v>119</v>
      </c>
      <c r="AF980" s="2">
        <f t="shared" si="135"/>
        <v>0</v>
      </c>
      <c r="AG980" s="2">
        <v>489.3</v>
      </c>
      <c r="AJ980" s="2">
        <f t="shared" si="136"/>
        <v>0</v>
      </c>
      <c r="AK980" s="2">
        <f t="shared" si="139"/>
        <v>209.7</v>
      </c>
      <c r="AL980" s="5">
        <f t="shared" si="138"/>
        <v>0.3</v>
      </c>
    </row>
    <row r="981" spans="1:38" x14ac:dyDescent="0.2">
      <c r="A981" s="2">
        <v>2025</v>
      </c>
      <c r="B981" s="2">
        <v>5</v>
      </c>
      <c r="D981" s="2" t="s">
        <v>981</v>
      </c>
      <c r="E981" s="2" t="s">
        <v>108</v>
      </c>
      <c r="F981" s="2" t="s">
        <v>717</v>
      </c>
      <c r="G981" s="2">
        <v>500594309</v>
      </c>
      <c r="H981" s="2" t="s">
        <v>290</v>
      </c>
      <c r="I981" s="2" t="s">
        <v>982</v>
      </c>
      <c r="J981" s="2" t="s">
        <v>983</v>
      </c>
      <c r="L981" s="2" t="s">
        <v>293</v>
      </c>
      <c r="M981" s="2" t="s">
        <v>80</v>
      </c>
      <c r="O981" s="2" t="s">
        <v>1353</v>
      </c>
      <c r="P981" s="2" t="s">
        <v>72</v>
      </c>
      <c r="Q981" s="2" t="s">
        <v>306</v>
      </c>
      <c r="R981" s="2" t="s">
        <v>307</v>
      </c>
      <c r="S981" s="2">
        <v>1</v>
      </c>
      <c r="T981" s="2">
        <v>220</v>
      </c>
      <c r="U981" s="2">
        <v>50.6</v>
      </c>
      <c r="V981" s="2">
        <v>270.60000000000002</v>
      </c>
      <c r="W981" s="2">
        <v>119.33</v>
      </c>
      <c r="X981" s="5">
        <f t="shared" si="137"/>
        <v>0.4575909090909091</v>
      </c>
      <c r="Z981" s="2" t="s">
        <v>3227</v>
      </c>
      <c r="AA981" s="2" t="s">
        <v>75</v>
      </c>
      <c r="AB981" s="2" t="s">
        <v>76</v>
      </c>
      <c r="AC981" s="2" t="s">
        <v>77</v>
      </c>
      <c r="AF981" s="2">
        <f t="shared" si="135"/>
        <v>0</v>
      </c>
      <c r="AG981" s="2">
        <v>119.33</v>
      </c>
      <c r="AH981" s="2">
        <v>220</v>
      </c>
      <c r="AJ981" s="2">
        <f t="shared" si="136"/>
        <v>0</v>
      </c>
      <c r="AK981" s="2">
        <f t="shared" si="139"/>
        <v>100.67</v>
      </c>
      <c r="AL981" s="5">
        <f t="shared" si="138"/>
        <v>0.4575909090909091</v>
      </c>
    </row>
    <row r="982" spans="1:38" x14ac:dyDescent="0.2">
      <c r="A982" s="2">
        <v>2025</v>
      </c>
      <c r="B982" s="2">
        <v>5</v>
      </c>
      <c r="D982" s="2" t="s">
        <v>981</v>
      </c>
      <c r="E982" s="2" t="s">
        <v>108</v>
      </c>
      <c r="F982" s="2" t="s">
        <v>717</v>
      </c>
      <c r="G982" s="2">
        <v>500594309</v>
      </c>
      <c r="H982" s="2" t="s">
        <v>290</v>
      </c>
      <c r="I982" s="2" t="s">
        <v>982</v>
      </c>
      <c r="J982" s="2" t="s">
        <v>983</v>
      </c>
      <c r="L982" s="2" t="s">
        <v>293</v>
      </c>
      <c r="M982" s="2" t="s">
        <v>80</v>
      </c>
      <c r="O982" s="2" t="s">
        <v>1353</v>
      </c>
      <c r="P982" s="2" t="s">
        <v>93</v>
      </c>
      <c r="Q982" s="2" t="s">
        <v>94</v>
      </c>
      <c r="R982" s="2" t="s">
        <v>95</v>
      </c>
      <c r="S982" s="2">
        <v>1</v>
      </c>
      <c r="T982" s="2">
        <v>1.1399999999999999</v>
      </c>
      <c r="U982" s="2">
        <v>0.26219999999999999</v>
      </c>
      <c r="V982" s="2">
        <v>1.4021999999999999</v>
      </c>
      <c r="W982" s="2">
        <v>1.1399999999999999</v>
      </c>
      <c r="X982" s="5">
        <f t="shared" si="137"/>
        <v>0</v>
      </c>
      <c r="Z982" s="2" t="s">
        <v>3227</v>
      </c>
      <c r="AA982" s="2" t="s">
        <v>96</v>
      </c>
      <c r="AB982" s="2" t="s">
        <v>76</v>
      </c>
      <c r="AC982" s="2" t="s">
        <v>93</v>
      </c>
      <c r="AF982" s="2">
        <f t="shared" si="135"/>
        <v>0</v>
      </c>
      <c r="AG982" s="2">
        <v>1.1399999999999999</v>
      </c>
      <c r="AH982" s="2">
        <v>1.1399999999999999</v>
      </c>
      <c r="AJ982" s="2">
        <f t="shared" si="136"/>
        <v>0</v>
      </c>
      <c r="AK982" s="2">
        <f t="shared" si="139"/>
        <v>0</v>
      </c>
      <c r="AL982" s="5">
        <f t="shared" si="138"/>
        <v>0</v>
      </c>
    </row>
    <row r="983" spans="1:38" x14ac:dyDescent="0.2">
      <c r="A983" s="2">
        <v>2025</v>
      </c>
      <c r="B983" s="2">
        <v>5</v>
      </c>
      <c r="D983" s="2" t="s">
        <v>1354</v>
      </c>
      <c r="P983" s="2" t="s">
        <v>114</v>
      </c>
      <c r="Q983" s="2" t="s">
        <v>735</v>
      </c>
      <c r="R983" s="2" t="s">
        <v>736</v>
      </c>
      <c r="S983" s="2">
        <v>2</v>
      </c>
      <c r="T983" s="2">
        <v>40.53</v>
      </c>
      <c r="U983" s="2">
        <v>9.3219000000000012</v>
      </c>
      <c r="V983" s="2">
        <v>49.851900000000001</v>
      </c>
      <c r="X983" s="5">
        <f t="shared" si="137"/>
        <v>1</v>
      </c>
      <c r="Z983" s="2" t="s">
        <v>117</v>
      </c>
      <c r="AA983" s="2" t="s">
        <v>118</v>
      </c>
      <c r="AB983" s="2" t="s">
        <v>119</v>
      </c>
      <c r="AC983" s="2" t="s">
        <v>114</v>
      </c>
      <c r="AF983" s="2">
        <f t="shared" si="135"/>
        <v>0</v>
      </c>
      <c r="AJ983" s="2">
        <f t="shared" si="136"/>
        <v>0</v>
      </c>
      <c r="AK983" s="2">
        <f t="shared" si="139"/>
        <v>40.53</v>
      </c>
      <c r="AL983" s="5">
        <f t="shared" si="138"/>
        <v>1</v>
      </c>
    </row>
    <row r="984" spans="1:38" x14ac:dyDescent="0.2">
      <c r="A984" s="2">
        <v>2025</v>
      </c>
      <c r="B984" s="2">
        <v>5</v>
      </c>
      <c r="D984" s="2" t="s">
        <v>985</v>
      </c>
      <c r="Q984" s="2" t="s">
        <v>986</v>
      </c>
      <c r="R984" s="2" t="s">
        <v>987</v>
      </c>
      <c r="S984" s="2">
        <v>0</v>
      </c>
      <c r="T984" s="2">
        <v>0</v>
      </c>
      <c r="U984" s="2">
        <v>0</v>
      </c>
      <c r="V984" s="2">
        <v>0</v>
      </c>
      <c r="W984" s="2">
        <f>T984*75%</f>
        <v>0</v>
      </c>
      <c r="X984" s="5">
        <v>0</v>
      </c>
      <c r="Z984" s="2" t="s">
        <v>104</v>
      </c>
      <c r="AA984" s="2" t="s">
        <v>264</v>
      </c>
      <c r="AB984" s="2" t="s">
        <v>475</v>
      </c>
      <c r="AC984" s="2" t="s">
        <v>475</v>
      </c>
      <c r="AF984" s="2">
        <f t="shared" si="135"/>
        <v>0</v>
      </c>
      <c r="AJ984" s="2">
        <f t="shared" si="136"/>
        <v>0</v>
      </c>
      <c r="AK984" s="2">
        <f t="shared" si="139"/>
        <v>0</v>
      </c>
      <c r="AL984" s="5">
        <v>0</v>
      </c>
    </row>
    <row r="985" spans="1:38" x14ac:dyDescent="0.2">
      <c r="A985" s="2">
        <v>2025</v>
      </c>
      <c r="B985" s="2">
        <v>5</v>
      </c>
      <c r="D985" s="2" t="s">
        <v>1355</v>
      </c>
      <c r="E985" s="2" t="s">
        <v>752</v>
      </c>
      <c r="F985" s="2" t="s">
        <v>39</v>
      </c>
      <c r="G985" s="2">
        <v>518238334</v>
      </c>
      <c r="H985" s="2" t="s">
        <v>41</v>
      </c>
      <c r="I985" s="2" t="s">
        <v>762</v>
      </c>
      <c r="J985" s="2" t="s">
        <v>1356</v>
      </c>
      <c r="L985" s="2" t="s">
        <v>418</v>
      </c>
      <c r="P985" s="2" t="s">
        <v>282</v>
      </c>
      <c r="Q985" s="2" t="s">
        <v>1235</v>
      </c>
      <c r="R985" s="2" t="s">
        <v>1236</v>
      </c>
      <c r="S985" s="2">
        <v>1</v>
      </c>
      <c r="T985" s="2">
        <v>3950</v>
      </c>
      <c r="U985" s="2">
        <v>908.5</v>
      </c>
      <c r="V985" s="2">
        <v>4858.5</v>
      </c>
      <c r="W985" s="2">
        <f>3203.85+43</f>
        <v>3246.85</v>
      </c>
      <c r="X985" s="5">
        <f>(T985-W985)/T985</f>
        <v>0.17801265822784812</v>
      </c>
      <c r="Z985" s="2" t="s">
        <v>104</v>
      </c>
      <c r="AA985" s="2" t="s">
        <v>1574</v>
      </c>
      <c r="AB985" s="2" t="s">
        <v>388</v>
      </c>
      <c r="AC985" s="2" t="s">
        <v>1327</v>
      </c>
      <c r="AF985" s="2">
        <f t="shared" si="135"/>
        <v>0</v>
      </c>
      <c r="AJ985" s="2">
        <f t="shared" si="136"/>
        <v>0</v>
      </c>
      <c r="AK985" s="2">
        <f t="shared" si="139"/>
        <v>703.15000000000009</v>
      </c>
      <c r="AL985" s="5">
        <f>(T985-W985)/T985</f>
        <v>0.17801265822784812</v>
      </c>
    </row>
    <row r="986" spans="1:38" x14ac:dyDescent="0.2">
      <c r="A986" s="2">
        <v>2025</v>
      </c>
      <c r="B986" s="2">
        <v>5</v>
      </c>
      <c r="D986" s="2" t="s">
        <v>1355</v>
      </c>
      <c r="E986" s="2" t="s">
        <v>752</v>
      </c>
      <c r="F986" s="2" t="s">
        <v>39</v>
      </c>
      <c r="G986" s="2">
        <v>518238334</v>
      </c>
      <c r="H986" s="2" t="s">
        <v>41</v>
      </c>
      <c r="I986" s="2" t="s">
        <v>762</v>
      </c>
      <c r="J986" s="2" t="s">
        <v>1356</v>
      </c>
      <c r="L986" s="2" t="s">
        <v>418</v>
      </c>
      <c r="P986" s="2" t="s">
        <v>282</v>
      </c>
      <c r="Q986" s="2" t="s">
        <v>1154</v>
      </c>
      <c r="R986" s="2" t="s">
        <v>1155</v>
      </c>
      <c r="S986" s="2">
        <v>1</v>
      </c>
      <c r="T986" s="2">
        <v>3335</v>
      </c>
      <c r="U986" s="2">
        <v>767.05000000000007</v>
      </c>
      <c r="V986" s="2">
        <v>4102.05</v>
      </c>
      <c r="W986" s="2">
        <v>2190</v>
      </c>
      <c r="X986" s="5">
        <f>(T986-W986)/T986</f>
        <v>0.34332833583208394</v>
      </c>
      <c r="Z986" s="2" t="s">
        <v>104</v>
      </c>
      <c r="AA986" s="2" t="s">
        <v>1574</v>
      </c>
      <c r="AB986" s="2" t="s">
        <v>388</v>
      </c>
      <c r="AC986" s="2" t="s">
        <v>1327</v>
      </c>
      <c r="AF986" s="2">
        <f t="shared" si="135"/>
        <v>0</v>
      </c>
      <c r="AJ986" s="2">
        <f t="shared" si="136"/>
        <v>0</v>
      </c>
      <c r="AK986" s="2">
        <f t="shared" si="139"/>
        <v>1145</v>
      </c>
      <c r="AL986" s="5">
        <f>(T986-W986)/T986</f>
        <v>0.34332833583208394</v>
      </c>
    </row>
    <row r="987" spans="1:38" x14ac:dyDescent="0.2">
      <c r="A987" s="2">
        <v>2025</v>
      </c>
      <c r="B987" s="2">
        <v>5</v>
      </c>
      <c r="D987" s="2" t="s">
        <v>1355</v>
      </c>
      <c r="E987" s="2" t="s">
        <v>752</v>
      </c>
      <c r="F987" s="2" t="s">
        <v>39</v>
      </c>
      <c r="G987" s="2">
        <v>518238334</v>
      </c>
      <c r="H987" s="2" t="s">
        <v>41</v>
      </c>
      <c r="I987" s="2" t="s">
        <v>762</v>
      </c>
      <c r="J987" s="2" t="s">
        <v>1356</v>
      </c>
      <c r="L987" s="2" t="s">
        <v>418</v>
      </c>
      <c r="P987" s="2" t="s">
        <v>282</v>
      </c>
      <c r="Q987" s="2" t="s">
        <v>1156</v>
      </c>
      <c r="R987" s="2" t="s">
        <v>1157</v>
      </c>
      <c r="S987" s="2">
        <v>1</v>
      </c>
      <c r="T987" s="2">
        <v>0</v>
      </c>
      <c r="U987" s="2">
        <v>0</v>
      </c>
      <c r="V987" s="2">
        <v>0</v>
      </c>
      <c r="W987" s="2">
        <v>0</v>
      </c>
      <c r="X987" s="5">
        <v>0</v>
      </c>
      <c r="Z987" s="2" t="s">
        <v>104</v>
      </c>
      <c r="AA987" s="2" t="s">
        <v>1574</v>
      </c>
      <c r="AB987" s="2" t="s">
        <v>388</v>
      </c>
      <c r="AC987" s="2" t="s">
        <v>1327</v>
      </c>
      <c r="AF987" s="2">
        <f t="shared" si="135"/>
        <v>0</v>
      </c>
      <c r="AJ987" s="2">
        <f t="shared" si="136"/>
        <v>0</v>
      </c>
      <c r="AK987" s="2">
        <f t="shared" si="139"/>
        <v>0</v>
      </c>
      <c r="AL987" s="5">
        <v>0</v>
      </c>
    </row>
    <row r="988" spans="1:38" x14ac:dyDescent="0.2">
      <c r="A988" s="2">
        <v>2025</v>
      </c>
      <c r="B988" s="2">
        <v>5</v>
      </c>
      <c r="D988" s="2" t="s">
        <v>749</v>
      </c>
      <c r="E988" s="2" t="s">
        <v>108</v>
      </c>
      <c r="F988" s="2" t="s">
        <v>39</v>
      </c>
      <c r="G988" s="2">
        <v>510039537</v>
      </c>
      <c r="H988" s="2" t="s">
        <v>40</v>
      </c>
      <c r="I988" s="2" t="s">
        <v>571</v>
      </c>
      <c r="J988" s="2" t="s">
        <v>750</v>
      </c>
      <c r="K988" s="2">
        <v>969042927</v>
      </c>
      <c r="L988" s="2" t="s">
        <v>571</v>
      </c>
      <c r="P988" s="2" t="s">
        <v>114</v>
      </c>
      <c r="Q988" s="2" t="s">
        <v>1151</v>
      </c>
      <c r="R988" s="2" t="s">
        <v>1152</v>
      </c>
      <c r="S988" s="2">
        <v>1</v>
      </c>
      <c r="T988" s="2">
        <v>252.67</v>
      </c>
      <c r="U988" s="2">
        <v>58.114100000000001</v>
      </c>
      <c r="V988" s="2">
        <v>310.78410000000002</v>
      </c>
      <c r="W988" s="2">
        <v>110.8</v>
      </c>
      <c r="X988" s="5">
        <f t="shared" ref="X988:X1019" si="140">(T988-W988)/T988</f>
        <v>0.56148335773934388</v>
      </c>
      <c r="Z988" s="2" t="s">
        <v>117</v>
      </c>
      <c r="AA988" s="2" t="s">
        <v>118</v>
      </c>
      <c r="AB988" s="2" t="s">
        <v>119</v>
      </c>
      <c r="AC988" s="2" t="s">
        <v>114</v>
      </c>
      <c r="AF988" s="2">
        <f t="shared" si="135"/>
        <v>0</v>
      </c>
      <c r="AJ988" s="2">
        <f t="shared" si="136"/>
        <v>0</v>
      </c>
      <c r="AK988" s="2">
        <f t="shared" si="139"/>
        <v>141.87</v>
      </c>
      <c r="AL988" s="5">
        <f t="shared" ref="AL988:AL1019" si="141">(T988-W988)/T988</f>
        <v>0.56148335773934388</v>
      </c>
    </row>
    <row r="989" spans="1:38" x14ac:dyDescent="0.2">
      <c r="A989" s="2">
        <v>2025</v>
      </c>
      <c r="B989" s="2">
        <v>5</v>
      </c>
      <c r="D989" s="2" t="s">
        <v>365</v>
      </c>
      <c r="E989" s="2" t="s">
        <v>183</v>
      </c>
      <c r="F989" s="2" t="s">
        <v>366</v>
      </c>
      <c r="G989" s="2">
        <v>501423192</v>
      </c>
      <c r="H989" s="2" t="s">
        <v>40</v>
      </c>
      <c r="I989" s="2" t="s">
        <v>367</v>
      </c>
      <c r="J989" s="2" t="s">
        <v>368</v>
      </c>
      <c r="L989" s="2" t="s">
        <v>99</v>
      </c>
      <c r="M989" s="2" t="s">
        <v>80</v>
      </c>
      <c r="O989" s="2" t="s">
        <v>1357</v>
      </c>
      <c r="P989" s="2" t="s">
        <v>1358</v>
      </c>
      <c r="Q989" s="2" t="s">
        <v>1359</v>
      </c>
      <c r="R989" s="2" t="s">
        <v>1360</v>
      </c>
      <c r="S989" s="2">
        <v>5</v>
      </c>
      <c r="T989" s="2">
        <v>250</v>
      </c>
      <c r="U989" s="2">
        <v>57.5</v>
      </c>
      <c r="V989" s="2">
        <v>307.5</v>
      </c>
      <c r="W989" s="2">
        <f>22.95*S989</f>
        <v>114.75</v>
      </c>
      <c r="X989" s="5">
        <f t="shared" si="140"/>
        <v>0.54100000000000004</v>
      </c>
      <c r="Z989" s="2" t="s">
        <v>3227</v>
      </c>
      <c r="AA989" s="2" t="s">
        <v>75</v>
      </c>
      <c r="AB989" s="2" t="s">
        <v>76</v>
      </c>
      <c r="AC989" s="2" t="s">
        <v>1358</v>
      </c>
      <c r="AF989" s="2">
        <f t="shared" si="135"/>
        <v>0</v>
      </c>
      <c r="AJ989" s="2">
        <f t="shared" si="136"/>
        <v>0</v>
      </c>
      <c r="AK989" s="2">
        <f t="shared" si="139"/>
        <v>135.25</v>
      </c>
      <c r="AL989" s="5">
        <f t="shared" si="141"/>
        <v>0.54100000000000004</v>
      </c>
    </row>
    <row r="990" spans="1:38" x14ac:dyDescent="0.2">
      <c r="A990" s="2">
        <v>2025</v>
      </c>
      <c r="B990" s="2">
        <v>5</v>
      </c>
      <c r="D990" s="2" t="s">
        <v>375</v>
      </c>
      <c r="E990" s="2" t="s">
        <v>108</v>
      </c>
      <c r="F990" s="2" t="s">
        <v>376</v>
      </c>
      <c r="G990" s="2">
        <v>503552542</v>
      </c>
      <c r="H990" s="2" t="s">
        <v>290</v>
      </c>
      <c r="I990" s="2" t="s">
        <v>377</v>
      </c>
      <c r="J990" s="2" t="s">
        <v>378</v>
      </c>
      <c r="L990" s="2" t="s">
        <v>339</v>
      </c>
      <c r="M990" s="2" t="s">
        <v>40</v>
      </c>
      <c r="O990" s="2" t="s">
        <v>1361</v>
      </c>
      <c r="P990" s="2" t="s">
        <v>114</v>
      </c>
      <c r="Q990" s="2" t="s">
        <v>179</v>
      </c>
      <c r="R990" s="2" t="s">
        <v>180</v>
      </c>
      <c r="S990" s="2">
        <v>1</v>
      </c>
      <c r="T990" s="2">
        <v>699.3</v>
      </c>
      <c r="U990" s="2">
        <v>160.839</v>
      </c>
      <c r="V990" s="2">
        <v>860.1389999999999</v>
      </c>
      <c r="W990" s="2">
        <v>346.57</v>
      </c>
      <c r="X990" s="5">
        <f t="shared" si="140"/>
        <v>0.50440440440440437</v>
      </c>
      <c r="Z990" s="2" t="s">
        <v>117</v>
      </c>
      <c r="AA990" s="2" t="s">
        <v>181</v>
      </c>
      <c r="AB990" s="2" t="s">
        <v>119</v>
      </c>
      <c r="AC990" s="2" t="s">
        <v>114</v>
      </c>
      <c r="AF990" s="2">
        <f t="shared" si="135"/>
        <v>0</v>
      </c>
      <c r="AJ990" s="2">
        <f t="shared" si="136"/>
        <v>0</v>
      </c>
      <c r="AK990" s="2">
        <f t="shared" si="139"/>
        <v>352.72999999999996</v>
      </c>
      <c r="AL990" s="5">
        <f t="shared" si="141"/>
        <v>0.50440440440440437</v>
      </c>
    </row>
    <row r="991" spans="1:38" x14ac:dyDescent="0.2">
      <c r="A991" s="2">
        <v>2025</v>
      </c>
      <c r="B991" s="2">
        <v>5</v>
      </c>
      <c r="D991" s="2" t="s">
        <v>375</v>
      </c>
      <c r="E991" s="2" t="s">
        <v>108</v>
      </c>
      <c r="F991" s="2" t="s">
        <v>376</v>
      </c>
      <c r="G991" s="2">
        <v>503552542</v>
      </c>
      <c r="H991" s="2" t="s">
        <v>290</v>
      </c>
      <c r="I991" s="2" t="s">
        <v>377</v>
      </c>
      <c r="J991" s="2" t="s">
        <v>378</v>
      </c>
      <c r="L991" s="2" t="s">
        <v>339</v>
      </c>
      <c r="M991" s="2" t="s">
        <v>40</v>
      </c>
      <c r="O991" s="2" t="s">
        <v>1361</v>
      </c>
      <c r="P991" s="2" t="s">
        <v>187</v>
      </c>
      <c r="Q991" s="2" t="s">
        <v>188</v>
      </c>
      <c r="R991" s="2" t="s">
        <v>189</v>
      </c>
      <c r="S991" s="2">
        <v>1</v>
      </c>
      <c r="T991" s="2">
        <v>50</v>
      </c>
      <c r="U991" s="2">
        <v>11.5</v>
      </c>
      <c r="V991" s="2">
        <v>61.5</v>
      </c>
      <c r="W991" s="2">
        <f>T991*40%</f>
        <v>20</v>
      </c>
      <c r="X991" s="5">
        <f t="shared" si="140"/>
        <v>0.6</v>
      </c>
      <c r="Z991" s="2" t="s">
        <v>117</v>
      </c>
      <c r="AA991" s="2" t="s">
        <v>190</v>
      </c>
      <c r="AB991" s="2" t="s">
        <v>189</v>
      </c>
      <c r="AC991" s="2" t="s">
        <v>40</v>
      </c>
      <c r="AF991" s="2">
        <f t="shared" si="135"/>
        <v>0</v>
      </c>
      <c r="AJ991" s="2">
        <f t="shared" si="136"/>
        <v>0</v>
      </c>
      <c r="AK991" s="2">
        <f t="shared" si="139"/>
        <v>30</v>
      </c>
      <c r="AL991" s="5">
        <f t="shared" si="141"/>
        <v>0.6</v>
      </c>
    </row>
    <row r="992" spans="1:38" x14ac:dyDescent="0.2">
      <c r="A992" s="2">
        <v>2025</v>
      </c>
      <c r="B992" s="2">
        <v>5</v>
      </c>
      <c r="D992" s="2" t="s">
        <v>375</v>
      </c>
      <c r="E992" s="2" t="s">
        <v>108</v>
      </c>
      <c r="F992" s="2" t="s">
        <v>376</v>
      </c>
      <c r="G992" s="2">
        <v>503552542</v>
      </c>
      <c r="H992" s="2" t="s">
        <v>290</v>
      </c>
      <c r="I992" s="2" t="s">
        <v>377</v>
      </c>
      <c r="J992" s="2" t="s">
        <v>378</v>
      </c>
      <c r="L992" s="2" t="s">
        <v>339</v>
      </c>
      <c r="M992" s="2" t="s">
        <v>40</v>
      </c>
      <c r="O992" s="2" t="s">
        <v>1361</v>
      </c>
      <c r="P992" s="2" t="s">
        <v>187</v>
      </c>
      <c r="Q992" s="2" t="s">
        <v>191</v>
      </c>
      <c r="R992" s="2" t="s">
        <v>190</v>
      </c>
      <c r="S992" s="2">
        <v>1</v>
      </c>
      <c r="T992" s="2">
        <v>50</v>
      </c>
      <c r="U992" s="2">
        <v>11.5</v>
      </c>
      <c r="V992" s="2">
        <v>61.5</v>
      </c>
      <c r="W992" s="2">
        <f>T992*50%</f>
        <v>25</v>
      </c>
      <c r="X992" s="5">
        <f t="shared" si="140"/>
        <v>0.5</v>
      </c>
      <c r="Z992" s="2" t="s">
        <v>117</v>
      </c>
      <c r="AA992" s="2" t="s">
        <v>190</v>
      </c>
      <c r="AB992" s="2" t="s">
        <v>190</v>
      </c>
      <c r="AC992" s="2" t="s">
        <v>40</v>
      </c>
      <c r="AF992" s="2">
        <f t="shared" si="135"/>
        <v>0</v>
      </c>
      <c r="AJ992" s="2">
        <f t="shared" si="136"/>
        <v>0</v>
      </c>
      <c r="AK992" s="2">
        <f t="shared" si="139"/>
        <v>25</v>
      </c>
      <c r="AL992" s="5">
        <f t="shared" si="141"/>
        <v>0.5</v>
      </c>
    </row>
    <row r="993" spans="1:38" x14ac:dyDescent="0.2">
      <c r="A993" s="2">
        <v>2025</v>
      </c>
      <c r="B993" s="2">
        <v>5</v>
      </c>
      <c r="D993" s="2" t="s">
        <v>1006</v>
      </c>
      <c r="E993" s="2" t="s">
        <v>108</v>
      </c>
      <c r="F993" s="2" t="s">
        <v>39</v>
      </c>
      <c r="L993" s="2" t="s">
        <v>177</v>
      </c>
      <c r="M993" s="2" t="s">
        <v>41</v>
      </c>
      <c r="P993" s="2" t="s">
        <v>282</v>
      </c>
      <c r="Q993" s="2" t="s">
        <v>401</v>
      </c>
      <c r="R993" s="2" t="s">
        <v>402</v>
      </c>
      <c r="S993" s="2">
        <v>5</v>
      </c>
      <c r="T993" s="2">
        <v>145</v>
      </c>
      <c r="U993" s="2">
        <v>33.35</v>
      </c>
      <c r="V993" s="2">
        <v>178.35</v>
      </c>
      <c r="W993" s="2">
        <f>17.4*S993</f>
        <v>87</v>
      </c>
      <c r="X993" s="5">
        <f t="shared" si="140"/>
        <v>0.4</v>
      </c>
      <c r="Z993" s="2" t="s">
        <v>3227</v>
      </c>
      <c r="AA993" s="2" t="s">
        <v>46</v>
      </c>
      <c r="AB993" s="2" t="s">
        <v>60</v>
      </c>
      <c r="AC993" s="2" t="s">
        <v>3332</v>
      </c>
      <c r="AF993" s="2">
        <f t="shared" si="135"/>
        <v>0</v>
      </c>
      <c r="AJ993" s="2">
        <f t="shared" si="136"/>
        <v>0</v>
      </c>
      <c r="AK993" s="2">
        <f t="shared" si="139"/>
        <v>58</v>
      </c>
      <c r="AL993" s="5">
        <f t="shared" si="141"/>
        <v>0.4</v>
      </c>
    </row>
    <row r="994" spans="1:38" x14ac:dyDescent="0.2">
      <c r="A994" s="2">
        <v>2025</v>
      </c>
      <c r="B994" s="2">
        <v>5</v>
      </c>
      <c r="D994" s="2" t="s">
        <v>1362</v>
      </c>
      <c r="P994" s="2" t="s">
        <v>43</v>
      </c>
      <c r="Q994" s="2" t="s">
        <v>1363</v>
      </c>
      <c r="R994" s="2" t="s">
        <v>1364</v>
      </c>
      <c r="S994" s="2">
        <v>2</v>
      </c>
      <c r="T994" s="2">
        <v>46</v>
      </c>
      <c r="U994" s="2">
        <v>10.58</v>
      </c>
      <c r="V994" s="2">
        <v>56.58</v>
      </c>
      <c r="W994" s="2">
        <f>9.75*S994</f>
        <v>19.5</v>
      </c>
      <c r="X994" s="5">
        <f t="shared" si="140"/>
        <v>0.57608695652173914</v>
      </c>
      <c r="Z994" s="2" t="s">
        <v>3227</v>
      </c>
      <c r="AA994" s="2" t="s">
        <v>46</v>
      </c>
      <c r="AB994" s="2" t="s">
        <v>47</v>
      </c>
      <c r="AC994" s="2" t="s">
        <v>57</v>
      </c>
      <c r="AF994" s="2">
        <f t="shared" si="135"/>
        <v>0</v>
      </c>
      <c r="AJ994" s="2">
        <f t="shared" si="136"/>
        <v>0</v>
      </c>
      <c r="AK994" s="2">
        <f t="shared" si="139"/>
        <v>26.5</v>
      </c>
      <c r="AL994" s="5">
        <f t="shared" si="141"/>
        <v>0.57608695652173914</v>
      </c>
    </row>
    <row r="995" spans="1:38" x14ac:dyDescent="0.2">
      <c r="A995" s="2">
        <v>2025</v>
      </c>
      <c r="B995" s="2">
        <v>5</v>
      </c>
      <c r="D995" s="2" t="s">
        <v>1362</v>
      </c>
      <c r="P995" s="2" t="s">
        <v>43</v>
      </c>
      <c r="Q995" s="2" t="s">
        <v>160</v>
      </c>
      <c r="R995" s="2" t="s">
        <v>161</v>
      </c>
      <c r="S995" s="2">
        <v>1</v>
      </c>
      <c r="T995" s="2">
        <v>7</v>
      </c>
      <c r="U995" s="2">
        <v>1.61</v>
      </c>
      <c r="V995" s="2">
        <v>8.61</v>
      </c>
      <c r="W995" s="2">
        <f>3.7358*S995</f>
        <v>3.7357999999999998</v>
      </c>
      <c r="X995" s="5">
        <f t="shared" si="140"/>
        <v>0.46631428571428574</v>
      </c>
      <c r="Z995" s="2" t="s">
        <v>3227</v>
      </c>
      <c r="AA995" s="2" t="s">
        <v>46</v>
      </c>
      <c r="AB995" s="2" t="s">
        <v>47</v>
      </c>
      <c r="AC995" s="2" t="s">
        <v>57</v>
      </c>
      <c r="AF995" s="2">
        <f t="shared" si="135"/>
        <v>0</v>
      </c>
      <c r="AG995" s="2">
        <v>3.7357999999999998</v>
      </c>
      <c r="AH995" s="2">
        <v>9</v>
      </c>
      <c r="AJ995" s="2">
        <f t="shared" si="136"/>
        <v>0</v>
      </c>
      <c r="AK995" s="2">
        <f t="shared" si="139"/>
        <v>3.2642000000000002</v>
      </c>
      <c r="AL995" s="5">
        <f t="shared" si="141"/>
        <v>0.46631428571428574</v>
      </c>
    </row>
    <row r="996" spans="1:38" x14ac:dyDescent="0.2">
      <c r="A996" s="2">
        <v>2025</v>
      </c>
      <c r="B996" s="2">
        <v>5</v>
      </c>
      <c r="D996" s="2" t="s">
        <v>1362</v>
      </c>
      <c r="P996" s="2" t="s">
        <v>43</v>
      </c>
      <c r="Q996" s="2" t="s">
        <v>61</v>
      </c>
      <c r="R996" s="2" t="s">
        <v>62</v>
      </c>
      <c r="S996" s="2">
        <v>1000</v>
      </c>
      <c r="T996" s="2">
        <v>110</v>
      </c>
      <c r="U996" s="2">
        <v>25.3</v>
      </c>
      <c r="V996" s="2">
        <v>135.30000000000001</v>
      </c>
      <c r="W996" s="2">
        <f>0.082*S996</f>
        <v>82</v>
      </c>
      <c r="X996" s="5">
        <f t="shared" si="140"/>
        <v>0.25454545454545452</v>
      </c>
      <c r="Z996" s="2" t="s">
        <v>3227</v>
      </c>
      <c r="AA996" s="2" t="s">
        <v>46</v>
      </c>
      <c r="AB996" s="2" t="s">
        <v>60</v>
      </c>
      <c r="AC996" s="2" t="s">
        <v>57</v>
      </c>
      <c r="AF996" s="2">
        <f t="shared" si="135"/>
        <v>0</v>
      </c>
      <c r="AG996" s="2">
        <v>8.1999999999999993</v>
      </c>
      <c r="AH996" s="2">
        <v>13</v>
      </c>
      <c r="AJ996" s="2">
        <f t="shared" si="136"/>
        <v>0</v>
      </c>
      <c r="AK996" s="2">
        <f t="shared" si="139"/>
        <v>28</v>
      </c>
      <c r="AL996" s="5">
        <f t="shared" si="141"/>
        <v>0.25454545454545452</v>
      </c>
    </row>
    <row r="997" spans="1:38" x14ac:dyDescent="0.2">
      <c r="A997" s="2">
        <v>2025</v>
      </c>
      <c r="B997" s="2">
        <v>5</v>
      </c>
      <c r="D997" s="2" t="s">
        <v>382</v>
      </c>
      <c r="E997" s="2" t="s">
        <v>38</v>
      </c>
      <c r="F997" s="2" t="s">
        <v>39</v>
      </c>
      <c r="G997" s="2">
        <v>212196260</v>
      </c>
      <c r="H997" s="2" t="s">
        <v>109</v>
      </c>
      <c r="I997" s="2" t="s">
        <v>383</v>
      </c>
      <c r="J997" s="2" t="s">
        <v>384</v>
      </c>
      <c r="K997" s="2">
        <v>926769894</v>
      </c>
      <c r="L997" s="2" t="s">
        <v>112</v>
      </c>
      <c r="M997" s="2" t="s">
        <v>40</v>
      </c>
      <c r="O997" s="2" t="s">
        <v>1365</v>
      </c>
      <c r="P997" s="2" t="s">
        <v>84</v>
      </c>
      <c r="Q997" s="2" t="s">
        <v>1366</v>
      </c>
      <c r="R997" s="2" t="s">
        <v>1367</v>
      </c>
      <c r="S997" s="2">
        <v>1</v>
      </c>
      <c r="T997" s="2">
        <v>66</v>
      </c>
      <c r="U997" s="2">
        <v>15.18</v>
      </c>
      <c r="V997" s="2">
        <v>81.180000000000007</v>
      </c>
      <c r="W997" s="2">
        <v>46.2</v>
      </c>
      <c r="X997" s="5">
        <f t="shared" si="140"/>
        <v>0.29999999999999993</v>
      </c>
      <c r="Z997" s="2" t="s">
        <v>3227</v>
      </c>
      <c r="AA997" s="2" t="s">
        <v>71</v>
      </c>
      <c r="AB997" s="2" t="s">
        <v>84</v>
      </c>
      <c r="AC997" s="2" t="s">
        <v>84</v>
      </c>
      <c r="AF997" s="2">
        <f t="shared" si="135"/>
        <v>0</v>
      </c>
      <c r="AG997" s="2">
        <v>46.2</v>
      </c>
      <c r="AJ997" s="2">
        <f t="shared" si="136"/>
        <v>0</v>
      </c>
      <c r="AK997" s="2">
        <f t="shared" si="139"/>
        <v>19.799999999999997</v>
      </c>
      <c r="AL997" s="5">
        <f t="shared" si="141"/>
        <v>0.29999999999999993</v>
      </c>
    </row>
    <row r="998" spans="1:38" x14ac:dyDescent="0.2">
      <c r="A998" s="2">
        <v>2025</v>
      </c>
      <c r="B998" s="2">
        <v>5</v>
      </c>
      <c r="D998" s="2" t="s">
        <v>382</v>
      </c>
      <c r="E998" s="2" t="s">
        <v>38</v>
      </c>
      <c r="F998" s="2" t="s">
        <v>39</v>
      </c>
      <c r="G998" s="2">
        <v>212196260</v>
      </c>
      <c r="H998" s="2" t="s">
        <v>109</v>
      </c>
      <c r="I998" s="2" t="s">
        <v>383</v>
      </c>
      <c r="J998" s="2" t="s">
        <v>384</v>
      </c>
      <c r="K998" s="2">
        <v>926769894</v>
      </c>
      <c r="L998" s="2" t="s">
        <v>112</v>
      </c>
      <c r="M998" s="2" t="s">
        <v>40</v>
      </c>
      <c r="O998" s="2" t="s">
        <v>1365</v>
      </c>
      <c r="P998" s="2" t="s">
        <v>169</v>
      </c>
      <c r="Q998" s="2" t="s">
        <v>170</v>
      </c>
      <c r="R998" s="2" t="s">
        <v>170</v>
      </c>
      <c r="S998" s="2">
        <v>1</v>
      </c>
      <c r="T998" s="2">
        <v>5</v>
      </c>
      <c r="U998" s="2">
        <v>1.1499999999999999</v>
      </c>
      <c r="V998" s="2">
        <v>6.15</v>
      </c>
      <c r="W998" s="2">
        <v>6</v>
      </c>
      <c r="X998" s="5">
        <f t="shared" si="140"/>
        <v>-0.2</v>
      </c>
      <c r="Z998" s="2" t="s">
        <v>169</v>
      </c>
      <c r="AA998" s="2" t="s">
        <v>169</v>
      </c>
      <c r="AF998" s="2">
        <f t="shared" si="135"/>
        <v>0</v>
      </c>
      <c r="AJ998" s="2">
        <f t="shared" si="136"/>
        <v>0</v>
      </c>
      <c r="AK998" s="2">
        <f t="shared" si="139"/>
        <v>-1</v>
      </c>
      <c r="AL998" s="5">
        <f t="shared" si="141"/>
        <v>-0.2</v>
      </c>
    </row>
    <row r="999" spans="1:38" x14ac:dyDescent="0.2">
      <c r="A999" s="2">
        <v>2025</v>
      </c>
      <c r="B999" s="2">
        <v>5</v>
      </c>
      <c r="D999" s="2" t="s">
        <v>775</v>
      </c>
      <c r="E999" s="2" t="s">
        <v>38</v>
      </c>
      <c r="F999" s="2" t="s">
        <v>39</v>
      </c>
      <c r="G999" s="2">
        <v>507324560</v>
      </c>
      <c r="H999" s="2" t="s">
        <v>40</v>
      </c>
      <c r="I999" s="2" t="s">
        <v>776</v>
      </c>
      <c r="J999" s="2" t="s">
        <v>777</v>
      </c>
      <c r="L999" s="2" t="s">
        <v>339</v>
      </c>
      <c r="M999" s="2" t="s">
        <v>40</v>
      </c>
      <c r="O999" s="2" t="s">
        <v>1368</v>
      </c>
      <c r="P999" s="2" t="s">
        <v>114</v>
      </c>
      <c r="Q999" s="2" t="s">
        <v>1151</v>
      </c>
      <c r="R999" s="2" t="s">
        <v>1152</v>
      </c>
      <c r="S999" s="2">
        <v>1</v>
      </c>
      <c r="T999" s="2">
        <v>252.67</v>
      </c>
      <c r="U999" s="2">
        <v>58.114100000000001</v>
      </c>
      <c r="V999" s="2">
        <v>310.78410000000002</v>
      </c>
      <c r="W999" s="2">
        <v>110.8</v>
      </c>
      <c r="X999" s="5">
        <f t="shared" si="140"/>
        <v>0.56148335773934388</v>
      </c>
      <c r="Z999" s="2" t="s">
        <v>117</v>
      </c>
      <c r="AA999" s="2" t="s">
        <v>118</v>
      </c>
      <c r="AB999" s="2" t="s">
        <v>119</v>
      </c>
      <c r="AC999" s="2" t="s">
        <v>114</v>
      </c>
      <c r="AF999" s="2">
        <f t="shared" si="135"/>
        <v>0</v>
      </c>
      <c r="AJ999" s="2">
        <f t="shared" si="136"/>
        <v>0</v>
      </c>
      <c r="AK999" s="2">
        <f t="shared" si="139"/>
        <v>141.87</v>
      </c>
      <c r="AL999" s="5">
        <f t="shared" si="141"/>
        <v>0.56148335773934388</v>
      </c>
    </row>
    <row r="1000" spans="1:38" x14ac:dyDescent="0.2">
      <c r="A1000" s="2">
        <v>2025</v>
      </c>
      <c r="B1000" s="2">
        <v>5</v>
      </c>
      <c r="D1000" s="2" t="s">
        <v>1369</v>
      </c>
      <c r="P1000" s="2" t="s">
        <v>72</v>
      </c>
      <c r="Q1000" s="2" t="s">
        <v>325</v>
      </c>
      <c r="R1000" s="2" t="s">
        <v>79</v>
      </c>
      <c r="S1000" s="2">
        <v>1</v>
      </c>
      <c r="T1000" s="2">
        <v>220</v>
      </c>
      <c r="U1000" s="2">
        <v>50.6</v>
      </c>
      <c r="V1000" s="2">
        <v>270.60000000000002</v>
      </c>
      <c r="W1000" s="2">
        <f>110.68*S1000</f>
        <v>110.68</v>
      </c>
      <c r="X1000" s="5">
        <f t="shared" si="140"/>
        <v>0.49690909090909086</v>
      </c>
      <c r="Z1000" s="2" t="s">
        <v>3227</v>
      </c>
      <c r="AA1000" s="2" t="s">
        <v>75</v>
      </c>
      <c r="AB1000" s="2" t="s">
        <v>76</v>
      </c>
      <c r="AC1000" s="2" t="s">
        <v>77</v>
      </c>
      <c r="AF1000" s="2">
        <f t="shared" si="135"/>
        <v>0</v>
      </c>
      <c r="AG1000" s="2">
        <v>110.68</v>
      </c>
      <c r="AH1000" s="2">
        <v>210</v>
      </c>
      <c r="AJ1000" s="2">
        <f t="shared" si="136"/>
        <v>0</v>
      </c>
      <c r="AK1000" s="2">
        <f t="shared" si="139"/>
        <v>109.32</v>
      </c>
      <c r="AL1000" s="5">
        <f t="shared" si="141"/>
        <v>0.49690909090909086</v>
      </c>
    </row>
    <row r="1001" spans="1:38" x14ac:dyDescent="0.2">
      <c r="A1001" s="2">
        <v>2025</v>
      </c>
      <c r="B1001" s="2">
        <v>5</v>
      </c>
      <c r="D1001" s="2" t="s">
        <v>1369</v>
      </c>
      <c r="P1001" s="2" t="s">
        <v>93</v>
      </c>
      <c r="Q1001" s="2" t="s">
        <v>94</v>
      </c>
      <c r="R1001" s="2" t="s">
        <v>95</v>
      </c>
      <c r="S1001" s="2">
        <v>1</v>
      </c>
      <c r="T1001" s="2">
        <v>1.1399999999999999</v>
      </c>
      <c r="U1001" s="2">
        <v>0.26219999999999999</v>
      </c>
      <c r="V1001" s="2">
        <v>1.4021999999999999</v>
      </c>
      <c r="W1001" s="2">
        <v>1.1399999999999999</v>
      </c>
      <c r="X1001" s="5">
        <f t="shared" si="140"/>
        <v>0</v>
      </c>
      <c r="Z1001" s="2" t="s">
        <v>3227</v>
      </c>
      <c r="AA1001" s="2" t="s">
        <v>96</v>
      </c>
      <c r="AB1001" s="2" t="s">
        <v>76</v>
      </c>
      <c r="AC1001" s="2" t="s">
        <v>93</v>
      </c>
      <c r="AF1001" s="2">
        <f t="shared" si="135"/>
        <v>0</v>
      </c>
      <c r="AJ1001" s="2">
        <f t="shared" si="136"/>
        <v>0</v>
      </c>
      <c r="AK1001" s="2">
        <f t="shared" si="139"/>
        <v>0</v>
      </c>
      <c r="AL1001" s="5">
        <f t="shared" si="141"/>
        <v>0</v>
      </c>
    </row>
    <row r="1002" spans="1:38" x14ac:dyDescent="0.2">
      <c r="A1002" s="2">
        <v>2025</v>
      </c>
      <c r="B1002" s="2">
        <v>5</v>
      </c>
      <c r="D1002" s="2" t="s">
        <v>1008</v>
      </c>
      <c r="E1002" s="2" t="s">
        <v>108</v>
      </c>
      <c r="F1002" s="2" t="s">
        <v>39</v>
      </c>
      <c r="L1002" s="2" t="s">
        <v>418</v>
      </c>
      <c r="M1002" s="2" t="s">
        <v>41</v>
      </c>
      <c r="P1002" s="2" t="s">
        <v>282</v>
      </c>
      <c r="Q1002" s="2" t="s">
        <v>1370</v>
      </c>
      <c r="R1002" s="2" t="s">
        <v>1371</v>
      </c>
      <c r="S1002" s="2">
        <v>1</v>
      </c>
      <c r="T1002" s="2">
        <v>125</v>
      </c>
      <c r="U1002" s="2">
        <v>28.75</v>
      </c>
      <c r="V1002" s="2">
        <v>153.75</v>
      </c>
      <c r="W1002" s="2">
        <v>92.325000000000003</v>
      </c>
      <c r="X1002" s="5">
        <f t="shared" si="140"/>
        <v>0.26139999999999997</v>
      </c>
      <c r="Z1002" s="2" t="s">
        <v>3227</v>
      </c>
      <c r="AA1002" s="2" t="s">
        <v>71</v>
      </c>
      <c r="AB1002" s="2" t="s">
        <v>119</v>
      </c>
      <c r="AC1002" s="2" t="s">
        <v>119</v>
      </c>
      <c r="AF1002" s="2">
        <f t="shared" si="135"/>
        <v>0</v>
      </c>
      <c r="AJ1002" s="2">
        <f t="shared" si="136"/>
        <v>0</v>
      </c>
      <c r="AK1002" s="2">
        <f t="shared" si="139"/>
        <v>32.674999999999997</v>
      </c>
      <c r="AL1002" s="5">
        <f t="shared" si="141"/>
        <v>0.26139999999999997</v>
      </c>
    </row>
    <row r="1003" spans="1:38" x14ac:dyDescent="0.2">
      <c r="A1003" s="2">
        <v>2025</v>
      </c>
      <c r="B1003" s="2">
        <v>5</v>
      </c>
      <c r="D1003" s="2" t="s">
        <v>781</v>
      </c>
      <c r="E1003" s="2" t="s">
        <v>38</v>
      </c>
      <c r="F1003" s="2" t="s">
        <v>39</v>
      </c>
      <c r="G1003" s="2">
        <v>510219675</v>
      </c>
      <c r="H1003" s="2" t="s">
        <v>40</v>
      </c>
      <c r="I1003" s="2" t="s">
        <v>782</v>
      </c>
      <c r="J1003" s="2" t="s">
        <v>783</v>
      </c>
      <c r="K1003" s="2">
        <v>917341136</v>
      </c>
      <c r="L1003" s="2" t="s">
        <v>99</v>
      </c>
      <c r="P1003" s="2" t="s">
        <v>43</v>
      </c>
      <c r="Q1003" s="2" t="s">
        <v>250</v>
      </c>
      <c r="R1003" s="2" t="s">
        <v>251</v>
      </c>
      <c r="S1003" s="2">
        <v>1</v>
      </c>
      <c r="T1003" s="2">
        <v>60</v>
      </c>
      <c r="U1003" s="2">
        <v>13.8</v>
      </c>
      <c r="V1003" s="2">
        <v>73.8</v>
      </c>
      <c r="W1003" s="2">
        <f>25.0958*S1003</f>
        <v>25.095800000000001</v>
      </c>
      <c r="X1003" s="5">
        <f t="shared" si="140"/>
        <v>0.58173666666666668</v>
      </c>
      <c r="Z1003" s="2" t="s">
        <v>3227</v>
      </c>
      <c r="AA1003" s="2" t="s">
        <v>46</v>
      </c>
      <c r="AB1003" s="2" t="s">
        <v>90</v>
      </c>
      <c r="AC1003" s="2" t="s">
        <v>57</v>
      </c>
      <c r="AF1003" s="2">
        <f t="shared" si="135"/>
        <v>0</v>
      </c>
      <c r="AJ1003" s="2">
        <f t="shared" si="136"/>
        <v>0</v>
      </c>
      <c r="AK1003" s="2">
        <f t="shared" si="139"/>
        <v>34.904200000000003</v>
      </c>
      <c r="AL1003" s="5">
        <f t="shared" si="141"/>
        <v>0.58173666666666668</v>
      </c>
    </row>
    <row r="1004" spans="1:38" x14ac:dyDescent="0.2">
      <c r="A1004" s="2">
        <v>2025</v>
      </c>
      <c r="B1004" s="2">
        <v>5</v>
      </c>
      <c r="D1004" s="2" t="s">
        <v>415</v>
      </c>
      <c r="E1004" s="2" t="s">
        <v>38</v>
      </c>
      <c r="F1004" s="2" t="s">
        <v>39</v>
      </c>
      <c r="G1004" s="2">
        <v>219908800</v>
      </c>
      <c r="H1004" s="2" t="s">
        <v>41</v>
      </c>
      <c r="I1004" s="2" t="s">
        <v>416</v>
      </c>
      <c r="J1004" s="2" t="s">
        <v>417</v>
      </c>
      <c r="L1004" s="2" t="s">
        <v>418</v>
      </c>
      <c r="M1004" s="2" t="s">
        <v>41</v>
      </c>
      <c r="P1004" s="2" t="s">
        <v>43</v>
      </c>
      <c r="Q1004" s="2" t="s">
        <v>52</v>
      </c>
      <c r="R1004" s="2" t="s">
        <v>53</v>
      </c>
      <c r="S1004" s="2">
        <v>2</v>
      </c>
      <c r="T1004" s="2">
        <v>19.2</v>
      </c>
      <c r="U1004" s="2">
        <v>4.4160000000000004</v>
      </c>
      <c r="V1004" s="2">
        <v>23.616</v>
      </c>
      <c r="W1004" s="2">
        <f>5.2973*S1004</f>
        <v>10.5946</v>
      </c>
      <c r="X1004" s="5">
        <f t="shared" si="140"/>
        <v>0.44819791666666664</v>
      </c>
      <c r="Z1004" s="2" t="s">
        <v>3227</v>
      </c>
      <c r="AA1004" s="2" t="s">
        <v>46</v>
      </c>
      <c r="AB1004" s="2" t="s">
        <v>47</v>
      </c>
      <c r="AC1004" s="2" t="s">
        <v>57</v>
      </c>
      <c r="AF1004" s="2">
        <f t="shared" si="135"/>
        <v>0</v>
      </c>
      <c r="AG1004" s="2">
        <v>5.2972999999999999</v>
      </c>
      <c r="AH1004" s="2">
        <v>10.8</v>
      </c>
      <c r="AJ1004" s="2">
        <f t="shared" si="136"/>
        <v>0</v>
      </c>
      <c r="AK1004" s="2">
        <f t="shared" si="139"/>
        <v>8.6053999999999995</v>
      </c>
      <c r="AL1004" s="5">
        <f t="shared" si="141"/>
        <v>0.44819791666666664</v>
      </c>
    </row>
    <row r="1005" spans="1:38" x14ac:dyDescent="0.2">
      <c r="A1005" s="2">
        <v>2025</v>
      </c>
      <c r="B1005" s="2">
        <v>5</v>
      </c>
      <c r="C1005" s="2" t="s">
        <v>3298</v>
      </c>
      <c r="D1005" s="2" t="s">
        <v>1372</v>
      </c>
      <c r="E1005" s="2" t="s">
        <v>38</v>
      </c>
      <c r="F1005" s="2" t="s">
        <v>39</v>
      </c>
      <c r="I1005" s="2" t="s">
        <v>3299</v>
      </c>
      <c r="L1005" s="2" t="s">
        <v>133</v>
      </c>
      <c r="M1005" s="2" t="s">
        <v>41</v>
      </c>
      <c r="P1005" s="2" t="s">
        <v>43</v>
      </c>
      <c r="Q1005" s="2" t="s">
        <v>65</v>
      </c>
      <c r="R1005" s="2" t="s">
        <v>66</v>
      </c>
      <c r="S1005" s="2">
        <v>2</v>
      </c>
      <c r="T1005" s="2">
        <v>50.4</v>
      </c>
      <c r="U1005" s="2">
        <v>11.592000000000001</v>
      </c>
      <c r="V1005" s="2">
        <v>61.991999999999997</v>
      </c>
      <c r="W1005" s="2">
        <f>15.0203*S1005</f>
        <v>30.040600000000001</v>
      </c>
      <c r="X1005" s="5">
        <f t="shared" si="140"/>
        <v>0.40395634920634915</v>
      </c>
      <c r="Z1005" s="2" t="s">
        <v>3227</v>
      </c>
      <c r="AA1005" s="2" t="s">
        <v>46</v>
      </c>
      <c r="AB1005" s="2" t="s">
        <v>67</v>
      </c>
      <c r="AC1005" s="2" t="s">
        <v>57</v>
      </c>
      <c r="AF1005" s="2">
        <f t="shared" si="135"/>
        <v>0</v>
      </c>
      <c r="AG1005" s="2">
        <v>15.020300000000001</v>
      </c>
      <c r="AH1005" s="2">
        <v>27.6</v>
      </c>
      <c r="AJ1005" s="2">
        <f t="shared" si="136"/>
        <v>0</v>
      </c>
      <c r="AK1005" s="2">
        <f t="shared" si="139"/>
        <v>20.359399999999997</v>
      </c>
      <c r="AL1005" s="5">
        <f t="shared" si="141"/>
        <v>0.40395634920634915</v>
      </c>
    </row>
    <row r="1006" spans="1:38" x14ac:dyDescent="0.2">
      <c r="A1006" s="2">
        <v>2025</v>
      </c>
      <c r="B1006" s="2">
        <v>5</v>
      </c>
      <c r="C1006" s="2" t="s">
        <v>3298</v>
      </c>
      <c r="D1006" s="2" t="s">
        <v>1372</v>
      </c>
      <c r="E1006" s="2" t="s">
        <v>38</v>
      </c>
      <c r="F1006" s="2" t="s">
        <v>39</v>
      </c>
      <c r="I1006" s="2" t="s">
        <v>3299</v>
      </c>
      <c r="L1006" s="2" t="s">
        <v>133</v>
      </c>
      <c r="M1006" s="2" t="s">
        <v>40</v>
      </c>
      <c r="P1006" s="2" t="s">
        <v>40</v>
      </c>
      <c r="Q1006" s="2" t="s">
        <v>363</v>
      </c>
      <c r="R1006" s="2" t="s">
        <v>364</v>
      </c>
      <c r="S1006" s="2">
        <v>1</v>
      </c>
      <c r="T1006" s="2">
        <v>32.49</v>
      </c>
      <c r="U1006" s="2">
        <v>7.4727000000000006</v>
      </c>
      <c r="V1006" s="2">
        <v>39.962700000000012</v>
      </c>
      <c r="X1006" s="5">
        <f t="shared" si="140"/>
        <v>1</v>
      </c>
      <c r="Z1006" s="2" t="s">
        <v>117</v>
      </c>
      <c r="AA1006" s="2" t="s">
        <v>118</v>
      </c>
      <c r="AB1006" s="2" t="s">
        <v>119</v>
      </c>
      <c r="AC1006" s="2" t="s">
        <v>3297</v>
      </c>
      <c r="AF1006" s="2">
        <f t="shared" si="135"/>
        <v>0</v>
      </c>
      <c r="AJ1006" s="2">
        <f t="shared" si="136"/>
        <v>0</v>
      </c>
      <c r="AK1006" s="2">
        <f t="shared" si="139"/>
        <v>32.49</v>
      </c>
      <c r="AL1006" s="5">
        <f t="shared" si="141"/>
        <v>1</v>
      </c>
    </row>
    <row r="1007" spans="1:38" x14ac:dyDescent="0.2">
      <c r="A1007" s="2">
        <v>2025</v>
      </c>
      <c r="B1007" s="2">
        <v>5</v>
      </c>
      <c r="D1007" s="2" t="s">
        <v>422</v>
      </c>
      <c r="E1007" s="2" t="s">
        <v>98</v>
      </c>
      <c r="F1007" s="2" t="s">
        <v>39</v>
      </c>
      <c r="G1007" s="2">
        <v>503523470</v>
      </c>
      <c r="H1007" s="2" t="s">
        <v>40</v>
      </c>
      <c r="I1007" s="2" t="s">
        <v>423</v>
      </c>
      <c r="J1007" s="2" t="s">
        <v>424</v>
      </c>
      <c r="L1007" s="2" t="s">
        <v>201</v>
      </c>
      <c r="M1007" s="2" t="s">
        <v>80</v>
      </c>
      <c r="P1007" s="2" t="s">
        <v>43</v>
      </c>
      <c r="Q1007" s="2" t="s">
        <v>65</v>
      </c>
      <c r="R1007" s="2" t="s">
        <v>66</v>
      </c>
      <c r="S1007" s="2">
        <v>1</v>
      </c>
      <c r="T1007" s="2">
        <v>25.2</v>
      </c>
      <c r="U1007" s="2">
        <v>5.7960000000000003</v>
      </c>
      <c r="V1007" s="2">
        <v>30.995999999999999</v>
      </c>
      <c r="W1007" s="2">
        <f>15.0203*S1007</f>
        <v>15.020300000000001</v>
      </c>
      <c r="X1007" s="5">
        <f t="shared" si="140"/>
        <v>0.40395634920634915</v>
      </c>
      <c r="Z1007" s="2" t="s">
        <v>3227</v>
      </c>
      <c r="AA1007" s="2" t="s">
        <v>46</v>
      </c>
      <c r="AB1007" s="2" t="s">
        <v>67</v>
      </c>
      <c r="AC1007" s="2" t="s">
        <v>57</v>
      </c>
      <c r="AF1007" s="2">
        <f t="shared" si="135"/>
        <v>0</v>
      </c>
      <c r="AG1007" s="2">
        <v>15.020300000000001</v>
      </c>
      <c r="AH1007" s="2">
        <v>27.6</v>
      </c>
      <c r="AJ1007" s="2">
        <f t="shared" si="136"/>
        <v>0</v>
      </c>
      <c r="AK1007" s="2">
        <f t="shared" si="139"/>
        <v>10.179699999999999</v>
      </c>
      <c r="AL1007" s="5">
        <f t="shared" si="141"/>
        <v>0.40395634920634915</v>
      </c>
    </row>
    <row r="1008" spans="1:38" x14ac:dyDescent="0.2">
      <c r="A1008" s="2">
        <v>2025</v>
      </c>
      <c r="B1008" s="2">
        <v>5</v>
      </c>
      <c r="D1008" s="2" t="s">
        <v>425</v>
      </c>
      <c r="E1008" s="2" t="s">
        <v>98</v>
      </c>
      <c r="F1008" s="2" t="s">
        <v>39</v>
      </c>
      <c r="G1008" s="2">
        <v>510613888</v>
      </c>
      <c r="H1008" s="2" t="s">
        <v>40</v>
      </c>
      <c r="I1008" s="2" t="s">
        <v>426</v>
      </c>
      <c r="J1008" s="2" t="s">
        <v>427</v>
      </c>
      <c r="L1008" s="2" t="s">
        <v>99</v>
      </c>
      <c r="M1008" s="2" t="s">
        <v>80</v>
      </c>
      <c r="P1008" s="2" t="s">
        <v>43</v>
      </c>
      <c r="Q1008" s="2" t="s">
        <v>48</v>
      </c>
      <c r="R1008" s="2" t="s">
        <v>49</v>
      </c>
      <c r="S1008" s="2">
        <v>1</v>
      </c>
      <c r="T1008" s="2">
        <v>12</v>
      </c>
      <c r="U1008" s="2">
        <v>2.76</v>
      </c>
      <c r="V1008" s="2">
        <v>14.76</v>
      </c>
      <c r="W1008" s="2">
        <f>6.6267*S1008</f>
        <v>6.6266999999999996</v>
      </c>
      <c r="X1008" s="5">
        <f t="shared" si="140"/>
        <v>0.44777500000000003</v>
      </c>
      <c r="Z1008" s="2" t="s">
        <v>3227</v>
      </c>
      <c r="AA1008" s="2" t="s">
        <v>46</v>
      </c>
      <c r="AB1008" s="2" t="s">
        <v>47</v>
      </c>
      <c r="AC1008" s="2" t="s">
        <v>57</v>
      </c>
      <c r="AF1008" s="2">
        <f t="shared" si="135"/>
        <v>0</v>
      </c>
      <c r="AG1008" s="2">
        <v>6.6266999999999996</v>
      </c>
      <c r="AH1008" s="2">
        <v>12</v>
      </c>
      <c r="AJ1008" s="2">
        <f t="shared" si="136"/>
        <v>0</v>
      </c>
      <c r="AK1008" s="2">
        <f t="shared" si="139"/>
        <v>5.3733000000000004</v>
      </c>
      <c r="AL1008" s="5">
        <f t="shared" si="141"/>
        <v>0.44777500000000003</v>
      </c>
    </row>
    <row r="1009" spans="1:38" x14ac:dyDescent="0.2">
      <c r="A1009" s="2">
        <v>2025</v>
      </c>
      <c r="B1009" s="2">
        <v>5</v>
      </c>
      <c r="D1009" s="2" t="s">
        <v>1373</v>
      </c>
      <c r="P1009" s="2" t="s">
        <v>114</v>
      </c>
      <c r="Q1009" s="2" t="s">
        <v>1374</v>
      </c>
      <c r="R1009" s="2" t="s">
        <v>1375</v>
      </c>
      <c r="S1009" s="2">
        <v>1</v>
      </c>
      <c r="T1009" s="2">
        <v>50.35</v>
      </c>
      <c r="U1009" s="2">
        <v>11.580500000000001</v>
      </c>
      <c r="V1009" s="2">
        <v>61.930500000000002</v>
      </c>
      <c r="X1009" s="5">
        <f t="shared" si="140"/>
        <v>1</v>
      </c>
      <c r="Z1009" s="2" t="s">
        <v>117</v>
      </c>
      <c r="AF1009" s="2">
        <f t="shared" si="135"/>
        <v>0</v>
      </c>
      <c r="AJ1009" s="2">
        <f t="shared" si="136"/>
        <v>0</v>
      </c>
      <c r="AK1009" s="2">
        <f t="shared" si="139"/>
        <v>50.35</v>
      </c>
      <c r="AL1009" s="5">
        <f t="shared" si="141"/>
        <v>1</v>
      </c>
    </row>
    <row r="1010" spans="1:38" x14ac:dyDescent="0.2">
      <c r="A1010" s="2">
        <v>2025</v>
      </c>
      <c r="B1010" s="2">
        <v>5</v>
      </c>
      <c r="D1010" s="2" t="s">
        <v>1373</v>
      </c>
      <c r="M1010" s="2" t="s">
        <v>40</v>
      </c>
      <c r="P1010" s="2" t="s">
        <v>187</v>
      </c>
      <c r="Q1010" s="2" t="s">
        <v>188</v>
      </c>
      <c r="R1010" s="2" t="s">
        <v>189</v>
      </c>
      <c r="S1010" s="2">
        <v>1</v>
      </c>
      <c r="T1010" s="2">
        <v>54</v>
      </c>
      <c r="U1010" s="2">
        <v>12.42</v>
      </c>
      <c r="V1010" s="2">
        <v>66.42</v>
      </c>
      <c r="W1010" s="2">
        <f>T1010*40%</f>
        <v>21.6</v>
      </c>
      <c r="X1010" s="5">
        <f t="shared" si="140"/>
        <v>0.6</v>
      </c>
      <c r="Z1010" s="2" t="s">
        <v>117</v>
      </c>
      <c r="AA1010" s="2" t="s">
        <v>190</v>
      </c>
      <c r="AB1010" s="2" t="s">
        <v>189</v>
      </c>
      <c r="AC1010" s="2" t="s">
        <v>40</v>
      </c>
      <c r="AF1010" s="2">
        <f t="shared" si="135"/>
        <v>0</v>
      </c>
      <c r="AJ1010" s="2">
        <f t="shared" si="136"/>
        <v>0</v>
      </c>
      <c r="AK1010" s="2">
        <f t="shared" si="139"/>
        <v>32.4</v>
      </c>
      <c r="AL1010" s="5">
        <f t="shared" si="141"/>
        <v>0.6</v>
      </c>
    </row>
    <row r="1011" spans="1:38" x14ac:dyDescent="0.2">
      <c r="A1011" s="2">
        <v>2025</v>
      </c>
      <c r="B1011" s="2">
        <v>5</v>
      </c>
      <c r="D1011" s="2" t="s">
        <v>1373</v>
      </c>
      <c r="M1011" s="2" t="s">
        <v>40</v>
      </c>
      <c r="P1011" s="2" t="s">
        <v>187</v>
      </c>
      <c r="Q1011" s="2" t="s">
        <v>191</v>
      </c>
      <c r="R1011" s="2" t="s">
        <v>190</v>
      </c>
      <c r="S1011" s="2">
        <v>0.5</v>
      </c>
      <c r="T1011" s="2">
        <v>22.5</v>
      </c>
      <c r="U1011" s="2">
        <v>5.1749999999999998</v>
      </c>
      <c r="V1011" s="2">
        <v>27.675000000000001</v>
      </c>
      <c r="W1011" s="2">
        <f>T1011*50%</f>
        <v>11.25</v>
      </c>
      <c r="X1011" s="5">
        <f t="shared" si="140"/>
        <v>0.5</v>
      </c>
      <c r="Z1011" s="2" t="s">
        <v>117</v>
      </c>
      <c r="AA1011" s="2" t="s">
        <v>190</v>
      </c>
      <c r="AB1011" s="2" t="s">
        <v>190</v>
      </c>
      <c r="AC1011" s="2" t="s">
        <v>40</v>
      </c>
      <c r="AF1011" s="2">
        <f t="shared" si="135"/>
        <v>0</v>
      </c>
      <c r="AJ1011" s="2">
        <f t="shared" si="136"/>
        <v>0</v>
      </c>
      <c r="AK1011" s="2">
        <f t="shared" si="139"/>
        <v>11.25</v>
      </c>
      <c r="AL1011" s="5">
        <f t="shared" si="141"/>
        <v>0.5</v>
      </c>
    </row>
    <row r="1012" spans="1:38" x14ac:dyDescent="0.2">
      <c r="A1012" s="2">
        <v>2025</v>
      </c>
      <c r="B1012" s="2">
        <v>5</v>
      </c>
      <c r="D1012" s="2" t="s">
        <v>1376</v>
      </c>
      <c r="E1012" s="2" t="s">
        <v>183</v>
      </c>
      <c r="F1012" s="2" t="s">
        <v>366</v>
      </c>
      <c r="L1012" s="2" t="s">
        <v>571</v>
      </c>
      <c r="M1012" s="2" t="s">
        <v>80</v>
      </c>
      <c r="P1012" s="2" t="s">
        <v>72</v>
      </c>
      <c r="Q1012" s="2" t="s">
        <v>73</v>
      </c>
      <c r="R1012" s="2" t="s">
        <v>74</v>
      </c>
      <c r="S1012" s="2">
        <v>1</v>
      </c>
      <c r="T1012" s="2">
        <v>210</v>
      </c>
      <c r="U1012" s="2">
        <v>48.3</v>
      </c>
      <c r="V1012" s="2">
        <v>258.3</v>
      </c>
      <c r="W1012" s="2">
        <v>117.453</v>
      </c>
      <c r="X1012" s="5">
        <f t="shared" si="140"/>
        <v>0.44069999999999998</v>
      </c>
      <c r="Z1012" s="2" t="s">
        <v>3227</v>
      </c>
      <c r="AA1012" s="2" t="s">
        <v>75</v>
      </c>
      <c r="AB1012" s="2" t="s">
        <v>76</v>
      </c>
      <c r="AC1012" s="2" t="s">
        <v>77</v>
      </c>
      <c r="AF1012" s="2">
        <f t="shared" si="135"/>
        <v>0</v>
      </c>
      <c r="AG1012" s="2">
        <v>117.453</v>
      </c>
      <c r="AH1012" s="2">
        <v>220</v>
      </c>
      <c r="AJ1012" s="2">
        <f t="shared" si="136"/>
        <v>0</v>
      </c>
      <c r="AK1012" s="2">
        <f t="shared" si="139"/>
        <v>92.546999999999997</v>
      </c>
      <c r="AL1012" s="5">
        <f t="shared" si="141"/>
        <v>0.44069999999999998</v>
      </c>
    </row>
    <row r="1013" spans="1:38" x14ac:dyDescent="0.2">
      <c r="A1013" s="2">
        <v>2025</v>
      </c>
      <c r="B1013" s="2">
        <v>5</v>
      </c>
      <c r="D1013" s="2" t="s">
        <v>1376</v>
      </c>
      <c r="E1013" s="2" t="s">
        <v>183</v>
      </c>
      <c r="F1013" s="2" t="s">
        <v>366</v>
      </c>
      <c r="L1013" s="2" t="s">
        <v>571</v>
      </c>
      <c r="M1013" s="2" t="s">
        <v>80</v>
      </c>
      <c r="P1013" s="2" t="s">
        <v>93</v>
      </c>
      <c r="Q1013" s="2" t="s">
        <v>94</v>
      </c>
      <c r="R1013" s="2" t="s">
        <v>95</v>
      </c>
      <c r="S1013" s="2">
        <v>1</v>
      </c>
      <c r="T1013" s="2">
        <v>1.1399999999999999</v>
      </c>
      <c r="U1013" s="2">
        <v>0.26219999999999999</v>
      </c>
      <c r="V1013" s="2">
        <v>1.4021999999999999</v>
      </c>
      <c r="W1013" s="2">
        <v>1.1399999999999999</v>
      </c>
      <c r="X1013" s="5">
        <f t="shared" si="140"/>
        <v>0</v>
      </c>
      <c r="Z1013" s="2" t="s">
        <v>3227</v>
      </c>
      <c r="AA1013" s="2" t="s">
        <v>96</v>
      </c>
      <c r="AB1013" s="2" t="s">
        <v>76</v>
      </c>
      <c r="AC1013" s="2" t="s">
        <v>93</v>
      </c>
      <c r="AF1013" s="2">
        <f t="shared" si="135"/>
        <v>0</v>
      </c>
      <c r="AJ1013" s="2">
        <f t="shared" si="136"/>
        <v>0</v>
      </c>
      <c r="AK1013" s="2">
        <f t="shared" si="139"/>
        <v>0</v>
      </c>
      <c r="AL1013" s="5">
        <f t="shared" si="141"/>
        <v>0</v>
      </c>
    </row>
    <row r="1014" spans="1:38" x14ac:dyDescent="0.2">
      <c r="A1014" s="2">
        <v>2025</v>
      </c>
      <c r="B1014" s="2">
        <v>5</v>
      </c>
      <c r="D1014" s="2" t="s">
        <v>1377</v>
      </c>
      <c r="P1014" s="2" t="s">
        <v>72</v>
      </c>
      <c r="Q1014" s="2" t="s">
        <v>1075</v>
      </c>
      <c r="R1014" s="2" t="s">
        <v>83</v>
      </c>
      <c r="S1014" s="2">
        <v>1</v>
      </c>
      <c r="T1014" s="2">
        <v>260</v>
      </c>
      <c r="U1014" s="2">
        <v>59.8</v>
      </c>
      <c r="V1014" s="2">
        <v>319.8</v>
      </c>
      <c r="W1014" s="2">
        <v>159.54</v>
      </c>
      <c r="X1014" s="5">
        <f t="shared" si="140"/>
        <v>0.38638461538461544</v>
      </c>
      <c r="Z1014" s="2" t="s">
        <v>3227</v>
      </c>
      <c r="AA1014" s="2" t="s">
        <v>75</v>
      </c>
      <c r="AB1014" s="2" t="s">
        <v>76</v>
      </c>
      <c r="AC1014" s="2" t="s">
        <v>77</v>
      </c>
      <c r="AF1014" s="2">
        <f t="shared" si="135"/>
        <v>0</v>
      </c>
      <c r="AG1014" s="2">
        <f>144.14+15.4</f>
        <v>159.54</v>
      </c>
      <c r="AH1014" s="2">
        <v>280</v>
      </c>
      <c r="AJ1014" s="2">
        <f t="shared" si="136"/>
        <v>0</v>
      </c>
      <c r="AK1014" s="2">
        <f t="shared" si="139"/>
        <v>100.46000000000001</v>
      </c>
      <c r="AL1014" s="5">
        <f t="shared" si="141"/>
        <v>0.38638461538461544</v>
      </c>
    </row>
    <row r="1015" spans="1:38" x14ac:dyDescent="0.2">
      <c r="A1015" s="2">
        <v>2025</v>
      </c>
      <c r="B1015" s="2">
        <v>5</v>
      </c>
      <c r="D1015" s="2" t="s">
        <v>1377</v>
      </c>
      <c r="P1015" s="2" t="s">
        <v>93</v>
      </c>
      <c r="Q1015" s="2" t="s">
        <v>94</v>
      </c>
      <c r="R1015" s="2" t="s">
        <v>95</v>
      </c>
      <c r="S1015" s="2">
        <v>1</v>
      </c>
      <c r="T1015" s="2">
        <v>1.1399999999999999</v>
      </c>
      <c r="U1015" s="2">
        <v>0.26219999999999999</v>
      </c>
      <c r="V1015" s="2">
        <v>1.4021999999999999</v>
      </c>
      <c r="W1015" s="2">
        <v>1.1399999999999999</v>
      </c>
      <c r="X1015" s="5">
        <f t="shared" si="140"/>
        <v>0</v>
      </c>
      <c r="Z1015" s="2" t="s">
        <v>3227</v>
      </c>
      <c r="AA1015" s="2" t="s">
        <v>96</v>
      </c>
      <c r="AB1015" s="2" t="s">
        <v>76</v>
      </c>
      <c r="AC1015" s="2" t="s">
        <v>93</v>
      </c>
      <c r="AF1015" s="2">
        <f t="shared" si="135"/>
        <v>0</v>
      </c>
      <c r="AJ1015" s="2">
        <f t="shared" si="136"/>
        <v>0</v>
      </c>
      <c r="AK1015" s="2">
        <f t="shared" si="139"/>
        <v>0</v>
      </c>
      <c r="AL1015" s="5">
        <f t="shared" si="141"/>
        <v>0</v>
      </c>
    </row>
    <row r="1016" spans="1:38" x14ac:dyDescent="0.2">
      <c r="A1016" s="2">
        <v>2025</v>
      </c>
      <c r="B1016" s="2">
        <v>5</v>
      </c>
      <c r="D1016" s="2" t="s">
        <v>1242</v>
      </c>
      <c r="P1016" s="2" t="s">
        <v>1378</v>
      </c>
      <c r="Q1016" s="2" t="s">
        <v>1379</v>
      </c>
      <c r="R1016" s="2" t="s">
        <v>1380</v>
      </c>
      <c r="S1016" s="2">
        <v>4</v>
      </c>
      <c r="T1016" s="2">
        <v>340</v>
      </c>
      <c r="U1016" s="2">
        <v>78.2</v>
      </c>
      <c r="V1016" s="2">
        <v>418.2</v>
      </c>
      <c r="X1016" s="5">
        <f t="shared" si="140"/>
        <v>1</v>
      </c>
      <c r="Z1016" s="2" t="s">
        <v>3227</v>
      </c>
      <c r="AA1016" s="2" t="s">
        <v>1041</v>
      </c>
      <c r="AB1016" s="2" t="s">
        <v>1318</v>
      </c>
      <c r="AC1016" s="2" t="s">
        <v>1378</v>
      </c>
      <c r="AF1016" s="2">
        <f t="shared" si="135"/>
        <v>0</v>
      </c>
      <c r="AJ1016" s="2">
        <f t="shared" si="136"/>
        <v>0</v>
      </c>
      <c r="AK1016" s="2">
        <f t="shared" si="139"/>
        <v>340</v>
      </c>
      <c r="AL1016" s="5">
        <f t="shared" si="141"/>
        <v>1</v>
      </c>
    </row>
    <row r="1017" spans="1:38" x14ac:dyDescent="0.2">
      <c r="A1017" s="2">
        <v>2025</v>
      </c>
      <c r="B1017" s="2">
        <v>5</v>
      </c>
      <c r="D1017" s="2" t="s">
        <v>813</v>
      </c>
      <c r="E1017" s="2" t="s">
        <v>38</v>
      </c>
      <c r="F1017" s="2" t="s">
        <v>39</v>
      </c>
      <c r="G1017" s="2" t="s">
        <v>814</v>
      </c>
      <c r="H1017" s="2" t="s">
        <v>41</v>
      </c>
      <c r="I1017" s="2" t="s">
        <v>626</v>
      </c>
      <c r="L1017" s="2" t="s">
        <v>626</v>
      </c>
      <c r="M1017" s="2" t="s">
        <v>41</v>
      </c>
      <c r="O1017" s="2" t="s">
        <v>1381</v>
      </c>
      <c r="P1017" s="2" t="s">
        <v>43</v>
      </c>
      <c r="Q1017" s="2" t="s">
        <v>210</v>
      </c>
      <c r="R1017" s="2" t="s">
        <v>211</v>
      </c>
      <c r="S1017" s="2">
        <v>1</v>
      </c>
      <c r="T1017" s="2">
        <v>22.2</v>
      </c>
      <c r="U1017" s="2">
        <v>5.1059999999999999</v>
      </c>
      <c r="V1017" s="2">
        <v>27.306000000000001</v>
      </c>
      <c r="W1017" s="2">
        <f>12.1*S1017</f>
        <v>12.1</v>
      </c>
      <c r="X1017" s="5">
        <f t="shared" si="140"/>
        <v>0.45495495495495497</v>
      </c>
      <c r="Z1017" s="2" t="s">
        <v>3227</v>
      </c>
      <c r="AA1017" s="2" t="s">
        <v>46</v>
      </c>
      <c r="AB1017" s="2" t="s">
        <v>47</v>
      </c>
      <c r="AC1017" s="2" t="s">
        <v>57</v>
      </c>
      <c r="AF1017" s="2">
        <f t="shared" si="135"/>
        <v>0</v>
      </c>
      <c r="AJ1017" s="2">
        <f t="shared" si="136"/>
        <v>0</v>
      </c>
      <c r="AK1017" s="2">
        <f t="shared" si="139"/>
        <v>10.1</v>
      </c>
      <c r="AL1017" s="5">
        <f t="shared" si="141"/>
        <v>0.45495495495495497</v>
      </c>
    </row>
    <row r="1018" spans="1:38" x14ac:dyDescent="0.2">
      <c r="A1018" s="2">
        <v>2025</v>
      </c>
      <c r="B1018" s="2">
        <v>5</v>
      </c>
      <c r="D1018" s="2" t="s">
        <v>813</v>
      </c>
      <c r="E1018" s="2" t="s">
        <v>38</v>
      </c>
      <c r="F1018" s="2" t="s">
        <v>39</v>
      </c>
      <c r="G1018" s="2" t="s">
        <v>814</v>
      </c>
      <c r="H1018" s="2" t="s">
        <v>41</v>
      </c>
      <c r="I1018" s="2" t="s">
        <v>626</v>
      </c>
      <c r="L1018" s="2" t="s">
        <v>626</v>
      </c>
      <c r="M1018" s="2" t="s">
        <v>41</v>
      </c>
      <c r="O1018" s="2" t="s">
        <v>1381</v>
      </c>
      <c r="P1018" s="2" t="s">
        <v>43</v>
      </c>
      <c r="Q1018" s="2" t="s">
        <v>222</v>
      </c>
      <c r="R1018" s="2" t="s">
        <v>223</v>
      </c>
      <c r="S1018" s="2">
        <v>1</v>
      </c>
      <c r="T1018" s="2">
        <v>27</v>
      </c>
      <c r="U1018" s="2">
        <v>6.21</v>
      </c>
      <c r="V1018" s="2">
        <v>33.21</v>
      </c>
      <c r="W1018" s="2">
        <f>16*S1018</f>
        <v>16</v>
      </c>
      <c r="X1018" s="5">
        <f t="shared" si="140"/>
        <v>0.40740740740740738</v>
      </c>
      <c r="Z1018" s="2" t="s">
        <v>3227</v>
      </c>
      <c r="AA1018" s="2" t="s">
        <v>46</v>
      </c>
      <c r="AB1018" s="2" t="s">
        <v>56</v>
      </c>
      <c r="AC1018" s="2" t="s">
        <v>57</v>
      </c>
      <c r="AF1018" s="2">
        <f t="shared" si="135"/>
        <v>0</v>
      </c>
      <c r="AJ1018" s="2">
        <f t="shared" si="136"/>
        <v>0</v>
      </c>
      <c r="AK1018" s="2">
        <f t="shared" si="139"/>
        <v>11</v>
      </c>
      <c r="AL1018" s="5">
        <f t="shared" si="141"/>
        <v>0.40740740740740738</v>
      </c>
    </row>
    <row r="1019" spans="1:38" x14ac:dyDescent="0.2">
      <c r="A1019" s="2">
        <v>2025</v>
      </c>
      <c r="B1019" s="2">
        <v>5</v>
      </c>
      <c r="D1019" s="2" t="s">
        <v>813</v>
      </c>
      <c r="E1019" s="2" t="s">
        <v>38</v>
      </c>
      <c r="F1019" s="2" t="s">
        <v>39</v>
      </c>
      <c r="G1019" s="2" t="s">
        <v>814</v>
      </c>
      <c r="H1019" s="2" t="s">
        <v>41</v>
      </c>
      <c r="I1019" s="2" t="s">
        <v>626</v>
      </c>
      <c r="L1019" s="2" t="s">
        <v>626</v>
      </c>
      <c r="M1019" s="2" t="s">
        <v>41</v>
      </c>
      <c r="O1019" s="2" t="s">
        <v>1381</v>
      </c>
      <c r="P1019" s="2" t="s">
        <v>43</v>
      </c>
      <c r="Q1019" s="2" t="s">
        <v>65</v>
      </c>
      <c r="R1019" s="2" t="s">
        <v>66</v>
      </c>
      <c r="S1019" s="2">
        <v>1</v>
      </c>
      <c r="T1019" s="2">
        <v>21.5</v>
      </c>
      <c r="U1019" s="2">
        <v>4.9450000000000003</v>
      </c>
      <c r="V1019" s="2">
        <v>26.445</v>
      </c>
      <c r="W1019" s="2">
        <f>15.0203*S1019</f>
        <v>15.020300000000001</v>
      </c>
      <c r="X1019" s="5">
        <f t="shared" si="140"/>
        <v>0.30138139534883718</v>
      </c>
      <c r="Z1019" s="2" t="s">
        <v>3227</v>
      </c>
      <c r="AA1019" s="2" t="s">
        <v>46</v>
      </c>
      <c r="AB1019" s="2" t="s">
        <v>67</v>
      </c>
      <c r="AC1019" s="2" t="s">
        <v>57</v>
      </c>
      <c r="AF1019" s="2">
        <f t="shared" si="135"/>
        <v>0</v>
      </c>
      <c r="AG1019" s="2">
        <v>15.020300000000001</v>
      </c>
      <c r="AH1019" s="2">
        <v>27.6</v>
      </c>
      <c r="AJ1019" s="2">
        <f t="shared" si="136"/>
        <v>0</v>
      </c>
      <c r="AK1019" s="2">
        <f t="shared" si="139"/>
        <v>6.4796999999999993</v>
      </c>
      <c r="AL1019" s="5">
        <f t="shared" si="141"/>
        <v>0.30138139534883718</v>
      </c>
    </row>
    <row r="1020" spans="1:38" x14ac:dyDescent="0.2">
      <c r="A1020" s="2">
        <v>2025</v>
      </c>
      <c r="B1020" s="2">
        <v>5</v>
      </c>
      <c r="D1020" s="2" t="s">
        <v>1021</v>
      </c>
      <c r="P1020" s="2" t="s">
        <v>43</v>
      </c>
      <c r="Q1020" s="2" t="s">
        <v>236</v>
      </c>
      <c r="R1020" s="2" t="s">
        <v>237</v>
      </c>
      <c r="S1020" s="2">
        <v>1</v>
      </c>
      <c r="T1020" s="2">
        <v>16.2</v>
      </c>
      <c r="U1020" s="2">
        <v>3.726</v>
      </c>
      <c r="V1020" s="2">
        <v>19.925999999999998</v>
      </c>
      <c r="W1020" s="2">
        <f>9.075*S1020</f>
        <v>9.0749999999999993</v>
      </c>
      <c r="X1020" s="5">
        <f t="shared" ref="X1020:X1051" si="142">(T1020-W1020)/T1020</f>
        <v>0.43981481481481483</v>
      </c>
      <c r="Z1020" s="2" t="s">
        <v>3227</v>
      </c>
      <c r="AA1020" s="2" t="s">
        <v>46</v>
      </c>
      <c r="AB1020" s="2" t="s">
        <v>56</v>
      </c>
      <c r="AC1020" s="2" t="s">
        <v>57</v>
      </c>
      <c r="AF1020" s="2">
        <f t="shared" si="135"/>
        <v>0</v>
      </c>
      <c r="AJ1020" s="2">
        <f t="shared" si="136"/>
        <v>0</v>
      </c>
      <c r="AK1020" s="2">
        <f t="shared" si="139"/>
        <v>7.125</v>
      </c>
      <c r="AL1020" s="5">
        <f t="shared" ref="AL1020:AL1051" si="143">(T1020-W1020)/T1020</f>
        <v>0.43981481481481483</v>
      </c>
    </row>
    <row r="1021" spans="1:38" x14ac:dyDescent="0.2">
      <c r="A1021" s="2">
        <v>2025</v>
      </c>
      <c r="B1021" s="2">
        <v>5</v>
      </c>
      <c r="D1021" s="2" t="s">
        <v>1021</v>
      </c>
      <c r="P1021" s="2" t="s">
        <v>43</v>
      </c>
      <c r="Q1021" s="2" t="s">
        <v>238</v>
      </c>
      <c r="R1021" s="2" t="s">
        <v>239</v>
      </c>
      <c r="S1021" s="2">
        <v>1</v>
      </c>
      <c r="T1021" s="2">
        <v>19.8</v>
      </c>
      <c r="U1021" s="2">
        <v>4.5540000000000003</v>
      </c>
      <c r="V1021" s="2">
        <v>24.353999999999999</v>
      </c>
      <c r="W1021" s="2">
        <f>11.045*S1021</f>
        <v>11.045</v>
      </c>
      <c r="X1021" s="5">
        <f t="shared" si="142"/>
        <v>0.44217171717171722</v>
      </c>
      <c r="Z1021" s="2" t="s">
        <v>3227</v>
      </c>
      <c r="AA1021" s="2" t="s">
        <v>46</v>
      </c>
      <c r="AB1021" s="2" t="s">
        <v>56</v>
      </c>
      <c r="AC1021" s="2" t="s">
        <v>57</v>
      </c>
      <c r="AF1021" s="2">
        <f t="shared" si="135"/>
        <v>0</v>
      </c>
      <c r="AJ1021" s="2">
        <f t="shared" si="136"/>
        <v>0</v>
      </c>
      <c r="AK1021" s="2">
        <f t="shared" si="139"/>
        <v>8.7550000000000008</v>
      </c>
      <c r="AL1021" s="5">
        <f t="shared" si="143"/>
        <v>0.44217171717171722</v>
      </c>
    </row>
    <row r="1022" spans="1:38" x14ac:dyDescent="0.2">
      <c r="A1022" s="2">
        <v>2025</v>
      </c>
      <c r="B1022" s="2">
        <v>5</v>
      </c>
      <c r="D1022" s="2" t="s">
        <v>1021</v>
      </c>
      <c r="P1022" s="2" t="s">
        <v>43</v>
      </c>
      <c r="Q1022" s="2" t="s">
        <v>61</v>
      </c>
      <c r="R1022" s="2" t="s">
        <v>62</v>
      </c>
      <c r="S1022" s="2">
        <v>100</v>
      </c>
      <c r="T1022" s="2">
        <v>13</v>
      </c>
      <c r="U1022" s="2">
        <v>2.99</v>
      </c>
      <c r="V1022" s="2">
        <v>15.99</v>
      </c>
      <c r="W1022" s="2">
        <f>0.082*S1022</f>
        <v>8.2000000000000011</v>
      </c>
      <c r="X1022" s="5">
        <f t="shared" si="142"/>
        <v>0.36923076923076914</v>
      </c>
      <c r="Z1022" s="2" t="s">
        <v>3227</v>
      </c>
      <c r="AA1022" s="2" t="s">
        <v>46</v>
      </c>
      <c r="AB1022" s="2" t="s">
        <v>60</v>
      </c>
      <c r="AC1022" s="2" t="s">
        <v>57</v>
      </c>
      <c r="AF1022" s="2">
        <f t="shared" si="135"/>
        <v>0</v>
      </c>
      <c r="AG1022" s="2">
        <v>8.1999999999999993</v>
      </c>
      <c r="AH1022" s="2">
        <v>13</v>
      </c>
      <c r="AJ1022" s="2">
        <f t="shared" si="136"/>
        <v>0</v>
      </c>
      <c r="AK1022" s="2">
        <f t="shared" si="139"/>
        <v>4.7999999999999989</v>
      </c>
      <c r="AL1022" s="5">
        <f t="shared" si="143"/>
        <v>0.36923076923076914</v>
      </c>
    </row>
    <row r="1023" spans="1:38" x14ac:dyDescent="0.2">
      <c r="A1023" s="2">
        <v>2025</v>
      </c>
      <c r="B1023" s="2">
        <v>5</v>
      </c>
      <c r="D1023" s="2" t="s">
        <v>436</v>
      </c>
      <c r="E1023" s="2" t="s">
        <v>108</v>
      </c>
      <c r="F1023" s="2" t="s">
        <v>376</v>
      </c>
      <c r="G1023" s="2">
        <v>509350631</v>
      </c>
      <c r="H1023" s="2" t="s">
        <v>290</v>
      </c>
      <c r="I1023" s="2" t="s">
        <v>437</v>
      </c>
      <c r="J1023" s="2" t="s">
        <v>438</v>
      </c>
      <c r="L1023" s="2" t="s">
        <v>339</v>
      </c>
      <c r="M1023" s="2" t="s">
        <v>80</v>
      </c>
      <c r="O1023" s="2" t="s">
        <v>1382</v>
      </c>
      <c r="P1023" s="2" t="s">
        <v>72</v>
      </c>
      <c r="Q1023" s="2" t="s">
        <v>681</v>
      </c>
      <c r="R1023" s="2" t="s">
        <v>74</v>
      </c>
      <c r="S1023" s="2">
        <v>1</v>
      </c>
      <c r="T1023" s="2">
        <v>210</v>
      </c>
      <c r="U1023" s="2">
        <v>48.3</v>
      </c>
      <c r="V1023" s="2">
        <v>258.3</v>
      </c>
      <c r="W1023" s="2">
        <v>104.49</v>
      </c>
      <c r="X1023" s="5">
        <f t="shared" si="142"/>
        <v>0.50242857142857145</v>
      </c>
      <c r="Z1023" s="2" t="s">
        <v>3227</v>
      </c>
      <c r="AA1023" s="2" t="s">
        <v>75</v>
      </c>
      <c r="AB1023" s="2" t="s">
        <v>76</v>
      </c>
      <c r="AC1023" s="2" t="s">
        <v>77</v>
      </c>
      <c r="AF1023" s="2">
        <f t="shared" si="135"/>
        <v>0</v>
      </c>
      <c r="AG1023" s="2">
        <v>104.49</v>
      </c>
      <c r="AH1023" s="2">
        <v>220</v>
      </c>
      <c r="AJ1023" s="2">
        <f t="shared" si="136"/>
        <v>0</v>
      </c>
      <c r="AK1023" s="2">
        <f t="shared" si="139"/>
        <v>105.51</v>
      </c>
      <c r="AL1023" s="5">
        <f t="shared" si="143"/>
        <v>0.50242857142857145</v>
      </c>
    </row>
    <row r="1024" spans="1:38" x14ac:dyDescent="0.2">
      <c r="A1024" s="2">
        <v>2025</v>
      </c>
      <c r="B1024" s="2">
        <v>5</v>
      </c>
      <c r="D1024" s="2" t="s">
        <v>436</v>
      </c>
      <c r="E1024" s="2" t="s">
        <v>108</v>
      </c>
      <c r="F1024" s="2" t="s">
        <v>376</v>
      </c>
      <c r="G1024" s="2">
        <v>509350631</v>
      </c>
      <c r="H1024" s="2" t="s">
        <v>290</v>
      </c>
      <c r="I1024" s="2" t="s">
        <v>437</v>
      </c>
      <c r="J1024" s="2" t="s">
        <v>438</v>
      </c>
      <c r="L1024" s="2" t="s">
        <v>339</v>
      </c>
      <c r="M1024" s="2" t="s">
        <v>80</v>
      </c>
      <c r="P1024" s="2" t="s">
        <v>93</v>
      </c>
      <c r="Q1024" s="2" t="s">
        <v>94</v>
      </c>
      <c r="R1024" s="2" t="s">
        <v>95</v>
      </c>
      <c r="S1024" s="2">
        <v>1</v>
      </c>
      <c r="T1024" s="2">
        <v>1.1399999999999999</v>
      </c>
      <c r="U1024" s="2">
        <v>0.26219999999999999</v>
      </c>
      <c r="V1024" s="2">
        <v>1.4021999999999999</v>
      </c>
      <c r="W1024" s="2">
        <v>1.1399999999999999</v>
      </c>
      <c r="X1024" s="5">
        <f t="shared" si="142"/>
        <v>0</v>
      </c>
      <c r="Z1024" s="2" t="s">
        <v>3227</v>
      </c>
      <c r="AA1024" s="2" t="s">
        <v>96</v>
      </c>
      <c r="AB1024" s="2" t="s">
        <v>76</v>
      </c>
      <c r="AC1024" s="2" t="s">
        <v>93</v>
      </c>
      <c r="AF1024" s="2">
        <f t="shared" si="135"/>
        <v>0</v>
      </c>
      <c r="AG1024" s="2">
        <v>1.1399999999999999</v>
      </c>
      <c r="AH1024" s="2">
        <v>1.1399999999999999</v>
      </c>
      <c r="AJ1024" s="2">
        <f t="shared" si="136"/>
        <v>0</v>
      </c>
      <c r="AK1024" s="2">
        <f t="shared" si="139"/>
        <v>0</v>
      </c>
      <c r="AL1024" s="5">
        <f t="shared" si="143"/>
        <v>0</v>
      </c>
    </row>
    <row r="1025" spans="1:38" x14ac:dyDescent="0.2">
      <c r="A1025" s="2">
        <v>2025</v>
      </c>
      <c r="B1025" s="2">
        <v>5</v>
      </c>
      <c r="D1025" s="2" t="s">
        <v>439</v>
      </c>
      <c r="E1025" s="2" t="s">
        <v>38</v>
      </c>
      <c r="F1025" s="2" t="s">
        <v>39</v>
      </c>
      <c r="G1025" s="2">
        <v>205800831</v>
      </c>
      <c r="H1025" s="2" t="s">
        <v>41</v>
      </c>
      <c r="I1025" s="2" t="s">
        <v>177</v>
      </c>
      <c r="J1025" s="2" t="s">
        <v>3176</v>
      </c>
      <c r="K1025" s="2">
        <v>911577458</v>
      </c>
      <c r="L1025" s="2" t="s">
        <v>177</v>
      </c>
      <c r="M1025" s="2" t="s">
        <v>41</v>
      </c>
      <c r="O1025" s="2" t="s">
        <v>3178</v>
      </c>
      <c r="P1025" s="2" t="s">
        <v>43</v>
      </c>
      <c r="Q1025" s="2" t="s">
        <v>48</v>
      </c>
      <c r="R1025" s="2" t="s">
        <v>49</v>
      </c>
      <c r="S1025" s="2">
        <v>3</v>
      </c>
      <c r="T1025" s="2">
        <v>36</v>
      </c>
      <c r="U1025" s="2">
        <v>8.2800000000000011</v>
      </c>
      <c r="V1025" s="2">
        <v>44.28</v>
      </c>
      <c r="W1025" s="2">
        <f>6.6267*S1025</f>
        <v>19.880099999999999</v>
      </c>
      <c r="X1025" s="5">
        <f t="shared" si="142"/>
        <v>0.44777500000000003</v>
      </c>
      <c r="Z1025" s="2" t="s">
        <v>3227</v>
      </c>
      <c r="AA1025" s="2" t="s">
        <v>46</v>
      </c>
      <c r="AB1025" s="2" t="s">
        <v>47</v>
      </c>
      <c r="AC1025" s="2" t="s">
        <v>57</v>
      </c>
      <c r="AF1025" s="2">
        <f t="shared" si="135"/>
        <v>0</v>
      </c>
      <c r="AG1025" s="2">
        <v>6.6266999999999996</v>
      </c>
      <c r="AH1025" s="2">
        <v>12</v>
      </c>
      <c r="AJ1025" s="2">
        <f t="shared" si="136"/>
        <v>0</v>
      </c>
      <c r="AK1025" s="2">
        <f t="shared" si="139"/>
        <v>16.119900000000001</v>
      </c>
      <c r="AL1025" s="5">
        <f t="shared" si="143"/>
        <v>0.44777500000000003</v>
      </c>
    </row>
    <row r="1026" spans="1:38" x14ac:dyDescent="0.2">
      <c r="A1026" s="2">
        <v>2025</v>
      </c>
      <c r="B1026" s="2">
        <v>5</v>
      </c>
      <c r="D1026" s="2" t="s">
        <v>439</v>
      </c>
      <c r="E1026" s="2" t="s">
        <v>38</v>
      </c>
      <c r="F1026" s="2" t="s">
        <v>39</v>
      </c>
      <c r="G1026" s="2">
        <v>205800831</v>
      </c>
      <c r="H1026" s="2" t="s">
        <v>41</v>
      </c>
      <c r="I1026" s="2" t="s">
        <v>177</v>
      </c>
      <c r="J1026" s="2" t="s">
        <v>3176</v>
      </c>
      <c r="K1026" s="2">
        <v>911577458</v>
      </c>
      <c r="L1026" s="2" t="s">
        <v>177</v>
      </c>
      <c r="M1026" s="2" t="s">
        <v>41</v>
      </c>
      <c r="O1026" s="2" t="s">
        <v>3178</v>
      </c>
      <c r="P1026" s="2" t="s">
        <v>43</v>
      </c>
      <c r="Q1026" s="2" t="s">
        <v>160</v>
      </c>
      <c r="R1026" s="2" t="s">
        <v>161</v>
      </c>
      <c r="S1026" s="2">
        <v>1</v>
      </c>
      <c r="T1026" s="2">
        <v>7.8</v>
      </c>
      <c r="U1026" s="2">
        <v>1.794</v>
      </c>
      <c r="V1026" s="2">
        <v>9.5939999999999994</v>
      </c>
      <c r="W1026" s="2">
        <f>3.7358*S1026</f>
        <v>3.7357999999999998</v>
      </c>
      <c r="X1026" s="5">
        <f t="shared" si="142"/>
        <v>0.52105128205128204</v>
      </c>
      <c r="Z1026" s="2" t="s">
        <v>3227</v>
      </c>
      <c r="AA1026" s="2" t="s">
        <v>46</v>
      </c>
      <c r="AB1026" s="2" t="s">
        <v>47</v>
      </c>
      <c r="AC1026" s="2" t="s">
        <v>57</v>
      </c>
      <c r="AF1026" s="2">
        <f t="shared" ref="AF1026:AF1089" si="144">AJ1026</f>
        <v>0</v>
      </c>
      <c r="AG1026" s="2">
        <v>3.7357999999999998</v>
      </c>
      <c r="AH1026" s="2">
        <v>9</v>
      </c>
      <c r="AJ1026" s="2">
        <f t="shared" ref="AJ1026:AJ1089" si="145">AI1026*T1026</f>
        <v>0</v>
      </c>
      <c r="AK1026" s="2">
        <f t="shared" si="139"/>
        <v>4.0641999999999996</v>
      </c>
      <c r="AL1026" s="5">
        <f t="shared" si="143"/>
        <v>0.52105128205128204</v>
      </c>
    </row>
    <row r="1027" spans="1:38" x14ac:dyDescent="0.2">
      <c r="A1027" s="2">
        <v>2025</v>
      </c>
      <c r="B1027" s="2">
        <v>5</v>
      </c>
      <c r="D1027" s="2" t="s">
        <v>439</v>
      </c>
      <c r="E1027" s="2" t="s">
        <v>38</v>
      </c>
      <c r="F1027" s="2" t="s">
        <v>39</v>
      </c>
      <c r="G1027" s="2">
        <v>205800831</v>
      </c>
      <c r="H1027" s="2" t="s">
        <v>41</v>
      </c>
      <c r="I1027" s="2" t="s">
        <v>177</v>
      </c>
      <c r="J1027" s="2" t="s">
        <v>3176</v>
      </c>
      <c r="K1027" s="2">
        <v>911577458</v>
      </c>
      <c r="L1027" s="2" t="s">
        <v>177</v>
      </c>
      <c r="M1027" s="2" t="s">
        <v>41</v>
      </c>
      <c r="O1027" s="2" t="s">
        <v>3178</v>
      </c>
      <c r="P1027" s="2" t="s">
        <v>43</v>
      </c>
      <c r="Q1027" s="2" t="s">
        <v>65</v>
      </c>
      <c r="R1027" s="2" t="s">
        <v>66</v>
      </c>
      <c r="S1027" s="2">
        <v>1</v>
      </c>
      <c r="T1027" s="2">
        <v>21</v>
      </c>
      <c r="U1027" s="2">
        <v>4.83</v>
      </c>
      <c r="V1027" s="2">
        <v>25.83</v>
      </c>
      <c r="W1027" s="2">
        <f>15.0203*S1027</f>
        <v>15.020300000000001</v>
      </c>
      <c r="X1027" s="5">
        <f t="shared" si="142"/>
        <v>0.28474761904761903</v>
      </c>
      <c r="Z1027" s="2" t="s">
        <v>3227</v>
      </c>
      <c r="AA1027" s="2" t="s">
        <v>46</v>
      </c>
      <c r="AB1027" s="2" t="s">
        <v>67</v>
      </c>
      <c r="AC1027" s="2" t="s">
        <v>57</v>
      </c>
      <c r="AF1027" s="2">
        <f t="shared" si="144"/>
        <v>0</v>
      </c>
      <c r="AG1027" s="2">
        <v>15.020300000000001</v>
      </c>
      <c r="AH1027" s="2">
        <v>27.6</v>
      </c>
      <c r="AJ1027" s="2">
        <f t="shared" si="145"/>
        <v>0</v>
      </c>
      <c r="AK1027" s="2">
        <f t="shared" si="139"/>
        <v>5.9796999999999993</v>
      </c>
      <c r="AL1027" s="5">
        <f t="shared" si="143"/>
        <v>0.28474761904761903</v>
      </c>
    </row>
    <row r="1028" spans="1:38" x14ac:dyDescent="0.2">
      <c r="A1028" s="2">
        <v>2025</v>
      </c>
      <c r="B1028" s="2">
        <v>5</v>
      </c>
      <c r="D1028" s="2" t="s">
        <v>816</v>
      </c>
      <c r="E1028" s="2" t="s">
        <v>38</v>
      </c>
      <c r="F1028" s="2" t="s">
        <v>39</v>
      </c>
      <c r="L1028" s="2" t="s">
        <v>480</v>
      </c>
      <c r="M1028" s="2" t="s">
        <v>40</v>
      </c>
      <c r="P1028" s="2" t="s">
        <v>114</v>
      </c>
      <c r="Q1028" s="2" t="s">
        <v>412</v>
      </c>
      <c r="R1028" s="2" t="s">
        <v>413</v>
      </c>
      <c r="S1028" s="2">
        <v>1</v>
      </c>
      <c r="T1028" s="2">
        <v>15990</v>
      </c>
      <c r="U1028" s="2">
        <v>3677.7</v>
      </c>
      <c r="V1028" s="2">
        <v>19667.7</v>
      </c>
      <c r="W1028" s="2">
        <v>10669.4</v>
      </c>
      <c r="X1028" s="5">
        <f t="shared" si="142"/>
        <v>0.33274546591619764</v>
      </c>
      <c r="Z1028" s="2" t="s">
        <v>104</v>
      </c>
      <c r="AA1028" s="2" t="s">
        <v>414</v>
      </c>
      <c r="AB1028" s="2" t="s">
        <v>151</v>
      </c>
      <c r="AC1028" s="2" t="s">
        <v>114</v>
      </c>
      <c r="AF1028" s="2">
        <f t="shared" si="144"/>
        <v>0</v>
      </c>
      <c r="AJ1028" s="2">
        <f t="shared" si="145"/>
        <v>0</v>
      </c>
      <c r="AK1028" s="2">
        <f t="shared" si="139"/>
        <v>5320.6</v>
      </c>
      <c r="AL1028" s="5">
        <f t="shared" si="143"/>
        <v>0.33274546591619764</v>
      </c>
    </row>
    <row r="1029" spans="1:38" x14ac:dyDescent="0.2">
      <c r="A1029" s="2">
        <v>2025</v>
      </c>
      <c r="B1029" s="2">
        <v>5</v>
      </c>
      <c r="C1029" s="2" t="s">
        <v>3325</v>
      </c>
      <c r="D1029" s="2" t="s">
        <v>440</v>
      </c>
      <c r="E1029" s="2" t="s">
        <v>38</v>
      </c>
      <c r="F1029" s="2" t="s">
        <v>39</v>
      </c>
      <c r="G1029" s="2">
        <v>505173174</v>
      </c>
      <c r="H1029" s="2" t="s">
        <v>109</v>
      </c>
      <c r="I1029" s="2" t="s">
        <v>133</v>
      </c>
      <c r="J1029" s="2" t="s">
        <v>3181</v>
      </c>
      <c r="L1029" s="2" t="s">
        <v>133</v>
      </c>
      <c r="M1029" s="2" t="s">
        <v>40</v>
      </c>
      <c r="O1029" s="2" t="s">
        <v>3183</v>
      </c>
      <c r="P1029" s="2" t="s">
        <v>114</v>
      </c>
      <c r="Q1029" s="2" t="s">
        <v>639</v>
      </c>
      <c r="R1029" s="2" t="s">
        <v>640</v>
      </c>
      <c r="S1029" s="2">
        <v>1</v>
      </c>
      <c r="T1029" s="2">
        <v>1222.1199999999999</v>
      </c>
      <c r="U1029" s="2">
        <v>281.08760000000001</v>
      </c>
      <c r="V1029" s="2">
        <v>1503.2076</v>
      </c>
      <c r="W1029" s="2">
        <v>585.00340000000006</v>
      </c>
      <c r="X1029" s="5">
        <f t="shared" si="142"/>
        <v>0.52132081955945397</v>
      </c>
      <c r="Z1029" s="2" t="s">
        <v>117</v>
      </c>
      <c r="AA1029" s="2" t="s">
        <v>118</v>
      </c>
      <c r="AB1029" s="2" t="s">
        <v>119</v>
      </c>
      <c r="AC1029" s="2" t="s">
        <v>114</v>
      </c>
      <c r="AF1029" s="2">
        <f t="shared" si="144"/>
        <v>0</v>
      </c>
      <c r="AG1029" s="2">
        <f>576.8234+8.18</f>
        <v>585.00339999999994</v>
      </c>
      <c r="AJ1029" s="2">
        <f t="shared" si="145"/>
        <v>0</v>
      </c>
      <c r="AK1029" s="2">
        <f t="shared" si="139"/>
        <v>637.11659999999983</v>
      </c>
      <c r="AL1029" s="5">
        <f t="shared" si="143"/>
        <v>0.52132081955945397</v>
      </c>
    </row>
    <row r="1030" spans="1:38" x14ac:dyDescent="0.2">
      <c r="A1030" s="2">
        <v>2025</v>
      </c>
      <c r="B1030" s="2">
        <v>5</v>
      </c>
      <c r="D1030" s="2" t="s">
        <v>440</v>
      </c>
      <c r="E1030" s="2" t="s">
        <v>38</v>
      </c>
      <c r="F1030" s="2" t="s">
        <v>39</v>
      </c>
      <c r="G1030" s="2">
        <v>505173174</v>
      </c>
      <c r="H1030" s="2" t="s">
        <v>109</v>
      </c>
      <c r="I1030" s="2" t="s">
        <v>133</v>
      </c>
      <c r="J1030" s="2" t="s">
        <v>3181</v>
      </c>
      <c r="L1030" s="2" t="s">
        <v>133</v>
      </c>
      <c r="M1030" s="2" t="s">
        <v>40</v>
      </c>
      <c r="O1030" s="2" t="s">
        <v>3183</v>
      </c>
      <c r="P1030" s="2" t="s">
        <v>187</v>
      </c>
      <c r="Q1030" s="2" t="s">
        <v>188</v>
      </c>
      <c r="R1030" s="2" t="s">
        <v>189</v>
      </c>
      <c r="S1030" s="2">
        <v>1</v>
      </c>
      <c r="T1030" s="2">
        <v>121</v>
      </c>
      <c r="U1030" s="2">
        <v>27.83</v>
      </c>
      <c r="V1030" s="2">
        <v>148.83000000000001</v>
      </c>
      <c r="W1030" s="2">
        <f>T1030*40%</f>
        <v>48.400000000000006</v>
      </c>
      <c r="X1030" s="5">
        <f t="shared" si="142"/>
        <v>0.6</v>
      </c>
      <c r="Z1030" s="2" t="s">
        <v>117</v>
      </c>
      <c r="AA1030" s="2" t="s">
        <v>190</v>
      </c>
      <c r="AB1030" s="2" t="s">
        <v>189</v>
      </c>
      <c r="AC1030" s="2" t="s">
        <v>40</v>
      </c>
      <c r="AF1030" s="2">
        <f t="shared" si="144"/>
        <v>0</v>
      </c>
      <c r="AJ1030" s="2">
        <f t="shared" si="145"/>
        <v>0</v>
      </c>
      <c r="AK1030" s="2">
        <f t="shared" si="139"/>
        <v>72.599999999999994</v>
      </c>
      <c r="AL1030" s="5">
        <f t="shared" si="143"/>
        <v>0.6</v>
      </c>
    </row>
    <row r="1031" spans="1:38" x14ac:dyDescent="0.2">
      <c r="A1031" s="2">
        <v>2025</v>
      </c>
      <c r="B1031" s="2">
        <v>5</v>
      </c>
      <c r="D1031" s="2" t="s">
        <v>440</v>
      </c>
      <c r="E1031" s="2" t="s">
        <v>38</v>
      </c>
      <c r="F1031" s="2" t="s">
        <v>39</v>
      </c>
      <c r="G1031" s="2">
        <v>505173174</v>
      </c>
      <c r="H1031" s="2" t="s">
        <v>109</v>
      </c>
      <c r="I1031" s="2" t="s">
        <v>133</v>
      </c>
      <c r="J1031" s="2" t="s">
        <v>3181</v>
      </c>
      <c r="L1031" s="2" t="s">
        <v>133</v>
      </c>
      <c r="M1031" s="2" t="s">
        <v>40</v>
      </c>
      <c r="O1031" s="2" t="s">
        <v>3183</v>
      </c>
      <c r="P1031" s="2" t="s">
        <v>187</v>
      </c>
      <c r="Q1031" s="2" t="s">
        <v>191</v>
      </c>
      <c r="R1031" s="2" t="s">
        <v>190</v>
      </c>
      <c r="S1031" s="2">
        <v>1</v>
      </c>
      <c r="T1031" s="2">
        <v>50</v>
      </c>
      <c r="U1031" s="2">
        <v>11.5</v>
      </c>
      <c r="V1031" s="2">
        <v>61.5</v>
      </c>
      <c r="W1031" s="2">
        <f>T1031*50%</f>
        <v>25</v>
      </c>
      <c r="X1031" s="5">
        <f t="shared" si="142"/>
        <v>0.5</v>
      </c>
      <c r="Z1031" s="2" t="s">
        <v>117</v>
      </c>
      <c r="AA1031" s="2" t="s">
        <v>190</v>
      </c>
      <c r="AB1031" s="2" t="s">
        <v>190</v>
      </c>
      <c r="AC1031" s="2" t="s">
        <v>40</v>
      </c>
      <c r="AF1031" s="2">
        <f t="shared" si="144"/>
        <v>0</v>
      </c>
      <c r="AJ1031" s="2">
        <f t="shared" si="145"/>
        <v>0</v>
      </c>
      <c r="AK1031" s="2">
        <f t="shared" si="139"/>
        <v>25</v>
      </c>
      <c r="AL1031" s="5">
        <f t="shared" si="143"/>
        <v>0.5</v>
      </c>
    </row>
    <row r="1032" spans="1:38" x14ac:dyDescent="0.2">
      <c r="A1032" s="2">
        <v>2025</v>
      </c>
      <c r="B1032" s="2">
        <v>5</v>
      </c>
      <c r="D1032" s="2" t="s">
        <v>451</v>
      </c>
      <c r="E1032" s="2" t="s">
        <v>108</v>
      </c>
      <c r="F1032" s="2" t="s">
        <v>39</v>
      </c>
      <c r="G1032" s="2">
        <v>506085686</v>
      </c>
      <c r="H1032" s="2" t="s">
        <v>40</v>
      </c>
      <c r="I1032" s="2" t="s">
        <v>452</v>
      </c>
      <c r="J1032" s="2" t="s">
        <v>453</v>
      </c>
      <c r="K1032" s="2">
        <v>917241919</v>
      </c>
      <c r="L1032" s="2" t="s">
        <v>398</v>
      </c>
      <c r="P1032" s="2" t="s">
        <v>114</v>
      </c>
      <c r="Q1032" s="2" t="s">
        <v>1383</v>
      </c>
      <c r="R1032" s="2" t="s">
        <v>1384</v>
      </c>
      <c r="S1032" s="2">
        <v>1</v>
      </c>
      <c r="T1032" s="2">
        <v>128.09</v>
      </c>
      <c r="U1032" s="2">
        <v>29.460699999999999</v>
      </c>
      <c r="V1032" s="2">
        <v>157.55070000000001</v>
      </c>
      <c r="X1032" s="5">
        <f t="shared" si="142"/>
        <v>1</v>
      </c>
      <c r="Z1032" s="2" t="s">
        <v>117</v>
      </c>
      <c r="AA1032" s="2" t="s">
        <v>118</v>
      </c>
      <c r="AB1032" s="2" t="s">
        <v>119</v>
      </c>
      <c r="AC1032" s="2" t="s">
        <v>114</v>
      </c>
      <c r="AF1032" s="2">
        <f t="shared" si="144"/>
        <v>0</v>
      </c>
      <c r="AJ1032" s="2">
        <f t="shared" si="145"/>
        <v>0</v>
      </c>
      <c r="AK1032" s="2">
        <f t="shared" si="139"/>
        <v>128.09</v>
      </c>
      <c r="AL1032" s="5">
        <f t="shared" si="143"/>
        <v>1</v>
      </c>
    </row>
    <row r="1033" spans="1:38" x14ac:dyDescent="0.2">
      <c r="A1033" s="2">
        <v>2025</v>
      </c>
      <c r="B1033" s="2">
        <v>5</v>
      </c>
      <c r="D1033" s="2" t="s">
        <v>451</v>
      </c>
      <c r="E1033" s="2" t="s">
        <v>108</v>
      </c>
      <c r="F1033" s="2" t="s">
        <v>39</v>
      </c>
      <c r="G1033" s="2">
        <v>506085686</v>
      </c>
      <c r="H1033" s="2" t="s">
        <v>40</v>
      </c>
      <c r="I1033" s="2" t="s">
        <v>452</v>
      </c>
      <c r="J1033" s="2" t="s">
        <v>453</v>
      </c>
      <c r="K1033" s="2">
        <v>917241919</v>
      </c>
      <c r="L1033" s="2" t="s">
        <v>398</v>
      </c>
      <c r="P1033" s="2" t="s">
        <v>114</v>
      </c>
      <c r="Q1033" s="2" t="s">
        <v>1385</v>
      </c>
      <c r="R1033" s="2" t="s">
        <v>1080</v>
      </c>
      <c r="S1033" s="2">
        <v>1</v>
      </c>
      <c r="T1033" s="2">
        <v>81.16</v>
      </c>
      <c r="U1033" s="2">
        <v>18.666799999999999</v>
      </c>
      <c r="V1033" s="2">
        <v>99.826799999999992</v>
      </c>
      <c r="X1033" s="5">
        <f t="shared" si="142"/>
        <v>1</v>
      </c>
      <c r="Z1033" s="2" t="s">
        <v>117</v>
      </c>
      <c r="AA1033" s="2" t="s">
        <v>118</v>
      </c>
      <c r="AB1033" s="2" t="s">
        <v>119</v>
      </c>
      <c r="AC1033" s="2" t="s">
        <v>114</v>
      </c>
      <c r="AF1033" s="2">
        <f t="shared" si="144"/>
        <v>0</v>
      </c>
      <c r="AJ1033" s="2">
        <f t="shared" si="145"/>
        <v>0</v>
      </c>
      <c r="AK1033" s="2">
        <f t="shared" ref="AK1033:AK1078" si="146">T1033-W1033</f>
        <v>81.16</v>
      </c>
      <c r="AL1033" s="5">
        <f t="shared" si="143"/>
        <v>1</v>
      </c>
    </row>
    <row r="1034" spans="1:38" x14ac:dyDescent="0.2">
      <c r="A1034" s="2">
        <v>2025</v>
      </c>
      <c r="B1034" s="2">
        <v>5</v>
      </c>
      <c r="D1034" s="2" t="s">
        <v>451</v>
      </c>
      <c r="E1034" s="2" t="s">
        <v>108</v>
      </c>
      <c r="F1034" s="2" t="s">
        <v>39</v>
      </c>
      <c r="G1034" s="2">
        <v>506085686</v>
      </c>
      <c r="H1034" s="2" t="s">
        <v>40</v>
      </c>
      <c r="I1034" s="2" t="s">
        <v>452</v>
      </c>
      <c r="J1034" s="2" t="s">
        <v>453</v>
      </c>
      <c r="K1034" s="2">
        <v>917241919</v>
      </c>
      <c r="L1034" s="2" t="s">
        <v>398</v>
      </c>
      <c r="P1034" s="2" t="s">
        <v>114</v>
      </c>
      <c r="Q1034" s="2" t="s">
        <v>1386</v>
      </c>
      <c r="R1034" s="2" t="s">
        <v>1387</v>
      </c>
      <c r="S1034" s="2">
        <v>1</v>
      </c>
      <c r="T1034" s="2">
        <v>399.92</v>
      </c>
      <c r="U1034" s="2">
        <v>91.981600000000014</v>
      </c>
      <c r="V1034" s="2">
        <v>491.90159999999997</v>
      </c>
      <c r="X1034" s="5">
        <f t="shared" si="142"/>
        <v>1</v>
      </c>
      <c r="Z1034" s="2" t="s">
        <v>117</v>
      </c>
      <c r="AA1034" s="2" t="s">
        <v>118</v>
      </c>
      <c r="AB1034" s="2" t="s">
        <v>119</v>
      </c>
      <c r="AC1034" s="2" t="s">
        <v>114</v>
      </c>
      <c r="AF1034" s="2">
        <f t="shared" si="144"/>
        <v>0</v>
      </c>
      <c r="AJ1034" s="2">
        <f t="shared" si="145"/>
        <v>0</v>
      </c>
      <c r="AK1034" s="2">
        <f t="shared" si="146"/>
        <v>399.92</v>
      </c>
      <c r="AL1034" s="5">
        <f t="shared" si="143"/>
        <v>1</v>
      </c>
    </row>
    <row r="1035" spans="1:38" x14ac:dyDescent="0.2">
      <c r="A1035" s="2">
        <v>2025</v>
      </c>
      <c r="B1035" s="2">
        <v>5</v>
      </c>
      <c r="D1035" s="2" t="s">
        <v>451</v>
      </c>
      <c r="E1035" s="2" t="s">
        <v>108</v>
      </c>
      <c r="F1035" s="2" t="s">
        <v>39</v>
      </c>
      <c r="G1035" s="2">
        <v>506085686</v>
      </c>
      <c r="H1035" s="2" t="s">
        <v>40</v>
      </c>
      <c r="I1035" s="2" t="s">
        <v>452</v>
      </c>
      <c r="J1035" s="2" t="s">
        <v>453</v>
      </c>
      <c r="K1035" s="2">
        <v>917241919</v>
      </c>
      <c r="L1035" s="2" t="s">
        <v>398</v>
      </c>
      <c r="M1035" s="2" t="s">
        <v>40</v>
      </c>
      <c r="P1035" s="2" t="s">
        <v>187</v>
      </c>
      <c r="Q1035" s="2" t="s">
        <v>188</v>
      </c>
      <c r="R1035" s="2" t="s">
        <v>189</v>
      </c>
      <c r="S1035" s="2">
        <v>1</v>
      </c>
      <c r="T1035" s="2">
        <v>89.25</v>
      </c>
      <c r="U1035" s="2">
        <v>20.5275</v>
      </c>
      <c r="V1035" s="2">
        <v>109.7775</v>
      </c>
      <c r="W1035" s="2">
        <f>T1035*40%</f>
        <v>35.700000000000003</v>
      </c>
      <c r="X1035" s="5">
        <f t="shared" si="142"/>
        <v>0.6</v>
      </c>
      <c r="Z1035" s="2" t="s">
        <v>117</v>
      </c>
      <c r="AA1035" s="2" t="s">
        <v>190</v>
      </c>
      <c r="AB1035" s="2" t="s">
        <v>189</v>
      </c>
      <c r="AC1035" s="2" t="s">
        <v>40</v>
      </c>
      <c r="AF1035" s="2">
        <f t="shared" si="144"/>
        <v>0</v>
      </c>
      <c r="AJ1035" s="2">
        <f t="shared" si="145"/>
        <v>0</v>
      </c>
      <c r="AK1035" s="2">
        <f t="shared" si="146"/>
        <v>53.55</v>
      </c>
      <c r="AL1035" s="5">
        <f t="shared" si="143"/>
        <v>0.6</v>
      </c>
    </row>
    <row r="1036" spans="1:38" x14ac:dyDescent="0.2">
      <c r="A1036" s="2">
        <v>2025</v>
      </c>
      <c r="B1036" s="2">
        <v>5</v>
      </c>
      <c r="D1036" s="2" t="s">
        <v>451</v>
      </c>
      <c r="E1036" s="2" t="s">
        <v>108</v>
      </c>
      <c r="F1036" s="2" t="s">
        <v>39</v>
      </c>
      <c r="G1036" s="2">
        <v>506085686</v>
      </c>
      <c r="H1036" s="2" t="s">
        <v>40</v>
      </c>
      <c r="I1036" s="2" t="s">
        <v>452</v>
      </c>
      <c r="J1036" s="2" t="s">
        <v>453</v>
      </c>
      <c r="K1036" s="2">
        <v>917241919</v>
      </c>
      <c r="L1036" s="2" t="s">
        <v>398</v>
      </c>
      <c r="M1036" s="2" t="s">
        <v>40</v>
      </c>
      <c r="P1036" s="2" t="s">
        <v>187</v>
      </c>
      <c r="Q1036" s="2" t="s">
        <v>191</v>
      </c>
      <c r="R1036" s="2" t="s">
        <v>190</v>
      </c>
      <c r="S1036" s="2">
        <v>2</v>
      </c>
      <c r="T1036" s="2">
        <v>90</v>
      </c>
      <c r="U1036" s="2">
        <v>20.7</v>
      </c>
      <c r="V1036" s="2">
        <v>110.7</v>
      </c>
      <c r="W1036" s="2">
        <f>T1036*50%</f>
        <v>45</v>
      </c>
      <c r="X1036" s="5">
        <f t="shared" si="142"/>
        <v>0.5</v>
      </c>
      <c r="Z1036" s="2" t="s">
        <v>117</v>
      </c>
      <c r="AA1036" s="2" t="s">
        <v>190</v>
      </c>
      <c r="AB1036" s="2" t="s">
        <v>190</v>
      </c>
      <c r="AC1036" s="2" t="s">
        <v>40</v>
      </c>
      <c r="AF1036" s="2">
        <f t="shared" si="144"/>
        <v>0</v>
      </c>
      <c r="AJ1036" s="2">
        <f t="shared" si="145"/>
        <v>0</v>
      </c>
      <c r="AK1036" s="2">
        <f t="shared" si="146"/>
        <v>45</v>
      </c>
      <c r="AL1036" s="5">
        <f t="shared" si="143"/>
        <v>0.5</v>
      </c>
    </row>
    <row r="1037" spans="1:38" x14ac:dyDescent="0.2">
      <c r="A1037" s="2">
        <v>2025</v>
      </c>
      <c r="B1037" s="2">
        <v>5</v>
      </c>
      <c r="D1037" s="2" t="s">
        <v>1388</v>
      </c>
      <c r="P1037" s="2" t="s">
        <v>114</v>
      </c>
      <c r="Q1037" s="2" t="s">
        <v>646</v>
      </c>
      <c r="R1037" s="2" t="s">
        <v>647</v>
      </c>
      <c r="S1037" s="2">
        <v>1</v>
      </c>
      <c r="T1037" s="2">
        <v>62.6</v>
      </c>
      <c r="U1037" s="2">
        <v>14.398</v>
      </c>
      <c r="V1037" s="2">
        <v>76.998000000000005</v>
      </c>
      <c r="W1037" s="2">
        <v>30.61</v>
      </c>
      <c r="X1037" s="5">
        <f t="shared" si="142"/>
        <v>0.51102236421725244</v>
      </c>
      <c r="Z1037" s="2" t="s">
        <v>117</v>
      </c>
      <c r="AA1037" s="2" t="s">
        <v>118</v>
      </c>
      <c r="AB1037" s="2" t="s">
        <v>119</v>
      </c>
      <c r="AC1037" s="2" t="s">
        <v>114</v>
      </c>
      <c r="AF1037" s="2">
        <f t="shared" si="144"/>
        <v>0</v>
      </c>
      <c r="AJ1037" s="2">
        <f t="shared" si="145"/>
        <v>0</v>
      </c>
      <c r="AK1037" s="2">
        <f t="shared" si="146"/>
        <v>31.990000000000002</v>
      </c>
      <c r="AL1037" s="5">
        <f t="shared" si="143"/>
        <v>0.51102236421725244</v>
      </c>
    </row>
    <row r="1038" spans="1:38" x14ac:dyDescent="0.2">
      <c r="A1038" s="2">
        <v>2025</v>
      </c>
      <c r="B1038" s="2">
        <v>5</v>
      </c>
      <c r="D1038" s="2" t="s">
        <v>828</v>
      </c>
      <c r="E1038" s="2" t="s">
        <v>108</v>
      </c>
      <c r="F1038" s="2" t="s">
        <v>39</v>
      </c>
      <c r="G1038" s="2">
        <v>506179095</v>
      </c>
      <c r="H1038" s="2" t="s">
        <v>40</v>
      </c>
      <c r="I1038" s="2" t="s">
        <v>829</v>
      </c>
      <c r="J1038" s="2" t="s">
        <v>830</v>
      </c>
      <c r="L1038" s="2" t="s">
        <v>99</v>
      </c>
      <c r="M1038" s="2" t="s">
        <v>80</v>
      </c>
      <c r="O1038" s="2" t="s">
        <v>1389</v>
      </c>
      <c r="P1038" s="2" t="s">
        <v>72</v>
      </c>
      <c r="Q1038" s="2" t="s">
        <v>1390</v>
      </c>
      <c r="R1038" s="2" t="s">
        <v>74</v>
      </c>
      <c r="S1038" s="2">
        <v>1</v>
      </c>
      <c r="T1038" s="2">
        <v>210</v>
      </c>
      <c r="U1038" s="2">
        <v>48.3</v>
      </c>
      <c r="V1038" s="2">
        <v>258.3</v>
      </c>
      <c r="W1038" s="2">
        <v>109.26</v>
      </c>
      <c r="X1038" s="5">
        <f t="shared" si="142"/>
        <v>0.4797142857142857</v>
      </c>
      <c r="Z1038" s="2" t="s">
        <v>3227</v>
      </c>
      <c r="AA1038" s="2" t="s">
        <v>75</v>
      </c>
      <c r="AB1038" s="2" t="s">
        <v>76</v>
      </c>
      <c r="AC1038" s="2" t="s">
        <v>77</v>
      </c>
      <c r="AF1038" s="2">
        <f t="shared" si="144"/>
        <v>0</v>
      </c>
      <c r="AJ1038" s="2">
        <f t="shared" si="145"/>
        <v>0</v>
      </c>
      <c r="AK1038" s="2">
        <f t="shared" si="146"/>
        <v>100.74</v>
      </c>
      <c r="AL1038" s="5">
        <f t="shared" si="143"/>
        <v>0.4797142857142857</v>
      </c>
    </row>
    <row r="1039" spans="1:38" x14ac:dyDescent="0.2">
      <c r="A1039" s="2">
        <v>2025</v>
      </c>
      <c r="B1039" s="2">
        <v>5</v>
      </c>
      <c r="D1039" s="2" t="s">
        <v>828</v>
      </c>
      <c r="E1039" s="2" t="s">
        <v>108</v>
      </c>
      <c r="F1039" s="2" t="s">
        <v>39</v>
      </c>
      <c r="G1039" s="2">
        <v>506179095</v>
      </c>
      <c r="H1039" s="2" t="s">
        <v>40</v>
      </c>
      <c r="I1039" s="2" t="s">
        <v>829</v>
      </c>
      <c r="J1039" s="2" t="s">
        <v>830</v>
      </c>
      <c r="L1039" s="2" t="s">
        <v>99</v>
      </c>
      <c r="M1039" s="2" t="s">
        <v>80</v>
      </c>
      <c r="O1039" s="2" t="s">
        <v>1389</v>
      </c>
      <c r="P1039" s="2" t="s">
        <v>93</v>
      </c>
      <c r="Q1039" s="2" t="s">
        <v>94</v>
      </c>
      <c r="R1039" s="2" t="s">
        <v>95</v>
      </c>
      <c r="S1039" s="2">
        <v>1</v>
      </c>
      <c r="T1039" s="2">
        <v>1.1399999999999999</v>
      </c>
      <c r="U1039" s="2">
        <v>0.26219999999999999</v>
      </c>
      <c r="V1039" s="2">
        <v>1.4021999999999999</v>
      </c>
      <c r="W1039" s="2">
        <v>1.1399999999999999</v>
      </c>
      <c r="X1039" s="5">
        <f t="shared" si="142"/>
        <v>0</v>
      </c>
      <c r="Z1039" s="2" t="s">
        <v>3227</v>
      </c>
      <c r="AA1039" s="2" t="s">
        <v>96</v>
      </c>
      <c r="AB1039" s="2" t="s">
        <v>76</v>
      </c>
      <c r="AC1039" s="2" t="s">
        <v>93</v>
      </c>
      <c r="AF1039" s="2">
        <f t="shared" si="144"/>
        <v>0</v>
      </c>
      <c r="AG1039" s="2">
        <v>1.1399999999999999</v>
      </c>
      <c r="AH1039" s="2">
        <v>1.1399999999999999</v>
      </c>
      <c r="AJ1039" s="2">
        <f t="shared" si="145"/>
        <v>0</v>
      </c>
      <c r="AK1039" s="2">
        <f t="shared" si="146"/>
        <v>0</v>
      </c>
      <c r="AL1039" s="5">
        <f t="shared" si="143"/>
        <v>0</v>
      </c>
    </row>
    <row r="1040" spans="1:38" x14ac:dyDescent="0.2">
      <c r="A1040" s="2">
        <v>2025</v>
      </c>
      <c r="B1040" s="2">
        <v>5</v>
      </c>
      <c r="D1040" s="2" t="s">
        <v>458</v>
      </c>
      <c r="E1040" s="2" t="s">
        <v>108</v>
      </c>
      <c r="F1040" s="2" t="s">
        <v>477</v>
      </c>
      <c r="G1040" s="2">
        <v>507016173</v>
      </c>
      <c r="H1040" s="2" t="s">
        <v>109</v>
      </c>
      <c r="I1040" s="2" t="s">
        <v>459</v>
      </c>
      <c r="J1040" s="2" t="s">
        <v>460</v>
      </c>
      <c r="L1040" s="2" t="s">
        <v>461</v>
      </c>
      <c r="P1040" s="2" t="s">
        <v>43</v>
      </c>
      <c r="Q1040" s="2" t="s">
        <v>236</v>
      </c>
      <c r="R1040" s="2" t="s">
        <v>237</v>
      </c>
      <c r="S1040" s="2">
        <v>1</v>
      </c>
      <c r="T1040" s="2">
        <v>16.2</v>
      </c>
      <c r="U1040" s="2">
        <v>3.726</v>
      </c>
      <c r="V1040" s="2">
        <v>19.925999999999998</v>
      </c>
      <c r="W1040" s="2">
        <f>9.075*S1040</f>
        <v>9.0749999999999993</v>
      </c>
      <c r="X1040" s="5">
        <f t="shared" si="142"/>
        <v>0.43981481481481483</v>
      </c>
      <c r="Z1040" s="2" t="s">
        <v>3227</v>
      </c>
      <c r="AA1040" s="2" t="s">
        <v>46</v>
      </c>
      <c r="AB1040" s="2" t="s">
        <v>56</v>
      </c>
      <c r="AC1040" s="2" t="s">
        <v>57</v>
      </c>
      <c r="AF1040" s="2">
        <f t="shared" si="144"/>
        <v>0</v>
      </c>
      <c r="AJ1040" s="2">
        <f t="shared" si="145"/>
        <v>0</v>
      </c>
      <c r="AK1040" s="2">
        <f t="shared" si="146"/>
        <v>7.125</v>
      </c>
      <c r="AL1040" s="5">
        <f t="shared" si="143"/>
        <v>0.43981481481481483</v>
      </c>
    </row>
    <row r="1041" spans="1:38" x14ac:dyDescent="0.2">
      <c r="A1041" s="2">
        <v>2025</v>
      </c>
      <c r="B1041" s="2">
        <v>5</v>
      </c>
      <c r="D1041" s="2" t="s">
        <v>458</v>
      </c>
      <c r="E1041" s="2" t="s">
        <v>108</v>
      </c>
      <c r="F1041" s="2" t="s">
        <v>477</v>
      </c>
      <c r="G1041" s="2">
        <v>507016173</v>
      </c>
      <c r="H1041" s="2" t="s">
        <v>109</v>
      </c>
      <c r="I1041" s="2" t="s">
        <v>459</v>
      </c>
      <c r="J1041" s="2" t="s">
        <v>460</v>
      </c>
      <c r="L1041" s="2" t="s">
        <v>461</v>
      </c>
      <c r="P1041" s="2" t="s">
        <v>43</v>
      </c>
      <c r="Q1041" s="2" t="s">
        <v>244</v>
      </c>
      <c r="R1041" s="2" t="s">
        <v>245</v>
      </c>
      <c r="S1041" s="2">
        <v>1</v>
      </c>
      <c r="T1041" s="2">
        <v>16.8</v>
      </c>
      <c r="U1041" s="2">
        <v>3.8639999999999999</v>
      </c>
      <c r="V1041" s="2">
        <v>20.664000000000001</v>
      </c>
      <c r="W1041" s="2">
        <f>9.2346*S1041</f>
        <v>9.2346000000000004</v>
      </c>
      <c r="X1041" s="5">
        <f t="shared" si="142"/>
        <v>0.45032142857142859</v>
      </c>
      <c r="Z1041" s="2" t="s">
        <v>3227</v>
      </c>
      <c r="AA1041" s="2" t="s">
        <v>46</v>
      </c>
      <c r="AB1041" s="2" t="s">
        <v>56</v>
      </c>
      <c r="AC1041" s="2" t="s">
        <v>57</v>
      </c>
      <c r="AF1041" s="2">
        <f t="shared" si="144"/>
        <v>0</v>
      </c>
      <c r="AJ1041" s="2">
        <f t="shared" si="145"/>
        <v>0</v>
      </c>
      <c r="AK1041" s="2">
        <f t="shared" si="146"/>
        <v>7.5654000000000003</v>
      </c>
      <c r="AL1041" s="5">
        <f t="shared" si="143"/>
        <v>0.45032142857142859</v>
      </c>
    </row>
    <row r="1042" spans="1:38" x14ac:dyDescent="0.2">
      <c r="A1042" s="2">
        <v>2025</v>
      </c>
      <c r="B1042" s="2">
        <v>5</v>
      </c>
      <c r="D1042" s="2" t="s">
        <v>458</v>
      </c>
      <c r="E1042" s="2" t="s">
        <v>108</v>
      </c>
      <c r="F1042" s="2" t="s">
        <v>477</v>
      </c>
      <c r="G1042" s="2">
        <v>507016173</v>
      </c>
      <c r="H1042" s="2" t="s">
        <v>109</v>
      </c>
      <c r="I1042" s="2" t="s">
        <v>459</v>
      </c>
      <c r="J1042" s="2" t="s">
        <v>460</v>
      </c>
      <c r="L1042" s="2" t="s">
        <v>461</v>
      </c>
      <c r="P1042" s="2" t="s">
        <v>43</v>
      </c>
      <c r="Q1042" s="2" t="s">
        <v>61</v>
      </c>
      <c r="R1042" s="2" t="s">
        <v>62</v>
      </c>
      <c r="S1042" s="2">
        <v>1000</v>
      </c>
      <c r="T1042" s="2">
        <v>105</v>
      </c>
      <c r="U1042" s="2">
        <v>24.15</v>
      </c>
      <c r="V1042" s="2">
        <v>129.15</v>
      </c>
      <c r="W1042" s="2">
        <f>0.082*S1042</f>
        <v>82</v>
      </c>
      <c r="X1042" s="5">
        <f t="shared" si="142"/>
        <v>0.21904761904761905</v>
      </c>
      <c r="Z1042" s="2" t="s">
        <v>3227</v>
      </c>
      <c r="AA1042" s="2" t="s">
        <v>46</v>
      </c>
      <c r="AB1042" s="2" t="s">
        <v>60</v>
      </c>
      <c r="AC1042" s="2" t="s">
        <v>57</v>
      </c>
      <c r="AF1042" s="2">
        <f t="shared" si="144"/>
        <v>0</v>
      </c>
      <c r="AG1042" s="2">
        <v>8.1999999999999993</v>
      </c>
      <c r="AH1042" s="2">
        <v>13</v>
      </c>
      <c r="AJ1042" s="2">
        <f t="shared" si="145"/>
        <v>0</v>
      </c>
      <c r="AK1042" s="2">
        <f t="shared" si="146"/>
        <v>23</v>
      </c>
      <c r="AL1042" s="5">
        <f t="shared" si="143"/>
        <v>0.21904761904761905</v>
      </c>
    </row>
    <row r="1043" spans="1:38" x14ac:dyDescent="0.2">
      <c r="A1043" s="2">
        <v>2025</v>
      </c>
      <c r="B1043" s="2">
        <v>5</v>
      </c>
      <c r="D1043" s="2" t="s">
        <v>458</v>
      </c>
      <c r="E1043" s="2" t="s">
        <v>108</v>
      </c>
      <c r="F1043" s="2" t="s">
        <v>477</v>
      </c>
      <c r="G1043" s="2">
        <v>507016173</v>
      </c>
      <c r="H1043" s="2" t="s">
        <v>109</v>
      </c>
      <c r="I1043" s="2" t="s">
        <v>459</v>
      </c>
      <c r="J1043" s="2" t="s">
        <v>460</v>
      </c>
      <c r="L1043" s="2" t="s">
        <v>461</v>
      </c>
      <c r="M1043" s="2" t="s">
        <v>41</v>
      </c>
      <c r="P1043" s="2" t="s">
        <v>43</v>
      </c>
      <c r="Q1043" s="2" t="s">
        <v>254</v>
      </c>
      <c r="R1043" s="2" t="s">
        <v>255</v>
      </c>
      <c r="S1043" s="2">
        <v>200</v>
      </c>
      <c r="T1043" s="2">
        <v>26</v>
      </c>
      <c r="U1043" s="2">
        <v>5.98</v>
      </c>
      <c r="V1043" s="2">
        <v>31.98</v>
      </c>
      <c r="W1043" s="2">
        <f>0.0914*S1043</f>
        <v>18.279999999999998</v>
      </c>
      <c r="X1043" s="5">
        <f t="shared" si="142"/>
        <v>0.29692307692307701</v>
      </c>
      <c r="Z1043" s="2" t="s">
        <v>3227</v>
      </c>
      <c r="AA1043" s="2" t="s">
        <v>46</v>
      </c>
      <c r="AB1043" s="2" t="s">
        <v>60</v>
      </c>
      <c r="AC1043" s="2" t="s">
        <v>57</v>
      </c>
      <c r="AF1043" s="2">
        <f t="shared" si="144"/>
        <v>0</v>
      </c>
      <c r="AJ1043" s="2">
        <f t="shared" si="145"/>
        <v>0</v>
      </c>
      <c r="AK1043" s="2">
        <f t="shared" si="146"/>
        <v>7.7200000000000024</v>
      </c>
      <c r="AL1043" s="5">
        <f t="shared" si="143"/>
        <v>0.29692307692307701</v>
      </c>
    </row>
    <row r="1044" spans="1:38" x14ac:dyDescent="0.2">
      <c r="A1044" s="2">
        <v>2025</v>
      </c>
      <c r="B1044" s="2">
        <v>5</v>
      </c>
      <c r="C1044" s="2" t="s">
        <v>3325</v>
      </c>
      <c r="D1044" s="15" t="s">
        <v>3337</v>
      </c>
      <c r="E1044" s="2" t="s">
        <v>108</v>
      </c>
      <c r="F1044" s="2" t="s">
        <v>39</v>
      </c>
      <c r="L1044" s="2" t="s">
        <v>461</v>
      </c>
      <c r="M1044" s="2" t="s">
        <v>80</v>
      </c>
      <c r="P1044" s="2" t="s">
        <v>72</v>
      </c>
      <c r="Q1044" s="2" t="s">
        <v>1390</v>
      </c>
      <c r="R1044" s="2" t="s">
        <v>74</v>
      </c>
      <c r="S1044" s="2">
        <v>1</v>
      </c>
      <c r="T1044" s="2">
        <v>220</v>
      </c>
      <c r="U1044" s="2">
        <v>50.6</v>
      </c>
      <c r="V1044" s="2">
        <v>270.60000000000002</v>
      </c>
      <c r="W1044" s="2">
        <v>109.26</v>
      </c>
      <c r="X1044" s="5">
        <f t="shared" si="142"/>
        <v>0.50336363636363635</v>
      </c>
      <c r="Z1044" s="2" t="s">
        <v>3227</v>
      </c>
      <c r="AA1044" s="2" t="s">
        <v>75</v>
      </c>
      <c r="AB1044" s="2" t="s">
        <v>76</v>
      </c>
      <c r="AC1044" s="2" t="s">
        <v>77</v>
      </c>
      <c r="AF1044" s="2">
        <f t="shared" si="144"/>
        <v>0</v>
      </c>
      <c r="AJ1044" s="2">
        <f t="shared" si="145"/>
        <v>0</v>
      </c>
      <c r="AK1044" s="2">
        <f t="shared" si="146"/>
        <v>110.74</v>
      </c>
      <c r="AL1044" s="5">
        <f t="shared" si="143"/>
        <v>0.50336363636363635</v>
      </c>
    </row>
    <row r="1045" spans="1:38" x14ac:dyDescent="0.2">
      <c r="A1045" s="2">
        <v>2025</v>
      </c>
      <c r="B1045" s="2">
        <v>5</v>
      </c>
      <c r="C1045" s="2" t="s">
        <v>3325</v>
      </c>
      <c r="D1045" s="15" t="s">
        <v>3337</v>
      </c>
      <c r="E1045" s="2" t="s">
        <v>108</v>
      </c>
      <c r="F1045" s="2" t="s">
        <v>39</v>
      </c>
      <c r="L1045" s="2" t="s">
        <v>461</v>
      </c>
      <c r="M1045" s="2" t="s">
        <v>80</v>
      </c>
      <c r="P1045" s="2" t="s">
        <v>93</v>
      </c>
      <c r="Q1045" s="2" t="s">
        <v>94</v>
      </c>
      <c r="R1045" s="2" t="s">
        <v>95</v>
      </c>
      <c r="S1045" s="2">
        <v>1</v>
      </c>
      <c r="T1045" s="2">
        <v>1.1399999999999999</v>
      </c>
      <c r="U1045" s="2">
        <v>0.26219999999999999</v>
      </c>
      <c r="V1045" s="2">
        <v>1.4021999999999999</v>
      </c>
      <c r="W1045" s="2">
        <v>1.1399999999999999</v>
      </c>
      <c r="X1045" s="5">
        <f t="shared" si="142"/>
        <v>0</v>
      </c>
      <c r="Z1045" s="2" t="s">
        <v>3227</v>
      </c>
      <c r="AA1045" s="2" t="s">
        <v>96</v>
      </c>
      <c r="AB1045" s="2" t="s">
        <v>76</v>
      </c>
      <c r="AC1045" s="2" t="s">
        <v>93</v>
      </c>
      <c r="AF1045" s="2">
        <f t="shared" si="144"/>
        <v>0</v>
      </c>
      <c r="AJ1045" s="2">
        <f t="shared" si="145"/>
        <v>0</v>
      </c>
      <c r="AK1045" s="2">
        <f t="shared" si="146"/>
        <v>0</v>
      </c>
      <c r="AL1045" s="5">
        <f t="shared" si="143"/>
        <v>0</v>
      </c>
    </row>
    <row r="1046" spans="1:38" x14ac:dyDescent="0.2">
      <c r="A1046" s="2">
        <v>2025</v>
      </c>
      <c r="B1046" s="2">
        <v>5</v>
      </c>
      <c r="C1046" s="2" t="s">
        <v>3315</v>
      </c>
      <c r="D1046" s="2" t="s">
        <v>3314</v>
      </c>
      <c r="E1046" s="2" t="s">
        <v>38</v>
      </c>
      <c r="F1046" s="2" t="s">
        <v>470</v>
      </c>
      <c r="G1046" s="2">
        <v>513626930</v>
      </c>
      <c r="H1046" s="2" t="s">
        <v>40</v>
      </c>
      <c r="I1046" s="2" t="s">
        <v>339</v>
      </c>
      <c r="J1046" s="2" t="s">
        <v>471</v>
      </c>
      <c r="L1046" s="2" t="s">
        <v>480</v>
      </c>
      <c r="M1046" s="2" t="s">
        <v>40</v>
      </c>
      <c r="P1046" s="2" t="s">
        <v>114</v>
      </c>
      <c r="Q1046" s="2" t="s">
        <v>955</v>
      </c>
      <c r="R1046" s="2" t="s">
        <v>956</v>
      </c>
      <c r="S1046" s="2">
        <v>1</v>
      </c>
      <c r="T1046" s="2">
        <v>10720</v>
      </c>
      <c r="U1046" s="2">
        <v>2465.6</v>
      </c>
      <c r="V1046" s="2">
        <v>13185.6</v>
      </c>
      <c r="W1046" s="2">
        <v>6468.73</v>
      </c>
      <c r="X1046" s="5">
        <f t="shared" si="142"/>
        <v>0.39657369402985077</v>
      </c>
      <c r="Z1046" s="2" t="s">
        <v>104</v>
      </c>
      <c r="AA1046" s="2" t="s">
        <v>616</v>
      </c>
      <c r="AB1046" s="2" t="s">
        <v>957</v>
      </c>
      <c r="AC1046" s="2" t="s">
        <v>114</v>
      </c>
      <c r="AF1046" s="2">
        <f t="shared" si="144"/>
        <v>0</v>
      </c>
      <c r="AG1046" s="2">
        <v>6468.73</v>
      </c>
      <c r="AJ1046" s="2">
        <f t="shared" si="145"/>
        <v>0</v>
      </c>
      <c r="AK1046" s="2">
        <f t="shared" si="146"/>
        <v>4251.2700000000004</v>
      </c>
      <c r="AL1046" s="5">
        <f t="shared" si="143"/>
        <v>0.39657369402985077</v>
      </c>
    </row>
    <row r="1047" spans="1:38" x14ac:dyDescent="0.2">
      <c r="A1047" s="2">
        <v>2025</v>
      </c>
      <c r="B1047" s="2">
        <v>5</v>
      </c>
      <c r="C1047" s="2" t="s">
        <v>3298</v>
      </c>
      <c r="D1047" s="2" t="s">
        <v>3313</v>
      </c>
      <c r="E1047" s="2" t="s">
        <v>38</v>
      </c>
      <c r="F1047" s="2" t="s">
        <v>39</v>
      </c>
      <c r="G1047" s="2">
        <v>513626930</v>
      </c>
      <c r="H1047" s="2" t="s">
        <v>40</v>
      </c>
      <c r="I1047" s="2" t="s">
        <v>339</v>
      </c>
      <c r="J1047" s="2" t="s">
        <v>471</v>
      </c>
      <c r="L1047" s="2" t="s">
        <v>99</v>
      </c>
      <c r="M1047" s="2" t="s">
        <v>41</v>
      </c>
      <c r="P1047" s="2" t="s">
        <v>282</v>
      </c>
      <c r="Q1047" s="2" t="s">
        <v>528</v>
      </c>
      <c r="R1047" s="2" t="s">
        <v>529</v>
      </c>
      <c r="S1047" s="2">
        <v>1</v>
      </c>
      <c r="T1047" s="2">
        <v>303</v>
      </c>
      <c r="U1047" s="2">
        <v>69.69</v>
      </c>
      <c r="V1047" s="2">
        <v>372.69</v>
      </c>
      <c r="W1047" s="2">
        <v>299.25</v>
      </c>
      <c r="X1047" s="5">
        <f t="shared" si="142"/>
        <v>1.2376237623762377E-2</v>
      </c>
      <c r="Z1047" s="2" t="s">
        <v>3227</v>
      </c>
      <c r="AA1047" s="2" t="s">
        <v>71</v>
      </c>
      <c r="AB1047" s="2" t="s">
        <v>119</v>
      </c>
      <c r="AC1047" s="2" t="s">
        <v>119</v>
      </c>
      <c r="AF1047" s="2">
        <f t="shared" si="144"/>
        <v>0</v>
      </c>
      <c r="AG1047" s="2">
        <v>299.25</v>
      </c>
      <c r="AJ1047" s="2">
        <f t="shared" si="145"/>
        <v>0</v>
      </c>
      <c r="AK1047" s="2">
        <f t="shared" si="146"/>
        <v>3.75</v>
      </c>
      <c r="AL1047" s="5">
        <f t="shared" si="143"/>
        <v>1.2376237623762377E-2</v>
      </c>
    </row>
    <row r="1048" spans="1:38" x14ac:dyDescent="0.2">
      <c r="A1048" s="2">
        <v>2025</v>
      </c>
      <c r="B1048" s="2">
        <v>5</v>
      </c>
      <c r="C1048" s="2" t="s">
        <v>3298</v>
      </c>
      <c r="D1048" s="2" t="s">
        <v>3313</v>
      </c>
      <c r="E1048" s="2" t="s">
        <v>38</v>
      </c>
      <c r="F1048" s="2" t="s">
        <v>39</v>
      </c>
      <c r="G1048" s="2">
        <v>513626930</v>
      </c>
      <c r="H1048" s="2" t="s">
        <v>40</v>
      </c>
      <c r="I1048" s="2" t="s">
        <v>339</v>
      </c>
      <c r="J1048" s="2" t="s">
        <v>471</v>
      </c>
      <c r="L1048" s="2" t="s">
        <v>99</v>
      </c>
      <c r="M1048" s="2" t="s">
        <v>41</v>
      </c>
      <c r="P1048" s="2" t="s">
        <v>282</v>
      </c>
      <c r="Q1048" s="2" t="s">
        <v>1391</v>
      </c>
      <c r="R1048" s="2" t="s">
        <v>1392</v>
      </c>
      <c r="S1048" s="2">
        <v>1</v>
      </c>
      <c r="T1048" s="2">
        <v>2399</v>
      </c>
      <c r="U1048" s="2">
        <v>551.77</v>
      </c>
      <c r="V1048" s="2">
        <v>2950.77</v>
      </c>
      <c r="W1048" s="2">
        <v>1990</v>
      </c>
      <c r="X1048" s="5">
        <f t="shared" si="142"/>
        <v>0.17048770320967069</v>
      </c>
      <c r="Z1048" s="2" t="s">
        <v>3227</v>
      </c>
      <c r="AA1048" s="2" t="s">
        <v>71</v>
      </c>
      <c r="AB1048" s="2" t="s">
        <v>1600</v>
      </c>
      <c r="AC1048" s="2" t="s">
        <v>1600</v>
      </c>
      <c r="AF1048" s="2">
        <f t="shared" si="144"/>
        <v>0</v>
      </c>
      <c r="AG1048" s="2">
        <v>1990</v>
      </c>
      <c r="AJ1048" s="2">
        <f t="shared" si="145"/>
        <v>0</v>
      </c>
      <c r="AK1048" s="2">
        <f t="shared" si="146"/>
        <v>409</v>
      </c>
      <c r="AL1048" s="5">
        <f t="shared" si="143"/>
        <v>0.17048770320967069</v>
      </c>
    </row>
    <row r="1049" spans="1:38" x14ac:dyDescent="0.2">
      <c r="A1049" s="2">
        <v>2025</v>
      </c>
      <c r="B1049" s="2">
        <v>5</v>
      </c>
      <c r="C1049" s="2" t="s">
        <v>3298</v>
      </c>
      <c r="D1049" s="2" t="s">
        <v>3313</v>
      </c>
      <c r="E1049" s="2" t="s">
        <v>38</v>
      </c>
      <c r="F1049" s="2" t="s">
        <v>39</v>
      </c>
      <c r="G1049" s="2">
        <v>513626930</v>
      </c>
      <c r="H1049" s="2" t="s">
        <v>40</v>
      </c>
      <c r="I1049" s="2" t="s">
        <v>339</v>
      </c>
      <c r="J1049" s="2" t="s">
        <v>471</v>
      </c>
      <c r="L1049" s="2" t="s">
        <v>99</v>
      </c>
      <c r="M1049" s="2" t="s">
        <v>41</v>
      </c>
      <c r="P1049" s="2" t="s">
        <v>282</v>
      </c>
      <c r="Q1049" s="2" t="s">
        <v>434</v>
      </c>
      <c r="R1049" s="2" t="s">
        <v>435</v>
      </c>
      <c r="S1049" s="2">
        <v>1</v>
      </c>
      <c r="T1049" s="2">
        <v>562.75</v>
      </c>
      <c r="U1049" s="2">
        <v>129.4325</v>
      </c>
      <c r="V1049" s="2">
        <v>692.1825</v>
      </c>
      <c r="W1049" s="2">
        <v>417</v>
      </c>
      <c r="X1049" s="5">
        <f t="shared" si="142"/>
        <v>0.25899600177698801</v>
      </c>
      <c r="Z1049" s="2" t="s">
        <v>104</v>
      </c>
      <c r="AA1049" s="2" t="s">
        <v>387</v>
      </c>
      <c r="AB1049" s="2" t="s">
        <v>388</v>
      </c>
      <c r="AC1049" s="2" t="s">
        <v>389</v>
      </c>
      <c r="AF1049" s="2">
        <f t="shared" si="144"/>
        <v>0</v>
      </c>
      <c r="AG1049" s="2">
        <v>417</v>
      </c>
      <c r="AJ1049" s="2">
        <f t="shared" si="145"/>
        <v>0</v>
      </c>
      <c r="AK1049" s="2">
        <f t="shared" si="146"/>
        <v>145.75</v>
      </c>
      <c r="AL1049" s="5">
        <f t="shared" si="143"/>
        <v>0.25899600177698801</v>
      </c>
    </row>
    <row r="1050" spans="1:38" x14ac:dyDescent="0.2">
      <c r="A1050" s="2">
        <v>2025</v>
      </c>
      <c r="B1050" s="2">
        <v>5</v>
      </c>
      <c r="D1050" s="2" t="s">
        <v>843</v>
      </c>
      <c r="E1050" s="2" t="s">
        <v>38</v>
      </c>
      <c r="F1050" s="2" t="s">
        <v>39</v>
      </c>
      <c r="G1050" s="2">
        <v>161685080</v>
      </c>
      <c r="H1050" s="2" t="s">
        <v>41</v>
      </c>
      <c r="I1050" s="2" t="s">
        <v>418</v>
      </c>
      <c r="K1050" s="2" t="s">
        <v>844</v>
      </c>
      <c r="L1050" s="2" t="s">
        <v>418</v>
      </c>
      <c r="M1050" s="2" t="s">
        <v>41</v>
      </c>
      <c r="O1050" s="2" t="s">
        <v>1393</v>
      </c>
      <c r="P1050" s="2" t="s">
        <v>43</v>
      </c>
      <c r="Q1050" s="2" t="s">
        <v>592</v>
      </c>
      <c r="R1050" s="2" t="s">
        <v>593</v>
      </c>
      <c r="S1050" s="2">
        <v>1</v>
      </c>
      <c r="T1050" s="2">
        <v>28.8</v>
      </c>
      <c r="U1050" s="2">
        <v>6.6240000000000014</v>
      </c>
      <c r="V1050" s="2">
        <v>35.423999999999999</v>
      </c>
      <c r="W1050" s="2">
        <f>11.295*S1050</f>
        <v>11.295</v>
      </c>
      <c r="X1050" s="5">
        <f t="shared" si="142"/>
        <v>0.60781250000000009</v>
      </c>
      <c r="Z1050" s="2" t="s">
        <v>3227</v>
      </c>
      <c r="AA1050" s="2" t="s">
        <v>46</v>
      </c>
      <c r="AB1050" s="2" t="s">
        <v>47</v>
      </c>
      <c r="AC1050" s="2" t="s">
        <v>57</v>
      </c>
      <c r="AF1050" s="2">
        <f t="shared" si="144"/>
        <v>0</v>
      </c>
      <c r="AJ1050" s="2">
        <f t="shared" si="145"/>
        <v>0</v>
      </c>
      <c r="AK1050" s="2">
        <f t="shared" si="146"/>
        <v>17.505000000000003</v>
      </c>
      <c r="AL1050" s="5">
        <f t="shared" si="143"/>
        <v>0.60781250000000009</v>
      </c>
    </row>
    <row r="1051" spans="1:38" x14ac:dyDescent="0.2">
      <c r="A1051" s="2">
        <v>2025</v>
      </c>
      <c r="B1051" s="2">
        <v>5</v>
      </c>
      <c r="D1051" s="2" t="s">
        <v>1255</v>
      </c>
      <c r="M1051" s="2" t="s">
        <v>80</v>
      </c>
      <c r="P1051" s="2" t="s">
        <v>72</v>
      </c>
      <c r="Q1051" s="2" t="s">
        <v>73</v>
      </c>
      <c r="R1051" s="2" t="s">
        <v>74</v>
      </c>
      <c r="S1051" s="2">
        <v>1</v>
      </c>
      <c r="T1051" s="2">
        <v>200</v>
      </c>
      <c r="U1051" s="2">
        <v>46</v>
      </c>
      <c r="V1051" s="2">
        <v>246</v>
      </c>
      <c r="W1051" s="2">
        <v>117.453</v>
      </c>
      <c r="X1051" s="5">
        <f t="shared" si="142"/>
        <v>0.41273499999999996</v>
      </c>
      <c r="Z1051" s="2" t="s">
        <v>3227</v>
      </c>
      <c r="AA1051" s="2" t="s">
        <v>75</v>
      </c>
      <c r="AB1051" s="2" t="s">
        <v>76</v>
      </c>
      <c r="AC1051" s="2" t="s">
        <v>77</v>
      </c>
      <c r="AF1051" s="2">
        <f t="shared" si="144"/>
        <v>0</v>
      </c>
      <c r="AG1051" s="2">
        <v>117.453</v>
      </c>
      <c r="AH1051" s="2">
        <v>220</v>
      </c>
      <c r="AJ1051" s="2">
        <f t="shared" si="145"/>
        <v>0</v>
      </c>
      <c r="AK1051" s="2">
        <f t="shared" si="146"/>
        <v>82.546999999999997</v>
      </c>
      <c r="AL1051" s="5">
        <f t="shared" si="143"/>
        <v>0.41273499999999996</v>
      </c>
    </row>
    <row r="1052" spans="1:38" x14ac:dyDescent="0.2">
      <c r="A1052" s="2">
        <v>2025</v>
      </c>
      <c r="B1052" s="2">
        <v>5</v>
      </c>
      <c r="D1052" s="2" t="s">
        <v>1255</v>
      </c>
      <c r="P1052" s="2" t="s">
        <v>93</v>
      </c>
      <c r="Q1052" s="2" t="s">
        <v>94</v>
      </c>
      <c r="R1052" s="2" t="s">
        <v>95</v>
      </c>
      <c r="S1052" s="2">
        <v>1</v>
      </c>
      <c r="T1052" s="2">
        <v>1.1399999999999999</v>
      </c>
      <c r="U1052" s="2">
        <v>0.26219999999999999</v>
      </c>
      <c r="V1052" s="2">
        <v>1.4021999999999999</v>
      </c>
      <c r="W1052" s="2">
        <v>1.1399999999999999</v>
      </c>
      <c r="X1052" s="5">
        <f t="shared" ref="X1052:X1056" si="147">(T1052-W1052)/T1052</f>
        <v>0</v>
      </c>
      <c r="Z1052" s="2" t="s">
        <v>3227</v>
      </c>
      <c r="AA1052" s="2" t="s">
        <v>96</v>
      </c>
      <c r="AB1052" s="2" t="s">
        <v>76</v>
      </c>
      <c r="AC1052" s="2" t="s">
        <v>93</v>
      </c>
      <c r="AF1052" s="2">
        <f t="shared" si="144"/>
        <v>0</v>
      </c>
      <c r="AJ1052" s="2">
        <f t="shared" si="145"/>
        <v>0</v>
      </c>
      <c r="AK1052" s="2">
        <f t="shared" si="146"/>
        <v>0</v>
      </c>
      <c r="AL1052" s="5">
        <f t="shared" ref="AL1052:AL1057" si="148">(T1052-W1052)/T1052</f>
        <v>0</v>
      </c>
    </row>
    <row r="1053" spans="1:38" x14ac:dyDescent="0.2">
      <c r="A1053" s="2">
        <v>2025</v>
      </c>
      <c r="B1053" s="2">
        <v>5</v>
      </c>
      <c r="D1053" s="2" t="s">
        <v>488</v>
      </c>
      <c r="E1053" s="2" t="s">
        <v>38</v>
      </c>
      <c r="F1053" s="2" t="s">
        <v>39</v>
      </c>
      <c r="G1053" s="2">
        <v>507380312</v>
      </c>
      <c r="H1053" s="2" t="s">
        <v>40</v>
      </c>
      <c r="I1053" s="2" t="s">
        <v>489</v>
      </c>
      <c r="J1053" s="2" t="s">
        <v>490</v>
      </c>
      <c r="K1053" s="2">
        <v>912293443</v>
      </c>
      <c r="L1053" s="2" t="s">
        <v>99</v>
      </c>
      <c r="M1053" s="2" t="s">
        <v>40</v>
      </c>
      <c r="P1053" s="2" t="s">
        <v>40</v>
      </c>
      <c r="Q1053" s="2" t="s">
        <v>491</v>
      </c>
      <c r="R1053" s="2" t="s">
        <v>492</v>
      </c>
      <c r="S1053" s="2">
        <v>1</v>
      </c>
      <c r="T1053" s="2">
        <v>664.04</v>
      </c>
      <c r="U1053" s="2">
        <v>152.72919999999999</v>
      </c>
      <c r="V1053" s="2">
        <v>816.76919999999996</v>
      </c>
      <c r="X1053" s="5">
        <f t="shared" si="147"/>
        <v>1</v>
      </c>
      <c r="Z1053" s="2" t="s">
        <v>119</v>
      </c>
      <c r="AA1053" s="2" t="s">
        <v>492</v>
      </c>
      <c r="AF1053" s="2">
        <f t="shared" si="144"/>
        <v>0</v>
      </c>
      <c r="AJ1053" s="2">
        <f t="shared" si="145"/>
        <v>0</v>
      </c>
      <c r="AK1053" s="2">
        <f t="shared" si="146"/>
        <v>664.04</v>
      </c>
      <c r="AL1053" s="5">
        <f t="shared" si="148"/>
        <v>1</v>
      </c>
    </row>
    <row r="1054" spans="1:38" x14ac:dyDescent="0.2">
      <c r="A1054" s="2">
        <v>2025</v>
      </c>
      <c r="B1054" s="2">
        <v>5</v>
      </c>
      <c r="C1054" s="2" t="s">
        <v>3315</v>
      </c>
      <c r="D1054" s="2" t="s">
        <v>1394</v>
      </c>
      <c r="E1054" s="2" t="s">
        <v>108</v>
      </c>
      <c r="F1054" s="2" t="s">
        <v>39</v>
      </c>
      <c r="L1054" s="2" t="s">
        <v>600</v>
      </c>
      <c r="M1054" s="2" t="s">
        <v>41</v>
      </c>
      <c r="P1054" s="2" t="s">
        <v>68</v>
      </c>
      <c r="Q1054" s="2" t="s">
        <v>1395</v>
      </c>
      <c r="R1054" s="2" t="s">
        <v>1396</v>
      </c>
      <c r="S1054" s="2">
        <v>1</v>
      </c>
      <c r="T1054" s="2">
        <v>2190</v>
      </c>
      <c r="U1054" s="2">
        <v>503.7</v>
      </c>
      <c r="V1054" s="2">
        <v>2693.7</v>
      </c>
      <c r="W1054" s="2">
        <v>1399</v>
      </c>
      <c r="X1054" s="5">
        <f t="shared" si="147"/>
        <v>0.36118721461187214</v>
      </c>
      <c r="Z1054" s="2" t="s">
        <v>104</v>
      </c>
      <c r="AA1054" s="2" t="s">
        <v>105</v>
      </c>
      <c r="AB1054" s="2" t="s">
        <v>106</v>
      </c>
      <c r="AC1054" s="2" t="s">
        <v>3231</v>
      </c>
      <c r="AF1054" s="2">
        <f t="shared" si="144"/>
        <v>0</v>
      </c>
      <c r="AJ1054" s="2">
        <f t="shared" si="145"/>
        <v>0</v>
      </c>
      <c r="AK1054" s="2">
        <f t="shared" si="146"/>
        <v>791</v>
      </c>
      <c r="AL1054" s="5">
        <f t="shared" si="148"/>
        <v>0.36118721461187214</v>
      </c>
    </row>
    <row r="1055" spans="1:38" x14ac:dyDescent="0.2">
      <c r="A1055" s="2">
        <v>2025</v>
      </c>
      <c r="B1055" s="2">
        <v>5</v>
      </c>
      <c r="D1055" s="2" t="s">
        <v>1397</v>
      </c>
      <c r="E1055" s="2" t="s">
        <v>38</v>
      </c>
      <c r="F1055" s="2" t="s">
        <v>39</v>
      </c>
      <c r="G1055" s="2">
        <v>509014313</v>
      </c>
      <c r="H1055" s="2" t="s">
        <v>40</v>
      </c>
      <c r="I1055" s="2" t="s">
        <v>3217</v>
      </c>
      <c r="J1055" s="2" t="s">
        <v>3216</v>
      </c>
      <c r="K1055" s="2">
        <v>913814877</v>
      </c>
      <c r="L1055" s="2" t="s">
        <v>201</v>
      </c>
      <c r="M1055" s="2" t="s">
        <v>80</v>
      </c>
      <c r="O1055" s="2" t="s">
        <v>3208</v>
      </c>
      <c r="P1055" s="2" t="s">
        <v>43</v>
      </c>
      <c r="Q1055" s="2" t="s">
        <v>54</v>
      </c>
      <c r="R1055" s="2" t="s">
        <v>55</v>
      </c>
      <c r="S1055" s="2">
        <v>3</v>
      </c>
      <c r="T1055" s="2">
        <v>54</v>
      </c>
      <c r="U1055" s="2">
        <v>12.42</v>
      </c>
      <c r="V1055" s="2">
        <v>66.42</v>
      </c>
      <c r="W1055" s="2">
        <f>10.6*S1055</f>
        <v>31.799999999999997</v>
      </c>
      <c r="X1055" s="5">
        <f t="shared" si="147"/>
        <v>0.41111111111111115</v>
      </c>
      <c r="Z1055" s="2" t="s">
        <v>3227</v>
      </c>
      <c r="AA1055" s="2" t="s">
        <v>46</v>
      </c>
      <c r="AB1055" s="2" t="s">
        <v>56</v>
      </c>
      <c r="AC1055" s="2" t="s">
        <v>57</v>
      </c>
      <c r="AF1055" s="2">
        <f t="shared" si="144"/>
        <v>0</v>
      </c>
      <c r="AG1055" s="2">
        <v>10.6</v>
      </c>
      <c r="AH1055" s="2">
        <v>18</v>
      </c>
      <c r="AJ1055" s="2">
        <f t="shared" si="145"/>
        <v>0</v>
      </c>
      <c r="AK1055" s="2">
        <f t="shared" si="146"/>
        <v>22.200000000000003</v>
      </c>
      <c r="AL1055" s="5">
        <f t="shared" si="148"/>
        <v>0.41111111111111115</v>
      </c>
    </row>
    <row r="1056" spans="1:38" x14ac:dyDescent="0.2">
      <c r="A1056" s="2">
        <v>2025</v>
      </c>
      <c r="B1056" s="2">
        <v>5</v>
      </c>
      <c r="D1056" s="2" t="s">
        <v>1397</v>
      </c>
      <c r="E1056" s="2" t="s">
        <v>38</v>
      </c>
      <c r="F1056" s="2" t="s">
        <v>39</v>
      </c>
      <c r="G1056" s="2">
        <v>509014313</v>
      </c>
      <c r="H1056" s="2" t="s">
        <v>40</v>
      </c>
      <c r="I1056" s="2" t="s">
        <v>3217</v>
      </c>
      <c r="J1056" s="2" t="s">
        <v>3216</v>
      </c>
      <c r="K1056" s="2">
        <v>913814877</v>
      </c>
      <c r="L1056" s="2" t="s">
        <v>201</v>
      </c>
      <c r="M1056" s="2" t="s">
        <v>80</v>
      </c>
      <c r="O1056" s="2" t="s">
        <v>3208</v>
      </c>
      <c r="P1056" s="2" t="s">
        <v>43</v>
      </c>
      <c r="Q1056" s="2" t="s">
        <v>65</v>
      </c>
      <c r="R1056" s="2" t="s">
        <v>66</v>
      </c>
      <c r="S1056" s="2">
        <v>1</v>
      </c>
      <c r="T1056" s="2">
        <v>25.2</v>
      </c>
      <c r="U1056" s="2">
        <v>5.7960000000000003</v>
      </c>
      <c r="V1056" s="2">
        <v>30.995999999999999</v>
      </c>
      <c r="W1056" s="2">
        <f>15.0203*S1056</f>
        <v>15.020300000000001</v>
      </c>
      <c r="X1056" s="5">
        <f t="shared" si="147"/>
        <v>0.40395634920634915</v>
      </c>
      <c r="Z1056" s="2" t="s">
        <v>3227</v>
      </c>
      <c r="AA1056" s="2" t="s">
        <v>46</v>
      </c>
      <c r="AB1056" s="2" t="s">
        <v>67</v>
      </c>
      <c r="AC1056" s="2" t="s">
        <v>57</v>
      </c>
      <c r="AF1056" s="2">
        <f t="shared" si="144"/>
        <v>0</v>
      </c>
      <c r="AG1056" s="2">
        <v>15.020300000000001</v>
      </c>
      <c r="AH1056" s="2">
        <v>27.6</v>
      </c>
      <c r="AJ1056" s="2">
        <f t="shared" si="145"/>
        <v>0</v>
      </c>
      <c r="AK1056" s="2">
        <f t="shared" si="146"/>
        <v>10.179699999999999</v>
      </c>
      <c r="AL1056" s="5">
        <f t="shared" si="148"/>
        <v>0.40395634920634915</v>
      </c>
    </row>
    <row r="1057" spans="1:38" x14ac:dyDescent="0.2">
      <c r="A1057" s="2">
        <v>2025</v>
      </c>
      <c r="B1057" s="2">
        <v>5</v>
      </c>
      <c r="D1057" s="2" t="s">
        <v>1397</v>
      </c>
      <c r="E1057" s="2" t="s">
        <v>38</v>
      </c>
      <c r="F1057" s="2" t="s">
        <v>39</v>
      </c>
      <c r="G1057" s="2">
        <v>509014313</v>
      </c>
      <c r="H1057" s="2" t="s">
        <v>40</v>
      </c>
      <c r="I1057" s="2" t="s">
        <v>3217</v>
      </c>
      <c r="J1057" s="2" t="s">
        <v>3216</v>
      </c>
      <c r="K1057" s="2">
        <v>913814877</v>
      </c>
      <c r="L1057" s="2" t="s">
        <v>201</v>
      </c>
      <c r="M1057" s="2" t="s">
        <v>40</v>
      </c>
      <c r="O1057" s="2" t="s">
        <v>3209</v>
      </c>
      <c r="P1057" s="2" t="s">
        <v>187</v>
      </c>
      <c r="Q1057" s="2" t="s">
        <v>188</v>
      </c>
      <c r="R1057" s="2" t="s">
        <v>189</v>
      </c>
      <c r="S1057" s="2">
        <v>1</v>
      </c>
      <c r="T1057" s="2">
        <v>0</v>
      </c>
      <c r="U1057" s="2">
        <v>0</v>
      </c>
      <c r="V1057" s="2">
        <v>0</v>
      </c>
      <c r="W1057" s="2">
        <f>T1057*40%</f>
        <v>0</v>
      </c>
      <c r="X1057" s="5">
        <v>0</v>
      </c>
      <c r="Z1057" s="2" t="s">
        <v>117</v>
      </c>
      <c r="AA1057" s="2" t="s">
        <v>190</v>
      </c>
      <c r="AB1057" s="2" t="s">
        <v>189</v>
      </c>
      <c r="AC1057" s="2" t="s">
        <v>40</v>
      </c>
      <c r="AF1057" s="2">
        <f t="shared" si="144"/>
        <v>0</v>
      </c>
      <c r="AJ1057" s="2">
        <f t="shared" si="145"/>
        <v>0</v>
      </c>
      <c r="AK1057" s="2">
        <f t="shared" si="146"/>
        <v>0</v>
      </c>
      <c r="AL1057" s="5" t="e">
        <f t="shared" si="148"/>
        <v>#DIV/0!</v>
      </c>
    </row>
    <row r="1058" spans="1:38" x14ac:dyDescent="0.2">
      <c r="A1058" s="2">
        <v>2025</v>
      </c>
      <c r="B1058" s="2">
        <v>5</v>
      </c>
      <c r="D1058" s="2" t="s">
        <v>1397</v>
      </c>
      <c r="E1058" s="2" t="s">
        <v>38</v>
      </c>
      <c r="F1058" s="2" t="s">
        <v>39</v>
      </c>
      <c r="G1058" s="2">
        <v>509014313</v>
      </c>
      <c r="H1058" s="2" t="s">
        <v>40</v>
      </c>
      <c r="I1058" s="2" t="s">
        <v>3217</v>
      </c>
      <c r="J1058" s="2" t="s">
        <v>3216</v>
      </c>
      <c r="K1058" s="2">
        <v>913814877</v>
      </c>
      <c r="L1058" s="2" t="s">
        <v>201</v>
      </c>
      <c r="M1058" s="2" t="s">
        <v>40</v>
      </c>
      <c r="O1058" s="2" t="s">
        <v>3209</v>
      </c>
      <c r="P1058" s="2" t="s">
        <v>187</v>
      </c>
      <c r="Q1058" s="2" t="s">
        <v>191</v>
      </c>
      <c r="R1058" s="2" t="s">
        <v>190</v>
      </c>
      <c r="S1058" s="2">
        <v>0.75</v>
      </c>
      <c r="T1058" s="2">
        <v>0</v>
      </c>
      <c r="U1058" s="2">
        <v>0</v>
      </c>
      <c r="V1058" s="2">
        <v>0</v>
      </c>
      <c r="W1058" s="2">
        <f>T1058*50%</f>
        <v>0</v>
      </c>
      <c r="X1058" s="5">
        <v>0</v>
      </c>
      <c r="Z1058" s="2" t="s">
        <v>117</v>
      </c>
      <c r="AA1058" s="2" t="s">
        <v>190</v>
      </c>
      <c r="AB1058" s="2" t="s">
        <v>190</v>
      </c>
      <c r="AC1058" s="2" t="s">
        <v>40</v>
      </c>
      <c r="AF1058" s="2">
        <f t="shared" si="144"/>
        <v>0</v>
      </c>
      <c r="AJ1058" s="2">
        <f t="shared" si="145"/>
        <v>0</v>
      </c>
      <c r="AK1058" s="2">
        <f t="shared" si="146"/>
        <v>0</v>
      </c>
      <c r="AL1058" s="5">
        <v>0</v>
      </c>
    </row>
    <row r="1059" spans="1:38" x14ac:dyDescent="0.2">
      <c r="A1059" s="2">
        <v>2025</v>
      </c>
      <c r="B1059" s="2">
        <v>5</v>
      </c>
      <c r="D1059" s="2" t="s">
        <v>1397</v>
      </c>
      <c r="E1059" s="2" t="s">
        <v>38</v>
      </c>
      <c r="F1059" s="2" t="s">
        <v>39</v>
      </c>
      <c r="G1059" s="2">
        <v>509014313</v>
      </c>
      <c r="H1059" s="2" t="s">
        <v>40</v>
      </c>
      <c r="I1059" s="2" t="s">
        <v>3217</v>
      </c>
      <c r="J1059" s="2" t="s">
        <v>3216</v>
      </c>
      <c r="K1059" s="2">
        <v>913814877</v>
      </c>
      <c r="L1059" s="2" t="s">
        <v>201</v>
      </c>
      <c r="M1059" s="2" t="s">
        <v>40</v>
      </c>
      <c r="O1059" s="2" t="s">
        <v>3209</v>
      </c>
      <c r="P1059" s="2" t="s">
        <v>40</v>
      </c>
      <c r="Q1059" s="2" t="s">
        <v>363</v>
      </c>
      <c r="R1059" s="2" t="s">
        <v>364</v>
      </c>
      <c r="S1059" s="2">
        <v>1</v>
      </c>
      <c r="T1059" s="2">
        <v>142.51</v>
      </c>
      <c r="U1059" s="2">
        <v>32.777299999999997</v>
      </c>
      <c r="V1059" s="2">
        <v>175.28729999999999</v>
      </c>
      <c r="X1059" s="5">
        <f t="shared" ref="X1059:X1078" si="149">(T1059-W1059)/T1059</f>
        <v>1</v>
      </c>
      <c r="Z1059" s="2" t="s">
        <v>119</v>
      </c>
      <c r="AA1059" s="2" t="s">
        <v>3380</v>
      </c>
      <c r="AF1059" s="2">
        <f t="shared" si="144"/>
        <v>0</v>
      </c>
      <c r="AJ1059" s="2">
        <f t="shared" si="145"/>
        <v>0</v>
      </c>
      <c r="AK1059" s="2">
        <f t="shared" si="146"/>
        <v>142.51</v>
      </c>
      <c r="AL1059" s="5">
        <f t="shared" ref="AL1059:AL1078" si="150">(T1059-W1059)/T1059</f>
        <v>1</v>
      </c>
    </row>
    <row r="1060" spans="1:38" x14ac:dyDescent="0.2">
      <c r="A1060" s="2">
        <v>2025</v>
      </c>
      <c r="B1060" s="2">
        <v>5</v>
      </c>
      <c r="D1060" s="2" t="s">
        <v>1398</v>
      </c>
      <c r="P1060" s="2" t="s">
        <v>72</v>
      </c>
      <c r="Q1060" s="2" t="s">
        <v>73</v>
      </c>
      <c r="R1060" s="2" t="s">
        <v>74</v>
      </c>
      <c r="S1060" s="2">
        <v>2</v>
      </c>
      <c r="T1060" s="2">
        <v>420</v>
      </c>
      <c r="U1060" s="2">
        <v>96.600000000000009</v>
      </c>
      <c r="V1060" s="2">
        <v>516.6</v>
      </c>
      <c r="W1060" s="2">
        <v>234.90600000000001</v>
      </c>
      <c r="X1060" s="5">
        <f t="shared" si="149"/>
        <v>0.44069999999999998</v>
      </c>
      <c r="Z1060" s="2" t="s">
        <v>3227</v>
      </c>
      <c r="AA1060" s="2" t="s">
        <v>75</v>
      </c>
      <c r="AB1060" s="2" t="s">
        <v>76</v>
      </c>
      <c r="AC1060" s="2" t="s">
        <v>77</v>
      </c>
      <c r="AF1060" s="2">
        <f t="shared" si="144"/>
        <v>0</v>
      </c>
      <c r="AG1060" s="2">
        <v>117.453</v>
      </c>
      <c r="AH1060" s="2">
        <v>220</v>
      </c>
      <c r="AJ1060" s="2">
        <f t="shared" si="145"/>
        <v>0</v>
      </c>
      <c r="AK1060" s="2">
        <f t="shared" si="146"/>
        <v>185.09399999999999</v>
      </c>
      <c r="AL1060" s="5">
        <f t="shared" si="150"/>
        <v>0.44069999999999998</v>
      </c>
    </row>
    <row r="1061" spans="1:38" x14ac:dyDescent="0.2">
      <c r="A1061" s="2">
        <v>2025</v>
      </c>
      <c r="B1061" s="2">
        <v>5</v>
      </c>
      <c r="D1061" s="2" t="s">
        <v>1398</v>
      </c>
      <c r="P1061" s="2" t="s">
        <v>93</v>
      </c>
      <c r="Q1061" s="2" t="s">
        <v>94</v>
      </c>
      <c r="R1061" s="2" t="s">
        <v>95</v>
      </c>
      <c r="S1061" s="2">
        <v>2</v>
      </c>
      <c r="T1061" s="2">
        <v>2.2799999999999998</v>
      </c>
      <c r="U1061" s="2">
        <v>0.52439999999999998</v>
      </c>
      <c r="V1061" s="2">
        <v>2.8043999999999998</v>
      </c>
      <c r="W1061" s="2">
        <v>2.2799999999999998</v>
      </c>
      <c r="X1061" s="5">
        <f t="shared" si="149"/>
        <v>0</v>
      </c>
      <c r="Z1061" s="2" t="s">
        <v>3227</v>
      </c>
      <c r="AA1061" s="2" t="s">
        <v>96</v>
      </c>
      <c r="AB1061" s="2" t="s">
        <v>76</v>
      </c>
      <c r="AC1061" s="2" t="s">
        <v>93</v>
      </c>
      <c r="AF1061" s="2">
        <f t="shared" si="144"/>
        <v>0</v>
      </c>
      <c r="AJ1061" s="2">
        <f t="shared" si="145"/>
        <v>0</v>
      </c>
      <c r="AK1061" s="2">
        <f t="shared" si="146"/>
        <v>0</v>
      </c>
      <c r="AL1061" s="5">
        <f t="shared" si="150"/>
        <v>0</v>
      </c>
    </row>
    <row r="1062" spans="1:38" x14ac:dyDescent="0.2">
      <c r="A1062" s="2">
        <v>2025</v>
      </c>
      <c r="B1062" s="2">
        <v>5</v>
      </c>
      <c r="D1062" s="2" t="s">
        <v>1399</v>
      </c>
      <c r="E1062" s="2" t="s">
        <v>38</v>
      </c>
      <c r="F1062" s="2" t="s">
        <v>39</v>
      </c>
      <c r="G1062" s="2">
        <v>507860098</v>
      </c>
      <c r="H1062" s="2" t="s">
        <v>41</v>
      </c>
      <c r="I1062" s="2" t="s">
        <v>1400</v>
      </c>
      <c r="J1062" s="2" t="s">
        <v>1401</v>
      </c>
      <c r="L1062" s="2" t="s">
        <v>177</v>
      </c>
      <c r="M1062" s="2" t="s">
        <v>40</v>
      </c>
      <c r="O1062" s="2" t="s">
        <v>1402</v>
      </c>
      <c r="P1062" s="2" t="s">
        <v>114</v>
      </c>
      <c r="Q1062" s="6" t="s">
        <v>126</v>
      </c>
      <c r="R1062" s="2" t="s">
        <v>127</v>
      </c>
      <c r="S1062" s="2">
        <v>2</v>
      </c>
      <c r="T1062" s="2">
        <v>14.21</v>
      </c>
      <c r="U1062" s="2">
        <v>3.2683</v>
      </c>
      <c r="V1062" s="2">
        <v>17.478300000000001</v>
      </c>
      <c r="W1062" s="2">
        <f>3.3596*S1062</f>
        <v>6.7191999999999998</v>
      </c>
      <c r="X1062" s="5">
        <f t="shared" si="149"/>
        <v>0.52714989444053484</v>
      </c>
      <c r="Z1062" s="2" t="s">
        <v>117</v>
      </c>
      <c r="AA1062" s="2" t="s">
        <v>118</v>
      </c>
      <c r="AB1062" s="2" t="s">
        <v>119</v>
      </c>
      <c r="AC1062" s="2" t="s">
        <v>114</v>
      </c>
      <c r="AF1062" s="2">
        <f t="shared" si="144"/>
        <v>0</v>
      </c>
      <c r="AG1062" s="2">
        <v>3.3595999999999999</v>
      </c>
      <c r="AJ1062" s="2">
        <f t="shared" si="145"/>
        <v>0</v>
      </c>
      <c r="AK1062" s="2">
        <f t="shared" si="146"/>
        <v>7.490800000000001</v>
      </c>
      <c r="AL1062" s="5">
        <f t="shared" si="150"/>
        <v>0.52714989444053484</v>
      </c>
    </row>
    <row r="1063" spans="1:38" x14ac:dyDescent="0.2">
      <c r="A1063" s="2">
        <v>2025</v>
      </c>
      <c r="B1063" s="2">
        <v>5</v>
      </c>
      <c r="D1063" s="2" t="s">
        <v>1399</v>
      </c>
      <c r="E1063" s="2" t="s">
        <v>38</v>
      </c>
      <c r="F1063" s="2" t="s">
        <v>39</v>
      </c>
      <c r="G1063" s="2">
        <v>507860098</v>
      </c>
      <c r="H1063" s="2" t="s">
        <v>41</v>
      </c>
      <c r="I1063" s="2" t="s">
        <v>1400</v>
      </c>
      <c r="J1063" s="2" t="s">
        <v>1401</v>
      </c>
      <c r="L1063" s="2" t="s">
        <v>177</v>
      </c>
      <c r="M1063" s="2" t="s">
        <v>40</v>
      </c>
      <c r="P1063" s="2" t="s">
        <v>114</v>
      </c>
      <c r="Q1063" s="2" t="s">
        <v>1403</v>
      </c>
      <c r="R1063" s="2" t="s">
        <v>1404</v>
      </c>
      <c r="S1063" s="2">
        <v>4</v>
      </c>
      <c r="T1063" s="2">
        <v>28.14</v>
      </c>
      <c r="U1063" s="2">
        <v>6.4722000000000008</v>
      </c>
      <c r="V1063" s="2">
        <v>34.612200000000001</v>
      </c>
      <c r="X1063" s="5">
        <f t="shared" si="149"/>
        <v>1</v>
      </c>
      <c r="Z1063" s="2" t="s">
        <v>117</v>
      </c>
      <c r="AA1063" s="2" t="s">
        <v>118</v>
      </c>
      <c r="AB1063" s="2" t="s">
        <v>119</v>
      </c>
      <c r="AC1063" s="2" t="s">
        <v>114</v>
      </c>
      <c r="AF1063" s="2">
        <f t="shared" si="144"/>
        <v>0</v>
      </c>
      <c r="AJ1063" s="2">
        <f t="shared" si="145"/>
        <v>0</v>
      </c>
      <c r="AK1063" s="2">
        <f t="shared" si="146"/>
        <v>28.14</v>
      </c>
      <c r="AL1063" s="5">
        <f t="shared" si="150"/>
        <v>1</v>
      </c>
    </row>
    <row r="1064" spans="1:38" x14ac:dyDescent="0.2">
      <c r="A1064" s="2">
        <v>2025</v>
      </c>
      <c r="B1064" s="2">
        <v>5</v>
      </c>
      <c r="D1064" s="2" t="s">
        <v>1399</v>
      </c>
      <c r="E1064" s="2" t="s">
        <v>38</v>
      </c>
      <c r="F1064" s="2" t="s">
        <v>39</v>
      </c>
      <c r="G1064" s="2">
        <v>507860098</v>
      </c>
      <c r="H1064" s="2" t="s">
        <v>41</v>
      </c>
      <c r="I1064" s="2" t="s">
        <v>1400</v>
      </c>
      <c r="J1064" s="2" t="s">
        <v>1401</v>
      </c>
      <c r="L1064" s="2" t="s">
        <v>177</v>
      </c>
      <c r="M1064" s="2" t="s">
        <v>40</v>
      </c>
      <c r="P1064" s="2" t="s">
        <v>114</v>
      </c>
      <c r="Q1064" s="2" t="s">
        <v>646</v>
      </c>
      <c r="R1064" s="2" t="s">
        <v>647</v>
      </c>
      <c r="S1064" s="2">
        <v>1</v>
      </c>
      <c r="T1064" s="2">
        <v>62.6</v>
      </c>
      <c r="U1064" s="2">
        <v>14.398</v>
      </c>
      <c r="V1064" s="2">
        <v>76.998000000000005</v>
      </c>
      <c r="W1064" s="2">
        <v>30.61</v>
      </c>
      <c r="X1064" s="5">
        <f t="shared" si="149"/>
        <v>0.51102236421725244</v>
      </c>
      <c r="Z1064" s="2" t="s">
        <v>117</v>
      </c>
      <c r="AA1064" s="2" t="s">
        <v>118</v>
      </c>
      <c r="AB1064" s="2" t="s">
        <v>119</v>
      </c>
      <c r="AC1064" s="2" t="s">
        <v>114</v>
      </c>
      <c r="AF1064" s="2">
        <f t="shared" si="144"/>
        <v>0</v>
      </c>
      <c r="AJ1064" s="2">
        <f t="shared" si="145"/>
        <v>0</v>
      </c>
      <c r="AK1064" s="2">
        <f t="shared" si="146"/>
        <v>31.990000000000002</v>
      </c>
      <c r="AL1064" s="5">
        <f t="shared" si="150"/>
        <v>0.51102236421725244</v>
      </c>
    </row>
    <row r="1065" spans="1:38" x14ac:dyDescent="0.2">
      <c r="A1065" s="2">
        <v>2025</v>
      </c>
      <c r="B1065" s="2">
        <v>5</v>
      </c>
      <c r="D1065" s="2" t="s">
        <v>1399</v>
      </c>
      <c r="E1065" s="2" t="s">
        <v>38</v>
      </c>
      <c r="F1065" s="2" t="s">
        <v>39</v>
      </c>
      <c r="G1065" s="2">
        <v>507860098</v>
      </c>
      <c r="H1065" s="2" t="s">
        <v>41</v>
      </c>
      <c r="I1065" s="2" t="s">
        <v>1400</v>
      </c>
      <c r="J1065" s="2" t="s">
        <v>1401</v>
      </c>
      <c r="L1065" s="2" t="s">
        <v>177</v>
      </c>
      <c r="M1065" s="2" t="s">
        <v>40</v>
      </c>
      <c r="P1065" s="2" t="s">
        <v>114</v>
      </c>
      <c r="Q1065" s="2" t="s">
        <v>1405</v>
      </c>
      <c r="R1065" s="2" t="s">
        <v>1406</v>
      </c>
      <c r="S1065" s="2">
        <v>1</v>
      </c>
      <c r="T1065" s="2">
        <v>65.209999999999994</v>
      </c>
      <c r="U1065" s="2">
        <v>14.9983</v>
      </c>
      <c r="V1065" s="2">
        <v>80.208299999999994</v>
      </c>
      <c r="X1065" s="5">
        <f t="shared" si="149"/>
        <v>1</v>
      </c>
      <c r="Z1065" s="2" t="s">
        <v>117</v>
      </c>
      <c r="AA1065" s="2" t="s">
        <v>118</v>
      </c>
      <c r="AB1065" s="2" t="s">
        <v>119</v>
      </c>
      <c r="AC1065" s="2" t="s">
        <v>114</v>
      </c>
      <c r="AF1065" s="2">
        <f t="shared" si="144"/>
        <v>0</v>
      </c>
      <c r="AJ1065" s="2">
        <f t="shared" si="145"/>
        <v>0</v>
      </c>
      <c r="AK1065" s="2">
        <f t="shared" si="146"/>
        <v>65.209999999999994</v>
      </c>
      <c r="AL1065" s="5">
        <f t="shared" si="150"/>
        <v>1</v>
      </c>
    </row>
    <row r="1066" spans="1:38" x14ac:dyDescent="0.2">
      <c r="A1066" s="2">
        <v>2025</v>
      </c>
      <c r="B1066" s="2">
        <v>5</v>
      </c>
      <c r="D1066" s="2" t="s">
        <v>1399</v>
      </c>
      <c r="E1066" s="2" t="s">
        <v>38</v>
      </c>
      <c r="F1066" s="2" t="s">
        <v>39</v>
      </c>
      <c r="G1066" s="2">
        <v>507860098</v>
      </c>
      <c r="H1066" s="2" t="s">
        <v>41</v>
      </c>
      <c r="I1066" s="2" t="s">
        <v>1400</v>
      </c>
      <c r="J1066" s="2" t="s">
        <v>1401</v>
      </c>
      <c r="L1066" s="2" t="s">
        <v>177</v>
      </c>
      <c r="M1066" s="2" t="s">
        <v>40</v>
      </c>
      <c r="P1066" s="2" t="s">
        <v>114</v>
      </c>
      <c r="Q1066" s="2" t="s">
        <v>1407</v>
      </c>
      <c r="R1066" s="2" t="s">
        <v>1408</v>
      </c>
      <c r="S1066" s="2">
        <v>1</v>
      </c>
      <c r="T1066" s="2">
        <v>41.56</v>
      </c>
      <c r="U1066" s="2">
        <v>9.5588000000000015</v>
      </c>
      <c r="V1066" s="2">
        <v>51.118800000000007</v>
      </c>
      <c r="X1066" s="5">
        <f t="shared" si="149"/>
        <v>1</v>
      </c>
      <c r="Z1066" s="2" t="s">
        <v>117</v>
      </c>
      <c r="AA1066" s="2" t="s">
        <v>118</v>
      </c>
      <c r="AB1066" s="2" t="s">
        <v>119</v>
      </c>
      <c r="AC1066" s="2" t="s">
        <v>114</v>
      </c>
      <c r="AF1066" s="2">
        <f t="shared" si="144"/>
        <v>0</v>
      </c>
      <c r="AJ1066" s="2">
        <f t="shared" si="145"/>
        <v>0</v>
      </c>
      <c r="AK1066" s="2">
        <f t="shared" si="146"/>
        <v>41.56</v>
      </c>
      <c r="AL1066" s="5">
        <f t="shared" si="150"/>
        <v>1</v>
      </c>
    </row>
    <row r="1067" spans="1:38" x14ac:dyDescent="0.2">
      <c r="A1067" s="2">
        <v>2025</v>
      </c>
      <c r="B1067" s="2">
        <v>5</v>
      </c>
      <c r="D1067" s="2" t="s">
        <v>1399</v>
      </c>
      <c r="E1067" s="2" t="s">
        <v>38</v>
      </c>
      <c r="F1067" s="2" t="s">
        <v>39</v>
      </c>
      <c r="G1067" s="2">
        <v>507860098</v>
      </c>
      <c r="H1067" s="2" t="s">
        <v>41</v>
      </c>
      <c r="I1067" s="2" t="s">
        <v>1400</v>
      </c>
      <c r="J1067" s="2" t="s">
        <v>1401</v>
      </c>
      <c r="L1067" s="2" t="s">
        <v>177</v>
      </c>
      <c r="M1067" s="2" t="s">
        <v>40</v>
      </c>
      <c r="P1067" s="2" t="s">
        <v>114</v>
      </c>
      <c r="Q1067" s="2" t="s">
        <v>1409</v>
      </c>
      <c r="R1067" s="2" t="s">
        <v>1410</v>
      </c>
      <c r="S1067" s="2">
        <v>2</v>
      </c>
      <c r="T1067" s="2">
        <v>172.63</v>
      </c>
      <c r="U1067" s="2">
        <v>39.704900000000002</v>
      </c>
      <c r="V1067" s="2">
        <v>212.3349</v>
      </c>
      <c r="X1067" s="5">
        <f t="shared" si="149"/>
        <v>1</v>
      </c>
      <c r="Z1067" s="2" t="s">
        <v>117</v>
      </c>
      <c r="AA1067" s="2" t="s">
        <v>118</v>
      </c>
      <c r="AB1067" s="2" t="s">
        <v>119</v>
      </c>
      <c r="AC1067" s="2" t="s">
        <v>114</v>
      </c>
      <c r="AF1067" s="2">
        <f t="shared" si="144"/>
        <v>0</v>
      </c>
      <c r="AJ1067" s="2">
        <f t="shared" si="145"/>
        <v>0</v>
      </c>
      <c r="AK1067" s="2">
        <f t="shared" si="146"/>
        <v>172.63</v>
      </c>
      <c r="AL1067" s="5">
        <f t="shared" si="150"/>
        <v>1</v>
      </c>
    </row>
    <row r="1068" spans="1:38" x14ac:dyDescent="0.2">
      <c r="A1068" s="2">
        <v>2025</v>
      </c>
      <c r="B1068" s="2">
        <v>5</v>
      </c>
      <c r="D1068" s="2" t="s">
        <v>1399</v>
      </c>
      <c r="E1068" s="2" t="s">
        <v>38</v>
      </c>
      <c r="F1068" s="2" t="s">
        <v>39</v>
      </c>
      <c r="G1068" s="2">
        <v>507860098</v>
      </c>
      <c r="H1068" s="2" t="s">
        <v>41</v>
      </c>
      <c r="I1068" s="2" t="s">
        <v>1400</v>
      </c>
      <c r="J1068" s="2" t="s">
        <v>1401</v>
      </c>
      <c r="L1068" s="2" t="s">
        <v>177</v>
      </c>
      <c r="M1068" s="2" t="s">
        <v>40</v>
      </c>
      <c r="P1068" s="2" t="s">
        <v>114</v>
      </c>
      <c r="Q1068" s="2" t="s">
        <v>978</v>
      </c>
      <c r="R1068" s="2" t="s">
        <v>979</v>
      </c>
      <c r="S1068" s="2">
        <v>1</v>
      </c>
      <c r="T1068" s="2">
        <v>76.930000000000007</v>
      </c>
      <c r="U1068" s="2">
        <v>17.693899999999999</v>
      </c>
      <c r="V1068" s="2">
        <v>94.623900000000006</v>
      </c>
      <c r="X1068" s="5">
        <f t="shared" si="149"/>
        <v>1</v>
      </c>
      <c r="Z1068" s="2" t="s">
        <v>117</v>
      </c>
      <c r="AA1068" s="2" t="s">
        <v>118</v>
      </c>
      <c r="AB1068" s="2" t="s">
        <v>119</v>
      </c>
      <c r="AC1068" s="2" t="s">
        <v>114</v>
      </c>
      <c r="AF1068" s="2">
        <f t="shared" si="144"/>
        <v>0</v>
      </c>
      <c r="AJ1068" s="2">
        <f t="shared" si="145"/>
        <v>0</v>
      </c>
      <c r="AK1068" s="2">
        <f t="shared" si="146"/>
        <v>76.930000000000007</v>
      </c>
      <c r="AL1068" s="5">
        <f t="shared" si="150"/>
        <v>1</v>
      </c>
    </row>
    <row r="1069" spans="1:38" x14ac:dyDescent="0.2">
      <c r="A1069" s="2">
        <v>2025</v>
      </c>
      <c r="B1069" s="2">
        <v>5</v>
      </c>
      <c r="D1069" s="2" t="s">
        <v>1399</v>
      </c>
      <c r="E1069" s="2" t="s">
        <v>38</v>
      </c>
      <c r="F1069" s="2" t="s">
        <v>39</v>
      </c>
      <c r="G1069" s="2">
        <v>507860098</v>
      </c>
      <c r="H1069" s="2" t="s">
        <v>41</v>
      </c>
      <c r="I1069" s="2" t="s">
        <v>1400</v>
      </c>
      <c r="J1069" s="2" t="s">
        <v>1401</v>
      </c>
      <c r="L1069" s="2" t="s">
        <v>177</v>
      </c>
      <c r="M1069" s="2" t="s">
        <v>40</v>
      </c>
      <c r="P1069" s="2" t="s">
        <v>187</v>
      </c>
      <c r="Q1069" s="2" t="s">
        <v>188</v>
      </c>
      <c r="R1069" s="2" t="s">
        <v>189</v>
      </c>
      <c r="S1069" s="2">
        <v>1</v>
      </c>
      <c r="T1069" s="2">
        <v>60</v>
      </c>
      <c r="U1069" s="2">
        <v>13.8</v>
      </c>
      <c r="V1069" s="2">
        <v>73.8</v>
      </c>
      <c r="W1069" s="2">
        <f>T1069*40%</f>
        <v>24</v>
      </c>
      <c r="X1069" s="5">
        <f t="shared" si="149"/>
        <v>0.6</v>
      </c>
      <c r="Z1069" s="2" t="s">
        <v>117</v>
      </c>
      <c r="AA1069" s="2" t="s">
        <v>190</v>
      </c>
      <c r="AB1069" s="2" t="s">
        <v>189</v>
      </c>
      <c r="AC1069" s="2" t="s">
        <v>40</v>
      </c>
      <c r="AF1069" s="2">
        <f t="shared" si="144"/>
        <v>0</v>
      </c>
      <c r="AJ1069" s="2">
        <f t="shared" si="145"/>
        <v>0</v>
      </c>
      <c r="AK1069" s="2">
        <f t="shared" si="146"/>
        <v>36</v>
      </c>
      <c r="AL1069" s="5">
        <f t="shared" si="150"/>
        <v>0.6</v>
      </c>
    </row>
    <row r="1070" spans="1:38" x14ac:dyDescent="0.2">
      <c r="A1070" s="2">
        <v>2025</v>
      </c>
      <c r="B1070" s="2">
        <v>5</v>
      </c>
      <c r="D1070" s="2" t="s">
        <v>1399</v>
      </c>
      <c r="E1070" s="2" t="s">
        <v>38</v>
      </c>
      <c r="F1070" s="2" t="s">
        <v>39</v>
      </c>
      <c r="G1070" s="2">
        <v>507860098</v>
      </c>
      <c r="H1070" s="2" t="s">
        <v>41</v>
      </c>
      <c r="I1070" s="2" t="s">
        <v>1400</v>
      </c>
      <c r="J1070" s="2" t="s">
        <v>1401</v>
      </c>
      <c r="L1070" s="2" t="s">
        <v>177</v>
      </c>
      <c r="M1070" s="2" t="s">
        <v>40</v>
      </c>
      <c r="P1070" s="2" t="s">
        <v>187</v>
      </c>
      <c r="Q1070" s="2" t="s">
        <v>191</v>
      </c>
      <c r="R1070" s="2" t="s">
        <v>190</v>
      </c>
      <c r="S1070" s="2">
        <v>2</v>
      </c>
      <c r="T1070" s="2">
        <v>100</v>
      </c>
      <c r="U1070" s="2">
        <v>23</v>
      </c>
      <c r="V1070" s="2">
        <v>123</v>
      </c>
      <c r="W1070" s="2">
        <f>T1070*50%</f>
        <v>50</v>
      </c>
      <c r="X1070" s="5">
        <f t="shared" si="149"/>
        <v>0.5</v>
      </c>
      <c r="Z1070" s="2" t="s">
        <v>117</v>
      </c>
      <c r="AA1070" s="2" t="s">
        <v>190</v>
      </c>
      <c r="AB1070" s="2" t="s">
        <v>190</v>
      </c>
      <c r="AC1070" s="2" t="s">
        <v>40</v>
      </c>
      <c r="AF1070" s="2">
        <f t="shared" si="144"/>
        <v>0</v>
      </c>
      <c r="AJ1070" s="2">
        <f t="shared" si="145"/>
        <v>0</v>
      </c>
      <c r="AK1070" s="2">
        <f t="shared" si="146"/>
        <v>50</v>
      </c>
      <c r="AL1070" s="5">
        <f t="shared" si="150"/>
        <v>0.5</v>
      </c>
    </row>
    <row r="1071" spans="1:38" x14ac:dyDescent="0.2">
      <c r="A1071" s="2">
        <v>2025</v>
      </c>
      <c r="B1071" s="2">
        <v>5</v>
      </c>
      <c r="D1071" s="2" t="s">
        <v>1053</v>
      </c>
      <c r="E1071" s="2" t="s">
        <v>183</v>
      </c>
      <c r="F1071" s="2" t="s">
        <v>1054</v>
      </c>
      <c r="G1071" s="2">
        <v>500199523</v>
      </c>
      <c r="H1071" s="2" t="s">
        <v>290</v>
      </c>
      <c r="I1071" s="2" t="s">
        <v>293</v>
      </c>
      <c r="J1071" s="2" t="s">
        <v>1055</v>
      </c>
      <c r="L1071" s="2" t="s">
        <v>293</v>
      </c>
      <c r="M1071" s="2" t="s">
        <v>80</v>
      </c>
      <c r="O1071" s="2" t="s">
        <v>1411</v>
      </c>
      <c r="P1071" s="2" t="s">
        <v>72</v>
      </c>
      <c r="Q1071" s="2" t="s">
        <v>325</v>
      </c>
      <c r="R1071" s="2" t="s">
        <v>79</v>
      </c>
      <c r="S1071" s="2">
        <v>1</v>
      </c>
      <c r="T1071" s="2">
        <v>210</v>
      </c>
      <c r="U1071" s="2">
        <v>48.3</v>
      </c>
      <c r="V1071" s="2">
        <v>258.3</v>
      </c>
      <c r="W1071" s="2">
        <f>110.68*S1071</f>
        <v>110.68</v>
      </c>
      <c r="X1071" s="5">
        <f t="shared" si="149"/>
        <v>0.4729523809523809</v>
      </c>
      <c r="Z1071" s="2" t="s">
        <v>3227</v>
      </c>
      <c r="AA1071" s="2" t="s">
        <v>75</v>
      </c>
      <c r="AB1071" s="2" t="s">
        <v>76</v>
      </c>
      <c r="AC1071" s="2" t="s">
        <v>77</v>
      </c>
      <c r="AF1071" s="2">
        <f t="shared" si="144"/>
        <v>0</v>
      </c>
      <c r="AG1071" s="2">
        <v>110.68</v>
      </c>
      <c r="AH1071" s="2">
        <v>210</v>
      </c>
      <c r="AJ1071" s="2">
        <f t="shared" si="145"/>
        <v>0</v>
      </c>
      <c r="AK1071" s="2">
        <f t="shared" si="146"/>
        <v>99.32</v>
      </c>
      <c r="AL1071" s="5">
        <f t="shared" si="150"/>
        <v>0.4729523809523809</v>
      </c>
    </row>
    <row r="1072" spans="1:38" x14ac:dyDescent="0.2">
      <c r="A1072" s="2">
        <v>2025</v>
      </c>
      <c r="B1072" s="2">
        <v>5</v>
      </c>
      <c r="D1072" s="2" t="s">
        <v>1053</v>
      </c>
      <c r="E1072" s="2" t="s">
        <v>183</v>
      </c>
      <c r="F1072" s="2" t="s">
        <v>1054</v>
      </c>
      <c r="G1072" s="2">
        <v>500199523</v>
      </c>
      <c r="H1072" s="2" t="s">
        <v>290</v>
      </c>
      <c r="I1072" s="2" t="s">
        <v>293</v>
      </c>
      <c r="J1072" s="2" t="s">
        <v>1055</v>
      </c>
      <c r="L1072" s="2" t="s">
        <v>293</v>
      </c>
      <c r="M1072" s="2" t="s">
        <v>80</v>
      </c>
      <c r="O1072" s="2" t="s">
        <v>1411</v>
      </c>
      <c r="P1072" s="2" t="s">
        <v>93</v>
      </c>
      <c r="Q1072" s="2" t="s">
        <v>94</v>
      </c>
      <c r="R1072" s="2" t="s">
        <v>95</v>
      </c>
      <c r="S1072" s="2">
        <v>1</v>
      </c>
      <c r="T1072" s="2">
        <v>1.1399999999999999</v>
      </c>
      <c r="U1072" s="2">
        <v>0.26219999999999999</v>
      </c>
      <c r="V1072" s="2">
        <v>1.4021999999999999</v>
      </c>
      <c r="W1072" s="2">
        <v>1.1399999999999999</v>
      </c>
      <c r="X1072" s="5">
        <f t="shared" si="149"/>
        <v>0</v>
      </c>
      <c r="Z1072" s="2" t="s">
        <v>3227</v>
      </c>
      <c r="AA1072" s="2" t="s">
        <v>96</v>
      </c>
      <c r="AB1072" s="2" t="s">
        <v>76</v>
      </c>
      <c r="AC1072" s="2" t="s">
        <v>93</v>
      </c>
      <c r="AF1072" s="2">
        <f t="shared" si="144"/>
        <v>0</v>
      </c>
      <c r="AJ1072" s="2">
        <f t="shared" si="145"/>
        <v>0</v>
      </c>
      <c r="AK1072" s="2">
        <f t="shared" si="146"/>
        <v>0</v>
      </c>
      <c r="AL1072" s="5">
        <f t="shared" si="150"/>
        <v>0</v>
      </c>
    </row>
    <row r="1073" spans="1:38" x14ac:dyDescent="0.2">
      <c r="A1073" s="2">
        <v>2025</v>
      </c>
      <c r="B1073" s="2">
        <v>5</v>
      </c>
      <c r="D1073" s="2" t="s">
        <v>500</v>
      </c>
      <c r="E1073" s="2" t="s">
        <v>38</v>
      </c>
      <c r="F1073" s="2" t="s">
        <v>39</v>
      </c>
      <c r="G1073" s="2">
        <v>513244468</v>
      </c>
      <c r="H1073" s="2" t="s">
        <v>41</v>
      </c>
      <c r="I1073" s="2" t="s">
        <v>501</v>
      </c>
      <c r="J1073" s="2" t="s">
        <v>502</v>
      </c>
      <c r="K1073" s="2">
        <v>918010109</v>
      </c>
      <c r="L1073" s="2" t="s">
        <v>99</v>
      </c>
      <c r="M1073" s="2" t="s">
        <v>41</v>
      </c>
      <c r="P1073" s="2" t="s">
        <v>282</v>
      </c>
      <c r="Q1073" s="2" t="s">
        <v>1370</v>
      </c>
      <c r="R1073" s="2" t="s">
        <v>1371</v>
      </c>
      <c r="S1073" s="2">
        <v>1</v>
      </c>
      <c r="T1073" s="2">
        <v>125</v>
      </c>
      <c r="U1073" s="2">
        <v>28.75</v>
      </c>
      <c r="V1073" s="2">
        <v>153.75</v>
      </c>
      <c r="W1073" s="2">
        <v>92.325000000000003</v>
      </c>
      <c r="X1073" s="5">
        <f t="shared" si="149"/>
        <v>0.26139999999999997</v>
      </c>
      <c r="Z1073" s="2" t="s">
        <v>3227</v>
      </c>
      <c r="AA1073" s="2" t="s">
        <v>71</v>
      </c>
      <c r="AB1073" s="2" t="s">
        <v>119</v>
      </c>
      <c r="AC1073" s="2" t="s">
        <v>119</v>
      </c>
      <c r="AF1073" s="2">
        <f t="shared" si="144"/>
        <v>0</v>
      </c>
      <c r="AJ1073" s="2">
        <f t="shared" si="145"/>
        <v>0</v>
      </c>
      <c r="AK1073" s="2">
        <f t="shared" si="146"/>
        <v>32.674999999999997</v>
      </c>
      <c r="AL1073" s="5">
        <f t="shared" si="150"/>
        <v>0.26139999999999997</v>
      </c>
    </row>
    <row r="1074" spans="1:38" x14ac:dyDescent="0.2">
      <c r="A1074" s="2">
        <v>2025</v>
      </c>
      <c r="B1074" s="2">
        <v>5</v>
      </c>
      <c r="D1074" s="2" t="s">
        <v>500</v>
      </c>
      <c r="E1074" s="2" t="s">
        <v>38</v>
      </c>
      <c r="F1074" s="2" t="s">
        <v>39</v>
      </c>
      <c r="G1074" s="2">
        <v>513244468</v>
      </c>
      <c r="H1074" s="2" t="s">
        <v>41</v>
      </c>
      <c r="I1074" s="2" t="s">
        <v>501</v>
      </c>
      <c r="J1074" s="2" t="s">
        <v>502</v>
      </c>
      <c r="K1074" s="2">
        <v>918010109</v>
      </c>
      <c r="L1074" s="2" t="s">
        <v>99</v>
      </c>
      <c r="M1074" s="2" t="s">
        <v>41</v>
      </c>
      <c r="P1074" s="2" t="s">
        <v>43</v>
      </c>
      <c r="Q1074" s="2" t="s">
        <v>250</v>
      </c>
      <c r="R1074" s="2" t="s">
        <v>251</v>
      </c>
      <c r="S1074" s="2">
        <v>1</v>
      </c>
      <c r="T1074" s="2">
        <v>60</v>
      </c>
      <c r="U1074" s="2">
        <v>13.8</v>
      </c>
      <c r="V1074" s="2">
        <v>73.8</v>
      </c>
      <c r="W1074" s="2">
        <f>25.0958*S1074</f>
        <v>25.095800000000001</v>
      </c>
      <c r="X1074" s="5">
        <f t="shared" si="149"/>
        <v>0.58173666666666668</v>
      </c>
      <c r="Z1074" s="2" t="s">
        <v>3227</v>
      </c>
      <c r="AA1074" s="2" t="s">
        <v>46</v>
      </c>
      <c r="AB1074" s="2" t="s">
        <v>90</v>
      </c>
      <c r="AC1074" s="2" t="s">
        <v>57</v>
      </c>
      <c r="AF1074" s="2">
        <f t="shared" si="144"/>
        <v>0</v>
      </c>
      <c r="AJ1074" s="2">
        <f t="shared" si="145"/>
        <v>0</v>
      </c>
      <c r="AK1074" s="2">
        <f t="shared" si="146"/>
        <v>34.904200000000003</v>
      </c>
      <c r="AL1074" s="5">
        <f t="shared" si="150"/>
        <v>0.58173666666666668</v>
      </c>
    </row>
    <row r="1075" spans="1:38" x14ac:dyDescent="0.2">
      <c r="A1075" s="2">
        <v>2025</v>
      </c>
      <c r="B1075" s="2">
        <v>5</v>
      </c>
      <c r="D1075" s="2" t="s">
        <v>1412</v>
      </c>
      <c r="P1075" s="2" t="s">
        <v>114</v>
      </c>
      <c r="Q1075" s="2" t="s">
        <v>1413</v>
      </c>
      <c r="R1075" s="2" t="s">
        <v>1414</v>
      </c>
      <c r="S1075" s="2">
        <v>1</v>
      </c>
      <c r="T1075" s="2">
        <v>215.94</v>
      </c>
      <c r="U1075" s="2">
        <v>49.666200000000003</v>
      </c>
      <c r="V1075" s="2">
        <v>265.6062</v>
      </c>
      <c r="X1075" s="5">
        <f t="shared" si="149"/>
        <v>1</v>
      </c>
      <c r="Z1075" s="2" t="s">
        <v>117</v>
      </c>
      <c r="AF1075" s="2">
        <f t="shared" si="144"/>
        <v>0</v>
      </c>
      <c r="AJ1075" s="2">
        <f t="shared" si="145"/>
        <v>0</v>
      </c>
      <c r="AK1075" s="2">
        <f t="shared" si="146"/>
        <v>215.94</v>
      </c>
      <c r="AL1075" s="5">
        <f t="shared" si="150"/>
        <v>1</v>
      </c>
    </row>
    <row r="1076" spans="1:38" x14ac:dyDescent="0.2">
      <c r="A1076" s="2">
        <v>2025</v>
      </c>
      <c r="B1076" s="2">
        <v>5</v>
      </c>
      <c r="D1076" s="2" t="s">
        <v>530</v>
      </c>
      <c r="E1076" s="2" t="s">
        <v>108</v>
      </c>
      <c r="F1076" s="2" t="s">
        <v>531</v>
      </c>
      <c r="G1076" s="2">
        <v>502139552</v>
      </c>
      <c r="H1076" s="2" t="s">
        <v>40</v>
      </c>
      <c r="I1076" s="2" t="s">
        <v>339</v>
      </c>
      <c r="J1076" s="2" t="s">
        <v>532</v>
      </c>
      <c r="L1076" s="2" t="s">
        <v>339</v>
      </c>
      <c r="M1076" s="2" t="s">
        <v>80</v>
      </c>
      <c r="P1076" s="2" t="s">
        <v>72</v>
      </c>
      <c r="Q1076" s="2" t="s">
        <v>1415</v>
      </c>
      <c r="R1076" s="2" t="s">
        <v>1416</v>
      </c>
      <c r="S1076" s="2">
        <v>1</v>
      </c>
      <c r="T1076" s="2">
        <v>235</v>
      </c>
      <c r="U1076" s="2">
        <v>54.05</v>
      </c>
      <c r="V1076" s="2">
        <v>289.05</v>
      </c>
      <c r="W1076" s="2">
        <v>127</v>
      </c>
      <c r="X1076" s="5">
        <f t="shared" si="149"/>
        <v>0.45957446808510638</v>
      </c>
      <c r="Z1076" s="2" t="s">
        <v>3227</v>
      </c>
      <c r="AA1076" s="2" t="s">
        <v>75</v>
      </c>
      <c r="AB1076" s="2" t="s">
        <v>76</v>
      </c>
      <c r="AC1076" s="2" t="s">
        <v>77</v>
      </c>
      <c r="AF1076" s="2">
        <f t="shared" si="144"/>
        <v>0</v>
      </c>
      <c r="AJ1076" s="2">
        <f t="shared" si="145"/>
        <v>0</v>
      </c>
      <c r="AK1076" s="2">
        <f t="shared" si="146"/>
        <v>108</v>
      </c>
      <c r="AL1076" s="5">
        <f t="shared" si="150"/>
        <v>0.45957446808510638</v>
      </c>
    </row>
    <row r="1077" spans="1:38" x14ac:dyDescent="0.2">
      <c r="A1077" s="2">
        <v>2025</v>
      </c>
      <c r="B1077" s="2">
        <v>5</v>
      </c>
      <c r="D1077" s="2" t="s">
        <v>530</v>
      </c>
      <c r="E1077" s="2" t="s">
        <v>108</v>
      </c>
      <c r="F1077" s="2" t="s">
        <v>531</v>
      </c>
      <c r="G1077" s="2">
        <v>502139552</v>
      </c>
      <c r="H1077" s="2" t="s">
        <v>40</v>
      </c>
      <c r="I1077" s="2" t="s">
        <v>339</v>
      </c>
      <c r="J1077" s="2" t="s">
        <v>532</v>
      </c>
      <c r="L1077" s="2" t="s">
        <v>339</v>
      </c>
      <c r="M1077" s="2" t="s">
        <v>80</v>
      </c>
      <c r="O1077" s="2" t="s">
        <v>3193</v>
      </c>
      <c r="P1077" s="2" t="s">
        <v>72</v>
      </c>
      <c r="Q1077" s="2" t="s">
        <v>533</v>
      </c>
      <c r="R1077" s="2" t="s">
        <v>534</v>
      </c>
      <c r="S1077" s="2">
        <v>1</v>
      </c>
      <c r="T1077" s="2">
        <v>210</v>
      </c>
      <c r="U1077" s="2">
        <v>48.3</v>
      </c>
      <c r="V1077" s="2">
        <v>258.3</v>
      </c>
      <c r="W1077" s="2">
        <f>110.125+11.77</f>
        <v>121.895</v>
      </c>
      <c r="X1077" s="5">
        <f t="shared" si="149"/>
        <v>0.41954761904761906</v>
      </c>
      <c r="Z1077" s="2" t="s">
        <v>3227</v>
      </c>
      <c r="AA1077" s="2" t="s">
        <v>75</v>
      </c>
      <c r="AB1077" s="2" t="s">
        <v>76</v>
      </c>
      <c r="AC1077" s="2" t="s">
        <v>77</v>
      </c>
      <c r="AF1077" s="2">
        <f t="shared" si="144"/>
        <v>0</v>
      </c>
      <c r="AG1077" s="2">
        <f>110.125+11.77</f>
        <v>121.895</v>
      </c>
      <c r="AJ1077" s="2">
        <f t="shared" si="145"/>
        <v>0</v>
      </c>
      <c r="AK1077" s="2">
        <f t="shared" si="146"/>
        <v>88.105000000000004</v>
      </c>
      <c r="AL1077" s="5">
        <f t="shared" si="150"/>
        <v>0.41954761904761906</v>
      </c>
    </row>
    <row r="1078" spans="1:38" x14ac:dyDescent="0.2">
      <c r="A1078" s="2">
        <v>2025</v>
      </c>
      <c r="B1078" s="2">
        <v>5</v>
      </c>
      <c r="D1078" s="2" t="s">
        <v>530</v>
      </c>
      <c r="E1078" s="2" t="s">
        <v>108</v>
      </c>
      <c r="F1078" s="2" t="s">
        <v>531</v>
      </c>
      <c r="G1078" s="2">
        <v>502139552</v>
      </c>
      <c r="H1078" s="2" t="s">
        <v>40</v>
      </c>
      <c r="I1078" s="2" t="s">
        <v>339</v>
      </c>
      <c r="J1078" s="2" t="s">
        <v>532</v>
      </c>
      <c r="L1078" s="2" t="s">
        <v>339</v>
      </c>
      <c r="M1078" s="2" t="s">
        <v>80</v>
      </c>
      <c r="P1078" s="2" t="s">
        <v>169</v>
      </c>
      <c r="Q1078" s="2" t="s">
        <v>170</v>
      </c>
      <c r="R1078" s="2" t="s">
        <v>170</v>
      </c>
      <c r="S1078" s="2">
        <v>1</v>
      </c>
      <c r="T1078" s="2">
        <v>30</v>
      </c>
      <c r="U1078" s="2">
        <v>6.9</v>
      </c>
      <c r="V1078" s="2">
        <v>36.9</v>
      </c>
      <c r="W1078" s="2">
        <v>23</v>
      </c>
      <c r="X1078" s="5">
        <f t="shared" si="149"/>
        <v>0.23333333333333334</v>
      </c>
      <c r="Z1078" s="2" t="s">
        <v>169</v>
      </c>
      <c r="AA1078" s="2" t="s">
        <v>169</v>
      </c>
      <c r="AF1078" s="2">
        <f t="shared" si="144"/>
        <v>0</v>
      </c>
      <c r="AJ1078" s="2">
        <f t="shared" si="145"/>
        <v>0</v>
      </c>
      <c r="AK1078" s="2">
        <f t="shared" si="146"/>
        <v>7</v>
      </c>
      <c r="AL1078" s="5">
        <f t="shared" si="150"/>
        <v>0.23333333333333334</v>
      </c>
    </row>
    <row r="1079" spans="1:38" x14ac:dyDescent="0.2">
      <c r="A1079" s="2">
        <v>2025</v>
      </c>
      <c r="B1079" s="2">
        <v>5</v>
      </c>
      <c r="D1079" s="2" t="s">
        <v>530</v>
      </c>
      <c r="E1079" s="2" t="s">
        <v>108</v>
      </c>
      <c r="F1079" s="2" t="s">
        <v>531</v>
      </c>
      <c r="G1079" s="2">
        <v>502139552</v>
      </c>
      <c r="H1079" s="2" t="s">
        <v>40</v>
      </c>
      <c r="I1079" s="2" t="s">
        <v>339</v>
      </c>
      <c r="J1079" s="2" t="s">
        <v>532</v>
      </c>
      <c r="L1079" s="2" t="s">
        <v>339</v>
      </c>
      <c r="M1079" s="2" t="s">
        <v>40</v>
      </c>
      <c r="P1079" s="2" t="s">
        <v>40</v>
      </c>
      <c r="Q1079" s="2" t="s">
        <v>140</v>
      </c>
      <c r="R1079" s="2" t="s">
        <v>141</v>
      </c>
      <c r="S1079" s="2">
        <v>-2</v>
      </c>
      <c r="T1079" s="2">
        <v>-75.290000000000006</v>
      </c>
      <c r="U1079" s="2">
        <v>-17.316700000000001</v>
      </c>
      <c r="V1079" s="2">
        <v>-92.606700000000004</v>
      </c>
      <c r="Z1079" s="2" t="s">
        <v>119</v>
      </c>
      <c r="AA1079" s="2" t="s">
        <v>142</v>
      </c>
      <c r="AF1079" s="2">
        <f t="shared" si="144"/>
        <v>0</v>
      </c>
      <c r="AJ1079" s="2">
        <f t="shared" si="145"/>
        <v>0</v>
      </c>
    </row>
    <row r="1080" spans="1:38" x14ac:dyDescent="0.2">
      <c r="A1080" s="2">
        <v>2025</v>
      </c>
      <c r="B1080" s="2">
        <v>5</v>
      </c>
      <c r="D1080" s="2" t="s">
        <v>530</v>
      </c>
      <c r="E1080" s="2" t="s">
        <v>108</v>
      </c>
      <c r="F1080" s="2" t="s">
        <v>531</v>
      </c>
      <c r="G1080" s="2">
        <v>502139552</v>
      </c>
      <c r="H1080" s="2" t="s">
        <v>40</v>
      </c>
      <c r="I1080" s="2" t="s">
        <v>339</v>
      </c>
      <c r="J1080" s="2" t="s">
        <v>532</v>
      </c>
      <c r="L1080" s="2" t="s">
        <v>339</v>
      </c>
      <c r="M1080" s="2" t="s">
        <v>80</v>
      </c>
      <c r="P1080" s="2" t="s">
        <v>93</v>
      </c>
      <c r="Q1080" s="2" t="s">
        <v>94</v>
      </c>
      <c r="R1080" s="2" t="s">
        <v>95</v>
      </c>
      <c r="S1080" s="2">
        <v>2</v>
      </c>
      <c r="T1080" s="2">
        <v>2.2799999999999998</v>
      </c>
      <c r="U1080" s="2">
        <v>0.52439999999999998</v>
      </c>
      <c r="V1080" s="2">
        <v>2.8043999999999998</v>
      </c>
      <c r="W1080" s="2">
        <v>2.2799999999999998</v>
      </c>
      <c r="X1080" s="5">
        <f t="shared" ref="X1080:X1093" si="151">(T1080-W1080)/T1080</f>
        <v>0</v>
      </c>
      <c r="Z1080" s="2" t="s">
        <v>3227</v>
      </c>
      <c r="AA1080" s="2" t="s">
        <v>96</v>
      </c>
      <c r="AB1080" s="2" t="s">
        <v>76</v>
      </c>
      <c r="AC1080" s="2" t="s">
        <v>93</v>
      </c>
      <c r="AF1080" s="2">
        <f t="shared" si="144"/>
        <v>0</v>
      </c>
      <c r="AJ1080" s="2">
        <f t="shared" si="145"/>
        <v>0</v>
      </c>
      <c r="AK1080" s="2">
        <f t="shared" ref="AK1080:AK1093" si="152">T1080-W1080</f>
        <v>0</v>
      </c>
      <c r="AL1080" s="5">
        <f t="shared" ref="AL1080:AL1093" si="153">(T1080-W1080)/T1080</f>
        <v>0</v>
      </c>
    </row>
    <row r="1081" spans="1:38" x14ac:dyDescent="0.2">
      <c r="A1081" s="2">
        <v>2025</v>
      </c>
      <c r="B1081" s="2">
        <v>5</v>
      </c>
      <c r="D1081" s="2" t="s">
        <v>542</v>
      </c>
      <c r="E1081" s="2" t="s">
        <v>108</v>
      </c>
      <c r="F1081" s="2" t="s">
        <v>39</v>
      </c>
      <c r="G1081" s="2">
        <v>506411206</v>
      </c>
      <c r="H1081" s="2" t="s">
        <v>41</v>
      </c>
      <c r="I1081" s="2" t="s">
        <v>543</v>
      </c>
      <c r="J1081" s="2" t="s">
        <v>544</v>
      </c>
      <c r="L1081" s="2" t="s">
        <v>201</v>
      </c>
      <c r="M1081" s="2" t="s">
        <v>41</v>
      </c>
      <c r="O1081" s="2" t="s">
        <v>1417</v>
      </c>
      <c r="P1081" s="2" t="s">
        <v>72</v>
      </c>
      <c r="Q1081" s="2" t="s">
        <v>557</v>
      </c>
      <c r="R1081" s="2" t="s">
        <v>307</v>
      </c>
      <c r="S1081" s="2">
        <v>1</v>
      </c>
      <c r="T1081" s="2">
        <v>220</v>
      </c>
      <c r="U1081" s="2">
        <v>50.6</v>
      </c>
      <c r="V1081" s="2">
        <v>270.60000000000002</v>
      </c>
      <c r="W1081" s="2">
        <v>122.446</v>
      </c>
      <c r="X1081" s="5">
        <f t="shared" si="151"/>
        <v>0.44342727272727273</v>
      </c>
      <c r="Z1081" s="2" t="s">
        <v>3227</v>
      </c>
      <c r="AA1081" s="2" t="s">
        <v>75</v>
      </c>
      <c r="AB1081" s="2" t="s">
        <v>76</v>
      </c>
      <c r="AC1081" s="2" t="s">
        <v>77</v>
      </c>
      <c r="AF1081" s="2">
        <f t="shared" si="144"/>
        <v>0</v>
      </c>
      <c r="AG1081" s="2">
        <v>122.446</v>
      </c>
      <c r="AH1081" s="2">
        <v>230</v>
      </c>
      <c r="AJ1081" s="2">
        <f t="shared" si="145"/>
        <v>0</v>
      </c>
      <c r="AK1081" s="2">
        <f t="shared" si="152"/>
        <v>97.554000000000002</v>
      </c>
      <c r="AL1081" s="5">
        <f t="shared" si="153"/>
        <v>0.44342727272727273</v>
      </c>
    </row>
    <row r="1082" spans="1:38" x14ac:dyDescent="0.2">
      <c r="A1082" s="2">
        <v>2025</v>
      </c>
      <c r="B1082" s="2">
        <v>5</v>
      </c>
      <c r="D1082" s="2" t="s">
        <v>542</v>
      </c>
      <c r="E1082" s="2" t="s">
        <v>108</v>
      </c>
      <c r="F1082" s="2" t="s">
        <v>39</v>
      </c>
      <c r="G1082" s="2">
        <v>506411206</v>
      </c>
      <c r="H1082" s="2" t="s">
        <v>41</v>
      </c>
      <c r="I1082" s="2" t="s">
        <v>543</v>
      </c>
      <c r="J1082" s="2" t="s">
        <v>544</v>
      </c>
      <c r="L1082" s="2" t="s">
        <v>201</v>
      </c>
      <c r="M1082" s="2" t="s">
        <v>41</v>
      </c>
      <c r="O1082" s="2" t="s">
        <v>1417</v>
      </c>
      <c r="P1082" s="2" t="s">
        <v>93</v>
      </c>
      <c r="Q1082" s="2" t="s">
        <v>94</v>
      </c>
      <c r="R1082" s="2" t="s">
        <v>95</v>
      </c>
      <c r="S1082" s="2">
        <v>1</v>
      </c>
      <c r="T1082" s="2">
        <v>1.1399999999999999</v>
      </c>
      <c r="U1082" s="2">
        <v>0.26219999999999999</v>
      </c>
      <c r="V1082" s="2">
        <v>1.4021999999999999</v>
      </c>
      <c r="W1082" s="2">
        <v>1.1399999999999999</v>
      </c>
      <c r="X1082" s="5">
        <f t="shared" si="151"/>
        <v>0</v>
      </c>
      <c r="Z1082" s="2" t="s">
        <v>3227</v>
      </c>
      <c r="AA1082" s="2" t="s">
        <v>96</v>
      </c>
      <c r="AB1082" s="2" t="s">
        <v>76</v>
      </c>
      <c r="AC1082" s="2" t="s">
        <v>93</v>
      </c>
      <c r="AF1082" s="2">
        <f t="shared" si="144"/>
        <v>0</v>
      </c>
      <c r="AG1082" s="2">
        <v>1.1399999999999999</v>
      </c>
      <c r="AH1082" s="2">
        <v>1.1399999999999999</v>
      </c>
      <c r="AJ1082" s="2">
        <f t="shared" si="145"/>
        <v>0</v>
      </c>
      <c r="AK1082" s="2">
        <f t="shared" si="152"/>
        <v>0</v>
      </c>
      <c r="AL1082" s="5">
        <f t="shared" si="153"/>
        <v>0</v>
      </c>
    </row>
    <row r="1083" spans="1:38" x14ac:dyDescent="0.2">
      <c r="A1083" s="2">
        <v>2025</v>
      </c>
      <c r="B1083" s="2">
        <v>5</v>
      </c>
      <c r="D1083" s="2" t="s">
        <v>1418</v>
      </c>
      <c r="E1083" s="2" t="s">
        <v>108</v>
      </c>
      <c r="F1083" s="2" t="s">
        <v>39</v>
      </c>
      <c r="G1083" s="2">
        <v>502696338</v>
      </c>
      <c r="H1083" s="2" t="s">
        <v>40</v>
      </c>
      <c r="I1083" s="2" t="s">
        <v>2411</v>
      </c>
      <c r="J1083" s="2" t="s">
        <v>2412</v>
      </c>
      <c r="L1083" s="2" t="s">
        <v>201</v>
      </c>
      <c r="M1083" s="2" t="s">
        <v>80</v>
      </c>
      <c r="P1083" s="2" t="s">
        <v>72</v>
      </c>
      <c r="Q1083" s="2" t="s">
        <v>664</v>
      </c>
      <c r="R1083" s="2" t="s">
        <v>79</v>
      </c>
      <c r="S1083" s="2">
        <v>1</v>
      </c>
      <c r="T1083" s="2">
        <v>200</v>
      </c>
      <c r="U1083" s="2">
        <v>46</v>
      </c>
      <c r="V1083" s="2">
        <v>246</v>
      </c>
      <c r="W1083" s="2">
        <f>113.905+11.25</f>
        <v>125.155</v>
      </c>
      <c r="X1083" s="5">
        <f t="shared" si="151"/>
        <v>0.37422499999999997</v>
      </c>
      <c r="Z1083" s="2" t="s">
        <v>3227</v>
      </c>
      <c r="AA1083" s="2" t="s">
        <v>75</v>
      </c>
      <c r="AB1083" s="2" t="s">
        <v>76</v>
      </c>
      <c r="AC1083" s="2" t="s">
        <v>77</v>
      </c>
      <c r="AF1083" s="2">
        <f t="shared" si="144"/>
        <v>0</v>
      </c>
      <c r="AJ1083" s="2">
        <f t="shared" si="145"/>
        <v>0</v>
      </c>
      <c r="AK1083" s="2">
        <f t="shared" si="152"/>
        <v>74.844999999999999</v>
      </c>
      <c r="AL1083" s="5">
        <f t="shared" si="153"/>
        <v>0.37422499999999997</v>
      </c>
    </row>
    <row r="1084" spans="1:38" x14ac:dyDescent="0.2">
      <c r="A1084" s="2">
        <v>2025</v>
      </c>
      <c r="B1084" s="2">
        <v>5</v>
      </c>
      <c r="D1084" s="2" t="s">
        <v>1418</v>
      </c>
      <c r="E1084" s="2" t="s">
        <v>108</v>
      </c>
      <c r="F1084" s="2" t="s">
        <v>39</v>
      </c>
      <c r="G1084" s="2">
        <v>502696338</v>
      </c>
      <c r="H1084" s="2" t="s">
        <v>40</v>
      </c>
      <c r="I1084" s="2" t="s">
        <v>2411</v>
      </c>
      <c r="J1084" s="2" t="s">
        <v>2412</v>
      </c>
      <c r="L1084" s="2" t="s">
        <v>201</v>
      </c>
      <c r="M1084" s="2" t="s">
        <v>80</v>
      </c>
      <c r="P1084" s="2" t="s">
        <v>93</v>
      </c>
      <c r="Q1084" s="2" t="s">
        <v>94</v>
      </c>
      <c r="R1084" s="2" t="s">
        <v>95</v>
      </c>
      <c r="S1084" s="2">
        <v>1</v>
      </c>
      <c r="T1084" s="2">
        <v>1.1399999999999999</v>
      </c>
      <c r="U1084" s="2">
        <v>0.26219999999999999</v>
      </c>
      <c r="V1084" s="2">
        <v>1.4021999999999999</v>
      </c>
      <c r="W1084" s="2">
        <v>1.1399999999999999</v>
      </c>
      <c r="X1084" s="5">
        <f t="shared" si="151"/>
        <v>0</v>
      </c>
      <c r="Z1084" s="2" t="s">
        <v>3227</v>
      </c>
      <c r="AA1084" s="2" t="s">
        <v>96</v>
      </c>
      <c r="AB1084" s="2" t="s">
        <v>76</v>
      </c>
      <c r="AC1084" s="2" t="s">
        <v>93</v>
      </c>
      <c r="AF1084" s="2">
        <f t="shared" si="144"/>
        <v>0</v>
      </c>
      <c r="AJ1084" s="2">
        <f t="shared" si="145"/>
        <v>0</v>
      </c>
      <c r="AK1084" s="2">
        <f t="shared" si="152"/>
        <v>0</v>
      </c>
      <c r="AL1084" s="5">
        <f t="shared" si="153"/>
        <v>0</v>
      </c>
    </row>
    <row r="1085" spans="1:38" x14ac:dyDescent="0.2">
      <c r="A1085" s="2">
        <v>2025</v>
      </c>
      <c r="B1085" s="2">
        <v>5</v>
      </c>
      <c r="D1085" s="2" t="s">
        <v>1419</v>
      </c>
      <c r="M1085" s="2" t="s">
        <v>41</v>
      </c>
      <c r="P1085" s="2" t="s">
        <v>72</v>
      </c>
      <c r="Q1085" s="2" t="s">
        <v>73</v>
      </c>
      <c r="R1085" s="2" t="s">
        <v>74</v>
      </c>
      <c r="S1085" s="2">
        <v>1</v>
      </c>
      <c r="T1085" s="2">
        <v>210</v>
      </c>
      <c r="U1085" s="2">
        <v>48.3</v>
      </c>
      <c r="V1085" s="2">
        <v>258.3</v>
      </c>
      <c r="W1085" s="2">
        <v>117.453</v>
      </c>
      <c r="X1085" s="5">
        <f t="shared" si="151"/>
        <v>0.44069999999999998</v>
      </c>
      <c r="Z1085" s="2" t="s">
        <v>3227</v>
      </c>
      <c r="AA1085" s="2" t="s">
        <v>75</v>
      </c>
      <c r="AB1085" s="2" t="s">
        <v>76</v>
      </c>
      <c r="AC1085" s="2" t="s">
        <v>77</v>
      </c>
      <c r="AF1085" s="2">
        <f t="shared" si="144"/>
        <v>0</v>
      </c>
      <c r="AG1085" s="2">
        <v>117.453</v>
      </c>
      <c r="AH1085" s="2">
        <v>220</v>
      </c>
      <c r="AJ1085" s="2">
        <f t="shared" si="145"/>
        <v>0</v>
      </c>
      <c r="AK1085" s="2">
        <f t="shared" si="152"/>
        <v>92.546999999999997</v>
      </c>
      <c r="AL1085" s="5">
        <f t="shared" si="153"/>
        <v>0.44069999999999998</v>
      </c>
    </row>
    <row r="1086" spans="1:38" x14ac:dyDescent="0.2">
      <c r="A1086" s="2">
        <v>2025</v>
      </c>
      <c r="B1086" s="2">
        <v>5</v>
      </c>
      <c r="D1086" s="2" t="s">
        <v>1419</v>
      </c>
      <c r="P1086" s="2" t="s">
        <v>93</v>
      </c>
      <c r="Q1086" s="2" t="s">
        <v>94</v>
      </c>
      <c r="R1086" s="2" t="s">
        <v>95</v>
      </c>
      <c r="S1086" s="2">
        <v>1</v>
      </c>
      <c r="T1086" s="2">
        <v>1.1399999999999999</v>
      </c>
      <c r="U1086" s="2">
        <v>0.26219999999999999</v>
      </c>
      <c r="V1086" s="2">
        <v>1.4021999999999999</v>
      </c>
      <c r="W1086" s="2">
        <v>1.1399999999999999</v>
      </c>
      <c r="X1086" s="5">
        <f t="shared" si="151"/>
        <v>0</v>
      </c>
      <c r="Z1086" s="2" t="s">
        <v>3227</v>
      </c>
      <c r="AA1086" s="2" t="s">
        <v>96</v>
      </c>
      <c r="AB1086" s="2" t="s">
        <v>76</v>
      </c>
      <c r="AC1086" s="2" t="s">
        <v>93</v>
      </c>
      <c r="AF1086" s="2">
        <f t="shared" si="144"/>
        <v>0</v>
      </c>
      <c r="AJ1086" s="2">
        <f t="shared" si="145"/>
        <v>0</v>
      </c>
      <c r="AK1086" s="2">
        <f t="shared" si="152"/>
        <v>0</v>
      </c>
      <c r="AL1086" s="5">
        <f t="shared" si="153"/>
        <v>0</v>
      </c>
    </row>
    <row r="1087" spans="1:38" x14ac:dyDescent="0.2">
      <c r="A1087" s="2">
        <v>2025</v>
      </c>
      <c r="B1087" s="2">
        <v>5</v>
      </c>
      <c r="D1087" s="2" t="s">
        <v>881</v>
      </c>
      <c r="E1087" s="2" t="s">
        <v>108</v>
      </c>
      <c r="F1087" s="2" t="s">
        <v>39</v>
      </c>
      <c r="G1087" s="2">
        <v>510118887</v>
      </c>
      <c r="H1087" s="2" t="s">
        <v>41</v>
      </c>
      <c r="I1087" s="2" t="s">
        <v>882</v>
      </c>
      <c r="J1087" s="2" t="s">
        <v>883</v>
      </c>
      <c r="L1087" s="2" t="s">
        <v>177</v>
      </c>
      <c r="M1087" s="2" t="s">
        <v>41</v>
      </c>
      <c r="O1087" s="2" t="s">
        <v>1420</v>
      </c>
      <c r="P1087" s="2" t="s">
        <v>43</v>
      </c>
      <c r="Q1087" s="2" t="s">
        <v>61</v>
      </c>
      <c r="R1087" s="2" t="s">
        <v>62</v>
      </c>
      <c r="S1087" s="2">
        <v>1000</v>
      </c>
      <c r="T1087" s="2">
        <v>105</v>
      </c>
      <c r="U1087" s="2">
        <v>24.15</v>
      </c>
      <c r="V1087" s="2">
        <v>129.15</v>
      </c>
      <c r="W1087" s="2">
        <f>0.082*S1087</f>
        <v>82</v>
      </c>
      <c r="X1087" s="5">
        <f t="shared" si="151"/>
        <v>0.21904761904761905</v>
      </c>
      <c r="Z1087" s="2" t="s">
        <v>3227</v>
      </c>
      <c r="AA1087" s="2" t="s">
        <v>46</v>
      </c>
      <c r="AB1087" s="2" t="s">
        <v>60</v>
      </c>
      <c r="AC1087" s="2" t="s">
        <v>57</v>
      </c>
      <c r="AF1087" s="2">
        <f t="shared" si="144"/>
        <v>0</v>
      </c>
      <c r="AG1087" s="2">
        <v>8.1999999999999993</v>
      </c>
      <c r="AH1087" s="2">
        <v>13</v>
      </c>
      <c r="AJ1087" s="2">
        <f t="shared" si="145"/>
        <v>0</v>
      </c>
      <c r="AK1087" s="2">
        <f t="shared" si="152"/>
        <v>23</v>
      </c>
      <c r="AL1087" s="5">
        <f t="shared" si="153"/>
        <v>0.21904761904761905</v>
      </c>
    </row>
    <row r="1088" spans="1:38" x14ac:dyDescent="0.2">
      <c r="A1088" s="2">
        <v>2025</v>
      </c>
      <c r="B1088" s="2">
        <v>5</v>
      </c>
      <c r="D1088" s="2" t="s">
        <v>881</v>
      </c>
      <c r="E1088" s="2" t="s">
        <v>108</v>
      </c>
      <c r="F1088" s="2" t="s">
        <v>39</v>
      </c>
      <c r="G1088" s="2">
        <v>510118887</v>
      </c>
      <c r="H1088" s="2" t="s">
        <v>41</v>
      </c>
      <c r="I1088" s="2" t="s">
        <v>882</v>
      </c>
      <c r="J1088" s="2" t="s">
        <v>883</v>
      </c>
      <c r="L1088" s="2" t="s">
        <v>177</v>
      </c>
      <c r="M1088" s="2" t="s">
        <v>41</v>
      </c>
      <c r="O1088" s="2" t="s">
        <v>1420</v>
      </c>
      <c r="P1088" s="2" t="s">
        <v>84</v>
      </c>
      <c r="Q1088" s="2" t="s">
        <v>604</v>
      </c>
      <c r="R1088" s="2" t="s">
        <v>605</v>
      </c>
      <c r="S1088" s="2">
        <v>10</v>
      </c>
      <c r="T1088" s="2">
        <v>27</v>
      </c>
      <c r="U1088" s="2">
        <v>6.21</v>
      </c>
      <c r="V1088" s="2">
        <v>33.21</v>
      </c>
      <c r="X1088" s="5">
        <f t="shared" si="151"/>
        <v>1</v>
      </c>
      <c r="Z1088" s="2" t="s">
        <v>3227</v>
      </c>
      <c r="AA1088" s="2" t="s">
        <v>87</v>
      </c>
      <c r="AB1088" s="2" t="s">
        <v>60</v>
      </c>
      <c r="AC1088" s="2" t="s">
        <v>84</v>
      </c>
      <c r="AF1088" s="2">
        <f t="shared" si="144"/>
        <v>0</v>
      </c>
      <c r="AJ1088" s="2">
        <f t="shared" si="145"/>
        <v>0</v>
      </c>
      <c r="AK1088" s="2">
        <f t="shared" si="152"/>
        <v>27</v>
      </c>
      <c r="AL1088" s="5">
        <f t="shared" si="153"/>
        <v>1</v>
      </c>
    </row>
    <row r="1089" spans="1:38" x14ac:dyDescent="0.2">
      <c r="A1089" s="2">
        <v>2025</v>
      </c>
      <c r="B1089" s="2">
        <v>5</v>
      </c>
      <c r="D1089" s="2" t="s">
        <v>1421</v>
      </c>
      <c r="P1089" s="2" t="s">
        <v>114</v>
      </c>
      <c r="Q1089" s="2" t="s">
        <v>1422</v>
      </c>
      <c r="R1089" s="2" t="s">
        <v>1423</v>
      </c>
      <c r="S1089" s="2">
        <v>1</v>
      </c>
      <c r="T1089" s="2">
        <v>12.12</v>
      </c>
      <c r="U1089" s="2">
        <v>2.7875999999999999</v>
      </c>
      <c r="V1089" s="2">
        <v>14.9076</v>
      </c>
      <c r="X1089" s="5">
        <f t="shared" si="151"/>
        <v>1</v>
      </c>
      <c r="Z1089" s="2" t="s">
        <v>117</v>
      </c>
      <c r="AF1089" s="2">
        <f t="shared" si="144"/>
        <v>0</v>
      </c>
      <c r="AJ1089" s="2">
        <f t="shared" si="145"/>
        <v>0</v>
      </c>
      <c r="AK1089" s="2">
        <f t="shared" si="152"/>
        <v>12.12</v>
      </c>
      <c r="AL1089" s="5">
        <f t="shared" si="153"/>
        <v>1</v>
      </c>
    </row>
    <row r="1090" spans="1:38" x14ac:dyDescent="0.2">
      <c r="A1090" s="2">
        <v>2025</v>
      </c>
      <c r="B1090" s="2">
        <v>5</v>
      </c>
      <c r="D1090" s="2" t="s">
        <v>1421</v>
      </c>
      <c r="P1090" s="2" t="s">
        <v>114</v>
      </c>
      <c r="Q1090" s="2" t="s">
        <v>1424</v>
      </c>
      <c r="R1090" s="2" t="s">
        <v>1425</v>
      </c>
      <c r="S1090" s="2">
        <v>1</v>
      </c>
      <c r="T1090" s="2">
        <v>2515.37</v>
      </c>
      <c r="U1090" s="2">
        <v>578.53510000000006</v>
      </c>
      <c r="V1090" s="2">
        <v>3093.9050999999999</v>
      </c>
      <c r="X1090" s="5">
        <f t="shared" si="151"/>
        <v>1</v>
      </c>
      <c r="Z1090" s="2" t="s">
        <v>117</v>
      </c>
      <c r="AF1090" s="2">
        <f t="shared" ref="AF1090:AF1153" si="154">AJ1090</f>
        <v>0</v>
      </c>
      <c r="AJ1090" s="2">
        <f t="shared" ref="AJ1090:AJ1153" si="155">AI1090*T1090</f>
        <v>0</v>
      </c>
      <c r="AK1090" s="2">
        <f t="shared" si="152"/>
        <v>2515.37</v>
      </c>
      <c r="AL1090" s="5">
        <f t="shared" si="153"/>
        <v>1</v>
      </c>
    </row>
    <row r="1091" spans="1:38" x14ac:dyDescent="0.2">
      <c r="A1091" s="2">
        <v>2025</v>
      </c>
      <c r="B1091" s="2">
        <v>5</v>
      </c>
      <c r="D1091" s="2" t="s">
        <v>1421</v>
      </c>
      <c r="P1091" s="2" t="s">
        <v>114</v>
      </c>
      <c r="Q1091" s="2" t="s">
        <v>1426</v>
      </c>
      <c r="R1091" s="2" t="s">
        <v>1427</v>
      </c>
      <c r="S1091" s="2">
        <v>1</v>
      </c>
      <c r="T1091" s="2">
        <v>200.25</v>
      </c>
      <c r="U1091" s="2">
        <v>46.057499999999997</v>
      </c>
      <c r="V1091" s="2">
        <v>246.3075</v>
      </c>
      <c r="X1091" s="5">
        <f t="shared" si="151"/>
        <v>1</v>
      </c>
      <c r="Z1091" s="2" t="s">
        <v>117</v>
      </c>
      <c r="AF1091" s="2">
        <f t="shared" si="154"/>
        <v>0</v>
      </c>
      <c r="AJ1091" s="2">
        <f t="shared" si="155"/>
        <v>0</v>
      </c>
      <c r="AK1091" s="2">
        <f t="shared" si="152"/>
        <v>200.25</v>
      </c>
      <c r="AL1091" s="5">
        <f t="shared" si="153"/>
        <v>1</v>
      </c>
    </row>
    <row r="1092" spans="1:38" x14ac:dyDescent="0.2">
      <c r="A1092" s="2">
        <v>2025</v>
      </c>
      <c r="B1092" s="2">
        <v>5</v>
      </c>
      <c r="D1092" s="2" t="s">
        <v>1421</v>
      </c>
      <c r="M1092" s="2" t="s">
        <v>40</v>
      </c>
      <c r="P1092" s="2" t="s">
        <v>187</v>
      </c>
      <c r="Q1092" s="2" t="s">
        <v>188</v>
      </c>
      <c r="R1092" s="2" t="s">
        <v>189</v>
      </c>
      <c r="S1092" s="2">
        <v>1</v>
      </c>
      <c r="T1092" s="2">
        <v>73</v>
      </c>
      <c r="U1092" s="2">
        <v>16.79</v>
      </c>
      <c r="V1092" s="2">
        <v>89.789999999999992</v>
      </c>
      <c r="W1092" s="2">
        <f>T1092*40%</f>
        <v>29.200000000000003</v>
      </c>
      <c r="X1092" s="5">
        <f t="shared" si="151"/>
        <v>0.6</v>
      </c>
      <c r="Z1092" s="2" t="s">
        <v>117</v>
      </c>
      <c r="AA1092" s="2" t="s">
        <v>190</v>
      </c>
      <c r="AB1092" s="2" t="s">
        <v>189</v>
      </c>
      <c r="AC1092" s="2" t="s">
        <v>40</v>
      </c>
      <c r="AF1092" s="2">
        <f t="shared" si="154"/>
        <v>0</v>
      </c>
      <c r="AJ1092" s="2">
        <f t="shared" si="155"/>
        <v>0</v>
      </c>
      <c r="AK1092" s="2">
        <f t="shared" si="152"/>
        <v>43.8</v>
      </c>
      <c r="AL1092" s="5">
        <f t="shared" si="153"/>
        <v>0.6</v>
      </c>
    </row>
    <row r="1093" spans="1:38" x14ac:dyDescent="0.2">
      <c r="A1093" s="2">
        <v>2025</v>
      </c>
      <c r="B1093" s="2">
        <v>5</v>
      </c>
      <c r="D1093" s="2" t="s">
        <v>1421</v>
      </c>
      <c r="M1093" s="2" t="s">
        <v>40</v>
      </c>
      <c r="P1093" s="2" t="s">
        <v>187</v>
      </c>
      <c r="Q1093" s="2" t="s">
        <v>191</v>
      </c>
      <c r="R1093" s="2" t="s">
        <v>190</v>
      </c>
      <c r="S1093" s="2">
        <v>2</v>
      </c>
      <c r="T1093" s="2">
        <v>100</v>
      </c>
      <c r="U1093" s="2">
        <v>23</v>
      </c>
      <c r="V1093" s="2">
        <v>123</v>
      </c>
      <c r="W1093" s="2">
        <f>T1093*50%</f>
        <v>50</v>
      </c>
      <c r="X1093" s="5">
        <f t="shared" si="151"/>
        <v>0.5</v>
      </c>
      <c r="Z1093" s="2" t="s">
        <v>117</v>
      </c>
      <c r="AA1093" s="2" t="s">
        <v>190</v>
      </c>
      <c r="AB1093" s="2" t="s">
        <v>190</v>
      </c>
      <c r="AC1093" s="2" t="s">
        <v>40</v>
      </c>
      <c r="AF1093" s="2">
        <f t="shared" si="154"/>
        <v>0</v>
      </c>
      <c r="AJ1093" s="2">
        <f t="shared" si="155"/>
        <v>0</v>
      </c>
      <c r="AK1093" s="2">
        <f t="shared" si="152"/>
        <v>50</v>
      </c>
      <c r="AL1093" s="5">
        <f t="shared" si="153"/>
        <v>0.5</v>
      </c>
    </row>
    <row r="1094" spans="1:38" x14ac:dyDescent="0.2">
      <c r="A1094" s="2">
        <v>2025</v>
      </c>
      <c r="B1094" s="2">
        <v>5</v>
      </c>
      <c r="D1094" s="2" t="s">
        <v>1421</v>
      </c>
      <c r="M1094" s="2" t="s">
        <v>40</v>
      </c>
      <c r="P1094" s="2" t="s">
        <v>40</v>
      </c>
      <c r="Q1094" s="2" t="s">
        <v>140</v>
      </c>
      <c r="R1094" s="2" t="s">
        <v>141</v>
      </c>
      <c r="S1094" s="2">
        <v>-3</v>
      </c>
      <c r="T1094" s="2">
        <v>-818.33</v>
      </c>
      <c r="U1094" s="2">
        <v>-188.2159</v>
      </c>
      <c r="V1094" s="2">
        <v>-1006.5459</v>
      </c>
      <c r="Z1094" s="2" t="s">
        <v>119</v>
      </c>
      <c r="AA1094" s="2" t="s">
        <v>142</v>
      </c>
      <c r="AF1094" s="2">
        <f t="shared" si="154"/>
        <v>0</v>
      </c>
      <c r="AJ1094" s="2">
        <f t="shared" si="155"/>
        <v>0</v>
      </c>
    </row>
    <row r="1095" spans="1:38" x14ac:dyDescent="0.2">
      <c r="A1095" s="2">
        <v>2025</v>
      </c>
      <c r="B1095" s="2">
        <v>5</v>
      </c>
      <c r="D1095" s="2" t="s">
        <v>889</v>
      </c>
      <c r="E1095" s="2" t="s">
        <v>108</v>
      </c>
      <c r="F1095" s="2" t="s">
        <v>39</v>
      </c>
      <c r="G1095" s="2">
        <v>507216970</v>
      </c>
      <c r="H1095" s="2" t="s">
        <v>41</v>
      </c>
      <c r="I1095" s="2" t="s">
        <v>890</v>
      </c>
      <c r="J1095" s="2" t="s">
        <v>891</v>
      </c>
      <c r="L1095" s="2" t="s">
        <v>99</v>
      </c>
      <c r="P1095" s="2" t="s">
        <v>114</v>
      </c>
      <c r="Q1095" s="2" t="s">
        <v>1428</v>
      </c>
      <c r="R1095" s="2" t="s">
        <v>1429</v>
      </c>
      <c r="S1095" s="2">
        <v>1</v>
      </c>
      <c r="T1095" s="2">
        <v>120.92</v>
      </c>
      <c r="U1095" s="2">
        <v>27.811599999999999</v>
      </c>
      <c r="V1095" s="2">
        <v>148.73159999999999</v>
      </c>
      <c r="X1095" s="5">
        <f>(T1095-W1095)/T1095</f>
        <v>1</v>
      </c>
      <c r="Z1095" s="2" t="s">
        <v>117</v>
      </c>
      <c r="AF1095" s="2">
        <f t="shared" si="154"/>
        <v>0</v>
      </c>
      <c r="AJ1095" s="2">
        <f t="shared" si="155"/>
        <v>0</v>
      </c>
      <c r="AK1095" s="2">
        <f t="shared" ref="AK1095:AK1100" si="156">T1095-W1095</f>
        <v>120.92</v>
      </c>
      <c r="AL1095" s="5">
        <f>(T1095-W1095)/T1095</f>
        <v>1</v>
      </c>
    </row>
    <row r="1096" spans="1:38" x14ac:dyDescent="0.2">
      <c r="A1096" s="2">
        <v>2025</v>
      </c>
      <c r="B1096" s="2">
        <v>5</v>
      </c>
      <c r="D1096" s="2" t="s">
        <v>889</v>
      </c>
      <c r="E1096" s="2" t="s">
        <v>108</v>
      </c>
      <c r="F1096" s="2" t="s">
        <v>39</v>
      </c>
      <c r="G1096" s="2">
        <v>507216970</v>
      </c>
      <c r="H1096" s="2" t="s">
        <v>41</v>
      </c>
      <c r="I1096" s="2" t="s">
        <v>890</v>
      </c>
      <c r="J1096" s="2" t="s">
        <v>891</v>
      </c>
      <c r="L1096" s="2" t="s">
        <v>99</v>
      </c>
      <c r="P1096" s="2" t="s">
        <v>43</v>
      </c>
      <c r="Q1096" s="2" t="s">
        <v>48</v>
      </c>
      <c r="R1096" s="2" t="s">
        <v>49</v>
      </c>
      <c r="S1096" s="2">
        <v>2</v>
      </c>
      <c r="T1096" s="2">
        <v>24</v>
      </c>
      <c r="U1096" s="2">
        <v>5.52</v>
      </c>
      <c r="V1096" s="2">
        <v>29.52</v>
      </c>
      <c r="W1096" s="2">
        <f>6.6267*S1096</f>
        <v>13.253399999999999</v>
      </c>
      <c r="X1096" s="5">
        <f>(T1096-W1096)/T1096</f>
        <v>0.44777500000000003</v>
      </c>
      <c r="Z1096" s="2" t="s">
        <v>3227</v>
      </c>
      <c r="AA1096" s="2" t="s">
        <v>46</v>
      </c>
      <c r="AB1096" s="2" t="s">
        <v>47</v>
      </c>
      <c r="AC1096" s="2" t="s">
        <v>57</v>
      </c>
      <c r="AF1096" s="2">
        <f t="shared" si="154"/>
        <v>0</v>
      </c>
      <c r="AG1096" s="2">
        <v>6.6266999999999996</v>
      </c>
      <c r="AH1096" s="2">
        <v>12</v>
      </c>
      <c r="AJ1096" s="2">
        <f t="shared" si="155"/>
        <v>0</v>
      </c>
      <c r="AK1096" s="2">
        <f t="shared" si="156"/>
        <v>10.746600000000001</v>
      </c>
      <c r="AL1096" s="5">
        <f>(T1096-W1096)/T1096</f>
        <v>0.44777500000000003</v>
      </c>
    </row>
    <row r="1097" spans="1:38" x14ac:dyDescent="0.2">
      <c r="A1097" s="2">
        <v>2025</v>
      </c>
      <c r="B1097" s="2">
        <v>5</v>
      </c>
      <c r="D1097" s="2" t="s">
        <v>889</v>
      </c>
      <c r="E1097" s="2" t="s">
        <v>108</v>
      </c>
      <c r="F1097" s="2" t="s">
        <v>39</v>
      </c>
      <c r="G1097" s="2">
        <v>507216970</v>
      </c>
      <c r="H1097" s="2" t="s">
        <v>41</v>
      </c>
      <c r="I1097" s="2" t="s">
        <v>890</v>
      </c>
      <c r="J1097" s="2" t="s">
        <v>891</v>
      </c>
      <c r="L1097" s="2" t="s">
        <v>99</v>
      </c>
      <c r="P1097" s="2" t="s">
        <v>43</v>
      </c>
      <c r="Q1097" s="2" t="s">
        <v>54</v>
      </c>
      <c r="R1097" s="2" t="s">
        <v>55</v>
      </c>
      <c r="S1097" s="2">
        <v>40</v>
      </c>
      <c r="T1097" s="2">
        <v>560</v>
      </c>
      <c r="U1097" s="2">
        <v>128.80000000000001</v>
      </c>
      <c r="V1097" s="2">
        <v>688.8</v>
      </c>
      <c r="W1097" s="2">
        <f>10.6*S1097</f>
        <v>424</v>
      </c>
      <c r="X1097" s="5">
        <f>(T1097-W1097)/T1097</f>
        <v>0.24285714285714285</v>
      </c>
      <c r="Z1097" s="2" t="s">
        <v>3227</v>
      </c>
      <c r="AA1097" s="2" t="s">
        <v>46</v>
      </c>
      <c r="AB1097" s="2" t="s">
        <v>56</v>
      </c>
      <c r="AC1097" s="2" t="s">
        <v>57</v>
      </c>
      <c r="AF1097" s="2">
        <f t="shared" si="154"/>
        <v>0</v>
      </c>
      <c r="AG1097" s="2">
        <v>10.6</v>
      </c>
      <c r="AH1097" s="2">
        <v>18</v>
      </c>
      <c r="AJ1097" s="2">
        <f t="shared" si="155"/>
        <v>0</v>
      </c>
      <c r="AK1097" s="2">
        <f t="shared" si="156"/>
        <v>136</v>
      </c>
      <c r="AL1097" s="5">
        <f>(T1097-W1097)/T1097</f>
        <v>0.24285714285714285</v>
      </c>
    </row>
    <row r="1098" spans="1:38" x14ac:dyDescent="0.2">
      <c r="A1098" s="2">
        <v>2025</v>
      </c>
      <c r="B1098" s="2">
        <v>5</v>
      </c>
      <c r="D1098" s="2" t="s">
        <v>1430</v>
      </c>
      <c r="M1098" s="2" t="s">
        <v>40</v>
      </c>
      <c r="P1098" s="2" t="s">
        <v>187</v>
      </c>
      <c r="Q1098" s="2" t="s">
        <v>188</v>
      </c>
      <c r="R1098" s="2" t="s">
        <v>189</v>
      </c>
      <c r="S1098" s="2">
        <v>-1</v>
      </c>
      <c r="T1098" s="2">
        <v>-274</v>
      </c>
      <c r="U1098" s="2">
        <v>-63.02</v>
      </c>
      <c r="V1098" s="2">
        <v>-337.02</v>
      </c>
      <c r="W1098" s="2">
        <f>T1098*40%</f>
        <v>-109.60000000000001</v>
      </c>
      <c r="Z1098" s="2" t="s">
        <v>117</v>
      </c>
      <c r="AA1098" s="2" t="s">
        <v>190</v>
      </c>
      <c r="AB1098" s="2" t="s">
        <v>189</v>
      </c>
      <c r="AC1098" s="2" t="s">
        <v>40</v>
      </c>
      <c r="AF1098" s="2">
        <f t="shared" si="154"/>
        <v>0</v>
      </c>
      <c r="AJ1098" s="2">
        <f t="shared" si="155"/>
        <v>0</v>
      </c>
      <c r="AK1098" s="2">
        <f t="shared" si="156"/>
        <v>-164.39999999999998</v>
      </c>
    </row>
    <row r="1099" spans="1:38" x14ac:dyDescent="0.2">
      <c r="A1099" s="2">
        <v>2025</v>
      </c>
      <c r="B1099" s="2">
        <v>5</v>
      </c>
      <c r="D1099" s="2" t="s">
        <v>1430</v>
      </c>
      <c r="M1099" s="2" t="s">
        <v>40</v>
      </c>
      <c r="P1099" s="2" t="s">
        <v>187</v>
      </c>
      <c r="Q1099" s="2" t="s">
        <v>191</v>
      </c>
      <c r="R1099" s="2" t="s">
        <v>190</v>
      </c>
      <c r="S1099" s="2">
        <v>-1</v>
      </c>
      <c r="T1099" s="2">
        <v>-50</v>
      </c>
      <c r="U1099" s="2">
        <v>-11.5</v>
      </c>
      <c r="V1099" s="2">
        <v>-61.5</v>
      </c>
      <c r="Z1099" s="2" t="s">
        <v>117</v>
      </c>
      <c r="AA1099" s="2" t="s">
        <v>190</v>
      </c>
      <c r="AB1099" s="2" t="s">
        <v>190</v>
      </c>
      <c r="AC1099" s="2" t="s">
        <v>40</v>
      </c>
      <c r="AF1099" s="2">
        <f t="shared" si="154"/>
        <v>0</v>
      </c>
      <c r="AJ1099" s="2">
        <f t="shared" si="155"/>
        <v>0</v>
      </c>
      <c r="AK1099" s="2">
        <f t="shared" si="156"/>
        <v>-50</v>
      </c>
      <c r="AL1099" s="5">
        <f>(T1099-W1099)/T1099</f>
        <v>1</v>
      </c>
    </row>
    <row r="1100" spans="1:38" x14ac:dyDescent="0.2">
      <c r="A1100" s="2">
        <v>2025</v>
      </c>
      <c r="B1100" s="2">
        <v>5</v>
      </c>
      <c r="D1100" s="2" t="s">
        <v>574</v>
      </c>
      <c r="E1100" s="2" t="s">
        <v>38</v>
      </c>
      <c r="F1100" s="2" t="s">
        <v>39</v>
      </c>
      <c r="G1100" s="2">
        <v>504811029</v>
      </c>
      <c r="H1100" s="2" t="s">
        <v>41</v>
      </c>
      <c r="I1100" s="2" t="s">
        <v>177</v>
      </c>
      <c r="J1100" s="2" t="s">
        <v>575</v>
      </c>
      <c r="L1100" s="2" t="s">
        <v>177</v>
      </c>
      <c r="M1100" s="2" t="s">
        <v>41</v>
      </c>
      <c r="P1100" s="2" t="s">
        <v>43</v>
      </c>
      <c r="Q1100" s="2" t="s">
        <v>579</v>
      </c>
      <c r="R1100" s="2" t="s">
        <v>580</v>
      </c>
      <c r="S1100" s="2">
        <v>20</v>
      </c>
      <c r="T1100" s="2">
        <v>48</v>
      </c>
      <c r="U1100" s="2">
        <v>11.04</v>
      </c>
      <c r="V1100" s="2">
        <v>59.04</v>
      </c>
      <c r="W1100" s="2">
        <f>1.4114*S1100</f>
        <v>28.228000000000002</v>
      </c>
      <c r="X1100" s="5">
        <f>(T1100-W1100)/T1100</f>
        <v>0.41191666666666665</v>
      </c>
      <c r="Z1100" s="2" t="s">
        <v>3227</v>
      </c>
      <c r="AA1100" s="2" t="s">
        <v>46</v>
      </c>
      <c r="AB1100" s="2" t="s">
        <v>60</v>
      </c>
      <c r="AC1100" s="2" t="s">
        <v>57</v>
      </c>
      <c r="AF1100" s="2">
        <f t="shared" si="154"/>
        <v>0</v>
      </c>
      <c r="AG1100" s="2">
        <v>1.4114</v>
      </c>
      <c r="AH1100" s="2">
        <v>3</v>
      </c>
      <c r="AJ1100" s="2">
        <f t="shared" si="155"/>
        <v>0</v>
      </c>
      <c r="AK1100" s="2">
        <f t="shared" si="156"/>
        <v>19.771999999999998</v>
      </c>
      <c r="AL1100" s="5">
        <f>(T1100-W1100)/T1100</f>
        <v>0.41191666666666665</v>
      </c>
    </row>
    <row r="1101" spans="1:38" x14ac:dyDescent="0.2">
      <c r="A1101" s="2">
        <v>2025</v>
      </c>
      <c r="B1101" s="2">
        <v>5</v>
      </c>
      <c r="D1101" s="2" t="s">
        <v>581</v>
      </c>
      <c r="E1101" s="2" t="s">
        <v>38</v>
      </c>
      <c r="F1101" s="2" t="s">
        <v>39</v>
      </c>
      <c r="G1101" s="2">
        <v>518281272</v>
      </c>
      <c r="H1101" s="2" t="s">
        <v>41</v>
      </c>
      <c r="I1101" s="2" t="s">
        <v>1101</v>
      </c>
      <c r="J1101" s="2" t="s">
        <v>1102</v>
      </c>
      <c r="L1101" s="2" t="s">
        <v>177</v>
      </c>
      <c r="M1101" s="2" t="s">
        <v>41</v>
      </c>
      <c r="P1101" s="2" t="s">
        <v>43</v>
      </c>
      <c r="Q1101" s="2" t="s">
        <v>160</v>
      </c>
      <c r="R1101" s="2" t="s">
        <v>161</v>
      </c>
      <c r="S1101" s="2">
        <v>-1</v>
      </c>
      <c r="T1101" s="2">
        <v>-7.8</v>
      </c>
      <c r="U1101" s="2">
        <v>-1.794</v>
      </c>
      <c r="V1101" s="2">
        <v>-9.5939999999999994</v>
      </c>
      <c r="W1101" s="2">
        <v>3.7538</v>
      </c>
      <c r="X1101" s="18">
        <f>SIGN(T1101)*((ABS(T1101)-W1101)/ABS(T1101))</f>
        <v>-0.51874358974358969</v>
      </c>
      <c r="Z1101" s="2" t="s">
        <v>3227</v>
      </c>
      <c r="AA1101" s="2" t="s">
        <v>46</v>
      </c>
      <c r="AB1101" s="2" t="s">
        <v>47</v>
      </c>
      <c r="AC1101" s="2" t="s">
        <v>57</v>
      </c>
      <c r="AF1101" s="2">
        <f t="shared" si="154"/>
        <v>0</v>
      </c>
      <c r="AG1101" s="2">
        <v>3.7357999999999998</v>
      </c>
      <c r="AH1101" s="2">
        <v>9</v>
      </c>
      <c r="AJ1101" s="2">
        <f t="shared" si="155"/>
        <v>0</v>
      </c>
      <c r="AK1101" s="2">
        <f>T1101+(W1101)</f>
        <v>-4.0461999999999998</v>
      </c>
      <c r="AL1101" s="18">
        <f>SIGN(T1101)*((ABS(T1101)-W1101)/ABS(T1101))</f>
        <v>-0.51874358974358969</v>
      </c>
    </row>
    <row r="1102" spans="1:38" x14ac:dyDescent="0.2">
      <c r="A1102" s="2">
        <v>2025</v>
      </c>
      <c r="B1102" s="2">
        <v>5</v>
      </c>
      <c r="D1102" s="2" t="s">
        <v>581</v>
      </c>
      <c r="E1102" s="2" t="s">
        <v>38</v>
      </c>
      <c r="F1102" s="2" t="s">
        <v>39</v>
      </c>
      <c r="G1102" s="2">
        <v>518281272</v>
      </c>
      <c r="H1102" s="2" t="s">
        <v>41</v>
      </c>
      <c r="I1102" s="2" t="s">
        <v>1101</v>
      </c>
      <c r="J1102" s="2" t="s">
        <v>1102</v>
      </c>
      <c r="L1102" s="2" t="s">
        <v>177</v>
      </c>
      <c r="M1102" s="2" t="s">
        <v>41</v>
      </c>
      <c r="P1102" s="2" t="s">
        <v>43</v>
      </c>
      <c r="Q1102" s="2" t="s">
        <v>61</v>
      </c>
      <c r="R1102" s="2" t="s">
        <v>62</v>
      </c>
      <c r="S1102" s="2">
        <v>1000</v>
      </c>
      <c r="T1102" s="2">
        <v>105</v>
      </c>
      <c r="U1102" s="2">
        <v>24.15</v>
      </c>
      <c r="V1102" s="2">
        <v>129.15</v>
      </c>
      <c r="W1102" s="2">
        <f>0.082*S1102</f>
        <v>82</v>
      </c>
      <c r="X1102" s="5">
        <f t="shared" ref="X1102:X1130" si="157">(T1102-W1102)/T1102</f>
        <v>0.21904761904761905</v>
      </c>
      <c r="Z1102" s="2" t="s">
        <v>3227</v>
      </c>
      <c r="AA1102" s="2" t="s">
        <v>46</v>
      </c>
      <c r="AB1102" s="2" t="s">
        <v>60</v>
      </c>
      <c r="AC1102" s="2" t="s">
        <v>57</v>
      </c>
      <c r="AF1102" s="2">
        <f t="shared" si="154"/>
        <v>0</v>
      </c>
      <c r="AG1102" s="2">
        <v>8.1999999999999993</v>
      </c>
      <c r="AH1102" s="2">
        <v>13</v>
      </c>
      <c r="AJ1102" s="2">
        <f t="shared" si="155"/>
        <v>0</v>
      </c>
      <c r="AK1102" s="2">
        <f t="shared" ref="AK1102:AK1130" si="158">T1102-W1102</f>
        <v>23</v>
      </c>
      <c r="AL1102" s="5">
        <f t="shared" ref="AL1102:AL1130" si="159">(T1102-W1102)/T1102</f>
        <v>0.21904761904761905</v>
      </c>
    </row>
    <row r="1103" spans="1:38" x14ac:dyDescent="0.2">
      <c r="A1103" s="2">
        <v>2025</v>
      </c>
      <c r="B1103" s="2">
        <v>5</v>
      </c>
      <c r="D1103" s="2" t="s">
        <v>581</v>
      </c>
      <c r="E1103" s="2" t="s">
        <v>38</v>
      </c>
      <c r="F1103" s="2" t="s">
        <v>39</v>
      </c>
      <c r="G1103" s="2">
        <v>518281272</v>
      </c>
      <c r="H1103" s="2" t="s">
        <v>41</v>
      </c>
      <c r="I1103" s="2" t="s">
        <v>1101</v>
      </c>
      <c r="J1103" s="2" t="s">
        <v>1102</v>
      </c>
      <c r="L1103" s="2" t="s">
        <v>177</v>
      </c>
      <c r="M1103" s="2" t="s">
        <v>41</v>
      </c>
      <c r="P1103" s="2" t="s">
        <v>43</v>
      </c>
      <c r="Q1103" s="2" t="s">
        <v>1431</v>
      </c>
      <c r="R1103" s="2" t="s">
        <v>1432</v>
      </c>
      <c r="S1103" s="2">
        <v>10</v>
      </c>
      <c r="T1103" s="2">
        <v>16.8</v>
      </c>
      <c r="U1103" s="2">
        <v>3.8639999999999999</v>
      </c>
      <c r="V1103" s="2">
        <v>20.664000000000001</v>
      </c>
      <c r="W1103" s="2">
        <f>0.231*S1103</f>
        <v>2.31</v>
      </c>
      <c r="X1103" s="5">
        <f t="shared" si="157"/>
        <v>0.86249999999999993</v>
      </c>
      <c r="Z1103" s="2" t="s">
        <v>3227</v>
      </c>
      <c r="AA1103" s="2" t="s">
        <v>46</v>
      </c>
      <c r="AB1103" s="2" t="s">
        <v>60</v>
      </c>
      <c r="AC1103" s="2" t="s">
        <v>57</v>
      </c>
      <c r="AF1103" s="2">
        <f t="shared" si="154"/>
        <v>0</v>
      </c>
      <c r="AJ1103" s="2">
        <f t="shared" si="155"/>
        <v>0</v>
      </c>
      <c r="AK1103" s="2">
        <f t="shared" si="158"/>
        <v>14.49</v>
      </c>
      <c r="AL1103" s="5">
        <f t="shared" si="159"/>
        <v>0.86249999999999993</v>
      </c>
    </row>
    <row r="1104" spans="1:38" x14ac:dyDescent="0.2">
      <c r="A1104" s="2">
        <v>2025</v>
      </c>
      <c r="B1104" s="2">
        <v>5</v>
      </c>
      <c r="D1104" s="2" t="s">
        <v>588</v>
      </c>
      <c r="E1104" s="2" t="s">
        <v>38</v>
      </c>
      <c r="F1104" s="2" t="s">
        <v>39</v>
      </c>
      <c r="G1104" s="2">
        <v>510339298</v>
      </c>
      <c r="H1104" s="2" t="s">
        <v>41</v>
      </c>
      <c r="I1104" s="2" t="s">
        <v>177</v>
      </c>
      <c r="J1104" s="2" t="s">
        <v>589</v>
      </c>
      <c r="L1104" s="2" t="s">
        <v>177</v>
      </c>
      <c r="M1104" s="2" t="s">
        <v>40</v>
      </c>
      <c r="P1104" s="2" t="s">
        <v>114</v>
      </c>
      <c r="Q1104" s="2" t="s">
        <v>373</v>
      </c>
      <c r="R1104" s="2" t="s">
        <v>374</v>
      </c>
      <c r="S1104" s="2">
        <v>1</v>
      </c>
      <c r="T1104" s="2">
        <v>45.07</v>
      </c>
      <c r="U1104" s="2">
        <v>10.366099999999999</v>
      </c>
      <c r="V1104" s="2">
        <v>55.436100000000003</v>
      </c>
      <c r="W1104" s="2">
        <f>23.042*S1104</f>
        <v>23.042000000000002</v>
      </c>
      <c r="X1104" s="5">
        <f t="shared" si="157"/>
        <v>0.48875083203905034</v>
      </c>
      <c r="Z1104" s="2" t="s">
        <v>117</v>
      </c>
      <c r="AA1104" s="2" t="s">
        <v>118</v>
      </c>
      <c r="AB1104" s="2" t="s">
        <v>119</v>
      </c>
      <c r="AC1104" s="2" t="s">
        <v>114</v>
      </c>
      <c r="AF1104" s="2">
        <f t="shared" si="154"/>
        <v>0</v>
      </c>
      <c r="AJ1104" s="2">
        <f t="shared" si="155"/>
        <v>0</v>
      </c>
      <c r="AK1104" s="2">
        <f t="shared" si="158"/>
        <v>22.027999999999999</v>
      </c>
      <c r="AL1104" s="5">
        <f t="shared" si="159"/>
        <v>0.48875083203905034</v>
      </c>
    </row>
    <row r="1105" spans="1:38" x14ac:dyDescent="0.2">
      <c r="A1105" s="2">
        <v>2025</v>
      </c>
      <c r="B1105" s="2">
        <v>5</v>
      </c>
      <c r="D1105" s="2" t="s">
        <v>588</v>
      </c>
      <c r="E1105" s="2" t="s">
        <v>38</v>
      </c>
      <c r="F1105" s="2" t="s">
        <v>39</v>
      </c>
      <c r="G1105" s="2">
        <v>510339298</v>
      </c>
      <c r="H1105" s="2" t="s">
        <v>41</v>
      </c>
      <c r="I1105" s="2" t="s">
        <v>177</v>
      </c>
      <c r="J1105" s="2" t="s">
        <v>589</v>
      </c>
      <c r="L1105" s="2" t="s">
        <v>177</v>
      </c>
      <c r="M1105" s="2" t="s">
        <v>41</v>
      </c>
      <c r="P1105" s="2" t="s">
        <v>43</v>
      </c>
      <c r="Q1105" s="2" t="s">
        <v>48</v>
      </c>
      <c r="R1105" s="2" t="s">
        <v>49</v>
      </c>
      <c r="S1105" s="2">
        <v>2</v>
      </c>
      <c r="T1105" s="2">
        <v>24</v>
      </c>
      <c r="U1105" s="2">
        <v>5.52</v>
      </c>
      <c r="V1105" s="2">
        <v>29.52</v>
      </c>
      <c r="W1105" s="2">
        <f>6.6267*S1105</f>
        <v>13.253399999999999</v>
      </c>
      <c r="X1105" s="5">
        <f t="shared" si="157"/>
        <v>0.44777500000000003</v>
      </c>
      <c r="Z1105" s="2" t="s">
        <v>3227</v>
      </c>
      <c r="AA1105" s="2" t="s">
        <v>46</v>
      </c>
      <c r="AB1105" s="2" t="s">
        <v>47</v>
      </c>
      <c r="AC1105" s="2" t="s">
        <v>57</v>
      </c>
      <c r="AF1105" s="2">
        <f t="shared" si="154"/>
        <v>0</v>
      </c>
      <c r="AG1105" s="2">
        <v>6.6266999999999996</v>
      </c>
      <c r="AH1105" s="2">
        <v>12</v>
      </c>
      <c r="AJ1105" s="2">
        <f t="shared" si="155"/>
        <v>0</v>
      </c>
      <c r="AK1105" s="2">
        <f t="shared" si="158"/>
        <v>10.746600000000001</v>
      </c>
      <c r="AL1105" s="5">
        <f t="shared" si="159"/>
        <v>0.44777500000000003</v>
      </c>
    </row>
    <row r="1106" spans="1:38" x14ac:dyDescent="0.2">
      <c r="A1106" s="2">
        <v>2025</v>
      </c>
      <c r="B1106" s="2">
        <v>5</v>
      </c>
      <c r="D1106" s="2" t="s">
        <v>613</v>
      </c>
      <c r="P1106" s="2" t="s">
        <v>114</v>
      </c>
      <c r="Q1106" s="2" t="s">
        <v>1433</v>
      </c>
      <c r="R1106" s="2" t="s">
        <v>1434</v>
      </c>
      <c r="S1106" s="2">
        <v>1</v>
      </c>
      <c r="T1106" s="2">
        <v>42.6</v>
      </c>
      <c r="U1106" s="2">
        <v>9.798</v>
      </c>
      <c r="V1106" s="2">
        <v>52.398000000000003</v>
      </c>
      <c r="X1106" s="5">
        <f t="shared" si="157"/>
        <v>1</v>
      </c>
      <c r="Z1106" s="2" t="s">
        <v>117</v>
      </c>
      <c r="AF1106" s="2">
        <f t="shared" si="154"/>
        <v>0</v>
      </c>
      <c r="AJ1106" s="2">
        <f t="shared" si="155"/>
        <v>0</v>
      </c>
      <c r="AK1106" s="2">
        <f t="shared" si="158"/>
        <v>42.6</v>
      </c>
      <c r="AL1106" s="5">
        <f t="shared" si="159"/>
        <v>1</v>
      </c>
    </row>
    <row r="1107" spans="1:38" x14ac:dyDescent="0.2">
      <c r="A1107" s="2">
        <v>2025</v>
      </c>
      <c r="B1107" s="2">
        <v>5</v>
      </c>
      <c r="D1107" s="2" t="s">
        <v>613</v>
      </c>
      <c r="M1107" s="2" t="s">
        <v>40</v>
      </c>
      <c r="P1107" s="2" t="s">
        <v>187</v>
      </c>
      <c r="Q1107" s="2" t="s">
        <v>188</v>
      </c>
      <c r="R1107" s="2" t="s">
        <v>189</v>
      </c>
      <c r="S1107" s="2">
        <v>1</v>
      </c>
      <c r="T1107" s="2">
        <v>50</v>
      </c>
      <c r="U1107" s="2">
        <v>11.5</v>
      </c>
      <c r="V1107" s="2">
        <v>61.5</v>
      </c>
      <c r="W1107" s="2">
        <f>T1107*40%</f>
        <v>20</v>
      </c>
      <c r="X1107" s="5">
        <f t="shared" si="157"/>
        <v>0.6</v>
      </c>
      <c r="Z1107" s="2" t="s">
        <v>117</v>
      </c>
      <c r="AA1107" s="2" t="s">
        <v>190</v>
      </c>
      <c r="AB1107" s="2" t="s">
        <v>189</v>
      </c>
      <c r="AC1107" s="2" t="s">
        <v>40</v>
      </c>
      <c r="AF1107" s="2">
        <f t="shared" si="154"/>
        <v>0</v>
      </c>
      <c r="AJ1107" s="2">
        <f t="shared" si="155"/>
        <v>0</v>
      </c>
      <c r="AK1107" s="2">
        <f t="shared" si="158"/>
        <v>30</v>
      </c>
      <c r="AL1107" s="5">
        <f t="shared" si="159"/>
        <v>0.6</v>
      </c>
    </row>
    <row r="1108" spans="1:38" x14ac:dyDescent="0.2">
      <c r="A1108" s="2">
        <v>2025</v>
      </c>
      <c r="B1108" s="2">
        <v>5</v>
      </c>
      <c r="D1108" s="2" t="s">
        <v>613</v>
      </c>
      <c r="M1108" s="2" t="s">
        <v>40</v>
      </c>
      <c r="P1108" s="2" t="s">
        <v>187</v>
      </c>
      <c r="Q1108" s="2" t="s">
        <v>191</v>
      </c>
      <c r="R1108" s="2" t="s">
        <v>190</v>
      </c>
      <c r="S1108" s="2">
        <v>0.75</v>
      </c>
      <c r="T1108" s="2">
        <v>37.5</v>
      </c>
      <c r="U1108" s="2">
        <v>8.625</v>
      </c>
      <c r="V1108" s="2">
        <v>46.125</v>
      </c>
      <c r="W1108" s="2">
        <f>T1108*50%</f>
        <v>18.75</v>
      </c>
      <c r="X1108" s="5">
        <f t="shared" si="157"/>
        <v>0.5</v>
      </c>
      <c r="Z1108" s="2" t="s">
        <v>117</v>
      </c>
      <c r="AA1108" s="2" t="s">
        <v>190</v>
      </c>
      <c r="AB1108" s="2" t="s">
        <v>190</v>
      </c>
      <c r="AC1108" s="2" t="s">
        <v>40</v>
      </c>
      <c r="AF1108" s="2">
        <f t="shared" si="154"/>
        <v>0</v>
      </c>
      <c r="AJ1108" s="2">
        <f t="shared" si="155"/>
        <v>0</v>
      </c>
      <c r="AK1108" s="2">
        <f t="shared" si="158"/>
        <v>18.75</v>
      </c>
      <c r="AL1108" s="5">
        <f t="shared" si="159"/>
        <v>0.5</v>
      </c>
    </row>
    <row r="1109" spans="1:38" x14ac:dyDescent="0.2">
      <c r="A1109" s="2">
        <v>2025</v>
      </c>
      <c r="B1109" s="2">
        <v>5</v>
      </c>
      <c r="D1109" s="2" t="s">
        <v>1295</v>
      </c>
      <c r="E1109" s="2" t="s">
        <v>183</v>
      </c>
      <c r="F1109" s="2" t="s">
        <v>366</v>
      </c>
      <c r="G1109" s="2">
        <v>500625654</v>
      </c>
      <c r="H1109" s="2" t="s">
        <v>290</v>
      </c>
      <c r="I1109" s="2" t="s">
        <v>339</v>
      </c>
      <c r="J1109" s="2" t="s">
        <v>1296</v>
      </c>
      <c r="L1109" s="2" t="s">
        <v>339</v>
      </c>
      <c r="M1109" s="2" t="s">
        <v>80</v>
      </c>
      <c r="P1109" s="2" t="s">
        <v>72</v>
      </c>
      <c r="Q1109" s="2" t="s">
        <v>73</v>
      </c>
      <c r="R1109" s="2" t="s">
        <v>74</v>
      </c>
      <c r="S1109" s="2">
        <v>1</v>
      </c>
      <c r="T1109" s="2">
        <v>203.7</v>
      </c>
      <c r="U1109" s="2">
        <v>46.850999999999999</v>
      </c>
      <c r="V1109" s="2">
        <v>250.55099999999999</v>
      </c>
      <c r="W1109" s="2">
        <v>117.453</v>
      </c>
      <c r="X1109" s="5">
        <f t="shared" si="157"/>
        <v>0.42340206185567003</v>
      </c>
      <c r="Z1109" s="2" t="s">
        <v>3227</v>
      </c>
      <c r="AA1109" s="2" t="s">
        <v>75</v>
      </c>
      <c r="AB1109" s="2" t="s">
        <v>76</v>
      </c>
      <c r="AC1109" s="2" t="s">
        <v>77</v>
      </c>
      <c r="AF1109" s="2">
        <f t="shared" si="154"/>
        <v>0</v>
      </c>
      <c r="AG1109" s="2">
        <v>117.453</v>
      </c>
      <c r="AH1109" s="2">
        <v>220</v>
      </c>
      <c r="AJ1109" s="2">
        <f t="shared" si="155"/>
        <v>0</v>
      </c>
      <c r="AK1109" s="2">
        <f t="shared" si="158"/>
        <v>86.246999999999986</v>
      </c>
      <c r="AL1109" s="5">
        <f t="shared" si="159"/>
        <v>0.42340206185567003</v>
      </c>
    </row>
    <row r="1110" spans="1:38" x14ac:dyDescent="0.2">
      <c r="A1110" s="2">
        <v>2025</v>
      </c>
      <c r="B1110" s="2">
        <v>5</v>
      </c>
      <c r="D1110" s="2" t="s">
        <v>1295</v>
      </c>
      <c r="E1110" s="2" t="s">
        <v>183</v>
      </c>
      <c r="F1110" s="2" t="s">
        <v>366</v>
      </c>
      <c r="G1110" s="2">
        <v>500625654</v>
      </c>
      <c r="H1110" s="2" t="s">
        <v>290</v>
      </c>
      <c r="I1110" s="2" t="s">
        <v>339</v>
      </c>
      <c r="J1110" s="2" t="s">
        <v>1296</v>
      </c>
      <c r="L1110" s="2" t="s">
        <v>339</v>
      </c>
      <c r="M1110" s="2" t="s">
        <v>80</v>
      </c>
      <c r="O1110" s="2" t="s">
        <v>3200</v>
      </c>
      <c r="P1110" s="2" t="s">
        <v>72</v>
      </c>
      <c r="Q1110" s="2" t="s">
        <v>78</v>
      </c>
      <c r="R1110" s="2" t="s">
        <v>79</v>
      </c>
      <c r="S1110" s="2">
        <v>1</v>
      </c>
      <c r="T1110" s="2">
        <v>203.7</v>
      </c>
      <c r="U1110" s="2">
        <v>46.850999999999999</v>
      </c>
      <c r="V1110" s="2">
        <v>250.55099999999999</v>
      </c>
      <c r="W1110" s="2">
        <v>111.98</v>
      </c>
      <c r="X1110" s="5">
        <f t="shared" si="157"/>
        <v>0.45027000490918012</v>
      </c>
      <c r="Z1110" s="2" t="s">
        <v>3227</v>
      </c>
      <c r="AA1110" s="2" t="s">
        <v>75</v>
      </c>
      <c r="AB1110" s="2" t="s">
        <v>76</v>
      </c>
      <c r="AC1110" s="2" t="s">
        <v>77</v>
      </c>
      <c r="AF1110" s="2">
        <f t="shared" si="154"/>
        <v>0</v>
      </c>
      <c r="AG1110" s="2">
        <v>111.98</v>
      </c>
      <c r="AH1110" s="2">
        <v>210</v>
      </c>
      <c r="AJ1110" s="2">
        <f t="shared" si="155"/>
        <v>0</v>
      </c>
      <c r="AK1110" s="2">
        <f t="shared" si="158"/>
        <v>91.719999999999985</v>
      </c>
      <c r="AL1110" s="5">
        <f t="shared" si="159"/>
        <v>0.45027000490918012</v>
      </c>
    </row>
    <row r="1111" spans="1:38" x14ac:dyDescent="0.2">
      <c r="A1111" s="2">
        <v>2025</v>
      </c>
      <c r="B1111" s="2">
        <v>5</v>
      </c>
      <c r="D1111" s="2" t="s">
        <v>1295</v>
      </c>
      <c r="E1111" s="2" t="s">
        <v>183</v>
      </c>
      <c r="F1111" s="2" t="s">
        <v>366</v>
      </c>
      <c r="G1111" s="2">
        <v>500625654</v>
      </c>
      <c r="H1111" s="2" t="s">
        <v>290</v>
      </c>
      <c r="I1111" s="2" t="s">
        <v>339</v>
      </c>
      <c r="J1111" s="2" t="s">
        <v>1296</v>
      </c>
      <c r="L1111" s="2" t="s">
        <v>339</v>
      </c>
      <c r="M1111" s="2" t="s">
        <v>80</v>
      </c>
      <c r="P1111" s="2" t="s">
        <v>93</v>
      </c>
      <c r="Q1111" s="2" t="s">
        <v>94</v>
      </c>
      <c r="R1111" s="2" t="s">
        <v>95</v>
      </c>
      <c r="S1111" s="2">
        <v>2</v>
      </c>
      <c r="T1111" s="2">
        <v>2.2799999999999998</v>
      </c>
      <c r="U1111" s="2">
        <v>0.52439999999999998</v>
      </c>
      <c r="V1111" s="2">
        <v>2.8043999999999998</v>
      </c>
      <c r="W1111" s="2">
        <v>2.2799999999999998</v>
      </c>
      <c r="X1111" s="5">
        <f t="shared" si="157"/>
        <v>0</v>
      </c>
      <c r="Z1111" s="2" t="s">
        <v>3227</v>
      </c>
      <c r="AA1111" s="2" t="s">
        <v>96</v>
      </c>
      <c r="AB1111" s="2" t="s">
        <v>76</v>
      </c>
      <c r="AC1111" s="2" t="s">
        <v>93</v>
      </c>
      <c r="AF1111" s="2">
        <f t="shared" si="154"/>
        <v>0</v>
      </c>
      <c r="AJ1111" s="2">
        <f t="shared" si="155"/>
        <v>0</v>
      </c>
      <c r="AK1111" s="2">
        <f t="shared" si="158"/>
        <v>0</v>
      </c>
      <c r="AL1111" s="5">
        <f t="shared" si="159"/>
        <v>0</v>
      </c>
    </row>
    <row r="1112" spans="1:38" x14ac:dyDescent="0.2">
      <c r="A1112" s="2">
        <v>2025</v>
      </c>
      <c r="B1112" s="2">
        <v>5</v>
      </c>
      <c r="D1112" s="2" t="s">
        <v>1435</v>
      </c>
      <c r="P1112" s="2" t="s">
        <v>282</v>
      </c>
      <c r="Q1112" s="2" t="s">
        <v>1436</v>
      </c>
      <c r="R1112" s="2" t="s">
        <v>1437</v>
      </c>
      <c r="S1112" s="2">
        <v>10</v>
      </c>
      <c r="T1112" s="2">
        <v>79</v>
      </c>
      <c r="U1112" s="2">
        <v>18.170000000000002</v>
      </c>
      <c r="V1112" s="2">
        <v>97.17</v>
      </c>
      <c r="W1112" s="2">
        <f>5.135*S1112</f>
        <v>51.349999999999994</v>
      </c>
      <c r="X1112" s="5">
        <f t="shared" si="157"/>
        <v>0.35000000000000009</v>
      </c>
      <c r="Z1112" s="2" t="s">
        <v>3227</v>
      </c>
      <c r="AA1112" s="2" t="s">
        <v>71</v>
      </c>
      <c r="AB1112" s="2" t="s">
        <v>119</v>
      </c>
      <c r="AC1112" s="2" t="s">
        <v>119</v>
      </c>
      <c r="AF1112" s="2">
        <f t="shared" si="154"/>
        <v>0</v>
      </c>
      <c r="AJ1112" s="2">
        <f t="shared" si="155"/>
        <v>0</v>
      </c>
      <c r="AK1112" s="2">
        <f t="shared" si="158"/>
        <v>27.650000000000006</v>
      </c>
      <c r="AL1112" s="5">
        <f t="shared" si="159"/>
        <v>0.35000000000000009</v>
      </c>
    </row>
    <row r="1113" spans="1:38" x14ac:dyDescent="0.2">
      <c r="A1113" s="2">
        <v>2025</v>
      </c>
      <c r="B1113" s="2">
        <v>5</v>
      </c>
      <c r="D1113" s="2" t="s">
        <v>617</v>
      </c>
      <c r="E1113" s="2" t="s">
        <v>38</v>
      </c>
      <c r="F1113" s="2" t="s">
        <v>39</v>
      </c>
      <c r="G1113" s="2">
        <v>513759654</v>
      </c>
      <c r="H1113" s="2" t="s">
        <v>41</v>
      </c>
      <c r="I1113" s="2" t="s">
        <v>618</v>
      </c>
      <c r="J1113" s="2" t="s">
        <v>619</v>
      </c>
      <c r="L1113" s="2" t="s">
        <v>418</v>
      </c>
      <c r="M1113" s="2" t="s">
        <v>41</v>
      </c>
      <c r="P1113" s="2" t="s">
        <v>282</v>
      </c>
      <c r="Q1113" s="2" t="s">
        <v>401</v>
      </c>
      <c r="R1113" s="2" t="s">
        <v>402</v>
      </c>
      <c r="S1113" s="2">
        <v>2</v>
      </c>
      <c r="T1113" s="2">
        <v>58</v>
      </c>
      <c r="U1113" s="2">
        <v>13.34</v>
      </c>
      <c r="V1113" s="2">
        <v>71.34</v>
      </c>
      <c r="W1113" s="2">
        <f>17.4*S1113</f>
        <v>34.799999999999997</v>
      </c>
      <c r="X1113" s="5">
        <f t="shared" si="157"/>
        <v>0.4</v>
      </c>
      <c r="Z1113" s="2" t="s">
        <v>3227</v>
      </c>
      <c r="AA1113" s="2" t="s">
        <v>46</v>
      </c>
      <c r="AB1113" s="2" t="s">
        <v>60</v>
      </c>
      <c r="AC1113" s="2" t="s">
        <v>3332</v>
      </c>
      <c r="AF1113" s="2">
        <f t="shared" si="154"/>
        <v>0</v>
      </c>
      <c r="AJ1113" s="2">
        <f t="shared" si="155"/>
        <v>0</v>
      </c>
      <c r="AK1113" s="2">
        <f t="shared" si="158"/>
        <v>23.200000000000003</v>
      </c>
      <c r="AL1113" s="5">
        <f t="shared" si="159"/>
        <v>0.4</v>
      </c>
    </row>
    <row r="1114" spans="1:38" x14ac:dyDescent="0.2">
      <c r="A1114" s="2">
        <v>2025</v>
      </c>
      <c r="B1114" s="2">
        <v>5</v>
      </c>
      <c r="D1114" s="2" t="s">
        <v>617</v>
      </c>
      <c r="E1114" s="2" t="s">
        <v>38</v>
      </c>
      <c r="F1114" s="2" t="s">
        <v>39</v>
      </c>
      <c r="G1114" s="2">
        <v>513759654</v>
      </c>
      <c r="H1114" s="2" t="s">
        <v>41</v>
      </c>
      <c r="I1114" s="2" t="s">
        <v>618</v>
      </c>
      <c r="J1114" s="2" t="s">
        <v>619</v>
      </c>
      <c r="L1114" s="2" t="s">
        <v>418</v>
      </c>
      <c r="M1114" s="2" t="s">
        <v>41</v>
      </c>
      <c r="P1114" s="2" t="s">
        <v>43</v>
      </c>
      <c r="Q1114" s="2" t="s">
        <v>61</v>
      </c>
      <c r="R1114" s="2" t="s">
        <v>62</v>
      </c>
      <c r="S1114" s="2">
        <v>300</v>
      </c>
      <c r="T1114" s="2">
        <v>36</v>
      </c>
      <c r="U1114" s="2">
        <v>8.2800000000000011</v>
      </c>
      <c r="V1114" s="2">
        <v>44.28</v>
      </c>
      <c r="W1114" s="2">
        <f>0.082*S1114</f>
        <v>24.6</v>
      </c>
      <c r="X1114" s="5">
        <f t="shared" si="157"/>
        <v>0.31666666666666665</v>
      </c>
      <c r="Z1114" s="2" t="s">
        <v>3227</v>
      </c>
      <c r="AA1114" s="2" t="s">
        <v>46</v>
      </c>
      <c r="AB1114" s="2" t="s">
        <v>60</v>
      </c>
      <c r="AC1114" s="2" t="s">
        <v>57</v>
      </c>
      <c r="AF1114" s="2">
        <f t="shared" si="154"/>
        <v>0</v>
      </c>
      <c r="AG1114" s="2">
        <v>8.1999999999999993</v>
      </c>
      <c r="AH1114" s="2">
        <v>13</v>
      </c>
      <c r="AJ1114" s="2">
        <f t="shared" si="155"/>
        <v>0</v>
      </c>
      <c r="AK1114" s="2">
        <f t="shared" si="158"/>
        <v>11.399999999999999</v>
      </c>
      <c r="AL1114" s="5">
        <f t="shared" si="159"/>
        <v>0.31666666666666665</v>
      </c>
    </row>
    <row r="1115" spans="1:38" x14ac:dyDescent="0.2">
      <c r="A1115" s="2">
        <v>2025</v>
      </c>
      <c r="B1115" s="2">
        <v>5</v>
      </c>
      <c r="D1115" s="2" t="s">
        <v>617</v>
      </c>
      <c r="E1115" s="2" t="s">
        <v>38</v>
      </c>
      <c r="F1115" s="2" t="s">
        <v>39</v>
      </c>
      <c r="G1115" s="2">
        <v>513759654</v>
      </c>
      <c r="H1115" s="2" t="s">
        <v>41</v>
      </c>
      <c r="I1115" s="2" t="s">
        <v>618</v>
      </c>
      <c r="J1115" s="2" t="s">
        <v>619</v>
      </c>
      <c r="L1115" s="2" t="s">
        <v>418</v>
      </c>
      <c r="M1115" s="2" t="s">
        <v>41</v>
      </c>
      <c r="P1115" s="2" t="s">
        <v>84</v>
      </c>
      <c r="Q1115" s="2" t="s">
        <v>270</v>
      </c>
      <c r="R1115" s="2" t="s">
        <v>271</v>
      </c>
      <c r="S1115" s="2">
        <v>1</v>
      </c>
      <c r="T1115" s="2">
        <v>10.199999999999999</v>
      </c>
      <c r="U1115" s="2">
        <v>2.3460000000000001</v>
      </c>
      <c r="V1115" s="2">
        <v>12.545999999999999</v>
      </c>
      <c r="W1115" s="2">
        <v>6.86</v>
      </c>
      <c r="X1115" s="5">
        <f t="shared" si="157"/>
        <v>0.32745098039215681</v>
      </c>
      <c r="Z1115" s="2" t="s">
        <v>3227</v>
      </c>
      <c r="AA1115" s="2" t="s">
        <v>87</v>
      </c>
      <c r="AB1115" s="2" t="s">
        <v>90</v>
      </c>
      <c r="AC1115" s="2" t="s">
        <v>84</v>
      </c>
      <c r="AF1115" s="2">
        <f t="shared" si="154"/>
        <v>0</v>
      </c>
      <c r="AG1115" s="2">
        <v>6.86</v>
      </c>
      <c r="AJ1115" s="2">
        <f t="shared" si="155"/>
        <v>0</v>
      </c>
      <c r="AK1115" s="2">
        <f t="shared" si="158"/>
        <v>3.339999999999999</v>
      </c>
      <c r="AL1115" s="5">
        <f t="shared" si="159"/>
        <v>0.32745098039215681</v>
      </c>
    </row>
    <row r="1116" spans="1:38" x14ac:dyDescent="0.2">
      <c r="A1116" s="2">
        <v>2025</v>
      </c>
      <c r="B1116" s="2">
        <v>5</v>
      </c>
      <c r="D1116" s="2" t="s">
        <v>624</v>
      </c>
      <c r="E1116" s="2" t="s">
        <v>38</v>
      </c>
      <c r="F1116" s="2" t="s">
        <v>39</v>
      </c>
      <c r="G1116" s="2" t="s">
        <v>625</v>
      </c>
      <c r="H1116" s="2" t="s">
        <v>40</v>
      </c>
      <c r="I1116" s="2" t="s">
        <v>626</v>
      </c>
      <c r="J1116" s="2" t="s">
        <v>627</v>
      </c>
      <c r="L1116" s="2" t="s">
        <v>626</v>
      </c>
      <c r="M1116" s="2" t="s">
        <v>40</v>
      </c>
      <c r="P1116" s="2" t="s">
        <v>114</v>
      </c>
      <c r="Q1116" s="2" t="s">
        <v>904</v>
      </c>
      <c r="R1116" s="2" t="s">
        <v>905</v>
      </c>
      <c r="S1116" s="2">
        <v>1</v>
      </c>
      <c r="T1116" s="2">
        <v>465.7</v>
      </c>
      <c r="V1116" s="2">
        <f>T1116</f>
        <v>465.7</v>
      </c>
      <c r="W1116" s="2">
        <v>345.20339999999999</v>
      </c>
      <c r="X1116" s="5">
        <f t="shared" si="157"/>
        <v>0.25874296757569254</v>
      </c>
      <c r="Z1116" s="2" t="s">
        <v>117</v>
      </c>
      <c r="AA1116" s="2" t="s">
        <v>181</v>
      </c>
      <c r="AB1116" s="2" t="s">
        <v>119</v>
      </c>
      <c r="AC1116" s="2" t="s">
        <v>114</v>
      </c>
      <c r="AF1116" s="2">
        <f t="shared" si="154"/>
        <v>0</v>
      </c>
      <c r="AJ1116" s="2">
        <f t="shared" si="155"/>
        <v>0</v>
      </c>
      <c r="AK1116" s="2">
        <f t="shared" si="158"/>
        <v>120.4966</v>
      </c>
      <c r="AL1116" s="5">
        <f t="shared" si="159"/>
        <v>0.25874296757569254</v>
      </c>
    </row>
    <row r="1117" spans="1:38" x14ac:dyDescent="0.2">
      <c r="A1117" s="2">
        <v>2025</v>
      </c>
      <c r="B1117" s="2">
        <v>5</v>
      </c>
      <c r="D1117" s="2" t="s">
        <v>1119</v>
      </c>
      <c r="E1117" s="2" t="s">
        <v>108</v>
      </c>
      <c r="F1117" s="2" t="s">
        <v>477</v>
      </c>
      <c r="L1117" s="2" t="s">
        <v>99</v>
      </c>
      <c r="M1117" s="2" t="s">
        <v>40</v>
      </c>
      <c r="P1117" s="2" t="s">
        <v>114</v>
      </c>
      <c r="Q1117" s="2" t="s">
        <v>808</v>
      </c>
      <c r="R1117" s="2" t="s">
        <v>809</v>
      </c>
      <c r="S1117" s="2">
        <v>1</v>
      </c>
      <c r="T1117" s="2">
        <v>83.79</v>
      </c>
      <c r="U1117" s="2">
        <v>19.271699999999999</v>
      </c>
      <c r="V1117" s="2">
        <v>103.0617</v>
      </c>
      <c r="X1117" s="5">
        <f t="shared" si="157"/>
        <v>1</v>
      </c>
      <c r="Z1117" s="2" t="s">
        <v>117</v>
      </c>
      <c r="AA1117" s="2" t="s">
        <v>118</v>
      </c>
      <c r="AB1117" s="2" t="s">
        <v>119</v>
      </c>
      <c r="AC1117" s="2" t="s">
        <v>114</v>
      </c>
      <c r="AF1117" s="2">
        <f t="shared" si="154"/>
        <v>0</v>
      </c>
      <c r="AJ1117" s="2">
        <f t="shared" si="155"/>
        <v>0</v>
      </c>
      <c r="AK1117" s="2">
        <f t="shared" si="158"/>
        <v>83.79</v>
      </c>
      <c r="AL1117" s="5">
        <f t="shared" si="159"/>
        <v>1</v>
      </c>
    </row>
    <row r="1118" spans="1:38" x14ac:dyDescent="0.2">
      <c r="A1118" s="2">
        <v>2025</v>
      </c>
      <c r="B1118" s="2">
        <v>5</v>
      </c>
      <c r="D1118" s="2" t="s">
        <v>1438</v>
      </c>
      <c r="P1118" s="2" t="s">
        <v>40</v>
      </c>
      <c r="Q1118" s="2" t="s">
        <v>363</v>
      </c>
      <c r="R1118" s="2" t="s">
        <v>364</v>
      </c>
      <c r="S1118" s="2">
        <v>1</v>
      </c>
      <c r="T1118" s="2">
        <v>205</v>
      </c>
      <c r="U1118" s="2">
        <v>47.15</v>
      </c>
      <c r="V1118" s="2">
        <v>252.15</v>
      </c>
      <c r="X1118" s="5">
        <f t="shared" si="157"/>
        <v>1</v>
      </c>
      <c r="Z1118" s="2" t="s">
        <v>119</v>
      </c>
      <c r="AA1118" s="2" t="s">
        <v>3380</v>
      </c>
      <c r="AF1118" s="2">
        <f t="shared" si="154"/>
        <v>0</v>
      </c>
      <c r="AJ1118" s="2">
        <f t="shared" si="155"/>
        <v>0</v>
      </c>
      <c r="AK1118" s="2">
        <f t="shared" si="158"/>
        <v>205</v>
      </c>
      <c r="AL1118" s="5">
        <f t="shared" si="159"/>
        <v>1</v>
      </c>
    </row>
    <row r="1119" spans="1:38" x14ac:dyDescent="0.2">
      <c r="A1119" s="2">
        <v>2025</v>
      </c>
      <c r="B1119" s="2">
        <v>5</v>
      </c>
      <c r="D1119" s="2" t="s">
        <v>643</v>
      </c>
      <c r="E1119" s="2" t="s">
        <v>108</v>
      </c>
      <c r="F1119" s="2" t="s">
        <v>477</v>
      </c>
      <c r="G1119" s="2">
        <v>509056946</v>
      </c>
      <c r="H1119" s="2" t="s">
        <v>109</v>
      </c>
      <c r="I1119" s="2" t="s">
        <v>644</v>
      </c>
      <c r="J1119" s="2" t="s">
        <v>645</v>
      </c>
      <c r="K1119" s="2">
        <v>964495536</v>
      </c>
      <c r="L1119" s="2" t="s">
        <v>112</v>
      </c>
      <c r="P1119" s="2" t="s">
        <v>282</v>
      </c>
      <c r="Q1119" s="2" t="s">
        <v>1436</v>
      </c>
      <c r="R1119" s="2" t="s">
        <v>1437</v>
      </c>
      <c r="S1119" s="2">
        <v>10</v>
      </c>
      <c r="T1119" s="2">
        <v>79</v>
      </c>
      <c r="U1119" s="2">
        <v>18.170000000000002</v>
      </c>
      <c r="V1119" s="2">
        <v>97.17</v>
      </c>
      <c r="W1119" s="2">
        <f>5.135*S1119</f>
        <v>51.349999999999994</v>
      </c>
      <c r="X1119" s="5">
        <f t="shared" si="157"/>
        <v>0.35000000000000009</v>
      </c>
      <c r="Z1119" s="2" t="s">
        <v>3227</v>
      </c>
      <c r="AA1119" s="2" t="s">
        <v>71</v>
      </c>
      <c r="AB1119" s="2" t="s">
        <v>119</v>
      </c>
      <c r="AC1119" s="2" t="s">
        <v>119</v>
      </c>
      <c r="AF1119" s="2">
        <f t="shared" si="154"/>
        <v>0</v>
      </c>
      <c r="AJ1119" s="2">
        <f t="shared" si="155"/>
        <v>0</v>
      </c>
      <c r="AK1119" s="2">
        <f t="shared" si="158"/>
        <v>27.650000000000006</v>
      </c>
      <c r="AL1119" s="5">
        <f t="shared" si="159"/>
        <v>0.35000000000000009</v>
      </c>
    </row>
    <row r="1120" spans="1:38" x14ac:dyDescent="0.2">
      <c r="A1120" s="2">
        <v>2025</v>
      </c>
      <c r="B1120" s="2">
        <v>5</v>
      </c>
      <c r="D1120" s="2" t="s">
        <v>648</v>
      </c>
      <c r="P1120" s="2" t="s">
        <v>114</v>
      </c>
      <c r="Q1120" s="2" t="s">
        <v>823</v>
      </c>
      <c r="R1120" s="2" t="s">
        <v>824</v>
      </c>
      <c r="S1120" s="2">
        <v>1</v>
      </c>
      <c r="T1120" s="2">
        <v>255.02</v>
      </c>
      <c r="U1120" s="2">
        <v>58.654600000000002</v>
      </c>
      <c r="V1120" s="2">
        <v>313.6746</v>
      </c>
      <c r="X1120" s="5">
        <f t="shared" si="157"/>
        <v>1</v>
      </c>
      <c r="Z1120" s="2" t="s">
        <v>117</v>
      </c>
      <c r="AF1120" s="2">
        <f t="shared" si="154"/>
        <v>0</v>
      </c>
      <c r="AJ1120" s="2">
        <f t="shared" si="155"/>
        <v>0</v>
      </c>
      <c r="AK1120" s="2">
        <f t="shared" si="158"/>
        <v>255.02</v>
      </c>
      <c r="AL1120" s="5">
        <f t="shared" si="159"/>
        <v>1</v>
      </c>
    </row>
    <row r="1121" spans="1:38" x14ac:dyDescent="0.2">
      <c r="A1121" s="2">
        <v>2025</v>
      </c>
      <c r="B1121" s="2">
        <v>4</v>
      </c>
      <c r="C1121" s="2" t="s">
        <v>3408</v>
      </c>
      <c r="D1121" s="2" t="s">
        <v>1120</v>
      </c>
      <c r="E1121" s="2" t="s">
        <v>108</v>
      </c>
      <c r="F1121" s="2" t="s">
        <v>39</v>
      </c>
      <c r="G1121" s="2">
        <v>504923765</v>
      </c>
      <c r="H1121" s="2" t="s">
        <v>109</v>
      </c>
      <c r="I1121" s="2" t="s">
        <v>3245</v>
      </c>
      <c r="J1121" s="2" t="s">
        <v>3246</v>
      </c>
      <c r="K1121" s="2">
        <v>96179412</v>
      </c>
      <c r="L1121" s="2" t="s">
        <v>461</v>
      </c>
      <c r="M1121" s="2" t="s">
        <v>40</v>
      </c>
      <c r="O1121" s="2" t="s">
        <v>3249</v>
      </c>
      <c r="P1121" s="2" t="s">
        <v>40</v>
      </c>
      <c r="Q1121" s="2" t="s">
        <v>1308</v>
      </c>
      <c r="R1121" s="2" t="s">
        <v>3250</v>
      </c>
      <c r="S1121" s="2">
        <v>1</v>
      </c>
      <c r="T1121" s="2">
        <v>1235</v>
      </c>
      <c r="U1121" s="2">
        <f>T1121*23%</f>
        <v>284.05</v>
      </c>
      <c r="V1121" s="2">
        <f>T1121+U1121</f>
        <v>1519.05</v>
      </c>
      <c r="W1121" s="2">
        <v>0</v>
      </c>
      <c r="X1121" s="5">
        <f t="shared" si="157"/>
        <v>1</v>
      </c>
      <c r="Z1121" s="2" t="s">
        <v>104</v>
      </c>
      <c r="AA1121" s="2" t="s">
        <v>578</v>
      </c>
      <c r="AF1121" s="2">
        <f t="shared" si="154"/>
        <v>0</v>
      </c>
      <c r="AJ1121" s="2">
        <f t="shared" si="155"/>
        <v>0</v>
      </c>
      <c r="AK1121" s="2">
        <f t="shared" si="158"/>
        <v>1235</v>
      </c>
      <c r="AL1121" s="5">
        <f t="shared" si="159"/>
        <v>1</v>
      </c>
    </row>
    <row r="1122" spans="1:38" x14ac:dyDescent="0.2">
      <c r="A1122" s="2">
        <v>2025</v>
      </c>
      <c r="B1122" s="2">
        <v>4</v>
      </c>
      <c r="C1122" s="2" t="s">
        <v>3408</v>
      </c>
      <c r="D1122" s="2" t="s">
        <v>1120</v>
      </c>
      <c r="E1122" s="2" t="s">
        <v>108</v>
      </c>
      <c r="F1122" s="2" t="s">
        <v>39</v>
      </c>
      <c r="G1122" s="2">
        <v>504923765</v>
      </c>
      <c r="H1122" s="2" t="s">
        <v>109</v>
      </c>
      <c r="I1122" s="2" t="s">
        <v>3245</v>
      </c>
      <c r="J1122" s="2" t="s">
        <v>3246</v>
      </c>
      <c r="K1122" s="2">
        <v>96179412</v>
      </c>
      <c r="L1122" s="2" t="s">
        <v>461</v>
      </c>
      <c r="M1122" s="2" t="s">
        <v>40</v>
      </c>
      <c r="O1122" s="2" t="s">
        <v>3249</v>
      </c>
      <c r="P1122" s="2" t="s">
        <v>40</v>
      </c>
      <c r="Q1122" s="2" t="s">
        <v>1308</v>
      </c>
      <c r="R1122" s="2" t="s">
        <v>3251</v>
      </c>
      <c r="S1122" s="2">
        <v>1</v>
      </c>
      <c r="T1122" s="2">
        <v>1805</v>
      </c>
      <c r="U1122" s="2">
        <f>T1122*23%</f>
        <v>415.15000000000003</v>
      </c>
      <c r="V1122" s="2">
        <f>T1122+U1122</f>
        <v>2220.15</v>
      </c>
      <c r="W1122" s="2">
        <v>0</v>
      </c>
      <c r="X1122" s="5">
        <f t="shared" si="157"/>
        <v>1</v>
      </c>
      <c r="Z1122" s="2" t="s">
        <v>104</v>
      </c>
      <c r="AA1122" s="2" t="s">
        <v>578</v>
      </c>
      <c r="AF1122" s="2">
        <f t="shared" si="154"/>
        <v>0</v>
      </c>
      <c r="AJ1122" s="2">
        <f t="shared" si="155"/>
        <v>0</v>
      </c>
      <c r="AK1122" s="2">
        <f t="shared" si="158"/>
        <v>1805</v>
      </c>
      <c r="AL1122" s="5">
        <f t="shared" si="159"/>
        <v>1</v>
      </c>
    </row>
    <row r="1123" spans="1:38" x14ac:dyDescent="0.2">
      <c r="A1123" s="2">
        <v>2025</v>
      </c>
      <c r="B1123" s="2">
        <v>5</v>
      </c>
      <c r="C1123" s="2" t="s">
        <v>3315</v>
      </c>
      <c r="D1123" s="2" t="s">
        <v>1120</v>
      </c>
      <c r="E1123" s="2" t="s">
        <v>108</v>
      </c>
      <c r="F1123" s="2" t="s">
        <v>39</v>
      </c>
      <c r="G1123" s="2">
        <v>504923765</v>
      </c>
      <c r="H1123" s="2" t="s">
        <v>109</v>
      </c>
      <c r="I1123" s="2" t="s">
        <v>3245</v>
      </c>
      <c r="J1123" s="2" t="s">
        <v>3246</v>
      </c>
      <c r="K1123" s="2">
        <v>96179412</v>
      </c>
      <c r="L1123" s="2" t="s">
        <v>461</v>
      </c>
      <c r="M1123" s="2" t="s">
        <v>40</v>
      </c>
      <c r="O1123" s="2" t="s">
        <v>3252</v>
      </c>
      <c r="P1123" s="2" t="s">
        <v>114</v>
      </c>
      <c r="Q1123" s="2" t="s">
        <v>823</v>
      </c>
      <c r="R1123" s="2" t="s">
        <v>824</v>
      </c>
      <c r="S1123" s="2">
        <v>1</v>
      </c>
      <c r="T1123" s="2">
        <v>255.02</v>
      </c>
      <c r="U1123" s="2">
        <v>58.654600000000002</v>
      </c>
      <c r="V1123" s="2">
        <v>313.6746</v>
      </c>
      <c r="W1123" s="2">
        <v>127.5675</v>
      </c>
      <c r="X1123" s="5">
        <f t="shared" si="157"/>
        <v>0.49977452748804019</v>
      </c>
      <c r="Z1123" s="2" t="s">
        <v>117</v>
      </c>
      <c r="AA1123" s="2" t="s">
        <v>118</v>
      </c>
      <c r="AB1123" s="2" t="s">
        <v>119</v>
      </c>
      <c r="AC1123" s="2" t="s">
        <v>114</v>
      </c>
      <c r="AF1123" s="2">
        <f t="shared" si="154"/>
        <v>0</v>
      </c>
      <c r="AJ1123" s="2">
        <f t="shared" si="155"/>
        <v>0</v>
      </c>
      <c r="AK1123" s="2">
        <f t="shared" si="158"/>
        <v>127.45250000000001</v>
      </c>
      <c r="AL1123" s="5">
        <f t="shared" si="159"/>
        <v>0.49977452748804019</v>
      </c>
    </row>
    <row r="1124" spans="1:38" x14ac:dyDescent="0.2">
      <c r="A1124" s="2">
        <v>2025</v>
      </c>
      <c r="B1124" s="2">
        <v>5</v>
      </c>
      <c r="C1124" s="2" t="s">
        <v>3325</v>
      </c>
      <c r="D1124" s="2" t="s">
        <v>655</v>
      </c>
      <c r="E1124" s="2" t="s">
        <v>38</v>
      </c>
      <c r="G1124" s="2">
        <v>509116590</v>
      </c>
      <c r="H1124" s="2" t="s">
        <v>290</v>
      </c>
      <c r="I1124" s="2" t="s">
        <v>656</v>
      </c>
      <c r="J1124" s="2" t="s">
        <v>657</v>
      </c>
      <c r="L1124" s="2" t="s">
        <v>293</v>
      </c>
      <c r="M1124" s="2" t="s">
        <v>80</v>
      </c>
      <c r="P1124" s="2" t="s">
        <v>72</v>
      </c>
      <c r="Q1124" s="2" t="s">
        <v>202</v>
      </c>
      <c r="R1124" s="2" t="s">
        <v>197</v>
      </c>
      <c r="S1124" s="8">
        <v>1</v>
      </c>
      <c r="T1124" s="2">
        <v>260</v>
      </c>
      <c r="U1124" s="2">
        <v>59.8</v>
      </c>
      <c r="V1124" s="2">
        <v>319.8</v>
      </c>
      <c r="W1124" s="2">
        <v>152.85</v>
      </c>
      <c r="X1124" s="5">
        <f t="shared" si="157"/>
        <v>0.41211538461538466</v>
      </c>
      <c r="Z1124" s="2" t="s">
        <v>3227</v>
      </c>
      <c r="AA1124" s="2" t="s">
        <v>75</v>
      </c>
      <c r="AB1124" s="2" t="s">
        <v>76</v>
      </c>
      <c r="AC1124" s="2" t="s">
        <v>77</v>
      </c>
      <c r="AF1124" s="2">
        <f t="shared" si="154"/>
        <v>0</v>
      </c>
      <c r="AG1124" s="2">
        <v>152.85</v>
      </c>
      <c r="AH1124" s="2">
        <v>260</v>
      </c>
      <c r="AJ1124" s="2">
        <f t="shared" si="155"/>
        <v>0</v>
      </c>
      <c r="AK1124" s="2">
        <f t="shared" si="158"/>
        <v>107.15</v>
      </c>
      <c r="AL1124" s="5">
        <f t="shared" si="159"/>
        <v>0.41211538461538466</v>
      </c>
    </row>
    <row r="1125" spans="1:38" x14ac:dyDescent="0.2">
      <c r="A1125" s="2">
        <v>2025</v>
      </c>
      <c r="B1125" s="2">
        <v>5</v>
      </c>
      <c r="C1125" s="2" t="s">
        <v>3325</v>
      </c>
      <c r="D1125" s="2" t="s">
        <v>655</v>
      </c>
      <c r="E1125" s="2" t="s">
        <v>38</v>
      </c>
      <c r="G1125" s="2">
        <v>509116590</v>
      </c>
      <c r="H1125" s="2" t="s">
        <v>290</v>
      </c>
      <c r="I1125" s="2" t="s">
        <v>656</v>
      </c>
      <c r="J1125" s="2" t="s">
        <v>657</v>
      </c>
      <c r="L1125" s="2" t="s">
        <v>293</v>
      </c>
      <c r="M1125" s="2" t="s">
        <v>80</v>
      </c>
      <c r="P1125" s="2" t="s">
        <v>93</v>
      </c>
      <c r="Q1125" s="2" t="s">
        <v>94</v>
      </c>
      <c r="R1125" s="2" t="s">
        <v>95</v>
      </c>
      <c r="S1125" s="2">
        <v>1</v>
      </c>
      <c r="T1125" s="2">
        <v>1.1399999999999999</v>
      </c>
      <c r="U1125" s="2">
        <v>0.26219999999999999</v>
      </c>
      <c r="V1125" s="2">
        <v>1.4021999999999999</v>
      </c>
      <c r="W1125" s="2">
        <v>1.1399999999999999</v>
      </c>
      <c r="X1125" s="5">
        <f t="shared" si="157"/>
        <v>0</v>
      </c>
      <c r="Z1125" s="2" t="s">
        <v>3227</v>
      </c>
      <c r="AA1125" s="2" t="s">
        <v>96</v>
      </c>
      <c r="AB1125" s="2" t="s">
        <v>76</v>
      </c>
      <c r="AC1125" s="2" t="s">
        <v>93</v>
      </c>
      <c r="AF1125" s="2">
        <f t="shared" si="154"/>
        <v>0</v>
      </c>
      <c r="AG1125" s="2">
        <v>1.1399999999999999</v>
      </c>
      <c r="AH1125" s="2">
        <v>1.1399999999999999</v>
      </c>
      <c r="AJ1125" s="2">
        <f t="shared" si="155"/>
        <v>0</v>
      </c>
      <c r="AK1125" s="2">
        <f t="shared" si="158"/>
        <v>0</v>
      </c>
      <c r="AL1125" s="5">
        <f t="shared" si="159"/>
        <v>0</v>
      </c>
    </row>
    <row r="1126" spans="1:38" x14ac:dyDescent="0.2">
      <c r="A1126" s="2">
        <v>2025</v>
      </c>
      <c r="B1126" s="2">
        <v>5</v>
      </c>
      <c r="D1126" s="2" t="s">
        <v>1439</v>
      </c>
      <c r="P1126" s="2" t="s">
        <v>114</v>
      </c>
      <c r="Q1126" s="2" t="s">
        <v>1440</v>
      </c>
      <c r="R1126" s="2" t="s">
        <v>1441</v>
      </c>
      <c r="S1126" s="2">
        <v>1</v>
      </c>
      <c r="T1126" s="2">
        <v>35.74</v>
      </c>
      <c r="U1126" s="2">
        <v>8.2202000000000002</v>
      </c>
      <c r="V1126" s="2">
        <v>43.9602</v>
      </c>
      <c r="X1126" s="5">
        <f t="shared" si="157"/>
        <v>1</v>
      </c>
      <c r="AF1126" s="2">
        <f t="shared" si="154"/>
        <v>0</v>
      </c>
      <c r="AJ1126" s="2">
        <f t="shared" si="155"/>
        <v>0</v>
      </c>
      <c r="AK1126" s="2">
        <f t="shared" si="158"/>
        <v>35.74</v>
      </c>
      <c r="AL1126" s="5">
        <f t="shared" si="159"/>
        <v>1</v>
      </c>
    </row>
    <row r="1127" spans="1:38" x14ac:dyDescent="0.2">
      <c r="A1127" s="2">
        <v>2025</v>
      </c>
      <c r="B1127" s="2">
        <v>5</v>
      </c>
      <c r="D1127" s="2" t="s">
        <v>1439</v>
      </c>
      <c r="P1127" s="2" t="s">
        <v>40</v>
      </c>
      <c r="Q1127" s="2" t="s">
        <v>363</v>
      </c>
      <c r="R1127" s="2" t="s">
        <v>364</v>
      </c>
      <c r="S1127" s="2">
        <v>1</v>
      </c>
      <c r="T1127" s="2">
        <v>99.75</v>
      </c>
      <c r="U1127" s="2">
        <v>22.942499999999999</v>
      </c>
      <c r="V1127" s="2">
        <v>122.6925</v>
      </c>
      <c r="X1127" s="5">
        <f t="shared" si="157"/>
        <v>1</v>
      </c>
      <c r="Z1127" s="2" t="s">
        <v>119</v>
      </c>
      <c r="AA1127" s="2" t="s">
        <v>3380</v>
      </c>
      <c r="AF1127" s="2">
        <f t="shared" si="154"/>
        <v>0</v>
      </c>
      <c r="AJ1127" s="2">
        <f t="shared" si="155"/>
        <v>0</v>
      </c>
      <c r="AK1127" s="2">
        <f t="shared" si="158"/>
        <v>99.75</v>
      </c>
      <c r="AL1127" s="5">
        <f t="shared" si="159"/>
        <v>1</v>
      </c>
    </row>
    <row r="1128" spans="1:38" x14ac:dyDescent="0.2">
      <c r="A1128" s="2">
        <v>2025</v>
      </c>
      <c r="B1128" s="2">
        <v>5</v>
      </c>
      <c r="D1128" s="2" t="s">
        <v>1124</v>
      </c>
      <c r="E1128" s="2" t="s">
        <v>108</v>
      </c>
      <c r="F1128" s="2" t="s">
        <v>39</v>
      </c>
      <c r="G1128" s="2">
        <v>515742279</v>
      </c>
      <c r="H1128" s="2" t="s">
        <v>41</v>
      </c>
      <c r="I1128" s="2" t="s">
        <v>2294</v>
      </c>
      <c r="J1128" s="2" t="s">
        <v>2295</v>
      </c>
      <c r="K1128" s="2">
        <v>965790183</v>
      </c>
      <c r="L1128" s="2" t="s">
        <v>177</v>
      </c>
      <c r="M1128" s="2" t="s">
        <v>40</v>
      </c>
      <c r="P1128" s="2" t="s">
        <v>114</v>
      </c>
      <c r="Q1128" s="2" t="s">
        <v>793</v>
      </c>
      <c r="R1128" s="2" t="s">
        <v>794</v>
      </c>
      <c r="S1128" s="2">
        <v>1</v>
      </c>
      <c r="T1128" s="2">
        <v>770.24</v>
      </c>
      <c r="U1128" s="2">
        <v>177.15520000000001</v>
      </c>
      <c r="V1128" s="2">
        <v>947.39520000000005</v>
      </c>
      <c r="W1128" s="2">
        <v>257.3</v>
      </c>
      <c r="X1128" s="5">
        <f t="shared" si="157"/>
        <v>0.66594827586206906</v>
      </c>
      <c r="Z1128" s="2" t="s">
        <v>117</v>
      </c>
      <c r="AA1128" s="2" t="s">
        <v>118</v>
      </c>
      <c r="AB1128" s="2" t="s">
        <v>119</v>
      </c>
      <c r="AC1128" s="2" t="s">
        <v>114</v>
      </c>
      <c r="AF1128" s="2">
        <f t="shared" si="154"/>
        <v>0</v>
      </c>
      <c r="AJ1128" s="2">
        <f t="shared" si="155"/>
        <v>0</v>
      </c>
      <c r="AK1128" s="2">
        <f t="shared" si="158"/>
        <v>512.94000000000005</v>
      </c>
      <c r="AL1128" s="5">
        <f t="shared" si="159"/>
        <v>0.66594827586206906</v>
      </c>
    </row>
    <row r="1129" spans="1:38" x14ac:dyDescent="0.2">
      <c r="A1129" s="2">
        <v>2025</v>
      </c>
      <c r="B1129" s="2">
        <v>5</v>
      </c>
      <c r="D1129" s="2" t="s">
        <v>1124</v>
      </c>
      <c r="E1129" s="2" t="s">
        <v>108</v>
      </c>
      <c r="F1129" s="2" t="s">
        <v>39</v>
      </c>
      <c r="G1129" s="2">
        <v>515742279</v>
      </c>
      <c r="H1129" s="2" t="s">
        <v>41</v>
      </c>
      <c r="I1129" s="2" t="s">
        <v>2294</v>
      </c>
      <c r="J1129" s="2" t="s">
        <v>2295</v>
      </c>
      <c r="K1129" s="2">
        <v>965790183</v>
      </c>
      <c r="L1129" s="2" t="s">
        <v>177</v>
      </c>
      <c r="M1129" s="2" t="s">
        <v>40</v>
      </c>
      <c r="P1129" s="2" t="s">
        <v>187</v>
      </c>
      <c r="Q1129" s="2" t="s">
        <v>188</v>
      </c>
      <c r="R1129" s="2" t="s">
        <v>189</v>
      </c>
      <c r="S1129" s="2">
        <v>1</v>
      </c>
      <c r="T1129" s="2">
        <v>50</v>
      </c>
      <c r="U1129" s="2">
        <v>11.5</v>
      </c>
      <c r="V1129" s="2">
        <v>61.5</v>
      </c>
      <c r="W1129" s="2">
        <f>T1129*40%</f>
        <v>20</v>
      </c>
      <c r="X1129" s="5">
        <f t="shared" si="157"/>
        <v>0.6</v>
      </c>
      <c r="Z1129" s="2" t="s">
        <v>117</v>
      </c>
      <c r="AA1129" s="2" t="s">
        <v>190</v>
      </c>
      <c r="AB1129" s="2" t="s">
        <v>189</v>
      </c>
      <c r="AC1129" s="2" t="s">
        <v>40</v>
      </c>
      <c r="AF1129" s="2">
        <f t="shared" si="154"/>
        <v>0</v>
      </c>
      <c r="AJ1129" s="2">
        <f t="shared" si="155"/>
        <v>0</v>
      </c>
      <c r="AK1129" s="2">
        <f t="shared" si="158"/>
        <v>30</v>
      </c>
      <c r="AL1129" s="5">
        <f t="shared" si="159"/>
        <v>0.6</v>
      </c>
    </row>
    <row r="1130" spans="1:38" x14ac:dyDescent="0.2">
      <c r="A1130" s="2">
        <v>2025</v>
      </c>
      <c r="B1130" s="2">
        <v>5</v>
      </c>
      <c r="D1130" s="2" t="s">
        <v>1124</v>
      </c>
      <c r="E1130" s="2" t="s">
        <v>108</v>
      </c>
      <c r="F1130" s="2" t="s">
        <v>39</v>
      </c>
      <c r="G1130" s="2">
        <v>515742279</v>
      </c>
      <c r="H1130" s="2" t="s">
        <v>41</v>
      </c>
      <c r="I1130" s="2" t="s">
        <v>2294</v>
      </c>
      <c r="J1130" s="2" t="s">
        <v>2295</v>
      </c>
      <c r="K1130" s="2">
        <v>965790183</v>
      </c>
      <c r="L1130" s="2" t="s">
        <v>177</v>
      </c>
      <c r="M1130" s="2" t="s">
        <v>40</v>
      </c>
      <c r="P1130" s="2" t="s">
        <v>187</v>
      </c>
      <c r="Q1130" s="2" t="s">
        <v>191</v>
      </c>
      <c r="R1130" s="2" t="s">
        <v>190</v>
      </c>
      <c r="S1130" s="2">
        <v>2</v>
      </c>
      <c r="T1130" s="2">
        <v>100</v>
      </c>
      <c r="U1130" s="2">
        <v>23</v>
      </c>
      <c r="V1130" s="2">
        <v>123</v>
      </c>
      <c r="W1130" s="2">
        <f>T1130*50%</f>
        <v>50</v>
      </c>
      <c r="X1130" s="5">
        <f t="shared" si="157"/>
        <v>0.5</v>
      </c>
      <c r="Z1130" s="2" t="s">
        <v>117</v>
      </c>
      <c r="AA1130" s="2" t="s">
        <v>190</v>
      </c>
      <c r="AB1130" s="2" t="s">
        <v>190</v>
      </c>
      <c r="AC1130" s="2" t="s">
        <v>40</v>
      </c>
      <c r="AF1130" s="2">
        <f t="shared" si="154"/>
        <v>0</v>
      </c>
      <c r="AJ1130" s="2">
        <f t="shared" si="155"/>
        <v>0</v>
      </c>
      <c r="AK1130" s="2">
        <f t="shared" si="158"/>
        <v>50</v>
      </c>
      <c r="AL1130" s="5">
        <f t="shared" si="159"/>
        <v>0.5</v>
      </c>
    </row>
    <row r="1131" spans="1:38" x14ac:dyDescent="0.2">
      <c r="A1131" s="2">
        <v>2025</v>
      </c>
      <c r="B1131" s="2">
        <v>5</v>
      </c>
      <c r="D1131" s="2" t="s">
        <v>1124</v>
      </c>
      <c r="E1131" s="2" t="s">
        <v>108</v>
      </c>
      <c r="F1131" s="2" t="s">
        <v>39</v>
      </c>
      <c r="G1131" s="2">
        <v>515742279</v>
      </c>
      <c r="H1131" s="2" t="s">
        <v>41</v>
      </c>
      <c r="I1131" s="2" t="s">
        <v>2294</v>
      </c>
      <c r="J1131" s="2" t="s">
        <v>2295</v>
      </c>
      <c r="K1131" s="2">
        <v>965790183</v>
      </c>
      <c r="L1131" s="2" t="s">
        <v>177</v>
      </c>
      <c r="M1131" s="2" t="s">
        <v>40</v>
      </c>
      <c r="P1131" s="2" t="s">
        <v>40</v>
      </c>
      <c r="Q1131" s="2" t="s">
        <v>140</v>
      </c>
      <c r="R1131" s="2" t="s">
        <v>141</v>
      </c>
      <c r="S1131" s="2">
        <v>-1</v>
      </c>
      <c r="T1131" s="2">
        <v>-231.07</v>
      </c>
      <c r="U1131" s="2">
        <v>-53.146099999999997</v>
      </c>
      <c r="V1131" s="2">
        <v>-284.21609999999998</v>
      </c>
      <c r="Z1131" s="2" t="s">
        <v>119</v>
      </c>
      <c r="AA1131" s="2" t="s">
        <v>142</v>
      </c>
      <c r="AF1131" s="2">
        <f t="shared" si="154"/>
        <v>0</v>
      </c>
      <c r="AJ1131" s="2">
        <f t="shared" si="155"/>
        <v>0</v>
      </c>
    </row>
    <row r="1132" spans="1:38" x14ac:dyDescent="0.2">
      <c r="A1132" s="2">
        <v>2025</v>
      </c>
      <c r="B1132" s="2">
        <v>5</v>
      </c>
      <c r="D1132" s="2" t="s">
        <v>1312</v>
      </c>
      <c r="E1132" s="2" t="s">
        <v>38</v>
      </c>
      <c r="F1132" s="2" t="s">
        <v>39</v>
      </c>
      <c r="G1132" s="2">
        <v>509512739</v>
      </c>
      <c r="H1132" s="2" t="s">
        <v>41</v>
      </c>
      <c r="I1132" s="2" t="s">
        <v>177</v>
      </c>
      <c r="J1132" s="2" t="s">
        <v>1313</v>
      </c>
      <c r="L1132" s="2" t="s">
        <v>177</v>
      </c>
      <c r="M1132" s="2" t="s">
        <v>41</v>
      </c>
      <c r="O1132" s="2" t="s">
        <v>1442</v>
      </c>
      <c r="P1132" s="2" t="s">
        <v>43</v>
      </c>
      <c r="Q1132" s="2" t="s">
        <v>54</v>
      </c>
      <c r="R1132" s="2" t="s">
        <v>55</v>
      </c>
      <c r="S1132" s="2">
        <v>2</v>
      </c>
      <c r="T1132" s="2">
        <v>32</v>
      </c>
      <c r="U1132" s="2">
        <v>7.36</v>
      </c>
      <c r="V1132" s="2">
        <v>39.36</v>
      </c>
      <c r="W1132" s="2">
        <f>10.6*S1132</f>
        <v>21.2</v>
      </c>
      <c r="X1132" s="5">
        <f t="shared" ref="X1132:X1161" si="160">(T1132-W1132)/T1132</f>
        <v>0.33750000000000002</v>
      </c>
      <c r="Z1132" s="2" t="s">
        <v>3227</v>
      </c>
      <c r="AA1132" s="2" t="s">
        <v>46</v>
      </c>
      <c r="AB1132" s="2" t="s">
        <v>56</v>
      </c>
      <c r="AC1132" s="2" t="s">
        <v>57</v>
      </c>
      <c r="AF1132" s="2">
        <f t="shared" si="154"/>
        <v>0</v>
      </c>
      <c r="AG1132" s="2">
        <v>10.6</v>
      </c>
      <c r="AH1132" s="2">
        <v>18</v>
      </c>
      <c r="AJ1132" s="2">
        <f t="shared" si="155"/>
        <v>0</v>
      </c>
      <c r="AK1132" s="2">
        <f t="shared" ref="AK1132:AK1163" si="161">T1132-W1132</f>
        <v>10.8</v>
      </c>
      <c r="AL1132" s="5">
        <f t="shared" ref="AL1132:AL1162" si="162">(T1132-W1132)/T1132</f>
        <v>0.33750000000000002</v>
      </c>
    </row>
    <row r="1133" spans="1:38" x14ac:dyDescent="0.2">
      <c r="A1133" s="2">
        <v>2025</v>
      </c>
      <c r="B1133" s="2">
        <v>5</v>
      </c>
      <c r="D1133" s="2" t="s">
        <v>1312</v>
      </c>
      <c r="E1133" s="2" t="s">
        <v>38</v>
      </c>
      <c r="F1133" s="2" t="s">
        <v>39</v>
      </c>
      <c r="G1133" s="2">
        <v>509512739</v>
      </c>
      <c r="H1133" s="2" t="s">
        <v>41</v>
      </c>
      <c r="I1133" s="2" t="s">
        <v>177</v>
      </c>
      <c r="J1133" s="2" t="s">
        <v>1313</v>
      </c>
      <c r="L1133" s="2" t="s">
        <v>177</v>
      </c>
      <c r="M1133" s="2" t="s">
        <v>41</v>
      </c>
      <c r="O1133" s="2" t="s">
        <v>1442</v>
      </c>
      <c r="P1133" s="2" t="s">
        <v>43</v>
      </c>
      <c r="Q1133" s="2" t="s">
        <v>254</v>
      </c>
      <c r="R1133" s="2" t="s">
        <v>255</v>
      </c>
      <c r="S1133" s="2">
        <v>100</v>
      </c>
      <c r="T1133" s="2">
        <v>14</v>
      </c>
      <c r="U1133" s="2">
        <v>3.22</v>
      </c>
      <c r="V1133" s="2">
        <v>17.22</v>
      </c>
      <c r="W1133" s="2">
        <f>0.0914*S1133</f>
        <v>9.1399999999999988</v>
      </c>
      <c r="X1133" s="5">
        <f t="shared" si="160"/>
        <v>0.34714285714285725</v>
      </c>
      <c r="Z1133" s="2" t="s">
        <v>3227</v>
      </c>
      <c r="AA1133" s="2" t="s">
        <v>46</v>
      </c>
      <c r="AB1133" s="2" t="s">
        <v>60</v>
      </c>
      <c r="AC1133" s="2" t="s">
        <v>57</v>
      </c>
      <c r="AF1133" s="2">
        <f t="shared" si="154"/>
        <v>0</v>
      </c>
      <c r="AG1133" s="2">
        <v>9.1399999999999995E-2</v>
      </c>
      <c r="AJ1133" s="2">
        <f t="shared" si="155"/>
        <v>0</v>
      </c>
      <c r="AK1133" s="2">
        <f t="shared" si="161"/>
        <v>4.8600000000000012</v>
      </c>
      <c r="AL1133" s="5">
        <f t="shared" si="162"/>
        <v>0.34714285714285725</v>
      </c>
    </row>
    <row r="1134" spans="1:38" x14ac:dyDescent="0.2">
      <c r="A1134" s="2">
        <v>2025</v>
      </c>
      <c r="B1134" s="2">
        <v>5</v>
      </c>
      <c r="D1134" s="2" t="s">
        <v>1125</v>
      </c>
      <c r="E1134" s="2" t="s">
        <v>38</v>
      </c>
      <c r="F1134" s="2" t="s">
        <v>39</v>
      </c>
      <c r="G1134" s="2">
        <v>501551298</v>
      </c>
      <c r="H1134" s="2" t="s">
        <v>109</v>
      </c>
      <c r="I1134" s="2" t="s">
        <v>1126</v>
      </c>
      <c r="J1134" s="2" t="s">
        <v>1127</v>
      </c>
      <c r="L1134" s="2" t="s">
        <v>461</v>
      </c>
      <c r="M1134" s="2" t="s">
        <v>40</v>
      </c>
      <c r="O1134" s="2" t="s">
        <v>1443</v>
      </c>
      <c r="P1134" s="2" t="s">
        <v>114</v>
      </c>
      <c r="Q1134" s="2" t="s">
        <v>838</v>
      </c>
      <c r="R1134" s="2" t="s">
        <v>839</v>
      </c>
      <c r="S1134" s="2">
        <v>1</v>
      </c>
      <c r="T1134" s="2">
        <v>4500</v>
      </c>
      <c r="U1134" s="2">
        <v>1035</v>
      </c>
      <c r="V1134" s="2">
        <v>5535</v>
      </c>
      <c r="W1134" s="2">
        <v>3345.125</v>
      </c>
      <c r="X1134" s="5">
        <f t="shared" si="160"/>
        <v>0.25663888888888892</v>
      </c>
      <c r="Z1134" s="2" t="s">
        <v>104</v>
      </c>
      <c r="AA1134" s="2" t="s">
        <v>150</v>
      </c>
      <c r="AB1134" s="2" t="s">
        <v>151</v>
      </c>
      <c r="AC1134" s="2" t="s">
        <v>114</v>
      </c>
      <c r="AF1134" s="2">
        <f t="shared" si="154"/>
        <v>0</v>
      </c>
      <c r="AG1134" s="2">
        <v>3345.125</v>
      </c>
      <c r="AJ1134" s="2">
        <f t="shared" si="155"/>
        <v>0</v>
      </c>
      <c r="AK1134" s="2">
        <f t="shared" si="161"/>
        <v>1154.875</v>
      </c>
      <c r="AL1134" s="5">
        <f t="shared" si="162"/>
        <v>0.25663888888888892</v>
      </c>
    </row>
    <row r="1135" spans="1:38" x14ac:dyDescent="0.2">
      <c r="A1135" s="2">
        <v>2025</v>
      </c>
      <c r="B1135" s="2">
        <v>5</v>
      </c>
      <c r="D1135" s="2" t="s">
        <v>928</v>
      </c>
      <c r="E1135" s="2" t="s">
        <v>38</v>
      </c>
      <c r="F1135" s="2" t="s">
        <v>39</v>
      </c>
      <c r="G1135" s="2" t="s">
        <v>929</v>
      </c>
      <c r="H1135" s="2" t="s">
        <v>41</v>
      </c>
      <c r="I1135" s="2" t="s">
        <v>626</v>
      </c>
      <c r="J1135" s="2" t="s">
        <v>930</v>
      </c>
      <c r="L1135" s="2" t="s">
        <v>626</v>
      </c>
      <c r="M1135" s="2" t="s">
        <v>41</v>
      </c>
      <c r="P1135" s="2" t="s">
        <v>43</v>
      </c>
      <c r="Q1135" s="2" t="s">
        <v>48</v>
      </c>
      <c r="R1135" s="2" t="s">
        <v>49</v>
      </c>
      <c r="S1135" s="2">
        <v>5</v>
      </c>
      <c r="T1135" s="2">
        <v>60</v>
      </c>
      <c r="V1135" s="2">
        <f>T1135</f>
        <v>60</v>
      </c>
      <c r="W1135" s="2">
        <f>6.6267*S1135</f>
        <v>33.133499999999998</v>
      </c>
      <c r="X1135" s="5">
        <f t="shared" si="160"/>
        <v>0.44777500000000003</v>
      </c>
      <c r="Z1135" s="2" t="s">
        <v>3227</v>
      </c>
      <c r="AA1135" s="2" t="s">
        <v>46</v>
      </c>
      <c r="AB1135" s="2" t="s">
        <v>47</v>
      </c>
      <c r="AC1135" s="2" t="s">
        <v>57</v>
      </c>
      <c r="AF1135" s="2">
        <f t="shared" si="154"/>
        <v>0</v>
      </c>
      <c r="AG1135" s="2">
        <v>6.6266999999999996</v>
      </c>
      <c r="AH1135" s="2">
        <v>12</v>
      </c>
      <c r="AJ1135" s="2">
        <f t="shared" si="155"/>
        <v>0</v>
      </c>
      <c r="AK1135" s="2">
        <f t="shared" si="161"/>
        <v>26.866500000000002</v>
      </c>
      <c r="AL1135" s="5">
        <f t="shared" si="162"/>
        <v>0.44777500000000003</v>
      </c>
    </row>
    <row r="1136" spans="1:38" x14ac:dyDescent="0.2">
      <c r="A1136" s="2">
        <v>2025</v>
      </c>
      <c r="B1136" s="2">
        <v>7</v>
      </c>
      <c r="D1136" s="2" t="s">
        <v>37</v>
      </c>
      <c r="E1136" s="2" t="s">
        <v>38</v>
      </c>
      <c r="F1136" s="2" t="s">
        <v>39</v>
      </c>
      <c r="H1136" s="2" t="s">
        <v>40</v>
      </c>
      <c r="P1136" s="2" t="s">
        <v>282</v>
      </c>
      <c r="Q1136" s="2" t="s">
        <v>1436</v>
      </c>
      <c r="R1136" s="2" t="s">
        <v>1437</v>
      </c>
      <c r="S1136" s="2">
        <v>1</v>
      </c>
      <c r="T1136" s="2">
        <v>7.9</v>
      </c>
      <c r="U1136" s="2">
        <v>1.8169999999999999</v>
      </c>
      <c r="V1136" s="2">
        <v>9.7170000000000005</v>
      </c>
      <c r="W1136" s="2">
        <f>5.135*S1136</f>
        <v>5.1349999999999998</v>
      </c>
      <c r="X1136" s="5">
        <f t="shared" si="160"/>
        <v>0.35000000000000003</v>
      </c>
      <c r="Z1136" s="2" t="s">
        <v>3227</v>
      </c>
      <c r="AA1136" s="2" t="s">
        <v>71</v>
      </c>
      <c r="AB1136" s="2" t="s">
        <v>119</v>
      </c>
      <c r="AC1136" s="2" t="s">
        <v>119</v>
      </c>
      <c r="AF1136" s="2">
        <f t="shared" si="154"/>
        <v>0</v>
      </c>
      <c r="AJ1136" s="2">
        <f t="shared" si="155"/>
        <v>0</v>
      </c>
      <c r="AK1136" s="2">
        <f t="shared" si="161"/>
        <v>2.7650000000000006</v>
      </c>
      <c r="AL1136" s="5">
        <f t="shared" si="162"/>
        <v>0.35000000000000003</v>
      </c>
    </row>
    <row r="1137" spans="1:38" x14ac:dyDescent="0.2">
      <c r="A1137" s="2">
        <v>2025</v>
      </c>
      <c r="B1137" s="2">
        <v>7</v>
      </c>
      <c r="D1137" s="2" t="s">
        <v>37</v>
      </c>
      <c r="E1137" s="2" t="s">
        <v>38</v>
      </c>
      <c r="F1137" s="2" t="s">
        <v>39</v>
      </c>
      <c r="H1137" s="2" t="s">
        <v>40</v>
      </c>
      <c r="P1137" s="2" t="s">
        <v>282</v>
      </c>
      <c r="Q1137" s="2" t="s">
        <v>1444</v>
      </c>
      <c r="R1137" s="2" t="s">
        <v>1445</v>
      </c>
      <c r="S1137" s="2">
        <v>1</v>
      </c>
      <c r="T1137" s="2">
        <v>80</v>
      </c>
      <c r="U1137" s="2">
        <v>18.399999999999999</v>
      </c>
      <c r="V1137" s="2">
        <v>98.4</v>
      </c>
      <c r="W1137" s="2">
        <v>71.94</v>
      </c>
      <c r="X1137" s="5">
        <f t="shared" si="160"/>
        <v>0.10075000000000003</v>
      </c>
      <c r="Z1137" s="2" t="s">
        <v>3227</v>
      </c>
      <c r="AA1137" s="2" t="s">
        <v>71</v>
      </c>
      <c r="AB1137" s="2" t="s">
        <v>1600</v>
      </c>
      <c r="AC1137" s="2" t="s">
        <v>1600</v>
      </c>
      <c r="AF1137" s="2">
        <f t="shared" si="154"/>
        <v>0</v>
      </c>
      <c r="AJ1137" s="2">
        <f t="shared" si="155"/>
        <v>0</v>
      </c>
      <c r="AK1137" s="2">
        <f t="shared" si="161"/>
        <v>8.0600000000000023</v>
      </c>
      <c r="AL1137" s="5">
        <f t="shared" si="162"/>
        <v>0.10075000000000003</v>
      </c>
    </row>
    <row r="1138" spans="1:38" x14ac:dyDescent="0.2">
      <c r="A1138" s="2">
        <v>2025</v>
      </c>
      <c r="B1138" s="2">
        <v>7</v>
      </c>
      <c r="D1138" s="2" t="s">
        <v>37</v>
      </c>
      <c r="E1138" s="2" t="s">
        <v>38</v>
      </c>
      <c r="F1138" s="2" t="s">
        <v>39</v>
      </c>
      <c r="H1138" s="2" t="s">
        <v>40</v>
      </c>
      <c r="P1138" s="2" t="s">
        <v>282</v>
      </c>
      <c r="Q1138" s="2" t="s">
        <v>1446</v>
      </c>
      <c r="R1138" s="2" t="s">
        <v>1447</v>
      </c>
      <c r="S1138" s="2">
        <v>1</v>
      </c>
      <c r="T1138" s="2">
        <v>284.55</v>
      </c>
      <c r="U1138" s="2">
        <v>65.4465</v>
      </c>
      <c r="V1138" s="2">
        <v>349.99650000000003</v>
      </c>
      <c r="W1138" s="2">
        <v>258.99</v>
      </c>
      <c r="X1138" s="5">
        <f t="shared" si="160"/>
        <v>8.9826041117554031E-2</v>
      </c>
      <c r="Z1138" s="2" t="s">
        <v>3227</v>
      </c>
      <c r="AA1138" s="2" t="s">
        <v>71</v>
      </c>
      <c r="AB1138" s="2" t="s">
        <v>119</v>
      </c>
      <c r="AC1138" s="2" t="s">
        <v>119</v>
      </c>
      <c r="AF1138" s="2">
        <f t="shared" si="154"/>
        <v>0</v>
      </c>
      <c r="AJ1138" s="2">
        <f t="shared" si="155"/>
        <v>0</v>
      </c>
      <c r="AK1138" s="2">
        <f t="shared" si="161"/>
        <v>25.560000000000002</v>
      </c>
      <c r="AL1138" s="5">
        <f t="shared" si="162"/>
        <v>8.9826041117554031E-2</v>
      </c>
    </row>
    <row r="1139" spans="1:38" x14ac:dyDescent="0.2">
      <c r="A1139" s="2">
        <v>2025</v>
      </c>
      <c r="B1139" s="2">
        <v>7</v>
      </c>
      <c r="D1139" s="2" t="s">
        <v>37</v>
      </c>
      <c r="E1139" s="2" t="s">
        <v>38</v>
      </c>
      <c r="F1139" s="2" t="s">
        <v>39</v>
      </c>
      <c r="H1139" s="2" t="s">
        <v>40</v>
      </c>
      <c r="Q1139" s="2" t="s">
        <v>649</v>
      </c>
      <c r="R1139" s="2" t="s">
        <v>650</v>
      </c>
      <c r="S1139" s="2">
        <v>2</v>
      </c>
      <c r="T1139" s="2">
        <v>371</v>
      </c>
      <c r="U1139" s="2">
        <v>85.33</v>
      </c>
      <c r="V1139" s="2">
        <v>456.33</v>
      </c>
      <c r="X1139" s="5">
        <f t="shared" si="160"/>
        <v>1</v>
      </c>
      <c r="AF1139" s="2">
        <f t="shared" si="154"/>
        <v>0</v>
      </c>
      <c r="AJ1139" s="2">
        <f t="shared" si="155"/>
        <v>0</v>
      </c>
      <c r="AK1139" s="2">
        <f t="shared" si="161"/>
        <v>371</v>
      </c>
      <c r="AL1139" s="5">
        <f t="shared" si="162"/>
        <v>1</v>
      </c>
    </row>
    <row r="1140" spans="1:38" x14ac:dyDescent="0.2">
      <c r="A1140" s="2">
        <v>2025</v>
      </c>
      <c r="B1140" s="2">
        <v>7</v>
      </c>
      <c r="D1140" s="2" t="s">
        <v>37</v>
      </c>
      <c r="E1140" s="2" t="s">
        <v>38</v>
      </c>
      <c r="F1140" s="2" t="s">
        <v>39</v>
      </c>
      <c r="H1140" s="2" t="s">
        <v>40</v>
      </c>
      <c r="P1140" s="2" t="s">
        <v>43</v>
      </c>
      <c r="Q1140" s="2" t="s">
        <v>48</v>
      </c>
      <c r="R1140" s="2" t="s">
        <v>49</v>
      </c>
      <c r="S1140" s="2">
        <v>5</v>
      </c>
      <c r="T1140" s="2">
        <v>59</v>
      </c>
      <c r="U1140" s="2">
        <v>13.57</v>
      </c>
      <c r="V1140" s="2">
        <v>72.569999999999993</v>
      </c>
      <c r="W1140" s="2">
        <f>6.6267*S1140</f>
        <v>33.133499999999998</v>
      </c>
      <c r="X1140" s="5">
        <f t="shared" si="160"/>
        <v>0.43841525423728817</v>
      </c>
      <c r="Z1140" s="2" t="s">
        <v>3227</v>
      </c>
      <c r="AA1140" s="2" t="s">
        <v>46</v>
      </c>
      <c r="AB1140" s="2" t="s">
        <v>47</v>
      </c>
      <c r="AC1140" s="2" t="s">
        <v>57</v>
      </c>
      <c r="AF1140" s="2">
        <f t="shared" si="154"/>
        <v>0</v>
      </c>
      <c r="AG1140" s="2">
        <v>6.6266999999999996</v>
      </c>
      <c r="AH1140" s="2">
        <v>12</v>
      </c>
      <c r="AJ1140" s="2">
        <f t="shared" si="155"/>
        <v>0</v>
      </c>
      <c r="AK1140" s="2">
        <f t="shared" si="161"/>
        <v>25.866500000000002</v>
      </c>
      <c r="AL1140" s="5">
        <f t="shared" si="162"/>
        <v>0.43841525423728817</v>
      </c>
    </row>
    <row r="1141" spans="1:38" x14ac:dyDescent="0.2">
      <c r="A1141" s="2">
        <v>2025</v>
      </c>
      <c r="B1141" s="2">
        <v>7</v>
      </c>
      <c r="D1141" s="2" t="s">
        <v>37</v>
      </c>
      <c r="E1141" s="2" t="s">
        <v>38</v>
      </c>
      <c r="F1141" s="2" t="s">
        <v>39</v>
      </c>
      <c r="H1141" s="2" t="s">
        <v>40</v>
      </c>
      <c r="P1141" s="2" t="s">
        <v>43</v>
      </c>
      <c r="Q1141" s="2" t="s">
        <v>160</v>
      </c>
      <c r="R1141" s="2" t="s">
        <v>161</v>
      </c>
      <c r="S1141" s="2">
        <v>1</v>
      </c>
      <c r="T1141" s="2">
        <v>7.8</v>
      </c>
      <c r="U1141" s="2">
        <v>1.794</v>
      </c>
      <c r="V1141" s="2">
        <v>9.5939999999999994</v>
      </c>
      <c r="W1141" s="2">
        <f>3.7358*S1141</f>
        <v>3.7357999999999998</v>
      </c>
      <c r="X1141" s="5">
        <f t="shared" si="160"/>
        <v>0.52105128205128204</v>
      </c>
      <c r="Z1141" s="2" t="s">
        <v>3227</v>
      </c>
      <c r="AA1141" s="2" t="s">
        <v>46</v>
      </c>
      <c r="AB1141" s="2" t="s">
        <v>47</v>
      </c>
      <c r="AC1141" s="2" t="s">
        <v>57</v>
      </c>
      <c r="AF1141" s="2">
        <f t="shared" si="154"/>
        <v>0</v>
      </c>
      <c r="AG1141" s="2">
        <v>3.7357999999999998</v>
      </c>
      <c r="AH1141" s="2">
        <v>9</v>
      </c>
      <c r="AJ1141" s="2">
        <f t="shared" si="155"/>
        <v>0</v>
      </c>
      <c r="AK1141" s="2">
        <f t="shared" si="161"/>
        <v>4.0641999999999996</v>
      </c>
      <c r="AL1141" s="5">
        <f t="shared" si="162"/>
        <v>0.52105128205128204</v>
      </c>
    </row>
    <row r="1142" spans="1:38" x14ac:dyDescent="0.2">
      <c r="A1142" s="2">
        <v>2025</v>
      </c>
      <c r="B1142" s="2">
        <v>7</v>
      </c>
      <c r="D1142" s="2" t="s">
        <v>37</v>
      </c>
      <c r="E1142" s="2" t="s">
        <v>38</v>
      </c>
      <c r="F1142" s="2" t="s">
        <v>39</v>
      </c>
      <c r="H1142" s="2" t="s">
        <v>40</v>
      </c>
      <c r="P1142" s="2" t="s">
        <v>43</v>
      </c>
      <c r="Q1142" s="2" t="s">
        <v>54</v>
      </c>
      <c r="R1142" s="2" t="s">
        <v>55</v>
      </c>
      <c r="S1142" s="2">
        <v>3</v>
      </c>
      <c r="T1142" s="2">
        <v>48</v>
      </c>
      <c r="U1142" s="2">
        <v>11.04</v>
      </c>
      <c r="V1142" s="2">
        <v>59.04</v>
      </c>
      <c r="W1142" s="2">
        <f>10.6*S1142</f>
        <v>31.799999999999997</v>
      </c>
      <c r="X1142" s="5">
        <f t="shared" si="160"/>
        <v>0.33750000000000008</v>
      </c>
      <c r="Z1142" s="2" t="s">
        <v>3227</v>
      </c>
      <c r="AA1142" s="2" t="s">
        <v>46</v>
      </c>
      <c r="AB1142" s="2" t="s">
        <v>56</v>
      </c>
      <c r="AC1142" s="2" t="s">
        <v>57</v>
      </c>
      <c r="AF1142" s="2">
        <f t="shared" si="154"/>
        <v>0</v>
      </c>
      <c r="AG1142" s="2">
        <v>10.6</v>
      </c>
      <c r="AH1142" s="2">
        <v>18</v>
      </c>
      <c r="AJ1142" s="2">
        <f t="shared" si="155"/>
        <v>0</v>
      </c>
      <c r="AK1142" s="2">
        <f t="shared" si="161"/>
        <v>16.200000000000003</v>
      </c>
      <c r="AL1142" s="5">
        <f t="shared" si="162"/>
        <v>0.33750000000000008</v>
      </c>
    </row>
    <row r="1143" spans="1:38" x14ac:dyDescent="0.2">
      <c r="A1143" s="2">
        <v>2025</v>
      </c>
      <c r="B1143" s="2">
        <v>7</v>
      </c>
      <c r="D1143" s="2" t="s">
        <v>37</v>
      </c>
      <c r="E1143" s="2" t="s">
        <v>38</v>
      </c>
      <c r="F1143" s="2" t="s">
        <v>39</v>
      </c>
      <c r="H1143" s="2" t="s">
        <v>40</v>
      </c>
      <c r="P1143" s="2" t="s">
        <v>43</v>
      </c>
      <c r="Q1143" s="2" t="s">
        <v>58</v>
      </c>
      <c r="R1143" s="2" t="s">
        <v>59</v>
      </c>
      <c r="S1143" s="2">
        <v>100</v>
      </c>
      <c r="T1143" s="2">
        <v>14</v>
      </c>
      <c r="U1143" s="2">
        <v>3.22</v>
      </c>
      <c r="V1143" s="2">
        <v>17.22</v>
      </c>
      <c r="W1143" s="2">
        <f>0.0914*S1143</f>
        <v>9.1399999999999988</v>
      </c>
      <c r="X1143" s="5">
        <f t="shared" si="160"/>
        <v>0.34714285714285725</v>
      </c>
      <c r="Z1143" s="2" t="s">
        <v>3227</v>
      </c>
      <c r="AA1143" s="2" t="s">
        <v>46</v>
      </c>
      <c r="AB1143" s="2" t="s">
        <v>60</v>
      </c>
      <c r="AC1143" s="2" t="s">
        <v>57</v>
      </c>
      <c r="AF1143" s="2">
        <f t="shared" si="154"/>
        <v>0</v>
      </c>
      <c r="AG1143" s="2">
        <v>9.14</v>
      </c>
      <c r="AH1143" s="2">
        <v>16</v>
      </c>
      <c r="AJ1143" s="2">
        <f t="shared" si="155"/>
        <v>0</v>
      </c>
      <c r="AK1143" s="2">
        <f t="shared" si="161"/>
        <v>4.8600000000000012</v>
      </c>
      <c r="AL1143" s="5">
        <f t="shared" si="162"/>
        <v>0.34714285714285725</v>
      </c>
    </row>
    <row r="1144" spans="1:38" x14ac:dyDescent="0.2">
      <c r="A1144" s="2">
        <v>2025</v>
      </c>
      <c r="B1144" s="2">
        <v>7</v>
      </c>
      <c r="D1144" s="2" t="s">
        <v>37</v>
      </c>
      <c r="E1144" s="2" t="s">
        <v>38</v>
      </c>
      <c r="F1144" s="2" t="s">
        <v>39</v>
      </c>
      <c r="H1144" s="2" t="s">
        <v>40</v>
      </c>
      <c r="P1144" s="2" t="s">
        <v>43</v>
      </c>
      <c r="Q1144" s="2" t="s">
        <v>61</v>
      </c>
      <c r="R1144" s="2" t="s">
        <v>62</v>
      </c>
      <c r="S1144" s="2">
        <v>100</v>
      </c>
      <c r="T1144" s="2">
        <v>13</v>
      </c>
      <c r="U1144" s="2">
        <v>2.99</v>
      </c>
      <c r="V1144" s="2">
        <v>15.99</v>
      </c>
      <c r="W1144" s="2">
        <f>0.082*S1144</f>
        <v>8.2000000000000011</v>
      </c>
      <c r="X1144" s="5">
        <f t="shared" si="160"/>
        <v>0.36923076923076914</v>
      </c>
      <c r="Z1144" s="2" t="s">
        <v>3227</v>
      </c>
      <c r="AA1144" s="2" t="s">
        <v>46</v>
      </c>
      <c r="AB1144" s="2" t="s">
        <v>60</v>
      </c>
      <c r="AC1144" s="2" t="s">
        <v>57</v>
      </c>
      <c r="AF1144" s="2">
        <f t="shared" si="154"/>
        <v>0</v>
      </c>
      <c r="AG1144" s="2">
        <v>8.1999999999999993</v>
      </c>
      <c r="AH1144" s="2">
        <v>13</v>
      </c>
      <c r="AJ1144" s="2">
        <f t="shared" si="155"/>
        <v>0</v>
      </c>
      <c r="AK1144" s="2">
        <f t="shared" si="161"/>
        <v>4.7999999999999989</v>
      </c>
      <c r="AL1144" s="5">
        <f t="shared" si="162"/>
        <v>0.36923076923076914</v>
      </c>
    </row>
    <row r="1145" spans="1:38" x14ac:dyDescent="0.2">
      <c r="A1145" s="2">
        <v>2025</v>
      </c>
      <c r="B1145" s="2">
        <v>7</v>
      </c>
      <c r="D1145" s="2" t="s">
        <v>37</v>
      </c>
      <c r="E1145" s="2" t="s">
        <v>38</v>
      </c>
      <c r="F1145" s="2" t="s">
        <v>39</v>
      </c>
      <c r="H1145" s="2" t="s">
        <v>40</v>
      </c>
      <c r="P1145" s="2" t="s">
        <v>43</v>
      </c>
      <c r="Q1145" s="2" t="s">
        <v>65</v>
      </c>
      <c r="R1145" s="2" t="s">
        <v>66</v>
      </c>
      <c r="S1145" s="2">
        <v>2</v>
      </c>
      <c r="T1145" s="2">
        <v>43</v>
      </c>
      <c r="U1145" s="2">
        <v>9.89</v>
      </c>
      <c r="V1145" s="2">
        <v>52.89</v>
      </c>
      <c r="W1145" s="2">
        <f>15.0203*S1145</f>
        <v>30.040600000000001</v>
      </c>
      <c r="X1145" s="5">
        <f t="shared" si="160"/>
        <v>0.30138139534883718</v>
      </c>
      <c r="Z1145" s="2" t="s">
        <v>3227</v>
      </c>
      <c r="AA1145" s="2" t="s">
        <v>46</v>
      </c>
      <c r="AB1145" s="2" t="s">
        <v>67</v>
      </c>
      <c r="AC1145" s="2" t="s">
        <v>57</v>
      </c>
      <c r="AF1145" s="2">
        <f t="shared" si="154"/>
        <v>0</v>
      </c>
      <c r="AG1145" s="2">
        <v>15.020300000000001</v>
      </c>
      <c r="AH1145" s="2">
        <v>27.6</v>
      </c>
      <c r="AJ1145" s="2">
        <f t="shared" si="155"/>
        <v>0</v>
      </c>
      <c r="AK1145" s="2">
        <f t="shared" si="161"/>
        <v>12.959399999999999</v>
      </c>
      <c r="AL1145" s="5">
        <f t="shared" si="162"/>
        <v>0.30138139534883718</v>
      </c>
    </row>
    <row r="1146" spans="1:38" x14ac:dyDescent="0.2">
      <c r="A1146" s="2">
        <v>2025</v>
      </c>
      <c r="B1146" s="2">
        <v>7</v>
      </c>
      <c r="D1146" s="2" t="s">
        <v>37</v>
      </c>
      <c r="E1146" s="2" t="s">
        <v>38</v>
      </c>
      <c r="F1146" s="2" t="s">
        <v>39</v>
      </c>
      <c r="H1146" s="2" t="s">
        <v>40</v>
      </c>
      <c r="P1146" s="2" t="s">
        <v>72</v>
      </c>
      <c r="Q1146" s="2" t="s">
        <v>1448</v>
      </c>
      <c r="R1146" s="2" t="s">
        <v>381</v>
      </c>
      <c r="S1146" s="2">
        <v>1</v>
      </c>
      <c r="T1146" s="2">
        <v>200</v>
      </c>
      <c r="U1146" s="2">
        <v>46</v>
      </c>
      <c r="V1146" s="2">
        <v>246</v>
      </c>
      <c r="W1146" s="2">
        <v>133.91669999999999</v>
      </c>
      <c r="X1146" s="5">
        <f t="shared" si="160"/>
        <v>0.33041650000000006</v>
      </c>
      <c r="Z1146" s="2" t="s">
        <v>3227</v>
      </c>
      <c r="AA1146" s="2" t="s">
        <v>75</v>
      </c>
      <c r="AB1146" s="2" t="s">
        <v>76</v>
      </c>
      <c r="AC1146" s="2" t="s">
        <v>77</v>
      </c>
      <c r="AF1146" s="2">
        <f t="shared" si="154"/>
        <v>0</v>
      </c>
      <c r="AJ1146" s="2">
        <f t="shared" si="155"/>
        <v>0</v>
      </c>
      <c r="AK1146" s="2">
        <f t="shared" si="161"/>
        <v>66.083300000000008</v>
      </c>
      <c r="AL1146" s="5">
        <f t="shared" si="162"/>
        <v>0.33041650000000006</v>
      </c>
    </row>
    <row r="1147" spans="1:38" x14ac:dyDescent="0.2">
      <c r="A1147" s="2">
        <v>2025</v>
      </c>
      <c r="B1147" s="2">
        <v>7</v>
      </c>
      <c r="D1147" s="2" t="s">
        <v>37</v>
      </c>
      <c r="E1147" s="2" t="s">
        <v>38</v>
      </c>
      <c r="F1147" s="2" t="s">
        <v>39</v>
      </c>
      <c r="H1147" s="2" t="s">
        <v>40</v>
      </c>
      <c r="P1147" s="2" t="s">
        <v>72</v>
      </c>
      <c r="Q1147" s="2" t="s">
        <v>1449</v>
      </c>
      <c r="R1147" s="2" t="s">
        <v>307</v>
      </c>
      <c r="S1147" s="2">
        <v>1</v>
      </c>
      <c r="T1147" s="2">
        <v>291.54000000000002</v>
      </c>
      <c r="U1147" s="2">
        <v>67.054200000000009</v>
      </c>
      <c r="V1147" s="2">
        <v>358.5942</v>
      </c>
      <c r="W1147" s="2">
        <v>122.446</v>
      </c>
      <c r="X1147" s="5">
        <f t="shared" si="160"/>
        <v>0.58000274404884411</v>
      </c>
      <c r="Z1147" s="2" t="s">
        <v>3227</v>
      </c>
      <c r="AA1147" s="2" t="s">
        <v>75</v>
      </c>
      <c r="AB1147" s="2" t="s">
        <v>76</v>
      </c>
      <c r="AC1147" s="2" t="s">
        <v>77</v>
      </c>
      <c r="AF1147" s="2">
        <f t="shared" si="154"/>
        <v>0</v>
      </c>
      <c r="AG1147" s="2">
        <v>122.446</v>
      </c>
      <c r="AH1147" s="2">
        <v>230</v>
      </c>
      <c r="AJ1147" s="2">
        <f t="shared" si="155"/>
        <v>0</v>
      </c>
      <c r="AK1147" s="2">
        <f t="shared" si="161"/>
        <v>169.09400000000002</v>
      </c>
      <c r="AL1147" s="5">
        <f t="shared" si="162"/>
        <v>0.58000274404884411</v>
      </c>
    </row>
    <row r="1148" spans="1:38" x14ac:dyDescent="0.2">
      <c r="A1148" s="2">
        <v>2025</v>
      </c>
      <c r="B1148" s="2">
        <v>7</v>
      </c>
      <c r="D1148" s="2" t="s">
        <v>37</v>
      </c>
      <c r="E1148" s="2" t="s">
        <v>38</v>
      </c>
      <c r="F1148" s="2" t="s">
        <v>39</v>
      </c>
      <c r="H1148" s="2" t="s">
        <v>40</v>
      </c>
      <c r="P1148" s="2" t="s">
        <v>84</v>
      </c>
      <c r="Q1148" s="2" t="s">
        <v>1211</v>
      </c>
      <c r="R1148" s="2" t="s">
        <v>1212</v>
      </c>
      <c r="S1148" s="2">
        <v>1</v>
      </c>
      <c r="T1148" s="2">
        <v>12</v>
      </c>
      <c r="U1148" s="2">
        <v>2.76</v>
      </c>
      <c r="V1148" s="2">
        <v>14.76</v>
      </c>
      <c r="X1148" s="5">
        <f t="shared" si="160"/>
        <v>1</v>
      </c>
      <c r="Z1148" s="2" t="s">
        <v>3227</v>
      </c>
      <c r="AA1148" s="2" t="s">
        <v>87</v>
      </c>
      <c r="AB1148" s="2" t="s">
        <v>90</v>
      </c>
      <c r="AC1148" s="2" t="s">
        <v>84</v>
      </c>
      <c r="AF1148" s="2">
        <f t="shared" si="154"/>
        <v>0</v>
      </c>
      <c r="AJ1148" s="2">
        <f t="shared" si="155"/>
        <v>0</v>
      </c>
      <c r="AK1148" s="2">
        <f t="shared" si="161"/>
        <v>12</v>
      </c>
      <c r="AL1148" s="5">
        <f t="shared" si="162"/>
        <v>1</v>
      </c>
    </row>
    <row r="1149" spans="1:38" x14ac:dyDescent="0.2">
      <c r="A1149" s="2">
        <v>2025</v>
      </c>
      <c r="B1149" s="2">
        <v>7</v>
      </c>
      <c r="D1149" s="2" t="s">
        <v>37</v>
      </c>
      <c r="E1149" s="2" t="s">
        <v>38</v>
      </c>
      <c r="F1149" s="2" t="s">
        <v>39</v>
      </c>
      <c r="H1149" s="2" t="s">
        <v>40</v>
      </c>
      <c r="P1149" s="2" t="s">
        <v>84</v>
      </c>
      <c r="Q1149" s="2" t="s">
        <v>274</v>
      </c>
      <c r="R1149" s="2" t="s">
        <v>275</v>
      </c>
      <c r="S1149" s="2">
        <v>3</v>
      </c>
      <c r="T1149" s="2">
        <v>14.5</v>
      </c>
      <c r="U1149" s="2">
        <v>3.335</v>
      </c>
      <c r="V1149" s="2">
        <v>17.835000000000001</v>
      </c>
      <c r="W1149" s="2">
        <v>2.94</v>
      </c>
      <c r="X1149" s="5">
        <f t="shared" si="160"/>
        <v>0.79724137931034489</v>
      </c>
      <c r="Z1149" s="2" t="s">
        <v>3227</v>
      </c>
      <c r="AA1149" s="2" t="s">
        <v>87</v>
      </c>
      <c r="AB1149" s="2" t="s">
        <v>90</v>
      </c>
      <c r="AC1149" s="2" t="s">
        <v>84</v>
      </c>
      <c r="AF1149" s="2">
        <f t="shared" si="154"/>
        <v>0</v>
      </c>
      <c r="AJ1149" s="2">
        <f t="shared" si="155"/>
        <v>0</v>
      </c>
      <c r="AK1149" s="2">
        <f t="shared" si="161"/>
        <v>11.56</v>
      </c>
      <c r="AL1149" s="5">
        <f t="shared" si="162"/>
        <v>0.79724137931034489</v>
      </c>
    </row>
    <row r="1150" spans="1:38" x14ac:dyDescent="0.2">
      <c r="A1150" s="2">
        <v>2025</v>
      </c>
      <c r="B1150" s="2">
        <v>7</v>
      </c>
      <c r="D1150" s="2" t="s">
        <v>37</v>
      </c>
      <c r="E1150" s="2" t="s">
        <v>38</v>
      </c>
      <c r="F1150" s="2" t="s">
        <v>39</v>
      </c>
      <c r="H1150" s="2" t="s">
        <v>40</v>
      </c>
      <c r="P1150" s="2" t="s">
        <v>84</v>
      </c>
      <c r="Q1150" s="2" t="s">
        <v>276</v>
      </c>
      <c r="R1150" s="2" t="s">
        <v>277</v>
      </c>
      <c r="S1150" s="2">
        <v>1</v>
      </c>
      <c r="T1150" s="2">
        <v>5</v>
      </c>
      <c r="U1150" s="2">
        <v>1.1499999999999999</v>
      </c>
      <c r="V1150" s="2">
        <v>6.15</v>
      </c>
      <c r="W1150" s="2">
        <v>2.5051000000000001</v>
      </c>
      <c r="X1150" s="5">
        <f t="shared" si="160"/>
        <v>0.49897999999999998</v>
      </c>
      <c r="Z1150" s="2" t="s">
        <v>3227</v>
      </c>
      <c r="AA1150" s="2" t="s">
        <v>87</v>
      </c>
      <c r="AB1150" s="2" t="s">
        <v>90</v>
      </c>
      <c r="AC1150" s="2" t="s">
        <v>84</v>
      </c>
      <c r="AF1150" s="2">
        <f t="shared" si="154"/>
        <v>0</v>
      </c>
      <c r="AJ1150" s="2">
        <f t="shared" si="155"/>
        <v>0</v>
      </c>
      <c r="AK1150" s="2">
        <f t="shared" si="161"/>
        <v>2.4948999999999999</v>
      </c>
      <c r="AL1150" s="5">
        <f t="shared" si="162"/>
        <v>0.49897999999999998</v>
      </c>
    </row>
    <row r="1151" spans="1:38" x14ac:dyDescent="0.2">
      <c r="A1151" s="2">
        <v>2025</v>
      </c>
      <c r="B1151" s="2">
        <v>7</v>
      </c>
      <c r="D1151" s="2" t="s">
        <v>37</v>
      </c>
      <c r="E1151" s="2" t="s">
        <v>38</v>
      </c>
      <c r="F1151" s="2" t="s">
        <v>39</v>
      </c>
      <c r="H1151" s="2" t="s">
        <v>40</v>
      </c>
      <c r="P1151" s="2" t="s">
        <v>93</v>
      </c>
      <c r="Q1151" s="2" t="s">
        <v>94</v>
      </c>
      <c r="R1151" s="2" t="s">
        <v>95</v>
      </c>
      <c r="S1151" s="2">
        <v>2</v>
      </c>
      <c r="T1151" s="2">
        <v>2.2799999999999998</v>
      </c>
      <c r="U1151" s="2">
        <v>0.52439999999999998</v>
      </c>
      <c r="V1151" s="2">
        <v>2.8043999999999998</v>
      </c>
      <c r="W1151" s="2">
        <v>2.2799999999999998</v>
      </c>
      <c r="X1151" s="5">
        <f t="shared" si="160"/>
        <v>0</v>
      </c>
      <c r="Z1151" s="2" t="s">
        <v>3227</v>
      </c>
      <c r="AA1151" s="2" t="s">
        <v>96</v>
      </c>
      <c r="AB1151" s="2" t="s">
        <v>76</v>
      </c>
      <c r="AC1151" s="2" t="s">
        <v>93</v>
      </c>
      <c r="AF1151" s="2">
        <f t="shared" si="154"/>
        <v>0</v>
      </c>
      <c r="AJ1151" s="2">
        <f t="shared" si="155"/>
        <v>0</v>
      </c>
      <c r="AK1151" s="2">
        <f t="shared" si="161"/>
        <v>0</v>
      </c>
      <c r="AL1151" s="5">
        <f t="shared" si="162"/>
        <v>0</v>
      </c>
    </row>
    <row r="1152" spans="1:38" x14ac:dyDescent="0.2">
      <c r="A1152" s="2">
        <v>2025</v>
      </c>
      <c r="B1152" s="2">
        <v>7</v>
      </c>
      <c r="D1152" s="2" t="s">
        <v>37</v>
      </c>
      <c r="E1152" s="2" t="s">
        <v>38</v>
      </c>
      <c r="F1152" s="2" t="s">
        <v>39</v>
      </c>
      <c r="H1152" s="2" t="s">
        <v>40</v>
      </c>
      <c r="P1152" s="2" t="s">
        <v>40</v>
      </c>
      <c r="Q1152" s="2" t="s">
        <v>363</v>
      </c>
      <c r="R1152" s="2" t="s">
        <v>364</v>
      </c>
      <c r="S1152" s="2">
        <v>2</v>
      </c>
      <c r="T1152" s="2">
        <v>28588.61</v>
      </c>
      <c r="U1152" s="2">
        <v>6575.3803000000007</v>
      </c>
      <c r="V1152" s="2">
        <v>35163.990299999998</v>
      </c>
      <c r="X1152" s="5">
        <f t="shared" si="160"/>
        <v>1</v>
      </c>
      <c r="Z1152" s="2" t="s">
        <v>119</v>
      </c>
      <c r="AA1152" s="2" t="s">
        <v>3380</v>
      </c>
      <c r="AF1152" s="2">
        <f t="shared" si="154"/>
        <v>0</v>
      </c>
      <c r="AJ1152" s="2">
        <f t="shared" si="155"/>
        <v>0</v>
      </c>
      <c r="AK1152" s="2">
        <f t="shared" si="161"/>
        <v>28588.61</v>
      </c>
      <c r="AL1152" s="5">
        <f t="shared" si="162"/>
        <v>1</v>
      </c>
    </row>
    <row r="1153" spans="1:38" x14ac:dyDescent="0.2">
      <c r="A1153" s="2">
        <v>2025</v>
      </c>
      <c r="B1153" s="2">
        <v>7</v>
      </c>
      <c r="D1153" s="2" t="s">
        <v>1450</v>
      </c>
      <c r="E1153" s="2" t="s">
        <v>108</v>
      </c>
      <c r="F1153" s="2" t="s">
        <v>477</v>
      </c>
      <c r="L1153" s="2" t="s">
        <v>112</v>
      </c>
      <c r="M1153" s="2" t="s">
        <v>40</v>
      </c>
      <c r="P1153" s="2" t="s">
        <v>114</v>
      </c>
      <c r="Q1153" s="2" t="s">
        <v>978</v>
      </c>
      <c r="R1153" s="2" t="s">
        <v>979</v>
      </c>
      <c r="S1153" s="2">
        <v>1</v>
      </c>
      <c r="T1153" s="2">
        <v>79.819999999999993</v>
      </c>
      <c r="U1153" s="2">
        <v>18.358599999999999</v>
      </c>
      <c r="V1153" s="2">
        <v>98.178599999999989</v>
      </c>
      <c r="X1153" s="5">
        <f t="shared" si="160"/>
        <v>1</v>
      </c>
      <c r="Z1153" s="2" t="s">
        <v>117</v>
      </c>
      <c r="AA1153" s="2" t="s">
        <v>118</v>
      </c>
      <c r="AB1153" s="2" t="s">
        <v>119</v>
      </c>
      <c r="AC1153" s="2" t="s">
        <v>114</v>
      </c>
      <c r="AF1153" s="2">
        <f t="shared" si="154"/>
        <v>0</v>
      </c>
      <c r="AJ1153" s="2">
        <f t="shared" si="155"/>
        <v>0</v>
      </c>
      <c r="AK1153" s="2">
        <f t="shared" si="161"/>
        <v>79.819999999999993</v>
      </c>
      <c r="AL1153" s="5">
        <f t="shared" si="162"/>
        <v>1</v>
      </c>
    </row>
    <row r="1154" spans="1:38" x14ac:dyDescent="0.2">
      <c r="A1154" s="2">
        <v>2025</v>
      </c>
      <c r="B1154" s="2">
        <v>7</v>
      </c>
      <c r="D1154" s="2" t="s">
        <v>1450</v>
      </c>
      <c r="E1154" s="2" t="s">
        <v>108</v>
      </c>
      <c r="F1154" s="2" t="s">
        <v>477</v>
      </c>
      <c r="L1154" s="2" t="s">
        <v>112</v>
      </c>
      <c r="M1154" s="2" t="s">
        <v>40</v>
      </c>
      <c r="P1154" s="2" t="s">
        <v>187</v>
      </c>
      <c r="Q1154" s="2" t="s">
        <v>188</v>
      </c>
      <c r="R1154" s="2" t="s">
        <v>189</v>
      </c>
      <c r="S1154" s="2">
        <v>1</v>
      </c>
      <c r="T1154" s="2">
        <v>101</v>
      </c>
      <c r="U1154" s="2">
        <v>23.23</v>
      </c>
      <c r="V1154" s="2">
        <v>124.23</v>
      </c>
      <c r="W1154" s="2">
        <f>T1154*40%</f>
        <v>40.400000000000006</v>
      </c>
      <c r="X1154" s="5">
        <f t="shared" si="160"/>
        <v>0.6</v>
      </c>
      <c r="Z1154" s="2" t="s">
        <v>117</v>
      </c>
      <c r="AA1154" s="2" t="s">
        <v>190</v>
      </c>
      <c r="AB1154" s="2" t="s">
        <v>189</v>
      </c>
      <c r="AC1154" s="2" t="s">
        <v>40</v>
      </c>
      <c r="AF1154" s="2">
        <f t="shared" ref="AF1154:AF1217" si="163">AJ1154</f>
        <v>0</v>
      </c>
      <c r="AJ1154" s="2">
        <f t="shared" ref="AJ1154:AJ1217" si="164">AI1154*T1154</f>
        <v>0</v>
      </c>
      <c r="AK1154" s="2">
        <f t="shared" si="161"/>
        <v>60.599999999999994</v>
      </c>
      <c r="AL1154" s="5">
        <f t="shared" si="162"/>
        <v>0.6</v>
      </c>
    </row>
    <row r="1155" spans="1:38" x14ac:dyDescent="0.2">
      <c r="A1155" s="2">
        <v>2025</v>
      </c>
      <c r="B1155" s="2">
        <v>7</v>
      </c>
      <c r="D1155" s="2" t="s">
        <v>1450</v>
      </c>
      <c r="E1155" s="2" t="s">
        <v>108</v>
      </c>
      <c r="F1155" s="2" t="s">
        <v>477</v>
      </c>
      <c r="L1155" s="2" t="s">
        <v>112</v>
      </c>
      <c r="M1155" s="2" t="s">
        <v>40</v>
      </c>
      <c r="P1155" s="2" t="s">
        <v>187</v>
      </c>
      <c r="Q1155" s="2" t="s">
        <v>191</v>
      </c>
      <c r="R1155" s="2" t="s">
        <v>190</v>
      </c>
      <c r="S1155" s="2">
        <v>2</v>
      </c>
      <c r="T1155" s="2">
        <v>100</v>
      </c>
      <c r="U1155" s="2">
        <v>23</v>
      </c>
      <c r="V1155" s="2">
        <v>123</v>
      </c>
      <c r="W1155" s="2">
        <f>T1155*50%</f>
        <v>50</v>
      </c>
      <c r="X1155" s="5">
        <f t="shared" si="160"/>
        <v>0.5</v>
      </c>
      <c r="Z1155" s="2" t="s">
        <v>117</v>
      </c>
      <c r="AA1155" s="2" t="s">
        <v>190</v>
      </c>
      <c r="AB1155" s="2" t="s">
        <v>190</v>
      </c>
      <c r="AC1155" s="2" t="s">
        <v>40</v>
      </c>
      <c r="AF1155" s="2">
        <f t="shared" si="163"/>
        <v>0</v>
      </c>
      <c r="AJ1155" s="2">
        <f t="shared" si="164"/>
        <v>0</v>
      </c>
      <c r="AK1155" s="2">
        <f t="shared" si="161"/>
        <v>50</v>
      </c>
      <c r="AL1155" s="5">
        <f t="shared" si="162"/>
        <v>0.5</v>
      </c>
    </row>
    <row r="1156" spans="1:38" x14ac:dyDescent="0.2">
      <c r="A1156" s="2">
        <v>2025</v>
      </c>
      <c r="B1156" s="2">
        <v>7</v>
      </c>
      <c r="D1156" s="2" t="s">
        <v>1451</v>
      </c>
      <c r="E1156" s="2" t="s">
        <v>38</v>
      </c>
      <c r="F1156" s="2" t="s">
        <v>39</v>
      </c>
      <c r="G1156" s="2">
        <v>507661079</v>
      </c>
      <c r="H1156" s="2" t="s">
        <v>40</v>
      </c>
      <c r="I1156" s="2" t="s">
        <v>1452</v>
      </c>
      <c r="J1156" s="2" t="s">
        <v>1453</v>
      </c>
      <c r="K1156" s="2">
        <v>917563471</v>
      </c>
      <c r="L1156" s="2" t="s">
        <v>99</v>
      </c>
      <c r="M1156" s="2" t="s">
        <v>80</v>
      </c>
      <c r="O1156" s="2" t="s">
        <v>1454</v>
      </c>
      <c r="P1156" s="2" t="s">
        <v>72</v>
      </c>
      <c r="Q1156" s="2" t="s">
        <v>301</v>
      </c>
      <c r="R1156" s="2" t="s">
        <v>74</v>
      </c>
      <c r="S1156" s="2">
        <v>1</v>
      </c>
      <c r="T1156" s="2">
        <v>220</v>
      </c>
      <c r="U1156" s="2">
        <v>50.6</v>
      </c>
      <c r="V1156" s="2">
        <v>270.60000000000002</v>
      </c>
      <c r="W1156" s="2">
        <v>121.46</v>
      </c>
      <c r="X1156" s="5">
        <f t="shared" si="160"/>
        <v>0.44790909090909092</v>
      </c>
      <c r="Z1156" s="2" t="s">
        <v>3227</v>
      </c>
      <c r="AA1156" s="2" t="s">
        <v>75</v>
      </c>
      <c r="AB1156" s="2" t="s">
        <v>76</v>
      </c>
      <c r="AC1156" s="2" t="s">
        <v>77</v>
      </c>
      <c r="AF1156" s="2">
        <f t="shared" si="163"/>
        <v>0</v>
      </c>
      <c r="AG1156" s="2">
        <v>121.46</v>
      </c>
      <c r="AH1156" s="2">
        <v>210</v>
      </c>
      <c r="AJ1156" s="2">
        <f t="shared" si="164"/>
        <v>0</v>
      </c>
      <c r="AK1156" s="2">
        <f t="shared" si="161"/>
        <v>98.54</v>
      </c>
      <c r="AL1156" s="5">
        <f t="shared" si="162"/>
        <v>0.44790909090909092</v>
      </c>
    </row>
    <row r="1157" spans="1:38" x14ac:dyDescent="0.2">
      <c r="A1157" s="2">
        <v>2025</v>
      </c>
      <c r="B1157" s="2">
        <v>7</v>
      </c>
      <c r="D1157" s="2" t="s">
        <v>1451</v>
      </c>
      <c r="E1157" s="2" t="s">
        <v>38</v>
      </c>
      <c r="F1157" s="2" t="s">
        <v>39</v>
      </c>
      <c r="G1157" s="2">
        <v>507661079</v>
      </c>
      <c r="H1157" s="2" t="s">
        <v>40</v>
      </c>
      <c r="I1157" s="2" t="s">
        <v>1452</v>
      </c>
      <c r="J1157" s="2" t="s">
        <v>1453</v>
      </c>
      <c r="K1157" s="2">
        <v>917563471</v>
      </c>
      <c r="L1157" s="2" t="s">
        <v>99</v>
      </c>
      <c r="M1157" s="2" t="s">
        <v>80</v>
      </c>
      <c r="O1157" s="2" t="s">
        <v>1454</v>
      </c>
      <c r="P1157" s="2" t="s">
        <v>93</v>
      </c>
      <c r="Q1157" s="2" t="s">
        <v>94</v>
      </c>
      <c r="R1157" s="2" t="s">
        <v>95</v>
      </c>
      <c r="S1157" s="2">
        <v>1</v>
      </c>
      <c r="T1157" s="2">
        <v>1.1399999999999999</v>
      </c>
      <c r="U1157" s="2">
        <v>0.26219999999999999</v>
      </c>
      <c r="V1157" s="2">
        <v>1.4021999999999999</v>
      </c>
      <c r="W1157" s="2">
        <v>1.1399999999999999</v>
      </c>
      <c r="X1157" s="5">
        <f t="shared" si="160"/>
        <v>0</v>
      </c>
      <c r="Z1157" s="2" t="s">
        <v>3227</v>
      </c>
      <c r="AA1157" s="2" t="s">
        <v>96</v>
      </c>
      <c r="AB1157" s="2" t="s">
        <v>76</v>
      </c>
      <c r="AC1157" s="2" t="s">
        <v>93</v>
      </c>
      <c r="AF1157" s="2">
        <f t="shared" si="163"/>
        <v>0</v>
      </c>
      <c r="AG1157" s="2">
        <v>1.1399999999999999</v>
      </c>
      <c r="AH1157" s="2">
        <v>1.1399999999999999</v>
      </c>
      <c r="AJ1157" s="2">
        <f t="shared" si="164"/>
        <v>0</v>
      </c>
      <c r="AK1157" s="2">
        <f t="shared" si="161"/>
        <v>0</v>
      </c>
      <c r="AL1157" s="5">
        <f t="shared" si="162"/>
        <v>0</v>
      </c>
    </row>
    <row r="1158" spans="1:38" x14ac:dyDescent="0.2">
      <c r="A1158" s="2">
        <v>2025</v>
      </c>
      <c r="B1158" s="2">
        <v>7</v>
      </c>
      <c r="D1158" s="2" t="s">
        <v>1140</v>
      </c>
      <c r="E1158" s="2" t="s">
        <v>108</v>
      </c>
      <c r="F1158" s="2" t="s">
        <v>477</v>
      </c>
      <c r="G1158" s="2">
        <v>504576658</v>
      </c>
      <c r="H1158" s="2" t="s">
        <v>41</v>
      </c>
      <c r="I1158" s="2" t="s">
        <v>1141</v>
      </c>
      <c r="J1158" s="2" t="s">
        <v>1142</v>
      </c>
      <c r="L1158" s="2" t="s">
        <v>99</v>
      </c>
      <c r="M1158" s="2" t="s">
        <v>41</v>
      </c>
      <c r="O1158" s="2" t="s">
        <v>1455</v>
      </c>
      <c r="P1158" s="2" t="s">
        <v>72</v>
      </c>
      <c r="Q1158" s="2" t="s">
        <v>1075</v>
      </c>
      <c r="R1158" s="2" t="s">
        <v>83</v>
      </c>
      <c r="S1158" s="2">
        <v>1</v>
      </c>
      <c r="T1158" s="2">
        <v>260</v>
      </c>
      <c r="U1158" s="2">
        <v>59.8</v>
      </c>
      <c r="V1158" s="2">
        <v>319.8</v>
      </c>
      <c r="W1158" s="2">
        <v>159.54</v>
      </c>
      <c r="X1158" s="5">
        <f t="shared" si="160"/>
        <v>0.38638461538461544</v>
      </c>
      <c r="Z1158" s="2" t="s">
        <v>3227</v>
      </c>
      <c r="AA1158" s="2" t="s">
        <v>75</v>
      </c>
      <c r="AB1158" s="2" t="s">
        <v>76</v>
      </c>
      <c r="AC1158" s="2" t="s">
        <v>77</v>
      </c>
      <c r="AF1158" s="2">
        <f t="shared" si="163"/>
        <v>0</v>
      </c>
      <c r="AG1158" s="2">
        <f>144.14+15.4</f>
        <v>159.54</v>
      </c>
      <c r="AH1158" s="2">
        <v>280</v>
      </c>
      <c r="AJ1158" s="2">
        <f t="shared" si="164"/>
        <v>0</v>
      </c>
      <c r="AK1158" s="2">
        <f t="shared" si="161"/>
        <v>100.46000000000001</v>
      </c>
      <c r="AL1158" s="5">
        <f t="shared" si="162"/>
        <v>0.38638461538461544</v>
      </c>
    </row>
    <row r="1159" spans="1:38" x14ac:dyDescent="0.2">
      <c r="A1159" s="2">
        <v>2025</v>
      </c>
      <c r="B1159" s="2">
        <v>7</v>
      </c>
      <c r="D1159" s="2" t="s">
        <v>1140</v>
      </c>
      <c r="E1159" s="2" t="s">
        <v>108</v>
      </c>
      <c r="F1159" s="2" t="s">
        <v>477</v>
      </c>
      <c r="G1159" s="2">
        <v>504576658</v>
      </c>
      <c r="H1159" s="2" t="s">
        <v>41</v>
      </c>
      <c r="I1159" s="2" t="s">
        <v>1141</v>
      </c>
      <c r="J1159" s="2" t="s">
        <v>1142</v>
      </c>
      <c r="L1159" s="2" t="s">
        <v>99</v>
      </c>
      <c r="M1159" s="2" t="s">
        <v>41</v>
      </c>
      <c r="O1159" s="2" t="s">
        <v>1455</v>
      </c>
      <c r="P1159" s="2" t="s">
        <v>93</v>
      </c>
      <c r="Q1159" s="2" t="s">
        <v>94</v>
      </c>
      <c r="R1159" s="2" t="s">
        <v>95</v>
      </c>
      <c r="S1159" s="2">
        <v>1</v>
      </c>
      <c r="T1159" s="2">
        <v>1.1399999999999999</v>
      </c>
      <c r="U1159" s="2">
        <v>0.26219999999999999</v>
      </c>
      <c r="V1159" s="2">
        <v>1.4021999999999999</v>
      </c>
      <c r="W1159" s="2">
        <v>1.1399999999999999</v>
      </c>
      <c r="X1159" s="5">
        <f t="shared" si="160"/>
        <v>0</v>
      </c>
      <c r="Z1159" s="2" t="s">
        <v>3227</v>
      </c>
      <c r="AA1159" s="2" t="s">
        <v>96</v>
      </c>
      <c r="AB1159" s="2" t="s">
        <v>76</v>
      </c>
      <c r="AC1159" s="2" t="s">
        <v>93</v>
      </c>
      <c r="AF1159" s="2">
        <f t="shared" si="163"/>
        <v>0</v>
      </c>
      <c r="AJ1159" s="2">
        <f t="shared" si="164"/>
        <v>0</v>
      </c>
      <c r="AK1159" s="2">
        <f t="shared" si="161"/>
        <v>0</v>
      </c>
      <c r="AL1159" s="5">
        <f t="shared" si="162"/>
        <v>0</v>
      </c>
    </row>
    <row r="1160" spans="1:38" x14ac:dyDescent="0.2">
      <c r="A1160" s="2">
        <v>2025</v>
      </c>
      <c r="B1160" s="2">
        <v>7</v>
      </c>
      <c r="D1160" s="2" t="s">
        <v>1456</v>
      </c>
      <c r="M1160" s="2" t="s">
        <v>40</v>
      </c>
      <c r="P1160" s="2" t="s">
        <v>187</v>
      </c>
      <c r="Q1160" s="2" t="s">
        <v>188</v>
      </c>
      <c r="R1160" s="2" t="s">
        <v>189</v>
      </c>
      <c r="S1160" s="2">
        <v>1</v>
      </c>
      <c r="T1160" s="2">
        <v>157</v>
      </c>
      <c r="U1160" s="2">
        <v>36.11</v>
      </c>
      <c r="V1160" s="2">
        <v>193.11</v>
      </c>
      <c r="W1160" s="2">
        <f>T1160*40%</f>
        <v>62.800000000000004</v>
      </c>
      <c r="X1160" s="5">
        <f t="shared" si="160"/>
        <v>0.6</v>
      </c>
      <c r="Z1160" s="2" t="s">
        <v>117</v>
      </c>
      <c r="AA1160" s="2" t="s">
        <v>190</v>
      </c>
      <c r="AB1160" s="2" t="s">
        <v>189</v>
      </c>
      <c r="AC1160" s="2" t="s">
        <v>40</v>
      </c>
      <c r="AF1160" s="2">
        <f t="shared" si="163"/>
        <v>0</v>
      </c>
      <c r="AJ1160" s="2">
        <f t="shared" si="164"/>
        <v>0</v>
      </c>
      <c r="AK1160" s="2">
        <f t="shared" si="161"/>
        <v>94.199999999999989</v>
      </c>
      <c r="AL1160" s="5">
        <f t="shared" si="162"/>
        <v>0.6</v>
      </c>
    </row>
    <row r="1161" spans="1:38" x14ac:dyDescent="0.2">
      <c r="A1161" s="2">
        <v>2025</v>
      </c>
      <c r="B1161" s="2">
        <v>7</v>
      </c>
      <c r="D1161" s="2" t="s">
        <v>1456</v>
      </c>
      <c r="M1161" s="2" t="s">
        <v>40</v>
      </c>
      <c r="P1161" s="2" t="s">
        <v>187</v>
      </c>
      <c r="Q1161" s="2" t="s">
        <v>191</v>
      </c>
      <c r="R1161" s="2" t="s">
        <v>190</v>
      </c>
      <c r="S1161" s="2">
        <v>1</v>
      </c>
      <c r="T1161" s="2">
        <v>50</v>
      </c>
      <c r="U1161" s="2">
        <v>11.5</v>
      </c>
      <c r="V1161" s="2">
        <v>61.5</v>
      </c>
      <c r="W1161" s="2">
        <f>T1161*50%</f>
        <v>25</v>
      </c>
      <c r="X1161" s="5">
        <f t="shared" si="160"/>
        <v>0.5</v>
      </c>
      <c r="Z1161" s="2" t="s">
        <v>117</v>
      </c>
      <c r="AA1161" s="2" t="s">
        <v>190</v>
      </c>
      <c r="AB1161" s="2" t="s">
        <v>190</v>
      </c>
      <c r="AC1161" s="2" t="s">
        <v>40</v>
      </c>
      <c r="AF1161" s="2">
        <f t="shared" si="163"/>
        <v>0</v>
      </c>
      <c r="AJ1161" s="2">
        <f t="shared" si="164"/>
        <v>0</v>
      </c>
      <c r="AK1161" s="2">
        <f t="shared" si="161"/>
        <v>25</v>
      </c>
      <c r="AL1161" s="5">
        <f t="shared" si="162"/>
        <v>0.5</v>
      </c>
    </row>
    <row r="1162" spans="1:38" x14ac:dyDescent="0.2">
      <c r="A1162" s="2">
        <v>2025</v>
      </c>
      <c r="B1162" s="2">
        <v>7</v>
      </c>
      <c r="D1162" s="2" t="s">
        <v>1457</v>
      </c>
      <c r="M1162" s="2" t="s">
        <v>40</v>
      </c>
      <c r="P1162" s="2" t="s">
        <v>187</v>
      </c>
      <c r="Q1162" s="2" t="s">
        <v>188</v>
      </c>
      <c r="R1162" s="2" t="s">
        <v>189</v>
      </c>
      <c r="S1162" s="2">
        <v>0</v>
      </c>
      <c r="T1162" s="2">
        <v>0</v>
      </c>
      <c r="U1162" s="2">
        <v>0</v>
      </c>
      <c r="V1162" s="2">
        <v>0</v>
      </c>
      <c r="W1162" s="2">
        <f>T1162*40%</f>
        <v>0</v>
      </c>
      <c r="X1162" s="5">
        <v>0</v>
      </c>
      <c r="Z1162" s="2" t="s">
        <v>117</v>
      </c>
      <c r="AA1162" s="2" t="s">
        <v>190</v>
      </c>
      <c r="AB1162" s="2" t="s">
        <v>189</v>
      </c>
      <c r="AC1162" s="2" t="s">
        <v>40</v>
      </c>
      <c r="AF1162" s="2">
        <f t="shared" si="163"/>
        <v>0</v>
      </c>
      <c r="AJ1162" s="2">
        <f t="shared" si="164"/>
        <v>0</v>
      </c>
      <c r="AK1162" s="2">
        <f t="shared" si="161"/>
        <v>0</v>
      </c>
      <c r="AL1162" s="5" t="e">
        <f t="shared" si="162"/>
        <v>#DIV/0!</v>
      </c>
    </row>
    <row r="1163" spans="1:38" x14ac:dyDescent="0.2">
      <c r="A1163" s="2">
        <v>2025</v>
      </c>
      <c r="B1163" s="2">
        <v>7</v>
      </c>
      <c r="D1163" s="2" t="s">
        <v>1457</v>
      </c>
      <c r="M1163" s="2" t="s">
        <v>40</v>
      </c>
      <c r="P1163" s="2" t="s">
        <v>187</v>
      </c>
      <c r="Q1163" s="2" t="s">
        <v>191</v>
      </c>
      <c r="R1163" s="2" t="s">
        <v>190</v>
      </c>
      <c r="S1163" s="2">
        <v>0</v>
      </c>
      <c r="T1163" s="2">
        <v>0</v>
      </c>
      <c r="U1163" s="2">
        <v>0</v>
      </c>
      <c r="V1163" s="2">
        <v>0</v>
      </c>
      <c r="W1163" s="2">
        <f>T1163*50%</f>
        <v>0</v>
      </c>
      <c r="X1163" s="5">
        <v>0</v>
      </c>
      <c r="Z1163" s="2" t="s">
        <v>117</v>
      </c>
      <c r="AA1163" s="2" t="s">
        <v>190</v>
      </c>
      <c r="AB1163" s="2" t="s">
        <v>190</v>
      </c>
      <c r="AC1163" s="2" t="s">
        <v>40</v>
      </c>
      <c r="AF1163" s="2">
        <f t="shared" si="163"/>
        <v>0</v>
      </c>
      <c r="AJ1163" s="2">
        <f t="shared" si="164"/>
        <v>0</v>
      </c>
      <c r="AK1163" s="2">
        <f t="shared" si="161"/>
        <v>0</v>
      </c>
      <c r="AL1163" s="5">
        <v>0</v>
      </c>
    </row>
    <row r="1164" spans="1:38" x14ac:dyDescent="0.2">
      <c r="A1164" s="2">
        <v>2025</v>
      </c>
      <c r="B1164" s="2">
        <v>7</v>
      </c>
      <c r="C1164" s="2" t="s">
        <v>3470</v>
      </c>
      <c r="D1164" s="2" t="s">
        <v>1458</v>
      </c>
      <c r="E1164" s="2" t="s">
        <v>38</v>
      </c>
      <c r="F1164" s="2" t="s">
        <v>39</v>
      </c>
      <c r="L1164" s="2" t="s">
        <v>339</v>
      </c>
      <c r="M1164" s="2" t="s">
        <v>80</v>
      </c>
      <c r="P1164" s="2" t="s">
        <v>43</v>
      </c>
      <c r="Q1164" s="2" t="s">
        <v>969</v>
      </c>
      <c r="R1164" s="2" t="s">
        <v>970</v>
      </c>
      <c r="S1164" s="2">
        <v>6</v>
      </c>
      <c r="T1164" s="2">
        <v>174</v>
      </c>
      <c r="U1164" s="2">
        <v>40.020000000000003</v>
      </c>
      <c r="V1164" s="2">
        <v>214.02</v>
      </c>
      <c r="W1164" s="2">
        <f>18.3719*S1164</f>
        <v>110.23140000000001</v>
      </c>
      <c r="X1164" s="5">
        <f t="shared" ref="X1164:X1194" si="165">(T1164-W1164)/T1164</f>
        <v>0.3664862068965517</v>
      </c>
      <c r="Z1164" s="2" t="s">
        <v>3227</v>
      </c>
      <c r="AA1164" s="2" t="s">
        <v>46</v>
      </c>
      <c r="AB1164" s="2" t="s">
        <v>60</v>
      </c>
      <c r="AC1164" s="2" t="s">
        <v>57</v>
      </c>
      <c r="AF1164" s="2">
        <f t="shared" si="163"/>
        <v>0</v>
      </c>
      <c r="AJ1164" s="2">
        <f t="shared" si="164"/>
        <v>0</v>
      </c>
      <c r="AK1164" s="2">
        <f t="shared" ref="AK1164:AK1194" si="166">T1164-W1164</f>
        <v>63.768599999999992</v>
      </c>
      <c r="AL1164" s="5">
        <f t="shared" ref="AL1164:AL1194" si="167">(T1164-W1164)/T1164</f>
        <v>0.3664862068965517</v>
      </c>
    </row>
    <row r="1165" spans="1:38" x14ac:dyDescent="0.2">
      <c r="A1165" s="2">
        <v>2025</v>
      </c>
      <c r="B1165" s="2">
        <v>7</v>
      </c>
      <c r="C1165" s="2" t="s">
        <v>3470</v>
      </c>
      <c r="D1165" s="2" t="s">
        <v>1458</v>
      </c>
      <c r="E1165" s="2" t="s">
        <v>38</v>
      </c>
      <c r="F1165" s="2" t="s">
        <v>39</v>
      </c>
      <c r="L1165" s="2" t="s">
        <v>339</v>
      </c>
      <c r="M1165" s="2" t="s">
        <v>80</v>
      </c>
      <c r="P1165" s="2" t="s">
        <v>43</v>
      </c>
      <c r="Q1165" s="2" t="s">
        <v>971</v>
      </c>
      <c r="R1165" s="2" t="s">
        <v>972</v>
      </c>
      <c r="S1165" s="2">
        <v>6</v>
      </c>
      <c r="T1165" s="2">
        <v>174</v>
      </c>
      <c r="U1165" s="2">
        <v>40.020000000000003</v>
      </c>
      <c r="V1165" s="2">
        <v>214.02</v>
      </c>
      <c r="W1165" s="2">
        <f>18.9342*S1165</f>
        <v>113.6052</v>
      </c>
      <c r="X1165" s="5">
        <f t="shared" si="165"/>
        <v>0.34709655172413795</v>
      </c>
      <c r="Z1165" s="2" t="s">
        <v>3227</v>
      </c>
      <c r="AA1165" s="2" t="s">
        <v>46</v>
      </c>
      <c r="AB1165" s="2" t="s">
        <v>60</v>
      </c>
      <c r="AC1165" s="2" t="s">
        <v>57</v>
      </c>
      <c r="AF1165" s="2">
        <f t="shared" si="163"/>
        <v>0</v>
      </c>
      <c r="AJ1165" s="2">
        <f t="shared" si="164"/>
        <v>0</v>
      </c>
      <c r="AK1165" s="2">
        <f t="shared" si="166"/>
        <v>60.394800000000004</v>
      </c>
      <c r="AL1165" s="5">
        <f t="shared" si="167"/>
        <v>0.34709655172413795</v>
      </c>
    </row>
    <row r="1166" spans="1:38" x14ac:dyDescent="0.2">
      <c r="A1166" s="2">
        <v>2025</v>
      </c>
      <c r="B1166" s="2">
        <v>7</v>
      </c>
      <c r="D1166" s="2" t="s">
        <v>1459</v>
      </c>
      <c r="E1166" s="2" t="s">
        <v>38</v>
      </c>
      <c r="F1166" s="2" t="s">
        <v>39</v>
      </c>
      <c r="G1166" s="2">
        <v>512091528</v>
      </c>
      <c r="H1166" s="2" t="s">
        <v>40</v>
      </c>
      <c r="I1166" s="2" t="s">
        <v>1460</v>
      </c>
      <c r="J1166" s="2" t="s">
        <v>1461</v>
      </c>
      <c r="K1166" s="2">
        <v>925788716</v>
      </c>
      <c r="L1166" s="2" t="s">
        <v>1462</v>
      </c>
      <c r="M1166" s="2" t="s">
        <v>80</v>
      </c>
      <c r="P1166" s="2" t="s">
        <v>43</v>
      </c>
      <c r="Q1166" s="2" t="s">
        <v>48</v>
      </c>
      <c r="R1166" s="2" t="s">
        <v>49</v>
      </c>
      <c r="S1166" s="2">
        <v>3</v>
      </c>
      <c r="T1166" s="2">
        <v>36</v>
      </c>
      <c r="U1166" s="2">
        <v>8.2800000000000011</v>
      </c>
      <c r="V1166" s="2">
        <v>44.28</v>
      </c>
      <c r="W1166" s="2">
        <f>6.6267*S1166</f>
        <v>19.880099999999999</v>
      </c>
      <c r="X1166" s="5">
        <f t="shared" si="165"/>
        <v>0.44777500000000003</v>
      </c>
      <c r="Z1166" s="2" t="s">
        <v>3227</v>
      </c>
      <c r="AA1166" s="2" t="s">
        <v>46</v>
      </c>
      <c r="AB1166" s="2" t="s">
        <v>47</v>
      </c>
      <c r="AC1166" s="2" t="s">
        <v>57</v>
      </c>
      <c r="AF1166" s="2">
        <f t="shared" si="163"/>
        <v>0</v>
      </c>
      <c r="AG1166" s="2">
        <v>6.6266999999999996</v>
      </c>
      <c r="AH1166" s="2">
        <v>12</v>
      </c>
      <c r="AJ1166" s="2">
        <f t="shared" si="164"/>
        <v>0</v>
      </c>
      <c r="AK1166" s="2">
        <f t="shared" si="166"/>
        <v>16.119900000000001</v>
      </c>
      <c r="AL1166" s="5">
        <f t="shared" si="167"/>
        <v>0.44777500000000003</v>
      </c>
    </row>
    <row r="1167" spans="1:38" x14ac:dyDescent="0.2">
      <c r="A1167" s="2">
        <v>2025</v>
      </c>
      <c r="B1167" s="2">
        <v>7</v>
      </c>
      <c r="D1167" s="2" t="s">
        <v>1459</v>
      </c>
      <c r="E1167" s="2" t="s">
        <v>38</v>
      </c>
      <c r="F1167" s="2" t="s">
        <v>39</v>
      </c>
      <c r="G1167" s="2">
        <v>512091528</v>
      </c>
      <c r="H1167" s="2" t="s">
        <v>40</v>
      </c>
      <c r="I1167" s="2" t="s">
        <v>1460</v>
      </c>
      <c r="J1167" s="2" t="s">
        <v>1461</v>
      </c>
      <c r="K1167" s="2">
        <v>925788716</v>
      </c>
      <c r="L1167" s="2" t="s">
        <v>1462</v>
      </c>
      <c r="M1167" s="2" t="s">
        <v>80</v>
      </c>
      <c r="P1167" s="2" t="s">
        <v>43</v>
      </c>
      <c r="Q1167" s="2" t="s">
        <v>54</v>
      </c>
      <c r="R1167" s="2" t="s">
        <v>55</v>
      </c>
      <c r="S1167" s="2">
        <v>1</v>
      </c>
      <c r="T1167" s="2">
        <v>18</v>
      </c>
      <c r="U1167" s="2">
        <v>4.1400000000000006</v>
      </c>
      <c r="V1167" s="2">
        <v>22.14</v>
      </c>
      <c r="W1167" s="2">
        <f>10.6*S1167</f>
        <v>10.6</v>
      </c>
      <c r="X1167" s="5">
        <f t="shared" si="165"/>
        <v>0.41111111111111115</v>
      </c>
      <c r="Z1167" s="2" t="s">
        <v>3227</v>
      </c>
      <c r="AA1167" s="2" t="s">
        <v>46</v>
      </c>
      <c r="AB1167" s="2" t="s">
        <v>56</v>
      </c>
      <c r="AC1167" s="2" t="s">
        <v>57</v>
      </c>
      <c r="AF1167" s="2">
        <f t="shared" si="163"/>
        <v>0</v>
      </c>
      <c r="AG1167" s="2">
        <v>10.6</v>
      </c>
      <c r="AH1167" s="2">
        <v>18</v>
      </c>
      <c r="AJ1167" s="2">
        <f t="shared" si="164"/>
        <v>0</v>
      </c>
      <c r="AK1167" s="2">
        <f t="shared" si="166"/>
        <v>7.4</v>
      </c>
      <c r="AL1167" s="5">
        <f t="shared" si="167"/>
        <v>0.41111111111111115</v>
      </c>
    </row>
    <row r="1168" spans="1:38" x14ac:dyDescent="0.2">
      <c r="A1168" s="2">
        <v>2025</v>
      </c>
      <c r="B1168" s="2">
        <v>7</v>
      </c>
      <c r="D1168" s="2" t="s">
        <v>1459</v>
      </c>
      <c r="E1168" s="2" t="s">
        <v>38</v>
      </c>
      <c r="F1168" s="2" t="s">
        <v>39</v>
      </c>
      <c r="G1168" s="2">
        <v>512091528</v>
      </c>
      <c r="H1168" s="2" t="s">
        <v>40</v>
      </c>
      <c r="I1168" s="2" t="s">
        <v>1460</v>
      </c>
      <c r="J1168" s="2" t="s">
        <v>1461</v>
      </c>
      <c r="K1168" s="2">
        <v>925788716</v>
      </c>
      <c r="L1168" s="2" t="s">
        <v>1462</v>
      </c>
      <c r="M1168" s="2" t="s">
        <v>80</v>
      </c>
      <c r="P1168" s="2" t="s">
        <v>43</v>
      </c>
      <c r="Q1168" s="2" t="s">
        <v>58</v>
      </c>
      <c r="R1168" s="2" t="s">
        <v>59</v>
      </c>
      <c r="S1168" s="2">
        <v>200</v>
      </c>
      <c r="T1168" s="2">
        <v>30</v>
      </c>
      <c r="U1168" s="2">
        <v>6.9</v>
      </c>
      <c r="V1168" s="2">
        <v>36.9</v>
      </c>
      <c r="W1168" s="2">
        <f>0.0914*S1168</f>
        <v>18.279999999999998</v>
      </c>
      <c r="X1168" s="5">
        <f t="shared" si="165"/>
        <v>0.39066666666666677</v>
      </c>
      <c r="Z1168" s="2" t="s">
        <v>3227</v>
      </c>
      <c r="AA1168" s="2" t="s">
        <v>46</v>
      </c>
      <c r="AB1168" s="2" t="s">
        <v>60</v>
      </c>
      <c r="AC1168" s="2" t="s">
        <v>57</v>
      </c>
      <c r="AF1168" s="2">
        <f t="shared" si="163"/>
        <v>0</v>
      </c>
      <c r="AG1168" s="2">
        <v>9.14</v>
      </c>
      <c r="AH1168" s="2">
        <v>16</v>
      </c>
      <c r="AJ1168" s="2">
        <f t="shared" si="164"/>
        <v>0</v>
      </c>
      <c r="AK1168" s="2">
        <f t="shared" si="166"/>
        <v>11.720000000000002</v>
      </c>
      <c r="AL1168" s="5">
        <f t="shared" si="167"/>
        <v>0.39066666666666677</v>
      </c>
    </row>
    <row r="1169" spans="1:38" x14ac:dyDescent="0.2">
      <c r="A1169" s="2">
        <v>2025</v>
      </c>
      <c r="B1169" s="2">
        <v>7</v>
      </c>
      <c r="D1169" s="2" t="s">
        <v>1459</v>
      </c>
      <c r="E1169" s="2" t="s">
        <v>38</v>
      </c>
      <c r="F1169" s="2" t="s">
        <v>39</v>
      </c>
      <c r="G1169" s="2">
        <v>512091528</v>
      </c>
      <c r="H1169" s="2" t="s">
        <v>40</v>
      </c>
      <c r="I1169" s="2" t="s">
        <v>1460</v>
      </c>
      <c r="J1169" s="2" t="s">
        <v>1461</v>
      </c>
      <c r="K1169" s="2">
        <v>925788716</v>
      </c>
      <c r="L1169" s="2" t="s">
        <v>1462</v>
      </c>
      <c r="M1169" s="2" t="s">
        <v>80</v>
      </c>
      <c r="P1169" s="2" t="s">
        <v>43</v>
      </c>
      <c r="Q1169" s="2" t="s">
        <v>61</v>
      </c>
      <c r="R1169" s="2" t="s">
        <v>62</v>
      </c>
      <c r="S1169" s="2">
        <v>200</v>
      </c>
      <c r="T1169" s="2">
        <v>26</v>
      </c>
      <c r="U1169" s="2">
        <v>5.98</v>
      </c>
      <c r="V1169" s="2">
        <v>31.98</v>
      </c>
      <c r="W1169" s="2">
        <f>0.082*S1169</f>
        <v>16.400000000000002</v>
      </c>
      <c r="X1169" s="5">
        <f t="shared" si="165"/>
        <v>0.36923076923076914</v>
      </c>
      <c r="Z1169" s="2" t="s">
        <v>3227</v>
      </c>
      <c r="AA1169" s="2" t="s">
        <v>46</v>
      </c>
      <c r="AB1169" s="2" t="s">
        <v>60</v>
      </c>
      <c r="AC1169" s="2" t="s">
        <v>57</v>
      </c>
      <c r="AF1169" s="2">
        <f t="shared" si="163"/>
        <v>0</v>
      </c>
      <c r="AG1169" s="2">
        <v>8.1999999999999993</v>
      </c>
      <c r="AH1169" s="2">
        <v>13</v>
      </c>
      <c r="AJ1169" s="2">
        <f t="shared" si="164"/>
        <v>0</v>
      </c>
      <c r="AK1169" s="2">
        <f t="shared" si="166"/>
        <v>9.5999999999999979</v>
      </c>
      <c r="AL1169" s="5">
        <f t="shared" si="167"/>
        <v>0.36923076923076914</v>
      </c>
    </row>
    <row r="1170" spans="1:38" x14ac:dyDescent="0.2">
      <c r="A1170" s="2">
        <v>2025</v>
      </c>
      <c r="B1170" s="2">
        <v>7</v>
      </c>
      <c r="D1170" s="2" t="s">
        <v>1459</v>
      </c>
      <c r="E1170" s="2" t="s">
        <v>38</v>
      </c>
      <c r="F1170" s="2" t="s">
        <v>39</v>
      </c>
      <c r="G1170" s="2">
        <v>512091528</v>
      </c>
      <c r="H1170" s="2" t="s">
        <v>40</v>
      </c>
      <c r="I1170" s="2" t="s">
        <v>1460</v>
      </c>
      <c r="J1170" s="2" t="s">
        <v>1461</v>
      </c>
      <c r="K1170" s="2">
        <v>925788716</v>
      </c>
      <c r="L1170" s="2" t="s">
        <v>1462</v>
      </c>
      <c r="M1170" s="2" t="s">
        <v>80</v>
      </c>
      <c r="P1170" s="2" t="s">
        <v>43</v>
      </c>
      <c r="Q1170" s="2" t="s">
        <v>164</v>
      </c>
      <c r="R1170" s="2" t="s">
        <v>165</v>
      </c>
      <c r="S1170" s="2">
        <v>2</v>
      </c>
      <c r="T1170" s="2">
        <v>30</v>
      </c>
      <c r="U1170" s="2">
        <v>6.9</v>
      </c>
      <c r="V1170" s="2">
        <v>36.9</v>
      </c>
      <c r="W1170" s="2">
        <f>7.9612*S1170</f>
        <v>15.9224</v>
      </c>
      <c r="X1170" s="5">
        <f t="shared" si="165"/>
        <v>0.46925333333333336</v>
      </c>
      <c r="Z1170" s="2" t="s">
        <v>3227</v>
      </c>
      <c r="AA1170" s="2" t="s">
        <v>46</v>
      </c>
      <c r="AB1170" s="2" t="s">
        <v>67</v>
      </c>
      <c r="AC1170" s="2" t="s">
        <v>57</v>
      </c>
      <c r="AF1170" s="2">
        <f t="shared" si="163"/>
        <v>0</v>
      </c>
      <c r="AG1170" s="2">
        <v>7.9611999999999998</v>
      </c>
      <c r="AH1170" s="2">
        <v>14.4</v>
      </c>
      <c r="AJ1170" s="2">
        <f t="shared" si="164"/>
        <v>0</v>
      </c>
      <c r="AK1170" s="2">
        <f t="shared" si="166"/>
        <v>14.0776</v>
      </c>
      <c r="AL1170" s="5">
        <f t="shared" si="167"/>
        <v>0.46925333333333336</v>
      </c>
    </row>
    <row r="1171" spans="1:38" x14ac:dyDescent="0.2">
      <c r="A1171" s="2">
        <v>2025</v>
      </c>
      <c r="B1171" s="2">
        <v>7</v>
      </c>
      <c r="D1171" s="2" t="s">
        <v>1459</v>
      </c>
      <c r="E1171" s="2" t="s">
        <v>38</v>
      </c>
      <c r="F1171" s="2" t="s">
        <v>39</v>
      </c>
      <c r="G1171" s="2">
        <v>512091528</v>
      </c>
      <c r="H1171" s="2" t="s">
        <v>40</v>
      </c>
      <c r="I1171" s="2" t="s">
        <v>1460</v>
      </c>
      <c r="J1171" s="2" t="s">
        <v>1461</v>
      </c>
      <c r="K1171" s="2">
        <v>925788716</v>
      </c>
      <c r="L1171" s="2" t="s">
        <v>1462</v>
      </c>
      <c r="P1171" s="2" t="s">
        <v>169</v>
      </c>
      <c r="Q1171" s="2" t="s">
        <v>170</v>
      </c>
      <c r="R1171" s="2" t="s">
        <v>170</v>
      </c>
      <c r="S1171" s="2">
        <v>1</v>
      </c>
      <c r="T1171" s="2">
        <v>40</v>
      </c>
      <c r="U1171" s="2">
        <v>9.2000000000000011</v>
      </c>
      <c r="V1171" s="2">
        <v>49.2</v>
      </c>
      <c r="W1171" s="2">
        <v>30</v>
      </c>
      <c r="X1171" s="5">
        <f t="shared" si="165"/>
        <v>0.25</v>
      </c>
      <c r="Z1171" s="2" t="s">
        <v>169</v>
      </c>
      <c r="AA1171" s="2" t="s">
        <v>169</v>
      </c>
      <c r="AF1171" s="2">
        <f t="shared" si="163"/>
        <v>0</v>
      </c>
      <c r="AJ1171" s="2">
        <f t="shared" si="164"/>
        <v>0</v>
      </c>
      <c r="AK1171" s="2">
        <f t="shared" si="166"/>
        <v>10</v>
      </c>
      <c r="AL1171" s="5">
        <f t="shared" si="167"/>
        <v>0.25</v>
      </c>
    </row>
    <row r="1172" spans="1:38" x14ac:dyDescent="0.2">
      <c r="A1172" s="2">
        <v>2025</v>
      </c>
      <c r="B1172" s="2">
        <v>7</v>
      </c>
      <c r="D1172" s="2" t="s">
        <v>1463</v>
      </c>
      <c r="E1172" s="2" t="s">
        <v>38</v>
      </c>
      <c r="F1172" s="2" t="s">
        <v>39</v>
      </c>
      <c r="G1172" s="2">
        <v>145030954</v>
      </c>
      <c r="H1172" s="2" t="s">
        <v>41</v>
      </c>
      <c r="I1172" s="2" t="s">
        <v>1464</v>
      </c>
      <c r="J1172" s="2" t="s">
        <v>1465</v>
      </c>
      <c r="K1172" s="2">
        <v>962823313</v>
      </c>
      <c r="L1172" s="2" t="s">
        <v>600</v>
      </c>
      <c r="M1172" s="2" t="s">
        <v>41</v>
      </c>
      <c r="O1172" s="2" t="s">
        <v>1466</v>
      </c>
      <c r="P1172" s="2" t="s">
        <v>43</v>
      </c>
      <c r="Q1172" s="2" t="s">
        <v>351</v>
      </c>
      <c r="R1172" s="2" t="s">
        <v>352</v>
      </c>
      <c r="S1172" s="2">
        <v>1</v>
      </c>
      <c r="T1172" s="2">
        <v>18.600000000000001</v>
      </c>
      <c r="U1172" s="2">
        <v>4.2779999999999996</v>
      </c>
      <c r="V1172" s="2">
        <v>22.878</v>
      </c>
      <c r="W1172" s="2">
        <v>10.67</v>
      </c>
      <c r="X1172" s="5">
        <f t="shared" si="165"/>
        <v>0.42634408602150542</v>
      </c>
      <c r="Z1172" s="2" t="s">
        <v>3227</v>
      </c>
      <c r="AA1172" s="2" t="s">
        <v>46</v>
      </c>
      <c r="AB1172" s="2" t="s">
        <v>47</v>
      </c>
      <c r="AC1172" s="2" t="s">
        <v>57</v>
      </c>
      <c r="AF1172" s="2">
        <f t="shared" si="163"/>
        <v>0</v>
      </c>
      <c r="AG1172" s="2">
        <v>10.67</v>
      </c>
      <c r="AH1172" s="2">
        <v>21</v>
      </c>
      <c r="AJ1172" s="2">
        <f t="shared" si="164"/>
        <v>0</v>
      </c>
      <c r="AK1172" s="2">
        <f t="shared" si="166"/>
        <v>7.9300000000000015</v>
      </c>
      <c r="AL1172" s="5">
        <f t="shared" si="167"/>
        <v>0.42634408602150542</v>
      </c>
    </row>
    <row r="1173" spans="1:38" x14ac:dyDescent="0.2">
      <c r="A1173" s="2">
        <v>2025</v>
      </c>
      <c r="B1173" s="2">
        <v>7</v>
      </c>
      <c r="D1173" s="2" t="s">
        <v>1463</v>
      </c>
      <c r="E1173" s="2" t="s">
        <v>38</v>
      </c>
      <c r="F1173" s="2" t="s">
        <v>39</v>
      </c>
      <c r="G1173" s="2">
        <v>145030954</v>
      </c>
      <c r="H1173" s="2" t="s">
        <v>41</v>
      </c>
      <c r="I1173" s="2" t="s">
        <v>1464</v>
      </c>
      <c r="J1173" s="2" t="s">
        <v>1465</v>
      </c>
      <c r="K1173" s="2">
        <v>962823313</v>
      </c>
      <c r="L1173" s="2" t="s">
        <v>600</v>
      </c>
      <c r="M1173" s="2" t="s">
        <v>41</v>
      </c>
      <c r="O1173" s="2" t="s">
        <v>1466</v>
      </c>
      <c r="P1173" s="2" t="s">
        <v>43</v>
      </c>
      <c r="Q1173" s="2" t="s">
        <v>158</v>
      </c>
      <c r="R1173" s="2" t="s">
        <v>159</v>
      </c>
      <c r="S1173" s="2">
        <v>1</v>
      </c>
      <c r="T1173" s="2">
        <v>18.600000000000001</v>
      </c>
      <c r="U1173" s="2">
        <v>4.2779999999999996</v>
      </c>
      <c r="V1173" s="2">
        <v>22.878</v>
      </c>
      <c r="W1173" s="2">
        <f>9.3*S1173</f>
        <v>9.3000000000000007</v>
      </c>
      <c r="X1173" s="5">
        <f t="shared" si="165"/>
        <v>0.5</v>
      </c>
      <c r="Z1173" s="2" t="s">
        <v>3227</v>
      </c>
      <c r="AA1173" s="2" t="s">
        <v>46</v>
      </c>
      <c r="AB1173" s="2" t="s">
        <v>47</v>
      </c>
      <c r="AC1173" s="2" t="s">
        <v>57</v>
      </c>
      <c r="AF1173" s="2">
        <f t="shared" si="163"/>
        <v>0</v>
      </c>
      <c r="AG1173" s="2">
        <v>9.3000000000000007</v>
      </c>
      <c r="AH1173" s="2">
        <v>21</v>
      </c>
      <c r="AJ1173" s="2">
        <f t="shared" si="164"/>
        <v>0</v>
      </c>
      <c r="AK1173" s="2">
        <f t="shared" si="166"/>
        <v>9.3000000000000007</v>
      </c>
      <c r="AL1173" s="5">
        <f t="shared" si="167"/>
        <v>0.5</v>
      </c>
    </row>
    <row r="1174" spans="1:38" x14ac:dyDescent="0.2">
      <c r="A1174" s="2">
        <v>2025</v>
      </c>
      <c r="B1174" s="2">
        <v>7</v>
      </c>
      <c r="D1174" s="2" t="s">
        <v>1463</v>
      </c>
      <c r="E1174" s="2" t="s">
        <v>38</v>
      </c>
      <c r="F1174" s="2" t="s">
        <v>39</v>
      </c>
      <c r="G1174" s="2">
        <v>145030954</v>
      </c>
      <c r="H1174" s="2" t="s">
        <v>41</v>
      </c>
      <c r="I1174" s="2" t="s">
        <v>1464</v>
      </c>
      <c r="J1174" s="2" t="s">
        <v>1465</v>
      </c>
      <c r="K1174" s="2">
        <v>962823313</v>
      </c>
      <c r="L1174" s="2" t="s">
        <v>600</v>
      </c>
      <c r="M1174" s="2" t="s">
        <v>41</v>
      </c>
      <c r="P1174" s="2" t="s">
        <v>43</v>
      </c>
      <c r="Q1174" s="2" t="s">
        <v>160</v>
      </c>
      <c r="R1174" s="2" t="s">
        <v>161</v>
      </c>
      <c r="S1174" s="2">
        <v>2</v>
      </c>
      <c r="T1174" s="2">
        <v>15.6</v>
      </c>
      <c r="U1174" s="2">
        <v>3.5880000000000001</v>
      </c>
      <c r="V1174" s="2">
        <v>19.187999999999999</v>
      </c>
      <c r="W1174" s="2">
        <f>3.7358*S1174</f>
        <v>7.4715999999999996</v>
      </c>
      <c r="X1174" s="5">
        <f t="shared" si="165"/>
        <v>0.52105128205128204</v>
      </c>
      <c r="Z1174" s="2" t="s">
        <v>3227</v>
      </c>
      <c r="AA1174" s="2" t="s">
        <v>46</v>
      </c>
      <c r="AB1174" s="2" t="s">
        <v>47</v>
      </c>
      <c r="AC1174" s="2" t="s">
        <v>57</v>
      </c>
      <c r="AF1174" s="2">
        <f t="shared" si="163"/>
        <v>0</v>
      </c>
      <c r="AG1174" s="2">
        <v>3.7357999999999998</v>
      </c>
      <c r="AH1174" s="2">
        <v>9</v>
      </c>
      <c r="AJ1174" s="2">
        <f t="shared" si="164"/>
        <v>0</v>
      </c>
      <c r="AK1174" s="2">
        <f t="shared" si="166"/>
        <v>8.1283999999999992</v>
      </c>
      <c r="AL1174" s="5">
        <f t="shared" si="167"/>
        <v>0.52105128205128204</v>
      </c>
    </row>
    <row r="1175" spans="1:38" x14ac:dyDescent="0.2">
      <c r="A1175" s="2">
        <v>2025</v>
      </c>
      <c r="B1175" s="2">
        <v>7</v>
      </c>
      <c r="D1175" s="2" t="s">
        <v>1463</v>
      </c>
      <c r="E1175" s="2" t="s">
        <v>38</v>
      </c>
      <c r="F1175" s="2" t="s">
        <v>39</v>
      </c>
      <c r="G1175" s="2">
        <v>145030954</v>
      </c>
      <c r="H1175" s="2" t="s">
        <v>41</v>
      </c>
      <c r="I1175" s="2" t="s">
        <v>1464</v>
      </c>
      <c r="J1175" s="2" t="s">
        <v>1465</v>
      </c>
      <c r="K1175" s="2">
        <v>962823313</v>
      </c>
      <c r="L1175" s="2" t="s">
        <v>600</v>
      </c>
      <c r="M1175" s="2" t="s">
        <v>41</v>
      </c>
      <c r="P1175" s="2" t="s">
        <v>43</v>
      </c>
      <c r="Q1175" s="2" t="s">
        <v>52</v>
      </c>
      <c r="R1175" s="2" t="s">
        <v>53</v>
      </c>
      <c r="S1175" s="2">
        <v>2</v>
      </c>
      <c r="T1175" s="2">
        <v>19.2</v>
      </c>
      <c r="U1175" s="2">
        <v>4.4160000000000004</v>
      </c>
      <c r="V1175" s="2">
        <v>23.616</v>
      </c>
      <c r="W1175" s="2">
        <f>5.2973*S1175</f>
        <v>10.5946</v>
      </c>
      <c r="X1175" s="5">
        <f t="shared" si="165"/>
        <v>0.44819791666666664</v>
      </c>
      <c r="Z1175" s="2" t="s">
        <v>3227</v>
      </c>
      <c r="AA1175" s="2" t="s">
        <v>46</v>
      </c>
      <c r="AB1175" s="2" t="s">
        <v>47</v>
      </c>
      <c r="AC1175" s="2" t="s">
        <v>57</v>
      </c>
      <c r="AF1175" s="2">
        <f t="shared" si="163"/>
        <v>0</v>
      </c>
      <c r="AG1175" s="2">
        <v>5.2972999999999999</v>
      </c>
      <c r="AH1175" s="2">
        <v>10.8</v>
      </c>
      <c r="AJ1175" s="2">
        <f t="shared" si="164"/>
        <v>0</v>
      </c>
      <c r="AK1175" s="2">
        <f t="shared" si="166"/>
        <v>8.6053999999999995</v>
      </c>
      <c r="AL1175" s="5">
        <f t="shared" si="167"/>
        <v>0.44819791666666664</v>
      </c>
    </row>
    <row r="1176" spans="1:38" x14ac:dyDescent="0.2">
      <c r="A1176" s="2">
        <v>2025</v>
      </c>
      <c r="B1176" s="2">
        <v>7</v>
      </c>
      <c r="D1176" s="2" t="s">
        <v>1463</v>
      </c>
      <c r="P1176" s="2" t="s">
        <v>169</v>
      </c>
      <c r="Q1176" s="2" t="s">
        <v>170</v>
      </c>
      <c r="R1176" s="2" t="s">
        <v>170</v>
      </c>
      <c r="S1176" s="2">
        <v>1</v>
      </c>
      <c r="T1176" s="2">
        <v>8</v>
      </c>
      <c r="U1176" s="2">
        <v>1.84</v>
      </c>
      <c r="V1176" s="2">
        <v>9.84</v>
      </c>
      <c r="W1176" s="2">
        <v>6</v>
      </c>
      <c r="X1176" s="5">
        <f t="shared" si="165"/>
        <v>0.25</v>
      </c>
      <c r="Z1176" s="2" t="s">
        <v>169</v>
      </c>
      <c r="AA1176" s="2" t="s">
        <v>169</v>
      </c>
      <c r="AF1176" s="2">
        <f t="shared" si="163"/>
        <v>0</v>
      </c>
      <c r="AJ1176" s="2">
        <f t="shared" si="164"/>
        <v>0</v>
      </c>
      <c r="AK1176" s="2">
        <f t="shared" si="166"/>
        <v>2</v>
      </c>
      <c r="AL1176" s="5">
        <f t="shared" si="167"/>
        <v>0.25</v>
      </c>
    </row>
    <row r="1177" spans="1:38" x14ac:dyDescent="0.2">
      <c r="A1177" s="2">
        <v>2025</v>
      </c>
      <c r="B1177" s="2">
        <v>7</v>
      </c>
      <c r="D1177" s="2" t="s">
        <v>278</v>
      </c>
      <c r="P1177" s="2" t="s">
        <v>114</v>
      </c>
      <c r="Q1177" s="2" t="s">
        <v>877</v>
      </c>
      <c r="R1177" s="2" t="s">
        <v>878</v>
      </c>
      <c r="S1177" s="2">
        <v>1</v>
      </c>
      <c r="T1177" s="2">
        <v>800</v>
      </c>
      <c r="U1177" s="2">
        <v>184</v>
      </c>
      <c r="V1177" s="2">
        <v>984</v>
      </c>
      <c r="X1177" s="5">
        <f t="shared" si="165"/>
        <v>1</v>
      </c>
      <c r="Z1177" s="2" t="s">
        <v>117</v>
      </c>
      <c r="AF1177" s="2">
        <f t="shared" si="163"/>
        <v>0</v>
      </c>
      <c r="AJ1177" s="2">
        <f t="shared" si="164"/>
        <v>0</v>
      </c>
      <c r="AK1177" s="2">
        <f t="shared" si="166"/>
        <v>800</v>
      </c>
      <c r="AL1177" s="5">
        <f t="shared" si="167"/>
        <v>1</v>
      </c>
    </row>
    <row r="1178" spans="1:38" x14ac:dyDescent="0.2">
      <c r="A1178" s="2">
        <v>2025</v>
      </c>
      <c r="B1178" s="2">
        <v>7</v>
      </c>
      <c r="C1178" s="2" t="s">
        <v>3400</v>
      </c>
      <c r="D1178" s="2" t="s">
        <v>278</v>
      </c>
      <c r="E1178" s="2" t="s">
        <v>38</v>
      </c>
      <c r="F1178" s="2" t="s">
        <v>39</v>
      </c>
      <c r="L1178" s="2" t="s">
        <v>201</v>
      </c>
      <c r="M1178" s="2" t="s">
        <v>80</v>
      </c>
      <c r="P1178" s="2" t="s">
        <v>43</v>
      </c>
      <c r="Q1178" s="2" t="s">
        <v>54</v>
      </c>
      <c r="R1178" s="2" t="s">
        <v>55</v>
      </c>
      <c r="S1178" s="2">
        <v>3</v>
      </c>
      <c r="T1178" s="2">
        <v>54</v>
      </c>
      <c r="U1178" s="2">
        <v>12.42</v>
      </c>
      <c r="V1178" s="2">
        <v>66.42</v>
      </c>
      <c r="W1178" s="2">
        <f>10.6*S1178</f>
        <v>31.799999999999997</v>
      </c>
      <c r="X1178" s="5">
        <f t="shared" si="165"/>
        <v>0.41111111111111115</v>
      </c>
      <c r="Z1178" s="2" t="s">
        <v>3227</v>
      </c>
      <c r="AA1178" s="2" t="s">
        <v>46</v>
      </c>
      <c r="AB1178" s="2" t="s">
        <v>56</v>
      </c>
      <c r="AC1178" s="2" t="s">
        <v>57</v>
      </c>
      <c r="AF1178" s="2">
        <f t="shared" si="163"/>
        <v>0</v>
      </c>
      <c r="AG1178" s="2">
        <v>10.6</v>
      </c>
      <c r="AH1178" s="2">
        <v>18</v>
      </c>
      <c r="AJ1178" s="2">
        <f t="shared" si="164"/>
        <v>0</v>
      </c>
      <c r="AK1178" s="2">
        <f t="shared" si="166"/>
        <v>22.200000000000003</v>
      </c>
      <c r="AL1178" s="5">
        <f t="shared" si="167"/>
        <v>0.41111111111111115</v>
      </c>
    </row>
    <row r="1179" spans="1:38" x14ac:dyDescent="0.2">
      <c r="A1179" s="2">
        <v>2025</v>
      </c>
      <c r="B1179" s="2">
        <v>7</v>
      </c>
      <c r="C1179" s="2" t="s">
        <v>3400</v>
      </c>
      <c r="D1179" s="2" t="s">
        <v>278</v>
      </c>
      <c r="E1179" s="2" t="s">
        <v>38</v>
      </c>
      <c r="F1179" s="2" t="s">
        <v>39</v>
      </c>
      <c r="L1179" s="2" t="s">
        <v>201</v>
      </c>
      <c r="M1179" s="2" t="s">
        <v>80</v>
      </c>
      <c r="P1179" s="2" t="s">
        <v>43</v>
      </c>
      <c r="Q1179" s="2" t="s">
        <v>65</v>
      </c>
      <c r="R1179" s="2" t="s">
        <v>66</v>
      </c>
      <c r="S1179" s="2">
        <v>1</v>
      </c>
      <c r="T1179" s="2">
        <v>25.2</v>
      </c>
      <c r="U1179" s="2">
        <v>5.7960000000000003</v>
      </c>
      <c r="V1179" s="2">
        <v>30.995999999999999</v>
      </c>
      <c r="W1179" s="2">
        <f>15.0203*S1179</f>
        <v>15.020300000000001</v>
      </c>
      <c r="X1179" s="5">
        <f t="shared" si="165"/>
        <v>0.40395634920634915</v>
      </c>
      <c r="Z1179" s="2" t="s">
        <v>3227</v>
      </c>
      <c r="AA1179" s="2" t="s">
        <v>46</v>
      </c>
      <c r="AB1179" s="2" t="s">
        <v>67</v>
      </c>
      <c r="AC1179" s="2" t="s">
        <v>57</v>
      </c>
      <c r="AF1179" s="2">
        <f t="shared" si="163"/>
        <v>0</v>
      </c>
      <c r="AG1179" s="2">
        <v>15.020300000000001</v>
      </c>
      <c r="AH1179" s="2">
        <v>27.6</v>
      </c>
      <c r="AJ1179" s="2">
        <f t="shared" si="164"/>
        <v>0</v>
      </c>
      <c r="AK1179" s="2">
        <f t="shared" si="166"/>
        <v>10.179699999999999</v>
      </c>
      <c r="AL1179" s="5">
        <f t="shared" si="167"/>
        <v>0.40395634920634915</v>
      </c>
    </row>
    <row r="1180" spans="1:38" x14ac:dyDescent="0.2">
      <c r="A1180" s="2">
        <v>2025</v>
      </c>
      <c r="B1180" s="2">
        <v>7</v>
      </c>
      <c r="D1180" s="2" t="s">
        <v>278</v>
      </c>
      <c r="P1180" s="2" t="s">
        <v>40</v>
      </c>
      <c r="Q1180" s="2" t="s">
        <v>363</v>
      </c>
      <c r="R1180" s="2" t="s">
        <v>364</v>
      </c>
      <c r="S1180" s="2">
        <v>1</v>
      </c>
      <c r="T1180" s="2">
        <v>45</v>
      </c>
      <c r="U1180" s="2">
        <v>10.35</v>
      </c>
      <c r="V1180" s="2">
        <v>55.35</v>
      </c>
      <c r="X1180" s="5">
        <f t="shared" si="165"/>
        <v>1</v>
      </c>
      <c r="Z1180" s="2" t="s">
        <v>119</v>
      </c>
      <c r="AA1180" s="2" t="s">
        <v>3380</v>
      </c>
      <c r="AF1180" s="2">
        <f t="shared" si="163"/>
        <v>0</v>
      </c>
      <c r="AJ1180" s="2">
        <f t="shared" si="164"/>
        <v>0</v>
      </c>
      <c r="AK1180" s="2">
        <f t="shared" si="166"/>
        <v>45</v>
      </c>
      <c r="AL1180" s="5">
        <f t="shared" si="167"/>
        <v>1</v>
      </c>
    </row>
    <row r="1181" spans="1:38" x14ac:dyDescent="0.2">
      <c r="A1181" s="2">
        <v>2025</v>
      </c>
      <c r="B1181" s="2">
        <v>7</v>
      </c>
      <c r="D1181" s="2" t="s">
        <v>1467</v>
      </c>
      <c r="E1181" s="2" t="s">
        <v>38</v>
      </c>
      <c r="F1181" s="2" t="s">
        <v>39</v>
      </c>
      <c r="G1181" s="2">
        <v>509686133</v>
      </c>
      <c r="H1181" s="2" t="s">
        <v>109</v>
      </c>
      <c r="I1181" s="2" t="s">
        <v>1468</v>
      </c>
      <c r="J1181" s="2" t="s">
        <v>1469</v>
      </c>
      <c r="L1181" s="2" t="s">
        <v>360</v>
      </c>
      <c r="M1181" s="2" t="s">
        <v>40</v>
      </c>
      <c r="O1181" s="2" t="s">
        <v>1470</v>
      </c>
      <c r="P1181" s="2" t="s">
        <v>114</v>
      </c>
      <c r="Q1181" s="2" t="s">
        <v>1471</v>
      </c>
      <c r="R1181" s="2" t="s">
        <v>1472</v>
      </c>
      <c r="S1181" s="2">
        <v>1</v>
      </c>
      <c r="T1181" s="2">
        <v>690.61</v>
      </c>
      <c r="U1181" s="2">
        <v>158.84030000000001</v>
      </c>
      <c r="V1181" s="2">
        <v>849.45029999999997</v>
      </c>
      <c r="W1181" s="2">
        <v>343.38</v>
      </c>
      <c r="X1181" s="5">
        <f t="shared" si="165"/>
        <v>0.50278739085735802</v>
      </c>
      <c r="Z1181" s="2" t="s">
        <v>117</v>
      </c>
      <c r="AA1181" s="2" t="s">
        <v>181</v>
      </c>
      <c r="AB1181" s="2" t="s">
        <v>119</v>
      </c>
      <c r="AC1181" s="2" t="s">
        <v>114</v>
      </c>
      <c r="AF1181" s="2">
        <f t="shared" si="163"/>
        <v>0</v>
      </c>
      <c r="AG1181" s="2">
        <v>343.38</v>
      </c>
      <c r="AJ1181" s="2">
        <f t="shared" si="164"/>
        <v>0</v>
      </c>
      <c r="AK1181" s="2">
        <f t="shared" si="166"/>
        <v>347.23</v>
      </c>
      <c r="AL1181" s="5">
        <f t="shared" si="167"/>
        <v>0.50278739085735802</v>
      </c>
    </row>
    <row r="1182" spans="1:38" x14ac:dyDescent="0.2">
      <c r="A1182" s="2">
        <v>2025</v>
      </c>
      <c r="B1182" s="2">
        <v>7</v>
      </c>
      <c r="D1182" s="2" t="s">
        <v>1467</v>
      </c>
      <c r="E1182" s="2" t="s">
        <v>38</v>
      </c>
      <c r="F1182" s="2" t="s">
        <v>39</v>
      </c>
      <c r="G1182" s="2">
        <v>509686133</v>
      </c>
      <c r="H1182" s="2" t="s">
        <v>109</v>
      </c>
      <c r="I1182" s="2" t="s">
        <v>1468</v>
      </c>
      <c r="J1182" s="2" t="s">
        <v>1469</v>
      </c>
      <c r="L1182" s="2" t="s">
        <v>360</v>
      </c>
      <c r="M1182" s="2" t="s">
        <v>40</v>
      </c>
      <c r="O1182" s="2" t="s">
        <v>1470</v>
      </c>
      <c r="P1182" s="2" t="s">
        <v>187</v>
      </c>
      <c r="Q1182" s="2" t="s">
        <v>188</v>
      </c>
      <c r="R1182" s="2" t="s">
        <v>189</v>
      </c>
      <c r="S1182" s="2">
        <v>1</v>
      </c>
      <c r="T1182" s="2">
        <v>180</v>
      </c>
      <c r="U1182" s="2">
        <v>41.4</v>
      </c>
      <c r="V1182" s="2">
        <v>221.4</v>
      </c>
      <c r="W1182" s="2">
        <f>T1182*40%</f>
        <v>72</v>
      </c>
      <c r="X1182" s="5">
        <f t="shared" si="165"/>
        <v>0.6</v>
      </c>
      <c r="Z1182" s="2" t="s">
        <v>117</v>
      </c>
      <c r="AA1182" s="2" t="s">
        <v>190</v>
      </c>
      <c r="AB1182" s="2" t="s">
        <v>189</v>
      </c>
      <c r="AC1182" s="2" t="s">
        <v>40</v>
      </c>
      <c r="AF1182" s="2">
        <f t="shared" si="163"/>
        <v>0</v>
      </c>
      <c r="AJ1182" s="2">
        <f t="shared" si="164"/>
        <v>0</v>
      </c>
      <c r="AK1182" s="2">
        <f t="shared" si="166"/>
        <v>108</v>
      </c>
      <c r="AL1182" s="5">
        <f t="shared" si="167"/>
        <v>0.6</v>
      </c>
    </row>
    <row r="1183" spans="1:38" x14ac:dyDescent="0.2">
      <c r="A1183" s="2">
        <v>2025</v>
      </c>
      <c r="B1183" s="2">
        <v>7</v>
      </c>
      <c r="D1183" s="2" t="s">
        <v>1467</v>
      </c>
      <c r="E1183" s="2" t="s">
        <v>38</v>
      </c>
      <c r="F1183" s="2" t="s">
        <v>39</v>
      </c>
      <c r="G1183" s="2">
        <v>509686133</v>
      </c>
      <c r="H1183" s="2" t="s">
        <v>109</v>
      </c>
      <c r="I1183" s="2" t="s">
        <v>1468</v>
      </c>
      <c r="J1183" s="2" t="s">
        <v>1469</v>
      </c>
      <c r="L1183" s="2" t="s">
        <v>360</v>
      </c>
      <c r="M1183" s="2" t="s">
        <v>40</v>
      </c>
      <c r="O1183" s="2" t="s">
        <v>1470</v>
      </c>
      <c r="P1183" s="2" t="s">
        <v>187</v>
      </c>
      <c r="Q1183" s="2" t="s">
        <v>191</v>
      </c>
      <c r="R1183" s="2" t="s">
        <v>190</v>
      </c>
      <c r="S1183" s="2">
        <v>1</v>
      </c>
      <c r="T1183" s="2">
        <v>50</v>
      </c>
      <c r="U1183" s="2">
        <v>11.5</v>
      </c>
      <c r="V1183" s="2">
        <v>61.5</v>
      </c>
      <c r="W1183" s="2">
        <f>T1183*50%</f>
        <v>25</v>
      </c>
      <c r="X1183" s="5">
        <f t="shared" si="165"/>
        <v>0.5</v>
      </c>
      <c r="Z1183" s="2" t="s">
        <v>117</v>
      </c>
      <c r="AA1183" s="2" t="s">
        <v>190</v>
      </c>
      <c r="AB1183" s="2" t="s">
        <v>190</v>
      </c>
      <c r="AC1183" s="2" t="s">
        <v>40</v>
      </c>
      <c r="AF1183" s="2">
        <f t="shared" si="163"/>
        <v>0</v>
      </c>
      <c r="AJ1183" s="2">
        <f t="shared" si="164"/>
        <v>0</v>
      </c>
      <c r="AK1183" s="2">
        <f t="shared" si="166"/>
        <v>25</v>
      </c>
      <c r="AL1183" s="5">
        <f t="shared" si="167"/>
        <v>0.5</v>
      </c>
    </row>
    <row r="1184" spans="1:38" x14ac:dyDescent="0.2">
      <c r="A1184" s="2">
        <v>2025</v>
      </c>
      <c r="B1184" s="2">
        <v>7</v>
      </c>
      <c r="D1184" s="2" t="s">
        <v>1150</v>
      </c>
      <c r="E1184" s="2" t="s">
        <v>108</v>
      </c>
      <c r="F1184" s="2" t="s">
        <v>39</v>
      </c>
      <c r="G1184" s="2">
        <v>504039733</v>
      </c>
      <c r="H1184" s="2" t="s">
        <v>109</v>
      </c>
      <c r="I1184" s="2" t="s">
        <v>133</v>
      </c>
      <c r="J1184" s="2" t="s">
        <v>1473</v>
      </c>
      <c r="K1184" s="2">
        <v>938183284</v>
      </c>
      <c r="L1184" s="2" t="s">
        <v>133</v>
      </c>
      <c r="M1184" s="2" t="s">
        <v>109</v>
      </c>
      <c r="O1184" s="2" t="s">
        <v>1474</v>
      </c>
      <c r="P1184" s="2" t="s">
        <v>72</v>
      </c>
      <c r="Q1184" s="2" t="s">
        <v>557</v>
      </c>
      <c r="R1184" s="2" t="s">
        <v>307</v>
      </c>
      <c r="S1184" s="2">
        <v>1</v>
      </c>
      <c r="T1184" s="2">
        <v>220</v>
      </c>
      <c r="U1184" s="2">
        <v>50.6</v>
      </c>
      <c r="V1184" s="2">
        <v>270.60000000000002</v>
      </c>
      <c r="W1184" s="2">
        <v>122.446</v>
      </c>
      <c r="X1184" s="5">
        <f t="shared" si="165"/>
        <v>0.44342727272727273</v>
      </c>
      <c r="Z1184" s="2" t="s">
        <v>3227</v>
      </c>
      <c r="AA1184" s="2" t="s">
        <v>75</v>
      </c>
      <c r="AB1184" s="2" t="s">
        <v>76</v>
      </c>
      <c r="AC1184" s="2" t="s">
        <v>77</v>
      </c>
      <c r="AF1184" s="2">
        <f t="shared" si="163"/>
        <v>0</v>
      </c>
      <c r="AG1184" s="2">
        <v>122.446</v>
      </c>
      <c r="AH1184" s="2">
        <v>230</v>
      </c>
      <c r="AJ1184" s="2">
        <f t="shared" si="164"/>
        <v>0</v>
      </c>
      <c r="AK1184" s="2">
        <f t="shared" si="166"/>
        <v>97.554000000000002</v>
      </c>
      <c r="AL1184" s="5">
        <f t="shared" si="167"/>
        <v>0.44342727272727273</v>
      </c>
    </row>
    <row r="1185" spans="1:38" x14ac:dyDescent="0.2">
      <c r="A1185" s="2">
        <v>2025</v>
      </c>
      <c r="B1185" s="2">
        <v>7</v>
      </c>
      <c r="D1185" s="2" t="s">
        <v>1150</v>
      </c>
      <c r="P1185" s="2" t="s">
        <v>93</v>
      </c>
      <c r="Q1185" s="2" t="s">
        <v>94</v>
      </c>
      <c r="R1185" s="2" t="s">
        <v>95</v>
      </c>
      <c r="S1185" s="2">
        <v>1</v>
      </c>
      <c r="T1185" s="2">
        <v>1.1399999999999999</v>
      </c>
      <c r="U1185" s="2">
        <v>0.26219999999999999</v>
      </c>
      <c r="V1185" s="2">
        <v>1.4021999999999999</v>
      </c>
      <c r="W1185" s="2">
        <v>1.1399999999999999</v>
      </c>
      <c r="X1185" s="5">
        <f t="shared" si="165"/>
        <v>0</v>
      </c>
      <c r="Z1185" s="2" t="s">
        <v>3227</v>
      </c>
      <c r="AA1185" s="2" t="s">
        <v>96</v>
      </c>
      <c r="AB1185" s="2" t="s">
        <v>76</v>
      </c>
      <c r="AC1185" s="2" t="s">
        <v>93</v>
      </c>
      <c r="AF1185" s="2">
        <f t="shared" si="163"/>
        <v>0</v>
      </c>
      <c r="AJ1185" s="2">
        <f t="shared" si="164"/>
        <v>0</v>
      </c>
      <c r="AK1185" s="2">
        <f t="shared" si="166"/>
        <v>0</v>
      </c>
      <c r="AL1185" s="5">
        <f t="shared" si="167"/>
        <v>0</v>
      </c>
    </row>
    <row r="1186" spans="1:38" x14ac:dyDescent="0.2">
      <c r="A1186" s="2">
        <v>2025</v>
      </c>
      <c r="B1186" s="2">
        <v>7</v>
      </c>
      <c r="C1186" s="2" t="s">
        <v>3414</v>
      </c>
      <c r="D1186" s="2" t="s">
        <v>1475</v>
      </c>
      <c r="E1186" s="2" t="s">
        <v>38</v>
      </c>
      <c r="F1186" s="2" t="s">
        <v>39</v>
      </c>
      <c r="L1186" s="2" t="s">
        <v>177</v>
      </c>
      <c r="M1186" s="2" t="s">
        <v>80</v>
      </c>
      <c r="P1186" s="2" t="s">
        <v>43</v>
      </c>
      <c r="Q1186" s="2" t="s">
        <v>48</v>
      </c>
      <c r="R1186" s="2" t="s">
        <v>49</v>
      </c>
      <c r="S1186" s="2">
        <v>6</v>
      </c>
      <c r="T1186" s="2">
        <v>72</v>
      </c>
      <c r="U1186" s="2">
        <v>16.559999999999999</v>
      </c>
      <c r="V1186" s="2">
        <v>88.56</v>
      </c>
      <c r="W1186" s="2">
        <f>6.6267*S1186</f>
        <v>39.760199999999998</v>
      </c>
      <c r="X1186" s="5">
        <f t="shared" si="165"/>
        <v>0.44777500000000003</v>
      </c>
      <c r="Z1186" s="2" t="s">
        <v>3227</v>
      </c>
      <c r="AA1186" s="2" t="s">
        <v>46</v>
      </c>
      <c r="AB1186" s="2" t="s">
        <v>47</v>
      </c>
      <c r="AC1186" s="2" t="s">
        <v>57</v>
      </c>
      <c r="AF1186" s="2">
        <f t="shared" si="163"/>
        <v>0</v>
      </c>
      <c r="AG1186" s="2">
        <v>6.6266999999999996</v>
      </c>
      <c r="AH1186" s="2">
        <v>12</v>
      </c>
      <c r="AJ1186" s="2">
        <f t="shared" si="164"/>
        <v>0</v>
      </c>
      <c r="AK1186" s="2">
        <f t="shared" si="166"/>
        <v>32.239800000000002</v>
      </c>
      <c r="AL1186" s="5">
        <f t="shared" si="167"/>
        <v>0.44777500000000003</v>
      </c>
    </row>
    <row r="1187" spans="1:38" x14ac:dyDescent="0.2">
      <c r="A1187" s="2">
        <v>2025</v>
      </c>
      <c r="B1187" s="2">
        <v>7</v>
      </c>
      <c r="C1187" s="2" t="s">
        <v>3414</v>
      </c>
      <c r="D1187" s="2" t="s">
        <v>1475</v>
      </c>
      <c r="E1187" s="2" t="s">
        <v>38</v>
      </c>
      <c r="F1187" s="2" t="s">
        <v>39</v>
      </c>
      <c r="L1187" s="2" t="s">
        <v>177</v>
      </c>
      <c r="M1187" s="2" t="s">
        <v>80</v>
      </c>
      <c r="P1187" s="2" t="s">
        <v>43</v>
      </c>
      <c r="Q1187" s="2" t="s">
        <v>160</v>
      </c>
      <c r="R1187" s="2" t="s">
        <v>161</v>
      </c>
      <c r="S1187" s="2">
        <v>1</v>
      </c>
      <c r="T1187" s="2">
        <v>7.8</v>
      </c>
      <c r="U1187" s="2">
        <v>1.794</v>
      </c>
      <c r="V1187" s="2">
        <v>9.5939999999999994</v>
      </c>
      <c r="W1187" s="2">
        <f>3.7358*S1187</f>
        <v>3.7357999999999998</v>
      </c>
      <c r="X1187" s="5">
        <f t="shared" si="165"/>
        <v>0.52105128205128204</v>
      </c>
      <c r="Z1187" s="2" t="s">
        <v>3227</v>
      </c>
      <c r="AA1187" s="2" t="s">
        <v>46</v>
      </c>
      <c r="AB1187" s="2" t="s">
        <v>47</v>
      </c>
      <c r="AC1187" s="2" t="s">
        <v>57</v>
      </c>
      <c r="AF1187" s="2">
        <f t="shared" si="163"/>
        <v>0</v>
      </c>
      <c r="AG1187" s="2">
        <v>3.7357999999999998</v>
      </c>
      <c r="AH1187" s="2">
        <v>9</v>
      </c>
      <c r="AJ1187" s="2">
        <f t="shared" si="164"/>
        <v>0</v>
      </c>
      <c r="AK1187" s="2">
        <f t="shared" si="166"/>
        <v>4.0641999999999996</v>
      </c>
      <c r="AL1187" s="5">
        <f t="shared" si="167"/>
        <v>0.52105128205128204</v>
      </c>
    </row>
    <row r="1188" spans="1:38" x14ac:dyDescent="0.2">
      <c r="A1188" s="2">
        <v>2025</v>
      </c>
      <c r="B1188" s="2">
        <v>7</v>
      </c>
      <c r="D1188" s="2" t="s">
        <v>1476</v>
      </c>
      <c r="E1188" s="2" t="s">
        <v>752</v>
      </c>
      <c r="F1188" s="2" t="s">
        <v>1477</v>
      </c>
      <c r="G1188" s="2">
        <v>506123758</v>
      </c>
      <c r="H1188" s="2" t="s">
        <v>109</v>
      </c>
      <c r="I1188" s="2" t="s">
        <v>1478</v>
      </c>
      <c r="J1188" s="2" t="s">
        <v>1479</v>
      </c>
      <c r="K1188" s="2">
        <v>936406952</v>
      </c>
      <c r="L1188" s="2" t="s">
        <v>461</v>
      </c>
      <c r="M1188" s="2" t="s">
        <v>40</v>
      </c>
      <c r="O1188" s="2" t="s">
        <v>1480</v>
      </c>
      <c r="P1188" s="2" t="s">
        <v>187</v>
      </c>
      <c r="Q1188" s="2" t="s">
        <v>188</v>
      </c>
      <c r="R1188" s="2" t="s">
        <v>189</v>
      </c>
      <c r="S1188" s="2">
        <v>1</v>
      </c>
      <c r="T1188" s="2">
        <v>186</v>
      </c>
      <c r="U1188" s="2">
        <v>42.78</v>
      </c>
      <c r="V1188" s="2">
        <v>228.78</v>
      </c>
      <c r="W1188" s="2">
        <f>T1188*40%</f>
        <v>74.400000000000006</v>
      </c>
      <c r="X1188" s="5">
        <f t="shared" si="165"/>
        <v>0.6</v>
      </c>
      <c r="Z1188" s="2" t="s">
        <v>117</v>
      </c>
      <c r="AA1188" s="2" t="s">
        <v>190</v>
      </c>
      <c r="AB1188" s="2" t="s">
        <v>189</v>
      </c>
      <c r="AC1188" s="2" t="s">
        <v>40</v>
      </c>
      <c r="AF1188" s="2">
        <f t="shared" si="163"/>
        <v>0</v>
      </c>
      <c r="AJ1188" s="2">
        <f t="shared" si="164"/>
        <v>0</v>
      </c>
      <c r="AK1188" s="2">
        <f t="shared" si="166"/>
        <v>111.6</v>
      </c>
      <c r="AL1188" s="5">
        <f t="shared" si="167"/>
        <v>0.6</v>
      </c>
    </row>
    <row r="1189" spans="1:38" x14ac:dyDescent="0.2">
      <c r="A1189" s="2">
        <v>2025</v>
      </c>
      <c r="B1189" s="2">
        <v>7</v>
      </c>
      <c r="D1189" s="2" t="s">
        <v>1476</v>
      </c>
      <c r="E1189" s="2" t="s">
        <v>752</v>
      </c>
      <c r="F1189" s="2" t="s">
        <v>1477</v>
      </c>
      <c r="G1189" s="2">
        <v>506123758</v>
      </c>
      <c r="H1189" s="2" t="s">
        <v>109</v>
      </c>
      <c r="I1189" s="2" t="s">
        <v>1478</v>
      </c>
      <c r="J1189" s="2" t="s">
        <v>1479</v>
      </c>
      <c r="K1189" s="2">
        <v>936406952</v>
      </c>
      <c r="L1189" s="2" t="s">
        <v>461</v>
      </c>
      <c r="M1189" s="2" t="s">
        <v>40</v>
      </c>
      <c r="O1189" s="2" t="s">
        <v>1480</v>
      </c>
      <c r="P1189" s="2" t="s">
        <v>187</v>
      </c>
      <c r="Q1189" s="2" t="s">
        <v>191</v>
      </c>
      <c r="R1189" s="2" t="s">
        <v>190</v>
      </c>
      <c r="S1189" s="2">
        <v>0.75</v>
      </c>
      <c r="T1189" s="2">
        <v>37.5</v>
      </c>
      <c r="U1189" s="2">
        <v>8.625</v>
      </c>
      <c r="V1189" s="2">
        <v>46.125</v>
      </c>
      <c r="W1189" s="2">
        <f>T1189*50%</f>
        <v>18.75</v>
      </c>
      <c r="X1189" s="5">
        <f t="shared" si="165"/>
        <v>0.5</v>
      </c>
      <c r="Z1189" s="2" t="s">
        <v>117</v>
      </c>
      <c r="AA1189" s="2" t="s">
        <v>190</v>
      </c>
      <c r="AB1189" s="2" t="s">
        <v>190</v>
      </c>
      <c r="AC1189" s="2" t="s">
        <v>40</v>
      </c>
      <c r="AF1189" s="2">
        <f t="shared" si="163"/>
        <v>0</v>
      </c>
      <c r="AJ1189" s="2">
        <f t="shared" si="164"/>
        <v>0</v>
      </c>
      <c r="AK1189" s="2">
        <f t="shared" si="166"/>
        <v>18.75</v>
      </c>
      <c r="AL1189" s="5">
        <f t="shared" si="167"/>
        <v>0.5</v>
      </c>
    </row>
    <row r="1190" spans="1:38" x14ac:dyDescent="0.2">
      <c r="A1190" s="2">
        <v>2025</v>
      </c>
      <c r="B1190" s="2">
        <v>7</v>
      </c>
      <c r="D1190" s="2" t="s">
        <v>1481</v>
      </c>
      <c r="P1190" s="2" t="s">
        <v>114</v>
      </c>
      <c r="Q1190" s="2" t="s">
        <v>412</v>
      </c>
      <c r="R1190" s="2" t="s">
        <v>413</v>
      </c>
      <c r="S1190" s="2">
        <v>1</v>
      </c>
      <c r="T1190" s="2">
        <v>16666.669999999998</v>
      </c>
      <c r="U1190" s="2">
        <v>3833.3341</v>
      </c>
      <c r="V1190" s="2">
        <v>20500.004099999998</v>
      </c>
      <c r="W1190" s="2">
        <v>10669.4</v>
      </c>
      <c r="X1190" s="5">
        <f t="shared" si="165"/>
        <v>0.35983612803277437</v>
      </c>
      <c r="Z1190" s="2" t="s">
        <v>104</v>
      </c>
      <c r="AA1190" s="2" t="s">
        <v>414</v>
      </c>
      <c r="AB1190" s="2" t="s">
        <v>151</v>
      </c>
      <c r="AC1190" s="2" t="s">
        <v>114</v>
      </c>
      <c r="AF1190" s="2">
        <f t="shared" si="163"/>
        <v>0</v>
      </c>
      <c r="AJ1190" s="2">
        <f t="shared" si="164"/>
        <v>0</v>
      </c>
      <c r="AK1190" s="2">
        <f t="shared" si="166"/>
        <v>5997.2699999999986</v>
      </c>
      <c r="AL1190" s="5">
        <f t="shared" si="167"/>
        <v>0.35983612803277437</v>
      </c>
    </row>
    <row r="1191" spans="1:38" x14ac:dyDescent="0.2">
      <c r="A1191" s="2">
        <v>2025</v>
      </c>
      <c r="B1191" s="2">
        <v>7</v>
      </c>
      <c r="D1191" s="2" t="s">
        <v>689</v>
      </c>
      <c r="E1191" s="2" t="s">
        <v>108</v>
      </c>
      <c r="F1191" s="2" t="s">
        <v>39</v>
      </c>
      <c r="G1191" s="2">
        <v>503589950</v>
      </c>
      <c r="H1191" s="2" t="s">
        <v>41</v>
      </c>
      <c r="I1191" s="2" t="s">
        <v>610</v>
      </c>
      <c r="J1191" s="2" t="s">
        <v>690</v>
      </c>
      <c r="K1191" s="2">
        <v>913036545</v>
      </c>
      <c r="L1191" s="2" t="s">
        <v>177</v>
      </c>
      <c r="M1191" s="2" t="s">
        <v>41</v>
      </c>
      <c r="O1191" s="2" t="s">
        <v>1482</v>
      </c>
      <c r="P1191" s="2" t="s">
        <v>43</v>
      </c>
      <c r="Q1191" s="2" t="s">
        <v>48</v>
      </c>
      <c r="R1191" s="2" t="s">
        <v>49</v>
      </c>
      <c r="S1191" s="2">
        <v>1</v>
      </c>
      <c r="T1191" s="2">
        <v>12</v>
      </c>
      <c r="U1191" s="2">
        <v>2.76</v>
      </c>
      <c r="V1191" s="2">
        <v>14.76</v>
      </c>
      <c r="W1191" s="2">
        <f>6.6267*S1191</f>
        <v>6.6266999999999996</v>
      </c>
      <c r="X1191" s="5">
        <f t="shared" si="165"/>
        <v>0.44777500000000003</v>
      </c>
      <c r="Z1191" s="2" t="s">
        <v>3227</v>
      </c>
      <c r="AA1191" s="2" t="s">
        <v>46</v>
      </c>
      <c r="AB1191" s="2" t="s">
        <v>47</v>
      </c>
      <c r="AC1191" s="2" t="s">
        <v>57</v>
      </c>
      <c r="AF1191" s="2">
        <f t="shared" si="163"/>
        <v>0</v>
      </c>
      <c r="AG1191" s="2">
        <v>6.6266999999999996</v>
      </c>
      <c r="AH1191" s="2">
        <v>12</v>
      </c>
      <c r="AJ1191" s="2">
        <f t="shared" si="164"/>
        <v>0</v>
      </c>
      <c r="AK1191" s="2">
        <f t="shared" si="166"/>
        <v>5.3733000000000004</v>
      </c>
      <c r="AL1191" s="5">
        <f t="shared" si="167"/>
        <v>0.44777500000000003</v>
      </c>
    </row>
    <row r="1192" spans="1:38" x14ac:dyDescent="0.2">
      <c r="A1192" s="2">
        <v>2025</v>
      </c>
      <c r="B1192" s="2">
        <v>7</v>
      </c>
      <c r="D1192" s="2" t="s">
        <v>689</v>
      </c>
      <c r="E1192" s="2" t="s">
        <v>108</v>
      </c>
      <c r="F1192" s="2" t="s">
        <v>39</v>
      </c>
      <c r="G1192" s="2">
        <v>503589950</v>
      </c>
      <c r="H1192" s="2" t="s">
        <v>41</v>
      </c>
      <c r="I1192" s="2" t="s">
        <v>610</v>
      </c>
      <c r="J1192" s="2" t="s">
        <v>690</v>
      </c>
      <c r="K1192" s="2">
        <v>913036545</v>
      </c>
      <c r="L1192" s="2" t="s">
        <v>177</v>
      </c>
      <c r="M1192" s="2" t="s">
        <v>41</v>
      </c>
      <c r="O1192" s="2" t="s">
        <v>1483</v>
      </c>
      <c r="P1192" s="2" t="s">
        <v>43</v>
      </c>
      <c r="Q1192" s="2" t="s">
        <v>61</v>
      </c>
      <c r="R1192" s="2" t="s">
        <v>62</v>
      </c>
      <c r="S1192" s="2">
        <v>2000</v>
      </c>
      <c r="T1192" s="2">
        <v>210</v>
      </c>
      <c r="U1192" s="2">
        <v>48.3</v>
      </c>
      <c r="V1192" s="2">
        <v>258.3</v>
      </c>
      <c r="W1192" s="2">
        <f>0.082*S1192</f>
        <v>164</v>
      </c>
      <c r="X1192" s="5">
        <f t="shared" si="165"/>
        <v>0.21904761904761905</v>
      </c>
      <c r="Z1192" s="2" t="s">
        <v>3227</v>
      </c>
      <c r="AA1192" s="2" t="s">
        <v>46</v>
      </c>
      <c r="AB1192" s="2" t="s">
        <v>60</v>
      </c>
      <c r="AC1192" s="2" t="s">
        <v>57</v>
      </c>
      <c r="AF1192" s="2">
        <f t="shared" si="163"/>
        <v>0</v>
      </c>
      <c r="AG1192" s="2">
        <v>8.1999999999999993</v>
      </c>
      <c r="AH1192" s="2">
        <v>13</v>
      </c>
      <c r="AJ1192" s="2">
        <f t="shared" si="164"/>
        <v>0</v>
      </c>
      <c r="AK1192" s="2">
        <f t="shared" si="166"/>
        <v>46</v>
      </c>
      <c r="AL1192" s="5">
        <f t="shared" si="167"/>
        <v>0.21904761904761905</v>
      </c>
    </row>
    <row r="1193" spans="1:38" x14ac:dyDescent="0.2">
      <c r="A1193" s="2">
        <v>2025</v>
      </c>
      <c r="B1193" s="2">
        <v>7</v>
      </c>
      <c r="D1193" s="2" t="s">
        <v>689</v>
      </c>
      <c r="E1193" s="2" t="s">
        <v>108</v>
      </c>
      <c r="F1193" s="2" t="s">
        <v>39</v>
      </c>
      <c r="G1193" s="2">
        <v>503589950</v>
      </c>
      <c r="H1193" s="2" t="s">
        <v>41</v>
      </c>
      <c r="I1193" s="2" t="s">
        <v>610</v>
      </c>
      <c r="J1193" s="2" t="s">
        <v>690</v>
      </c>
      <c r="K1193" s="2">
        <v>913036545</v>
      </c>
      <c r="L1193" s="2" t="s">
        <v>177</v>
      </c>
      <c r="M1193" s="2" t="s">
        <v>41</v>
      </c>
      <c r="O1193" s="2" t="s">
        <v>1482</v>
      </c>
      <c r="P1193" s="2" t="s">
        <v>84</v>
      </c>
      <c r="Q1193" s="2" t="s">
        <v>274</v>
      </c>
      <c r="R1193" s="2" t="s">
        <v>275</v>
      </c>
      <c r="S1193" s="2">
        <v>1</v>
      </c>
      <c r="T1193" s="2">
        <v>6</v>
      </c>
      <c r="U1193" s="2">
        <v>1.38</v>
      </c>
      <c r="V1193" s="2">
        <v>7.38</v>
      </c>
      <c r="W1193" s="2">
        <v>2.94</v>
      </c>
      <c r="X1193" s="5">
        <f t="shared" si="165"/>
        <v>0.51</v>
      </c>
      <c r="Z1193" s="2" t="s">
        <v>3227</v>
      </c>
      <c r="AA1193" s="2" t="s">
        <v>87</v>
      </c>
      <c r="AB1193" s="2" t="s">
        <v>90</v>
      </c>
      <c r="AC1193" s="2" t="s">
        <v>84</v>
      </c>
      <c r="AF1193" s="2">
        <f t="shared" si="163"/>
        <v>0</v>
      </c>
      <c r="AJ1193" s="2">
        <f t="shared" si="164"/>
        <v>0</v>
      </c>
      <c r="AK1193" s="2">
        <f t="shared" si="166"/>
        <v>3.06</v>
      </c>
      <c r="AL1193" s="5">
        <f t="shared" si="167"/>
        <v>0.51</v>
      </c>
    </row>
    <row r="1194" spans="1:38" x14ac:dyDescent="0.2">
      <c r="A1194" s="2">
        <v>2025</v>
      </c>
      <c r="B1194" s="2">
        <v>7</v>
      </c>
      <c r="D1194" s="2" t="s">
        <v>689</v>
      </c>
      <c r="E1194" s="2" t="s">
        <v>108</v>
      </c>
      <c r="F1194" s="2" t="s">
        <v>39</v>
      </c>
      <c r="G1194" s="2">
        <v>503589950</v>
      </c>
      <c r="H1194" s="2" t="s">
        <v>41</v>
      </c>
      <c r="I1194" s="2" t="s">
        <v>610</v>
      </c>
      <c r="J1194" s="2" t="s">
        <v>690</v>
      </c>
      <c r="K1194" s="2">
        <v>913036545</v>
      </c>
      <c r="L1194" s="2" t="s">
        <v>177</v>
      </c>
      <c r="M1194" s="2" t="s">
        <v>41</v>
      </c>
      <c r="O1194" s="2" t="s">
        <v>1482</v>
      </c>
      <c r="P1194" s="2" t="s">
        <v>84</v>
      </c>
      <c r="Q1194" s="2" t="s">
        <v>276</v>
      </c>
      <c r="R1194" s="2" t="s">
        <v>277</v>
      </c>
      <c r="S1194" s="2">
        <v>1</v>
      </c>
      <c r="T1194" s="2">
        <v>6</v>
      </c>
      <c r="U1194" s="2">
        <v>1.38</v>
      </c>
      <c r="V1194" s="2">
        <v>7.38</v>
      </c>
      <c r="W1194" s="2">
        <v>2.5051000000000001</v>
      </c>
      <c r="X1194" s="5">
        <f t="shared" si="165"/>
        <v>0.58248333333333335</v>
      </c>
      <c r="Z1194" s="2" t="s">
        <v>3227</v>
      </c>
      <c r="AA1194" s="2" t="s">
        <v>87</v>
      </c>
      <c r="AB1194" s="2" t="s">
        <v>90</v>
      </c>
      <c r="AC1194" s="2" t="s">
        <v>84</v>
      </c>
      <c r="AF1194" s="2">
        <f t="shared" si="163"/>
        <v>0</v>
      </c>
      <c r="AJ1194" s="2">
        <f t="shared" si="164"/>
        <v>0</v>
      </c>
      <c r="AK1194" s="2">
        <f t="shared" si="166"/>
        <v>3.4948999999999999</v>
      </c>
      <c r="AL1194" s="5">
        <f t="shared" si="167"/>
        <v>0.58248333333333335</v>
      </c>
    </row>
    <row r="1195" spans="1:38" x14ac:dyDescent="0.2">
      <c r="A1195" s="2">
        <v>2025</v>
      </c>
      <c r="B1195" s="2">
        <v>7</v>
      </c>
      <c r="D1195" s="2" t="s">
        <v>1484</v>
      </c>
      <c r="M1195" s="2" t="s">
        <v>40</v>
      </c>
      <c r="P1195" s="2" t="s">
        <v>40</v>
      </c>
      <c r="Q1195" s="2" t="s">
        <v>140</v>
      </c>
      <c r="R1195" s="2" t="s">
        <v>141</v>
      </c>
      <c r="S1195" s="2">
        <v>-1</v>
      </c>
      <c r="T1195" s="2">
        <v>-480</v>
      </c>
      <c r="U1195" s="2">
        <v>-110.4</v>
      </c>
      <c r="V1195" s="2">
        <v>-590.4</v>
      </c>
      <c r="Z1195" s="2" t="s">
        <v>119</v>
      </c>
      <c r="AA1195" s="2" t="s">
        <v>142</v>
      </c>
      <c r="AF1195" s="2">
        <f t="shared" si="163"/>
        <v>0</v>
      </c>
      <c r="AJ1195" s="2">
        <f t="shared" si="164"/>
        <v>0</v>
      </c>
    </row>
    <row r="1196" spans="1:38" x14ac:dyDescent="0.2">
      <c r="A1196" s="2">
        <v>2025</v>
      </c>
      <c r="B1196" s="2">
        <v>7</v>
      </c>
      <c r="D1196" s="2" t="s">
        <v>1485</v>
      </c>
      <c r="P1196" s="2" t="s">
        <v>282</v>
      </c>
      <c r="Q1196" s="2" t="s">
        <v>528</v>
      </c>
      <c r="R1196" s="2" t="s">
        <v>529</v>
      </c>
      <c r="S1196" s="2">
        <v>1</v>
      </c>
      <c r="T1196" s="2">
        <v>399</v>
      </c>
      <c r="U1196" s="2">
        <v>91.77000000000001</v>
      </c>
      <c r="V1196" s="2">
        <v>490.77</v>
      </c>
      <c r="W1196" s="2">
        <v>299.25</v>
      </c>
      <c r="X1196" s="5">
        <f t="shared" ref="X1196:X1216" si="168">(T1196-W1196)/T1196</f>
        <v>0.25</v>
      </c>
      <c r="Z1196" s="2" t="s">
        <v>3227</v>
      </c>
      <c r="AA1196" s="2" t="s">
        <v>71</v>
      </c>
      <c r="AB1196" s="2" t="s">
        <v>119</v>
      </c>
      <c r="AC1196" s="2" t="s">
        <v>119</v>
      </c>
      <c r="AF1196" s="2">
        <f t="shared" si="163"/>
        <v>0</v>
      </c>
      <c r="AJ1196" s="2">
        <f t="shared" si="164"/>
        <v>0</v>
      </c>
      <c r="AK1196" s="2">
        <f t="shared" ref="AK1196:AK1217" si="169">T1196-W1196</f>
        <v>99.75</v>
      </c>
      <c r="AL1196" s="5">
        <f t="shared" ref="AL1196:AL1216" si="170">(T1196-W1196)/T1196</f>
        <v>0.25</v>
      </c>
    </row>
    <row r="1197" spans="1:38" x14ac:dyDescent="0.2">
      <c r="A1197" s="2">
        <v>2025</v>
      </c>
      <c r="B1197" s="2">
        <v>7</v>
      </c>
      <c r="D1197" s="2" t="s">
        <v>1344</v>
      </c>
      <c r="P1197" s="2" t="s">
        <v>72</v>
      </c>
      <c r="Q1197" s="2" t="s">
        <v>912</v>
      </c>
      <c r="R1197" s="2" t="s">
        <v>74</v>
      </c>
      <c r="S1197" s="2">
        <v>1</v>
      </c>
      <c r="T1197" s="2">
        <v>220</v>
      </c>
      <c r="U1197" s="2">
        <v>50.6</v>
      </c>
      <c r="V1197" s="2">
        <v>270.60000000000002</v>
      </c>
      <c r="W1197" s="2">
        <f>115.92+6.06</f>
        <v>121.98</v>
      </c>
      <c r="X1197" s="5">
        <f t="shared" si="168"/>
        <v>0.44554545454545452</v>
      </c>
      <c r="Z1197" s="2" t="s">
        <v>3227</v>
      </c>
      <c r="AA1197" s="2" t="s">
        <v>75</v>
      </c>
      <c r="AB1197" s="2" t="s">
        <v>76</v>
      </c>
      <c r="AC1197" s="2" t="s">
        <v>77</v>
      </c>
      <c r="AF1197" s="2">
        <f t="shared" si="163"/>
        <v>0</v>
      </c>
      <c r="AJ1197" s="2">
        <f t="shared" si="164"/>
        <v>0</v>
      </c>
      <c r="AK1197" s="2">
        <f t="shared" si="169"/>
        <v>98.02</v>
      </c>
      <c r="AL1197" s="5">
        <f t="shared" si="170"/>
        <v>0.44554545454545452</v>
      </c>
    </row>
    <row r="1198" spans="1:38" x14ac:dyDescent="0.2">
      <c r="A1198" s="2">
        <v>2025</v>
      </c>
      <c r="B1198" s="2">
        <v>7</v>
      </c>
      <c r="D1198" s="2" t="s">
        <v>1344</v>
      </c>
      <c r="P1198" s="2" t="s">
        <v>93</v>
      </c>
      <c r="Q1198" s="2" t="s">
        <v>94</v>
      </c>
      <c r="R1198" s="2" t="s">
        <v>95</v>
      </c>
      <c r="S1198" s="2">
        <v>1</v>
      </c>
      <c r="T1198" s="2">
        <v>1.1399999999999999</v>
      </c>
      <c r="U1198" s="2">
        <v>0.26219999999999999</v>
      </c>
      <c r="V1198" s="2">
        <v>1.4021999999999999</v>
      </c>
      <c r="W1198" s="2">
        <v>1.1399999999999999</v>
      </c>
      <c r="X1198" s="5">
        <f t="shared" si="168"/>
        <v>0</v>
      </c>
      <c r="Z1198" s="2" t="s">
        <v>3227</v>
      </c>
      <c r="AA1198" s="2" t="s">
        <v>96</v>
      </c>
      <c r="AB1198" s="2" t="s">
        <v>76</v>
      </c>
      <c r="AC1198" s="2" t="s">
        <v>93</v>
      </c>
      <c r="AF1198" s="2">
        <f t="shared" si="163"/>
        <v>0</v>
      </c>
      <c r="AJ1198" s="2">
        <f t="shared" si="164"/>
        <v>0</v>
      </c>
      <c r="AK1198" s="2">
        <f t="shared" si="169"/>
        <v>0</v>
      </c>
      <c r="AL1198" s="5">
        <f t="shared" si="170"/>
        <v>0</v>
      </c>
    </row>
    <row r="1199" spans="1:38" x14ac:dyDescent="0.2">
      <c r="A1199" s="2">
        <v>2025</v>
      </c>
      <c r="B1199" s="2">
        <v>7</v>
      </c>
      <c r="D1199" s="2" t="s">
        <v>693</v>
      </c>
      <c r="E1199" s="2" t="s">
        <v>38</v>
      </c>
      <c r="F1199" s="2" t="s">
        <v>39</v>
      </c>
      <c r="G1199" s="2">
        <v>508574358</v>
      </c>
      <c r="H1199" s="2" t="s">
        <v>41</v>
      </c>
      <c r="I1199" s="2" t="s">
        <v>694</v>
      </c>
      <c r="J1199" s="2" t="s">
        <v>695</v>
      </c>
      <c r="K1199" s="2">
        <v>917295518</v>
      </c>
      <c r="L1199" s="2" t="s">
        <v>177</v>
      </c>
      <c r="M1199" s="2" t="s">
        <v>41</v>
      </c>
      <c r="P1199" s="2" t="s">
        <v>43</v>
      </c>
      <c r="Q1199" s="2" t="s">
        <v>160</v>
      </c>
      <c r="R1199" s="2" t="s">
        <v>161</v>
      </c>
      <c r="S1199" s="2">
        <v>1</v>
      </c>
      <c r="T1199" s="2">
        <v>7.8</v>
      </c>
      <c r="U1199" s="2">
        <v>1.794</v>
      </c>
      <c r="V1199" s="2">
        <v>9.5939999999999994</v>
      </c>
      <c r="W1199" s="2">
        <f>3.7358*S1199</f>
        <v>3.7357999999999998</v>
      </c>
      <c r="X1199" s="5">
        <f t="shared" si="168"/>
        <v>0.52105128205128204</v>
      </c>
      <c r="Z1199" s="2" t="s">
        <v>3227</v>
      </c>
      <c r="AA1199" s="2" t="s">
        <v>46</v>
      </c>
      <c r="AB1199" s="2" t="s">
        <v>47</v>
      </c>
      <c r="AC1199" s="2" t="s">
        <v>57</v>
      </c>
      <c r="AF1199" s="2">
        <f t="shared" si="163"/>
        <v>0</v>
      </c>
      <c r="AG1199" s="2">
        <v>3.7357999999999998</v>
      </c>
      <c r="AH1199" s="2">
        <v>9</v>
      </c>
      <c r="AJ1199" s="2">
        <f t="shared" si="164"/>
        <v>0</v>
      </c>
      <c r="AK1199" s="2">
        <f t="shared" si="169"/>
        <v>4.0641999999999996</v>
      </c>
      <c r="AL1199" s="5">
        <f t="shared" si="170"/>
        <v>0.52105128205128204</v>
      </c>
    </row>
    <row r="1200" spans="1:38" x14ac:dyDescent="0.2">
      <c r="A1200" s="2">
        <v>2025</v>
      </c>
      <c r="B1200" s="2">
        <v>7</v>
      </c>
      <c r="D1200" s="2" t="s">
        <v>693</v>
      </c>
      <c r="E1200" s="2" t="s">
        <v>38</v>
      </c>
      <c r="F1200" s="2" t="s">
        <v>39</v>
      </c>
      <c r="G1200" s="2">
        <v>508574358</v>
      </c>
      <c r="H1200" s="2" t="s">
        <v>41</v>
      </c>
      <c r="I1200" s="2" t="s">
        <v>694</v>
      </c>
      <c r="J1200" s="2" t="s">
        <v>695</v>
      </c>
      <c r="K1200" s="2">
        <v>917295518</v>
      </c>
      <c r="L1200" s="2" t="s">
        <v>177</v>
      </c>
      <c r="M1200" s="2" t="s">
        <v>41</v>
      </c>
      <c r="P1200" s="2" t="s">
        <v>43</v>
      </c>
      <c r="Q1200" s="2" t="s">
        <v>232</v>
      </c>
      <c r="R1200" s="2" t="s">
        <v>233</v>
      </c>
      <c r="S1200" s="2">
        <v>1</v>
      </c>
      <c r="T1200" s="2">
        <v>12</v>
      </c>
      <c r="U1200" s="2">
        <v>2.76</v>
      </c>
      <c r="V1200" s="2">
        <v>14.76</v>
      </c>
      <c r="W1200" s="2">
        <v>5.9066999999999998</v>
      </c>
      <c r="X1200" s="5">
        <f t="shared" si="168"/>
        <v>0.50777499999999998</v>
      </c>
      <c r="Z1200" s="2" t="s">
        <v>3227</v>
      </c>
      <c r="AA1200" s="2" t="s">
        <v>46</v>
      </c>
      <c r="AB1200" s="2" t="s">
        <v>56</v>
      </c>
      <c r="AC1200" s="2" t="s">
        <v>57</v>
      </c>
      <c r="AF1200" s="2">
        <f t="shared" si="163"/>
        <v>0</v>
      </c>
      <c r="AG1200" s="2">
        <v>5.9066999999999998</v>
      </c>
      <c r="AH1200" s="2">
        <v>12.6</v>
      </c>
      <c r="AJ1200" s="2">
        <f t="shared" si="164"/>
        <v>0</v>
      </c>
      <c r="AK1200" s="2">
        <f t="shared" si="169"/>
        <v>6.0933000000000002</v>
      </c>
      <c r="AL1200" s="5">
        <f t="shared" si="170"/>
        <v>0.50777499999999998</v>
      </c>
    </row>
    <row r="1201" spans="1:38" x14ac:dyDescent="0.2">
      <c r="A1201" s="2">
        <v>2025</v>
      </c>
      <c r="B1201" s="2">
        <v>7</v>
      </c>
      <c r="D1201" s="2" t="s">
        <v>693</v>
      </c>
      <c r="E1201" s="2" t="s">
        <v>38</v>
      </c>
      <c r="F1201" s="2" t="s">
        <v>39</v>
      </c>
      <c r="G1201" s="2">
        <v>508574358</v>
      </c>
      <c r="H1201" s="2" t="s">
        <v>41</v>
      </c>
      <c r="I1201" s="2" t="s">
        <v>694</v>
      </c>
      <c r="J1201" s="2" t="s">
        <v>695</v>
      </c>
      <c r="K1201" s="2">
        <v>917295518</v>
      </c>
      <c r="L1201" s="2" t="s">
        <v>177</v>
      </c>
      <c r="M1201" s="2" t="s">
        <v>41</v>
      </c>
      <c r="P1201" s="2" t="s">
        <v>43</v>
      </c>
      <c r="Q1201" s="2" t="s">
        <v>234</v>
      </c>
      <c r="R1201" s="2" t="s">
        <v>235</v>
      </c>
      <c r="S1201" s="2">
        <v>1</v>
      </c>
      <c r="T1201" s="2">
        <v>13.2</v>
      </c>
      <c r="U1201" s="2">
        <v>3.036</v>
      </c>
      <c r="V1201" s="2">
        <v>16.236000000000001</v>
      </c>
      <c r="W1201" s="2">
        <v>7.2217000000000002</v>
      </c>
      <c r="X1201" s="5">
        <f t="shared" si="168"/>
        <v>0.45290151515151511</v>
      </c>
      <c r="Z1201" s="2" t="s">
        <v>3227</v>
      </c>
      <c r="AA1201" s="2" t="s">
        <v>46</v>
      </c>
      <c r="AB1201" s="2" t="s">
        <v>56</v>
      </c>
      <c r="AC1201" s="2" t="s">
        <v>57</v>
      </c>
      <c r="AF1201" s="2">
        <f t="shared" si="163"/>
        <v>0</v>
      </c>
      <c r="AG1201" s="2">
        <v>7.2217000000000002</v>
      </c>
      <c r="AH1201" s="2">
        <v>14.4</v>
      </c>
      <c r="AJ1201" s="2">
        <f t="shared" si="164"/>
        <v>0</v>
      </c>
      <c r="AK1201" s="2">
        <f t="shared" si="169"/>
        <v>5.9782999999999991</v>
      </c>
      <c r="AL1201" s="5">
        <f t="shared" si="170"/>
        <v>0.45290151515151511</v>
      </c>
    </row>
    <row r="1202" spans="1:38" x14ac:dyDescent="0.2">
      <c r="A1202" s="2">
        <v>2025</v>
      </c>
      <c r="B1202" s="2">
        <v>7</v>
      </c>
      <c r="D1202" s="2" t="s">
        <v>693</v>
      </c>
      <c r="E1202" s="2" t="s">
        <v>38</v>
      </c>
      <c r="F1202" s="2" t="s">
        <v>39</v>
      </c>
      <c r="G1202" s="2">
        <v>508574358</v>
      </c>
      <c r="H1202" s="2" t="s">
        <v>41</v>
      </c>
      <c r="I1202" s="2" t="s">
        <v>694</v>
      </c>
      <c r="J1202" s="2" t="s">
        <v>695</v>
      </c>
      <c r="K1202" s="2">
        <v>917295518</v>
      </c>
      <c r="L1202" s="2" t="s">
        <v>177</v>
      </c>
      <c r="M1202" s="2" t="s">
        <v>41</v>
      </c>
      <c r="P1202" s="2" t="s">
        <v>43</v>
      </c>
      <c r="Q1202" s="2" t="s">
        <v>236</v>
      </c>
      <c r="R1202" s="2" t="s">
        <v>237</v>
      </c>
      <c r="S1202" s="2">
        <v>1</v>
      </c>
      <c r="T1202" s="2">
        <v>16.2</v>
      </c>
      <c r="U1202" s="2">
        <v>3.726</v>
      </c>
      <c r="V1202" s="2">
        <v>19.925999999999998</v>
      </c>
      <c r="W1202" s="2">
        <f>9.075*S1202</f>
        <v>9.0749999999999993</v>
      </c>
      <c r="X1202" s="5">
        <f t="shared" si="168"/>
        <v>0.43981481481481483</v>
      </c>
      <c r="Z1202" s="2" t="s">
        <v>3227</v>
      </c>
      <c r="AA1202" s="2" t="s">
        <v>46</v>
      </c>
      <c r="AB1202" s="2" t="s">
        <v>56</v>
      </c>
      <c r="AC1202" s="2" t="s">
        <v>57</v>
      </c>
      <c r="AF1202" s="2">
        <f t="shared" si="163"/>
        <v>0</v>
      </c>
      <c r="AJ1202" s="2">
        <f t="shared" si="164"/>
        <v>0</v>
      </c>
      <c r="AK1202" s="2">
        <f t="shared" si="169"/>
        <v>7.125</v>
      </c>
      <c r="AL1202" s="5">
        <f t="shared" si="170"/>
        <v>0.43981481481481483</v>
      </c>
    </row>
    <row r="1203" spans="1:38" x14ac:dyDescent="0.2">
      <c r="A1203" s="2">
        <v>2025</v>
      </c>
      <c r="B1203" s="2">
        <v>7</v>
      </c>
      <c r="D1203" s="2" t="s">
        <v>693</v>
      </c>
      <c r="E1203" s="2" t="s">
        <v>38</v>
      </c>
      <c r="F1203" s="2" t="s">
        <v>39</v>
      </c>
      <c r="G1203" s="2">
        <v>508574358</v>
      </c>
      <c r="H1203" s="2" t="s">
        <v>41</v>
      </c>
      <c r="I1203" s="2" t="s">
        <v>694</v>
      </c>
      <c r="J1203" s="2" t="s">
        <v>695</v>
      </c>
      <c r="K1203" s="2">
        <v>917295518</v>
      </c>
      <c r="L1203" s="2" t="s">
        <v>177</v>
      </c>
      <c r="M1203" s="2" t="s">
        <v>41</v>
      </c>
      <c r="P1203" s="2" t="s">
        <v>43</v>
      </c>
      <c r="Q1203" s="2" t="s">
        <v>54</v>
      </c>
      <c r="R1203" s="2" t="s">
        <v>55</v>
      </c>
      <c r="S1203" s="2">
        <v>2</v>
      </c>
      <c r="T1203" s="2">
        <v>36</v>
      </c>
      <c r="U1203" s="2">
        <v>8.2800000000000011</v>
      </c>
      <c r="V1203" s="2">
        <v>44.28</v>
      </c>
      <c r="W1203" s="2">
        <f>10.6*S1203</f>
        <v>21.2</v>
      </c>
      <c r="X1203" s="5">
        <f t="shared" si="168"/>
        <v>0.41111111111111115</v>
      </c>
      <c r="Z1203" s="2" t="s">
        <v>3227</v>
      </c>
      <c r="AA1203" s="2" t="s">
        <v>46</v>
      </c>
      <c r="AB1203" s="2" t="s">
        <v>56</v>
      </c>
      <c r="AC1203" s="2" t="s">
        <v>57</v>
      </c>
      <c r="AF1203" s="2">
        <f t="shared" si="163"/>
        <v>0</v>
      </c>
      <c r="AG1203" s="2">
        <v>10.6</v>
      </c>
      <c r="AH1203" s="2">
        <v>18</v>
      </c>
      <c r="AJ1203" s="2">
        <f t="shared" si="164"/>
        <v>0</v>
      </c>
      <c r="AK1203" s="2">
        <f t="shared" si="169"/>
        <v>14.8</v>
      </c>
      <c r="AL1203" s="5">
        <f t="shared" si="170"/>
        <v>0.41111111111111115</v>
      </c>
    </row>
    <row r="1204" spans="1:38" x14ac:dyDescent="0.2">
      <c r="A1204" s="2">
        <v>2025</v>
      </c>
      <c r="B1204" s="2">
        <v>7</v>
      </c>
      <c r="D1204" s="2" t="s">
        <v>693</v>
      </c>
      <c r="E1204" s="2" t="s">
        <v>38</v>
      </c>
      <c r="F1204" s="2" t="s">
        <v>39</v>
      </c>
      <c r="G1204" s="2">
        <v>508574358</v>
      </c>
      <c r="H1204" s="2" t="s">
        <v>41</v>
      </c>
      <c r="I1204" s="2" t="s">
        <v>694</v>
      </c>
      <c r="J1204" s="2" t="s">
        <v>695</v>
      </c>
      <c r="K1204" s="2">
        <v>917295518</v>
      </c>
      <c r="L1204" s="2" t="s">
        <v>177</v>
      </c>
      <c r="M1204" s="2" t="s">
        <v>41</v>
      </c>
      <c r="P1204" s="2" t="s">
        <v>43</v>
      </c>
      <c r="Q1204" s="2" t="s">
        <v>61</v>
      </c>
      <c r="R1204" s="2" t="s">
        <v>62</v>
      </c>
      <c r="S1204" s="2">
        <v>200</v>
      </c>
      <c r="T1204" s="2">
        <v>26</v>
      </c>
      <c r="U1204" s="2">
        <v>5.98</v>
      </c>
      <c r="V1204" s="2">
        <v>31.98</v>
      </c>
      <c r="W1204" s="2">
        <f>0.082*S1204</f>
        <v>16.400000000000002</v>
      </c>
      <c r="X1204" s="5">
        <f t="shared" si="168"/>
        <v>0.36923076923076914</v>
      </c>
      <c r="Z1204" s="2" t="s">
        <v>3227</v>
      </c>
      <c r="AA1204" s="2" t="s">
        <v>46</v>
      </c>
      <c r="AB1204" s="2" t="s">
        <v>60</v>
      </c>
      <c r="AC1204" s="2" t="s">
        <v>57</v>
      </c>
      <c r="AF1204" s="2">
        <f t="shared" si="163"/>
        <v>0</v>
      </c>
      <c r="AG1204" s="2">
        <v>8.1999999999999993</v>
      </c>
      <c r="AH1204" s="2">
        <v>13</v>
      </c>
      <c r="AJ1204" s="2">
        <f t="shared" si="164"/>
        <v>0</v>
      </c>
      <c r="AK1204" s="2">
        <f t="shared" si="169"/>
        <v>9.5999999999999979</v>
      </c>
      <c r="AL1204" s="5">
        <f t="shared" si="170"/>
        <v>0.36923076923076914</v>
      </c>
    </row>
    <row r="1205" spans="1:38" x14ac:dyDescent="0.2">
      <c r="A1205" s="2">
        <v>2025</v>
      </c>
      <c r="B1205" s="2">
        <v>7</v>
      </c>
      <c r="D1205" s="2" t="s">
        <v>1486</v>
      </c>
      <c r="M1205" s="2" t="s">
        <v>40</v>
      </c>
      <c r="P1205" s="2" t="s">
        <v>114</v>
      </c>
      <c r="Q1205" s="2" t="s">
        <v>373</v>
      </c>
      <c r="R1205" s="2" t="s">
        <v>374</v>
      </c>
      <c r="S1205" s="2">
        <v>1</v>
      </c>
      <c r="T1205" s="2">
        <v>45.07</v>
      </c>
      <c r="U1205" s="2">
        <v>10.366099999999999</v>
      </c>
      <c r="V1205" s="2">
        <v>55.436100000000003</v>
      </c>
      <c r="W1205" s="2">
        <f>23.042*S1205</f>
        <v>23.042000000000002</v>
      </c>
      <c r="X1205" s="5">
        <f t="shared" si="168"/>
        <v>0.48875083203905034</v>
      </c>
      <c r="Z1205" s="2" t="s">
        <v>117</v>
      </c>
      <c r="AA1205" s="2" t="s">
        <v>118</v>
      </c>
      <c r="AB1205" s="2" t="s">
        <v>119</v>
      </c>
      <c r="AC1205" s="2" t="s">
        <v>114</v>
      </c>
      <c r="AF1205" s="2">
        <f t="shared" si="163"/>
        <v>0</v>
      </c>
      <c r="AJ1205" s="2">
        <f t="shared" si="164"/>
        <v>0</v>
      </c>
      <c r="AK1205" s="2">
        <f t="shared" si="169"/>
        <v>22.027999999999999</v>
      </c>
      <c r="AL1205" s="5">
        <f t="shared" si="170"/>
        <v>0.48875083203905034</v>
      </c>
    </row>
    <row r="1206" spans="1:38" x14ac:dyDescent="0.2">
      <c r="A1206" s="2">
        <v>2025</v>
      </c>
      <c r="B1206" s="2">
        <v>7</v>
      </c>
      <c r="D1206" s="2" t="s">
        <v>1486</v>
      </c>
      <c r="E1206" s="2" t="s">
        <v>38</v>
      </c>
      <c r="F1206" s="2" t="s">
        <v>39</v>
      </c>
      <c r="L1206" s="2" t="s">
        <v>177</v>
      </c>
      <c r="M1206" s="2" t="s">
        <v>41</v>
      </c>
      <c r="P1206" s="2" t="s">
        <v>43</v>
      </c>
      <c r="Q1206" s="2" t="s">
        <v>61</v>
      </c>
      <c r="R1206" s="2" t="s">
        <v>62</v>
      </c>
      <c r="S1206" s="2">
        <v>200</v>
      </c>
      <c r="T1206" s="2">
        <v>26</v>
      </c>
      <c r="U1206" s="2">
        <v>5.98</v>
      </c>
      <c r="V1206" s="2">
        <v>31.98</v>
      </c>
      <c r="W1206" s="2">
        <f>0.082*S1206</f>
        <v>16.400000000000002</v>
      </c>
      <c r="X1206" s="5">
        <f t="shared" si="168"/>
        <v>0.36923076923076914</v>
      </c>
      <c r="Z1206" s="2" t="s">
        <v>3227</v>
      </c>
      <c r="AA1206" s="2" t="s">
        <v>46</v>
      </c>
      <c r="AB1206" s="2" t="s">
        <v>60</v>
      </c>
      <c r="AC1206" s="2" t="s">
        <v>57</v>
      </c>
      <c r="AF1206" s="2">
        <f t="shared" si="163"/>
        <v>0</v>
      </c>
      <c r="AG1206" s="2">
        <v>8.1999999999999993</v>
      </c>
      <c r="AH1206" s="2">
        <v>13</v>
      </c>
      <c r="AJ1206" s="2">
        <f t="shared" si="164"/>
        <v>0</v>
      </c>
      <c r="AK1206" s="2">
        <f t="shared" si="169"/>
        <v>9.5999999999999979</v>
      </c>
      <c r="AL1206" s="5">
        <f t="shared" si="170"/>
        <v>0.36923076923076914</v>
      </c>
    </row>
    <row r="1207" spans="1:38" x14ac:dyDescent="0.2">
      <c r="A1207" s="2">
        <v>2025</v>
      </c>
      <c r="B1207" s="2">
        <v>7</v>
      </c>
      <c r="D1207" s="2" t="s">
        <v>1178</v>
      </c>
      <c r="E1207" s="2" t="s">
        <v>38</v>
      </c>
      <c r="F1207" s="2" t="s">
        <v>39</v>
      </c>
      <c r="G1207" s="2">
        <v>502089075</v>
      </c>
      <c r="H1207" s="2" t="s">
        <v>41</v>
      </c>
      <c r="I1207" s="2" t="s">
        <v>1179</v>
      </c>
      <c r="J1207" s="2" t="s">
        <v>1180</v>
      </c>
      <c r="L1207" s="2" t="s">
        <v>461</v>
      </c>
      <c r="M1207" s="2" t="s">
        <v>41</v>
      </c>
      <c r="O1207" s="2" t="s">
        <v>1487</v>
      </c>
      <c r="P1207" s="2" t="s">
        <v>43</v>
      </c>
      <c r="Q1207" s="2" t="s">
        <v>234</v>
      </c>
      <c r="R1207" s="2" t="s">
        <v>235</v>
      </c>
      <c r="S1207" s="2">
        <v>1</v>
      </c>
      <c r="T1207" s="2">
        <v>13.2</v>
      </c>
      <c r="U1207" s="2">
        <v>3.036</v>
      </c>
      <c r="V1207" s="2">
        <v>16.236000000000001</v>
      </c>
      <c r="W1207" s="2">
        <v>7.2217000000000002</v>
      </c>
      <c r="X1207" s="5">
        <f t="shared" si="168"/>
        <v>0.45290151515151511</v>
      </c>
      <c r="Z1207" s="2" t="s">
        <v>3227</v>
      </c>
      <c r="AA1207" s="2" t="s">
        <v>46</v>
      </c>
      <c r="AB1207" s="2" t="s">
        <v>56</v>
      </c>
      <c r="AC1207" s="2" t="s">
        <v>57</v>
      </c>
      <c r="AF1207" s="2">
        <f t="shared" si="163"/>
        <v>0</v>
      </c>
      <c r="AG1207" s="2">
        <v>7.2217000000000002</v>
      </c>
      <c r="AH1207" s="2">
        <v>14.4</v>
      </c>
      <c r="AJ1207" s="2">
        <f t="shared" si="164"/>
        <v>0</v>
      </c>
      <c r="AK1207" s="2">
        <f t="shared" si="169"/>
        <v>5.9782999999999991</v>
      </c>
      <c r="AL1207" s="5">
        <f t="shared" si="170"/>
        <v>0.45290151515151511</v>
      </c>
    </row>
    <row r="1208" spans="1:38" x14ac:dyDescent="0.2">
      <c r="A1208" s="2">
        <v>2025</v>
      </c>
      <c r="B1208" s="2">
        <v>7</v>
      </c>
      <c r="D1208" s="2" t="s">
        <v>1178</v>
      </c>
      <c r="E1208" s="2" t="s">
        <v>38</v>
      </c>
      <c r="F1208" s="2" t="s">
        <v>39</v>
      </c>
      <c r="G1208" s="2">
        <v>502089075</v>
      </c>
      <c r="H1208" s="2" t="s">
        <v>41</v>
      </c>
      <c r="I1208" s="2" t="s">
        <v>1179</v>
      </c>
      <c r="J1208" s="2" t="s">
        <v>1180</v>
      </c>
      <c r="L1208" s="2" t="s">
        <v>461</v>
      </c>
      <c r="M1208" s="2" t="s">
        <v>41</v>
      </c>
      <c r="O1208" s="2" t="s">
        <v>1487</v>
      </c>
      <c r="P1208" s="2" t="s">
        <v>43</v>
      </c>
      <c r="Q1208" s="2" t="s">
        <v>240</v>
      </c>
      <c r="R1208" s="2" t="s">
        <v>241</v>
      </c>
      <c r="S1208" s="2">
        <v>1</v>
      </c>
      <c r="T1208" s="2">
        <v>24</v>
      </c>
      <c r="U1208" s="2">
        <v>5.52</v>
      </c>
      <c r="V1208" s="2">
        <v>29.52</v>
      </c>
      <c r="W1208" s="2">
        <f>13.4067*S1208</f>
        <v>13.406700000000001</v>
      </c>
      <c r="X1208" s="5">
        <f t="shared" si="168"/>
        <v>0.44138749999999999</v>
      </c>
      <c r="Z1208" s="2" t="s">
        <v>3227</v>
      </c>
      <c r="AA1208" s="2" t="s">
        <v>46</v>
      </c>
      <c r="AB1208" s="2" t="s">
        <v>56</v>
      </c>
      <c r="AC1208" s="2" t="s">
        <v>57</v>
      </c>
      <c r="AF1208" s="2">
        <f t="shared" si="163"/>
        <v>0</v>
      </c>
      <c r="AJ1208" s="2">
        <f t="shared" si="164"/>
        <v>0</v>
      </c>
      <c r="AK1208" s="2">
        <f t="shared" si="169"/>
        <v>10.593299999999999</v>
      </c>
      <c r="AL1208" s="5">
        <f t="shared" si="170"/>
        <v>0.44138749999999999</v>
      </c>
    </row>
    <row r="1209" spans="1:38" x14ac:dyDescent="0.2">
      <c r="A1209" s="2">
        <v>2025</v>
      </c>
      <c r="B1209" s="2">
        <v>7</v>
      </c>
      <c r="D1209" s="2" t="s">
        <v>1178</v>
      </c>
      <c r="E1209" s="2" t="s">
        <v>38</v>
      </c>
      <c r="F1209" s="2" t="s">
        <v>39</v>
      </c>
      <c r="G1209" s="2">
        <v>502089075</v>
      </c>
      <c r="H1209" s="2" t="s">
        <v>41</v>
      </c>
      <c r="I1209" s="2" t="s">
        <v>1179</v>
      </c>
      <c r="J1209" s="2" t="s">
        <v>1180</v>
      </c>
      <c r="L1209" s="2" t="s">
        <v>461</v>
      </c>
      <c r="M1209" s="2" t="s">
        <v>41</v>
      </c>
      <c r="O1209" s="2" t="s">
        <v>1487</v>
      </c>
      <c r="P1209" s="2" t="s">
        <v>43</v>
      </c>
      <c r="Q1209" s="2" t="s">
        <v>242</v>
      </c>
      <c r="R1209" s="2" t="s">
        <v>243</v>
      </c>
      <c r="S1209" s="2">
        <v>1</v>
      </c>
      <c r="T1209" s="2">
        <v>28.8</v>
      </c>
      <c r="U1209" s="2">
        <v>6.6240000000000014</v>
      </c>
      <c r="V1209" s="2">
        <v>35.423999999999999</v>
      </c>
      <c r="W1209" s="2">
        <f>16.2249*S1209</f>
        <v>16.224900000000002</v>
      </c>
      <c r="X1209" s="5">
        <f t="shared" si="168"/>
        <v>0.43663541666666661</v>
      </c>
      <c r="Z1209" s="2" t="s">
        <v>3227</v>
      </c>
      <c r="AA1209" s="2" t="s">
        <v>46</v>
      </c>
      <c r="AB1209" s="2" t="s">
        <v>56</v>
      </c>
      <c r="AC1209" s="2" t="s">
        <v>57</v>
      </c>
      <c r="AF1209" s="2">
        <f t="shared" si="163"/>
        <v>0</v>
      </c>
      <c r="AJ1209" s="2">
        <f t="shared" si="164"/>
        <v>0</v>
      </c>
      <c r="AK1209" s="2">
        <f t="shared" si="169"/>
        <v>12.575099999999999</v>
      </c>
      <c r="AL1209" s="5">
        <f t="shared" si="170"/>
        <v>0.43663541666666661</v>
      </c>
    </row>
    <row r="1210" spans="1:38" x14ac:dyDescent="0.2">
      <c r="A1210" s="2">
        <v>2025</v>
      </c>
      <c r="B1210" s="2">
        <v>7</v>
      </c>
      <c r="D1210" s="2" t="s">
        <v>1178</v>
      </c>
      <c r="E1210" s="2" t="s">
        <v>38</v>
      </c>
      <c r="F1210" s="2" t="s">
        <v>39</v>
      </c>
      <c r="G1210" s="2">
        <v>502089075</v>
      </c>
      <c r="H1210" s="2" t="s">
        <v>41</v>
      </c>
      <c r="I1210" s="2" t="s">
        <v>1179</v>
      </c>
      <c r="J1210" s="2" t="s">
        <v>1180</v>
      </c>
      <c r="L1210" s="2" t="s">
        <v>461</v>
      </c>
      <c r="M1210" s="2" t="s">
        <v>41</v>
      </c>
      <c r="O1210" s="2" t="s">
        <v>1487</v>
      </c>
      <c r="P1210" s="2" t="s">
        <v>43</v>
      </c>
      <c r="Q1210" s="2" t="s">
        <v>244</v>
      </c>
      <c r="R1210" s="2" t="s">
        <v>245</v>
      </c>
      <c r="S1210" s="2">
        <v>1</v>
      </c>
      <c r="T1210" s="2">
        <v>16.8</v>
      </c>
      <c r="U1210" s="2">
        <v>3.8639999999999999</v>
      </c>
      <c r="V1210" s="2">
        <v>20.664000000000001</v>
      </c>
      <c r="W1210" s="2">
        <f>9.2346*S1210</f>
        <v>9.2346000000000004</v>
      </c>
      <c r="X1210" s="5">
        <f t="shared" si="168"/>
        <v>0.45032142857142859</v>
      </c>
      <c r="Z1210" s="2" t="s">
        <v>3227</v>
      </c>
      <c r="AA1210" s="2" t="s">
        <v>46</v>
      </c>
      <c r="AB1210" s="2" t="s">
        <v>56</v>
      </c>
      <c r="AC1210" s="2" t="s">
        <v>57</v>
      </c>
      <c r="AF1210" s="2">
        <f t="shared" si="163"/>
        <v>0</v>
      </c>
      <c r="AJ1210" s="2">
        <f t="shared" si="164"/>
        <v>0</v>
      </c>
      <c r="AK1210" s="2">
        <f t="shared" si="169"/>
        <v>7.5654000000000003</v>
      </c>
      <c r="AL1210" s="5">
        <f t="shared" si="170"/>
        <v>0.45032142857142859</v>
      </c>
    </row>
    <row r="1211" spans="1:38" x14ac:dyDescent="0.2">
      <c r="A1211" s="2">
        <v>2025</v>
      </c>
      <c r="B1211" s="2">
        <v>7</v>
      </c>
      <c r="D1211" s="2" t="s">
        <v>1178</v>
      </c>
      <c r="E1211" s="2" t="s">
        <v>38</v>
      </c>
      <c r="F1211" s="2" t="s">
        <v>39</v>
      </c>
      <c r="G1211" s="2">
        <v>502089075</v>
      </c>
      <c r="H1211" s="2" t="s">
        <v>41</v>
      </c>
      <c r="I1211" s="2" t="s">
        <v>1179</v>
      </c>
      <c r="J1211" s="2" t="s">
        <v>1180</v>
      </c>
      <c r="L1211" s="2" t="s">
        <v>461</v>
      </c>
      <c r="M1211" s="2" t="s">
        <v>41</v>
      </c>
      <c r="O1211" s="2" t="s">
        <v>1487</v>
      </c>
      <c r="P1211" s="2" t="s">
        <v>43</v>
      </c>
      <c r="Q1211" s="2" t="s">
        <v>246</v>
      </c>
      <c r="R1211" s="2" t="s">
        <v>247</v>
      </c>
      <c r="S1211" s="2">
        <v>1</v>
      </c>
      <c r="T1211" s="2">
        <v>19.2</v>
      </c>
      <c r="U1211" s="2">
        <v>4.4160000000000004</v>
      </c>
      <c r="V1211" s="2">
        <v>23.616</v>
      </c>
      <c r="W1211" s="2">
        <f>10.5267*S1211</f>
        <v>10.5267</v>
      </c>
      <c r="X1211" s="5">
        <f t="shared" si="168"/>
        <v>0.45173437499999997</v>
      </c>
      <c r="Z1211" s="2" t="s">
        <v>3227</v>
      </c>
      <c r="AA1211" s="2" t="s">
        <v>46</v>
      </c>
      <c r="AB1211" s="2" t="s">
        <v>56</v>
      </c>
      <c r="AC1211" s="2" t="s">
        <v>57</v>
      </c>
      <c r="AF1211" s="2">
        <f t="shared" si="163"/>
        <v>0</v>
      </c>
      <c r="AJ1211" s="2">
        <f t="shared" si="164"/>
        <v>0</v>
      </c>
      <c r="AK1211" s="2">
        <f t="shared" si="169"/>
        <v>8.6732999999999993</v>
      </c>
      <c r="AL1211" s="5">
        <f t="shared" si="170"/>
        <v>0.45173437499999997</v>
      </c>
    </row>
    <row r="1212" spans="1:38" x14ac:dyDescent="0.2">
      <c r="A1212" s="2">
        <v>2025</v>
      </c>
      <c r="B1212" s="2">
        <v>7</v>
      </c>
      <c r="D1212" s="2" t="s">
        <v>1178</v>
      </c>
      <c r="E1212" s="2" t="s">
        <v>38</v>
      </c>
      <c r="F1212" s="2" t="s">
        <v>39</v>
      </c>
      <c r="G1212" s="2">
        <v>502089075</v>
      </c>
      <c r="H1212" s="2" t="s">
        <v>41</v>
      </c>
      <c r="I1212" s="2" t="s">
        <v>1179</v>
      </c>
      <c r="J1212" s="2" t="s">
        <v>1180</v>
      </c>
      <c r="L1212" s="2" t="s">
        <v>461</v>
      </c>
      <c r="M1212" s="2" t="s">
        <v>41</v>
      </c>
      <c r="O1212" s="2" t="s">
        <v>1487</v>
      </c>
      <c r="P1212" s="2" t="s">
        <v>43</v>
      </c>
      <c r="Q1212" s="2" t="s">
        <v>285</v>
      </c>
      <c r="R1212" s="2" t="s">
        <v>286</v>
      </c>
      <c r="S1212" s="2">
        <v>1</v>
      </c>
      <c r="T1212" s="2">
        <v>22.2</v>
      </c>
      <c r="U1212" s="2">
        <v>5.1059999999999999</v>
      </c>
      <c r="V1212" s="2">
        <v>27.306000000000001</v>
      </c>
      <c r="W1212" s="2">
        <f>12.2604*S1212</f>
        <v>12.260400000000001</v>
      </c>
      <c r="X1212" s="5">
        <f t="shared" si="168"/>
        <v>0.44772972972972969</v>
      </c>
      <c r="Z1212" s="2" t="s">
        <v>3227</v>
      </c>
      <c r="AA1212" s="2" t="s">
        <v>46</v>
      </c>
      <c r="AB1212" s="2" t="s">
        <v>56</v>
      </c>
      <c r="AC1212" s="2" t="s">
        <v>57</v>
      </c>
      <c r="AF1212" s="2">
        <f t="shared" si="163"/>
        <v>0</v>
      </c>
      <c r="AJ1212" s="2">
        <f t="shared" si="164"/>
        <v>0</v>
      </c>
      <c r="AK1212" s="2">
        <f t="shared" si="169"/>
        <v>9.9395999999999987</v>
      </c>
      <c r="AL1212" s="5">
        <f t="shared" si="170"/>
        <v>0.44772972972972969</v>
      </c>
    </row>
    <row r="1213" spans="1:38" x14ac:dyDescent="0.2">
      <c r="A1213" s="2">
        <v>2025</v>
      </c>
      <c r="B1213" s="2">
        <v>7</v>
      </c>
      <c r="D1213" s="2" t="s">
        <v>1178</v>
      </c>
      <c r="E1213" s="2" t="s">
        <v>38</v>
      </c>
      <c r="F1213" s="2" t="s">
        <v>39</v>
      </c>
      <c r="G1213" s="2">
        <v>502089075</v>
      </c>
      <c r="H1213" s="2" t="s">
        <v>41</v>
      </c>
      <c r="I1213" s="2" t="s">
        <v>1179</v>
      </c>
      <c r="J1213" s="2" t="s">
        <v>1180</v>
      </c>
      <c r="L1213" s="2" t="s">
        <v>461</v>
      </c>
      <c r="M1213" s="2" t="s">
        <v>41</v>
      </c>
      <c r="O1213" s="2" t="s">
        <v>1487</v>
      </c>
      <c r="P1213" s="2" t="s">
        <v>43</v>
      </c>
      <c r="Q1213" s="2" t="s">
        <v>54</v>
      </c>
      <c r="R1213" s="2" t="s">
        <v>55</v>
      </c>
      <c r="S1213" s="2">
        <v>2</v>
      </c>
      <c r="T1213" s="2">
        <v>36</v>
      </c>
      <c r="U1213" s="2">
        <v>8.2800000000000011</v>
      </c>
      <c r="V1213" s="2">
        <v>44.28</v>
      </c>
      <c r="W1213" s="2">
        <f>10.6*S1213</f>
        <v>21.2</v>
      </c>
      <c r="X1213" s="5">
        <f t="shared" si="168"/>
        <v>0.41111111111111115</v>
      </c>
      <c r="Z1213" s="2" t="s">
        <v>3227</v>
      </c>
      <c r="AA1213" s="2" t="s">
        <v>46</v>
      </c>
      <c r="AB1213" s="2" t="s">
        <v>56</v>
      </c>
      <c r="AC1213" s="2" t="s">
        <v>57</v>
      </c>
      <c r="AF1213" s="2">
        <f t="shared" si="163"/>
        <v>0</v>
      </c>
      <c r="AG1213" s="2">
        <v>10.6</v>
      </c>
      <c r="AH1213" s="2">
        <v>18</v>
      </c>
      <c r="AJ1213" s="2">
        <f t="shared" si="164"/>
        <v>0</v>
      </c>
      <c r="AK1213" s="2">
        <f t="shared" si="169"/>
        <v>14.8</v>
      </c>
      <c r="AL1213" s="5">
        <f t="shared" si="170"/>
        <v>0.41111111111111115</v>
      </c>
    </row>
    <row r="1214" spans="1:38" x14ac:dyDescent="0.2">
      <c r="A1214" s="2">
        <v>2025</v>
      </c>
      <c r="B1214" s="2">
        <v>7</v>
      </c>
      <c r="D1214" s="2" t="s">
        <v>1178</v>
      </c>
      <c r="E1214" s="2" t="s">
        <v>38</v>
      </c>
      <c r="G1214" s="2">
        <v>502089075</v>
      </c>
      <c r="H1214" s="2" t="s">
        <v>41</v>
      </c>
      <c r="I1214" s="2" t="s">
        <v>1179</v>
      </c>
      <c r="J1214" s="2" t="s">
        <v>1180</v>
      </c>
      <c r="L1214" s="2" t="s">
        <v>461</v>
      </c>
      <c r="M1214" s="2" t="s">
        <v>41</v>
      </c>
      <c r="O1214" s="2" t="s">
        <v>1488</v>
      </c>
      <c r="P1214" s="2" t="s">
        <v>72</v>
      </c>
      <c r="Q1214" s="2" t="s">
        <v>557</v>
      </c>
      <c r="R1214" s="2" t="s">
        <v>307</v>
      </c>
      <c r="S1214" s="2">
        <v>1</v>
      </c>
      <c r="T1214" s="2">
        <v>220</v>
      </c>
      <c r="U1214" s="2">
        <v>50.6</v>
      </c>
      <c r="V1214" s="2">
        <v>270.60000000000002</v>
      </c>
      <c r="W1214" s="2">
        <v>122.446</v>
      </c>
      <c r="X1214" s="5">
        <f t="shared" si="168"/>
        <v>0.44342727272727273</v>
      </c>
      <c r="Z1214" s="2" t="s">
        <v>3227</v>
      </c>
      <c r="AA1214" s="2" t="s">
        <v>75</v>
      </c>
      <c r="AB1214" s="2" t="s">
        <v>76</v>
      </c>
      <c r="AC1214" s="2" t="s">
        <v>77</v>
      </c>
      <c r="AF1214" s="2">
        <f t="shared" si="163"/>
        <v>0</v>
      </c>
      <c r="AG1214" s="2">
        <v>122.446</v>
      </c>
      <c r="AH1214" s="2">
        <v>230</v>
      </c>
      <c r="AJ1214" s="2">
        <f t="shared" si="164"/>
        <v>0</v>
      </c>
      <c r="AK1214" s="2">
        <f t="shared" si="169"/>
        <v>97.554000000000002</v>
      </c>
      <c r="AL1214" s="5">
        <f t="shared" si="170"/>
        <v>0.44342727272727273</v>
      </c>
    </row>
    <row r="1215" spans="1:38" x14ac:dyDescent="0.2">
      <c r="A1215" s="2">
        <v>2025</v>
      </c>
      <c r="B1215" s="2">
        <v>7</v>
      </c>
      <c r="D1215" s="2" t="s">
        <v>1178</v>
      </c>
      <c r="E1215" s="2" t="s">
        <v>38</v>
      </c>
      <c r="G1215" s="2">
        <v>502089075</v>
      </c>
      <c r="H1215" s="2" t="s">
        <v>41</v>
      </c>
      <c r="I1215" s="2" t="s">
        <v>1179</v>
      </c>
      <c r="J1215" s="2" t="s">
        <v>1180</v>
      </c>
      <c r="L1215" s="2" t="s">
        <v>461</v>
      </c>
      <c r="M1215" s="2" t="s">
        <v>41</v>
      </c>
      <c r="O1215" s="2" t="s">
        <v>1488</v>
      </c>
      <c r="P1215" s="2" t="s">
        <v>93</v>
      </c>
      <c r="Q1215" s="2" t="s">
        <v>94</v>
      </c>
      <c r="R1215" s="2" t="s">
        <v>95</v>
      </c>
      <c r="S1215" s="2">
        <v>1</v>
      </c>
      <c r="T1215" s="2">
        <v>1.1399999999999999</v>
      </c>
      <c r="U1215" s="2">
        <v>0.26219999999999999</v>
      </c>
      <c r="V1215" s="2">
        <v>1.4021999999999999</v>
      </c>
      <c r="W1215" s="2">
        <v>1.1399999999999999</v>
      </c>
      <c r="X1215" s="5">
        <f t="shared" si="168"/>
        <v>0</v>
      </c>
      <c r="Z1215" s="2" t="s">
        <v>3227</v>
      </c>
      <c r="AA1215" s="2" t="s">
        <v>96</v>
      </c>
      <c r="AB1215" s="2" t="s">
        <v>76</v>
      </c>
      <c r="AC1215" s="2" t="s">
        <v>93</v>
      </c>
      <c r="AF1215" s="2">
        <f t="shared" si="163"/>
        <v>0</v>
      </c>
      <c r="AJ1215" s="2">
        <f t="shared" si="164"/>
        <v>0</v>
      </c>
      <c r="AK1215" s="2">
        <f t="shared" si="169"/>
        <v>0</v>
      </c>
      <c r="AL1215" s="5">
        <f t="shared" si="170"/>
        <v>0</v>
      </c>
    </row>
    <row r="1216" spans="1:38" x14ac:dyDescent="0.2">
      <c r="A1216" s="2">
        <v>2025</v>
      </c>
      <c r="B1216" s="2">
        <v>7</v>
      </c>
      <c r="C1216" s="2" t="s">
        <v>3414</v>
      </c>
      <c r="D1216" s="2" t="s">
        <v>1489</v>
      </c>
      <c r="E1216" s="2" t="s">
        <v>38</v>
      </c>
      <c r="F1216" s="2" t="s">
        <v>39</v>
      </c>
      <c r="L1216" s="2" t="s">
        <v>339</v>
      </c>
      <c r="M1216" s="2" t="s">
        <v>40</v>
      </c>
      <c r="P1216" s="2" t="s">
        <v>68</v>
      </c>
      <c r="Q1216" s="2" t="s">
        <v>1395</v>
      </c>
      <c r="R1216" s="2" t="s">
        <v>1396</v>
      </c>
      <c r="S1216" s="2">
        <v>1</v>
      </c>
      <c r="T1216" s="2">
        <v>1800</v>
      </c>
      <c r="U1216" s="2">
        <v>414</v>
      </c>
      <c r="V1216" s="2">
        <v>2214</v>
      </c>
      <c r="W1216" s="2">
        <v>1399</v>
      </c>
      <c r="X1216" s="5">
        <f t="shared" si="168"/>
        <v>0.22277777777777777</v>
      </c>
      <c r="Z1216" s="2" t="s">
        <v>104</v>
      </c>
      <c r="AA1216" s="2" t="s">
        <v>105</v>
      </c>
      <c r="AB1216" s="2" t="s">
        <v>106</v>
      </c>
      <c r="AC1216" s="2" t="s">
        <v>3231</v>
      </c>
      <c r="AF1216" s="2">
        <f t="shared" si="163"/>
        <v>0</v>
      </c>
      <c r="AJ1216" s="2">
        <f t="shared" si="164"/>
        <v>0</v>
      </c>
      <c r="AK1216" s="2">
        <f t="shared" si="169"/>
        <v>401</v>
      </c>
      <c r="AL1216" s="5">
        <f t="shared" si="170"/>
        <v>0.22277777777777777</v>
      </c>
    </row>
    <row r="1217" spans="1:38" x14ac:dyDescent="0.2">
      <c r="A1217" s="2">
        <v>2025</v>
      </c>
      <c r="B1217" s="2">
        <v>7</v>
      </c>
      <c r="C1217" s="2" t="s">
        <v>3424</v>
      </c>
      <c r="D1217" s="2" t="s">
        <v>3487</v>
      </c>
      <c r="E1217" s="2" t="s">
        <v>108</v>
      </c>
      <c r="F1217" s="2" t="s">
        <v>39</v>
      </c>
      <c r="L1217" s="2" t="s">
        <v>99</v>
      </c>
      <c r="M1217" s="2" t="s">
        <v>41</v>
      </c>
      <c r="P1217" s="2" t="s">
        <v>114</v>
      </c>
      <c r="Q1217" s="16" t="s">
        <v>709</v>
      </c>
      <c r="R1217" s="2" t="s">
        <v>710</v>
      </c>
      <c r="S1217" s="2">
        <v>0</v>
      </c>
      <c r="T1217" s="2">
        <v>0</v>
      </c>
      <c r="U1217" s="2">
        <v>0</v>
      </c>
      <c r="V1217" s="2">
        <v>0</v>
      </c>
      <c r="W1217" s="2">
        <v>0</v>
      </c>
      <c r="X1217" s="5">
        <v>0</v>
      </c>
      <c r="Z1217" s="2" t="s">
        <v>104</v>
      </c>
      <c r="AA1217" s="2" t="s">
        <v>578</v>
      </c>
      <c r="AB1217" s="2" t="s">
        <v>701</v>
      </c>
      <c r="AC1217" s="2" t="s">
        <v>114</v>
      </c>
      <c r="AF1217" s="2">
        <f t="shared" si="163"/>
        <v>0</v>
      </c>
      <c r="AJ1217" s="2">
        <f t="shared" si="164"/>
        <v>0</v>
      </c>
      <c r="AK1217" s="2">
        <f t="shared" si="169"/>
        <v>0</v>
      </c>
      <c r="AL1217" s="5">
        <v>0</v>
      </c>
    </row>
    <row r="1218" spans="1:38" x14ac:dyDescent="0.2">
      <c r="A1218" s="2">
        <v>2025</v>
      </c>
      <c r="B1218" s="2">
        <v>7</v>
      </c>
      <c r="C1218" s="2" t="s">
        <v>3400</v>
      </c>
      <c r="D1218" s="2" t="s">
        <v>3487</v>
      </c>
      <c r="E1218" s="2" t="s">
        <v>108</v>
      </c>
      <c r="F1218" s="2" t="s">
        <v>39</v>
      </c>
      <c r="L1218" s="2" t="s">
        <v>99</v>
      </c>
      <c r="M1218" s="2" t="s">
        <v>41</v>
      </c>
      <c r="P1218" s="2" t="s">
        <v>114</v>
      </c>
      <c r="Q1218" s="2" t="s">
        <v>1490</v>
      </c>
      <c r="R1218" s="2" t="s">
        <v>1491</v>
      </c>
      <c r="S1218" s="2">
        <v>1</v>
      </c>
      <c r="T1218" s="2">
        <v>7240</v>
      </c>
      <c r="U1218" s="2">
        <v>1665.2</v>
      </c>
      <c r="V1218" s="2">
        <v>8905.2000000000007</v>
      </c>
      <c r="W1218" s="2">
        <f>4540.75+332.15</f>
        <v>4872.8999999999996</v>
      </c>
      <c r="X1218" s="5">
        <f>(T1218-W1218)/T1218</f>
        <v>0.32694751381215476</v>
      </c>
      <c r="Z1218" s="2" t="s">
        <v>104</v>
      </c>
      <c r="AA1218" s="2" t="s">
        <v>616</v>
      </c>
      <c r="AB1218" s="2" t="s">
        <v>151</v>
      </c>
      <c r="AC1218" s="2" t="s">
        <v>114</v>
      </c>
      <c r="AF1218" s="2">
        <f t="shared" ref="AF1218:AF1281" si="171">AJ1218</f>
        <v>0</v>
      </c>
      <c r="AJ1218" s="2">
        <f t="shared" ref="AJ1218:AJ1281" si="172">AI1218*T1218</f>
        <v>0</v>
      </c>
      <c r="AK1218" s="2">
        <f t="shared" ref="AK1218:AK1249" si="173">T1218-W1218</f>
        <v>2367.1000000000004</v>
      </c>
      <c r="AL1218" s="5">
        <f t="shared" ref="AL1218:AL1258" si="174">(T1218-W1218)/T1218</f>
        <v>0.32694751381215476</v>
      </c>
    </row>
    <row r="1219" spans="1:38" x14ac:dyDescent="0.2">
      <c r="A1219" s="2">
        <v>2025</v>
      </c>
      <c r="B1219" s="2">
        <v>7</v>
      </c>
      <c r="C1219" s="2" t="s">
        <v>3424</v>
      </c>
      <c r="D1219" s="2" t="s">
        <v>3487</v>
      </c>
      <c r="E1219" s="2" t="s">
        <v>108</v>
      </c>
      <c r="F1219" s="2" t="s">
        <v>39</v>
      </c>
      <c r="L1219" s="2" t="s">
        <v>99</v>
      </c>
      <c r="M1219" s="2" t="s">
        <v>41</v>
      </c>
      <c r="P1219" s="2" t="s">
        <v>114</v>
      </c>
      <c r="Q1219" s="2" t="s">
        <v>838</v>
      </c>
      <c r="R1219" s="2" t="s">
        <v>839</v>
      </c>
      <c r="S1219" s="2">
        <v>0</v>
      </c>
      <c r="T1219" s="2">
        <v>0</v>
      </c>
      <c r="U1219" s="2">
        <v>0</v>
      </c>
      <c r="V1219" s="2">
        <v>0</v>
      </c>
      <c r="W1219" s="2">
        <v>0</v>
      </c>
      <c r="X1219" s="5">
        <v>0</v>
      </c>
      <c r="Z1219" s="2" t="s">
        <v>104</v>
      </c>
      <c r="AA1219" s="2" t="s">
        <v>150</v>
      </c>
      <c r="AB1219" s="2" t="s">
        <v>151</v>
      </c>
      <c r="AC1219" s="2" t="s">
        <v>114</v>
      </c>
      <c r="AF1219" s="2">
        <f t="shared" si="171"/>
        <v>0</v>
      </c>
      <c r="AJ1219" s="2">
        <f t="shared" si="172"/>
        <v>0</v>
      </c>
      <c r="AK1219" s="2">
        <f t="shared" si="173"/>
        <v>0</v>
      </c>
      <c r="AL1219" s="5">
        <v>0</v>
      </c>
    </row>
    <row r="1220" spans="1:38" x14ac:dyDescent="0.2">
      <c r="A1220" s="2">
        <v>2025</v>
      </c>
      <c r="B1220" s="2">
        <v>7</v>
      </c>
      <c r="D1220" s="2" t="s">
        <v>297</v>
      </c>
      <c r="E1220" s="2" t="s">
        <v>38</v>
      </c>
      <c r="F1220" s="2" t="s">
        <v>39</v>
      </c>
      <c r="G1220" s="2">
        <v>510939570</v>
      </c>
      <c r="H1220" s="2" t="s">
        <v>41</v>
      </c>
      <c r="I1220" s="2" t="s">
        <v>298</v>
      </c>
      <c r="J1220" s="2" t="s">
        <v>299</v>
      </c>
      <c r="K1220" s="2">
        <v>962678129</v>
      </c>
      <c r="L1220" s="2" t="s">
        <v>177</v>
      </c>
      <c r="M1220" s="2" t="s">
        <v>40</v>
      </c>
      <c r="O1220" s="2" t="s">
        <v>1492</v>
      </c>
      <c r="P1220" s="2" t="s">
        <v>187</v>
      </c>
      <c r="Q1220" s="2" t="s">
        <v>188</v>
      </c>
      <c r="R1220" s="2" t="s">
        <v>189</v>
      </c>
      <c r="S1220" s="2">
        <v>1</v>
      </c>
      <c r="T1220" s="2">
        <v>79</v>
      </c>
      <c r="U1220" s="2">
        <v>18.170000000000002</v>
      </c>
      <c r="V1220" s="2">
        <v>97.17</v>
      </c>
      <c r="W1220" s="2">
        <f>T1220*40%</f>
        <v>31.6</v>
      </c>
      <c r="X1220" s="5">
        <f t="shared" ref="X1220:X1258" si="175">(T1220-W1220)/T1220</f>
        <v>0.6</v>
      </c>
      <c r="Z1220" s="2" t="s">
        <v>117</v>
      </c>
      <c r="AA1220" s="2" t="s">
        <v>190</v>
      </c>
      <c r="AB1220" s="2" t="s">
        <v>189</v>
      </c>
      <c r="AC1220" s="2" t="s">
        <v>40</v>
      </c>
      <c r="AF1220" s="2">
        <f t="shared" si="171"/>
        <v>0</v>
      </c>
      <c r="AJ1220" s="2">
        <f t="shared" si="172"/>
        <v>0</v>
      </c>
      <c r="AK1220" s="2">
        <f t="shared" si="173"/>
        <v>47.4</v>
      </c>
      <c r="AL1220" s="5">
        <f t="shared" si="174"/>
        <v>0.6</v>
      </c>
    </row>
    <row r="1221" spans="1:38" x14ac:dyDescent="0.2">
      <c r="A1221" s="2">
        <v>2025</v>
      </c>
      <c r="B1221" s="2">
        <v>7</v>
      </c>
      <c r="D1221" s="2" t="s">
        <v>297</v>
      </c>
      <c r="E1221" s="2" t="s">
        <v>38</v>
      </c>
      <c r="F1221" s="2" t="s">
        <v>39</v>
      </c>
      <c r="G1221" s="2">
        <v>510939570</v>
      </c>
      <c r="H1221" s="2" t="s">
        <v>41</v>
      </c>
      <c r="I1221" s="2" t="s">
        <v>298</v>
      </c>
      <c r="J1221" s="2" t="s">
        <v>299</v>
      </c>
      <c r="K1221" s="2">
        <v>962678129</v>
      </c>
      <c r="L1221" s="2" t="s">
        <v>177</v>
      </c>
      <c r="M1221" s="2" t="s">
        <v>40</v>
      </c>
      <c r="O1221" s="2" t="s">
        <v>1492</v>
      </c>
      <c r="P1221" s="2" t="s">
        <v>187</v>
      </c>
      <c r="Q1221" s="2" t="s">
        <v>191</v>
      </c>
      <c r="R1221" s="2" t="s">
        <v>190</v>
      </c>
      <c r="S1221" s="2">
        <v>1</v>
      </c>
      <c r="T1221" s="2">
        <v>50</v>
      </c>
      <c r="U1221" s="2">
        <v>11.5</v>
      </c>
      <c r="V1221" s="2">
        <v>61.5</v>
      </c>
      <c r="W1221" s="2">
        <f>T1221*50%</f>
        <v>25</v>
      </c>
      <c r="X1221" s="5">
        <f t="shared" si="175"/>
        <v>0.5</v>
      </c>
      <c r="Z1221" s="2" t="s">
        <v>117</v>
      </c>
      <c r="AA1221" s="2" t="s">
        <v>190</v>
      </c>
      <c r="AB1221" s="2" t="s">
        <v>190</v>
      </c>
      <c r="AC1221" s="2" t="s">
        <v>40</v>
      </c>
      <c r="AF1221" s="2">
        <f t="shared" si="171"/>
        <v>0</v>
      </c>
      <c r="AJ1221" s="2">
        <f t="shared" si="172"/>
        <v>0</v>
      </c>
      <c r="AK1221" s="2">
        <f t="shared" si="173"/>
        <v>25</v>
      </c>
      <c r="AL1221" s="5">
        <f t="shared" si="174"/>
        <v>0.5</v>
      </c>
    </row>
    <row r="1222" spans="1:38" x14ac:dyDescent="0.2">
      <c r="A1222" s="2">
        <v>2025</v>
      </c>
      <c r="B1222" s="2">
        <v>7</v>
      </c>
      <c r="D1222" s="2" t="s">
        <v>297</v>
      </c>
      <c r="E1222" s="2" t="s">
        <v>38</v>
      </c>
      <c r="F1222" s="2" t="s">
        <v>39</v>
      </c>
      <c r="G1222" s="2">
        <v>510939570</v>
      </c>
      <c r="H1222" s="2" t="s">
        <v>41</v>
      </c>
      <c r="I1222" s="2" t="s">
        <v>298</v>
      </c>
      <c r="J1222" s="2" t="s">
        <v>299</v>
      </c>
      <c r="K1222" s="2">
        <v>962678129</v>
      </c>
      <c r="L1222" s="2" t="s">
        <v>177</v>
      </c>
      <c r="M1222" s="2" t="s">
        <v>40</v>
      </c>
      <c r="O1222" s="2" t="s">
        <v>1493</v>
      </c>
      <c r="P1222" s="2" t="s">
        <v>40</v>
      </c>
      <c r="Q1222" s="2" t="s">
        <v>363</v>
      </c>
      <c r="R1222" s="2" t="s">
        <v>364</v>
      </c>
      <c r="S1222" s="2">
        <v>1</v>
      </c>
      <c r="T1222" s="2">
        <v>176.32</v>
      </c>
      <c r="U1222" s="2">
        <v>40.553600000000003</v>
      </c>
      <c r="V1222" s="2">
        <v>216.87360000000001</v>
      </c>
      <c r="X1222" s="5">
        <f t="shared" si="175"/>
        <v>1</v>
      </c>
      <c r="Z1222" s="2" t="s">
        <v>117</v>
      </c>
      <c r="AA1222" s="2" t="s">
        <v>118</v>
      </c>
      <c r="AB1222" s="2" t="s">
        <v>119</v>
      </c>
      <c r="AC1222" s="2" t="s">
        <v>1108</v>
      </c>
      <c r="AF1222" s="2">
        <f t="shared" si="171"/>
        <v>0</v>
      </c>
      <c r="AJ1222" s="2">
        <f t="shared" si="172"/>
        <v>0</v>
      </c>
      <c r="AK1222" s="2">
        <f t="shared" si="173"/>
        <v>176.32</v>
      </c>
      <c r="AL1222" s="5">
        <f t="shared" si="174"/>
        <v>1</v>
      </c>
    </row>
    <row r="1223" spans="1:38" x14ac:dyDescent="0.2">
      <c r="A1223" s="2">
        <v>2025</v>
      </c>
      <c r="B1223" s="2">
        <v>7</v>
      </c>
      <c r="D1223" s="2" t="s">
        <v>319</v>
      </c>
      <c r="E1223" s="2" t="s">
        <v>38</v>
      </c>
      <c r="F1223" s="2" t="s">
        <v>39</v>
      </c>
      <c r="G1223" s="2">
        <v>500883262</v>
      </c>
      <c r="H1223" s="2" t="s">
        <v>40</v>
      </c>
      <c r="I1223" s="2" t="s">
        <v>99</v>
      </c>
      <c r="J1223" s="2" t="s">
        <v>320</v>
      </c>
      <c r="L1223" s="2" t="s">
        <v>99</v>
      </c>
      <c r="M1223" s="2" t="s">
        <v>80</v>
      </c>
      <c r="O1223" s="2" t="s">
        <v>1494</v>
      </c>
      <c r="P1223" s="2" t="s">
        <v>72</v>
      </c>
      <c r="Q1223" s="2" t="s">
        <v>73</v>
      </c>
      <c r="R1223" s="2" t="s">
        <v>74</v>
      </c>
      <c r="S1223" s="2">
        <v>1</v>
      </c>
      <c r="T1223" s="2">
        <v>220</v>
      </c>
      <c r="U1223" s="2">
        <v>50.6</v>
      </c>
      <c r="V1223" s="2">
        <v>270.60000000000002</v>
      </c>
      <c r="W1223" s="2">
        <v>117.453</v>
      </c>
      <c r="X1223" s="5">
        <f t="shared" si="175"/>
        <v>0.46612272727272724</v>
      </c>
      <c r="Z1223" s="2" t="s">
        <v>3227</v>
      </c>
      <c r="AA1223" s="2" t="s">
        <v>75</v>
      </c>
      <c r="AB1223" s="2" t="s">
        <v>76</v>
      </c>
      <c r="AC1223" s="2" t="s">
        <v>77</v>
      </c>
      <c r="AF1223" s="2">
        <f t="shared" si="171"/>
        <v>0</v>
      </c>
      <c r="AG1223" s="2">
        <v>117.453</v>
      </c>
      <c r="AH1223" s="2">
        <v>220</v>
      </c>
      <c r="AJ1223" s="2">
        <f t="shared" si="172"/>
        <v>0</v>
      </c>
      <c r="AK1223" s="2">
        <f t="shared" si="173"/>
        <v>102.547</v>
      </c>
      <c r="AL1223" s="5">
        <f t="shared" si="174"/>
        <v>0.46612272727272724</v>
      </c>
    </row>
    <row r="1224" spans="1:38" x14ac:dyDescent="0.2">
      <c r="A1224" s="2">
        <v>2025</v>
      </c>
      <c r="B1224" s="2">
        <v>7</v>
      </c>
      <c r="D1224" s="2" t="s">
        <v>319</v>
      </c>
      <c r="E1224" s="2" t="s">
        <v>38</v>
      </c>
      <c r="F1224" s="2" t="s">
        <v>39</v>
      </c>
      <c r="G1224" s="2">
        <v>500883262</v>
      </c>
      <c r="H1224" s="2" t="s">
        <v>40</v>
      </c>
      <c r="I1224" s="2" t="s">
        <v>99</v>
      </c>
      <c r="J1224" s="2" t="s">
        <v>320</v>
      </c>
      <c r="L1224" s="2" t="s">
        <v>99</v>
      </c>
      <c r="M1224" s="2" t="s">
        <v>80</v>
      </c>
      <c r="O1224" s="2" t="s">
        <v>1495</v>
      </c>
      <c r="P1224" s="2" t="s">
        <v>72</v>
      </c>
      <c r="Q1224" s="2" t="s">
        <v>832</v>
      </c>
      <c r="R1224" s="2" t="s">
        <v>74</v>
      </c>
      <c r="S1224" s="2">
        <v>1</v>
      </c>
      <c r="T1224" s="2">
        <v>220</v>
      </c>
      <c r="U1224" s="2">
        <v>50.6</v>
      </c>
      <c r="V1224" s="2">
        <v>270.60000000000002</v>
      </c>
      <c r="W1224" s="2">
        <v>120.636</v>
      </c>
      <c r="X1224" s="5">
        <f t="shared" si="175"/>
        <v>0.45165454545454548</v>
      </c>
      <c r="Z1224" s="2" t="s">
        <v>3227</v>
      </c>
      <c r="AA1224" s="2" t="s">
        <v>75</v>
      </c>
      <c r="AB1224" s="2" t="s">
        <v>76</v>
      </c>
      <c r="AC1224" s="2" t="s">
        <v>77</v>
      </c>
      <c r="AF1224" s="2">
        <f t="shared" si="171"/>
        <v>0</v>
      </c>
      <c r="AG1224" s="2">
        <v>120.636</v>
      </c>
      <c r="AH1224" s="2">
        <v>220</v>
      </c>
      <c r="AJ1224" s="2">
        <f t="shared" si="172"/>
        <v>0</v>
      </c>
      <c r="AK1224" s="2">
        <f t="shared" si="173"/>
        <v>99.364000000000004</v>
      </c>
      <c r="AL1224" s="5">
        <f t="shared" si="174"/>
        <v>0.45165454545454548</v>
      </c>
    </row>
    <row r="1225" spans="1:38" x14ac:dyDescent="0.2">
      <c r="A1225" s="2">
        <v>2025</v>
      </c>
      <c r="B1225" s="2">
        <v>7</v>
      </c>
      <c r="D1225" s="2" t="s">
        <v>319</v>
      </c>
      <c r="E1225" s="2" t="s">
        <v>38</v>
      </c>
      <c r="F1225" s="2" t="s">
        <v>39</v>
      </c>
      <c r="G1225" s="2">
        <v>500883262</v>
      </c>
      <c r="H1225" s="2" t="s">
        <v>40</v>
      </c>
      <c r="I1225" s="2" t="s">
        <v>99</v>
      </c>
      <c r="J1225" s="2" t="s">
        <v>320</v>
      </c>
      <c r="L1225" s="2" t="s">
        <v>99</v>
      </c>
      <c r="M1225" s="2" t="s">
        <v>80</v>
      </c>
      <c r="O1225" s="2" t="s">
        <v>1496</v>
      </c>
      <c r="P1225" s="2" t="s">
        <v>93</v>
      </c>
      <c r="Q1225" s="2" t="s">
        <v>94</v>
      </c>
      <c r="R1225" s="2" t="s">
        <v>95</v>
      </c>
      <c r="S1225" s="2">
        <v>2</v>
      </c>
      <c r="T1225" s="2">
        <v>2.2799999999999998</v>
      </c>
      <c r="U1225" s="2">
        <v>0.52439999999999998</v>
      </c>
      <c r="V1225" s="2">
        <v>2.8043999999999998</v>
      </c>
      <c r="W1225" s="2">
        <v>2.2799999999999998</v>
      </c>
      <c r="X1225" s="5">
        <f t="shared" si="175"/>
        <v>0</v>
      </c>
      <c r="Z1225" s="2" t="s">
        <v>3227</v>
      </c>
      <c r="AA1225" s="2" t="s">
        <v>96</v>
      </c>
      <c r="AB1225" s="2" t="s">
        <v>76</v>
      </c>
      <c r="AC1225" s="2" t="s">
        <v>93</v>
      </c>
      <c r="AF1225" s="2">
        <f t="shared" si="171"/>
        <v>0</v>
      </c>
      <c r="AJ1225" s="2">
        <f t="shared" si="172"/>
        <v>0</v>
      </c>
      <c r="AK1225" s="2">
        <f t="shared" si="173"/>
        <v>0</v>
      </c>
      <c r="AL1225" s="5">
        <f t="shared" si="174"/>
        <v>0</v>
      </c>
    </row>
    <row r="1226" spans="1:38" x14ac:dyDescent="0.2">
      <c r="A1226" s="2">
        <v>2025</v>
      </c>
      <c r="B1226" s="2">
        <v>7</v>
      </c>
      <c r="D1226" s="2" t="s">
        <v>728</v>
      </c>
      <c r="P1226" s="2" t="s">
        <v>72</v>
      </c>
      <c r="Q1226" s="2" t="s">
        <v>912</v>
      </c>
      <c r="R1226" s="2" t="s">
        <v>74</v>
      </c>
      <c r="S1226" s="2">
        <v>1</v>
      </c>
      <c r="T1226" s="2">
        <v>220</v>
      </c>
      <c r="U1226" s="2">
        <v>50.6</v>
      </c>
      <c r="V1226" s="2">
        <v>270.60000000000002</v>
      </c>
      <c r="W1226" s="2">
        <f>115.92+6.06</f>
        <v>121.98</v>
      </c>
      <c r="X1226" s="5">
        <f t="shared" si="175"/>
        <v>0.44554545454545452</v>
      </c>
      <c r="Z1226" s="2" t="s">
        <v>3227</v>
      </c>
      <c r="AA1226" s="2" t="s">
        <v>75</v>
      </c>
      <c r="AB1226" s="2" t="s">
        <v>76</v>
      </c>
      <c r="AC1226" s="2" t="s">
        <v>77</v>
      </c>
      <c r="AF1226" s="2">
        <f t="shared" si="171"/>
        <v>0</v>
      </c>
      <c r="AJ1226" s="2">
        <f t="shared" si="172"/>
        <v>0</v>
      </c>
      <c r="AK1226" s="2">
        <f t="shared" si="173"/>
        <v>98.02</v>
      </c>
      <c r="AL1226" s="5">
        <f t="shared" si="174"/>
        <v>0.44554545454545452</v>
      </c>
    </row>
    <row r="1227" spans="1:38" x14ac:dyDescent="0.2">
      <c r="A1227" s="2">
        <v>2025</v>
      </c>
      <c r="B1227" s="2">
        <v>7</v>
      </c>
      <c r="D1227" s="2" t="s">
        <v>728</v>
      </c>
      <c r="P1227" s="2" t="s">
        <v>93</v>
      </c>
      <c r="Q1227" s="2" t="s">
        <v>94</v>
      </c>
      <c r="R1227" s="2" t="s">
        <v>95</v>
      </c>
      <c r="S1227" s="2">
        <v>1</v>
      </c>
      <c r="T1227" s="2">
        <v>1.1399999999999999</v>
      </c>
      <c r="U1227" s="2">
        <v>0.26219999999999999</v>
      </c>
      <c r="V1227" s="2">
        <v>1.4021999999999999</v>
      </c>
      <c r="W1227" s="2">
        <v>1.1399999999999999</v>
      </c>
      <c r="X1227" s="5">
        <f t="shared" si="175"/>
        <v>0</v>
      </c>
      <c r="Z1227" s="2" t="s">
        <v>3227</v>
      </c>
      <c r="AA1227" s="2" t="s">
        <v>96</v>
      </c>
      <c r="AB1227" s="2" t="s">
        <v>76</v>
      </c>
      <c r="AC1227" s="2" t="s">
        <v>93</v>
      </c>
      <c r="AF1227" s="2">
        <f t="shared" si="171"/>
        <v>0</v>
      </c>
      <c r="AJ1227" s="2">
        <f t="shared" si="172"/>
        <v>0</v>
      </c>
      <c r="AK1227" s="2">
        <f t="shared" si="173"/>
        <v>0</v>
      </c>
      <c r="AL1227" s="5">
        <f t="shared" si="174"/>
        <v>0</v>
      </c>
    </row>
    <row r="1228" spans="1:38" x14ac:dyDescent="0.2">
      <c r="A1228" s="2">
        <v>2025</v>
      </c>
      <c r="B1228" s="2">
        <v>7</v>
      </c>
      <c r="D1228" s="2" t="s">
        <v>332</v>
      </c>
      <c r="E1228" s="2" t="s">
        <v>108</v>
      </c>
      <c r="F1228" s="2" t="s">
        <v>39</v>
      </c>
      <c r="G1228" s="2">
        <v>513493557</v>
      </c>
      <c r="H1228" s="2" t="s">
        <v>41</v>
      </c>
      <c r="I1228" s="2" t="s">
        <v>279</v>
      </c>
      <c r="J1228" s="2" t="s">
        <v>333</v>
      </c>
      <c r="L1228" s="2" t="s">
        <v>177</v>
      </c>
      <c r="M1228" s="2" t="s">
        <v>41</v>
      </c>
      <c r="P1228" s="2" t="s">
        <v>43</v>
      </c>
      <c r="Q1228" s="2" t="s">
        <v>160</v>
      </c>
      <c r="R1228" s="2" t="s">
        <v>161</v>
      </c>
      <c r="S1228" s="2">
        <v>1</v>
      </c>
      <c r="T1228" s="2">
        <v>7.8</v>
      </c>
      <c r="U1228" s="2">
        <v>1.794</v>
      </c>
      <c r="V1228" s="2">
        <v>9.5939999999999994</v>
      </c>
      <c r="W1228" s="2">
        <f>3.7358*S1228</f>
        <v>3.7357999999999998</v>
      </c>
      <c r="X1228" s="5">
        <f t="shared" si="175"/>
        <v>0.52105128205128204</v>
      </c>
      <c r="Z1228" s="2" t="s">
        <v>3227</v>
      </c>
      <c r="AA1228" s="2" t="s">
        <v>46</v>
      </c>
      <c r="AB1228" s="2" t="s">
        <v>47</v>
      </c>
      <c r="AC1228" s="2" t="s">
        <v>57</v>
      </c>
      <c r="AF1228" s="2">
        <f t="shared" si="171"/>
        <v>0</v>
      </c>
      <c r="AG1228" s="2">
        <v>3.7357999999999998</v>
      </c>
      <c r="AH1228" s="2">
        <v>9</v>
      </c>
      <c r="AJ1228" s="2">
        <f t="shared" si="172"/>
        <v>0</v>
      </c>
      <c r="AK1228" s="2">
        <f t="shared" si="173"/>
        <v>4.0641999999999996</v>
      </c>
      <c r="AL1228" s="5">
        <f t="shared" si="174"/>
        <v>0.52105128205128204</v>
      </c>
    </row>
    <row r="1229" spans="1:38" x14ac:dyDescent="0.2">
      <c r="A1229" s="2">
        <v>2025</v>
      </c>
      <c r="B1229" s="2">
        <v>7</v>
      </c>
      <c r="D1229" s="2" t="s">
        <v>332</v>
      </c>
      <c r="E1229" s="2" t="s">
        <v>108</v>
      </c>
      <c r="F1229" s="2" t="s">
        <v>39</v>
      </c>
      <c r="G1229" s="2">
        <v>513493557</v>
      </c>
      <c r="H1229" s="2" t="s">
        <v>41</v>
      </c>
      <c r="I1229" s="2" t="s">
        <v>279</v>
      </c>
      <c r="J1229" s="2" t="s">
        <v>333</v>
      </c>
      <c r="L1229" s="2" t="s">
        <v>177</v>
      </c>
      <c r="M1229" s="2" t="s">
        <v>41</v>
      </c>
      <c r="P1229" s="2" t="s">
        <v>43</v>
      </c>
      <c r="Q1229" s="2" t="s">
        <v>54</v>
      </c>
      <c r="R1229" s="2" t="s">
        <v>55</v>
      </c>
      <c r="S1229" s="2">
        <v>10</v>
      </c>
      <c r="T1229" s="2">
        <v>140</v>
      </c>
      <c r="U1229" s="2">
        <v>32.200000000000003</v>
      </c>
      <c r="V1229" s="2">
        <v>172.2</v>
      </c>
      <c r="W1229" s="2">
        <f>10.6*S1229</f>
        <v>106</v>
      </c>
      <c r="X1229" s="5">
        <f t="shared" si="175"/>
        <v>0.24285714285714285</v>
      </c>
      <c r="Z1229" s="2" t="s">
        <v>3227</v>
      </c>
      <c r="AA1229" s="2" t="s">
        <v>46</v>
      </c>
      <c r="AB1229" s="2" t="s">
        <v>56</v>
      </c>
      <c r="AC1229" s="2" t="s">
        <v>57</v>
      </c>
      <c r="AF1229" s="2">
        <f t="shared" si="171"/>
        <v>0</v>
      </c>
      <c r="AG1229" s="2">
        <v>10.6</v>
      </c>
      <c r="AH1229" s="2">
        <v>18</v>
      </c>
      <c r="AJ1229" s="2">
        <f t="shared" si="172"/>
        <v>0</v>
      </c>
      <c r="AK1229" s="2">
        <f t="shared" si="173"/>
        <v>34</v>
      </c>
      <c r="AL1229" s="5">
        <f t="shared" si="174"/>
        <v>0.24285714285714285</v>
      </c>
    </row>
    <row r="1230" spans="1:38" x14ac:dyDescent="0.2">
      <c r="A1230" s="2">
        <v>2025</v>
      </c>
      <c r="B1230" s="2">
        <v>7</v>
      </c>
      <c r="D1230" s="2" t="s">
        <v>332</v>
      </c>
      <c r="E1230" s="2" t="s">
        <v>108</v>
      </c>
      <c r="F1230" s="2" t="s">
        <v>39</v>
      </c>
      <c r="G1230" s="2">
        <v>513493557</v>
      </c>
      <c r="H1230" s="2" t="s">
        <v>41</v>
      </c>
      <c r="I1230" s="2" t="s">
        <v>279</v>
      </c>
      <c r="J1230" s="2" t="s">
        <v>333</v>
      </c>
      <c r="L1230" s="2" t="s">
        <v>177</v>
      </c>
      <c r="M1230" s="2" t="s">
        <v>41</v>
      </c>
      <c r="P1230" s="2" t="s">
        <v>43</v>
      </c>
      <c r="Q1230" s="2" t="s">
        <v>252</v>
      </c>
      <c r="R1230" s="2" t="s">
        <v>253</v>
      </c>
      <c r="S1230" s="2">
        <v>10</v>
      </c>
      <c r="T1230" s="2">
        <v>12</v>
      </c>
      <c r="U1230" s="2">
        <v>2.76</v>
      </c>
      <c r="V1230" s="2">
        <v>14.76</v>
      </c>
      <c r="W1230" s="2">
        <f>0.3342*S1230</f>
        <v>3.3420000000000001</v>
      </c>
      <c r="X1230" s="5">
        <f t="shared" si="175"/>
        <v>0.72149999999999992</v>
      </c>
      <c r="Z1230" s="2" t="s">
        <v>3227</v>
      </c>
      <c r="AA1230" s="2" t="s">
        <v>46</v>
      </c>
      <c r="AB1230" s="2" t="s">
        <v>90</v>
      </c>
      <c r="AC1230" s="2" t="s">
        <v>57</v>
      </c>
      <c r="AF1230" s="2">
        <f t="shared" si="171"/>
        <v>0</v>
      </c>
      <c r="AJ1230" s="2">
        <f t="shared" si="172"/>
        <v>0</v>
      </c>
      <c r="AK1230" s="2">
        <f t="shared" si="173"/>
        <v>8.6579999999999995</v>
      </c>
      <c r="AL1230" s="5">
        <f t="shared" si="174"/>
        <v>0.72149999999999992</v>
      </c>
    </row>
    <row r="1231" spans="1:38" x14ac:dyDescent="0.2">
      <c r="A1231" s="2">
        <v>2025</v>
      </c>
      <c r="B1231" s="2">
        <v>7</v>
      </c>
      <c r="D1231" s="2" t="s">
        <v>332</v>
      </c>
      <c r="E1231" s="2" t="s">
        <v>108</v>
      </c>
      <c r="F1231" s="2" t="s">
        <v>39</v>
      </c>
      <c r="G1231" s="2">
        <v>513493557</v>
      </c>
      <c r="H1231" s="2" t="s">
        <v>41</v>
      </c>
      <c r="I1231" s="2" t="s">
        <v>279</v>
      </c>
      <c r="J1231" s="2" t="s">
        <v>333</v>
      </c>
      <c r="L1231" s="2" t="s">
        <v>177</v>
      </c>
      <c r="M1231" s="2" t="s">
        <v>41</v>
      </c>
      <c r="P1231" s="2" t="s">
        <v>166</v>
      </c>
      <c r="Q1231" s="2" t="s">
        <v>1497</v>
      </c>
      <c r="R1231" s="2" t="s">
        <v>1498</v>
      </c>
      <c r="S1231" s="2">
        <v>6</v>
      </c>
      <c r="T1231" s="2">
        <v>8.2100000000000009</v>
      </c>
      <c r="U1231" s="2">
        <v>1.8883000000000001</v>
      </c>
      <c r="V1231" s="2">
        <v>10.0983</v>
      </c>
      <c r="X1231" s="5">
        <f t="shared" si="175"/>
        <v>1</v>
      </c>
      <c r="Z1231" s="2" t="s">
        <v>3227</v>
      </c>
      <c r="AA1231" s="2" t="s">
        <v>87</v>
      </c>
      <c r="AB1231" s="2" t="s">
        <v>119</v>
      </c>
      <c r="AC1231" s="2" t="s">
        <v>166</v>
      </c>
      <c r="AF1231" s="2">
        <f t="shared" si="171"/>
        <v>0</v>
      </c>
      <c r="AJ1231" s="2">
        <f t="shared" si="172"/>
        <v>0</v>
      </c>
      <c r="AK1231" s="2">
        <f t="shared" si="173"/>
        <v>8.2100000000000009</v>
      </c>
      <c r="AL1231" s="5">
        <f t="shared" si="174"/>
        <v>1</v>
      </c>
    </row>
    <row r="1232" spans="1:38" x14ac:dyDescent="0.2">
      <c r="A1232" s="2">
        <v>2025</v>
      </c>
      <c r="B1232" s="2">
        <v>7</v>
      </c>
      <c r="D1232" s="2" t="s">
        <v>332</v>
      </c>
      <c r="E1232" s="2" t="s">
        <v>108</v>
      </c>
      <c r="F1232" s="2" t="s">
        <v>39</v>
      </c>
      <c r="G1232" s="2">
        <v>513493557</v>
      </c>
      <c r="H1232" s="2" t="s">
        <v>41</v>
      </c>
      <c r="I1232" s="2" t="s">
        <v>279</v>
      </c>
      <c r="J1232" s="2" t="s">
        <v>333</v>
      </c>
      <c r="L1232" s="2" t="s">
        <v>177</v>
      </c>
      <c r="M1232" s="2" t="s">
        <v>41</v>
      </c>
      <c r="P1232" s="2" t="s">
        <v>166</v>
      </c>
      <c r="Q1232" s="2" t="s">
        <v>1046</v>
      </c>
      <c r="R1232" s="2" t="s">
        <v>1047</v>
      </c>
      <c r="S1232" s="2">
        <v>6</v>
      </c>
      <c r="T1232" s="2">
        <v>9</v>
      </c>
      <c r="U1232" s="2">
        <v>2.0699999999999998</v>
      </c>
      <c r="V1232" s="2">
        <v>11.07</v>
      </c>
      <c r="X1232" s="5">
        <f t="shared" si="175"/>
        <v>1</v>
      </c>
      <c r="Z1232" s="2" t="s">
        <v>3227</v>
      </c>
      <c r="AA1232" s="2" t="s">
        <v>87</v>
      </c>
      <c r="AB1232" s="2" t="s">
        <v>119</v>
      </c>
      <c r="AC1232" s="2" t="s">
        <v>166</v>
      </c>
      <c r="AF1232" s="2">
        <f t="shared" si="171"/>
        <v>0</v>
      </c>
      <c r="AJ1232" s="2">
        <f t="shared" si="172"/>
        <v>0</v>
      </c>
      <c r="AK1232" s="2">
        <f t="shared" si="173"/>
        <v>9</v>
      </c>
      <c r="AL1232" s="5">
        <f t="shared" si="174"/>
        <v>1</v>
      </c>
    </row>
    <row r="1233" spans="1:38" x14ac:dyDescent="0.2">
      <c r="A1233" s="2">
        <v>2025</v>
      </c>
      <c r="B1233" s="2">
        <v>7</v>
      </c>
      <c r="D1233" s="2" t="s">
        <v>731</v>
      </c>
      <c r="E1233" s="2" t="s">
        <v>108</v>
      </c>
      <c r="G1233" s="2">
        <v>502757396</v>
      </c>
      <c r="H1233" s="2" t="s">
        <v>40</v>
      </c>
      <c r="I1233" s="2" t="s">
        <v>99</v>
      </c>
      <c r="J1233" s="2" t="s">
        <v>732</v>
      </c>
      <c r="L1233" s="2" t="s">
        <v>99</v>
      </c>
      <c r="M1233" s="2" t="s">
        <v>80</v>
      </c>
      <c r="P1233" s="2" t="s">
        <v>152</v>
      </c>
      <c r="Q1233" s="2" t="s">
        <v>153</v>
      </c>
      <c r="R1233" s="2" t="s">
        <v>154</v>
      </c>
      <c r="S1233" s="2">
        <v>20</v>
      </c>
      <c r="T1233" s="2">
        <v>10</v>
      </c>
      <c r="U1233" s="2">
        <v>2.2999999999999998</v>
      </c>
      <c r="V1233" s="2">
        <v>12.3</v>
      </c>
      <c r="W1233" s="2">
        <f>0.4617*S1233</f>
        <v>9.234</v>
      </c>
      <c r="X1233" s="5">
        <f t="shared" si="175"/>
        <v>7.6600000000000001E-2</v>
      </c>
      <c r="Z1233" s="2" t="s">
        <v>3227</v>
      </c>
      <c r="AA1233" s="2" t="s">
        <v>155</v>
      </c>
      <c r="AB1233" s="2" t="s">
        <v>154</v>
      </c>
      <c r="AC1233" s="2" t="s">
        <v>152</v>
      </c>
      <c r="AF1233" s="2">
        <f t="shared" si="171"/>
        <v>0</v>
      </c>
      <c r="AG1233" s="2">
        <v>0.4617</v>
      </c>
      <c r="AJ1233" s="2">
        <f t="shared" si="172"/>
        <v>0</v>
      </c>
      <c r="AK1233" s="2">
        <f t="shared" si="173"/>
        <v>0.76600000000000001</v>
      </c>
      <c r="AL1233" s="5">
        <f t="shared" si="174"/>
        <v>7.6600000000000001E-2</v>
      </c>
    </row>
    <row r="1234" spans="1:38" x14ac:dyDescent="0.2">
      <c r="A1234" s="2">
        <v>2025</v>
      </c>
      <c r="B1234" s="2">
        <v>7</v>
      </c>
      <c r="C1234" s="2" t="s">
        <v>3414</v>
      </c>
      <c r="D1234" s="2" t="s">
        <v>1350</v>
      </c>
      <c r="E1234" s="2" t="s">
        <v>38</v>
      </c>
      <c r="F1234" s="2" t="s">
        <v>39</v>
      </c>
      <c r="L1234" s="2" t="s">
        <v>99</v>
      </c>
      <c r="M1234" s="2" t="s">
        <v>40</v>
      </c>
      <c r="P1234" s="2" t="s">
        <v>114</v>
      </c>
      <c r="Q1234" s="2" t="s">
        <v>1499</v>
      </c>
      <c r="R1234" s="2" t="s">
        <v>1500</v>
      </c>
      <c r="S1234" s="2">
        <v>1</v>
      </c>
      <c r="T1234" s="2">
        <v>691.03</v>
      </c>
      <c r="U1234" s="2">
        <v>158.93690000000001</v>
      </c>
      <c r="V1234" s="2">
        <v>849.96690000000001</v>
      </c>
      <c r="W1234" s="2">
        <f>319.66</f>
        <v>319.66000000000003</v>
      </c>
      <c r="X1234" s="5">
        <f t="shared" si="175"/>
        <v>0.53741516287281299</v>
      </c>
      <c r="Z1234" s="2" t="s">
        <v>117</v>
      </c>
      <c r="AA1234" s="2" t="s">
        <v>118</v>
      </c>
      <c r="AB1234" s="2" t="s">
        <v>119</v>
      </c>
      <c r="AC1234" s="2" t="s">
        <v>114</v>
      </c>
      <c r="AF1234" s="2">
        <f t="shared" si="171"/>
        <v>0</v>
      </c>
      <c r="AJ1234" s="2">
        <f t="shared" si="172"/>
        <v>0</v>
      </c>
      <c r="AK1234" s="2">
        <f t="shared" si="173"/>
        <v>371.36999999999995</v>
      </c>
      <c r="AL1234" s="5">
        <f t="shared" si="174"/>
        <v>0.53741516287281299</v>
      </c>
    </row>
    <row r="1235" spans="1:38" x14ac:dyDescent="0.2">
      <c r="A1235" s="2">
        <v>2025</v>
      </c>
      <c r="B1235" s="2">
        <v>7</v>
      </c>
      <c r="D1235" s="2" t="s">
        <v>336</v>
      </c>
      <c r="E1235" s="2" t="s">
        <v>108</v>
      </c>
      <c r="F1235" s="2" t="s">
        <v>39</v>
      </c>
      <c r="G1235" s="2">
        <v>503373494</v>
      </c>
      <c r="H1235" s="2" t="s">
        <v>290</v>
      </c>
      <c r="I1235" s="2" t="s">
        <v>337</v>
      </c>
      <c r="J1235" s="2" t="s">
        <v>338</v>
      </c>
      <c r="K1235" s="2">
        <v>965852001</v>
      </c>
      <c r="L1235" s="2" t="s">
        <v>339</v>
      </c>
      <c r="M1235" s="2" t="s">
        <v>80</v>
      </c>
      <c r="P1235" s="2" t="s">
        <v>43</v>
      </c>
      <c r="Q1235" s="2" t="s">
        <v>48</v>
      </c>
      <c r="R1235" s="2" t="s">
        <v>49</v>
      </c>
      <c r="S1235" s="2">
        <v>5</v>
      </c>
      <c r="T1235" s="2">
        <v>60</v>
      </c>
      <c r="U1235" s="2">
        <v>13.8</v>
      </c>
      <c r="V1235" s="2">
        <v>73.8</v>
      </c>
      <c r="W1235" s="2">
        <f>6.6267*S1235</f>
        <v>33.133499999999998</v>
      </c>
      <c r="X1235" s="5">
        <f t="shared" si="175"/>
        <v>0.44777500000000003</v>
      </c>
      <c r="Z1235" s="2" t="s">
        <v>3227</v>
      </c>
      <c r="AA1235" s="2" t="s">
        <v>46</v>
      </c>
      <c r="AB1235" s="2" t="s">
        <v>47</v>
      </c>
      <c r="AC1235" s="2" t="s">
        <v>57</v>
      </c>
      <c r="AF1235" s="2">
        <f t="shared" si="171"/>
        <v>0</v>
      </c>
      <c r="AG1235" s="2">
        <v>6.6266999999999996</v>
      </c>
      <c r="AH1235" s="2">
        <v>12</v>
      </c>
      <c r="AJ1235" s="2">
        <f t="shared" si="172"/>
        <v>0</v>
      </c>
      <c r="AK1235" s="2">
        <f t="shared" si="173"/>
        <v>26.866500000000002</v>
      </c>
      <c r="AL1235" s="5">
        <f t="shared" si="174"/>
        <v>0.44777500000000003</v>
      </c>
    </row>
    <row r="1236" spans="1:38" x14ac:dyDescent="0.2">
      <c r="A1236" s="2">
        <v>2025</v>
      </c>
      <c r="B1236" s="2">
        <v>7</v>
      </c>
      <c r="D1236" s="2" t="s">
        <v>336</v>
      </c>
      <c r="E1236" s="2" t="s">
        <v>108</v>
      </c>
      <c r="F1236" s="2" t="s">
        <v>39</v>
      </c>
      <c r="G1236" s="2">
        <v>503373494</v>
      </c>
      <c r="H1236" s="2" t="s">
        <v>290</v>
      </c>
      <c r="I1236" s="2" t="s">
        <v>337</v>
      </c>
      <c r="J1236" s="2" t="s">
        <v>338</v>
      </c>
      <c r="K1236" s="2">
        <v>965852001</v>
      </c>
      <c r="L1236" s="2" t="s">
        <v>339</v>
      </c>
      <c r="M1236" s="2" t="s">
        <v>80</v>
      </c>
      <c r="P1236" s="2" t="s">
        <v>43</v>
      </c>
      <c r="Q1236" s="2" t="s">
        <v>160</v>
      </c>
      <c r="R1236" s="2" t="s">
        <v>161</v>
      </c>
      <c r="S1236" s="2">
        <v>2</v>
      </c>
      <c r="T1236" s="2">
        <v>15.6</v>
      </c>
      <c r="U1236" s="2">
        <v>3.5880000000000001</v>
      </c>
      <c r="V1236" s="2">
        <v>19.187999999999999</v>
      </c>
      <c r="W1236" s="2">
        <f>3.7358*S1236</f>
        <v>7.4715999999999996</v>
      </c>
      <c r="X1236" s="5">
        <f t="shared" si="175"/>
        <v>0.52105128205128204</v>
      </c>
      <c r="Z1236" s="2" t="s">
        <v>3227</v>
      </c>
      <c r="AA1236" s="2" t="s">
        <v>46</v>
      </c>
      <c r="AB1236" s="2" t="s">
        <v>47</v>
      </c>
      <c r="AC1236" s="2" t="s">
        <v>57</v>
      </c>
      <c r="AF1236" s="2">
        <f t="shared" si="171"/>
        <v>0</v>
      </c>
      <c r="AG1236" s="2">
        <v>3.7357999999999998</v>
      </c>
      <c r="AH1236" s="2">
        <v>9</v>
      </c>
      <c r="AJ1236" s="2">
        <f t="shared" si="172"/>
        <v>0</v>
      </c>
      <c r="AK1236" s="2">
        <f t="shared" si="173"/>
        <v>8.1283999999999992</v>
      </c>
      <c r="AL1236" s="5">
        <f t="shared" si="174"/>
        <v>0.52105128205128204</v>
      </c>
    </row>
    <row r="1237" spans="1:38" x14ac:dyDescent="0.2">
      <c r="A1237" s="2">
        <v>2025</v>
      </c>
      <c r="B1237" s="2">
        <v>7</v>
      </c>
      <c r="D1237" s="2" t="s">
        <v>336</v>
      </c>
      <c r="E1237" s="2" t="s">
        <v>108</v>
      </c>
      <c r="F1237" s="2" t="s">
        <v>39</v>
      </c>
      <c r="G1237" s="2">
        <v>503373494</v>
      </c>
      <c r="H1237" s="2" t="s">
        <v>290</v>
      </c>
      <c r="I1237" s="2" t="s">
        <v>337</v>
      </c>
      <c r="J1237" s="2" t="s">
        <v>338</v>
      </c>
      <c r="K1237" s="2">
        <v>965852001</v>
      </c>
      <c r="L1237" s="2" t="s">
        <v>339</v>
      </c>
      <c r="M1237" s="2" t="s">
        <v>80</v>
      </c>
      <c r="P1237" s="2" t="s">
        <v>43</v>
      </c>
      <c r="Q1237" s="2" t="s">
        <v>52</v>
      </c>
      <c r="R1237" s="2" t="s">
        <v>53</v>
      </c>
      <c r="S1237" s="2">
        <v>2</v>
      </c>
      <c r="T1237" s="2">
        <v>19.2</v>
      </c>
      <c r="U1237" s="2">
        <v>4.4160000000000004</v>
      </c>
      <c r="V1237" s="2">
        <v>23.616</v>
      </c>
      <c r="W1237" s="2">
        <f>5.2973*S1237</f>
        <v>10.5946</v>
      </c>
      <c r="X1237" s="5">
        <f t="shared" si="175"/>
        <v>0.44819791666666664</v>
      </c>
      <c r="Z1237" s="2" t="s">
        <v>3227</v>
      </c>
      <c r="AA1237" s="2" t="s">
        <v>46</v>
      </c>
      <c r="AB1237" s="2" t="s">
        <v>47</v>
      </c>
      <c r="AC1237" s="2" t="s">
        <v>57</v>
      </c>
      <c r="AF1237" s="2">
        <f t="shared" si="171"/>
        <v>0</v>
      </c>
      <c r="AG1237" s="2">
        <v>5.2972999999999999</v>
      </c>
      <c r="AH1237" s="2">
        <v>10.8</v>
      </c>
      <c r="AJ1237" s="2">
        <f t="shared" si="172"/>
        <v>0</v>
      </c>
      <c r="AK1237" s="2">
        <f t="shared" si="173"/>
        <v>8.6053999999999995</v>
      </c>
      <c r="AL1237" s="5">
        <f t="shared" si="174"/>
        <v>0.44819791666666664</v>
      </c>
    </row>
    <row r="1238" spans="1:38" x14ac:dyDescent="0.2">
      <c r="A1238" s="2">
        <v>2025</v>
      </c>
      <c r="B1238" s="2">
        <v>7</v>
      </c>
      <c r="D1238" s="2" t="s">
        <v>336</v>
      </c>
      <c r="E1238" s="2" t="s">
        <v>108</v>
      </c>
      <c r="F1238" s="2" t="s">
        <v>39</v>
      </c>
      <c r="G1238" s="2">
        <v>503373494</v>
      </c>
      <c r="H1238" s="2" t="s">
        <v>290</v>
      </c>
      <c r="I1238" s="2" t="s">
        <v>337</v>
      </c>
      <c r="J1238" s="2" t="s">
        <v>338</v>
      </c>
      <c r="K1238" s="2">
        <v>965852001</v>
      </c>
      <c r="L1238" s="2" t="s">
        <v>339</v>
      </c>
      <c r="M1238" s="2" t="s">
        <v>80</v>
      </c>
      <c r="P1238" s="2" t="s">
        <v>43</v>
      </c>
      <c r="Q1238" s="2" t="s">
        <v>54</v>
      </c>
      <c r="R1238" s="2" t="s">
        <v>55</v>
      </c>
      <c r="S1238" s="2">
        <v>5</v>
      </c>
      <c r="T1238" s="2">
        <v>85</v>
      </c>
      <c r="U1238" s="2">
        <v>19.55</v>
      </c>
      <c r="V1238" s="2">
        <v>104.55</v>
      </c>
      <c r="W1238" s="2">
        <f>10.6*S1238</f>
        <v>53</v>
      </c>
      <c r="X1238" s="5">
        <f t="shared" si="175"/>
        <v>0.37647058823529411</v>
      </c>
      <c r="Z1238" s="2" t="s">
        <v>3227</v>
      </c>
      <c r="AA1238" s="2" t="s">
        <v>46</v>
      </c>
      <c r="AB1238" s="2" t="s">
        <v>56</v>
      </c>
      <c r="AC1238" s="2" t="s">
        <v>57</v>
      </c>
      <c r="AF1238" s="2">
        <f t="shared" si="171"/>
        <v>0</v>
      </c>
      <c r="AG1238" s="2">
        <v>10.6</v>
      </c>
      <c r="AH1238" s="2">
        <v>18</v>
      </c>
      <c r="AJ1238" s="2">
        <f t="shared" si="172"/>
        <v>0</v>
      </c>
      <c r="AK1238" s="2">
        <f t="shared" si="173"/>
        <v>32</v>
      </c>
      <c r="AL1238" s="5">
        <f t="shared" si="174"/>
        <v>0.37647058823529411</v>
      </c>
    </row>
    <row r="1239" spans="1:38" x14ac:dyDescent="0.2">
      <c r="A1239" s="2">
        <v>2025</v>
      </c>
      <c r="B1239" s="2">
        <v>7</v>
      </c>
      <c r="D1239" s="2" t="s">
        <v>336</v>
      </c>
      <c r="E1239" s="2" t="s">
        <v>108</v>
      </c>
      <c r="F1239" s="2" t="s">
        <v>39</v>
      </c>
      <c r="G1239" s="2">
        <v>503373494</v>
      </c>
      <c r="H1239" s="2" t="s">
        <v>290</v>
      </c>
      <c r="I1239" s="2" t="s">
        <v>337</v>
      </c>
      <c r="J1239" s="2" t="s">
        <v>338</v>
      </c>
      <c r="K1239" s="2">
        <v>965852001</v>
      </c>
      <c r="L1239" s="2" t="s">
        <v>339</v>
      </c>
      <c r="M1239" s="2" t="s">
        <v>80</v>
      </c>
      <c r="P1239" s="2" t="s">
        <v>43</v>
      </c>
      <c r="Q1239" s="2" t="s">
        <v>61</v>
      </c>
      <c r="R1239" s="2" t="s">
        <v>62</v>
      </c>
      <c r="S1239" s="2">
        <v>200</v>
      </c>
      <c r="T1239" s="2">
        <v>26</v>
      </c>
      <c r="U1239" s="2">
        <v>5.98</v>
      </c>
      <c r="V1239" s="2">
        <v>31.98</v>
      </c>
      <c r="W1239" s="2">
        <f>0.082*S1239</f>
        <v>16.400000000000002</v>
      </c>
      <c r="X1239" s="5">
        <f t="shared" si="175"/>
        <v>0.36923076923076914</v>
      </c>
      <c r="Z1239" s="2" t="s">
        <v>3227</v>
      </c>
      <c r="AA1239" s="2" t="s">
        <v>46</v>
      </c>
      <c r="AB1239" s="2" t="s">
        <v>60</v>
      </c>
      <c r="AC1239" s="2" t="s">
        <v>57</v>
      </c>
      <c r="AF1239" s="2">
        <f t="shared" si="171"/>
        <v>0</v>
      </c>
      <c r="AG1239" s="2">
        <v>8.1999999999999993</v>
      </c>
      <c r="AH1239" s="2">
        <v>13</v>
      </c>
      <c r="AJ1239" s="2">
        <f t="shared" si="172"/>
        <v>0</v>
      </c>
      <c r="AK1239" s="2">
        <f t="shared" si="173"/>
        <v>9.5999999999999979</v>
      </c>
      <c r="AL1239" s="5">
        <f t="shared" si="174"/>
        <v>0.36923076923076914</v>
      </c>
    </row>
    <row r="1240" spans="1:38" x14ac:dyDescent="0.2">
      <c r="A1240" s="2">
        <v>2025</v>
      </c>
      <c r="B1240" s="2">
        <v>7</v>
      </c>
      <c r="D1240" s="2" t="s">
        <v>336</v>
      </c>
      <c r="E1240" s="2" t="s">
        <v>108</v>
      </c>
      <c r="F1240" s="2" t="s">
        <v>39</v>
      </c>
      <c r="G1240" s="2">
        <v>503373494</v>
      </c>
      <c r="H1240" s="2" t="s">
        <v>290</v>
      </c>
      <c r="I1240" s="2" t="s">
        <v>337</v>
      </c>
      <c r="J1240" s="2" t="s">
        <v>338</v>
      </c>
      <c r="K1240" s="2">
        <v>965852001</v>
      </c>
      <c r="L1240" s="2" t="s">
        <v>339</v>
      </c>
      <c r="M1240" s="2" t="s">
        <v>80</v>
      </c>
      <c r="P1240" s="2" t="s">
        <v>43</v>
      </c>
      <c r="Q1240" s="2" t="s">
        <v>254</v>
      </c>
      <c r="R1240" s="2" t="s">
        <v>255</v>
      </c>
      <c r="S1240" s="2">
        <v>200</v>
      </c>
      <c r="T1240" s="2">
        <v>28</v>
      </c>
      <c r="U1240" s="2">
        <v>6.44</v>
      </c>
      <c r="V1240" s="2">
        <v>34.44</v>
      </c>
      <c r="W1240" s="2">
        <f>0.0914*S1240</f>
        <v>18.279999999999998</v>
      </c>
      <c r="X1240" s="5">
        <f t="shared" si="175"/>
        <v>0.34714285714285725</v>
      </c>
      <c r="Z1240" s="2" t="s">
        <v>3227</v>
      </c>
      <c r="AA1240" s="2" t="s">
        <v>46</v>
      </c>
      <c r="AB1240" s="2" t="s">
        <v>60</v>
      </c>
      <c r="AC1240" s="2" t="s">
        <v>57</v>
      </c>
      <c r="AF1240" s="2">
        <f t="shared" si="171"/>
        <v>0</v>
      </c>
      <c r="AJ1240" s="2">
        <f t="shared" si="172"/>
        <v>0</v>
      </c>
      <c r="AK1240" s="2">
        <f t="shared" si="173"/>
        <v>9.7200000000000024</v>
      </c>
      <c r="AL1240" s="5">
        <f t="shared" si="174"/>
        <v>0.34714285714285725</v>
      </c>
    </row>
    <row r="1241" spans="1:38" x14ac:dyDescent="0.2">
      <c r="A1241" s="2">
        <v>2025</v>
      </c>
      <c r="B1241" s="2">
        <v>7</v>
      </c>
      <c r="D1241" s="2" t="s">
        <v>737</v>
      </c>
      <c r="E1241" s="2" t="s">
        <v>108</v>
      </c>
      <c r="F1241" s="2" t="s">
        <v>717</v>
      </c>
      <c r="G1241" s="2">
        <v>500331596</v>
      </c>
      <c r="H1241" s="2" t="s">
        <v>40</v>
      </c>
      <c r="I1241" s="2" t="s">
        <v>738</v>
      </c>
      <c r="J1241" s="2" t="s">
        <v>739</v>
      </c>
      <c r="L1241" s="2" t="s">
        <v>344</v>
      </c>
      <c r="M1241" s="2" t="s">
        <v>40</v>
      </c>
      <c r="O1241" s="2" t="s">
        <v>1501</v>
      </c>
      <c r="P1241" s="2" t="s">
        <v>114</v>
      </c>
      <c r="Q1241" s="2" t="s">
        <v>779</v>
      </c>
      <c r="R1241" s="2" t="s">
        <v>780</v>
      </c>
      <c r="S1241" s="2">
        <v>2</v>
      </c>
      <c r="T1241" s="2">
        <v>153.34</v>
      </c>
      <c r="U1241" s="2">
        <v>35.2682</v>
      </c>
      <c r="V1241" s="2">
        <v>188.60820000000001</v>
      </c>
      <c r="X1241" s="5">
        <f t="shared" si="175"/>
        <v>1</v>
      </c>
      <c r="Z1241" s="2" t="s">
        <v>117</v>
      </c>
      <c r="AF1241" s="2">
        <f t="shared" si="171"/>
        <v>0</v>
      </c>
      <c r="AJ1241" s="2">
        <f t="shared" si="172"/>
        <v>0</v>
      </c>
      <c r="AK1241" s="2">
        <f t="shared" si="173"/>
        <v>153.34</v>
      </c>
      <c r="AL1241" s="5">
        <f t="shared" si="174"/>
        <v>1</v>
      </c>
    </row>
    <row r="1242" spans="1:38" x14ac:dyDescent="0.2">
      <c r="A1242" s="2">
        <v>2025</v>
      </c>
      <c r="B1242" s="2">
        <v>7</v>
      </c>
      <c r="D1242" s="2" t="s">
        <v>741</v>
      </c>
      <c r="P1242" s="2" t="s">
        <v>40</v>
      </c>
      <c r="Q1242" s="2" t="s">
        <v>363</v>
      </c>
      <c r="R1242" s="2" t="s">
        <v>364</v>
      </c>
      <c r="S1242" s="2">
        <v>1</v>
      </c>
      <c r="T1242" s="2">
        <v>70</v>
      </c>
      <c r="U1242" s="2">
        <v>16.100000000000001</v>
      </c>
      <c r="V1242" s="2">
        <v>86.1</v>
      </c>
      <c r="X1242" s="5">
        <f t="shared" si="175"/>
        <v>1</v>
      </c>
      <c r="Z1242" s="2" t="s">
        <v>119</v>
      </c>
      <c r="AA1242" s="2" t="s">
        <v>3380</v>
      </c>
      <c r="AF1242" s="2">
        <f t="shared" si="171"/>
        <v>0</v>
      </c>
      <c r="AJ1242" s="2">
        <f t="shared" si="172"/>
        <v>0</v>
      </c>
      <c r="AK1242" s="2">
        <f t="shared" si="173"/>
        <v>70</v>
      </c>
      <c r="AL1242" s="5">
        <f t="shared" si="174"/>
        <v>1</v>
      </c>
    </row>
    <row r="1243" spans="1:38" x14ac:dyDescent="0.2">
      <c r="A1243" s="2">
        <v>2025</v>
      </c>
      <c r="B1243" s="2">
        <v>7</v>
      </c>
      <c r="D1243" s="2" t="s">
        <v>1354</v>
      </c>
      <c r="P1243" s="2" t="s">
        <v>282</v>
      </c>
      <c r="Q1243" s="2" t="s">
        <v>1436</v>
      </c>
      <c r="R1243" s="2" t="s">
        <v>1437</v>
      </c>
      <c r="S1243" s="2">
        <v>20</v>
      </c>
      <c r="T1243" s="2">
        <v>158</v>
      </c>
      <c r="U1243" s="2">
        <v>36.340000000000003</v>
      </c>
      <c r="V1243" s="2">
        <v>194.34</v>
      </c>
      <c r="W1243" s="2">
        <f>5.135*S1243</f>
        <v>102.69999999999999</v>
      </c>
      <c r="X1243" s="5">
        <f t="shared" si="175"/>
        <v>0.35000000000000009</v>
      </c>
      <c r="Z1243" s="2" t="s">
        <v>3227</v>
      </c>
      <c r="AA1243" s="2" t="s">
        <v>71</v>
      </c>
      <c r="AB1243" s="2" t="s">
        <v>119</v>
      </c>
      <c r="AC1243" s="2" t="s">
        <v>119</v>
      </c>
      <c r="AF1243" s="2">
        <f t="shared" si="171"/>
        <v>0</v>
      </c>
      <c r="AJ1243" s="2">
        <f t="shared" si="172"/>
        <v>0</v>
      </c>
      <c r="AK1243" s="2">
        <f t="shared" si="173"/>
        <v>55.300000000000011</v>
      </c>
      <c r="AL1243" s="5">
        <f t="shared" si="174"/>
        <v>0.35000000000000009</v>
      </c>
    </row>
    <row r="1244" spans="1:38" x14ac:dyDescent="0.2">
      <c r="A1244" s="2">
        <v>2025</v>
      </c>
      <c r="B1244" s="2">
        <v>7</v>
      </c>
      <c r="D1244" s="2" t="s">
        <v>1502</v>
      </c>
      <c r="E1244" s="2" t="s">
        <v>38</v>
      </c>
      <c r="F1244" s="2" t="s">
        <v>39</v>
      </c>
      <c r="G1244" s="2">
        <v>505483335</v>
      </c>
      <c r="H1244" s="2" t="s">
        <v>40</v>
      </c>
      <c r="I1244" s="2" t="s">
        <v>1503</v>
      </c>
      <c r="J1244" s="2" t="s">
        <v>1504</v>
      </c>
      <c r="K1244" s="2">
        <v>961386655</v>
      </c>
      <c r="L1244" s="2" t="s">
        <v>133</v>
      </c>
      <c r="M1244" s="2" t="s">
        <v>40</v>
      </c>
      <c r="O1244" s="2" t="s">
        <v>1505</v>
      </c>
      <c r="P1244" s="2" t="s">
        <v>43</v>
      </c>
      <c r="Q1244" s="2" t="s">
        <v>54</v>
      </c>
      <c r="R1244" s="2" t="s">
        <v>55</v>
      </c>
      <c r="S1244" s="2">
        <v>1</v>
      </c>
      <c r="T1244" s="2">
        <v>18</v>
      </c>
      <c r="U1244" s="2">
        <v>4.1400000000000006</v>
      </c>
      <c r="V1244" s="2">
        <v>22.14</v>
      </c>
      <c r="W1244" s="2">
        <f>10.6*S1244</f>
        <v>10.6</v>
      </c>
      <c r="X1244" s="5">
        <f t="shared" si="175"/>
        <v>0.41111111111111115</v>
      </c>
      <c r="Z1244" s="2" t="s">
        <v>3227</v>
      </c>
      <c r="AA1244" s="2" t="s">
        <v>46</v>
      </c>
      <c r="AB1244" s="2" t="s">
        <v>56</v>
      </c>
      <c r="AC1244" s="2" t="s">
        <v>57</v>
      </c>
      <c r="AF1244" s="2">
        <f t="shared" si="171"/>
        <v>0</v>
      </c>
      <c r="AG1244" s="2">
        <v>10.6</v>
      </c>
      <c r="AH1244" s="2">
        <v>18</v>
      </c>
      <c r="AJ1244" s="2">
        <f t="shared" si="172"/>
        <v>0</v>
      </c>
      <c r="AK1244" s="2">
        <f t="shared" si="173"/>
        <v>7.4</v>
      </c>
      <c r="AL1244" s="5">
        <f t="shared" si="174"/>
        <v>0.41111111111111115</v>
      </c>
    </row>
    <row r="1245" spans="1:38" x14ac:dyDescent="0.2">
      <c r="A1245" s="2">
        <v>2025</v>
      </c>
      <c r="B1245" s="2">
        <v>7</v>
      </c>
      <c r="D1245" s="2" t="s">
        <v>1502</v>
      </c>
      <c r="E1245" s="2" t="s">
        <v>38</v>
      </c>
      <c r="F1245" s="2" t="s">
        <v>39</v>
      </c>
      <c r="G1245" s="2">
        <v>505483335</v>
      </c>
      <c r="H1245" s="2" t="s">
        <v>40</v>
      </c>
      <c r="I1245" s="2" t="s">
        <v>1503</v>
      </c>
      <c r="J1245" s="2" t="s">
        <v>1504</v>
      </c>
      <c r="K1245" s="2">
        <v>961386655</v>
      </c>
      <c r="L1245" s="2" t="s">
        <v>133</v>
      </c>
      <c r="M1245" s="2" t="s">
        <v>40</v>
      </c>
      <c r="O1245" s="2" t="s">
        <v>1505</v>
      </c>
      <c r="P1245" s="2" t="s">
        <v>43</v>
      </c>
      <c r="Q1245" s="2" t="s">
        <v>61</v>
      </c>
      <c r="R1245" s="2" t="s">
        <v>62</v>
      </c>
      <c r="S1245" s="2">
        <v>100</v>
      </c>
      <c r="T1245" s="2">
        <v>13</v>
      </c>
      <c r="U1245" s="2">
        <v>2.99</v>
      </c>
      <c r="V1245" s="2">
        <v>15.99</v>
      </c>
      <c r="W1245" s="2">
        <f>0.082*S1245</f>
        <v>8.2000000000000011</v>
      </c>
      <c r="X1245" s="5">
        <f t="shared" si="175"/>
        <v>0.36923076923076914</v>
      </c>
      <c r="Z1245" s="2" t="s">
        <v>3227</v>
      </c>
      <c r="AA1245" s="2" t="s">
        <v>46</v>
      </c>
      <c r="AB1245" s="2" t="s">
        <v>60</v>
      </c>
      <c r="AC1245" s="2" t="s">
        <v>57</v>
      </c>
      <c r="AF1245" s="2">
        <f t="shared" si="171"/>
        <v>0</v>
      </c>
      <c r="AG1245" s="2">
        <v>8.1999999999999993</v>
      </c>
      <c r="AH1245" s="2">
        <v>13</v>
      </c>
      <c r="AJ1245" s="2">
        <f t="shared" si="172"/>
        <v>0</v>
      </c>
      <c r="AK1245" s="2">
        <f t="shared" si="173"/>
        <v>4.7999999999999989</v>
      </c>
      <c r="AL1245" s="5">
        <f t="shared" si="174"/>
        <v>0.36923076923076914</v>
      </c>
    </row>
    <row r="1246" spans="1:38" x14ac:dyDescent="0.2">
      <c r="A1246" s="2">
        <v>2025</v>
      </c>
      <c r="B1246" s="2">
        <v>7</v>
      </c>
      <c r="D1246" s="2" t="s">
        <v>1502</v>
      </c>
      <c r="E1246" s="2" t="s">
        <v>38</v>
      </c>
      <c r="F1246" s="2" t="s">
        <v>39</v>
      </c>
      <c r="G1246" s="2">
        <v>505483335</v>
      </c>
      <c r="H1246" s="2" t="s">
        <v>40</v>
      </c>
      <c r="I1246" s="2" t="s">
        <v>1503</v>
      </c>
      <c r="J1246" s="2" t="s">
        <v>1504</v>
      </c>
      <c r="K1246" s="2">
        <v>961386655</v>
      </c>
      <c r="L1246" s="2" t="s">
        <v>133</v>
      </c>
      <c r="M1246" s="2" t="s">
        <v>40</v>
      </c>
      <c r="O1246" s="2" t="s">
        <v>1505</v>
      </c>
      <c r="P1246" s="2" t="s">
        <v>43</v>
      </c>
      <c r="Q1246" s="2" t="s">
        <v>256</v>
      </c>
      <c r="R1246" s="2" t="s">
        <v>257</v>
      </c>
      <c r="S1246" s="2">
        <v>1</v>
      </c>
      <c r="T1246" s="2">
        <v>3</v>
      </c>
      <c r="U1246" s="2">
        <v>0.69000000000000006</v>
      </c>
      <c r="V1246" s="2">
        <v>3.69</v>
      </c>
      <c r="W1246" s="2">
        <v>0.98</v>
      </c>
      <c r="X1246" s="5">
        <f t="shared" si="175"/>
        <v>0.67333333333333334</v>
      </c>
      <c r="Z1246" s="2" t="s">
        <v>3227</v>
      </c>
      <c r="AA1246" s="2" t="s">
        <v>46</v>
      </c>
      <c r="AB1246" s="2" t="s">
        <v>90</v>
      </c>
      <c r="AC1246" s="2" t="s">
        <v>57</v>
      </c>
      <c r="AF1246" s="2">
        <f t="shared" si="171"/>
        <v>0</v>
      </c>
      <c r="AG1246" s="2">
        <v>0.98</v>
      </c>
      <c r="AH1246" s="2">
        <v>1.8</v>
      </c>
      <c r="AJ1246" s="2">
        <f t="shared" si="172"/>
        <v>0</v>
      </c>
      <c r="AK1246" s="2">
        <f t="shared" si="173"/>
        <v>2.02</v>
      </c>
      <c r="AL1246" s="5">
        <f t="shared" si="174"/>
        <v>0.67333333333333334</v>
      </c>
    </row>
    <row r="1247" spans="1:38" x14ac:dyDescent="0.2">
      <c r="A1247" s="2">
        <v>2025</v>
      </c>
      <c r="B1247" s="2">
        <v>7</v>
      </c>
      <c r="D1247" s="2" t="s">
        <v>1502</v>
      </c>
      <c r="E1247" s="2" t="s">
        <v>38</v>
      </c>
      <c r="F1247" s="2" t="s">
        <v>39</v>
      </c>
      <c r="G1247" s="2">
        <v>505483335</v>
      </c>
      <c r="H1247" s="2" t="s">
        <v>40</v>
      </c>
      <c r="I1247" s="2" t="s">
        <v>1503</v>
      </c>
      <c r="J1247" s="2" t="s">
        <v>1504</v>
      </c>
      <c r="K1247" s="2">
        <v>961386655</v>
      </c>
      <c r="L1247" s="2" t="s">
        <v>133</v>
      </c>
      <c r="M1247" s="2" t="s">
        <v>40</v>
      </c>
      <c r="O1247" s="2" t="s">
        <v>1505</v>
      </c>
      <c r="P1247" s="2" t="s">
        <v>43</v>
      </c>
      <c r="Q1247" s="2" t="s">
        <v>164</v>
      </c>
      <c r="R1247" s="2" t="s">
        <v>165</v>
      </c>
      <c r="S1247" s="2">
        <v>1</v>
      </c>
      <c r="T1247" s="2">
        <v>15</v>
      </c>
      <c r="U1247" s="2">
        <v>3.45</v>
      </c>
      <c r="V1247" s="2">
        <v>18.45</v>
      </c>
      <c r="W1247" s="2">
        <f>7.9612*S1247</f>
        <v>7.9611999999999998</v>
      </c>
      <c r="X1247" s="5">
        <f t="shared" si="175"/>
        <v>0.46925333333333336</v>
      </c>
      <c r="Z1247" s="2" t="s">
        <v>3227</v>
      </c>
      <c r="AA1247" s="2" t="s">
        <v>46</v>
      </c>
      <c r="AB1247" s="2" t="s">
        <v>67</v>
      </c>
      <c r="AC1247" s="2" t="s">
        <v>57</v>
      </c>
      <c r="AF1247" s="2">
        <f t="shared" si="171"/>
        <v>0</v>
      </c>
      <c r="AG1247" s="2">
        <v>7.9611999999999998</v>
      </c>
      <c r="AH1247" s="2">
        <v>14.4</v>
      </c>
      <c r="AJ1247" s="2">
        <f t="shared" si="172"/>
        <v>0</v>
      </c>
      <c r="AK1247" s="2">
        <f t="shared" si="173"/>
        <v>7.0388000000000002</v>
      </c>
      <c r="AL1247" s="5">
        <f t="shared" si="174"/>
        <v>0.46925333333333336</v>
      </c>
    </row>
    <row r="1248" spans="1:38" x14ac:dyDescent="0.2">
      <c r="A1248" s="2">
        <v>2025</v>
      </c>
      <c r="B1248" s="2">
        <v>7</v>
      </c>
      <c r="D1248" s="2" t="s">
        <v>1502</v>
      </c>
      <c r="E1248" s="2" t="s">
        <v>38</v>
      </c>
      <c r="F1248" s="2" t="s">
        <v>39</v>
      </c>
      <c r="G1248" s="2">
        <v>505483335</v>
      </c>
      <c r="H1248" s="2" t="s">
        <v>40</v>
      </c>
      <c r="I1248" s="2" t="s">
        <v>1503</v>
      </c>
      <c r="J1248" s="2" t="s">
        <v>1504</v>
      </c>
      <c r="K1248" s="2">
        <v>961386655</v>
      </c>
      <c r="L1248" s="2" t="s">
        <v>133</v>
      </c>
      <c r="M1248" s="2" t="s">
        <v>40</v>
      </c>
      <c r="O1248" s="2" t="s">
        <v>1505</v>
      </c>
      <c r="P1248" s="2" t="s">
        <v>40</v>
      </c>
      <c r="Q1248" s="2" t="s">
        <v>907</v>
      </c>
      <c r="R1248" s="2" t="s">
        <v>908</v>
      </c>
      <c r="S1248" s="2">
        <v>1</v>
      </c>
      <c r="T1248" s="2">
        <v>1500</v>
      </c>
      <c r="U1248" s="2">
        <v>345</v>
      </c>
      <c r="V1248" s="2">
        <v>1845</v>
      </c>
      <c r="W1248" s="2">
        <f>T1248*75%</f>
        <v>1125</v>
      </c>
      <c r="X1248" s="5">
        <f t="shared" si="175"/>
        <v>0.25</v>
      </c>
      <c r="Z1248" s="2" t="s">
        <v>104</v>
      </c>
      <c r="AA1248" s="2" t="s">
        <v>150</v>
      </c>
      <c r="AB1248" s="2" t="s">
        <v>475</v>
      </c>
      <c r="AC1248" s="2" t="s">
        <v>475</v>
      </c>
      <c r="AF1248" s="2">
        <f t="shared" si="171"/>
        <v>0</v>
      </c>
      <c r="AJ1248" s="2">
        <f t="shared" si="172"/>
        <v>0</v>
      </c>
      <c r="AK1248" s="2">
        <f t="shared" si="173"/>
        <v>375</v>
      </c>
      <c r="AL1248" s="5">
        <f t="shared" si="174"/>
        <v>0.25</v>
      </c>
    </row>
    <row r="1249" spans="1:38" x14ac:dyDescent="0.2">
      <c r="A1249" s="2">
        <v>2025</v>
      </c>
      <c r="B1249" s="2">
        <v>7</v>
      </c>
      <c r="D1249" s="2" t="s">
        <v>1502</v>
      </c>
      <c r="E1249" s="2" t="s">
        <v>38</v>
      </c>
      <c r="F1249" s="2" t="s">
        <v>39</v>
      </c>
      <c r="G1249" s="2">
        <v>505483335</v>
      </c>
      <c r="H1249" s="2" t="s">
        <v>40</v>
      </c>
      <c r="I1249" s="2" t="s">
        <v>1503</v>
      </c>
      <c r="J1249" s="2" t="s">
        <v>1504</v>
      </c>
      <c r="K1249" s="2">
        <v>961386655</v>
      </c>
      <c r="L1249" s="2" t="s">
        <v>133</v>
      </c>
      <c r="M1249" s="2" t="s">
        <v>40</v>
      </c>
      <c r="O1249" s="2" t="s">
        <v>1505</v>
      </c>
      <c r="P1249" s="2" t="s">
        <v>40</v>
      </c>
      <c r="Q1249" s="2" t="s">
        <v>1507</v>
      </c>
      <c r="R1249" s="2" t="s">
        <v>1508</v>
      </c>
      <c r="S1249" s="2">
        <v>1</v>
      </c>
      <c r="T1249" s="2">
        <v>1500</v>
      </c>
      <c r="U1249" s="2">
        <v>345</v>
      </c>
      <c r="V1249" s="2">
        <v>1845</v>
      </c>
      <c r="W1249" s="2">
        <v>1000</v>
      </c>
      <c r="X1249" s="5">
        <f t="shared" si="175"/>
        <v>0.33333333333333331</v>
      </c>
      <c r="Z1249" s="2" t="s">
        <v>104</v>
      </c>
      <c r="AA1249" s="2" t="s">
        <v>1506</v>
      </c>
      <c r="AB1249" s="2" t="s">
        <v>1509</v>
      </c>
      <c r="AC1249" s="2" t="s">
        <v>114</v>
      </c>
      <c r="AF1249" s="2">
        <f t="shared" si="171"/>
        <v>0</v>
      </c>
      <c r="AG1249" s="2">
        <v>1000</v>
      </c>
      <c r="AJ1249" s="2">
        <f t="shared" si="172"/>
        <v>0</v>
      </c>
      <c r="AK1249" s="2">
        <f t="shared" si="173"/>
        <v>500</v>
      </c>
      <c r="AL1249" s="5">
        <f t="shared" si="174"/>
        <v>0.33333333333333331</v>
      </c>
    </row>
    <row r="1250" spans="1:38" x14ac:dyDescent="0.2">
      <c r="A1250" s="2">
        <v>2025</v>
      </c>
      <c r="B1250" s="2">
        <v>7</v>
      </c>
      <c r="D1250" s="2" t="s">
        <v>1355</v>
      </c>
      <c r="E1250" s="2" t="s">
        <v>752</v>
      </c>
      <c r="F1250" s="2" t="s">
        <v>39</v>
      </c>
      <c r="G1250" s="2">
        <v>518238334</v>
      </c>
      <c r="H1250" s="2" t="s">
        <v>41</v>
      </c>
      <c r="I1250" s="2" t="s">
        <v>762</v>
      </c>
      <c r="J1250" s="2" t="s">
        <v>1356</v>
      </c>
      <c r="L1250" s="2" t="s">
        <v>418</v>
      </c>
      <c r="P1250" s="2" t="s">
        <v>282</v>
      </c>
      <c r="Q1250" s="2" t="s">
        <v>1510</v>
      </c>
      <c r="R1250" s="2" t="s">
        <v>1511</v>
      </c>
      <c r="S1250" s="2">
        <v>1</v>
      </c>
      <c r="T1250" s="2">
        <v>45</v>
      </c>
      <c r="U1250" s="2">
        <v>10.35</v>
      </c>
      <c r="V1250" s="2">
        <v>55.35</v>
      </c>
      <c r="W1250" s="2">
        <f>27.445*S1250</f>
        <v>27.445</v>
      </c>
      <c r="X1250" s="5">
        <f t="shared" si="175"/>
        <v>0.39011111111111113</v>
      </c>
      <c r="Z1250" s="2" t="s">
        <v>3227</v>
      </c>
      <c r="AA1250" s="2" t="s">
        <v>71</v>
      </c>
      <c r="AB1250" s="2" t="s">
        <v>1600</v>
      </c>
      <c r="AC1250" s="2" t="s">
        <v>1600</v>
      </c>
      <c r="AF1250" s="2">
        <f t="shared" si="171"/>
        <v>0</v>
      </c>
      <c r="AJ1250" s="2">
        <f t="shared" si="172"/>
        <v>0</v>
      </c>
      <c r="AK1250" s="2">
        <f t="shared" ref="AK1250:AK1281" si="176">T1250-W1250</f>
        <v>17.555</v>
      </c>
      <c r="AL1250" s="5">
        <f t="shared" si="174"/>
        <v>0.39011111111111113</v>
      </c>
    </row>
    <row r="1251" spans="1:38" x14ac:dyDescent="0.2">
      <c r="A1251" s="2">
        <v>2025</v>
      </c>
      <c r="B1251" s="2">
        <v>7</v>
      </c>
      <c r="D1251" s="2" t="s">
        <v>1355</v>
      </c>
      <c r="E1251" s="2" t="s">
        <v>752</v>
      </c>
      <c r="F1251" s="2" t="s">
        <v>39</v>
      </c>
      <c r="G1251" s="2">
        <v>518238334</v>
      </c>
      <c r="H1251" s="2" t="s">
        <v>41</v>
      </c>
      <c r="I1251" s="2" t="s">
        <v>762</v>
      </c>
      <c r="J1251" s="2" t="s">
        <v>1356</v>
      </c>
      <c r="L1251" s="2" t="s">
        <v>418</v>
      </c>
      <c r="P1251" s="2" t="s">
        <v>282</v>
      </c>
      <c r="Q1251" s="2" t="s">
        <v>1512</v>
      </c>
      <c r="R1251" s="2" t="s">
        <v>1513</v>
      </c>
      <c r="S1251" s="2">
        <v>1</v>
      </c>
      <c r="T1251" s="2">
        <v>99.9</v>
      </c>
      <c r="U1251" s="2">
        <v>22.977</v>
      </c>
      <c r="V1251" s="2">
        <v>122.877</v>
      </c>
      <c r="X1251" s="5">
        <f t="shared" si="175"/>
        <v>1</v>
      </c>
      <c r="Z1251" s="2" t="s">
        <v>3227</v>
      </c>
      <c r="AF1251" s="2">
        <f t="shared" si="171"/>
        <v>0</v>
      </c>
      <c r="AJ1251" s="2">
        <f t="shared" si="172"/>
        <v>0</v>
      </c>
      <c r="AK1251" s="2">
        <f t="shared" si="176"/>
        <v>99.9</v>
      </c>
      <c r="AL1251" s="5">
        <f t="shared" si="174"/>
        <v>1</v>
      </c>
    </row>
    <row r="1252" spans="1:38" x14ac:dyDescent="0.2">
      <c r="A1252" s="2">
        <v>2025</v>
      </c>
      <c r="B1252" s="2">
        <v>7</v>
      </c>
      <c r="D1252" s="2" t="s">
        <v>744</v>
      </c>
      <c r="E1252" s="2" t="s">
        <v>108</v>
      </c>
      <c r="F1252" s="2" t="s">
        <v>39</v>
      </c>
      <c r="G1252" s="2">
        <v>509181163</v>
      </c>
      <c r="H1252" s="2" t="s">
        <v>40</v>
      </c>
      <c r="I1252" s="2" t="s">
        <v>745</v>
      </c>
      <c r="J1252" s="2" t="s">
        <v>746</v>
      </c>
      <c r="K1252" s="2">
        <v>962372760</v>
      </c>
      <c r="L1252" s="2" t="s">
        <v>201</v>
      </c>
      <c r="P1252" s="2" t="s">
        <v>114</v>
      </c>
      <c r="Q1252" s="2" t="s">
        <v>1514</v>
      </c>
      <c r="R1252" s="2" t="s">
        <v>1515</v>
      </c>
      <c r="S1252" s="2">
        <v>1</v>
      </c>
      <c r="T1252" s="2">
        <v>23.33</v>
      </c>
      <c r="U1252" s="2">
        <v>5.3658999999999999</v>
      </c>
      <c r="V1252" s="2">
        <v>28.695900000000002</v>
      </c>
      <c r="X1252" s="5">
        <f t="shared" si="175"/>
        <v>1</v>
      </c>
      <c r="Z1252" s="2" t="s">
        <v>117</v>
      </c>
      <c r="AF1252" s="2">
        <f t="shared" si="171"/>
        <v>0</v>
      </c>
      <c r="AJ1252" s="2">
        <f t="shared" si="172"/>
        <v>0</v>
      </c>
      <c r="AK1252" s="2">
        <f t="shared" si="176"/>
        <v>23.33</v>
      </c>
      <c r="AL1252" s="5">
        <f t="shared" si="174"/>
        <v>1</v>
      </c>
    </row>
    <row r="1253" spans="1:38" x14ac:dyDescent="0.2">
      <c r="A1253" s="2">
        <v>2025</v>
      </c>
      <c r="B1253" s="2">
        <v>7</v>
      </c>
      <c r="D1253" s="2" t="s">
        <v>744</v>
      </c>
      <c r="E1253" s="2" t="s">
        <v>108</v>
      </c>
      <c r="F1253" s="2" t="s">
        <v>39</v>
      </c>
      <c r="G1253" s="2">
        <v>509181163</v>
      </c>
      <c r="H1253" s="2" t="s">
        <v>40</v>
      </c>
      <c r="I1253" s="2" t="s">
        <v>745</v>
      </c>
      <c r="J1253" s="2" t="s">
        <v>746</v>
      </c>
      <c r="K1253" s="2">
        <v>962372760</v>
      </c>
      <c r="L1253" s="2" t="s">
        <v>201</v>
      </c>
      <c r="M1253" s="2" t="s">
        <v>40</v>
      </c>
      <c r="P1253" s="2" t="s">
        <v>187</v>
      </c>
      <c r="Q1253" s="2" t="s">
        <v>188</v>
      </c>
      <c r="R1253" s="2" t="s">
        <v>189</v>
      </c>
      <c r="S1253" s="2">
        <v>1</v>
      </c>
      <c r="T1253" s="2">
        <v>50</v>
      </c>
      <c r="U1253" s="2">
        <v>11.5</v>
      </c>
      <c r="V1253" s="2">
        <v>61.5</v>
      </c>
      <c r="W1253" s="2">
        <f>T1253*40%</f>
        <v>20</v>
      </c>
      <c r="X1253" s="5">
        <f t="shared" si="175"/>
        <v>0.6</v>
      </c>
      <c r="Z1253" s="2" t="s">
        <v>117</v>
      </c>
      <c r="AA1253" s="2" t="s">
        <v>190</v>
      </c>
      <c r="AB1253" s="2" t="s">
        <v>189</v>
      </c>
      <c r="AC1253" s="2" t="s">
        <v>40</v>
      </c>
      <c r="AF1253" s="2">
        <f t="shared" si="171"/>
        <v>0</v>
      </c>
      <c r="AJ1253" s="2">
        <f t="shared" si="172"/>
        <v>0</v>
      </c>
      <c r="AK1253" s="2">
        <f t="shared" si="176"/>
        <v>30</v>
      </c>
      <c r="AL1253" s="5">
        <f t="shared" si="174"/>
        <v>0.6</v>
      </c>
    </row>
    <row r="1254" spans="1:38" x14ac:dyDescent="0.2">
      <c r="A1254" s="2">
        <v>2025</v>
      </c>
      <c r="B1254" s="2">
        <v>7</v>
      </c>
      <c r="D1254" s="2" t="s">
        <v>744</v>
      </c>
      <c r="E1254" s="2" t="s">
        <v>108</v>
      </c>
      <c r="F1254" s="2" t="s">
        <v>39</v>
      </c>
      <c r="G1254" s="2">
        <v>509181163</v>
      </c>
      <c r="H1254" s="2" t="s">
        <v>40</v>
      </c>
      <c r="I1254" s="2" t="s">
        <v>745</v>
      </c>
      <c r="J1254" s="2" t="s">
        <v>746</v>
      </c>
      <c r="K1254" s="2">
        <v>962372760</v>
      </c>
      <c r="L1254" s="2" t="s">
        <v>201</v>
      </c>
      <c r="M1254" s="2" t="s">
        <v>40</v>
      </c>
      <c r="P1254" s="2" t="s">
        <v>187</v>
      </c>
      <c r="Q1254" s="2" t="s">
        <v>191</v>
      </c>
      <c r="R1254" s="2" t="s">
        <v>190</v>
      </c>
      <c r="S1254" s="2">
        <v>2</v>
      </c>
      <c r="T1254" s="2">
        <v>100</v>
      </c>
      <c r="U1254" s="2">
        <v>23</v>
      </c>
      <c r="V1254" s="2">
        <v>123</v>
      </c>
      <c r="W1254" s="2">
        <f>T1254*50%</f>
        <v>50</v>
      </c>
      <c r="X1254" s="5">
        <f t="shared" si="175"/>
        <v>0.5</v>
      </c>
      <c r="Z1254" s="2" t="s">
        <v>117</v>
      </c>
      <c r="AA1254" s="2" t="s">
        <v>190</v>
      </c>
      <c r="AB1254" s="2" t="s">
        <v>190</v>
      </c>
      <c r="AC1254" s="2" t="s">
        <v>40</v>
      </c>
      <c r="AF1254" s="2">
        <f t="shared" si="171"/>
        <v>0</v>
      </c>
      <c r="AJ1254" s="2">
        <f t="shared" si="172"/>
        <v>0</v>
      </c>
      <c r="AK1254" s="2">
        <f t="shared" si="176"/>
        <v>50</v>
      </c>
      <c r="AL1254" s="5">
        <f t="shared" si="174"/>
        <v>0.5</v>
      </c>
    </row>
    <row r="1255" spans="1:38" x14ac:dyDescent="0.2">
      <c r="A1255" s="2">
        <v>2025</v>
      </c>
      <c r="B1255" s="2">
        <v>7</v>
      </c>
      <c r="D1255" s="2" t="s">
        <v>1516</v>
      </c>
      <c r="P1255" s="2" t="s">
        <v>282</v>
      </c>
      <c r="Q1255" s="2" t="s">
        <v>1446</v>
      </c>
      <c r="R1255" s="2" t="s">
        <v>1447</v>
      </c>
      <c r="S1255" s="2">
        <v>1</v>
      </c>
      <c r="T1255" s="2">
        <v>370</v>
      </c>
      <c r="U1255" s="2">
        <v>85.100000000000009</v>
      </c>
      <c r="V1255" s="2">
        <v>455.1</v>
      </c>
      <c r="X1255" s="5">
        <f t="shared" si="175"/>
        <v>1</v>
      </c>
      <c r="Z1255" s="2" t="s">
        <v>3227</v>
      </c>
      <c r="AF1255" s="2">
        <f t="shared" si="171"/>
        <v>0</v>
      </c>
      <c r="AJ1255" s="2">
        <f t="shared" si="172"/>
        <v>0</v>
      </c>
      <c r="AK1255" s="2">
        <f t="shared" si="176"/>
        <v>370</v>
      </c>
      <c r="AL1255" s="5">
        <f t="shared" si="174"/>
        <v>1</v>
      </c>
    </row>
    <row r="1256" spans="1:38" x14ac:dyDescent="0.2">
      <c r="A1256" s="2">
        <v>2025</v>
      </c>
      <c r="B1256" s="2">
        <v>7</v>
      </c>
      <c r="D1256" s="2" t="s">
        <v>1516</v>
      </c>
      <c r="P1256" s="2" t="s">
        <v>68</v>
      </c>
      <c r="Q1256" s="2" t="s">
        <v>1517</v>
      </c>
      <c r="R1256" s="2" t="s">
        <v>1518</v>
      </c>
      <c r="S1256" s="2">
        <v>2</v>
      </c>
      <c r="T1256" s="2">
        <v>6200</v>
      </c>
      <c r="U1256" s="2">
        <v>1426</v>
      </c>
      <c r="V1256" s="2">
        <v>7626</v>
      </c>
      <c r="W1256" s="2">
        <v>2410.69</v>
      </c>
      <c r="X1256" s="5">
        <f t="shared" si="175"/>
        <v>0.61117903225806447</v>
      </c>
      <c r="Z1256" s="2" t="s">
        <v>104</v>
      </c>
      <c r="AA1256" s="2" t="s">
        <v>264</v>
      </c>
      <c r="AB1256" s="2" t="s">
        <v>1095</v>
      </c>
      <c r="AC1256" s="2" t="s">
        <v>3231</v>
      </c>
      <c r="AF1256" s="2">
        <f t="shared" si="171"/>
        <v>0</v>
      </c>
      <c r="AG1256" s="2">
        <v>2410.69</v>
      </c>
      <c r="AJ1256" s="2">
        <f t="shared" si="172"/>
        <v>0</v>
      </c>
      <c r="AK1256" s="2">
        <f t="shared" si="176"/>
        <v>3789.31</v>
      </c>
      <c r="AL1256" s="5">
        <f t="shared" si="174"/>
        <v>0.61117903225806447</v>
      </c>
    </row>
    <row r="1257" spans="1:38" x14ac:dyDescent="0.2">
      <c r="A1257" s="2">
        <v>2025</v>
      </c>
      <c r="B1257" s="2">
        <v>7</v>
      </c>
      <c r="D1257" s="2" t="s">
        <v>749</v>
      </c>
      <c r="E1257" s="2" t="s">
        <v>108</v>
      </c>
      <c r="F1257" s="2" t="s">
        <v>39</v>
      </c>
      <c r="G1257" s="2">
        <v>510039537</v>
      </c>
      <c r="H1257" s="2" t="s">
        <v>40</v>
      </c>
      <c r="I1257" s="2" t="s">
        <v>571</v>
      </c>
      <c r="J1257" s="2" t="s">
        <v>750</v>
      </c>
      <c r="K1257" s="2">
        <v>969042927</v>
      </c>
      <c r="L1257" s="2" t="s">
        <v>571</v>
      </c>
      <c r="M1257" s="2" t="s">
        <v>40</v>
      </c>
      <c r="P1257" s="2" t="s">
        <v>187</v>
      </c>
      <c r="Q1257" s="2" t="s">
        <v>188</v>
      </c>
      <c r="R1257" s="2" t="s">
        <v>189</v>
      </c>
      <c r="S1257" s="2">
        <v>1</v>
      </c>
      <c r="T1257" s="2">
        <v>184</v>
      </c>
      <c r="U1257" s="2">
        <v>42.32</v>
      </c>
      <c r="V1257" s="2">
        <v>226.32</v>
      </c>
      <c r="W1257" s="2">
        <f>T1257*40%</f>
        <v>73.600000000000009</v>
      </c>
      <c r="X1257" s="5">
        <f t="shared" si="175"/>
        <v>0.6</v>
      </c>
      <c r="Z1257" s="2" t="s">
        <v>117</v>
      </c>
      <c r="AA1257" s="2" t="s">
        <v>190</v>
      </c>
      <c r="AB1257" s="2" t="s">
        <v>189</v>
      </c>
      <c r="AC1257" s="2" t="s">
        <v>40</v>
      </c>
      <c r="AF1257" s="2">
        <f t="shared" si="171"/>
        <v>0</v>
      </c>
      <c r="AJ1257" s="2">
        <f t="shared" si="172"/>
        <v>0</v>
      </c>
      <c r="AK1257" s="2">
        <f t="shared" si="176"/>
        <v>110.39999999999999</v>
      </c>
      <c r="AL1257" s="5">
        <f t="shared" si="174"/>
        <v>0.6</v>
      </c>
    </row>
    <row r="1258" spans="1:38" x14ac:dyDescent="0.2">
      <c r="A1258" s="2">
        <v>2025</v>
      </c>
      <c r="B1258" s="2">
        <v>7</v>
      </c>
      <c r="D1258" s="2" t="s">
        <v>749</v>
      </c>
      <c r="E1258" s="2" t="s">
        <v>108</v>
      </c>
      <c r="F1258" s="2" t="s">
        <v>39</v>
      </c>
      <c r="G1258" s="2">
        <v>510039537</v>
      </c>
      <c r="H1258" s="2" t="s">
        <v>40</v>
      </c>
      <c r="I1258" s="2" t="s">
        <v>571</v>
      </c>
      <c r="J1258" s="2" t="s">
        <v>750</v>
      </c>
      <c r="K1258" s="2">
        <v>969042927</v>
      </c>
      <c r="L1258" s="2" t="s">
        <v>571</v>
      </c>
      <c r="M1258" s="2" t="s">
        <v>40</v>
      </c>
      <c r="P1258" s="2" t="s">
        <v>187</v>
      </c>
      <c r="Q1258" s="2" t="s">
        <v>191</v>
      </c>
      <c r="R1258" s="2" t="s">
        <v>190</v>
      </c>
      <c r="S1258" s="2">
        <v>2</v>
      </c>
      <c r="T1258" s="2">
        <v>100</v>
      </c>
      <c r="U1258" s="2">
        <v>23</v>
      </c>
      <c r="V1258" s="2">
        <v>123</v>
      </c>
      <c r="W1258" s="2">
        <f>T1258*50%</f>
        <v>50</v>
      </c>
      <c r="X1258" s="5">
        <f t="shared" si="175"/>
        <v>0.5</v>
      </c>
      <c r="Z1258" s="2" t="s">
        <v>117</v>
      </c>
      <c r="AA1258" s="2" t="s">
        <v>190</v>
      </c>
      <c r="AB1258" s="2" t="s">
        <v>190</v>
      </c>
      <c r="AC1258" s="2" t="s">
        <v>40</v>
      </c>
      <c r="AF1258" s="2">
        <f t="shared" si="171"/>
        <v>0</v>
      </c>
      <c r="AJ1258" s="2">
        <f t="shared" si="172"/>
        <v>0</v>
      </c>
      <c r="AK1258" s="2">
        <f t="shared" si="176"/>
        <v>50</v>
      </c>
      <c r="AL1258" s="5">
        <f t="shared" si="174"/>
        <v>0.5</v>
      </c>
    </row>
    <row r="1259" spans="1:38" x14ac:dyDescent="0.2">
      <c r="A1259" s="2">
        <v>2025</v>
      </c>
      <c r="B1259" s="2">
        <v>7</v>
      </c>
      <c r="D1259" s="2" t="s">
        <v>1519</v>
      </c>
      <c r="E1259" s="2" t="s">
        <v>38</v>
      </c>
      <c r="F1259" s="2" t="s">
        <v>39</v>
      </c>
      <c r="G1259" s="2">
        <v>514277254</v>
      </c>
      <c r="H1259" s="2" t="s">
        <v>40</v>
      </c>
      <c r="I1259" s="2" t="s">
        <v>1520</v>
      </c>
      <c r="J1259" s="2" t="s">
        <v>1521</v>
      </c>
      <c r="K1259" s="2">
        <v>962461409</v>
      </c>
      <c r="L1259" s="2" t="s">
        <v>344</v>
      </c>
      <c r="P1259" s="2" t="s">
        <v>114</v>
      </c>
      <c r="Q1259" s="16" t="s">
        <v>709</v>
      </c>
      <c r="R1259" s="2" t="s">
        <v>710</v>
      </c>
      <c r="S1259" s="2">
        <v>1</v>
      </c>
      <c r="T1259" s="2">
        <v>0</v>
      </c>
      <c r="U1259" s="2">
        <v>0</v>
      </c>
      <c r="V1259" s="2">
        <v>0</v>
      </c>
      <c r="W1259" s="2">
        <v>1244.2445</v>
      </c>
      <c r="X1259" s="18">
        <v>-1</v>
      </c>
      <c r="Z1259" s="2" t="s">
        <v>104</v>
      </c>
      <c r="AA1259" s="2" t="s">
        <v>578</v>
      </c>
      <c r="AB1259" s="2" t="s">
        <v>701</v>
      </c>
      <c r="AC1259" s="2" t="s">
        <v>114</v>
      </c>
      <c r="AF1259" s="2">
        <f t="shared" si="171"/>
        <v>0</v>
      </c>
      <c r="AJ1259" s="2">
        <f t="shared" si="172"/>
        <v>0</v>
      </c>
      <c r="AK1259" s="2">
        <f t="shared" si="176"/>
        <v>-1244.2445</v>
      </c>
      <c r="AL1259" s="18">
        <v>-1</v>
      </c>
    </row>
    <row r="1260" spans="1:38" x14ac:dyDescent="0.2">
      <c r="A1260" s="2">
        <v>2025</v>
      </c>
      <c r="B1260" s="2">
        <v>7</v>
      </c>
      <c r="D1260" s="2" t="s">
        <v>1519</v>
      </c>
      <c r="P1260" s="2" t="s">
        <v>114</v>
      </c>
      <c r="Q1260" s="2" t="s">
        <v>1522</v>
      </c>
      <c r="R1260" s="2" t="s">
        <v>1523</v>
      </c>
      <c r="S1260" s="2">
        <v>1</v>
      </c>
      <c r="T1260" s="2">
        <v>0</v>
      </c>
      <c r="U1260" s="2">
        <v>0</v>
      </c>
      <c r="V1260" s="2">
        <v>0</v>
      </c>
      <c r="X1260" s="5">
        <v>0</v>
      </c>
      <c r="Z1260" s="2" t="s">
        <v>117</v>
      </c>
      <c r="AF1260" s="2">
        <f t="shared" si="171"/>
        <v>0</v>
      </c>
      <c r="AJ1260" s="2">
        <f t="shared" si="172"/>
        <v>0</v>
      </c>
      <c r="AK1260" s="2">
        <f t="shared" si="176"/>
        <v>0</v>
      </c>
      <c r="AL1260" s="5" t="e">
        <f t="shared" ref="AL1260:AL1278" si="177">(T1260-W1260)/T1260</f>
        <v>#DIV/0!</v>
      </c>
    </row>
    <row r="1261" spans="1:38" x14ac:dyDescent="0.2">
      <c r="A1261" s="2">
        <v>2025</v>
      </c>
      <c r="B1261" s="2">
        <v>7</v>
      </c>
      <c r="D1261" s="2" t="s">
        <v>1519</v>
      </c>
      <c r="P1261" s="2" t="s">
        <v>114</v>
      </c>
      <c r="Q1261" s="2" t="s">
        <v>838</v>
      </c>
      <c r="R1261" s="2" t="s">
        <v>839</v>
      </c>
      <c r="S1261" s="2">
        <v>1</v>
      </c>
      <c r="T1261" s="2">
        <v>6580</v>
      </c>
      <c r="U1261" s="2">
        <v>1513.4</v>
      </c>
      <c r="V1261" s="2">
        <v>8093.4</v>
      </c>
      <c r="W1261" s="2">
        <f>3229.76+112.87</f>
        <v>3342.63</v>
      </c>
      <c r="X1261" s="5">
        <f t="shared" ref="X1261:X1278" si="178">(T1261-W1261)/T1261</f>
        <v>0.49200151975683887</v>
      </c>
      <c r="Z1261" s="2" t="s">
        <v>104</v>
      </c>
      <c r="AA1261" s="2" t="s">
        <v>150</v>
      </c>
      <c r="AB1261" s="2" t="s">
        <v>151</v>
      </c>
      <c r="AC1261" s="2" t="s">
        <v>114</v>
      </c>
      <c r="AF1261" s="2">
        <f t="shared" si="171"/>
        <v>0</v>
      </c>
      <c r="AJ1261" s="2">
        <f t="shared" si="172"/>
        <v>0</v>
      </c>
      <c r="AK1261" s="2">
        <f t="shared" si="176"/>
        <v>3237.37</v>
      </c>
      <c r="AL1261" s="5">
        <f t="shared" si="177"/>
        <v>0.49200151975683887</v>
      </c>
    </row>
    <row r="1262" spans="1:38" x14ac:dyDescent="0.2">
      <c r="A1262" s="2">
        <v>2025</v>
      </c>
      <c r="B1262" s="2">
        <v>7</v>
      </c>
      <c r="D1262" s="2" t="s">
        <v>1524</v>
      </c>
      <c r="E1262" s="2" t="s">
        <v>108</v>
      </c>
      <c r="F1262" s="2" t="s">
        <v>39</v>
      </c>
      <c r="G1262" s="2">
        <v>513338888</v>
      </c>
      <c r="H1262" s="2" t="s">
        <v>40</v>
      </c>
      <c r="I1262" s="2" t="s">
        <v>1525</v>
      </c>
      <c r="J1262" s="2" t="s">
        <v>1526</v>
      </c>
      <c r="K1262" s="2">
        <v>962461409</v>
      </c>
      <c r="L1262" s="2" t="s">
        <v>344</v>
      </c>
      <c r="M1262" s="2" t="s">
        <v>40</v>
      </c>
      <c r="O1262" s="2" t="s">
        <v>1527</v>
      </c>
      <c r="P1262" s="2" t="s">
        <v>282</v>
      </c>
      <c r="Q1262" s="2" t="s">
        <v>1528</v>
      </c>
      <c r="R1262" s="2" t="s">
        <v>1529</v>
      </c>
      <c r="S1262" s="2">
        <v>1</v>
      </c>
      <c r="T1262" s="2">
        <v>242</v>
      </c>
      <c r="U1262" s="2">
        <v>55.66</v>
      </c>
      <c r="V1262" s="2">
        <v>297.66000000000003</v>
      </c>
      <c r="W1262" s="2">
        <v>169.4</v>
      </c>
      <c r="X1262" s="5">
        <f t="shared" si="178"/>
        <v>0.3</v>
      </c>
      <c r="Z1262" s="2" t="s">
        <v>3227</v>
      </c>
      <c r="AA1262" s="2" t="s">
        <v>578</v>
      </c>
      <c r="AB1262" s="2" t="s">
        <v>119</v>
      </c>
      <c r="AC1262" s="2" t="s">
        <v>1327</v>
      </c>
      <c r="AF1262" s="2">
        <f t="shared" si="171"/>
        <v>0</v>
      </c>
      <c r="AJ1262" s="2">
        <f t="shared" si="172"/>
        <v>0</v>
      </c>
      <c r="AK1262" s="2">
        <f t="shared" si="176"/>
        <v>72.599999999999994</v>
      </c>
      <c r="AL1262" s="5">
        <f t="shared" si="177"/>
        <v>0.3</v>
      </c>
    </row>
    <row r="1263" spans="1:38" x14ac:dyDescent="0.2">
      <c r="A1263" s="2">
        <v>2025</v>
      </c>
      <c r="B1263" s="2">
        <v>7</v>
      </c>
      <c r="D1263" s="2" t="s">
        <v>1524</v>
      </c>
      <c r="E1263" s="2" t="s">
        <v>108</v>
      </c>
      <c r="F1263" s="2" t="s">
        <v>39</v>
      </c>
      <c r="G1263" s="2">
        <v>513338888</v>
      </c>
      <c r="H1263" s="2" t="s">
        <v>40</v>
      </c>
      <c r="I1263" s="2" t="s">
        <v>1525</v>
      </c>
      <c r="J1263" s="2" t="s">
        <v>1526</v>
      </c>
      <c r="K1263" s="2">
        <v>962461409</v>
      </c>
      <c r="L1263" s="2" t="s">
        <v>344</v>
      </c>
      <c r="M1263" s="2" t="s">
        <v>40</v>
      </c>
      <c r="O1263" s="2" t="s">
        <v>1527</v>
      </c>
      <c r="P1263" s="2" t="s">
        <v>282</v>
      </c>
      <c r="Q1263" s="2" t="s">
        <v>1530</v>
      </c>
      <c r="R1263" s="2" t="s">
        <v>1531</v>
      </c>
      <c r="S1263" s="2">
        <v>1</v>
      </c>
      <c r="T1263" s="2">
        <v>53</v>
      </c>
      <c r="U1263" s="2">
        <v>12.19</v>
      </c>
      <c r="V1263" s="2">
        <v>65.19</v>
      </c>
      <c r="W1263" s="2">
        <v>6.3</v>
      </c>
      <c r="X1263" s="5">
        <f t="shared" si="178"/>
        <v>0.88113207547169814</v>
      </c>
      <c r="Z1263" s="2" t="s">
        <v>3227</v>
      </c>
      <c r="AA1263" s="2" t="s">
        <v>155</v>
      </c>
      <c r="AB1263" s="2" t="s">
        <v>3403</v>
      </c>
      <c r="AC1263" s="2" t="s">
        <v>1327</v>
      </c>
      <c r="AF1263" s="2">
        <f t="shared" si="171"/>
        <v>0</v>
      </c>
      <c r="AJ1263" s="2">
        <f t="shared" si="172"/>
        <v>0</v>
      </c>
      <c r="AK1263" s="2">
        <f t="shared" si="176"/>
        <v>46.7</v>
      </c>
      <c r="AL1263" s="5">
        <f t="shared" si="177"/>
        <v>0.88113207547169814</v>
      </c>
    </row>
    <row r="1264" spans="1:38" x14ac:dyDescent="0.2">
      <c r="A1264" s="2">
        <v>2025</v>
      </c>
      <c r="B1264" s="2">
        <v>7</v>
      </c>
      <c r="D1264" s="2" t="s">
        <v>1524</v>
      </c>
      <c r="E1264" s="2" t="s">
        <v>108</v>
      </c>
      <c r="F1264" s="2" t="s">
        <v>39</v>
      </c>
      <c r="G1264" s="2">
        <v>513338888</v>
      </c>
      <c r="H1264" s="2" t="s">
        <v>40</v>
      </c>
      <c r="I1264" s="2" t="s">
        <v>1525</v>
      </c>
      <c r="J1264" s="2" t="s">
        <v>1526</v>
      </c>
      <c r="K1264" s="2">
        <v>962461409</v>
      </c>
      <c r="L1264" s="2" t="s">
        <v>344</v>
      </c>
      <c r="M1264" s="2" t="s">
        <v>40</v>
      </c>
      <c r="O1264" s="2" t="s">
        <v>1527</v>
      </c>
      <c r="P1264" s="2" t="s">
        <v>282</v>
      </c>
      <c r="Q1264" s="2" t="s">
        <v>1532</v>
      </c>
      <c r="R1264" s="2" t="s">
        <v>1533</v>
      </c>
      <c r="S1264" s="2">
        <v>1</v>
      </c>
      <c r="T1264" s="2">
        <v>27</v>
      </c>
      <c r="U1264" s="2">
        <v>6.21</v>
      </c>
      <c r="V1264" s="2">
        <v>33.21</v>
      </c>
      <c r="W1264" s="2">
        <v>18.899999999999999</v>
      </c>
      <c r="X1264" s="5">
        <f t="shared" si="178"/>
        <v>0.30000000000000004</v>
      </c>
      <c r="Z1264" s="2" t="s">
        <v>3227</v>
      </c>
      <c r="AA1264" s="2" t="s">
        <v>155</v>
      </c>
      <c r="AB1264" s="2" t="s">
        <v>3403</v>
      </c>
      <c r="AC1264" s="2" t="s">
        <v>1327</v>
      </c>
      <c r="AF1264" s="2">
        <f t="shared" si="171"/>
        <v>0</v>
      </c>
      <c r="AJ1264" s="2">
        <f t="shared" si="172"/>
        <v>0</v>
      </c>
      <c r="AK1264" s="2">
        <f t="shared" si="176"/>
        <v>8.1000000000000014</v>
      </c>
      <c r="AL1264" s="5">
        <f t="shared" si="177"/>
        <v>0.30000000000000004</v>
      </c>
    </row>
    <row r="1265" spans="1:38" x14ac:dyDescent="0.2">
      <c r="A1265" s="2">
        <v>2025</v>
      </c>
      <c r="B1265" s="2">
        <v>7</v>
      </c>
      <c r="D1265" s="2" t="s">
        <v>1524</v>
      </c>
      <c r="E1265" s="2" t="s">
        <v>108</v>
      </c>
      <c r="F1265" s="2" t="s">
        <v>39</v>
      </c>
      <c r="G1265" s="2">
        <v>513338888</v>
      </c>
      <c r="H1265" s="2" t="s">
        <v>40</v>
      </c>
      <c r="I1265" s="2" t="s">
        <v>1525</v>
      </c>
      <c r="J1265" s="2" t="s">
        <v>1526</v>
      </c>
      <c r="K1265" s="2">
        <v>962461409</v>
      </c>
      <c r="L1265" s="2" t="s">
        <v>344</v>
      </c>
      <c r="M1265" s="2" t="s">
        <v>40</v>
      </c>
      <c r="O1265" s="2" t="s">
        <v>1527</v>
      </c>
      <c r="P1265" s="2" t="s">
        <v>282</v>
      </c>
      <c r="Q1265" s="2" t="s">
        <v>1534</v>
      </c>
      <c r="R1265" s="2" t="s">
        <v>1535</v>
      </c>
      <c r="S1265" s="2">
        <v>1</v>
      </c>
      <c r="T1265" s="2">
        <v>27</v>
      </c>
      <c r="U1265" s="2">
        <v>6.21</v>
      </c>
      <c r="V1265" s="2">
        <v>33.21</v>
      </c>
      <c r="W1265" s="2">
        <v>18.899999999999999</v>
      </c>
      <c r="X1265" s="5">
        <f t="shared" si="178"/>
        <v>0.30000000000000004</v>
      </c>
      <c r="Z1265" s="2" t="s">
        <v>3227</v>
      </c>
      <c r="AA1265" s="2" t="s">
        <v>155</v>
      </c>
      <c r="AB1265" s="2" t="s">
        <v>3403</v>
      </c>
      <c r="AC1265" s="2" t="s">
        <v>1327</v>
      </c>
      <c r="AF1265" s="2">
        <f t="shared" si="171"/>
        <v>0</v>
      </c>
      <c r="AJ1265" s="2">
        <f t="shared" si="172"/>
        <v>0</v>
      </c>
      <c r="AK1265" s="2">
        <f t="shared" si="176"/>
        <v>8.1000000000000014</v>
      </c>
      <c r="AL1265" s="5">
        <f t="shared" si="177"/>
        <v>0.30000000000000004</v>
      </c>
    </row>
    <row r="1266" spans="1:38" x14ac:dyDescent="0.2">
      <c r="A1266" s="2">
        <v>2025</v>
      </c>
      <c r="B1266" s="2">
        <v>7</v>
      </c>
      <c r="D1266" s="2" t="s">
        <v>1524</v>
      </c>
      <c r="E1266" s="2" t="s">
        <v>108</v>
      </c>
      <c r="F1266" s="2" t="s">
        <v>39</v>
      </c>
      <c r="G1266" s="2">
        <v>513338888</v>
      </c>
      <c r="H1266" s="2" t="s">
        <v>40</v>
      </c>
      <c r="I1266" s="2" t="s">
        <v>1525</v>
      </c>
      <c r="J1266" s="2" t="s">
        <v>1526</v>
      </c>
      <c r="K1266" s="2">
        <v>962461409</v>
      </c>
      <c r="L1266" s="2" t="s">
        <v>344</v>
      </c>
      <c r="M1266" s="2" t="s">
        <v>40</v>
      </c>
      <c r="O1266" s="2" t="s">
        <v>1527</v>
      </c>
      <c r="P1266" s="2" t="s">
        <v>282</v>
      </c>
      <c r="Q1266" s="2" t="s">
        <v>1536</v>
      </c>
      <c r="R1266" s="2" t="s">
        <v>1537</v>
      </c>
      <c r="S1266" s="2">
        <v>1</v>
      </c>
      <c r="T1266" s="2">
        <v>53</v>
      </c>
      <c r="U1266" s="2">
        <v>12.19</v>
      </c>
      <c r="V1266" s="2">
        <v>65.19</v>
      </c>
      <c r="W1266" s="2">
        <f>6.1817*S1266</f>
        <v>6.1817000000000002</v>
      </c>
      <c r="X1266" s="5">
        <f t="shared" si="178"/>
        <v>0.88336415094339626</v>
      </c>
      <c r="Z1266" s="2" t="s">
        <v>3227</v>
      </c>
      <c r="AA1266" s="2" t="s">
        <v>155</v>
      </c>
      <c r="AB1266" s="2" t="s">
        <v>3403</v>
      </c>
      <c r="AC1266" s="2" t="s">
        <v>1327</v>
      </c>
      <c r="AF1266" s="2">
        <f t="shared" si="171"/>
        <v>0</v>
      </c>
      <c r="AJ1266" s="2">
        <f t="shared" si="172"/>
        <v>0</v>
      </c>
      <c r="AK1266" s="2">
        <f t="shared" si="176"/>
        <v>46.818300000000001</v>
      </c>
      <c r="AL1266" s="5">
        <f t="shared" si="177"/>
        <v>0.88336415094339626</v>
      </c>
    </row>
    <row r="1267" spans="1:38" x14ac:dyDescent="0.2">
      <c r="A1267" s="2">
        <v>2025</v>
      </c>
      <c r="B1267" s="2">
        <v>7</v>
      </c>
      <c r="D1267" s="2" t="s">
        <v>1524</v>
      </c>
      <c r="E1267" s="2" t="s">
        <v>108</v>
      </c>
      <c r="F1267" s="2" t="s">
        <v>39</v>
      </c>
      <c r="G1267" s="2">
        <v>513338888</v>
      </c>
      <c r="H1267" s="2" t="s">
        <v>40</v>
      </c>
      <c r="I1267" s="2" t="s">
        <v>1525</v>
      </c>
      <c r="J1267" s="2" t="s">
        <v>1526</v>
      </c>
      <c r="K1267" s="2">
        <v>962461409</v>
      </c>
      <c r="L1267" s="2" t="s">
        <v>344</v>
      </c>
      <c r="M1267" s="2" t="s">
        <v>40</v>
      </c>
      <c r="O1267" s="2" t="s">
        <v>1527</v>
      </c>
      <c r="P1267" s="2" t="s">
        <v>282</v>
      </c>
      <c r="Q1267" s="2" t="s">
        <v>1538</v>
      </c>
      <c r="R1267" s="2" t="s">
        <v>1539</v>
      </c>
      <c r="S1267" s="2">
        <v>1</v>
      </c>
      <c r="T1267" s="2">
        <v>3590</v>
      </c>
      <c r="U1267" s="2">
        <v>825.7</v>
      </c>
      <c r="V1267" s="2">
        <v>4415.7</v>
      </c>
      <c r="W1267" s="2">
        <v>2481</v>
      </c>
      <c r="X1267" s="5">
        <f t="shared" si="178"/>
        <v>0.30891364902506963</v>
      </c>
      <c r="Z1267" s="2" t="s">
        <v>104</v>
      </c>
      <c r="AA1267" s="2" t="s">
        <v>387</v>
      </c>
      <c r="AB1267" s="2" t="s">
        <v>1330</v>
      </c>
      <c r="AC1267" s="2" t="s">
        <v>1327</v>
      </c>
      <c r="AF1267" s="2">
        <f t="shared" si="171"/>
        <v>0</v>
      </c>
      <c r="AG1267" s="2">
        <v>2481</v>
      </c>
      <c r="AJ1267" s="2">
        <f t="shared" si="172"/>
        <v>0</v>
      </c>
      <c r="AK1267" s="2">
        <f t="shared" si="176"/>
        <v>1109</v>
      </c>
      <c r="AL1267" s="5">
        <f t="shared" si="177"/>
        <v>0.30891364902506963</v>
      </c>
    </row>
    <row r="1268" spans="1:38" x14ac:dyDescent="0.2">
      <c r="A1268" s="2">
        <v>2025</v>
      </c>
      <c r="B1268" s="2">
        <v>7</v>
      </c>
      <c r="D1268" s="2" t="s">
        <v>1524</v>
      </c>
      <c r="E1268" s="2" t="s">
        <v>108</v>
      </c>
      <c r="F1268" s="2" t="s">
        <v>39</v>
      </c>
      <c r="G1268" s="2">
        <v>513338888</v>
      </c>
      <c r="H1268" s="2" t="s">
        <v>40</v>
      </c>
      <c r="I1268" s="2" t="s">
        <v>1525</v>
      </c>
      <c r="J1268" s="2" t="s">
        <v>1526</v>
      </c>
      <c r="K1268" s="2">
        <v>962461409</v>
      </c>
      <c r="L1268" s="2" t="s">
        <v>344</v>
      </c>
      <c r="M1268" s="2" t="s">
        <v>40</v>
      </c>
      <c r="O1268" s="2" t="s">
        <v>1527</v>
      </c>
      <c r="P1268" s="2" t="s">
        <v>282</v>
      </c>
      <c r="Q1268" s="2" t="s">
        <v>1540</v>
      </c>
      <c r="R1268" s="2" t="s">
        <v>1541</v>
      </c>
      <c r="S1268" s="2">
        <v>1</v>
      </c>
      <c r="T1268" s="2">
        <v>3590</v>
      </c>
      <c r="U1268" s="2">
        <v>825.7</v>
      </c>
      <c r="V1268" s="2">
        <v>4415.7</v>
      </c>
      <c r="W1268" s="2">
        <v>2481</v>
      </c>
      <c r="X1268" s="5">
        <f t="shared" si="178"/>
        <v>0.30891364902506963</v>
      </c>
      <c r="Z1268" s="2" t="s">
        <v>104</v>
      </c>
      <c r="AA1268" s="2" t="s">
        <v>387</v>
      </c>
      <c r="AB1268" s="2" t="s">
        <v>1330</v>
      </c>
      <c r="AC1268" s="2" t="s">
        <v>1327</v>
      </c>
      <c r="AF1268" s="2">
        <f t="shared" si="171"/>
        <v>0</v>
      </c>
      <c r="AG1268" s="2">
        <v>2481</v>
      </c>
      <c r="AJ1268" s="2">
        <f t="shared" si="172"/>
        <v>0</v>
      </c>
      <c r="AK1268" s="2">
        <f t="shared" si="176"/>
        <v>1109</v>
      </c>
      <c r="AL1268" s="5">
        <f t="shared" si="177"/>
        <v>0.30891364902506963</v>
      </c>
    </row>
    <row r="1269" spans="1:38" x14ac:dyDescent="0.2">
      <c r="A1269" s="2">
        <v>2025</v>
      </c>
      <c r="B1269" s="2">
        <v>7</v>
      </c>
      <c r="D1269" s="2" t="s">
        <v>359</v>
      </c>
      <c r="E1269" s="2" t="s">
        <v>108</v>
      </c>
      <c r="F1269" s="2" t="s">
        <v>39</v>
      </c>
      <c r="G1269" s="2">
        <v>503413909</v>
      </c>
      <c r="H1269" s="2" t="s">
        <v>109</v>
      </c>
      <c r="I1269" s="2" t="s">
        <v>360</v>
      </c>
      <c r="J1269" s="2" t="s">
        <v>361</v>
      </c>
      <c r="L1269" s="2" t="s">
        <v>360</v>
      </c>
      <c r="M1269" s="2" t="s">
        <v>40</v>
      </c>
      <c r="O1269" s="2" t="s">
        <v>1542</v>
      </c>
      <c r="P1269" s="2" t="s">
        <v>114</v>
      </c>
      <c r="Q1269" s="2" t="s">
        <v>295</v>
      </c>
      <c r="R1269" s="2" t="s">
        <v>296</v>
      </c>
      <c r="S1269" s="2">
        <v>1</v>
      </c>
      <c r="T1269" s="2">
        <v>801.61</v>
      </c>
      <c r="U1269" s="2">
        <v>184.37029999999999</v>
      </c>
      <c r="V1269" s="2">
        <v>985.98030000000006</v>
      </c>
      <c r="W1269" s="2">
        <v>386</v>
      </c>
      <c r="X1269" s="5">
        <f t="shared" si="178"/>
        <v>0.5184690809745387</v>
      </c>
      <c r="Z1269" s="2" t="s">
        <v>117</v>
      </c>
      <c r="AA1269" s="2" t="s">
        <v>118</v>
      </c>
      <c r="AB1269" s="2" t="s">
        <v>119</v>
      </c>
      <c r="AC1269" s="2" t="s">
        <v>114</v>
      </c>
      <c r="AF1269" s="2">
        <f t="shared" si="171"/>
        <v>0</v>
      </c>
      <c r="AG1269" s="2">
        <v>386</v>
      </c>
      <c r="AJ1269" s="2">
        <f t="shared" si="172"/>
        <v>0</v>
      </c>
      <c r="AK1269" s="2">
        <f t="shared" si="176"/>
        <v>415.61</v>
      </c>
      <c r="AL1269" s="5">
        <f t="shared" si="177"/>
        <v>0.5184690809745387</v>
      </c>
    </row>
    <row r="1270" spans="1:38" x14ac:dyDescent="0.2">
      <c r="A1270" s="2">
        <v>2025</v>
      </c>
      <c r="B1270" s="2">
        <v>7</v>
      </c>
      <c r="D1270" s="2" t="s">
        <v>996</v>
      </c>
      <c r="M1270" s="2" t="s">
        <v>40</v>
      </c>
      <c r="P1270" s="2" t="s">
        <v>187</v>
      </c>
      <c r="Q1270" s="2" t="s">
        <v>188</v>
      </c>
      <c r="R1270" s="2" t="s">
        <v>189</v>
      </c>
      <c r="S1270" s="2">
        <v>1</v>
      </c>
      <c r="T1270" s="2">
        <v>181</v>
      </c>
      <c r="U1270" s="2">
        <v>41.63</v>
      </c>
      <c r="V1270" s="2">
        <v>222.63</v>
      </c>
      <c r="W1270" s="2">
        <f>T1270*40%</f>
        <v>72.400000000000006</v>
      </c>
      <c r="X1270" s="5">
        <f t="shared" si="178"/>
        <v>0.6</v>
      </c>
      <c r="Z1270" s="2" t="s">
        <v>117</v>
      </c>
      <c r="AA1270" s="2" t="s">
        <v>190</v>
      </c>
      <c r="AB1270" s="2" t="s">
        <v>189</v>
      </c>
      <c r="AC1270" s="2" t="s">
        <v>40</v>
      </c>
      <c r="AF1270" s="2">
        <f t="shared" si="171"/>
        <v>0</v>
      </c>
      <c r="AJ1270" s="2">
        <f t="shared" si="172"/>
        <v>0</v>
      </c>
      <c r="AK1270" s="2">
        <f t="shared" si="176"/>
        <v>108.6</v>
      </c>
      <c r="AL1270" s="5">
        <f t="shared" si="177"/>
        <v>0.6</v>
      </c>
    </row>
    <row r="1271" spans="1:38" x14ac:dyDescent="0.2">
      <c r="A1271" s="2">
        <v>2025</v>
      </c>
      <c r="B1271" s="2">
        <v>7</v>
      </c>
      <c r="D1271" s="2" t="s">
        <v>996</v>
      </c>
      <c r="M1271" s="2" t="s">
        <v>40</v>
      </c>
      <c r="P1271" s="2" t="s">
        <v>187</v>
      </c>
      <c r="Q1271" s="2" t="s">
        <v>191</v>
      </c>
      <c r="R1271" s="2" t="s">
        <v>190</v>
      </c>
      <c r="S1271" s="2">
        <v>2</v>
      </c>
      <c r="T1271" s="2">
        <v>100</v>
      </c>
      <c r="U1271" s="2">
        <v>23</v>
      </c>
      <c r="V1271" s="2">
        <v>123</v>
      </c>
      <c r="W1271" s="2">
        <f>T1271*50%</f>
        <v>50</v>
      </c>
      <c r="X1271" s="5">
        <f t="shared" si="178"/>
        <v>0.5</v>
      </c>
      <c r="Z1271" s="2" t="s">
        <v>117</v>
      </c>
      <c r="AA1271" s="2" t="s">
        <v>190</v>
      </c>
      <c r="AB1271" s="2" t="s">
        <v>190</v>
      </c>
      <c r="AC1271" s="2" t="s">
        <v>40</v>
      </c>
      <c r="AF1271" s="2">
        <f t="shared" si="171"/>
        <v>0</v>
      </c>
      <c r="AJ1271" s="2">
        <f t="shared" si="172"/>
        <v>0</v>
      </c>
      <c r="AK1271" s="2">
        <f t="shared" si="176"/>
        <v>50</v>
      </c>
      <c r="AL1271" s="5">
        <f t="shared" si="177"/>
        <v>0.5</v>
      </c>
    </row>
    <row r="1272" spans="1:38" x14ac:dyDescent="0.2">
      <c r="A1272" s="2">
        <v>2025</v>
      </c>
      <c r="B1272" s="2">
        <v>7</v>
      </c>
      <c r="C1272" s="2" t="s">
        <v>3424</v>
      </c>
      <c r="D1272" s="2" t="s">
        <v>1543</v>
      </c>
      <c r="E1272" s="2" t="s">
        <v>108</v>
      </c>
      <c r="F1272" s="2" t="s">
        <v>39</v>
      </c>
      <c r="L1272" s="2" t="s">
        <v>177</v>
      </c>
      <c r="M1272" s="2" t="s">
        <v>40</v>
      </c>
      <c r="P1272" s="2" t="s">
        <v>114</v>
      </c>
      <c r="Q1272" s="2" t="s">
        <v>672</v>
      </c>
      <c r="R1272" s="2" t="s">
        <v>673</v>
      </c>
      <c r="S1272" s="2">
        <v>1</v>
      </c>
      <c r="T1272" s="2">
        <v>14.95</v>
      </c>
      <c r="U1272" s="2">
        <v>3.4384999999999999</v>
      </c>
      <c r="V1272" s="2">
        <v>18.388500000000001</v>
      </c>
      <c r="X1272" s="5">
        <f t="shared" si="178"/>
        <v>1</v>
      </c>
      <c r="Z1272" s="2" t="s">
        <v>117</v>
      </c>
      <c r="AF1272" s="2">
        <f t="shared" si="171"/>
        <v>0</v>
      </c>
      <c r="AJ1272" s="2">
        <f t="shared" si="172"/>
        <v>0</v>
      </c>
      <c r="AK1272" s="2">
        <f t="shared" si="176"/>
        <v>14.95</v>
      </c>
      <c r="AL1272" s="5">
        <f t="shared" si="177"/>
        <v>1</v>
      </c>
    </row>
    <row r="1273" spans="1:38" x14ac:dyDescent="0.2">
      <c r="A1273" s="2">
        <v>2025</v>
      </c>
      <c r="B1273" s="2">
        <v>7</v>
      </c>
      <c r="C1273" s="2" t="s">
        <v>3424</v>
      </c>
      <c r="D1273" s="2" t="s">
        <v>370</v>
      </c>
      <c r="E1273" s="2" t="s">
        <v>38</v>
      </c>
      <c r="F1273" s="2" t="s">
        <v>39</v>
      </c>
      <c r="G1273" s="2">
        <v>504498886</v>
      </c>
      <c r="H1273" s="2" t="s">
        <v>41</v>
      </c>
      <c r="I1273" s="2" t="s">
        <v>371</v>
      </c>
      <c r="J1273" s="2" t="s">
        <v>372</v>
      </c>
      <c r="K1273" s="2">
        <v>966932738</v>
      </c>
      <c r="L1273" s="2" t="s">
        <v>177</v>
      </c>
      <c r="M1273" s="2" t="s">
        <v>40</v>
      </c>
      <c r="P1273" s="2" t="s">
        <v>698</v>
      </c>
      <c r="Q1273" s="2" t="s">
        <v>1544</v>
      </c>
      <c r="R1273" s="2" t="s">
        <v>1545</v>
      </c>
      <c r="S1273" s="2">
        <v>1</v>
      </c>
      <c r="T1273" s="2">
        <v>525.22</v>
      </c>
      <c r="U1273" s="2">
        <v>120.8006</v>
      </c>
      <c r="V1273" s="2">
        <v>646.02060000000006</v>
      </c>
      <c r="X1273" s="5">
        <f t="shared" si="178"/>
        <v>1</v>
      </c>
      <c r="Z1273" s="2" t="s">
        <v>117</v>
      </c>
      <c r="AA1273" s="2" t="s">
        <v>118</v>
      </c>
      <c r="AB1273" s="2" t="s">
        <v>119</v>
      </c>
      <c r="AC1273" s="2" t="s">
        <v>698</v>
      </c>
      <c r="AF1273" s="2">
        <f t="shared" si="171"/>
        <v>0</v>
      </c>
      <c r="AJ1273" s="2">
        <f t="shared" si="172"/>
        <v>0</v>
      </c>
      <c r="AK1273" s="2">
        <f t="shared" si="176"/>
        <v>525.22</v>
      </c>
      <c r="AL1273" s="5">
        <f t="shared" si="177"/>
        <v>1</v>
      </c>
    </row>
    <row r="1274" spans="1:38" x14ac:dyDescent="0.2">
      <c r="A1274" s="2">
        <v>2025</v>
      </c>
      <c r="B1274" s="2">
        <v>7</v>
      </c>
      <c r="C1274" s="2" t="s">
        <v>3424</v>
      </c>
      <c r="D1274" s="2" t="s">
        <v>370</v>
      </c>
      <c r="E1274" s="2" t="s">
        <v>38</v>
      </c>
      <c r="F1274" s="2" t="s">
        <v>39</v>
      </c>
      <c r="G1274" s="2">
        <v>504498886</v>
      </c>
      <c r="H1274" s="2" t="s">
        <v>41</v>
      </c>
      <c r="I1274" s="2" t="s">
        <v>371</v>
      </c>
      <c r="J1274" s="2" t="s">
        <v>372</v>
      </c>
      <c r="K1274" s="2">
        <v>966932738</v>
      </c>
      <c r="L1274" s="2" t="s">
        <v>177</v>
      </c>
      <c r="M1274" s="2" t="s">
        <v>40</v>
      </c>
      <c r="P1274" s="2" t="s">
        <v>187</v>
      </c>
      <c r="Q1274" s="2" t="s">
        <v>188</v>
      </c>
      <c r="R1274" s="2" t="s">
        <v>189</v>
      </c>
      <c r="S1274" s="2">
        <v>1</v>
      </c>
      <c r="T1274" s="2">
        <v>50</v>
      </c>
      <c r="U1274" s="2">
        <v>11.5</v>
      </c>
      <c r="V1274" s="2">
        <v>61.5</v>
      </c>
      <c r="W1274" s="2">
        <f>T1274*40%</f>
        <v>20</v>
      </c>
      <c r="X1274" s="5">
        <f t="shared" si="178"/>
        <v>0.6</v>
      </c>
      <c r="Z1274" s="2" t="s">
        <v>117</v>
      </c>
      <c r="AA1274" s="2" t="s">
        <v>190</v>
      </c>
      <c r="AB1274" s="2" t="s">
        <v>189</v>
      </c>
      <c r="AC1274" s="2" t="s">
        <v>40</v>
      </c>
      <c r="AF1274" s="2">
        <f t="shared" si="171"/>
        <v>0</v>
      </c>
      <c r="AJ1274" s="2">
        <f t="shared" si="172"/>
        <v>0</v>
      </c>
      <c r="AK1274" s="2">
        <f t="shared" si="176"/>
        <v>30</v>
      </c>
      <c r="AL1274" s="5">
        <f t="shared" si="177"/>
        <v>0.6</v>
      </c>
    </row>
    <row r="1275" spans="1:38" x14ac:dyDescent="0.2">
      <c r="A1275" s="2">
        <v>2025</v>
      </c>
      <c r="B1275" s="2">
        <v>7</v>
      </c>
      <c r="C1275" s="2" t="s">
        <v>3424</v>
      </c>
      <c r="D1275" s="2" t="s">
        <v>370</v>
      </c>
      <c r="E1275" s="2" t="s">
        <v>38</v>
      </c>
      <c r="F1275" s="2" t="s">
        <v>39</v>
      </c>
      <c r="G1275" s="2">
        <v>504498886</v>
      </c>
      <c r="H1275" s="2" t="s">
        <v>41</v>
      </c>
      <c r="I1275" s="2" t="s">
        <v>371</v>
      </c>
      <c r="J1275" s="2" t="s">
        <v>372</v>
      </c>
      <c r="K1275" s="2">
        <v>966932738</v>
      </c>
      <c r="L1275" s="2" t="s">
        <v>177</v>
      </c>
      <c r="M1275" s="2" t="s">
        <v>40</v>
      </c>
      <c r="P1275" s="2" t="s">
        <v>187</v>
      </c>
      <c r="Q1275" s="2" t="s">
        <v>191</v>
      </c>
      <c r="R1275" s="2" t="s">
        <v>190</v>
      </c>
      <c r="S1275" s="2">
        <v>1</v>
      </c>
      <c r="T1275" s="2">
        <v>50</v>
      </c>
      <c r="U1275" s="2">
        <v>11.5</v>
      </c>
      <c r="V1275" s="2">
        <v>61.5</v>
      </c>
      <c r="W1275" s="2">
        <f>T1275*50%</f>
        <v>25</v>
      </c>
      <c r="X1275" s="5">
        <f t="shared" si="178"/>
        <v>0.5</v>
      </c>
      <c r="Z1275" s="2" t="s">
        <v>117</v>
      </c>
      <c r="AA1275" s="2" t="s">
        <v>190</v>
      </c>
      <c r="AB1275" s="2" t="s">
        <v>190</v>
      </c>
      <c r="AC1275" s="2" t="s">
        <v>40</v>
      </c>
      <c r="AF1275" s="2">
        <f t="shared" si="171"/>
        <v>0</v>
      </c>
      <c r="AJ1275" s="2">
        <f t="shared" si="172"/>
        <v>0</v>
      </c>
      <c r="AK1275" s="2">
        <f t="shared" si="176"/>
        <v>25</v>
      </c>
      <c r="AL1275" s="5">
        <f t="shared" si="177"/>
        <v>0.5</v>
      </c>
    </row>
    <row r="1276" spans="1:38" x14ac:dyDescent="0.2">
      <c r="A1276" s="2">
        <v>2025</v>
      </c>
      <c r="B1276" s="2">
        <v>7</v>
      </c>
      <c r="C1276" s="2" t="s">
        <v>3316</v>
      </c>
      <c r="D1276" s="2" t="s">
        <v>370</v>
      </c>
      <c r="E1276" s="2" t="s">
        <v>38</v>
      </c>
      <c r="F1276" s="2" t="s">
        <v>39</v>
      </c>
      <c r="G1276" s="2">
        <v>504498886</v>
      </c>
      <c r="H1276" s="2" t="s">
        <v>41</v>
      </c>
      <c r="I1276" s="2" t="s">
        <v>371</v>
      </c>
      <c r="J1276" s="2" t="s">
        <v>372</v>
      </c>
      <c r="K1276" s="2">
        <v>966932738</v>
      </c>
      <c r="L1276" s="2" t="s">
        <v>177</v>
      </c>
      <c r="M1276" s="2" t="s">
        <v>40</v>
      </c>
      <c r="P1276" s="2" t="s">
        <v>40</v>
      </c>
      <c r="Q1276" s="2" t="s">
        <v>363</v>
      </c>
      <c r="R1276" s="2" t="s">
        <v>364</v>
      </c>
      <c r="S1276" s="2">
        <v>1</v>
      </c>
      <c r="T1276" s="2">
        <v>525.28</v>
      </c>
      <c r="U1276" s="2">
        <v>120.81440000000001</v>
      </c>
      <c r="V1276" s="2">
        <v>646.09439999999995</v>
      </c>
      <c r="X1276" s="5">
        <f t="shared" si="178"/>
        <v>1</v>
      </c>
      <c r="Z1276" s="2" t="s">
        <v>119</v>
      </c>
      <c r="AA1276" s="2" t="s">
        <v>3380</v>
      </c>
      <c r="AF1276" s="2">
        <f t="shared" si="171"/>
        <v>0</v>
      </c>
      <c r="AJ1276" s="2">
        <f t="shared" si="172"/>
        <v>0</v>
      </c>
      <c r="AK1276" s="2">
        <f t="shared" si="176"/>
        <v>525.28</v>
      </c>
      <c r="AL1276" s="5">
        <f t="shared" si="177"/>
        <v>1</v>
      </c>
    </row>
    <row r="1277" spans="1:38" x14ac:dyDescent="0.2">
      <c r="A1277" s="2">
        <v>2025</v>
      </c>
      <c r="B1277" s="2">
        <v>7</v>
      </c>
      <c r="D1277" s="2" t="s">
        <v>1006</v>
      </c>
      <c r="E1277" s="2" t="s">
        <v>108</v>
      </c>
      <c r="F1277" s="2" t="s">
        <v>39</v>
      </c>
      <c r="L1277" s="2" t="s">
        <v>177</v>
      </c>
      <c r="M1277" s="2" t="s">
        <v>41</v>
      </c>
      <c r="P1277" s="2" t="s">
        <v>282</v>
      </c>
      <c r="Q1277" s="2" t="s">
        <v>399</v>
      </c>
      <c r="R1277" s="2" t="s">
        <v>400</v>
      </c>
      <c r="S1277" s="2">
        <v>4</v>
      </c>
      <c r="T1277" s="2">
        <v>116</v>
      </c>
      <c r="U1277" s="2">
        <v>26.68</v>
      </c>
      <c r="V1277" s="2">
        <v>142.68</v>
      </c>
      <c r="W1277" s="2">
        <f>17.4*S1277</f>
        <v>69.599999999999994</v>
      </c>
      <c r="X1277" s="5">
        <f t="shared" si="178"/>
        <v>0.4</v>
      </c>
      <c r="Z1277" s="2" t="s">
        <v>3227</v>
      </c>
      <c r="AA1277" s="2" t="s">
        <v>46</v>
      </c>
      <c r="AB1277" s="2" t="s">
        <v>60</v>
      </c>
      <c r="AC1277" s="2" t="s">
        <v>3332</v>
      </c>
      <c r="AF1277" s="2">
        <f t="shared" si="171"/>
        <v>0</v>
      </c>
      <c r="AJ1277" s="2">
        <f t="shared" si="172"/>
        <v>0</v>
      </c>
      <c r="AK1277" s="2">
        <f t="shared" si="176"/>
        <v>46.400000000000006</v>
      </c>
      <c r="AL1277" s="5">
        <f t="shared" si="177"/>
        <v>0.4</v>
      </c>
    </row>
    <row r="1278" spans="1:38" x14ac:dyDescent="0.2">
      <c r="A1278" s="2">
        <v>2025</v>
      </c>
      <c r="B1278" s="2">
        <v>7</v>
      </c>
      <c r="D1278" s="2" t="s">
        <v>1006</v>
      </c>
      <c r="E1278" s="2" t="s">
        <v>108</v>
      </c>
      <c r="F1278" s="2" t="s">
        <v>39</v>
      </c>
      <c r="L1278" s="2" t="s">
        <v>177</v>
      </c>
      <c r="M1278" s="2" t="s">
        <v>41</v>
      </c>
      <c r="P1278" s="2" t="s">
        <v>282</v>
      </c>
      <c r="Q1278" s="2" t="s">
        <v>401</v>
      </c>
      <c r="R1278" s="2" t="s">
        <v>402</v>
      </c>
      <c r="S1278" s="2">
        <v>8</v>
      </c>
      <c r="T1278" s="2">
        <v>232</v>
      </c>
      <c r="U1278" s="2">
        <v>53.36</v>
      </c>
      <c r="V1278" s="2">
        <v>285.36</v>
      </c>
      <c r="W1278" s="2">
        <f>17.4*S1278</f>
        <v>139.19999999999999</v>
      </c>
      <c r="X1278" s="5">
        <f t="shared" si="178"/>
        <v>0.4</v>
      </c>
      <c r="Z1278" s="2" t="s">
        <v>3227</v>
      </c>
      <c r="AA1278" s="2" t="s">
        <v>46</v>
      </c>
      <c r="AB1278" s="2" t="s">
        <v>60</v>
      </c>
      <c r="AC1278" s="2" t="s">
        <v>3332</v>
      </c>
      <c r="AF1278" s="2">
        <f t="shared" si="171"/>
        <v>0</v>
      </c>
      <c r="AJ1278" s="2">
        <f t="shared" si="172"/>
        <v>0</v>
      </c>
      <c r="AK1278" s="2">
        <f t="shared" si="176"/>
        <v>92.800000000000011</v>
      </c>
      <c r="AL1278" s="5">
        <f t="shared" si="177"/>
        <v>0.4</v>
      </c>
    </row>
    <row r="1279" spans="1:38" x14ac:dyDescent="0.2">
      <c r="A1279" s="2">
        <v>2025</v>
      </c>
      <c r="B1279" s="2">
        <v>7</v>
      </c>
      <c r="D1279" s="2" t="s">
        <v>769</v>
      </c>
      <c r="E1279" s="2" t="s">
        <v>108</v>
      </c>
      <c r="F1279" s="2" t="s">
        <v>376</v>
      </c>
      <c r="G1279" s="2">
        <v>505926768</v>
      </c>
      <c r="H1279" s="2" t="s">
        <v>290</v>
      </c>
      <c r="I1279" s="2" t="s">
        <v>770</v>
      </c>
      <c r="J1279" s="2" t="s">
        <v>771</v>
      </c>
      <c r="L1279" s="2" t="s">
        <v>339</v>
      </c>
      <c r="M1279" s="2" t="s">
        <v>80</v>
      </c>
      <c r="O1279" s="2" t="s">
        <v>1546</v>
      </c>
      <c r="P1279" s="2" t="s">
        <v>282</v>
      </c>
      <c r="Q1279" s="2" t="s">
        <v>1547</v>
      </c>
      <c r="R1279" s="2" t="s">
        <v>1548</v>
      </c>
      <c r="S1279" s="2">
        <v>1</v>
      </c>
      <c r="T1279" s="2">
        <v>0</v>
      </c>
      <c r="U1279" s="2">
        <v>0</v>
      </c>
      <c r="V1279" s="2">
        <v>0</v>
      </c>
      <c r="W1279" s="2">
        <v>0</v>
      </c>
      <c r="X1279" s="5">
        <v>0</v>
      </c>
      <c r="Z1279" s="2" t="s">
        <v>104</v>
      </c>
      <c r="AA1279" s="2" t="s">
        <v>387</v>
      </c>
      <c r="AB1279" s="2" t="s">
        <v>388</v>
      </c>
      <c r="AC1279" s="2" t="s">
        <v>389</v>
      </c>
      <c r="AF1279" s="2">
        <f t="shared" si="171"/>
        <v>0</v>
      </c>
      <c r="AJ1279" s="2">
        <f t="shared" si="172"/>
        <v>0</v>
      </c>
      <c r="AK1279" s="2">
        <f t="shared" si="176"/>
        <v>0</v>
      </c>
      <c r="AL1279" s="20" t="s">
        <v>3401</v>
      </c>
    </row>
    <row r="1280" spans="1:38" x14ac:dyDescent="0.2">
      <c r="A1280" s="2">
        <v>2025</v>
      </c>
      <c r="B1280" s="2">
        <v>7</v>
      </c>
      <c r="D1280" s="2" t="s">
        <v>769</v>
      </c>
      <c r="E1280" s="2" t="s">
        <v>108</v>
      </c>
      <c r="F1280" s="2" t="s">
        <v>376</v>
      </c>
      <c r="G1280" s="2">
        <v>505926768</v>
      </c>
      <c r="H1280" s="2" t="s">
        <v>290</v>
      </c>
      <c r="I1280" s="2" t="s">
        <v>770</v>
      </c>
      <c r="J1280" s="2" t="s">
        <v>771</v>
      </c>
      <c r="L1280" s="2" t="s">
        <v>339</v>
      </c>
      <c r="M1280" s="2" t="s">
        <v>80</v>
      </c>
      <c r="O1280" s="2" t="s">
        <v>1546</v>
      </c>
      <c r="P1280" s="2" t="s">
        <v>282</v>
      </c>
      <c r="Q1280" s="2" t="s">
        <v>399</v>
      </c>
      <c r="R1280" s="2" t="s">
        <v>400</v>
      </c>
      <c r="S1280" s="2">
        <v>20</v>
      </c>
      <c r="T1280" s="2">
        <v>580</v>
      </c>
      <c r="U1280" s="2">
        <v>133.4</v>
      </c>
      <c r="V1280" s="2">
        <v>713.4</v>
      </c>
      <c r="W1280" s="2">
        <f>17.4*S1280</f>
        <v>348</v>
      </c>
      <c r="X1280" s="5">
        <f t="shared" ref="X1280:X1323" si="179">(T1280-W1280)/T1280</f>
        <v>0.4</v>
      </c>
      <c r="Z1280" s="2" t="s">
        <v>3227</v>
      </c>
      <c r="AA1280" s="2" t="s">
        <v>46</v>
      </c>
      <c r="AB1280" s="2" t="s">
        <v>60</v>
      </c>
      <c r="AC1280" s="2" t="s">
        <v>3332</v>
      </c>
      <c r="AF1280" s="2">
        <f t="shared" si="171"/>
        <v>0</v>
      </c>
      <c r="AJ1280" s="2">
        <f t="shared" si="172"/>
        <v>0</v>
      </c>
      <c r="AK1280" s="2">
        <f t="shared" si="176"/>
        <v>232</v>
      </c>
      <c r="AL1280" s="5">
        <f t="shared" ref="AL1280:AL1323" si="180">(T1280-W1280)/T1280</f>
        <v>0.4</v>
      </c>
    </row>
    <row r="1281" spans="1:38" x14ac:dyDescent="0.2">
      <c r="A1281" s="2">
        <v>2025</v>
      </c>
      <c r="B1281" s="2">
        <v>7</v>
      </c>
      <c r="D1281" s="2" t="s">
        <v>769</v>
      </c>
      <c r="E1281" s="2" t="s">
        <v>108</v>
      </c>
      <c r="F1281" s="2" t="s">
        <v>376</v>
      </c>
      <c r="G1281" s="2">
        <v>505926768</v>
      </c>
      <c r="H1281" s="2" t="s">
        <v>290</v>
      </c>
      <c r="I1281" s="2" t="s">
        <v>770</v>
      </c>
      <c r="J1281" s="2" t="s">
        <v>771</v>
      </c>
      <c r="L1281" s="2" t="s">
        <v>339</v>
      </c>
      <c r="M1281" s="2" t="s">
        <v>80</v>
      </c>
      <c r="O1281" s="2" t="s">
        <v>1546</v>
      </c>
      <c r="P1281" s="2" t="s">
        <v>282</v>
      </c>
      <c r="Q1281" s="2" t="s">
        <v>401</v>
      </c>
      <c r="R1281" s="2" t="s">
        <v>402</v>
      </c>
      <c r="S1281" s="2">
        <v>20</v>
      </c>
      <c r="T1281" s="2">
        <v>580</v>
      </c>
      <c r="U1281" s="2">
        <v>133.4</v>
      </c>
      <c r="V1281" s="2">
        <v>713.4</v>
      </c>
      <c r="W1281" s="2">
        <f>17.4*S1281</f>
        <v>348</v>
      </c>
      <c r="X1281" s="5">
        <f t="shared" si="179"/>
        <v>0.4</v>
      </c>
      <c r="Z1281" s="2" t="s">
        <v>3227</v>
      </c>
      <c r="AA1281" s="2" t="s">
        <v>46</v>
      </c>
      <c r="AB1281" s="2" t="s">
        <v>60</v>
      </c>
      <c r="AC1281" s="2" t="s">
        <v>3332</v>
      </c>
      <c r="AF1281" s="2">
        <f t="shared" si="171"/>
        <v>0</v>
      </c>
      <c r="AJ1281" s="2">
        <f t="shared" si="172"/>
        <v>0</v>
      </c>
      <c r="AK1281" s="2">
        <f t="shared" si="176"/>
        <v>232</v>
      </c>
      <c r="AL1281" s="5">
        <f t="shared" si="180"/>
        <v>0.4</v>
      </c>
    </row>
    <row r="1282" spans="1:38" x14ac:dyDescent="0.2">
      <c r="A1282" s="2">
        <v>2025</v>
      </c>
      <c r="B1282" s="2">
        <v>7</v>
      </c>
      <c r="D1282" s="2" t="s">
        <v>769</v>
      </c>
      <c r="E1282" s="2" t="s">
        <v>108</v>
      </c>
      <c r="F1282" s="2" t="s">
        <v>376</v>
      </c>
      <c r="G1282" s="2">
        <v>505926768</v>
      </c>
      <c r="H1282" s="2" t="s">
        <v>290</v>
      </c>
      <c r="I1282" s="2" t="s">
        <v>770</v>
      </c>
      <c r="J1282" s="2" t="s">
        <v>771</v>
      </c>
      <c r="L1282" s="2" t="s">
        <v>339</v>
      </c>
      <c r="M1282" s="2" t="s">
        <v>80</v>
      </c>
      <c r="O1282" s="2" t="s">
        <v>1549</v>
      </c>
      <c r="P1282" s="2" t="s">
        <v>72</v>
      </c>
      <c r="Q1282" s="2" t="s">
        <v>73</v>
      </c>
      <c r="R1282" s="2" t="s">
        <v>74</v>
      </c>
      <c r="S1282" s="2">
        <v>1</v>
      </c>
      <c r="T1282" s="2">
        <v>220</v>
      </c>
      <c r="U1282" s="2">
        <v>50.6</v>
      </c>
      <c r="V1282" s="2">
        <v>270.60000000000002</v>
      </c>
      <c r="W1282" s="2">
        <v>117.453</v>
      </c>
      <c r="X1282" s="5">
        <f t="shared" si="179"/>
        <v>0.46612272727272724</v>
      </c>
      <c r="Z1282" s="2" t="s">
        <v>3227</v>
      </c>
      <c r="AA1282" s="2" t="s">
        <v>75</v>
      </c>
      <c r="AB1282" s="2" t="s">
        <v>76</v>
      </c>
      <c r="AC1282" s="2" t="s">
        <v>77</v>
      </c>
      <c r="AF1282" s="2">
        <f t="shared" ref="AF1282:AF1345" si="181">AJ1282</f>
        <v>0</v>
      </c>
      <c r="AG1282" s="2">
        <v>117.453</v>
      </c>
      <c r="AH1282" s="2">
        <v>220</v>
      </c>
      <c r="AJ1282" s="2">
        <f t="shared" ref="AJ1282:AJ1345" si="182">AI1282*T1282</f>
        <v>0</v>
      </c>
      <c r="AK1282" s="2">
        <f t="shared" ref="AK1282:AK1313" si="183">T1282-W1282</f>
        <v>102.547</v>
      </c>
      <c r="AL1282" s="5">
        <f t="shared" si="180"/>
        <v>0.46612272727272724</v>
      </c>
    </row>
    <row r="1283" spans="1:38" x14ac:dyDescent="0.2">
      <c r="A1283" s="2">
        <v>2025</v>
      </c>
      <c r="B1283" s="2">
        <v>7</v>
      </c>
      <c r="D1283" s="2" t="s">
        <v>769</v>
      </c>
      <c r="E1283" s="2" t="s">
        <v>108</v>
      </c>
      <c r="F1283" s="2" t="s">
        <v>376</v>
      </c>
      <c r="G1283" s="2">
        <v>505926768</v>
      </c>
      <c r="H1283" s="2" t="s">
        <v>290</v>
      </c>
      <c r="I1283" s="2" t="s">
        <v>770</v>
      </c>
      <c r="J1283" s="2" t="s">
        <v>771</v>
      </c>
      <c r="L1283" s="2" t="s">
        <v>339</v>
      </c>
      <c r="M1283" s="2" t="s">
        <v>80</v>
      </c>
      <c r="O1283" s="2" t="s">
        <v>1549</v>
      </c>
      <c r="P1283" s="2" t="s">
        <v>93</v>
      </c>
      <c r="Q1283" s="2" t="s">
        <v>94</v>
      </c>
      <c r="R1283" s="2" t="s">
        <v>95</v>
      </c>
      <c r="S1283" s="2">
        <v>1</v>
      </c>
      <c r="T1283" s="2">
        <v>1.1399999999999999</v>
      </c>
      <c r="U1283" s="2">
        <v>0.26219999999999999</v>
      </c>
      <c r="V1283" s="2">
        <v>1.4021999999999999</v>
      </c>
      <c r="W1283" s="2">
        <v>1.1399999999999999</v>
      </c>
      <c r="X1283" s="5">
        <f t="shared" si="179"/>
        <v>0</v>
      </c>
      <c r="Z1283" s="2" t="s">
        <v>3227</v>
      </c>
      <c r="AA1283" s="2" t="s">
        <v>96</v>
      </c>
      <c r="AB1283" s="2" t="s">
        <v>76</v>
      </c>
      <c r="AC1283" s="2" t="s">
        <v>93</v>
      </c>
      <c r="AF1283" s="2">
        <f t="shared" si="181"/>
        <v>0</v>
      </c>
      <c r="AG1283" s="2">
        <v>1.1399999999999999</v>
      </c>
      <c r="AH1283" s="2">
        <v>1.1399999999999999</v>
      </c>
      <c r="AJ1283" s="2">
        <f t="shared" si="182"/>
        <v>0</v>
      </c>
      <c r="AK1283" s="2">
        <f t="shared" si="183"/>
        <v>0</v>
      </c>
      <c r="AL1283" s="5">
        <f t="shared" si="180"/>
        <v>0</v>
      </c>
    </row>
    <row r="1284" spans="1:38" x14ac:dyDescent="0.2">
      <c r="A1284" s="2">
        <v>2025</v>
      </c>
      <c r="B1284" s="2">
        <v>7</v>
      </c>
      <c r="D1284" s="2" t="s">
        <v>382</v>
      </c>
      <c r="E1284" s="2" t="s">
        <v>38</v>
      </c>
      <c r="F1284" s="2" t="s">
        <v>39</v>
      </c>
      <c r="G1284" s="2">
        <v>212196260</v>
      </c>
      <c r="H1284" s="2" t="s">
        <v>109</v>
      </c>
      <c r="I1284" s="2" t="s">
        <v>383</v>
      </c>
      <c r="J1284" s="2" t="s">
        <v>384</v>
      </c>
      <c r="K1284" s="2">
        <v>926769894</v>
      </c>
      <c r="L1284" s="2" t="s">
        <v>112</v>
      </c>
      <c r="M1284" s="2" t="s">
        <v>40</v>
      </c>
      <c r="P1284" s="2" t="s">
        <v>187</v>
      </c>
      <c r="Q1284" s="2" t="s">
        <v>188</v>
      </c>
      <c r="R1284" s="2" t="s">
        <v>189</v>
      </c>
      <c r="S1284" s="2">
        <v>1</v>
      </c>
      <c r="T1284" s="2">
        <v>171</v>
      </c>
      <c r="U1284" s="2">
        <v>39.33</v>
      </c>
      <c r="V1284" s="2">
        <v>210.33</v>
      </c>
      <c r="W1284" s="2">
        <f>T1284*40%</f>
        <v>68.400000000000006</v>
      </c>
      <c r="X1284" s="5">
        <f t="shared" si="179"/>
        <v>0.6</v>
      </c>
      <c r="Z1284" s="2" t="s">
        <v>117</v>
      </c>
      <c r="AA1284" s="2" t="s">
        <v>190</v>
      </c>
      <c r="AB1284" s="2" t="s">
        <v>189</v>
      </c>
      <c r="AC1284" s="2" t="s">
        <v>40</v>
      </c>
      <c r="AF1284" s="2">
        <f t="shared" si="181"/>
        <v>0</v>
      </c>
      <c r="AJ1284" s="2">
        <f t="shared" si="182"/>
        <v>0</v>
      </c>
      <c r="AK1284" s="2">
        <f t="shared" si="183"/>
        <v>102.6</v>
      </c>
      <c r="AL1284" s="5">
        <f t="shared" si="180"/>
        <v>0.6</v>
      </c>
    </row>
    <row r="1285" spans="1:38" x14ac:dyDescent="0.2">
      <c r="A1285" s="2">
        <v>2025</v>
      </c>
      <c r="B1285" s="2">
        <v>7</v>
      </c>
      <c r="D1285" s="2" t="s">
        <v>382</v>
      </c>
      <c r="E1285" s="2" t="s">
        <v>38</v>
      </c>
      <c r="F1285" s="2" t="s">
        <v>39</v>
      </c>
      <c r="G1285" s="2">
        <v>212196260</v>
      </c>
      <c r="H1285" s="2" t="s">
        <v>109</v>
      </c>
      <c r="I1285" s="2" t="s">
        <v>383</v>
      </c>
      <c r="J1285" s="2" t="s">
        <v>384</v>
      </c>
      <c r="K1285" s="2">
        <v>926769894</v>
      </c>
      <c r="L1285" s="2" t="s">
        <v>112</v>
      </c>
      <c r="M1285" s="2" t="s">
        <v>40</v>
      </c>
      <c r="P1285" s="2" t="s">
        <v>187</v>
      </c>
      <c r="Q1285" s="2" t="s">
        <v>191</v>
      </c>
      <c r="R1285" s="2" t="s">
        <v>190</v>
      </c>
      <c r="S1285" s="2">
        <v>1</v>
      </c>
      <c r="T1285" s="2">
        <v>50</v>
      </c>
      <c r="U1285" s="2">
        <v>11.5</v>
      </c>
      <c r="V1285" s="2">
        <v>61.5</v>
      </c>
      <c r="W1285" s="2">
        <f>T1285*50%</f>
        <v>25</v>
      </c>
      <c r="X1285" s="5">
        <f t="shared" si="179"/>
        <v>0.5</v>
      </c>
      <c r="Z1285" s="2" t="s">
        <v>117</v>
      </c>
      <c r="AA1285" s="2" t="s">
        <v>190</v>
      </c>
      <c r="AB1285" s="2" t="s">
        <v>190</v>
      </c>
      <c r="AC1285" s="2" t="s">
        <v>40</v>
      </c>
      <c r="AF1285" s="2">
        <f t="shared" si="181"/>
        <v>0</v>
      </c>
      <c r="AJ1285" s="2">
        <f t="shared" si="182"/>
        <v>0</v>
      </c>
      <c r="AK1285" s="2">
        <f t="shared" si="183"/>
        <v>25</v>
      </c>
      <c r="AL1285" s="5">
        <f t="shared" si="180"/>
        <v>0.5</v>
      </c>
    </row>
    <row r="1286" spans="1:38" x14ac:dyDescent="0.2">
      <c r="A1286" s="2">
        <v>2025</v>
      </c>
      <c r="B1286" s="2">
        <v>7</v>
      </c>
      <c r="D1286" s="2" t="s">
        <v>382</v>
      </c>
      <c r="E1286" s="2" t="s">
        <v>38</v>
      </c>
      <c r="F1286" s="2" t="s">
        <v>39</v>
      </c>
      <c r="G1286" s="2">
        <v>212196260</v>
      </c>
      <c r="H1286" s="2" t="s">
        <v>109</v>
      </c>
      <c r="I1286" s="2" t="s">
        <v>383</v>
      </c>
      <c r="J1286" s="2" t="s">
        <v>384</v>
      </c>
      <c r="K1286" s="2">
        <v>926769894</v>
      </c>
      <c r="L1286" s="2" t="s">
        <v>112</v>
      </c>
      <c r="P1286" s="2" t="s">
        <v>40</v>
      </c>
      <c r="Q1286" s="2" t="s">
        <v>363</v>
      </c>
      <c r="R1286" s="2" t="s">
        <v>364</v>
      </c>
      <c r="S1286" s="2">
        <v>1</v>
      </c>
      <c r="T1286" s="2">
        <v>200.03</v>
      </c>
      <c r="U1286" s="2">
        <v>46.006900000000002</v>
      </c>
      <c r="V1286" s="2">
        <v>246.0369</v>
      </c>
      <c r="X1286" s="5">
        <f t="shared" si="179"/>
        <v>1</v>
      </c>
      <c r="Z1286" s="2" t="s">
        <v>119</v>
      </c>
      <c r="AA1286" s="2" t="s">
        <v>3380</v>
      </c>
      <c r="AF1286" s="2">
        <f t="shared" si="181"/>
        <v>0</v>
      </c>
      <c r="AJ1286" s="2">
        <f t="shared" si="182"/>
        <v>0</v>
      </c>
      <c r="AK1286" s="2">
        <f t="shared" si="183"/>
        <v>200.03</v>
      </c>
      <c r="AL1286" s="5">
        <f t="shared" si="180"/>
        <v>1</v>
      </c>
    </row>
    <row r="1287" spans="1:38" x14ac:dyDescent="0.2">
      <c r="A1287" s="2">
        <v>2025</v>
      </c>
      <c r="B1287" s="2">
        <v>7</v>
      </c>
      <c r="D1287" s="2" t="s">
        <v>775</v>
      </c>
      <c r="E1287" s="2" t="s">
        <v>38</v>
      </c>
      <c r="F1287" s="2" t="s">
        <v>39</v>
      </c>
      <c r="G1287" s="2">
        <v>507324560</v>
      </c>
      <c r="H1287" s="2" t="s">
        <v>40</v>
      </c>
      <c r="I1287" s="2" t="s">
        <v>776</v>
      </c>
      <c r="J1287" s="2" t="s">
        <v>777</v>
      </c>
      <c r="L1287" s="2" t="s">
        <v>339</v>
      </c>
      <c r="M1287" s="2" t="s">
        <v>40</v>
      </c>
      <c r="O1287" s="2" t="s">
        <v>1550</v>
      </c>
      <c r="P1287" s="2" t="s">
        <v>114</v>
      </c>
      <c r="Q1287" s="2" t="s">
        <v>356</v>
      </c>
      <c r="R1287" s="2" t="s">
        <v>357</v>
      </c>
      <c r="S1287" s="2">
        <v>1</v>
      </c>
      <c r="T1287" s="2">
        <v>518.29</v>
      </c>
      <c r="U1287" s="2">
        <v>119.2067</v>
      </c>
      <c r="V1287" s="2">
        <v>637.49669999999992</v>
      </c>
      <c r="W1287" s="2">
        <v>246.77</v>
      </c>
      <c r="X1287" s="5">
        <f t="shared" si="179"/>
        <v>0.52387659418472288</v>
      </c>
      <c r="Z1287" s="2" t="s">
        <v>117</v>
      </c>
      <c r="AA1287" s="2" t="s">
        <v>118</v>
      </c>
      <c r="AB1287" s="2" t="s">
        <v>119</v>
      </c>
      <c r="AC1287" s="2" t="s">
        <v>114</v>
      </c>
      <c r="AF1287" s="2">
        <f t="shared" si="181"/>
        <v>0</v>
      </c>
      <c r="AG1287" s="2">
        <v>246.77</v>
      </c>
      <c r="AJ1287" s="2">
        <f t="shared" si="182"/>
        <v>0</v>
      </c>
      <c r="AK1287" s="2">
        <f t="shared" si="183"/>
        <v>271.52</v>
      </c>
      <c r="AL1287" s="5">
        <f t="shared" si="180"/>
        <v>0.52387659418472288</v>
      </c>
    </row>
    <row r="1288" spans="1:38" x14ac:dyDescent="0.2">
      <c r="A1288" s="2">
        <v>2025</v>
      </c>
      <c r="B1288" s="2">
        <v>7</v>
      </c>
      <c r="D1288" s="2" t="s">
        <v>775</v>
      </c>
      <c r="E1288" s="2" t="s">
        <v>38</v>
      </c>
      <c r="F1288" s="2" t="s">
        <v>39</v>
      </c>
      <c r="G1288" s="2">
        <v>507324560</v>
      </c>
      <c r="H1288" s="2" t="s">
        <v>40</v>
      </c>
      <c r="I1288" s="2" t="s">
        <v>776</v>
      </c>
      <c r="J1288" s="2" t="s">
        <v>777</v>
      </c>
      <c r="L1288" s="2" t="s">
        <v>339</v>
      </c>
      <c r="M1288" s="2" t="s">
        <v>40</v>
      </c>
      <c r="O1288" s="2" t="s">
        <v>1551</v>
      </c>
      <c r="P1288" s="2" t="s">
        <v>187</v>
      </c>
      <c r="Q1288" s="2" t="s">
        <v>188</v>
      </c>
      <c r="R1288" s="2" t="s">
        <v>189</v>
      </c>
      <c r="S1288" s="2">
        <v>2</v>
      </c>
      <c r="T1288" s="2">
        <v>100</v>
      </c>
      <c r="U1288" s="2">
        <v>23</v>
      </c>
      <c r="V1288" s="2">
        <v>123</v>
      </c>
      <c r="W1288" s="2">
        <f>T1288*40%</f>
        <v>40</v>
      </c>
      <c r="X1288" s="5">
        <f t="shared" si="179"/>
        <v>0.6</v>
      </c>
      <c r="Z1288" s="2" t="s">
        <v>117</v>
      </c>
      <c r="AA1288" s="2" t="s">
        <v>190</v>
      </c>
      <c r="AB1288" s="2" t="s">
        <v>189</v>
      </c>
      <c r="AC1288" s="2" t="s">
        <v>40</v>
      </c>
      <c r="AF1288" s="2">
        <f t="shared" si="181"/>
        <v>0</v>
      </c>
      <c r="AJ1288" s="2">
        <f t="shared" si="182"/>
        <v>0</v>
      </c>
      <c r="AK1288" s="2">
        <f t="shared" si="183"/>
        <v>60</v>
      </c>
      <c r="AL1288" s="5">
        <f t="shared" si="180"/>
        <v>0.6</v>
      </c>
    </row>
    <row r="1289" spans="1:38" x14ac:dyDescent="0.2">
      <c r="A1289" s="2">
        <v>2025</v>
      </c>
      <c r="B1289" s="2">
        <v>7</v>
      </c>
      <c r="D1289" s="2" t="s">
        <v>775</v>
      </c>
      <c r="E1289" s="2" t="s">
        <v>38</v>
      </c>
      <c r="F1289" s="2" t="s">
        <v>39</v>
      </c>
      <c r="G1289" s="2">
        <v>507324560</v>
      </c>
      <c r="H1289" s="2" t="s">
        <v>40</v>
      </c>
      <c r="I1289" s="2" t="s">
        <v>776</v>
      </c>
      <c r="J1289" s="2" t="s">
        <v>777</v>
      </c>
      <c r="L1289" s="2" t="s">
        <v>339</v>
      </c>
      <c r="M1289" s="2" t="s">
        <v>40</v>
      </c>
      <c r="O1289" s="2" t="s">
        <v>1551</v>
      </c>
      <c r="P1289" s="2" t="s">
        <v>187</v>
      </c>
      <c r="Q1289" s="2" t="s">
        <v>191</v>
      </c>
      <c r="R1289" s="2" t="s">
        <v>190</v>
      </c>
      <c r="S1289" s="2">
        <v>6</v>
      </c>
      <c r="T1289" s="2">
        <v>300</v>
      </c>
      <c r="U1289" s="2">
        <v>69</v>
      </c>
      <c r="V1289" s="2">
        <v>369</v>
      </c>
      <c r="W1289" s="2">
        <f>T1289*50%</f>
        <v>150</v>
      </c>
      <c r="X1289" s="5">
        <f t="shared" si="179"/>
        <v>0.5</v>
      </c>
      <c r="Z1289" s="2" t="s">
        <v>117</v>
      </c>
      <c r="AA1289" s="2" t="s">
        <v>190</v>
      </c>
      <c r="AB1289" s="2" t="s">
        <v>190</v>
      </c>
      <c r="AC1289" s="2" t="s">
        <v>40</v>
      </c>
      <c r="AF1289" s="2">
        <f t="shared" si="181"/>
        <v>0</v>
      </c>
      <c r="AJ1289" s="2">
        <f t="shared" si="182"/>
        <v>0</v>
      </c>
      <c r="AK1289" s="2">
        <f t="shared" si="183"/>
        <v>150</v>
      </c>
      <c r="AL1289" s="5">
        <f t="shared" si="180"/>
        <v>0.5</v>
      </c>
    </row>
    <row r="1290" spans="1:38" x14ac:dyDescent="0.2">
      <c r="A1290" s="2">
        <v>2025</v>
      </c>
      <c r="B1290" s="2">
        <v>7</v>
      </c>
      <c r="D1290" s="2" t="s">
        <v>775</v>
      </c>
      <c r="E1290" s="2" t="s">
        <v>38</v>
      </c>
      <c r="F1290" s="2" t="s">
        <v>39</v>
      </c>
      <c r="G1290" s="2">
        <v>507324560</v>
      </c>
      <c r="H1290" s="2" t="s">
        <v>40</v>
      </c>
      <c r="I1290" s="2" t="s">
        <v>776</v>
      </c>
      <c r="J1290" s="2" t="s">
        <v>777</v>
      </c>
      <c r="L1290" s="2" t="s">
        <v>339</v>
      </c>
      <c r="M1290" s="2" t="s">
        <v>40</v>
      </c>
      <c r="O1290" s="2" t="s">
        <v>1550</v>
      </c>
      <c r="P1290" s="2" t="s">
        <v>40</v>
      </c>
      <c r="Q1290" s="2" t="s">
        <v>363</v>
      </c>
      <c r="R1290" s="2" t="s">
        <v>364</v>
      </c>
      <c r="S1290" s="2">
        <v>1</v>
      </c>
      <c r="T1290" s="2">
        <v>267.18</v>
      </c>
      <c r="U1290" s="2">
        <v>61.451400000000007</v>
      </c>
      <c r="V1290" s="2">
        <v>328.63139999999999</v>
      </c>
      <c r="X1290" s="5">
        <f t="shared" si="179"/>
        <v>1</v>
      </c>
      <c r="Z1290" s="2" t="s">
        <v>117</v>
      </c>
      <c r="AA1290" s="2" t="s">
        <v>118</v>
      </c>
      <c r="AB1290" s="2" t="s">
        <v>119</v>
      </c>
      <c r="AF1290" s="2">
        <f t="shared" si="181"/>
        <v>0</v>
      </c>
      <c r="AJ1290" s="2">
        <f t="shared" si="182"/>
        <v>0</v>
      </c>
      <c r="AK1290" s="2">
        <f t="shared" si="183"/>
        <v>267.18</v>
      </c>
      <c r="AL1290" s="5">
        <f t="shared" si="180"/>
        <v>1</v>
      </c>
    </row>
    <row r="1291" spans="1:38" x14ac:dyDescent="0.2">
      <c r="A1291" s="2">
        <v>2025</v>
      </c>
      <c r="B1291" s="2">
        <v>7</v>
      </c>
      <c r="D1291" s="2" t="s">
        <v>391</v>
      </c>
      <c r="E1291" s="2" t="s">
        <v>38</v>
      </c>
      <c r="F1291" s="2" t="s">
        <v>39</v>
      </c>
      <c r="G1291" s="2">
        <v>206206143</v>
      </c>
      <c r="H1291" s="2" t="s">
        <v>41</v>
      </c>
      <c r="I1291" s="2" t="s">
        <v>392</v>
      </c>
      <c r="J1291" s="2" t="s">
        <v>393</v>
      </c>
      <c r="L1291" s="2" t="s">
        <v>99</v>
      </c>
      <c r="M1291" s="2" t="s">
        <v>40</v>
      </c>
      <c r="P1291" s="2" t="s">
        <v>187</v>
      </c>
      <c r="Q1291" s="2" t="s">
        <v>188</v>
      </c>
      <c r="R1291" s="2" t="s">
        <v>189</v>
      </c>
      <c r="S1291" s="2">
        <v>2</v>
      </c>
      <c r="T1291" s="2">
        <v>74</v>
      </c>
      <c r="U1291" s="2">
        <v>17.02</v>
      </c>
      <c r="V1291" s="2">
        <v>91.02</v>
      </c>
      <c r="W1291" s="2">
        <f>T1291*40%</f>
        <v>29.6</v>
      </c>
      <c r="X1291" s="5">
        <f t="shared" si="179"/>
        <v>0.6</v>
      </c>
      <c r="Z1291" s="2" t="s">
        <v>117</v>
      </c>
      <c r="AA1291" s="2" t="s">
        <v>190</v>
      </c>
      <c r="AB1291" s="2" t="s">
        <v>189</v>
      </c>
      <c r="AC1291" s="2" t="s">
        <v>40</v>
      </c>
      <c r="AF1291" s="2">
        <f t="shared" si="181"/>
        <v>0</v>
      </c>
      <c r="AJ1291" s="2">
        <f t="shared" si="182"/>
        <v>0</v>
      </c>
      <c r="AK1291" s="2">
        <f t="shared" si="183"/>
        <v>44.4</v>
      </c>
      <c r="AL1291" s="5">
        <f t="shared" si="180"/>
        <v>0.6</v>
      </c>
    </row>
    <row r="1292" spans="1:38" x14ac:dyDescent="0.2">
      <c r="A1292" s="2">
        <v>2025</v>
      </c>
      <c r="B1292" s="2">
        <v>7</v>
      </c>
      <c r="D1292" s="2" t="s">
        <v>391</v>
      </c>
      <c r="E1292" s="2" t="s">
        <v>38</v>
      </c>
      <c r="F1292" s="2" t="s">
        <v>39</v>
      </c>
      <c r="G1292" s="2">
        <v>206206143</v>
      </c>
      <c r="H1292" s="2" t="s">
        <v>41</v>
      </c>
      <c r="I1292" s="2" t="s">
        <v>392</v>
      </c>
      <c r="J1292" s="2" t="s">
        <v>393</v>
      </c>
      <c r="L1292" s="2" t="s">
        <v>99</v>
      </c>
      <c r="M1292" s="2" t="s">
        <v>40</v>
      </c>
      <c r="P1292" s="2" t="s">
        <v>187</v>
      </c>
      <c r="Q1292" s="2" t="s">
        <v>191</v>
      </c>
      <c r="R1292" s="2" t="s">
        <v>190</v>
      </c>
      <c r="S1292" s="2">
        <v>9</v>
      </c>
      <c r="T1292" s="2">
        <v>350</v>
      </c>
      <c r="U1292" s="2">
        <v>80.5</v>
      </c>
      <c r="V1292" s="2">
        <v>430.5</v>
      </c>
      <c r="W1292" s="2">
        <f>T1292*50%</f>
        <v>175</v>
      </c>
      <c r="X1292" s="5">
        <f t="shared" si="179"/>
        <v>0.5</v>
      </c>
      <c r="Z1292" s="2" t="s">
        <v>117</v>
      </c>
      <c r="AA1292" s="2" t="s">
        <v>190</v>
      </c>
      <c r="AB1292" s="2" t="s">
        <v>190</v>
      </c>
      <c r="AC1292" s="2" t="s">
        <v>40</v>
      </c>
      <c r="AF1292" s="2">
        <f t="shared" si="181"/>
        <v>0</v>
      </c>
      <c r="AJ1292" s="2">
        <f t="shared" si="182"/>
        <v>0</v>
      </c>
      <c r="AK1292" s="2">
        <f t="shared" si="183"/>
        <v>175</v>
      </c>
      <c r="AL1292" s="5">
        <f t="shared" si="180"/>
        <v>0.5</v>
      </c>
    </row>
    <row r="1293" spans="1:38" x14ac:dyDescent="0.2">
      <c r="A1293" s="2">
        <v>2025</v>
      </c>
      <c r="B1293" s="2">
        <v>7</v>
      </c>
      <c r="D1293" s="2" t="s">
        <v>1009</v>
      </c>
      <c r="E1293" s="2" t="s">
        <v>108</v>
      </c>
      <c r="F1293" s="2" t="s">
        <v>39</v>
      </c>
      <c r="G1293" s="2">
        <v>507063481</v>
      </c>
      <c r="H1293" s="2" t="s">
        <v>290</v>
      </c>
      <c r="I1293" s="2" t="s">
        <v>1010</v>
      </c>
      <c r="J1293" s="2" t="s">
        <v>1011</v>
      </c>
      <c r="L1293" s="2" t="s">
        <v>293</v>
      </c>
      <c r="P1293" s="2" t="s">
        <v>40</v>
      </c>
      <c r="Q1293" s="2" t="s">
        <v>363</v>
      </c>
      <c r="R1293" s="2" t="s">
        <v>364</v>
      </c>
      <c r="S1293" s="2">
        <v>1</v>
      </c>
      <c r="T1293" s="2">
        <v>630</v>
      </c>
      <c r="U1293" s="2">
        <v>144.9</v>
      </c>
      <c r="V1293" s="2">
        <v>774.9</v>
      </c>
      <c r="X1293" s="5">
        <f t="shared" si="179"/>
        <v>1</v>
      </c>
      <c r="Z1293" s="2" t="s">
        <v>119</v>
      </c>
      <c r="AA1293" s="2" t="s">
        <v>3380</v>
      </c>
      <c r="AF1293" s="2">
        <f t="shared" si="181"/>
        <v>0</v>
      </c>
      <c r="AJ1293" s="2">
        <f t="shared" si="182"/>
        <v>0</v>
      </c>
      <c r="AK1293" s="2">
        <f t="shared" si="183"/>
        <v>630</v>
      </c>
      <c r="AL1293" s="5">
        <f t="shared" si="180"/>
        <v>1</v>
      </c>
    </row>
    <row r="1294" spans="1:38" x14ac:dyDescent="0.2">
      <c r="A1294" s="2">
        <v>2025</v>
      </c>
      <c r="B1294" s="2">
        <v>7</v>
      </c>
      <c r="D1294" s="2" t="s">
        <v>415</v>
      </c>
      <c r="E1294" s="2" t="s">
        <v>38</v>
      </c>
      <c r="F1294" s="2" t="s">
        <v>39</v>
      </c>
      <c r="G1294" s="2">
        <v>219908800</v>
      </c>
      <c r="H1294" s="2" t="s">
        <v>41</v>
      </c>
      <c r="I1294" s="2" t="s">
        <v>416</v>
      </c>
      <c r="J1294" s="2" t="s">
        <v>417</v>
      </c>
      <c r="L1294" s="2" t="s">
        <v>418</v>
      </c>
      <c r="P1294" s="2" t="s">
        <v>114</v>
      </c>
      <c r="Q1294" s="2" t="s">
        <v>823</v>
      </c>
      <c r="R1294" s="2" t="s">
        <v>824</v>
      </c>
      <c r="S1294" s="2">
        <v>1</v>
      </c>
      <c r="T1294" s="2">
        <v>273.13</v>
      </c>
      <c r="U1294" s="2">
        <v>62.819899999999997</v>
      </c>
      <c r="V1294" s="2">
        <v>335.94990000000001</v>
      </c>
      <c r="X1294" s="5">
        <f t="shared" si="179"/>
        <v>1</v>
      </c>
      <c r="Z1294" s="2" t="s">
        <v>117</v>
      </c>
      <c r="AF1294" s="2">
        <f t="shared" si="181"/>
        <v>0</v>
      </c>
      <c r="AJ1294" s="2">
        <f t="shared" si="182"/>
        <v>0</v>
      </c>
      <c r="AK1294" s="2">
        <f t="shared" si="183"/>
        <v>273.13</v>
      </c>
      <c r="AL1294" s="5">
        <f t="shared" si="180"/>
        <v>1</v>
      </c>
    </row>
    <row r="1295" spans="1:38" x14ac:dyDescent="0.2">
      <c r="A1295" s="2">
        <v>2025</v>
      </c>
      <c r="B1295" s="2">
        <v>7</v>
      </c>
      <c r="D1295" s="2" t="s">
        <v>1015</v>
      </c>
      <c r="E1295" s="2" t="s">
        <v>108</v>
      </c>
      <c r="F1295" s="2" t="s">
        <v>477</v>
      </c>
      <c r="G1295" s="2">
        <v>503815284</v>
      </c>
      <c r="H1295" s="2" t="s">
        <v>40</v>
      </c>
      <c r="I1295" s="2" t="s">
        <v>156</v>
      </c>
      <c r="J1295" s="2" t="s">
        <v>2538</v>
      </c>
      <c r="L1295" s="2" t="s">
        <v>99</v>
      </c>
      <c r="M1295" s="2" t="s">
        <v>80</v>
      </c>
      <c r="O1295" s="2" t="s">
        <v>1552</v>
      </c>
      <c r="P1295" s="2" t="s">
        <v>43</v>
      </c>
      <c r="Q1295" s="2" t="s">
        <v>158</v>
      </c>
      <c r="R1295" s="2" t="s">
        <v>159</v>
      </c>
      <c r="S1295" s="2">
        <v>4</v>
      </c>
      <c r="T1295" s="2">
        <v>76.8</v>
      </c>
      <c r="U1295" s="2">
        <v>17.664000000000001</v>
      </c>
      <c r="V1295" s="2">
        <v>94.463999999999999</v>
      </c>
      <c r="W1295" s="2">
        <f>9.3*S1295</f>
        <v>37.200000000000003</v>
      </c>
      <c r="X1295" s="5">
        <f t="shared" si="179"/>
        <v>0.515625</v>
      </c>
      <c r="Z1295" s="2" t="s">
        <v>3227</v>
      </c>
      <c r="AA1295" s="2" t="s">
        <v>46</v>
      </c>
      <c r="AB1295" s="2" t="s">
        <v>47</v>
      </c>
      <c r="AC1295" s="2" t="s">
        <v>57</v>
      </c>
      <c r="AF1295" s="2">
        <f t="shared" si="181"/>
        <v>0</v>
      </c>
      <c r="AG1295" s="2">
        <v>9.3000000000000007</v>
      </c>
      <c r="AH1295" s="2">
        <v>21</v>
      </c>
      <c r="AJ1295" s="2">
        <f t="shared" si="182"/>
        <v>0</v>
      </c>
      <c r="AK1295" s="2">
        <f t="shared" si="183"/>
        <v>39.599999999999994</v>
      </c>
      <c r="AL1295" s="5">
        <f t="shared" si="180"/>
        <v>0.515625</v>
      </c>
    </row>
    <row r="1296" spans="1:38" x14ac:dyDescent="0.2">
      <c r="A1296" s="2">
        <v>2025</v>
      </c>
      <c r="B1296" s="2">
        <v>7</v>
      </c>
      <c r="D1296" s="2" t="s">
        <v>1015</v>
      </c>
      <c r="E1296" s="2" t="s">
        <v>108</v>
      </c>
      <c r="F1296" s="2" t="s">
        <v>477</v>
      </c>
      <c r="G1296" s="2">
        <v>503815284</v>
      </c>
      <c r="H1296" s="2" t="s">
        <v>40</v>
      </c>
      <c r="I1296" s="2" t="s">
        <v>156</v>
      </c>
      <c r="J1296" s="2" t="s">
        <v>2538</v>
      </c>
      <c r="L1296" s="2" t="s">
        <v>99</v>
      </c>
      <c r="M1296" s="2" t="s">
        <v>80</v>
      </c>
      <c r="P1296" s="2" t="s">
        <v>43</v>
      </c>
      <c r="Q1296" s="2" t="s">
        <v>160</v>
      </c>
      <c r="R1296" s="2" t="s">
        <v>161</v>
      </c>
      <c r="S1296" s="2">
        <v>4</v>
      </c>
      <c r="T1296" s="2">
        <v>33.6</v>
      </c>
      <c r="U1296" s="2">
        <v>7.7280000000000006</v>
      </c>
      <c r="V1296" s="2">
        <v>41.328000000000003</v>
      </c>
      <c r="W1296" s="2">
        <f>3.7358*S1296</f>
        <v>14.943199999999999</v>
      </c>
      <c r="X1296" s="5">
        <f t="shared" si="179"/>
        <v>0.55526190476190485</v>
      </c>
      <c r="Z1296" s="2" t="s">
        <v>3227</v>
      </c>
      <c r="AA1296" s="2" t="s">
        <v>46</v>
      </c>
      <c r="AB1296" s="2" t="s">
        <v>47</v>
      </c>
      <c r="AC1296" s="2" t="s">
        <v>57</v>
      </c>
      <c r="AF1296" s="2">
        <f t="shared" si="181"/>
        <v>0</v>
      </c>
      <c r="AG1296" s="2">
        <v>3.7357999999999998</v>
      </c>
      <c r="AH1296" s="2">
        <v>9</v>
      </c>
      <c r="AJ1296" s="2">
        <f t="shared" si="182"/>
        <v>0</v>
      </c>
      <c r="AK1296" s="2">
        <f t="shared" si="183"/>
        <v>18.656800000000004</v>
      </c>
      <c r="AL1296" s="5">
        <f t="shared" si="180"/>
        <v>0.55526190476190485</v>
      </c>
    </row>
    <row r="1297" spans="1:38" x14ac:dyDescent="0.2">
      <c r="A1297" s="2">
        <v>2025</v>
      </c>
      <c r="B1297" s="2">
        <v>7</v>
      </c>
      <c r="D1297" s="2" t="s">
        <v>422</v>
      </c>
      <c r="E1297" s="2" t="s">
        <v>98</v>
      </c>
      <c r="F1297" s="2" t="s">
        <v>39</v>
      </c>
      <c r="G1297" s="2">
        <v>503523470</v>
      </c>
      <c r="H1297" s="2" t="s">
        <v>40</v>
      </c>
      <c r="I1297" s="2" t="s">
        <v>423</v>
      </c>
      <c r="J1297" s="2" t="s">
        <v>424</v>
      </c>
      <c r="L1297" s="2" t="s">
        <v>201</v>
      </c>
      <c r="M1297" s="2" t="s">
        <v>80</v>
      </c>
      <c r="P1297" s="2" t="s">
        <v>43</v>
      </c>
      <c r="Q1297" s="2" t="s">
        <v>54</v>
      </c>
      <c r="R1297" s="2" t="s">
        <v>55</v>
      </c>
      <c r="S1297" s="2">
        <v>1</v>
      </c>
      <c r="T1297" s="2">
        <v>18</v>
      </c>
      <c r="U1297" s="2">
        <v>4.1400000000000006</v>
      </c>
      <c r="V1297" s="2">
        <v>22.14</v>
      </c>
      <c r="W1297" s="2">
        <f>10.6*S1297</f>
        <v>10.6</v>
      </c>
      <c r="X1297" s="5">
        <f t="shared" si="179"/>
        <v>0.41111111111111115</v>
      </c>
      <c r="Z1297" s="2" t="s">
        <v>3227</v>
      </c>
      <c r="AA1297" s="2" t="s">
        <v>46</v>
      </c>
      <c r="AB1297" s="2" t="s">
        <v>56</v>
      </c>
      <c r="AC1297" s="2" t="s">
        <v>57</v>
      </c>
      <c r="AF1297" s="2">
        <f t="shared" si="181"/>
        <v>0</v>
      </c>
      <c r="AG1297" s="2">
        <v>10.6</v>
      </c>
      <c r="AH1297" s="2">
        <v>18</v>
      </c>
      <c r="AJ1297" s="2">
        <f t="shared" si="182"/>
        <v>0</v>
      </c>
      <c r="AK1297" s="2">
        <f t="shared" si="183"/>
        <v>7.4</v>
      </c>
      <c r="AL1297" s="5">
        <f t="shared" si="180"/>
        <v>0.41111111111111115</v>
      </c>
    </row>
    <row r="1298" spans="1:38" x14ac:dyDescent="0.2">
      <c r="A1298" s="2">
        <v>2025</v>
      </c>
      <c r="B1298" s="2">
        <v>7</v>
      </c>
      <c r="D1298" s="2" t="s">
        <v>422</v>
      </c>
      <c r="E1298" s="2" t="s">
        <v>98</v>
      </c>
      <c r="F1298" s="2" t="s">
        <v>39</v>
      </c>
      <c r="G1298" s="2">
        <v>503523470</v>
      </c>
      <c r="H1298" s="2" t="s">
        <v>40</v>
      </c>
      <c r="I1298" s="2" t="s">
        <v>423</v>
      </c>
      <c r="J1298" s="2" t="s">
        <v>424</v>
      </c>
      <c r="L1298" s="2" t="s">
        <v>201</v>
      </c>
      <c r="M1298" s="2" t="s">
        <v>80</v>
      </c>
      <c r="P1298" s="2" t="s">
        <v>43</v>
      </c>
      <c r="Q1298" s="2" t="s">
        <v>61</v>
      </c>
      <c r="R1298" s="2" t="s">
        <v>62</v>
      </c>
      <c r="S1298" s="2">
        <v>100</v>
      </c>
      <c r="T1298" s="2">
        <v>13</v>
      </c>
      <c r="U1298" s="2">
        <v>2.99</v>
      </c>
      <c r="V1298" s="2">
        <v>15.99</v>
      </c>
      <c r="W1298" s="2">
        <f>0.082*S1298</f>
        <v>8.2000000000000011</v>
      </c>
      <c r="X1298" s="5">
        <f t="shared" si="179"/>
        <v>0.36923076923076914</v>
      </c>
      <c r="Z1298" s="2" t="s">
        <v>3227</v>
      </c>
      <c r="AA1298" s="2" t="s">
        <v>46</v>
      </c>
      <c r="AB1298" s="2" t="s">
        <v>60</v>
      </c>
      <c r="AC1298" s="2" t="s">
        <v>57</v>
      </c>
      <c r="AF1298" s="2">
        <f t="shared" si="181"/>
        <v>0</v>
      </c>
      <c r="AG1298" s="2">
        <v>8.1999999999999993</v>
      </c>
      <c r="AH1298" s="2">
        <v>13</v>
      </c>
      <c r="AJ1298" s="2">
        <f t="shared" si="182"/>
        <v>0</v>
      </c>
      <c r="AK1298" s="2">
        <f t="shared" si="183"/>
        <v>4.7999999999999989</v>
      </c>
      <c r="AL1298" s="5">
        <f t="shared" si="180"/>
        <v>0.36923076923076914</v>
      </c>
    </row>
    <row r="1299" spans="1:38" x14ac:dyDescent="0.2">
      <c r="A1299" s="2">
        <v>2025</v>
      </c>
      <c r="B1299" s="2">
        <v>7</v>
      </c>
      <c r="D1299" s="2" t="s">
        <v>1553</v>
      </c>
      <c r="E1299" s="2" t="s">
        <v>108</v>
      </c>
      <c r="F1299" s="2" t="s">
        <v>717</v>
      </c>
      <c r="G1299" s="2">
        <v>500975914</v>
      </c>
      <c r="H1299" s="2" t="s">
        <v>41</v>
      </c>
      <c r="I1299" s="2" t="s">
        <v>1554</v>
      </c>
      <c r="J1299" s="2" t="s">
        <v>1555</v>
      </c>
      <c r="L1299" s="2" t="s">
        <v>99</v>
      </c>
      <c r="M1299" s="2" t="s">
        <v>40</v>
      </c>
      <c r="P1299" s="2" t="s">
        <v>187</v>
      </c>
      <c r="Q1299" s="2" t="s">
        <v>188</v>
      </c>
      <c r="R1299" s="2" t="s">
        <v>189</v>
      </c>
      <c r="S1299" s="2">
        <v>1</v>
      </c>
      <c r="T1299" s="2">
        <v>74</v>
      </c>
      <c r="U1299" s="2">
        <v>17.02</v>
      </c>
      <c r="V1299" s="2">
        <v>91.02</v>
      </c>
      <c r="W1299" s="2">
        <f>T1299*40%</f>
        <v>29.6</v>
      </c>
      <c r="X1299" s="5">
        <f t="shared" si="179"/>
        <v>0.6</v>
      </c>
      <c r="Z1299" s="2" t="s">
        <v>117</v>
      </c>
      <c r="AA1299" s="2" t="s">
        <v>190</v>
      </c>
      <c r="AB1299" s="2" t="s">
        <v>189</v>
      </c>
      <c r="AC1299" s="2" t="s">
        <v>40</v>
      </c>
      <c r="AF1299" s="2">
        <f t="shared" si="181"/>
        <v>0</v>
      </c>
      <c r="AJ1299" s="2">
        <f t="shared" si="182"/>
        <v>0</v>
      </c>
      <c r="AK1299" s="2">
        <f t="shared" si="183"/>
        <v>44.4</v>
      </c>
      <c r="AL1299" s="5">
        <f t="shared" si="180"/>
        <v>0.6</v>
      </c>
    </row>
    <row r="1300" spans="1:38" x14ac:dyDescent="0.2">
      <c r="A1300" s="2">
        <v>2025</v>
      </c>
      <c r="B1300" s="2">
        <v>7</v>
      </c>
      <c r="D1300" s="2" t="s">
        <v>1553</v>
      </c>
      <c r="E1300" s="2" t="s">
        <v>108</v>
      </c>
      <c r="F1300" s="2" t="s">
        <v>717</v>
      </c>
      <c r="G1300" s="2">
        <v>500975914</v>
      </c>
      <c r="H1300" s="2" t="s">
        <v>41</v>
      </c>
      <c r="I1300" s="2" t="s">
        <v>1554</v>
      </c>
      <c r="J1300" s="2" t="s">
        <v>1555</v>
      </c>
      <c r="L1300" s="2" t="s">
        <v>99</v>
      </c>
      <c r="M1300" s="2" t="s">
        <v>40</v>
      </c>
      <c r="P1300" s="2" t="s">
        <v>187</v>
      </c>
      <c r="Q1300" s="2" t="s">
        <v>191</v>
      </c>
      <c r="R1300" s="2" t="s">
        <v>190</v>
      </c>
      <c r="S1300" s="2">
        <v>3</v>
      </c>
      <c r="T1300" s="2">
        <v>100</v>
      </c>
      <c r="U1300" s="2">
        <v>23</v>
      </c>
      <c r="V1300" s="2">
        <v>123</v>
      </c>
      <c r="W1300" s="2">
        <f>T1300*50%</f>
        <v>50</v>
      </c>
      <c r="X1300" s="5">
        <f t="shared" si="179"/>
        <v>0.5</v>
      </c>
      <c r="Z1300" s="2" t="s">
        <v>117</v>
      </c>
      <c r="AA1300" s="2" t="s">
        <v>190</v>
      </c>
      <c r="AB1300" s="2" t="s">
        <v>190</v>
      </c>
      <c r="AC1300" s="2" t="s">
        <v>40</v>
      </c>
      <c r="AF1300" s="2">
        <f t="shared" si="181"/>
        <v>0</v>
      </c>
      <c r="AJ1300" s="2">
        <f t="shared" si="182"/>
        <v>0</v>
      </c>
      <c r="AK1300" s="2">
        <f t="shared" si="183"/>
        <v>50</v>
      </c>
      <c r="AL1300" s="5">
        <f t="shared" si="180"/>
        <v>0.5</v>
      </c>
    </row>
    <row r="1301" spans="1:38" x14ac:dyDescent="0.2">
      <c r="A1301" s="2">
        <v>2025</v>
      </c>
      <c r="B1301" s="2">
        <v>7</v>
      </c>
      <c r="D1301" s="2" t="s">
        <v>1376</v>
      </c>
      <c r="E1301" s="2" t="s">
        <v>183</v>
      </c>
      <c r="F1301" s="2" t="s">
        <v>366</v>
      </c>
      <c r="L1301" s="2" t="s">
        <v>571</v>
      </c>
      <c r="M1301" s="2" t="s">
        <v>80</v>
      </c>
      <c r="P1301" s="2" t="s">
        <v>72</v>
      </c>
      <c r="Q1301" s="2" t="s">
        <v>73</v>
      </c>
      <c r="R1301" s="2" t="s">
        <v>74</v>
      </c>
      <c r="S1301" s="2">
        <v>2</v>
      </c>
      <c r="T1301" s="2">
        <v>440</v>
      </c>
      <c r="U1301" s="2">
        <v>101.2</v>
      </c>
      <c r="V1301" s="2">
        <v>541.20000000000005</v>
      </c>
      <c r="W1301" s="2">
        <v>234.90600000000001</v>
      </c>
      <c r="X1301" s="5">
        <f t="shared" si="179"/>
        <v>0.46612272727272724</v>
      </c>
      <c r="Z1301" s="2" t="s">
        <v>3227</v>
      </c>
      <c r="AA1301" s="2" t="s">
        <v>75</v>
      </c>
      <c r="AB1301" s="2" t="s">
        <v>76</v>
      </c>
      <c r="AC1301" s="2" t="s">
        <v>77</v>
      </c>
      <c r="AF1301" s="2">
        <f t="shared" si="181"/>
        <v>0</v>
      </c>
      <c r="AG1301" s="2">
        <v>117.453</v>
      </c>
      <c r="AH1301" s="2">
        <v>220</v>
      </c>
      <c r="AJ1301" s="2">
        <f t="shared" si="182"/>
        <v>0</v>
      </c>
      <c r="AK1301" s="2">
        <f t="shared" si="183"/>
        <v>205.09399999999999</v>
      </c>
      <c r="AL1301" s="5">
        <f t="shared" si="180"/>
        <v>0.46612272727272724</v>
      </c>
    </row>
    <row r="1302" spans="1:38" x14ac:dyDescent="0.2">
      <c r="A1302" s="2">
        <v>2025</v>
      </c>
      <c r="B1302" s="2">
        <v>7</v>
      </c>
      <c r="D1302" s="2" t="s">
        <v>1376</v>
      </c>
      <c r="E1302" s="2" t="s">
        <v>183</v>
      </c>
      <c r="F1302" s="2" t="s">
        <v>366</v>
      </c>
      <c r="L1302" s="2" t="s">
        <v>571</v>
      </c>
      <c r="M1302" s="2" t="s">
        <v>80</v>
      </c>
      <c r="P1302" s="2" t="s">
        <v>93</v>
      </c>
      <c r="Q1302" s="2" t="s">
        <v>94</v>
      </c>
      <c r="R1302" s="2" t="s">
        <v>95</v>
      </c>
      <c r="S1302" s="2">
        <v>2</v>
      </c>
      <c r="T1302" s="2">
        <v>2.2799999999999998</v>
      </c>
      <c r="U1302" s="2">
        <v>0.52439999999999998</v>
      </c>
      <c r="V1302" s="2">
        <v>2.8043999999999998</v>
      </c>
      <c r="W1302" s="2">
        <v>2.2799999999999998</v>
      </c>
      <c r="X1302" s="5">
        <f t="shared" si="179"/>
        <v>0</v>
      </c>
      <c r="Z1302" s="2" t="s">
        <v>3227</v>
      </c>
      <c r="AA1302" s="2" t="s">
        <v>96</v>
      </c>
      <c r="AB1302" s="2" t="s">
        <v>76</v>
      </c>
      <c r="AC1302" s="2" t="s">
        <v>93</v>
      </c>
      <c r="AF1302" s="2">
        <f t="shared" si="181"/>
        <v>0</v>
      </c>
      <c r="AJ1302" s="2">
        <f t="shared" si="182"/>
        <v>0</v>
      </c>
      <c r="AK1302" s="2">
        <f t="shared" si="183"/>
        <v>0</v>
      </c>
      <c r="AL1302" s="5">
        <f t="shared" si="180"/>
        <v>0</v>
      </c>
    </row>
    <row r="1303" spans="1:38" x14ac:dyDescent="0.2">
      <c r="A1303" s="2">
        <v>2025</v>
      </c>
      <c r="B1303" s="2">
        <v>7</v>
      </c>
      <c r="D1303" s="2" t="s">
        <v>1241</v>
      </c>
      <c r="P1303" s="2" t="s">
        <v>114</v>
      </c>
      <c r="Q1303" s="2" t="s">
        <v>641</v>
      </c>
      <c r="R1303" s="2" t="s">
        <v>642</v>
      </c>
      <c r="S1303" s="2">
        <v>2</v>
      </c>
      <c r="T1303" s="2">
        <v>172.63</v>
      </c>
      <c r="U1303" s="2">
        <v>39.704900000000002</v>
      </c>
      <c r="V1303" s="2">
        <v>212.3349</v>
      </c>
      <c r="X1303" s="5">
        <f t="shared" si="179"/>
        <v>1</v>
      </c>
      <c r="Z1303" s="2" t="s">
        <v>117</v>
      </c>
      <c r="AF1303" s="2">
        <f t="shared" si="181"/>
        <v>0</v>
      </c>
      <c r="AJ1303" s="2">
        <f t="shared" si="182"/>
        <v>0</v>
      </c>
      <c r="AK1303" s="2">
        <f t="shared" si="183"/>
        <v>172.63</v>
      </c>
      <c r="AL1303" s="5">
        <f t="shared" si="180"/>
        <v>1</v>
      </c>
    </row>
    <row r="1304" spans="1:38" x14ac:dyDescent="0.2">
      <c r="A1304" s="2">
        <v>2025</v>
      </c>
      <c r="B1304" s="2">
        <v>7</v>
      </c>
      <c r="D1304" s="2" t="s">
        <v>1241</v>
      </c>
      <c r="M1304" s="2" t="s">
        <v>40</v>
      </c>
      <c r="P1304" s="2" t="s">
        <v>187</v>
      </c>
      <c r="Q1304" s="2" t="s">
        <v>188</v>
      </c>
      <c r="R1304" s="2" t="s">
        <v>189</v>
      </c>
      <c r="S1304" s="2">
        <v>2</v>
      </c>
      <c r="T1304" s="2">
        <v>100</v>
      </c>
      <c r="U1304" s="2">
        <v>23</v>
      </c>
      <c r="V1304" s="2">
        <v>123</v>
      </c>
      <c r="W1304" s="2">
        <f>T1304*40%</f>
        <v>40</v>
      </c>
      <c r="X1304" s="5">
        <f t="shared" si="179"/>
        <v>0.6</v>
      </c>
      <c r="Z1304" s="2" t="s">
        <v>117</v>
      </c>
      <c r="AA1304" s="2" t="s">
        <v>190</v>
      </c>
      <c r="AB1304" s="2" t="s">
        <v>189</v>
      </c>
      <c r="AC1304" s="2" t="s">
        <v>40</v>
      </c>
      <c r="AF1304" s="2">
        <f t="shared" si="181"/>
        <v>0</v>
      </c>
      <c r="AJ1304" s="2">
        <f t="shared" si="182"/>
        <v>0</v>
      </c>
      <c r="AK1304" s="2">
        <f t="shared" si="183"/>
        <v>60</v>
      </c>
      <c r="AL1304" s="5">
        <f t="shared" si="180"/>
        <v>0.6</v>
      </c>
    </row>
    <row r="1305" spans="1:38" x14ac:dyDescent="0.2">
      <c r="A1305" s="2">
        <v>2025</v>
      </c>
      <c r="B1305" s="2">
        <v>7</v>
      </c>
      <c r="D1305" s="2" t="s">
        <v>1241</v>
      </c>
      <c r="M1305" s="2" t="s">
        <v>40</v>
      </c>
      <c r="P1305" s="2" t="s">
        <v>187</v>
      </c>
      <c r="Q1305" s="2" t="s">
        <v>191</v>
      </c>
      <c r="R1305" s="2" t="s">
        <v>190</v>
      </c>
      <c r="S1305" s="2">
        <v>2.5</v>
      </c>
      <c r="T1305" s="2">
        <v>125</v>
      </c>
      <c r="U1305" s="2">
        <v>28.75</v>
      </c>
      <c r="V1305" s="2">
        <v>153.75</v>
      </c>
      <c r="W1305" s="2">
        <f>T1305*50%</f>
        <v>62.5</v>
      </c>
      <c r="X1305" s="5">
        <f t="shared" si="179"/>
        <v>0.5</v>
      </c>
      <c r="Z1305" s="2" t="s">
        <v>117</v>
      </c>
      <c r="AA1305" s="2" t="s">
        <v>190</v>
      </c>
      <c r="AB1305" s="2" t="s">
        <v>190</v>
      </c>
      <c r="AC1305" s="2" t="s">
        <v>40</v>
      </c>
      <c r="AF1305" s="2">
        <f t="shared" si="181"/>
        <v>0</v>
      </c>
      <c r="AJ1305" s="2">
        <f t="shared" si="182"/>
        <v>0</v>
      </c>
      <c r="AK1305" s="2">
        <f t="shared" si="183"/>
        <v>62.5</v>
      </c>
      <c r="AL1305" s="5">
        <f t="shared" si="180"/>
        <v>0.5</v>
      </c>
    </row>
    <row r="1306" spans="1:38" x14ac:dyDescent="0.2">
      <c r="A1306" s="2">
        <v>2025</v>
      </c>
      <c r="B1306" s="2">
        <v>7</v>
      </c>
      <c r="D1306" s="2" t="s">
        <v>1242</v>
      </c>
      <c r="E1306" s="2" t="s">
        <v>38</v>
      </c>
      <c r="F1306" s="2" t="s">
        <v>39</v>
      </c>
      <c r="G1306" s="2">
        <v>506076369</v>
      </c>
      <c r="H1306" s="2" t="s">
        <v>40</v>
      </c>
      <c r="I1306" s="2" t="s">
        <v>1556</v>
      </c>
      <c r="J1306" s="2" t="s">
        <v>1557</v>
      </c>
      <c r="K1306" s="2">
        <v>919050729</v>
      </c>
      <c r="L1306" s="2" t="s">
        <v>201</v>
      </c>
      <c r="M1306" s="2" t="s">
        <v>80</v>
      </c>
      <c r="O1306" s="2" t="s">
        <v>1558</v>
      </c>
      <c r="P1306" s="2" t="s">
        <v>72</v>
      </c>
      <c r="Q1306" s="2" t="s">
        <v>557</v>
      </c>
      <c r="R1306" s="2" t="s">
        <v>307</v>
      </c>
      <c r="S1306" s="2">
        <v>1</v>
      </c>
      <c r="T1306" s="2">
        <v>230</v>
      </c>
      <c r="U1306" s="2">
        <v>52.900000000000013</v>
      </c>
      <c r="V1306" s="2">
        <v>282.89999999999998</v>
      </c>
      <c r="W1306" s="2">
        <v>122.446</v>
      </c>
      <c r="X1306" s="5">
        <f t="shared" si="179"/>
        <v>0.46762608695652175</v>
      </c>
      <c r="Z1306" s="2" t="s">
        <v>3227</v>
      </c>
      <c r="AA1306" s="2" t="s">
        <v>75</v>
      </c>
      <c r="AB1306" s="2" t="s">
        <v>76</v>
      </c>
      <c r="AC1306" s="2" t="s">
        <v>77</v>
      </c>
      <c r="AF1306" s="2">
        <f t="shared" si="181"/>
        <v>0</v>
      </c>
      <c r="AG1306" s="2">
        <v>122.446</v>
      </c>
      <c r="AH1306" s="2">
        <v>230</v>
      </c>
      <c r="AJ1306" s="2">
        <f t="shared" si="182"/>
        <v>0</v>
      </c>
      <c r="AK1306" s="2">
        <f t="shared" si="183"/>
        <v>107.554</v>
      </c>
      <c r="AL1306" s="5">
        <f t="shared" si="180"/>
        <v>0.46762608695652175</v>
      </c>
    </row>
    <row r="1307" spans="1:38" x14ac:dyDescent="0.2">
      <c r="A1307" s="2">
        <v>2025</v>
      </c>
      <c r="B1307" s="2">
        <v>7</v>
      </c>
      <c r="D1307" s="2" t="s">
        <v>1242</v>
      </c>
      <c r="P1307" s="2" t="s">
        <v>93</v>
      </c>
      <c r="Q1307" s="2" t="s">
        <v>94</v>
      </c>
      <c r="R1307" s="2" t="s">
        <v>95</v>
      </c>
      <c r="S1307" s="2">
        <v>1</v>
      </c>
      <c r="T1307" s="2">
        <v>1.1399999999999999</v>
      </c>
      <c r="U1307" s="2">
        <v>0.26219999999999999</v>
      </c>
      <c r="V1307" s="2">
        <v>1.4021999999999999</v>
      </c>
      <c r="W1307" s="2">
        <v>1.1399999999999999</v>
      </c>
      <c r="X1307" s="5">
        <f t="shared" si="179"/>
        <v>0</v>
      </c>
      <c r="Z1307" s="2" t="s">
        <v>3227</v>
      </c>
      <c r="AA1307" s="2" t="s">
        <v>96</v>
      </c>
      <c r="AB1307" s="2" t="s">
        <v>76</v>
      </c>
      <c r="AC1307" s="2" t="s">
        <v>93</v>
      </c>
      <c r="AF1307" s="2">
        <f t="shared" si="181"/>
        <v>0</v>
      </c>
      <c r="AJ1307" s="2">
        <f t="shared" si="182"/>
        <v>0</v>
      </c>
      <c r="AK1307" s="2">
        <f t="shared" si="183"/>
        <v>0</v>
      </c>
      <c r="AL1307" s="5">
        <f t="shared" si="180"/>
        <v>0</v>
      </c>
    </row>
    <row r="1308" spans="1:38" x14ac:dyDescent="0.2">
      <c r="A1308" s="2">
        <v>2025</v>
      </c>
      <c r="B1308" s="2">
        <v>7</v>
      </c>
      <c r="D1308" s="2" t="s">
        <v>1017</v>
      </c>
      <c r="E1308" s="2" t="s">
        <v>108</v>
      </c>
      <c r="F1308" s="2" t="s">
        <v>477</v>
      </c>
      <c r="G1308" s="2">
        <v>505647338</v>
      </c>
      <c r="H1308" s="2" t="s">
        <v>290</v>
      </c>
      <c r="I1308" s="2" t="s">
        <v>1018</v>
      </c>
      <c r="J1308" s="2" t="s">
        <v>1019</v>
      </c>
      <c r="L1308" s="2" t="s">
        <v>293</v>
      </c>
      <c r="M1308" s="2" t="s">
        <v>80</v>
      </c>
      <c r="O1308" s="2" t="s">
        <v>1559</v>
      </c>
      <c r="P1308" s="2" t="s">
        <v>114</v>
      </c>
      <c r="Q1308" s="2" t="s">
        <v>1560</v>
      </c>
      <c r="R1308" s="2" t="s">
        <v>1561</v>
      </c>
      <c r="S1308" s="2">
        <v>1</v>
      </c>
      <c r="T1308" s="2">
        <v>57.86</v>
      </c>
      <c r="U1308" s="2">
        <v>13.3078</v>
      </c>
      <c r="V1308" s="2">
        <v>71.1678</v>
      </c>
      <c r="W1308" s="2">
        <v>26.77</v>
      </c>
      <c r="X1308" s="5">
        <f t="shared" si="179"/>
        <v>0.53733148980297274</v>
      </c>
      <c r="Z1308" s="2" t="s">
        <v>117</v>
      </c>
      <c r="AA1308" s="2" t="s">
        <v>118</v>
      </c>
      <c r="AB1308" s="2" t="s">
        <v>119</v>
      </c>
      <c r="AC1308" s="2" t="s">
        <v>114</v>
      </c>
      <c r="AF1308" s="2">
        <f t="shared" si="181"/>
        <v>0</v>
      </c>
      <c r="AG1308" s="2">
        <v>26.77</v>
      </c>
      <c r="AH1308" s="2">
        <v>57.86</v>
      </c>
      <c r="AJ1308" s="2">
        <f t="shared" si="182"/>
        <v>0</v>
      </c>
      <c r="AK1308" s="2">
        <f t="shared" si="183"/>
        <v>31.09</v>
      </c>
      <c r="AL1308" s="5">
        <f t="shared" si="180"/>
        <v>0.53733148980297274</v>
      </c>
    </row>
    <row r="1309" spans="1:38" x14ac:dyDescent="0.2">
      <c r="A1309" s="2">
        <v>2025</v>
      </c>
      <c r="B1309" s="2">
        <v>7</v>
      </c>
      <c r="D1309" s="2" t="s">
        <v>1017</v>
      </c>
      <c r="E1309" s="2" t="s">
        <v>108</v>
      </c>
      <c r="F1309" s="2" t="s">
        <v>477</v>
      </c>
      <c r="G1309" s="2">
        <v>505647338</v>
      </c>
      <c r="H1309" s="2" t="s">
        <v>290</v>
      </c>
      <c r="I1309" s="2" t="s">
        <v>1018</v>
      </c>
      <c r="J1309" s="2" t="s">
        <v>1019</v>
      </c>
      <c r="L1309" s="2" t="s">
        <v>293</v>
      </c>
      <c r="M1309" s="2" t="s">
        <v>80</v>
      </c>
      <c r="O1309" s="2" t="s">
        <v>1562</v>
      </c>
      <c r="P1309" s="2" t="s">
        <v>72</v>
      </c>
      <c r="Q1309" s="2" t="s">
        <v>664</v>
      </c>
      <c r="R1309" s="2" t="s">
        <v>79</v>
      </c>
      <c r="S1309" s="2">
        <v>1</v>
      </c>
      <c r="T1309" s="2">
        <v>210</v>
      </c>
      <c r="U1309" s="2">
        <v>48.3</v>
      </c>
      <c r="V1309" s="2">
        <v>258.3</v>
      </c>
      <c r="W1309" s="2">
        <f>113.905+11.25</f>
        <v>125.155</v>
      </c>
      <c r="X1309" s="5">
        <f t="shared" si="179"/>
        <v>0.40402380952380951</v>
      </c>
      <c r="Z1309" s="2" t="s">
        <v>3227</v>
      </c>
      <c r="AA1309" s="2" t="s">
        <v>75</v>
      </c>
      <c r="AB1309" s="2" t="s">
        <v>76</v>
      </c>
      <c r="AC1309" s="2" t="s">
        <v>77</v>
      </c>
      <c r="AF1309" s="2">
        <f t="shared" si="181"/>
        <v>0</v>
      </c>
      <c r="AJ1309" s="2">
        <f t="shared" si="182"/>
        <v>0</v>
      </c>
      <c r="AK1309" s="2">
        <f t="shared" si="183"/>
        <v>84.844999999999999</v>
      </c>
      <c r="AL1309" s="5">
        <f t="shared" si="180"/>
        <v>0.40402380952380951</v>
      </c>
    </row>
    <row r="1310" spans="1:38" x14ac:dyDescent="0.2">
      <c r="A1310" s="2">
        <v>2025</v>
      </c>
      <c r="B1310" s="2">
        <v>7</v>
      </c>
      <c r="D1310" s="2" t="s">
        <v>1017</v>
      </c>
      <c r="E1310" s="2" t="s">
        <v>108</v>
      </c>
      <c r="F1310" s="2" t="s">
        <v>477</v>
      </c>
      <c r="G1310" s="2">
        <v>505647338</v>
      </c>
      <c r="H1310" s="2" t="s">
        <v>290</v>
      </c>
      <c r="I1310" s="2" t="s">
        <v>1018</v>
      </c>
      <c r="J1310" s="2" t="s">
        <v>1019</v>
      </c>
      <c r="L1310" s="2" t="s">
        <v>293</v>
      </c>
      <c r="M1310" s="2" t="s">
        <v>80</v>
      </c>
      <c r="O1310" s="2" t="s">
        <v>1562</v>
      </c>
      <c r="P1310" s="2" t="s">
        <v>93</v>
      </c>
      <c r="Q1310" s="2" t="s">
        <v>94</v>
      </c>
      <c r="R1310" s="2" t="s">
        <v>95</v>
      </c>
      <c r="S1310" s="2">
        <v>1</v>
      </c>
      <c r="T1310" s="2">
        <v>1.1399999999999999</v>
      </c>
      <c r="U1310" s="2">
        <v>0.26219999999999999</v>
      </c>
      <c r="V1310" s="2">
        <v>1.4021999999999999</v>
      </c>
      <c r="W1310" s="2">
        <v>1.1399999999999999</v>
      </c>
      <c r="X1310" s="5">
        <f t="shared" si="179"/>
        <v>0</v>
      </c>
      <c r="Z1310" s="2" t="s">
        <v>3227</v>
      </c>
      <c r="AA1310" s="2" t="s">
        <v>96</v>
      </c>
      <c r="AB1310" s="2" t="s">
        <v>76</v>
      </c>
      <c r="AC1310" s="2" t="s">
        <v>93</v>
      </c>
      <c r="AF1310" s="2">
        <f t="shared" si="181"/>
        <v>0</v>
      </c>
      <c r="AG1310" s="2">
        <v>1.1399999999999999</v>
      </c>
      <c r="AH1310" s="2">
        <v>1.1399999999999999</v>
      </c>
      <c r="AJ1310" s="2">
        <f t="shared" si="182"/>
        <v>0</v>
      </c>
      <c r="AK1310" s="2">
        <f t="shared" si="183"/>
        <v>0</v>
      </c>
      <c r="AL1310" s="5">
        <f t="shared" si="180"/>
        <v>0</v>
      </c>
    </row>
    <row r="1311" spans="1:38" x14ac:dyDescent="0.2">
      <c r="A1311" s="2">
        <v>2025</v>
      </c>
      <c r="B1311" s="2">
        <v>7</v>
      </c>
      <c r="D1311" s="2" t="s">
        <v>1563</v>
      </c>
      <c r="M1311" s="2" t="s">
        <v>40</v>
      </c>
      <c r="P1311" s="2" t="s">
        <v>187</v>
      </c>
      <c r="Q1311" s="2" t="s">
        <v>188</v>
      </c>
      <c r="R1311" s="2" t="s">
        <v>189</v>
      </c>
      <c r="S1311" s="2">
        <v>1</v>
      </c>
      <c r="T1311" s="2">
        <v>55</v>
      </c>
      <c r="U1311" s="2">
        <v>12.65</v>
      </c>
      <c r="V1311" s="2">
        <v>67.650000000000006</v>
      </c>
      <c r="W1311" s="2">
        <f>T1311*40%</f>
        <v>22</v>
      </c>
      <c r="X1311" s="5">
        <f t="shared" si="179"/>
        <v>0.6</v>
      </c>
      <c r="Z1311" s="2" t="s">
        <v>117</v>
      </c>
      <c r="AA1311" s="2" t="s">
        <v>190</v>
      </c>
      <c r="AB1311" s="2" t="s">
        <v>189</v>
      </c>
      <c r="AC1311" s="2" t="s">
        <v>40</v>
      </c>
      <c r="AF1311" s="2">
        <f t="shared" si="181"/>
        <v>0</v>
      </c>
      <c r="AJ1311" s="2">
        <f t="shared" si="182"/>
        <v>0</v>
      </c>
      <c r="AK1311" s="2">
        <f t="shared" si="183"/>
        <v>33</v>
      </c>
      <c r="AL1311" s="5">
        <f t="shared" si="180"/>
        <v>0.6</v>
      </c>
    </row>
    <row r="1312" spans="1:38" x14ac:dyDescent="0.2">
      <c r="A1312" s="2">
        <v>2025</v>
      </c>
      <c r="B1312" s="2">
        <v>7</v>
      </c>
      <c r="D1312" s="2" t="s">
        <v>1563</v>
      </c>
      <c r="M1312" s="2" t="s">
        <v>40</v>
      </c>
      <c r="P1312" s="2" t="s">
        <v>187</v>
      </c>
      <c r="Q1312" s="2" t="s">
        <v>191</v>
      </c>
      <c r="R1312" s="2" t="s">
        <v>190</v>
      </c>
      <c r="S1312" s="2">
        <v>1.5</v>
      </c>
      <c r="T1312" s="2">
        <v>75</v>
      </c>
      <c r="U1312" s="2">
        <v>17.25</v>
      </c>
      <c r="V1312" s="2">
        <v>92.25</v>
      </c>
      <c r="W1312" s="2">
        <f>T1312*50%</f>
        <v>37.5</v>
      </c>
      <c r="X1312" s="5">
        <f t="shared" si="179"/>
        <v>0.5</v>
      </c>
      <c r="Z1312" s="2" t="s">
        <v>117</v>
      </c>
      <c r="AA1312" s="2" t="s">
        <v>190</v>
      </c>
      <c r="AB1312" s="2" t="s">
        <v>190</v>
      </c>
      <c r="AC1312" s="2" t="s">
        <v>40</v>
      </c>
      <c r="AF1312" s="2">
        <f t="shared" si="181"/>
        <v>0</v>
      </c>
      <c r="AJ1312" s="2">
        <f t="shared" si="182"/>
        <v>0</v>
      </c>
      <c r="AK1312" s="2">
        <f t="shared" si="183"/>
        <v>37.5</v>
      </c>
      <c r="AL1312" s="5">
        <f t="shared" si="180"/>
        <v>0.5</v>
      </c>
    </row>
    <row r="1313" spans="1:38" x14ac:dyDescent="0.2">
      <c r="A1313" s="2">
        <v>2025</v>
      </c>
      <c r="B1313" s="2">
        <v>7</v>
      </c>
      <c r="D1313" s="2" t="s">
        <v>1564</v>
      </c>
      <c r="P1313" s="2" t="s">
        <v>72</v>
      </c>
      <c r="Q1313" s="2" t="s">
        <v>484</v>
      </c>
      <c r="R1313" s="2" t="s">
        <v>74</v>
      </c>
      <c r="S1313" s="2">
        <v>1</v>
      </c>
      <c r="T1313" s="2">
        <v>210</v>
      </c>
      <c r="U1313" s="2">
        <v>48.3</v>
      </c>
      <c r="V1313" s="2">
        <v>258.3</v>
      </c>
      <c r="W1313" s="2">
        <v>131.93</v>
      </c>
      <c r="X1313" s="5">
        <f t="shared" si="179"/>
        <v>0.37176190476190474</v>
      </c>
      <c r="Z1313" s="2" t="s">
        <v>3227</v>
      </c>
      <c r="AA1313" s="2" t="s">
        <v>75</v>
      </c>
      <c r="AB1313" s="2" t="s">
        <v>76</v>
      </c>
      <c r="AC1313" s="2" t="s">
        <v>77</v>
      </c>
      <c r="AF1313" s="2">
        <f t="shared" si="181"/>
        <v>0</v>
      </c>
      <c r="AG1313" s="2">
        <v>131.93</v>
      </c>
      <c r="AH1313" s="2">
        <v>220</v>
      </c>
      <c r="AJ1313" s="2">
        <f t="shared" si="182"/>
        <v>0</v>
      </c>
      <c r="AK1313" s="2">
        <f t="shared" si="183"/>
        <v>78.069999999999993</v>
      </c>
      <c r="AL1313" s="5">
        <f t="shared" si="180"/>
        <v>0.37176190476190474</v>
      </c>
    </row>
    <row r="1314" spans="1:38" x14ac:dyDescent="0.2">
      <c r="A1314" s="2">
        <v>2025</v>
      </c>
      <c r="B1314" s="2">
        <v>7</v>
      </c>
      <c r="D1314" s="2" t="s">
        <v>1564</v>
      </c>
      <c r="P1314" s="2" t="s">
        <v>93</v>
      </c>
      <c r="Q1314" s="2" t="s">
        <v>94</v>
      </c>
      <c r="R1314" s="2" t="s">
        <v>95</v>
      </c>
      <c r="S1314" s="2">
        <v>1</v>
      </c>
      <c r="T1314" s="2">
        <v>1.1399999999999999</v>
      </c>
      <c r="U1314" s="2">
        <v>0.26219999999999999</v>
      </c>
      <c r="V1314" s="2">
        <v>1.4021999999999999</v>
      </c>
      <c r="W1314" s="2">
        <v>1.1399999999999999</v>
      </c>
      <c r="X1314" s="5">
        <f t="shared" si="179"/>
        <v>0</v>
      </c>
      <c r="Z1314" s="2" t="s">
        <v>3227</v>
      </c>
      <c r="AA1314" s="2" t="s">
        <v>96</v>
      </c>
      <c r="AB1314" s="2" t="s">
        <v>76</v>
      </c>
      <c r="AC1314" s="2" t="s">
        <v>93</v>
      </c>
      <c r="AF1314" s="2">
        <f t="shared" si="181"/>
        <v>0</v>
      </c>
      <c r="AJ1314" s="2">
        <f t="shared" si="182"/>
        <v>0</v>
      </c>
      <c r="AK1314" s="2">
        <f t="shared" ref="AK1314:AK1323" si="184">T1314-W1314</f>
        <v>0</v>
      </c>
      <c r="AL1314" s="5">
        <f t="shared" si="180"/>
        <v>0</v>
      </c>
    </row>
    <row r="1315" spans="1:38" x14ac:dyDescent="0.2">
      <c r="A1315" s="2">
        <v>2025</v>
      </c>
      <c r="B1315" s="2">
        <v>7</v>
      </c>
      <c r="D1315" s="2" t="s">
        <v>451</v>
      </c>
      <c r="E1315" s="2" t="s">
        <v>108</v>
      </c>
      <c r="F1315" s="2" t="s">
        <v>39</v>
      </c>
      <c r="G1315" s="2">
        <v>506085686</v>
      </c>
      <c r="H1315" s="2" t="s">
        <v>40</v>
      </c>
      <c r="I1315" s="2" t="s">
        <v>452</v>
      </c>
      <c r="J1315" s="2" t="s">
        <v>453</v>
      </c>
      <c r="K1315" s="2">
        <v>917241919</v>
      </c>
      <c r="L1315" s="2" t="s">
        <v>398</v>
      </c>
      <c r="P1315" s="2" t="s">
        <v>114</v>
      </c>
      <c r="Q1315" s="2" t="s">
        <v>808</v>
      </c>
      <c r="R1315" s="2" t="s">
        <v>809</v>
      </c>
      <c r="S1315" s="2">
        <v>1</v>
      </c>
      <c r="T1315" s="2">
        <v>71.819999999999993</v>
      </c>
      <c r="U1315" s="2">
        <v>16.518599999999999</v>
      </c>
      <c r="V1315" s="2">
        <v>88.338599999999985</v>
      </c>
      <c r="X1315" s="5">
        <f t="shared" si="179"/>
        <v>1</v>
      </c>
      <c r="Z1315" s="2" t="s">
        <v>117</v>
      </c>
      <c r="AF1315" s="2">
        <f t="shared" si="181"/>
        <v>0</v>
      </c>
      <c r="AJ1315" s="2">
        <f t="shared" si="182"/>
        <v>0</v>
      </c>
      <c r="AK1315" s="2">
        <f t="shared" si="184"/>
        <v>71.819999999999993</v>
      </c>
      <c r="AL1315" s="5">
        <f t="shared" si="180"/>
        <v>1</v>
      </c>
    </row>
    <row r="1316" spans="1:38" x14ac:dyDescent="0.2">
      <c r="A1316" s="2">
        <v>2025</v>
      </c>
      <c r="B1316" s="2">
        <v>7</v>
      </c>
      <c r="D1316" s="2" t="s">
        <v>451</v>
      </c>
      <c r="E1316" s="2" t="s">
        <v>108</v>
      </c>
      <c r="F1316" s="2" t="s">
        <v>39</v>
      </c>
      <c r="G1316" s="2">
        <v>506085686</v>
      </c>
      <c r="H1316" s="2" t="s">
        <v>40</v>
      </c>
      <c r="I1316" s="2" t="s">
        <v>452</v>
      </c>
      <c r="J1316" s="2" t="s">
        <v>453</v>
      </c>
      <c r="K1316" s="2">
        <v>917241919</v>
      </c>
      <c r="L1316" s="2" t="s">
        <v>398</v>
      </c>
      <c r="P1316" s="2" t="s">
        <v>114</v>
      </c>
      <c r="Q1316" s="2" t="s">
        <v>672</v>
      </c>
      <c r="R1316" s="2" t="s">
        <v>673</v>
      </c>
      <c r="S1316" s="2">
        <v>1</v>
      </c>
      <c r="T1316" s="2">
        <v>12.81</v>
      </c>
      <c r="U1316" s="2">
        <v>2.9462999999999999</v>
      </c>
      <c r="V1316" s="2">
        <v>15.7563</v>
      </c>
      <c r="X1316" s="5">
        <f t="shared" si="179"/>
        <v>1</v>
      </c>
      <c r="Z1316" s="2" t="s">
        <v>117</v>
      </c>
      <c r="AF1316" s="2">
        <f t="shared" si="181"/>
        <v>0</v>
      </c>
      <c r="AJ1316" s="2">
        <f t="shared" si="182"/>
        <v>0</v>
      </c>
      <c r="AK1316" s="2">
        <f t="shared" si="184"/>
        <v>12.81</v>
      </c>
      <c r="AL1316" s="5">
        <f t="shared" si="180"/>
        <v>1</v>
      </c>
    </row>
    <row r="1317" spans="1:38" x14ac:dyDescent="0.2">
      <c r="A1317" s="2">
        <v>2025</v>
      </c>
      <c r="B1317" s="2">
        <v>7</v>
      </c>
      <c r="D1317" s="2" t="s">
        <v>451</v>
      </c>
      <c r="E1317" s="2" t="s">
        <v>108</v>
      </c>
      <c r="F1317" s="2" t="s">
        <v>39</v>
      </c>
      <c r="G1317" s="2">
        <v>506085686</v>
      </c>
      <c r="H1317" s="2" t="s">
        <v>40</v>
      </c>
      <c r="I1317" s="2" t="s">
        <v>452</v>
      </c>
      <c r="J1317" s="2" t="s">
        <v>453</v>
      </c>
      <c r="K1317" s="2">
        <v>917241919</v>
      </c>
      <c r="L1317" s="2" t="s">
        <v>398</v>
      </c>
      <c r="M1317" s="2" t="s">
        <v>80</v>
      </c>
      <c r="P1317" s="2" t="s">
        <v>72</v>
      </c>
      <c r="Q1317" s="2" t="s">
        <v>73</v>
      </c>
      <c r="R1317" s="2" t="s">
        <v>74</v>
      </c>
      <c r="S1317" s="2">
        <v>1</v>
      </c>
      <c r="T1317" s="2">
        <v>210</v>
      </c>
      <c r="U1317" s="2">
        <v>48.3</v>
      </c>
      <c r="V1317" s="2">
        <v>258.3</v>
      </c>
      <c r="W1317" s="2">
        <v>117.453</v>
      </c>
      <c r="X1317" s="5">
        <f t="shared" si="179"/>
        <v>0.44069999999999998</v>
      </c>
      <c r="Z1317" s="2" t="s">
        <v>3227</v>
      </c>
      <c r="AA1317" s="2" t="s">
        <v>75</v>
      </c>
      <c r="AB1317" s="2" t="s">
        <v>76</v>
      </c>
      <c r="AC1317" s="2" t="s">
        <v>77</v>
      </c>
      <c r="AF1317" s="2">
        <f t="shared" si="181"/>
        <v>0</v>
      </c>
      <c r="AG1317" s="2">
        <v>117.453</v>
      </c>
      <c r="AH1317" s="2">
        <v>220</v>
      </c>
      <c r="AJ1317" s="2">
        <f t="shared" si="182"/>
        <v>0</v>
      </c>
      <c r="AK1317" s="2">
        <f t="shared" si="184"/>
        <v>92.546999999999997</v>
      </c>
      <c r="AL1317" s="5">
        <f t="shared" si="180"/>
        <v>0.44069999999999998</v>
      </c>
    </row>
    <row r="1318" spans="1:38" x14ac:dyDescent="0.2">
      <c r="A1318" s="2">
        <v>2025</v>
      </c>
      <c r="B1318" s="2">
        <v>7</v>
      </c>
      <c r="D1318" s="2" t="s">
        <v>451</v>
      </c>
      <c r="E1318" s="2" t="s">
        <v>108</v>
      </c>
      <c r="F1318" s="2" t="s">
        <v>39</v>
      </c>
      <c r="G1318" s="2">
        <v>506085686</v>
      </c>
      <c r="H1318" s="2" t="s">
        <v>40</v>
      </c>
      <c r="I1318" s="2" t="s">
        <v>452</v>
      </c>
      <c r="J1318" s="2" t="s">
        <v>453</v>
      </c>
      <c r="K1318" s="2">
        <v>917241919</v>
      </c>
      <c r="L1318" s="2" t="s">
        <v>398</v>
      </c>
      <c r="M1318" s="2" t="s">
        <v>40</v>
      </c>
      <c r="P1318" s="2" t="s">
        <v>187</v>
      </c>
      <c r="Q1318" s="2" t="s">
        <v>188</v>
      </c>
      <c r="R1318" s="2" t="s">
        <v>189</v>
      </c>
      <c r="S1318" s="2">
        <v>1</v>
      </c>
      <c r="T1318" s="2">
        <v>164.25</v>
      </c>
      <c r="U1318" s="2">
        <v>37.777500000000003</v>
      </c>
      <c r="V1318" s="2">
        <v>202.0275</v>
      </c>
      <c r="W1318" s="2">
        <f>T1318*40%</f>
        <v>65.7</v>
      </c>
      <c r="X1318" s="5">
        <f t="shared" si="179"/>
        <v>0.6</v>
      </c>
      <c r="Z1318" s="2" t="s">
        <v>117</v>
      </c>
      <c r="AA1318" s="2" t="s">
        <v>190</v>
      </c>
      <c r="AB1318" s="2" t="s">
        <v>189</v>
      </c>
      <c r="AC1318" s="2" t="s">
        <v>40</v>
      </c>
      <c r="AF1318" s="2">
        <f t="shared" si="181"/>
        <v>0</v>
      </c>
      <c r="AJ1318" s="2">
        <f t="shared" si="182"/>
        <v>0</v>
      </c>
      <c r="AK1318" s="2">
        <f t="shared" si="184"/>
        <v>98.55</v>
      </c>
      <c r="AL1318" s="5">
        <f t="shared" si="180"/>
        <v>0.6</v>
      </c>
    </row>
    <row r="1319" spans="1:38" x14ac:dyDescent="0.2">
      <c r="A1319" s="2">
        <v>2025</v>
      </c>
      <c r="B1319" s="2">
        <v>7</v>
      </c>
      <c r="D1319" s="2" t="s">
        <v>451</v>
      </c>
      <c r="E1319" s="2" t="s">
        <v>108</v>
      </c>
      <c r="F1319" s="2" t="s">
        <v>39</v>
      </c>
      <c r="G1319" s="2">
        <v>506085686</v>
      </c>
      <c r="H1319" s="2" t="s">
        <v>40</v>
      </c>
      <c r="I1319" s="2" t="s">
        <v>452</v>
      </c>
      <c r="J1319" s="2" t="s">
        <v>453</v>
      </c>
      <c r="K1319" s="2">
        <v>917241919</v>
      </c>
      <c r="L1319" s="2" t="s">
        <v>398</v>
      </c>
      <c r="M1319" s="2" t="s">
        <v>40</v>
      </c>
      <c r="P1319" s="2" t="s">
        <v>187</v>
      </c>
      <c r="Q1319" s="2" t="s">
        <v>191</v>
      </c>
      <c r="R1319" s="2" t="s">
        <v>190</v>
      </c>
      <c r="S1319" s="2">
        <v>1</v>
      </c>
      <c r="T1319" s="2">
        <v>45</v>
      </c>
      <c r="U1319" s="2">
        <v>10.35</v>
      </c>
      <c r="V1319" s="2">
        <v>55.35</v>
      </c>
      <c r="W1319" s="2">
        <f>T1319*50%</f>
        <v>22.5</v>
      </c>
      <c r="X1319" s="5">
        <f t="shared" si="179"/>
        <v>0.5</v>
      </c>
      <c r="Z1319" s="2" t="s">
        <v>117</v>
      </c>
      <c r="AA1319" s="2" t="s">
        <v>190</v>
      </c>
      <c r="AB1319" s="2" t="s">
        <v>190</v>
      </c>
      <c r="AC1319" s="2" t="s">
        <v>40</v>
      </c>
      <c r="AF1319" s="2">
        <f t="shared" si="181"/>
        <v>0</v>
      </c>
      <c r="AJ1319" s="2">
        <f t="shared" si="182"/>
        <v>0</v>
      </c>
      <c r="AK1319" s="2">
        <f t="shared" si="184"/>
        <v>22.5</v>
      </c>
      <c r="AL1319" s="5">
        <f t="shared" si="180"/>
        <v>0.5</v>
      </c>
    </row>
    <row r="1320" spans="1:38" x14ac:dyDescent="0.2">
      <c r="A1320" s="2">
        <v>2025</v>
      </c>
      <c r="B1320" s="2">
        <v>7</v>
      </c>
      <c r="D1320" s="2" t="s">
        <v>451</v>
      </c>
      <c r="E1320" s="2" t="s">
        <v>108</v>
      </c>
      <c r="F1320" s="2" t="s">
        <v>39</v>
      </c>
      <c r="G1320" s="2">
        <v>506085686</v>
      </c>
      <c r="H1320" s="2" t="s">
        <v>40</v>
      </c>
      <c r="I1320" s="2" t="s">
        <v>452</v>
      </c>
      <c r="J1320" s="2" t="s">
        <v>453</v>
      </c>
      <c r="K1320" s="2">
        <v>917241919</v>
      </c>
      <c r="L1320" s="2" t="s">
        <v>398</v>
      </c>
      <c r="M1320" s="2" t="s">
        <v>80</v>
      </c>
      <c r="P1320" s="2" t="s">
        <v>93</v>
      </c>
      <c r="Q1320" s="2" t="s">
        <v>94</v>
      </c>
      <c r="R1320" s="2" t="s">
        <v>95</v>
      </c>
      <c r="S1320" s="2">
        <v>1</v>
      </c>
      <c r="T1320" s="2">
        <v>1.1399999999999999</v>
      </c>
      <c r="U1320" s="2">
        <v>0.26219999999999999</v>
      </c>
      <c r="V1320" s="2">
        <v>1.4021999999999999</v>
      </c>
      <c r="W1320" s="2">
        <v>1.1399999999999999</v>
      </c>
      <c r="X1320" s="5">
        <f t="shared" si="179"/>
        <v>0</v>
      </c>
      <c r="Z1320" s="2" t="s">
        <v>3227</v>
      </c>
      <c r="AA1320" s="2" t="s">
        <v>96</v>
      </c>
      <c r="AB1320" s="2" t="s">
        <v>76</v>
      </c>
      <c r="AC1320" s="2" t="s">
        <v>93</v>
      </c>
      <c r="AF1320" s="2">
        <f t="shared" si="181"/>
        <v>0</v>
      </c>
      <c r="AJ1320" s="2">
        <f t="shared" si="182"/>
        <v>0</v>
      </c>
      <c r="AK1320" s="2">
        <f t="shared" si="184"/>
        <v>0</v>
      </c>
      <c r="AL1320" s="5">
        <f t="shared" si="180"/>
        <v>0</v>
      </c>
    </row>
    <row r="1321" spans="1:38" x14ac:dyDescent="0.2">
      <c r="A1321" s="2">
        <v>2025</v>
      </c>
      <c r="B1321" s="2">
        <v>7</v>
      </c>
      <c r="D1321" s="2" t="s">
        <v>1565</v>
      </c>
      <c r="P1321" s="2" t="s">
        <v>114</v>
      </c>
      <c r="Q1321" s="2" t="s">
        <v>1566</v>
      </c>
      <c r="R1321" s="2" t="s">
        <v>1567</v>
      </c>
      <c r="S1321" s="2">
        <v>1</v>
      </c>
      <c r="T1321" s="2">
        <v>1993.35</v>
      </c>
      <c r="U1321" s="2">
        <v>458.47050000000002</v>
      </c>
      <c r="V1321" s="2">
        <v>2451.8204999999998</v>
      </c>
      <c r="X1321" s="5">
        <f t="shared" si="179"/>
        <v>1</v>
      </c>
      <c r="Z1321" s="2" t="s">
        <v>117</v>
      </c>
      <c r="AF1321" s="2">
        <f t="shared" si="181"/>
        <v>0</v>
      </c>
      <c r="AJ1321" s="2">
        <f t="shared" si="182"/>
        <v>0</v>
      </c>
      <c r="AK1321" s="2">
        <f t="shared" si="184"/>
        <v>1993.35</v>
      </c>
      <c r="AL1321" s="5">
        <f t="shared" si="180"/>
        <v>1</v>
      </c>
    </row>
    <row r="1322" spans="1:38" x14ac:dyDescent="0.2">
      <c r="A1322" s="2">
        <v>2025</v>
      </c>
      <c r="B1322" s="2">
        <v>7</v>
      </c>
      <c r="D1322" s="2" t="s">
        <v>1565</v>
      </c>
      <c r="M1322" s="2" t="s">
        <v>40</v>
      </c>
      <c r="P1322" s="2" t="s">
        <v>187</v>
      </c>
      <c r="Q1322" s="2" t="s">
        <v>188</v>
      </c>
      <c r="R1322" s="2" t="s">
        <v>189</v>
      </c>
      <c r="S1322" s="2">
        <v>1</v>
      </c>
      <c r="T1322" s="2">
        <v>102</v>
      </c>
      <c r="U1322" s="2">
        <v>23.46</v>
      </c>
      <c r="V1322" s="2">
        <v>125.46</v>
      </c>
      <c r="W1322" s="2">
        <f>T1322*40%</f>
        <v>40.800000000000004</v>
      </c>
      <c r="X1322" s="5">
        <f t="shared" si="179"/>
        <v>0.6</v>
      </c>
      <c r="Z1322" s="2" t="s">
        <v>117</v>
      </c>
      <c r="AA1322" s="2" t="s">
        <v>190</v>
      </c>
      <c r="AB1322" s="2" t="s">
        <v>189</v>
      </c>
      <c r="AC1322" s="2" t="s">
        <v>40</v>
      </c>
      <c r="AF1322" s="2">
        <f t="shared" si="181"/>
        <v>0</v>
      </c>
      <c r="AJ1322" s="2">
        <f t="shared" si="182"/>
        <v>0</v>
      </c>
      <c r="AK1322" s="2">
        <f t="shared" si="184"/>
        <v>61.199999999999996</v>
      </c>
      <c r="AL1322" s="5">
        <f t="shared" si="180"/>
        <v>0.6</v>
      </c>
    </row>
    <row r="1323" spans="1:38" x14ac:dyDescent="0.2">
      <c r="A1323" s="2">
        <v>2025</v>
      </c>
      <c r="B1323" s="2">
        <v>7</v>
      </c>
      <c r="D1323" s="2" t="s">
        <v>1565</v>
      </c>
      <c r="M1323" s="2" t="s">
        <v>40</v>
      </c>
      <c r="P1323" s="2" t="s">
        <v>187</v>
      </c>
      <c r="Q1323" s="2" t="s">
        <v>191</v>
      </c>
      <c r="R1323" s="2" t="s">
        <v>190</v>
      </c>
      <c r="S1323" s="2">
        <v>3</v>
      </c>
      <c r="T1323" s="2">
        <v>150</v>
      </c>
      <c r="U1323" s="2">
        <v>34.5</v>
      </c>
      <c r="V1323" s="2">
        <v>184.5</v>
      </c>
      <c r="W1323" s="2">
        <f>T1323*50%</f>
        <v>75</v>
      </c>
      <c r="X1323" s="5">
        <f t="shared" si="179"/>
        <v>0.5</v>
      </c>
      <c r="Z1323" s="2" t="s">
        <v>117</v>
      </c>
      <c r="AA1323" s="2" t="s">
        <v>190</v>
      </c>
      <c r="AB1323" s="2" t="s">
        <v>190</v>
      </c>
      <c r="AC1323" s="2" t="s">
        <v>40</v>
      </c>
      <c r="AF1323" s="2">
        <f t="shared" si="181"/>
        <v>0</v>
      </c>
      <c r="AJ1323" s="2">
        <f t="shared" si="182"/>
        <v>0</v>
      </c>
      <c r="AK1323" s="2">
        <f t="shared" si="184"/>
        <v>75</v>
      </c>
      <c r="AL1323" s="5">
        <f t="shared" si="180"/>
        <v>0.5</v>
      </c>
    </row>
    <row r="1324" spans="1:38" x14ac:dyDescent="0.2">
      <c r="A1324" s="2">
        <v>2025</v>
      </c>
      <c r="B1324" s="2">
        <v>7</v>
      </c>
      <c r="D1324" s="2" t="s">
        <v>1565</v>
      </c>
      <c r="M1324" s="2" t="s">
        <v>40</v>
      </c>
      <c r="P1324" s="2" t="s">
        <v>40</v>
      </c>
      <c r="Q1324" s="2" t="s">
        <v>140</v>
      </c>
      <c r="R1324" s="2" t="s">
        <v>141</v>
      </c>
      <c r="S1324" s="2">
        <v>-1</v>
      </c>
      <c r="T1324" s="2">
        <v>-598</v>
      </c>
      <c r="U1324" s="2">
        <v>-137.54</v>
      </c>
      <c r="V1324" s="2">
        <v>-735.54</v>
      </c>
      <c r="Z1324" s="2" t="s">
        <v>119</v>
      </c>
      <c r="AA1324" s="2" t="s">
        <v>142</v>
      </c>
      <c r="AF1324" s="2">
        <f t="shared" si="181"/>
        <v>0</v>
      </c>
      <c r="AJ1324" s="2">
        <f t="shared" si="182"/>
        <v>0</v>
      </c>
    </row>
    <row r="1325" spans="1:38" x14ac:dyDescent="0.2">
      <c r="A1325" s="2">
        <v>2025</v>
      </c>
      <c r="B1325" s="2">
        <v>7</v>
      </c>
      <c r="C1325" s="2" t="s">
        <v>3399</v>
      </c>
      <c r="D1325" s="2" t="s">
        <v>1568</v>
      </c>
      <c r="E1325" s="2" t="s">
        <v>38</v>
      </c>
      <c r="F1325" s="2" t="s">
        <v>39</v>
      </c>
      <c r="L1325" s="2" t="s">
        <v>461</v>
      </c>
      <c r="M1325" s="2" t="s">
        <v>80</v>
      </c>
      <c r="P1325" s="2" t="s">
        <v>1038</v>
      </c>
      <c r="Q1325" s="2" t="s">
        <v>1569</v>
      </c>
      <c r="R1325" s="2" t="s">
        <v>1570</v>
      </c>
      <c r="S1325" s="2">
        <v>1</v>
      </c>
      <c r="T1325" s="2">
        <v>240</v>
      </c>
      <c r="U1325" s="2">
        <v>55.2</v>
      </c>
      <c r="V1325" s="2">
        <v>295.2</v>
      </c>
      <c r="W1325" s="2">
        <f>119.065</f>
        <v>119.065</v>
      </c>
      <c r="X1325" s="5">
        <f>(T1325-W1325)/T1325</f>
        <v>0.50389583333333332</v>
      </c>
      <c r="Z1325" s="2" t="s">
        <v>3227</v>
      </c>
      <c r="AA1325" s="2" t="s">
        <v>75</v>
      </c>
      <c r="AB1325" s="2" t="s">
        <v>76</v>
      </c>
      <c r="AC1325" s="2" t="s">
        <v>1038</v>
      </c>
      <c r="AF1325" s="2">
        <f t="shared" si="181"/>
        <v>0</v>
      </c>
      <c r="AJ1325" s="2">
        <f t="shared" si="182"/>
        <v>0</v>
      </c>
      <c r="AK1325" s="2">
        <f t="shared" ref="AK1325:AK1356" si="185">T1325-W1325</f>
        <v>120.935</v>
      </c>
      <c r="AL1325" s="5">
        <f>(T1325-W1325)/T1325</f>
        <v>0.50389583333333332</v>
      </c>
    </row>
    <row r="1326" spans="1:38" x14ac:dyDescent="0.2">
      <c r="A1326" s="2">
        <v>2025</v>
      </c>
      <c r="B1326" s="2">
        <v>7</v>
      </c>
      <c r="C1326" s="2" t="s">
        <v>3399</v>
      </c>
      <c r="D1326" s="2" t="s">
        <v>1568</v>
      </c>
      <c r="E1326" s="2" t="s">
        <v>38</v>
      </c>
      <c r="F1326" s="2" t="s">
        <v>39</v>
      </c>
      <c r="L1326" s="2" t="s">
        <v>461</v>
      </c>
      <c r="M1326" s="2" t="s">
        <v>80</v>
      </c>
      <c r="P1326" s="2" t="s">
        <v>1038</v>
      </c>
      <c r="Q1326" s="2" t="s">
        <v>1571</v>
      </c>
      <c r="R1326" s="2" t="s">
        <v>1572</v>
      </c>
      <c r="S1326" s="2">
        <v>1</v>
      </c>
      <c r="T1326" s="2">
        <v>240</v>
      </c>
      <c r="U1326" s="2">
        <v>55.2</v>
      </c>
      <c r="V1326" s="2">
        <v>295.2</v>
      </c>
      <c r="W1326" s="2">
        <v>119.06</v>
      </c>
      <c r="X1326" s="5">
        <f>(T1326-W1326)/T1326</f>
        <v>0.50391666666666668</v>
      </c>
      <c r="Z1326" s="2" t="s">
        <v>3227</v>
      </c>
      <c r="AA1326" s="2" t="s">
        <v>75</v>
      </c>
      <c r="AB1326" s="2" t="s">
        <v>76</v>
      </c>
      <c r="AC1326" s="2" t="s">
        <v>1038</v>
      </c>
      <c r="AF1326" s="2">
        <f t="shared" si="181"/>
        <v>0</v>
      </c>
      <c r="AJ1326" s="2">
        <f t="shared" si="182"/>
        <v>0</v>
      </c>
      <c r="AK1326" s="2">
        <f t="shared" si="185"/>
        <v>120.94</v>
      </c>
      <c r="AL1326" s="5">
        <f>(T1326-W1326)/T1326</f>
        <v>0.50391666666666668</v>
      </c>
    </row>
    <row r="1327" spans="1:38" x14ac:dyDescent="0.2">
      <c r="A1327" s="2">
        <v>2025</v>
      </c>
      <c r="B1327" s="2">
        <v>7</v>
      </c>
      <c r="D1327" s="2" t="s">
        <v>1568</v>
      </c>
      <c r="P1327" s="2" t="s">
        <v>93</v>
      </c>
      <c r="Q1327" s="2" t="s">
        <v>94</v>
      </c>
      <c r="R1327" s="2" t="s">
        <v>95</v>
      </c>
      <c r="S1327" s="2">
        <v>2</v>
      </c>
      <c r="T1327" s="2">
        <v>2.2799999999999998</v>
      </c>
      <c r="U1327" s="2">
        <v>0.52439999999999998</v>
      </c>
      <c r="V1327" s="2">
        <v>2.8043999999999998</v>
      </c>
      <c r="W1327" s="2">
        <v>2.2799999999999998</v>
      </c>
      <c r="X1327" s="5">
        <f>(T1327-W1327)/T1327</f>
        <v>0</v>
      </c>
      <c r="Z1327" s="2" t="s">
        <v>3227</v>
      </c>
      <c r="AA1327" s="2" t="s">
        <v>96</v>
      </c>
      <c r="AB1327" s="2" t="s">
        <v>76</v>
      </c>
      <c r="AC1327" s="2" t="s">
        <v>93</v>
      </c>
      <c r="AF1327" s="2">
        <f t="shared" si="181"/>
        <v>0</v>
      </c>
      <c r="AJ1327" s="2">
        <f t="shared" si="182"/>
        <v>0</v>
      </c>
      <c r="AK1327" s="2">
        <f t="shared" si="185"/>
        <v>0</v>
      </c>
      <c r="AL1327" s="5">
        <f>(T1327-W1327)/T1327</f>
        <v>0</v>
      </c>
    </row>
    <row r="1328" spans="1:38" x14ac:dyDescent="0.2">
      <c r="A1328" s="2">
        <v>2025</v>
      </c>
      <c r="B1328" s="2">
        <v>7</v>
      </c>
      <c r="D1328" s="2" t="s">
        <v>458</v>
      </c>
      <c r="E1328" s="2" t="s">
        <v>108</v>
      </c>
      <c r="F1328" s="2" t="s">
        <v>477</v>
      </c>
      <c r="G1328" s="2">
        <v>507016173</v>
      </c>
      <c r="H1328" s="2" t="s">
        <v>109</v>
      </c>
      <c r="I1328" s="2" t="s">
        <v>459</v>
      </c>
      <c r="J1328" s="2" t="s">
        <v>460</v>
      </c>
      <c r="L1328" s="2" t="s">
        <v>461</v>
      </c>
      <c r="P1328" s="2" t="s">
        <v>282</v>
      </c>
      <c r="Q1328" s="2" t="s">
        <v>1547</v>
      </c>
      <c r="R1328" s="2" t="s">
        <v>1548</v>
      </c>
      <c r="S1328" s="2">
        <v>1</v>
      </c>
      <c r="T1328" s="2">
        <v>595</v>
      </c>
      <c r="U1328" s="2">
        <v>136.85</v>
      </c>
      <c r="V1328" s="2">
        <v>731.85</v>
      </c>
      <c r="W1328" s="2">
        <v>297</v>
      </c>
      <c r="X1328" s="5">
        <f>(T1328-W1328)/T1328</f>
        <v>0.50084033613445378</v>
      </c>
      <c r="Z1328" s="2" t="s">
        <v>104</v>
      </c>
      <c r="AA1328" s="2" t="s">
        <v>387</v>
      </c>
      <c r="AB1328" s="2" t="s">
        <v>388</v>
      </c>
      <c r="AC1328" s="2" t="s">
        <v>389</v>
      </c>
      <c r="AF1328" s="2">
        <f t="shared" si="181"/>
        <v>0</v>
      </c>
      <c r="AJ1328" s="2">
        <f t="shared" si="182"/>
        <v>0</v>
      </c>
      <c r="AK1328" s="2">
        <f t="shared" si="185"/>
        <v>298</v>
      </c>
      <c r="AL1328" s="5">
        <f>(T1328-W1328)/T1328</f>
        <v>0.50084033613445378</v>
      </c>
    </row>
    <row r="1329" spans="1:38" x14ac:dyDescent="0.2">
      <c r="A1329" s="2">
        <v>2025</v>
      </c>
      <c r="B1329" s="2">
        <v>7</v>
      </c>
      <c r="D1329" s="2" t="s">
        <v>458</v>
      </c>
      <c r="E1329" s="2" t="s">
        <v>108</v>
      </c>
      <c r="F1329" s="2" t="s">
        <v>477</v>
      </c>
      <c r="G1329" s="2">
        <v>507016173</v>
      </c>
      <c r="H1329" s="2" t="s">
        <v>109</v>
      </c>
      <c r="I1329" s="2" t="s">
        <v>459</v>
      </c>
      <c r="J1329" s="2" t="s">
        <v>460</v>
      </c>
      <c r="L1329" s="2" t="s">
        <v>461</v>
      </c>
      <c r="P1329" s="2" t="s">
        <v>282</v>
      </c>
      <c r="Q1329" s="2" t="s">
        <v>399</v>
      </c>
      <c r="R1329" s="2" t="s">
        <v>400</v>
      </c>
      <c r="S1329" s="2">
        <v>2</v>
      </c>
      <c r="T1329" s="2">
        <v>0</v>
      </c>
      <c r="U1329" s="2">
        <v>0</v>
      </c>
      <c r="V1329" s="2">
        <v>0</v>
      </c>
      <c r="W1329" s="2">
        <f>17.4*S1329</f>
        <v>34.799999999999997</v>
      </c>
      <c r="X1329" s="19">
        <v>-1</v>
      </c>
      <c r="Z1329" s="2" t="s">
        <v>3227</v>
      </c>
      <c r="AA1329" s="2" t="s">
        <v>46</v>
      </c>
      <c r="AB1329" s="2" t="s">
        <v>60</v>
      </c>
      <c r="AC1329" s="2" t="s">
        <v>3332</v>
      </c>
      <c r="AF1329" s="2">
        <f t="shared" si="181"/>
        <v>0</v>
      </c>
      <c r="AJ1329" s="2">
        <f t="shared" si="182"/>
        <v>0</v>
      </c>
      <c r="AK1329" s="2">
        <f t="shared" si="185"/>
        <v>-34.799999999999997</v>
      </c>
      <c r="AL1329" s="19">
        <v>-1</v>
      </c>
    </row>
    <row r="1330" spans="1:38" x14ac:dyDescent="0.2">
      <c r="A1330" s="2">
        <v>2025</v>
      </c>
      <c r="B1330" s="2">
        <v>7</v>
      </c>
      <c r="D1330" s="2" t="s">
        <v>458</v>
      </c>
      <c r="E1330" s="2" t="s">
        <v>108</v>
      </c>
      <c r="F1330" s="2" t="s">
        <v>477</v>
      </c>
      <c r="G1330" s="2">
        <v>507016173</v>
      </c>
      <c r="H1330" s="2" t="s">
        <v>109</v>
      </c>
      <c r="I1330" s="2" t="s">
        <v>459</v>
      </c>
      <c r="J1330" s="2" t="s">
        <v>460</v>
      </c>
      <c r="L1330" s="2" t="s">
        <v>461</v>
      </c>
      <c r="P1330" s="2" t="s">
        <v>282</v>
      </c>
      <c r="Q1330" s="2" t="s">
        <v>401</v>
      </c>
      <c r="R1330" s="2" t="s">
        <v>402</v>
      </c>
      <c r="S1330" s="2">
        <v>4</v>
      </c>
      <c r="T1330" s="2">
        <v>0</v>
      </c>
      <c r="U1330" s="2">
        <v>0</v>
      </c>
      <c r="V1330" s="2">
        <v>0</v>
      </c>
      <c r="W1330" s="2">
        <f>17.4*S1330</f>
        <v>69.599999999999994</v>
      </c>
      <c r="X1330" s="19">
        <v>-1</v>
      </c>
      <c r="Z1330" s="2" t="s">
        <v>3227</v>
      </c>
      <c r="AA1330" s="2" t="s">
        <v>46</v>
      </c>
      <c r="AB1330" s="2" t="s">
        <v>60</v>
      </c>
      <c r="AC1330" s="2" t="s">
        <v>3332</v>
      </c>
      <c r="AF1330" s="2">
        <f t="shared" si="181"/>
        <v>0</v>
      </c>
      <c r="AJ1330" s="2">
        <f t="shared" si="182"/>
        <v>0</v>
      </c>
      <c r="AK1330" s="2">
        <f t="shared" si="185"/>
        <v>-69.599999999999994</v>
      </c>
      <c r="AL1330" s="19">
        <v>-1</v>
      </c>
    </row>
    <row r="1331" spans="1:38" x14ac:dyDescent="0.2">
      <c r="A1331" s="2">
        <v>2025</v>
      </c>
      <c r="B1331" s="2">
        <v>7</v>
      </c>
      <c r="D1331" s="2" t="s">
        <v>1573</v>
      </c>
      <c r="E1331" s="2" t="s">
        <v>752</v>
      </c>
      <c r="F1331" s="2" t="s">
        <v>39</v>
      </c>
      <c r="L1331" s="2" t="s">
        <v>461</v>
      </c>
      <c r="M1331" s="2" t="s">
        <v>109</v>
      </c>
      <c r="P1331" s="2" t="s">
        <v>282</v>
      </c>
      <c r="Q1331" s="2" t="s">
        <v>1282</v>
      </c>
      <c r="R1331" s="2" t="s">
        <v>1283</v>
      </c>
      <c r="S1331" s="2">
        <v>1</v>
      </c>
      <c r="T1331" s="2">
        <v>1500</v>
      </c>
      <c r="U1331" s="2">
        <v>345</v>
      </c>
      <c r="V1331" s="2">
        <v>1845</v>
      </c>
      <c r="W1331" s="2">
        <v>1389</v>
      </c>
      <c r="X1331" s="5">
        <f>(T1331-W1331)/T1331</f>
        <v>7.3999999999999996E-2</v>
      </c>
      <c r="Z1331" s="2" t="s">
        <v>104</v>
      </c>
      <c r="AA1331" s="2" t="s">
        <v>1574</v>
      </c>
      <c r="AB1331" s="2" t="s">
        <v>388</v>
      </c>
      <c r="AC1331" s="2" t="s">
        <v>1327</v>
      </c>
      <c r="AF1331" s="2">
        <f t="shared" si="181"/>
        <v>0</v>
      </c>
      <c r="AG1331" s="2">
        <f>1294+95</f>
        <v>1389</v>
      </c>
      <c r="AJ1331" s="2">
        <f t="shared" si="182"/>
        <v>0</v>
      </c>
      <c r="AK1331" s="2">
        <f t="shared" si="185"/>
        <v>111</v>
      </c>
      <c r="AL1331" s="5">
        <f t="shared" ref="AL1331:AL1374" si="186">(T1331-W1331)/T1331</f>
        <v>7.3999999999999996E-2</v>
      </c>
    </row>
    <row r="1332" spans="1:38" x14ac:dyDescent="0.2">
      <c r="A1332" s="2">
        <v>2025</v>
      </c>
      <c r="B1332" s="2">
        <v>7</v>
      </c>
      <c r="D1332" s="2" t="s">
        <v>1573</v>
      </c>
      <c r="E1332" s="2" t="s">
        <v>752</v>
      </c>
      <c r="F1332" s="2" t="s">
        <v>39</v>
      </c>
      <c r="L1332" s="2" t="s">
        <v>461</v>
      </c>
      <c r="M1332" s="2" t="s">
        <v>109</v>
      </c>
      <c r="P1332" s="2" t="s">
        <v>282</v>
      </c>
      <c r="Q1332" s="2" t="s">
        <v>1284</v>
      </c>
      <c r="R1332" s="2" t="s">
        <v>1285</v>
      </c>
      <c r="S1332" s="2">
        <v>1</v>
      </c>
      <c r="T1332" s="2">
        <v>0</v>
      </c>
      <c r="U1332" s="2">
        <v>0</v>
      </c>
      <c r="V1332" s="2">
        <v>0</v>
      </c>
      <c r="X1332" s="5">
        <v>0</v>
      </c>
      <c r="Z1332" s="2" t="s">
        <v>104</v>
      </c>
      <c r="AA1332" s="2" t="s">
        <v>1574</v>
      </c>
      <c r="AB1332" s="2" t="s">
        <v>388</v>
      </c>
      <c r="AC1332" s="2" t="s">
        <v>1327</v>
      </c>
      <c r="AF1332" s="2">
        <f t="shared" si="181"/>
        <v>0</v>
      </c>
      <c r="AJ1332" s="2">
        <f t="shared" si="182"/>
        <v>0</v>
      </c>
      <c r="AK1332" s="2">
        <f t="shared" si="185"/>
        <v>0</v>
      </c>
      <c r="AL1332" s="5" t="e">
        <f t="shared" si="186"/>
        <v>#DIV/0!</v>
      </c>
    </row>
    <row r="1333" spans="1:38" x14ac:dyDescent="0.2">
      <c r="A1333" s="2">
        <v>2025</v>
      </c>
      <c r="B1333" s="2">
        <v>7</v>
      </c>
      <c r="D1333" s="2" t="s">
        <v>1573</v>
      </c>
      <c r="E1333" s="2" t="s">
        <v>752</v>
      </c>
      <c r="F1333" s="2" t="s">
        <v>39</v>
      </c>
      <c r="L1333" s="2" t="s">
        <v>461</v>
      </c>
      <c r="M1333" s="2" t="s">
        <v>109</v>
      </c>
      <c r="P1333" s="2" t="s">
        <v>282</v>
      </c>
      <c r="Q1333" s="2" t="s">
        <v>1154</v>
      </c>
      <c r="R1333" s="2" t="s">
        <v>1155</v>
      </c>
      <c r="S1333" s="2">
        <v>1</v>
      </c>
      <c r="T1333" s="2">
        <v>2990</v>
      </c>
      <c r="U1333" s="2">
        <v>687.7</v>
      </c>
      <c r="V1333" s="2">
        <v>3677.7</v>
      </c>
      <c r="W1333" s="2">
        <v>2190</v>
      </c>
      <c r="X1333" s="5">
        <f>(T1333-W1333)/T1333</f>
        <v>0.26755852842809363</v>
      </c>
      <c r="Z1333" s="2" t="s">
        <v>104</v>
      </c>
      <c r="AA1333" s="2" t="s">
        <v>1574</v>
      </c>
      <c r="AB1333" s="2" t="s">
        <v>388</v>
      </c>
      <c r="AC1333" s="2" t="s">
        <v>1327</v>
      </c>
      <c r="AF1333" s="2">
        <f t="shared" si="181"/>
        <v>0</v>
      </c>
      <c r="AJ1333" s="2">
        <f t="shared" si="182"/>
        <v>0</v>
      </c>
      <c r="AK1333" s="2">
        <f t="shared" si="185"/>
        <v>800</v>
      </c>
      <c r="AL1333" s="5">
        <f t="shared" si="186"/>
        <v>0.26755852842809363</v>
      </c>
    </row>
    <row r="1334" spans="1:38" x14ac:dyDescent="0.2">
      <c r="A1334" s="2">
        <v>2025</v>
      </c>
      <c r="B1334" s="2">
        <v>7</v>
      </c>
      <c r="D1334" s="2" t="s">
        <v>1573</v>
      </c>
      <c r="E1334" s="2" t="s">
        <v>752</v>
      </c>
      <c r="F1334" s="2" t="s">
        <v>39</v>
      </c>
      <c r="L1334" s="2" t="s">
        <v>461</v>
      </c>
      <c r="M1334" s="2" t="s">
        <v>109</v>
      </c>
      <c r="P1334" s="2" t="s">
        <v>282</v>
      </c>
      <c r="Q1334" s="2" t="s">
        <v>1156</v>
      </c>
      <c r="R1334" s="2" t="s">
        <v>1157</v>
      </c>
      <c r="S1334" s="2">
        <v>1</v>
      </c>
      <c r="T1334" s="2">
        <v>350</v>
      </c>
      <c r="U1334" s="2">
        <v>80.5</v>
      </c>
      <c r="V1334" s="2">
        <v>430.5</v>
      </c>
      <c r="W1334" s="2">
        <v>241.5</v>
      </c>
      <c r="X1334" s="5">
        <f>(T1334-W1334)/T1334</f>
        <v>0.31</v>
      </c>
      <c r="Z1334" s="2" t="s">
        <v>104</v>
      </c>
      <c r="AA1334" s="2" t="s">
        <v>1574</v>
      </c>
      <c r="AB1334" s="2" t="s">
        <v>388</v>
      </c>
      <c r="AC1334" s="2" t="s">
        <v>1327</v>
      </c>
      <c r="AF1334" s="2">
        <f t="shared" si="181"/>
        <v>0</v>
      </c>
      <c r="AJ1334" s="2">
        <f t="shared" si="182"/>
        <v>0</v>
      </c>
      <c r="AK1334" s="2">
        <f t="shared" si="185"/>
        <v>108.5</v>
      </c>
      <c r="AL1334" s="5">
        <f t="shared" si="186"/>
        <v>0.31</v>
      </c>
    </row>
    <row r="1335" spans="1:38" x14ac:dyDescent="0.2">
      <c r="A1335" s="2">
        <v>2025</v>
      </c>
      <c r="B1335" s="2">
        <v>7</v>
      </c>
      <c r="D1335" s="2" t="s">
        <v>1573</v>
      </c>
      <c r="E1335" s="2" t="s">
        <v>752</v>
      </c>
      <c r="F1335" s="2" t="s">
        <v>39</v>
      </c>
      <c r="L1335" s="2" t="s">
        <v>461</v>
      </c>
      <c r="M1335" s="2" t="s">
        <v>109</v>
      </c>
      <c r="P1335" s="2" t="s">
        <v>282</v>
      </c>
      <c r="Q1335" s="2" t="s">
        <v>1158</v>
      </c>
      <c r="R1335" s="2" t="s">
        <v>1159</v>
      </c>
      <c r="S1335" s="2">
        <v>1</v>
      </c>
      <c r="T1335" s="2">
        <v>0</v>
      </c>
      <c r="U1335" s="2">
        <v>0</v>
      </c>
      <c r="V1335" s="2">
        <v>0</v>
      </c>
      <c r="W1335" s="2">
        <v>0</v>
      </c>
      <c r="X1335" s="5">
        <v>0</v>
      </c>
      <c r="Z1335" s="2" t="s">
        <v>104</v>
      </c>
      <c r="AA1335" s="2" t="s">
        <v>1574</v>
      </c>
      <c r="AB1335" s="2" t="s">
        <v>388</v>
      </c>
      <c r="AC1335" s="2" t="s">
        <v>1327</v>
      </c>
      <c r="AF1335" s="2">
        <f t="shared" si="181"/>
        <v>0</v>
      </c>
      <c r="AJ1335" s="2">
        <f t="shared" si="182"/>
        <v>0</v>
      </c>
      <c r="AK1335" s="2">
        <f t="shared" si="185"/>
        <v>0</v>
      </c>
      <c r="AL1335" s="5" t="e">
        <f t="shared" si="186"/>
        <v>#DIV/0!</v>
      </c>
    </row>
    <row r="1336" spans="1:38" x14ac:dyDescent="0.2">
      <c r="A1336" s="2">
        <v>2025</v>
      </c>
      <c r="B1336" s="2">
        <v>7</v>
      </c>
      <c r="D1336" s="2" t="s">
        <v>1575</v>
      </c>
      <c r="Q1336" s="2" t="s">
        <v>1576</v>
      </c>
      <c r="R1336" s="2" t="s">
        <v>1577</v>
      </c>
      <c r="S1336" s="2">
        <v>1</v>
      </c>
      <c r="T1336" s="2">
        <v>40.75</v>
      </c>
      <c r="U1336" s="2">
        <v>9.3725000000000005</v>
      </c>
      <c r="V1336" s="2">
        <v>50.122500000000002</v>
      </c>
      <c r="X1336" s="5">
        <f t="shared" ref="X1336:X1350" si="187">(T1336-W1336)/T1336</f>
        <v>1</v>
      </c>
      <c r="AF1336" s="2">
        <f t="shared" si="181"/>
        <v>0</v>
      </c>
      <c r="AJ1336" s="2">
        <f t="shared" si="182"/>
        <v>0</v>
      </c>
      <c r="AK1336" s="2">
        <f t="shared" si="185"/>
        <v>40.75</v>
      </c>
      <c r="AL1336" s="5">
        <f t="shared" si="186"/>
        <v>1</v>
      </c>
    </row>
    <row r="1337" spans="1:38" x14ac:dyDescent="0.2">
      <c r="A1337" s="2">
        <v>2025</v>
      </c>
      <c r="B1337" s="2">
        <v>7</v>
      </c>
      <c r="D1337" s="2" t="s">
        <v>1575</v>
      </c>
      <c r="P1337" s="2" t="s">
        <v>169</v>
      </c>
      <c r="Q1337" s="2" t="s">
        <v>170</v>
      </c>
      <c r="R1337" s="2" t="s">
        <v>170</v>
      </c>
      <c r="S1337" s="2">
        <v>1</v>
      </c>
      <c r="T1337" s="2">
        <v>5</v>
      </c>
      <c r="U1337" s="2">
        <v>1.1499999999999999</v>
      </c>
      <c r="V1337" s="2">
        <v>6.15</v>
      </c>
      <c r="W1337" s="2">
        <v>6</v>
      </c>
      <c r="X1337" s="5">
        <f t="shared" si="187"/>
        <v>-0.2</v>
      </c>
      <c r="Z1337" s="2" t="s">
        <v>169</v>
      </c>
      <c r="AA1337" s="2" t="s">
        <v>169</v>
      </c>
      <c r="AF1337" s="2">
        <f t="shared" si="181"/>
        <v>0</v>
      </c>
      <c r="AJ1337" s="2">
        <f t="shared" si="182"/>
        <v>0</v>
      </c>
      <c r="AK1337" s="2">
        <f t="shared" si="185"/>
        <v>-1</v>
      </c>
      <c r="AL1337" s="5">
        <f t="shared" si="186"/>
        <v>-0.2</v>
      </c>
    </row>
    <row r="1338" spans="1:38" x14ac:dyDescent="0.2">
      <c r="A1338" s="2">
        <v>2025</v>
      </c>
      <c r="B1338" s="2">
        <v>7</v>
      </c>
      <c r="C1338" s="2" t="s">
        <v>3316</v>
      </c>
      <c r="D1338" s="2" t="s">
        <v>469</v>
      </c>
      <c r="E1338" s="2" t="s">
        <v>38</v>
      </c>
      <c r="F1338" s="2" t="s">
        <v>470</v>
      </c>
      <c r="G1338" s="2">
        <v>513626930</v>
      </c>
      <c r="H1338" s="2" t="s">
        <v>40</v>
      </c>
      <c r="I1338" s="2" t="s">
        <v>339</v>
      </c>
      <c r="J1338" s="2" t="s">
        <v>471</v>
      </c>
      <c r="L1338" s="2" t="s">
        <v>339</v>
      </c>
      <c r="M1338" s="2" t="s">
        <v>40</v>
      </c>
      <c r="P1338" s="2" t="s">
        <v>114</v>
      </c>
      <c r="Q1338" s="2" t="s">
        <v>1578</v>
      </c>
      <c r="R1338" s="2" t="s">
        <v>1579</v>
      </c>
      <c r="S1338" s="2">
        <v>1</v>
      </c>
      <c r="T1338" s="2">
        <v>7500</v>
      </c>
      <c r="U1338" s="2">
        <v>1725</v>
      </c>
      <c r="V1338" s="2">
        <v>9225</v>
      </c>
      <c r="W1338" s="2">
        <f>4893.23+171</f>
        <v>5064.2299999999996</v>
      </c>
      <c r="X1338" s="5">
        <f t="shared" si="187"/>
        <v>0.32476933333333341</v>
      </c>
      <c r="Z1338" s="2" t="s">
        <v>104</v>
      </c>
      <c r="AA1338" s="2" t="s">
        <v>150</v>
      </c>
      <c r="AB1338" s="2" t="s">
        <v>151</v>
      </c>
      <c r="AC1338" s="2" t="s">
        <v>114</v>
      </c>
      <c r="AF1338" s="2">
        <f t="shared" si="181"/>
        <v>0</v>
      </c>
      <c r="AG1338" s="2">
        <f>4893.23+171</f>
        <v>5064.2299999999996</v>
      </c>
      <c r="AJ1338" s="2">
        <f t="shared" si="182"/>
        <v>0</v>
      </c>
      <c r="AK1338" s="2">
        <f t="shared" si="185"/>
        <v>2435.7700000000004</v>
      </c>
      <c r="AL1338" s="5">
        <f t="shared" si="186"/>
        <v>0.32476933333333341</v>
      </c>
    </row>
    <row r="1339" spans="1:38" x14ac:dyDescent="0.2">
      <c r="A1339" s="2">
        <v>2025</v>
      </c>
      <c r="B1339" s="2">
        <v>7</v>
      </c>
      <c r="D1339" s="2" t="s">
        <v>840</v>
      </c>
      <c r="E1339" s="2" t="s">
        <v>108</v>
      </c>
      <c r="F1339" s="2" t="s">
        <v>531</v>
      </c>
      <c r="G1339" s="2">
        <v>504981285</v>
      </c>
      <c r="H1339" s="2" t="s">
        <v>290</v>
      </c>
      <c r="I1339" s="2" t="s">
        <v>841</v>
      </c>
      <c r="J1339" s="2" t="s">
        <v>842</v>
      </c>
      <c r="K1339" s="2">
        <v>932209225</v>
      </c>
      <c r="L1339" s="2" t="s">
        <v>339</v>
      </c>
      <c r="M1339" s="2" t="s">
        <v>40</v>
      </c>
      <c r="P1339" s="2" t="s">
        <v>187</v>
      </c>
      <c r="Q1339" s="2" t="s">
        <v>188</v>
      </c>
      <c r="R1339" s="2" t="s">
        <v>189</v>
      </c>
      <c r="S1339" s="2">
        <v>1</v>
      </c>
      <c r="T1339" s="2">
        <v>50</v>
      </c>
      <c r="U1339" s="2">
        <v>11.5</v>
      </c>
      <c r="V1339" s="2">
        <v>61.5</v>
      </c>
      <c r="W1339" s="2">
        <f>T1339*40%</f>
        <v>20</v>
      </c>
      <c r="X1339" s="5">
        <f t="shared" si="187"/>
        <v>0.6</v>
      </c>
      <c r="Z1339" s="2" t="s">
        <v>117</v>
      </c>
      <c r="AA1339" s="2" t="s">
        <v>190</v>
      </c>
      <c r="AB1339" s="2" t="s">
        <v>189</v>
      </c>
      <c r="AC1339" s="2" t="s">
        <v>40</v>
      </c>
      <c r="AF1339" s="2">
        <f t="shared" si="181"/>
        <v>0</v>
      </c>
      <c r="AJ1339" s="2">
        <f t="shared" si="182"/>
        <v>0</v>
      </c>
      <c r="AK1339" s="2">
        <f t="shared" si="185"/>
        <v>30</v>
      </c>
      <c r="AL1339" s="5">
        <f t="shared" si="186"/>
        <v>0.6</v>
      </c>
    </row>
    <row r="1340" spans="1:38" x14ac:dyDescent="0.2">
      <c r="A1340" s="2">
        <v>2025</v>
      </c>
      <c r="B1340" s="2">
        <v>7</v>
      </c>
      <c r="D1340" s="2" t="s">
        <v>840</v>
      </c>
      <c r="E1340" s="2" t="s">
        <v>108</v>
      </c>
      <c r="F1340" s="2" t="s">
        <v>531</v>
      </c>
      <c r="G1340" s="2">
        <v>504981285</v>
      </c>
      <c r="H1340" s="2" t="s">
        <v>290</v>
      </c>
      <c r="I1340" s="2" t="s">
        <v>841</v>
      </c>
      <c r="J1340" s="2" t="s">
        <v>842</v>
      </c>
      <c r="K1340" s="2">
        <v>932209225</v>
      </c>
      <c r="L1340" s="2" t="s">
        <v>339</v>
      </c>
      <c r="M1340" s="2" t="s">
        <v>40</v>
      </c>
      <c r="P1340" s="2" t="s">
        <v>187</v>
      </c>
      <c r="Q1340" s="2" t="s">
        <v>191</v>
      </c>
      <c r="R1340" s="2" t="s">
        <v>190</v>
      </c>
      <c r="S1340" s="2">
        <v>1</v>
      </c>
      <c r="T1340" s="2">
        <v>50</v>
      </c>
      <c r="U1340" s="2">
        <v>11.5</v>
      </c>
      <c r="V1340" s="2">
        <v>61.5</v>
      </c>
      <c r="W1340" s="2">
        <f>T1340*50%</f>
        <v>25</v>
      </c>
      <c r="X1340" s="5">
        <f t="shared" si="187"/>
        <v>0.5</v>
      </c>
      <c r="Z1340" s="2" t="s">
        <v>117</v>
      </c>
      <c r="AA1340" s="2" t="s">
        <v>190</v>
      </c>
      <c r="AB1340" s="2" t="s">
        <v>190</v>
      </c>
      <c r="AC1340" s="2" t="s">
        <v>40</v>
      </c>
      <c r="AF1340" s="2">
        <f t="shared" si="181"/>
        <v>0</v>
      </c>
      <c r="AJ1340" s="2">
        <f t="shared" si="182"/>
        <v>0</v>
      </c>
      <c r="AK1340" s="2">
        <f t="shared" si="185"/>
        <v>25</v>
      </c>
      <c r="AL1340" s="5">
        <f t="shared" si="186"/>
        <v>0.5</v>
      </c>
    </row>
    <row r="1341" spans="1:38" x14ac:dyDescent="0.2">
      <c r="A1341" s="2">
        <v>2025</v>
      </c>
      <c r="B1341" s="2">
        <v>7</v>
      </c>
      <c r="D1341" s="2" t="s">
        <v>843</v>
      </c>
      <c r="E1341" s="2" t="s">
        <v>38</v>
      </c>
      <c r="F1341" s="2" t="s">
        <v>39</v>
      </c>
      <c r="G1341" s="2">
        <v>161685080</v>
      </c>
      <c r="H1341" s="2" t="s">
        <v>41</v>
      </c>
      <c r="I1341" s="2" t="s">
        <v>418</v>
      </c>
      <c r="K1341" s="2" t="s">
        <v>844</v>
      </c>
      <c r="L1341" s="2" t="s">
        <v>418</v>
      </c>
      <c r="M1341" s="2" t="s">
        <v>41</v>
      </c>
      <c r="O1341" s="2" t="s">
        <v>1580</v>
      </c>
      <c r="P1341" s="2" t="s">
        <v>43</v>
      </c>
      <c r="Q1341" s="2" t="s">
        <v>48</v>
      </c>
      <c r="R1341" s="2" t="s">
        <v>49</v>
      </c>
      <c r="S1341" s="2">
        <v>1</v>
      </c>
      <c r="T1341" s="2">
        <v>12</v>
      </c>
      <c r="U1341" s="2">
        <v>2.76</v>
      </c>
      <c r="V1341" s="2">
        <v>14.76</v>
      </c>
      <c r="W1341" s="2">
        <f>6.6267*S1341</f>
        <v>6.6266999999999996</v>
      </c>
      <c r="X1341" s="5">
        <f t="shared" si="187"/>
        <v>0.44777500000000003</v>
      </c>
      <c r="Z1341" s="2" t="s">
        <v>3227</v>
      </c>
      <c r="AA1341" s="2" t="s">
        <v>46</v>
      </c>
      <c r="AB1341" s="2" t="s">
        <v>47</v>
      </c>
      <c r="AC1341" s="2" t="s">
        <v>57</v>
      </c>
      <c r="AF1341" s="2">
        <f t="shared" si="181"/>
        <v>0</v>
      </c>
      <c r="AG1341" s="2">
        <v>6.6266999999999996</v>
      </c>
      <c r="AH1341" s="2">
        <v>12</v>
      </c>
      <c r="AJ1341" s="2">
        <f t="shared" si="182"/>
        <v>0</v>
      </c>
      <c r="AK1341" s="2">
        <f t="shared" si="185"/>
        <v>5.3733000000000004</v>
      </c>
      <c r="AL1341" s="5">
        <f t="shared" si="186"/>
        <v>0.44777500000000003</v>
      </c>
    </row>
    <row r="1342" spans="1:38" x14ac:dyDescent="0.2">
      <c r="A1342" s="2">
        <v>2025</v>
      </c>
      <c r="B1342" s="2">
        <v>7</v>
      </c>
      <c r="D1342" s="2" t="s">
        <v>843</v>
      </c>
      <c r="E1342" s="2" t="s">
        <v>38</v>
      </c>
      <c r="F1342" s="2" t="s">
        <v>39</v>
      </c>
      <c r="G1342" s="2">
        <v>161685080</v>
      </c>
      <c r="H1342" s="2" t="s">
        <v>41</v>
      </c>
      <c r="I1342" s="2" t="s">
        <v>418</v>
      </c>
      <c r="K1342" s="2" t="s">
        <v>844</v>
      </c>
      <c r="L1342" s="2" t="s">
        <v>418</v>
      </c>
      <c r="M1342" s="2" t="s">
        <v>41</v>
      </c>
      <c r="O1342" s="2" t="s">
        <v>1580</v>
      </c>
      <c r="P1342" s="2" t="s">
        <v>43</v>
      </c>
      <c r="Q1342" s="2" t="s">
        <v>164</v>
      </c>
      <c r="R1342" s="2" t="s">
        <v>165</v>
      </c>
      <c r="S1342" s="2">
        <v>1</v>
      </c>
      <c r="T1342" s="2">
        <v>15</v>
      </c>
      <c r="U1342" s="2">
        <v>3.45</v>
      </c>
      <c r="V1342" s="2">
        <v>18.45</v>
      </c>
      <c r="W1342" s="2">
        <f>7.9612*S1342</f>
        <v>7.9611999999999998</v>
      </c>
      <c r="X1342" s="5">
        <f t="shared" si="187"/>
        <v>0.46925333333333336</v>
      </c>
      <c r="Z1342" s="2" t="s">
        <v>3227</v>
      </c>
      <c r="AA1342" s="2" t="s">
        <v>46</v>
      </c>
      <c r="AB1342" s="2" t="s">
        <v>67</v>
      </c>
      <c r="AC1342" s="2" t="s">
        <v>57</v>
      </c>
      <c r="AF1342" s="2">
        <f t="shared" si="181"/>
        <v>0</v>
      </c>
      <c r="AG1342" s="2">
        <v>7.9611999999999998</v>
      </c>
      <c r="AH1342" s="2">
        <v>14.4</v>
      </c>
      <c r="AJ1342" s="2">
        <f t="shared" si="182"/>
        <v>0</v>
      </c>
      <c r="AK1342" s="2">
        <f t="shared" si="185"/>
        <v>7.0388000000000002</v>
      </c>
      <c r="AL1342" s="5">
        <f t="shared" si="186"/>
        <v>0.46925333333333336</v>
      </c>
    </row>
    <row r="1343" spans="1:38" x14ac:dyDescent="0.2">
      <c r="A1343" s="2">
        <v>2025</v>
      </c>
      <c r="B1343" s="2">
        <v>7</v>
      </c>
      <c r="D1343" s="2" t="s">
        <v>843</v>
      </c>
      <c r="E1343" s="2" t="s">
        <v>38</v>
      </c>
      <c r="F1343" s="2" t="s">
        <v>39</v>
      </c>
      <c r="G1343" s="2">
        <v>161685080</v>
      </c>
      <c r="H1343" s="2" t="s">
        <v>41</v>
      </c>
      <c r="I1343" s="2" t="s">
        <v>418</v>
      </c>
      <c r="K1343" s="2" t="s">
        <v>844</v>
      </c>
      <c r="L1343" s="2" t="s">
        <v>418</v>
      </c>
      <c r="M1343" s="2" t="s">
        <v>41</v>
      </c>
      <c r="O1343" s="2" t="s">
        <v>1580</v>
      </c>
      <c r="P1343" s="2" t="s">
        <v>169</v>
      </c>
      <c r="Q1343" s="2" t="s">
        <v>170</v>
      </c>
      <c r="R1343" s="2" t="s">
        <v>170</v>
      </c>
      <c r="S1343" s="2">
        <v>1</v>
      </c>
      <c r="T1343" s="2">
        <v>8.5</v>
      </c>
      <c r="U1343" s="2">
        <v>1.9550000000000001</v>
      </c>
      <c r="V1343" s="2">
        <v>10.455</v>
      </c>
      <c r="W1343" s="2">
        <v>6</v>
      </c>
      <c r="X1343" s="5">
        <f t="shared" si="187"/>
        <v>0.29411764705882354</v>
      </c>
      <c r="Z1343" s="2" t="s">
        <v>169</v>
      </c>
      <c r="AA1343" s="2" t="s">
        <v>169</v>
      </c>
      <c r="AF1343" s="2">
        <f t="shared" si="181"/>
        <v>0</v>
      </c>
      <c r="AJ1343" s="2">
        <f t="shared" si="182"/>
        <v>0</v>
      </c>
      <c r="AK1343" s="2">
        <f t="shared" si="185"/>
        <v>2.5</v>
      </c>
      <c r="AL1343" s="5">
        <f t="shared" si="186"/>
        <v>0.29411764705882354</v>
      </c>
    </row>
    <row r="1344" spans="1:38" x14ac:dyDescent="0.2">
      <c r="A1344" s="2">
        <v>2025</v>
      </c>
      <c r="B1344" s="2">
        <v>7</v>
      </c>
      <c r="D1344" s="2" t="s">
        <v>488</v>
      </c>
      <c r="E1344" s="2" t="s">
        <v>38</v>
      </c>
      <c r="F1344" s="2" t="s">
        <v>39</v>
      </c>
      <c r="G1344" s="2">
        <v>507380312</v>
      </c>
      <c r="H1344" s="2" t="s">
        <v>40</v>
      </c>
      <c r="I1344" s="2" t="s">
        <v>489</v>
      </c>
      <c r="J1344" s="2" t="s">
        <v>490</v>
      </c>
      <c r="K1344" s="2">
        <v>912293443</v>
      </c>
      <c r="L1344" s="2" t="s">
        <v>99</v>
      </c>
      <c r="M1344" s="2" t="s">
        <v>40</v>
      </c>
      <c r="P1344" s="2" t="s">
        <v>40</v>
      </c>
      <c r="Q1344" s="2" t="s">
        <v>491</v>
      </c>
      <c r="R1344" s="2" t="s">
        <v>492</v>
      </c>
      <c r="S1344" s="2">
        <v>1</v>
      </c>
      <c r="T1344" s="2">
        <v>664.04</v>
      </c>
      <c r="U1344" s="2">
        <v>152.72919999999999</v>
      </c>
      <c r="V1344" s="2">
        <v>816.76919999999996</v>
      </c>
      <c r="X1344" s="5">
        <f t="shared" si="187"/>
        <v>1</v>
      </c>
      <c r="Z1344" s="2" t="s">
        <v>119</v>
      </c>
      <c r="AA1344" s="2" t="s">
        <v>492</v>
      </c>
      <c r="AF1344" s="2">
        <f t="shared" si="181"/>
        <v>0</v>
      </c>
      <c r="AJ1344" s="2">
        <f t="shared" si="182"/>
        <v>0</v>
      </c>
      <c r="AK1344" s="2">
        <f t="shared" si="185"/>
        <v>664.04</v>
      </c>
      <c r="AL1344" s="5">
        <f t="shared" si="186"/>
        <v>1</v>
      </c>
    </row>
    <row r="1345" spans="1:38" x14ac:dyDescent="0.2">
      <c r="A1345" s="2">
        <v>2025</v>
      </c>
      <c r="B1345" s="2">
        <v>7</v>
      </c>
      <c r="D1345" s="2" t="s">
        <v>1581</v>
      </c>
      <c r="P1345" s="2" t="s">
        <v>282</v>
      </c>
      <c r="Q1345" s="2" t="s">
        <v>590</v>
      </c>
      <c r="R1345" s="2" t="s">
        <v>591</v>
      </c>
      <c r="S1345" s="2">
        <v>1</v>
      </c>
      <c r="T1345" s="2">
        <v>199</v>
      </c>
      <c r="U1345" s="2">
        <v>45.77</v>
      </c>
      <c r="V1345" s="2">
        <v>244.77</v>
      </c>
      <c r="W1345" s="2">
        <v>142.36000000000001</v>
      </c>
      <c r="X1345" s="5">
        <f t="shared" si="187"/>
        <v>0.28462311557788939</v>
      </c>
      <c r="Z1345" s="2" t="s">
        <v>3227</v>
      </c>
      <c r="AA1345" s="2" t="s">
        <v>71</v>
      </c>
      <c r="AB1345" s="2" t="s">
        <v>119</v>
      </c>
      <c r="AC1345" s="2" t="s">
        <v>119</v>
      </c>
      <c r="AF1345" s="2">
        <f t="shared" si="181"/>
        <v>0</v>
      </c>
      <c r="AJ1345" s="2">
        <f t="shared" si="182"/>
        <v>0</v>
      </c>
      <c r="AK1345" s="2">
        <f t="shared" si="185"/>
        <v>56.639999999999986</v>
      </c>
      <c r="AL1345" s="5">
        <f t="shared" si="186"/>
        <v>0.28462311557788939</v>
      </c>
    </row>
    <row r="1346" spans="1:38" x14ac:dyDescent="0.2">
      <c r="A1346" s="2">
        <v>2025</v>
      </c>
      <c r="B1346" s="2">
        <v>7</v>
      </c>
      <c r="D1346" s="2" t="s">
        <v>1581</v>
      </c>
      <c r="P1346" s="2" t="s">
        <v>40</v>
      </c>
      <c r="Q1346" s="2" t="s">
        <v>363</v>
      </c>
      <c r="R1346" s="2" t="s">
        <v>364</v>
      </c>
      <c r="S1346" s="2">
        <v>1</v>
      </c>
      <c r="T1346" s="2">
        <v>132</v>
      </c>
      <c r="U1346" s="2">
        <v>30.36</v>
      </c>
      <c r="V1346" s="2">
        <v>162.36000000000001</v>
      </c>
      <c r="X1346" s="5">
        <f t="shared" si="187"/>
        <v>1</v>
      </c>
      <c r="Z1346" s="2" t="s">
        <v>119</v>
      </c>
      <c r="AA1346" s="2" t="s">
        <v>3380</v>
      </c>
      <c r="AF1346" s="2">
        <f t="shared" ref="AF1346:AF1409" si="188">AJ1346</f>
        <v>0</v>
      </c>
      <c r="AJ1346" s="2">
        <f t="shared" ref="AJ1346:AJ1409" si="189">AI1346*T1346</f>
        <v>0</v>
      </c>
      <c r="AK1346" s="2">
        <f t="shared" si="185"/>
        <v>132</v>
      </c>
      <c r="AL1346" s="5">
        <f t="shared" si="186"/>
        <v>1</v>
      </c>
    </row>
    <row r="1347" spans="1:38" x14ac:dyDescent="0.2">
      <c r="A1347" s="2">
        <v>2025</v>
      </c>
      <c r="B1347" s="2">
        <v>7</v>
      </c>
      <c r="D1347" s="2" t="s">
        <v>850</v>
      </c>
      <c r="P1347" s="2" t="s">
        <v>72</v>
      </c>
      <c r="Q1347" s="2" t="s">
        <v>664</v>
      </c>
      <c r="R1347" s="2" t="s">
        <v>79</v>
      </c>
      <c r="S1347" s="2">
        <v>1</v>
      </c>
      <c r="T1347" s="2">
        <v>220</v>
      </c>
      <c r="U1347" s="2">
        <v>50.6</v>
      </c>
      <c r="V1347" s="2">
        <v>270.60000000000002</v>
      </c>
      <c r="W1347" s="2">
        <f>113.905+11.25</f>
        <v>125.155</v>
      </c>
      <c r="X1347" s="5">
        <f t="shared" si="187"/>
        <v>0.43111363636363637</v>
      </c>
      <c r="Z1347" s="2" t="s">
        <v>3227</v>
      </c>
      <c r="AA1347" s="2" t="s">
        <v>75</v>
      </c>
      <c r="AB1347" s="2" t="s">
        <v>76</v>
      </c>
      <c r="AC1347" s="2" t="s">
        <v>77</v>
      </c>
      <c r="AF1347" s="2">
        <f t="shared" si="188"/>
        <v>0</v>
      </c>
      <c r="AJ1347" s="2">
        <f t="shared" si="189"/>
        <v>0</v>
      </c>
      <c r="AK1347" s="2">
        <f t="shared" si="185"/>
        <v>94.844999999999999</v>
      </c>
      <c r="AL1347" s="5">
        <f t="shared" si="186"/>
        <v>0.43111363636363637</v>
      </c>
    </row>
    <row r="1348" spans="1:38" x14ac:dyDescent="0.2">
      <c r="A1348" s="2">
        <v>2025</v>
      </c>
      <c r="B1348" s="2">
        <v>7</v>
      </c>
      <c r="D1348" s="2" t="s">
        <v>850</v>
      </c>
      <c r="P1348" s="2" t="s">
        <v>169</v>
      </c>
      <c r="Q1348" s="2" t="s">
        <v>170</v>
      </c>
      <c r="R1348" s="2" t="s">
        <v>170</v>
      </c>
      <c r="S1348" s="2">
        <v>1</v>
      </c>
      <c r="T1348" s="2">
        <v>25</v>
      </c>
      <c r="U1348" s="2">
        <v>5.75</v>
      </c>
      <c r="V1348" s="2">
        <v>30.75</v>
      </c>
      <c r="W1348" s="2">
        <v>23</v>
      </c>
      <c r="X1348" s="5">
        <f t="shared" si="187"/>
        <v>0.08</v>
      </c>
      <c r="Z1348" s="2" t="s">
        <v>169</v>
      </c>
      <c r="AA1348" s="2" t="s">
        <v>169</v>
      </c>
      <c r="AF1348" s="2">
        <f t="shared" si="188"/>
        <v>0</v>
      </c>
      <c r="AJ1348" s="2">
        <f t="shared" si="189"/>
        <v>0</v>
      </c>
      <c r="AK1348" s="2">
        <f t="shared" si="185"/>
        <v>2</v>
      </c>
      <c r="AL1348" s="5">
        <f t="shared" si="186"/>
        <v>0.08</v>
      </c>
    </row>
    <row r="1349" spans="1:38" x14ac:dyDescent="0.2">
      <c r="A1349" s="2">
        <v>2025</v>
      </c>
      <c r="B1349" s="2">
        <v>7</v>
      </c>
      <c r="D1349" s="2" t="s">
        <v>850</v>
      </c>
      <c r="P1349" s="2" t="s">
        <v>93</v>
      </c>
      <c r="Q1349" s="2" t="s">
        <v>94</v>
      </c>
      <c r="R1349" s="2" t="s">
        <v>95</v>
      </c>
      <c r="S1349" s="2">
        <v>1</v>
      </c>
      <c r="T1349" s="2">
        <v>1.1399999999999999</v>
      </c>
      <c r="U1349" s="2">
        <v>0.26219999999999999</v>
      </c>
      <c r="V1349" s="2">
        <v>1.4021999999999999</v>
      </c>
      <c r="W1349" s="2">
        <v>1.1399999999999999</v>
      </c>
      <c r="X1349" s="5">
        <f t="shared" si="187"/>
        <v>0</v>
      </c>
      <c r="Z1349" s="2" t="s">
        <v>3227</v>
      </c>
      <c r="AA1349" s="2" t="s">
        <v>96</v>
      </c>
      <c r="AB1349" s="2" t="s">
        <v>76</v>
      </c>
      <c r="AC1349" s="2" t="s">
        <v>93</v>
      </c>
      <c r="AF1349" s="2">
        <f t="shared" si="188"/>
        <v>0</v>
      </c>
      <c r="AJ1349" s="2">
        <f t="shared" si="189"/>
        <v>0</v>
      </c>
      <c r="AK1349" s="2">
        <f t="shared" si="185"/>
        <v>0</v>
      </c>
      <c r="AL1349" s="5">
        <f t="shared" si="186"/>
        <v>0</v>
      </c>
    </row>
    <row r="1350" spans="1:38" x14ac:dyDescent="0.2">
      <c r="A1350" s="2">
        <v>2025</v>
      </c>
      <c r="B1350" s="2">
        <v>7</v>
      </c>
      <c r="D1350" s="2" t="s">
        <v>861</v>
      </c>
      <c r="P1350" s="2" t="s">
        <v>114</v>
      </c>
      <c r="Q1350" s="2" t="s">
        <v>1265</v>
      </c>
      <c r="R1350" s="2" t="s">
        <v>1266</v>
      </c>
      <c r="S1350" s="2">
        <v>2</v>
      </c>
      <c r="T1350" s="2">
        <v>57.67</v>
      </c>
      <c r="U1350" s="2">
        <v>13.264099999999999</v>
      </c>
      <c r="V1350" s="2">
        <v>70.934100000000001</v>
      </c>
      <c r="X1350" s="5">
        <f t="shared" si="187"/>
        <v>1</v>
      </c>
      <c r="Z1350" s="2" t="s">
        <v>117</v>
      </c>
      <c r="AF1350" s="2">
        <f t="shared" si="188"/>
        <v>0</v>
      </c>
      <c r="AJ1350" s="2">
        <f t="shared" si="189"/>
        <v>0</v>
      </c>
      <c r="AK1350" s="2">
        <f t="shared" si="185"/>
        <v>57.67</v>
      </c>
      <c r="AL1350" s="5">
        <f t="shared" si="186"/>
        <v>1</v>
      </c>
    </row>
    <row r="1351" spans="1:38" x14ac:dyDescent="0.2">
      <c r="A1351" s="2">
        <v>2025</v>
      </c>
      <c r="B1351" s="2">
        <v>7</v>
      </c>
      <c r="D1351" s="2" t="s">
        <v>861</v>
      </c>
      <c r="M1351" s="2" t="s">
        <v>40</v>
      </c>
      <c r="P1351" s="2" t="s">
        <v>187</v>
      </c>
      <c r="Q1351" s="2" t="s">
        <v>188</v>
      </c>
      <c r="R1351" s="2" t="s">
        <v>189</v>
      </c>
      <c r="S1351" s="2">
        <v>1</v>
      </c>
      <c r="T1351" s="2">
        <v>0</v>
      </c>
      <c r="U1351" s="2">
        <v>0</v>
      </c>
      <c r="V1351" s="2">
        <v>0</v>
      </c>
      <c r="W1351" s="2">
        <f>T1351*40%</f>
        <v>0</v>
      </c>
      <c r="X1351" s="5">
        <v>0</v>
      </c>
      <c r="Z1351" s="2" t="s">
        <v>117</v>
      </c>
      <c r="AA1351" s="2" t="s">
        <v>190</v>
      </c>
      <c r="AB1351" s="2" t="s">
        <v>189</v>
      </c>
      <c r="AC1351" s="2" t="s">
        <v>40</v>
      </c>
      <c r="AF1351" s="2">
        <f t="shared" si="188"/>
        <v>0</v>
      </c>
      <c r="AJ1351" s="2">
        <f t="shared" si="189"/>
        <v>0</v>
      </c>
      <c r="AK1351" s="2">
        <f t="shared" si="185"/>
        <v>0</v>
      </c>
      <c r="AL1351" s="5" t="e">
        <f t="shared" si="186"/>
        <v>#DIV/0!</v>
      </c>
    </row>
    <row r="1352" spans="1:38" x14ac:dyDescent="0.2">
      <c r="A1352" s="2">
        <v>2025</v>
      </c>
      <c r="B1352" s="2">
        <v>7</v>
      </c>
      <c r="D1352" s="2" t="s">
        <v>861</v>
      </c>
      <c r="M1352" s="2" t="s">
        <v>40</v>
      </c>
      <c r="P1352" s="2" t="s">
        <v>187</v>
      </c>
      <c r="Q1352" s="2" t="s">
        <v>191</v>
      </c>
      <c r="R1352" s="2" t="s">
        <v>190</v>
      </c>
      <c r="S1352" s="2">
        <v>1</v>
      </c>
      <c r="T1352" s="2">
        <v>50</v>
      </c>
      <c r="U1352" s="2">
        <v>11.5</v>
      </c>
      <c r="V1352" s="2">
        <v>61.5</v>
      </c>
      <c r="W1352" s="2">
        <f>T1352*50%</f>
        <v>25</v>
      </c>
      <c r="X1352" s="5">
        <f t="shared" ref="X1352:X1374" si="190">(T1352-W1352)/T1352</f>
        <v>0.5</v>
      </c>
      <c r="Z1352" s="2" t="s">
        <v>117</v>
      </c>
      <c r="AA1352" s="2" t="s">
        <v>190</v>
      </c>
      <c r="AB1352" s="2" t="s">
        <v>190</v>
      </c>
      <c r="AC1352" s="2" t="s">
        <v>40</v>
      </c>
      <c r="AF1352" s="2">
        <f t="shared" si="188"/>
        <v>0</v>
      </c>
      <c r="AJ1352" s="2">
        <f t="shared" si="189"/>
        <v>0</v>
      </c>
      <c r="AK1352" s="2">
        <f t="shared" si="185"/>
        <v>25</v>
      </c>
      <c r="AL1352" s="5">
        <f t="shared" si="186"/>
        <v>0.5</v>
      </c>
    </row>
    <row r="1353" spans="1:38" x14ac:dyDescent="0.2">
      <c r="A1353" s="2">
        <v>2025</v>
      </c>
      <c r="B1353" s="2">
        <v>7</v>
      </c>
      <c r="D1353" s="2" t="s">
        <v>1582</v>
      </c>
      <c r="M1353" s="2" t="s">
        <v>40</v>
      </c>
      <c r="P1353" s="2" t="s">
        <v>187</v>
      </c>
      <c r="Q1353" s="2" t="s">
        <v>188</v>
      </c>
      <c r="R1353" s="2" t="s">
        <v>189</v>
      </c>
      <c r="S1353" s="2">
        <v>1</v>
      </c>
      <c r="T1353" s="2">
        <v>50</v>
      </c>
      <c r="U1353" s="2">
        <v>11.5</v>
      </c>
      <c r="V1353" s="2">
        <v>61.5</v>
      </c>
      <c r="W1353" s="2">
        <f>T1353*40%</f>
        <v>20</v>
      </c>
      <c r="X1353" s="5">
        <f t="shared" si="190"/>
        <v>0.6</v>
      </c>
      <c r="Z1353" s="2" t="s">
        <v>117</v>
      </c>
      <c r="AA1353" s="2" t="s">
        <v>190</v>
      </c>
      <c r="AB1353" s="2" t="s">
        <v>189</v>
      </c>
      <c r="AC1353" s="2" t="s">
        <v>40</v>
      </c>
      <c r="AF1353" s="2">
        <f t="shared" si="188"/>
        <v>0</v>
      </c>
      <c r="AJ1353" s="2">
        <f t="shared" si="189"/>
        <v>0</v>
      </c>
      <c r="AK1353" s="2">
        <f t="shared" si="185"/>
        <v>30</v>
      </c>
      <c r="AL1353" s="5">
        <f t="shared" si="186"/>
        <v>0.6</v>
      </c>
    </row>
    <row r="1354" spans="1:38" x14ac:dyDescent="0.2">
      <c r="A1354" s="2">
        <v>2025</v>
      </c>
      <c r="B1354" s="2">
        <v>7</v>
      </c>
      <c r="D1354" s="2" t="s">
        <v>1582</v>
      </c>
      <c r="M1354" s="2" t="s">
        <v>40</v>
      </c>
      <c r="P1354" s="2" t="s">
        <v>187</v>
      </c>
      <c r="Q1354" s="2" t="s">
        <v>191</v>
      </c>
      <c r="R1354" s="2" t="s">
        <v>190</v>
      </c>
      <c r="S1354" s="2">
        <v>3</v>
      </c>
      <c r="T1354" s="2">
        <v>150</v>
      </c>
      <c r="U1354" s="2">
        <v>34.5</v>
      </c>
      <c r="V1354" s="2">
        <v>184.5</v>
      </c>
      <c r="W1354" s="2">
        <f>T1354*50%</f>
        <v>75</v>
      </c>
      <c r="X1354" s="5">
        <f t="shared" si="190"/>
        <v>0.5</v>
      </c>
      <c r="Z1354" s="2" t="s">
        <v>117</v>
      </c>
      <c r="AA1354" s="2" t="s">
        <v>190</v>
      </c>
      <c r="AB1354" s="2" t="s">
        <v>190</v>
      </c>
      <c r="AC1354" s="2" t="s">
        <v>40</v>
      </c>
      <c r="AF1354" s="2">
        <f t="shared" si="188"/>
        <v>0</v>
      </c>
      <c r="AJ1354" s="2">
        <f t="shared" si="189"/>
        <v>0</v>
      </c>
      <c r="AK1354" s="2">
        <f t="shared" si="185"/>
        <v>75</v>
      </c>
      <c r="AL1354" s="5">
        <f t="shared" si="186"/>
        <v>0.5</v>
      </c>
    </row>
    <row r="1355" spans="1:38" x14ac:dyDescent="0.2">
      <c r="A1355" s="2">
        <v>2025</v>
      </c>
      <c r="B1355" s="2">
        <v>7</v>
      </c>
      <c r="D1355" s="2" t="s">
        <v>500</v>
      </c>
      <c r="E1355" s="2" t="s">
        <v>38</v>
      </c>
      <c r="F1355" s="2" t="s">
        <v>39</v>
      </c>
      <c r="G1355" s="2">
        <v>513244468</v>
      </c>
      <c r="H1355" s="2" t="s">
        <v>41</v>
      </c>
      <c r="I1355" s="2" t="s">
        <v>501</v>
      </c>
      <c r="J1355" s="2" t="s">
        <v>502</v>
      </c>
      <c r="K1355" s="2">
        <v>918010109</v>
      </c>
      <c r="L1355" s="2" t="s">
        <v>99</v>
      </c>
      <c r="M1355" s="2" t="s">
        <v>40</v>
      </c>
      <c r="P1355" s="2" t="s">
        <v>187</v>
      </c>
      <c r="Q1355" s="2" t="s">
        <v>188</v>
      </c>
      <c r="R1355" s="2" t="s">
        <v>189</v>
      </c>
      <c r="S1355" s="2">
        <v>1</v>
      </c>
      <c r="T1355" s="2">
        <v>50</v>
      </c>
      <c r="U1355" s="2">
        <v>11.5</v>
      </c>
      <c r="V1355" s="2">
        <v>61.5</v>
      </c>
      <c r="W1355" s="2">
        <f>T1355*40%</f>
        <v>20</v>
      </c>
      <c r="X1355" s="5">
        <f t="shared" si="190"/>
        <v>0.6</v>
      </c>
      <c r="Z1355" s="2" t="s">
        <v>117</v>
      </c>
      <c r="AA1355" s="2" t="s">
        <v>190</v>
      </c>
      <c r="AB1355" s="2" t="s">
        <v>189</v>
      </c>
      <c r="AC1355" s="2" t="s">
        <v>40</v>
      </c>
      <c r="AF1355" s="2">
        <f t="shared" si="188"/>
        <v>0</v>
      </c>
      <c r="AJ1355" s="2">
        <f t="shared" si="189"/>
        <v>0</v>
      </c>
      <c r="AK1355" s="2">
        <f t="shared" si="185"/>
        <v>30</v>
      </c>
      <c r="AL1355" s="5">
        <f t="shared" si="186"/>
        <v>0.6</v>
      </c>
    </row>
    <row r="1356" spans="1:38" x14ac:dyDescent="0.2">
      <c r="A1356" s="2">
        <v>2025</v>
      </c>
      <c r="B1356" s="2">
        <v>7</v>
      </c>
      <c r="D1356" s="2" t="s">
        <v>500</v>
      </c>
      <c r="E1356" s="2" t="s">
        <v>38</v>
      </c>
      <c r="F1356" s="2" t="s">
        <v>39</v>
      </c>
      <c r="G1356" s="2">
        <v>513244468</v>
      </c>
      <c r="H1356" s="2" t="s">
        <v>41</v>
      </c>
      <c r="I1356" s="2" t="s">
        <v>501</v>
      </c>
      <c r="J1356" s="2" t="s">
        <v>502</v>
      </c>
      <c r="K1356" s="2">
        <v>918010109</v>
      </c>
      <c r="L1356" s="2" t="s">
        <v>99</v>
      </c>
      <c r="M1356" s="2" t="s">
        <v>40</v>
      </c>
      <c r="P1356" s="2" t="s">
        <v>187</v>
      </c>
      <c r="Q1356" s="2" t="s">
        <v>191</v>
      </c>
      <c r="R1356" s="2" t="s">
        <v>190</v>
      </c>
      <c r="S1356" s="2">
        <v>1</v>
      </c>
      <c r="T1356" s="2">
        <v>50</v>
      </c>
      <c r="U1356" s="2">
        <v>11.5</v>
      </c>
      <c r="V1356" s="2">
        <v>61.5</v>
      </c>
      <c r="W1356" s="2">
        <f>T1356*50%</f>
        <v>25</v>
      </c>
      <c r="X1356" s="5">
        <f t="shared" si="190"/>
        <v>0.5</v>
      </c>
      <c r="Z1356" s="2" t="s">
        <v>117</v>
      </c>
      <c r="AA1356" s="2" t="s">
        <v>190</v>
      </c>
      <c r="AB1356" s="2" t="s">
        <v>190</v>
      </c>
      <c r="AC1356" s="2" t="s">
        <v>40</v>
      </c>
      <c r="AF1356" s="2">
        <f t="shared" si="188"/>
        <v>0</v>
      </c>
      <c r="AJ1356" s="2">
        <f t="shared" si="189"/>
        <v>0</v>
      </c>
      <c r="AK1356" s="2">
        <f t="shared" si="185"/>
        <v>25</v>
      </c>
      <c r="AL1356" s="5">
        <f t="shared" si="186"/>
        <v>0.5</v>
      </c>
    </row>
    <row r="1357" spans="1:38" x14ac:dyDescent="0.2">
      <c r="A1357" s="2">
        <v>2025</v>
      </c>
      <c r="B1357" s="2">
        <v>7</v>
      </c>
      <c r="D1357" s="2" t="s">
        <v>1065</v>
      </c>
      <c r="E1357" s="2" t="s">
        <v>108</v>
      </c>
      <c r="F1357" s="2" t="s">
        <v>39</v>
      </c>
      <c r="L1357" s="2" t="s">
        <v>99</v>
      </c>
      <c r="M1357" s="2" t="s">
        <v>41</v>
      </c>
      <c r="P1357" s="2" t="s">
        <v>43</v>
      </c>
      <c r="Q1357" s="2" t="s">
        <v>65</v>
      </c>
      <c r="R1357" s="2" t="s">
        <v>66</v>
      </c>
      <c r="S1357" s="2">
        <v>4</v>
      </c>
      <c r="T1357" s="2">
        <v>84</v>
      </c>
      <c r="U1357" s="2">
        <v>19.32</v>
      </c>
      <c r="V1357" s="2">
        <v>103.32</v>
      </c>
      <c r="W1357" s="2">
        <f>15.0203*S1357</f>
        <v>60.081200000000003</v>
      </c>
      <c r="X1357" s="5">
        <f t="shared" si="190"/>
        <v>0.28474761904761903</v>
      </c>
      <c r="Z1357" s="2" t="s">
        <v>3227</v>
      </c>
      <c r="AA1357" s="2" t="s">
        <v>46</v>
      </c>
      <c r="AB1357" s="2" t="s">
        <v>67</v>
      </c>
      <c r="AC1357" s="2" t="s">
        <v>57</v>
      </c>
      <c r="AF1357" s="2">
        <f t="shared" si="188"/>
        <v>0</v>
      </c>
      <c r="AG1357" s="2">
        <v>15.020300000000001</v>
      </c>
      <c r="AH1357" s="2">
        <v>27.6</v>
      </c>
      <c r="AJ1357" s="2">
        <f t="shared" si="189"/>
        <v>0</v>
      </c>
      <c r="AK1357" s="2">
        <f t="shared" ref="AK1357:AK1390" si="191">T1357-W1357</f>
        <v>23.918799999999997</v>
      </c>
      <c r="AL1357" s="5">
        <f t="shared" si="186"/>
        <v>0.28474761904761903</v>
      </c>
    </row>
    <row r="1358" spans="1:38" x14ac:dyDescent="0.2">
      <c r="A1358" s="2">
        <v>2025</v>
      </c>
      <c r="B1358" s="2">
        <v>7</v>
      </c>
      <c r="D1358" s="2" t="s">
        <v>507</v>
      </c>
      <c r="E1358" s="2" t="s">
        <v>38</v>
      </c>
      <c r="F1358" s="2" t="s">
        <v>39</v>
      </c>
      <c r="G1358" s="2">
        <v>514446170</v>
      </c>
      <c r="H1358" s="2" t="s">
        <v>41</v>
      </c>
      <c r="I1358" s="2" t="s">
        <v>177</v>
      </c>
      <c r="J1358" s="2" t="s">
        <v>3134</v>
      </c>
      <c r="L1358" s="2" t="s">
        <v>177</v>
      </c>
      <c r="M1358" s="2" t="s">
        <v>41</v>
      </c>
      <c r="O1358" s="2" t="s">
        <v>3139</v>
      </c>
      <c r="P1358" s="2" t="s">
        <v>43</v>
      </c>
      <c r="Q1358" s="2" t="s">
        <v>48</v>
      </c>
      <c r="R1358" s="2" t="s">
        <v>49</v>
      </c>
      <c r="S1358" s="2">
        <v>4</v>
      </c>
      <c r="T1358" s="2">
        <v>48</v>
      </c>
      <c r="U1358" s="2">
        <v>11.04</v>
      </c>
      <c r="V1358" s="2">
        <v>59.04</v>
      </c>
      <c r="W1358" s="2">
        <f>6.6267*S1358</f>
        <v>26.506799999999998</v>
      </c>
      <c r="X1358" s="5">
        <f t="shared" si="190"/>
        <v>0.44777500000000003</v>
      </c>
      <c r="Z1358" s="2" t="s">
        <v>3227</v>
      </c>
      <c r="AA1358" s="2" t="s">
        <v>46</v>
      </c>
      <c r="AB1358" s="2" t="s">
        <v>47</v>
      </c>
      <c r="AC1358" s="2" t="s">
        <v>57</v>
      </c>
      <c r="AF1358" s="2">
        <f t="shared" si="188"/>
        <v>0</v>
      </c>
      <c r="AG1358" s="2">
        <v>6.6266999999999996</v>
      </c>
      <c r="AH1358" s="2">
        <v>12</v>
      </c>
      <c r="AJ1358" s="2">
        <f t="shared" si="189"/>
        <v>0</v>
      </c>
      <c r="AK1358" s="2">
        <f t="shared" si="191"/>
        <v>21.493200000000002</v>
      </c>
      <c r="AL1358" s="5">
        <f t="shared" si="186"/>
        <v>0.44777500000000003</v>
      </c>
    </row>
    <row r="1359" spans="1:38" x14ac:dyDescent="0.2">
      <c r="A1359" s="2">
        <v>2025</v>
      </c>
      <c r="B1359" s="2">
        <v>7</v>
      </c>
      <c r="D1359" s="2" t="s">
        <v>507</v>
      </c>
      <c r="E1359" s="2" t="s">
        <v>38</v>
      </c>
      <c r="F1359" s="2" t="s">
        <v>39</v>
      </c>
      <c r="G1359" s="2">
        <v>514446170</v>
      </c>
      <c r="H1359" s="2" t="s">
        <v>41</v>
      </c>
      <c r="I1359" s="2" t="s">
        <v>177</v>
      </c>
      <c r="J1359" s="2" t="s">
        <v>3134</v>
      </c>
      <c r="L1359" s="2" t="s">
        <v>177</v>
      </c>
      <c r="M1359" s="2" t="s">
        <v>41</v>
      </c>
      <c r="O1359" s="2" t="s">
        <v>3138</v>
      </c>
      <c r="P1359" s="2" t="s">
        <v>43</v>
      </c>
      <c r="Q1359" s="2" t="s">
        <v>61</v>
      </c>
      <c r="R1359" s="2" t="s">
        <v>62</v>
      </c>
      <c r="S1359" s="2">
        <v>1000</v>
      </c>
      <c r="T1359" s="2">
        <v>105</v>
      </c>
      <c r="U1359" s="2">
        <v>24.15</v>
      </c>
      <c r="V1359" s="2">
        <v>129.15</v>
      </c>
      <c r="W1359" s="2">
        <f>0.082*S1359</f>
        <v>82</v>
      </c>
      <c r="X1359" s="5">
        <f t="shared" si="190"/>
        <v>0.21904761904761905</v>
      </c>
      <c r="Z1359" s="2" t="s">
        <v>3227</v>
      </c>
      <c r="AA1359" s="2" t="s">
        <v>46</v>
      </c>
      <c r="AB1359" s="2" t="s">
        <v>60</v>
      </c>
      <c r="AC1359" s="2" t="s">
        <v>57</v>
      </c>
      <c r="AF1359" s="2">
        <f t="shared" si="188"/>
        <v>0</v>
      </c>
      <c r="AG1359" s="2">
        <v>8.1999999999999993</v>
      </c>
      <c r="AH1359" s="2">
        <v>13</v>
      </c>
      <c r="AJ1359" s="2">
        <f t="shared" si="189"/>
        <v>0</v>
      </c>
      <c r="AK1359" s="2">
        <f t="shared" si="191"/>
        <v>23</v>
      </c>
      <c r="AL1359" s="5">
        <f t="shared" si="186"/>
        <v>0.21904761904761905</v>
      </c>
    </row>
    <row r="1360" spans="1:38" x14ac:dyDescent="0.2">
      <c r="A1360" s="2">
        <v>2025</v>
      </c>
      <c r="B1360" s="2">
        <v>7</v>
      </c>
      <c r="D1360" s="2" t="s">
        <v>508</v>
      </c>
      <c r="Q1360" s="2" t="s">
        <v>820</v>
      </c>
      <c r="R1360" s="2" t="s">
        <v>821</v>
      </c>
      <c r="S1360" s="2">
        <v>1</v>
      </c>
      <c r="T1360" s="2">
        <v>1219.51</v>
      </c>
      <c r="U1360" s="2">
        <v>280.4873</v>
      </c>
      <c r="V1360" s="2">
        <v>1499.9973</v>
      </c>
      <c r="W1360" s="2">
        <f>T1360*75%</f>
        <v>914.63249999999994</v>
      </c>
      <c r="X1360" s="5">
        <f t="shared" si="190"/>
        <v>0.25000000000000006</v>
      </c>
      <c r="Z1360" s="2" t="s">
        <v>104</v>
      </c>
      <c r="AA1360" s="2" t="s">
        <v>616</v>
      </c>
      <c r="AB1360" s="2" t="s">
        <v>475</v>
      </c>
      <c r="AC1360" s="2" t="s">
        <v>475</v>
      </c>
      <c r="AF1360" s="2">
        <f t="shared" si="188"/>
        <v>0</v>
      </c>
      <c r="AJ1360" s="2">
        <f t="shared" si="189"/>
        <v>0</v>
      </c>
      <c r="AK1360" s="2">
        <f t="shared" si="191"/>
        <v>304.87750000000005</v>
      </c>
      <c r="AL1360" s="5">
        <f t="shared" si="186"/>
        <v>0.25000000000000006</v>
      </c>
    </row>
    <row r="1361" spans="1:38" x14ac:dyDescent="0.2">
      <c r="A1361" s="2">
        <v>2025</v>
      </c>
      <c r="B1361" s="2">
        <v>7</v>
      </c>
      <c r="D1361" s="2" t="s">
        <v>509</v>
      </c>
      <c r="E1361" s="2" t="s">
        <v>38</v>
      </c>
      <c r="F1361" s="2" t="s">
        <v>39</v>
      </c>
      <c r="G1361" s="2">
        <v>513405020</v>
      </c>
      <c r="H1361" s="2" t="s">
        <v>40</v>
      </c>
      <c r="I1361" s="2" t="s">
        <v>156</v>
      </c>
      <c r="J1361" s="2" t="s">
        <v>510</v>
      </c>
      <c r="K1361" s="2">
        <v>919770433</v>
      </c>
      <c r="L1361" s="2" t="s">
        <v>99</v>
      </c>
      <c r="M1361" s="2" t="s">
        <v>80</v>
      </c>
      <c r="P1361" s="2" t="s">
        <v>43</v>
      </c>
      <c r="Q1361" s="2" t="s">
        <v>236</v>
      </c>
      <c r="R1361" s="2" t="s">
        <v>237</v>
      </c>
      <c r="S1361" s="2">
        <v>1</v>
      </c>
      <c r="T1361" s="2">
        <v>16.2</v>
      </c>
      <c r="U1361" s="2">
        <v>3.726</v>
      </c>
      <c r="V1361" s="2">
        <v>19.925999999999998</v>
      </c>
      <c r="W1361" s="2">
        <f>9.075*S1361</f>
        <v>9.0749999999999993</v>
      </c>
      <c r="X1361" s="5">
        <f t="shared" si="190"/>
        <v>0.43981481481481483</v>
      </c>
      <c r="Z1361" s="2" t="s">
        <v>3227</v>
      </c>
      <c r="AA1361" s="2" t="s">
        <v>46</v>
      </c>
      <c r="AB1361" s="2" t="s">
        <v>56</v>
      </c>
      <c r="AC1361" s="2" t="s">
        <v>57</v>
      </c>
      <c r="AF1361" s="2">
        <f t="shared" si="188"/>
        <v>0</v>
      </c>
      <c r="AJ1361" s="2">
        <f t="shared" si="189"/>
        <v>0</v>
      </c>
      <c r="AK1361" s="2">
        <f t="shared" si="191"/>
        <v>7.125</v>
      </c>
      <c r="AL1361" s="5">
        <f t="shared" si="186"/>
        <v>0.43981481481481483</v>
      </c>
    </row>
    <row r="1362" spans="1:38" x14ac:dyDescent="0.2">
      <c r="A1362" s="2">
        <v>2025</v>
      </c>
      <c r="B1362" s="2">
        <v>7</v>
      </c>
      <c r="D1362" s="2" t="s">
        <v>509</v>
      </c>
      <c r="E1362" s="2" t="s">
        <v>38</v>
      </c>
      <c r="F1362" s="2" t="s">
        <v>39</v>
      </c>
      <c r="G1362" s="2">
        <v>513405020</v>
      </c>
      <c r="H1362" s="2" t="s">
        <v>40</v>
      </c>
      <c r="I1362" s="2" t="s">
        <v>156</v>
      </c>
      <c r="J1362" s="2" t="s">
        <v>510</v>
      </c>
      <c r="K1362" s="2">
        <v>919770433</v>
      </c>
      <c r="L1362" s="2" t="s">
        <v>99</v>
      </c>
      <c r="M1362" s="2" t="s">
        <v>80</v>
      </c>
      <c r="P1362" s="2" t="s">
        <v>43</v>
      </c>
      <c r="Q1362" s="2" t="s">
        <v>238</v>
      </c>
      <c r="R1362" s="2" t="s">
        <v>239</v>
      </c>
      <c r="S1362" s="2">
        <v>1</v>
      </c>
      <c r="T1362" s="2">
        <v>19.8</v>
      </c>
      <c r="U1362" s="2">
        <v>4.5540000000000003</v>
      </c>
      <c r="V1362" s="2">
        <v>24.353999999999999</v>
      </c>
      <c r="W1362" s="2">
        <f>11.045*S1362</f>
        <v>11.045</v>
      </c>
      <c r="X1362" s="5">
        <f t="shared" si="190"/>
        <v>0.44217171717171722</v>
      </c>
      <c r="Z1362" s="2" t="s">
        <v>3227</v>
      </c>
      <c r="AA1362" s="2" t="s">
        <v>46</v>
      </c>
      <c r="AB1362" s="2" t="s">
        <v>56</v>
      </c>
      <c r="AC1362" s="2" t="s">
        <v>57</v>
      </c>
      <c r="AF1362" s="2">
        <f t="shared" si="188"/>
        <v>0</v>
      </c>
      <c r="AJ1362" s="2">
        <f t="shared" si="189"/>
        <v>0</v>
      </c>
      <c r="AK1362" s="2">
        <f t="shared" si="191"/>
        <v>8.7550000000000008</v>
      </c>
      <c r="AL1362" s="5">
        <f t="shared" si="186"/>
        <v>0.44217171717171722</v>
      </c>
    </row>
    <row r="1363" spans="1:38" x14ac:dyDescent="0.2">
      <c r="A1363" s="2">
        <v>2025</v>
      </c>
      <c r="B1363" s="2">
        <v>7</v>
      </c>
      <c r="D1363" s="2" t="s">
        <v>509</v>
      </c>
      <c r="E1363" s="2" t="s">
        <v>38</v>
      </c>
      <c r="F1363" s="2" t="s">
        <v>39</v>
      </c>
      <c r="G1363" s="2">
        <v>513405020</v>
      </c>
      <c r="H1363" s="2" t="s">
        <v>40</v>
      </c>
      <c r="I1363" s="2" t="s">
        <v>156</v>
      </c>
      <c r="J1363" s="2" t="s">
        <v>510</v>
      </c>
      <c r="K1363" s="2">
        <v>919770433</v>
      </c>
      <c r="L1363" s="2" t="s">
        <v>99</v>
      </c>
      <c r="M1363" s="2" t="s">
        <v>80</v>
      </c>
      <c r="P1363" s="2" t="s">
        <v>43</v>
      </c>
      <c r="Q1363" s="2" t="s">
        <v>240</v>
      </c>
      <c r="R1363" s="2" t="s">
        <v>241</v>
      </c>
      <c r="S1363" s="2">
        <v>1</v>
      </c>
      <c r="T1363" s="2">
        <v>24</v>
      </c>
      <c r="U1363" s="2">
        <v>5.52</v>
      </c>
      <c r="V1363" s="2">
        <v>29.52</v>
      </c>
      <c r="W1363" s="2">
        <f>13.4067*S1363</f>
        <v>13.406700000000001</v>
      </c>
      <c r="X1363" s="5">
        <f t="shared" si="190"/>
        <v>0.44138749999999999</v>
      </c>
      <c r="Z1363" s="2" t="s">
        <v>3227</v>
      </c>
      <c r="AA1363" s="2" t="s">
        <v>46</v>
      </c>
      <c r="AB1363" s="2" t="s">
        <v>56</v>
      </c>
      <c r="AC1363" s="2" t="s">
        <v>57</v>
      </c>
      <c r="AF1363" s="2">
        <f t="shared" si="188"/>
        <v>0</v>
      </c>
      <c r="AJ1363" s="2">
        <f t="shared" si="189"/>
        <v>0</v>
      </c>
      <c r="AK1363" s="2">
        <f t="shared" si="191"/>
        <v>10.593299999999999</v>
      </c>
      <c r="AL1363" s="5">
        <f t="shared" si="186"/>
        <v>0.44138749999999999</v>
      </c>
    </row>
    <row r="1364" spans="1:38" x14ac:dyDescent="0.2">
      <c r="A1364" s="2">
        <v>2025</v>
      </c>
      <c r="B1364" s="2">
        <v>7</v>
      </c>
      <c r="D1364" s="2" t="s">
        <v>509</v>
      </c>
      <c r="E1364" s="2" t="s">
        <v>38</v>
      </c>
      <c r="F1364" s="2" t="s">
        <v>39</v>
      </c>
      <c r="G1364" s="2">
        <v>513405020</v>
      </c>
      <c r="H1364" s="2" t="s">
        <v>40</v>
      </c>
      <c r="I1364" s="2" t="s">
        <v>156</v>
      </c>
      <c r="J1364" s="2" t="s">
        <v>510</v>
      </c>
      <c r="K1364" s="2">
        <v>919770433</v>
      </c>
      <c r="L1364" s="2" t="s">
        <v>99</v>
      </c>
      <c r="M1364" s="2" t="s">
        <v>80</v>
      </c>
      <c r="P1364" s="2" t="s">
        <v>43</v>
      </c>
      <c r="Q1364" s="2" t="s">
        <v>242</v>
      </c>
      <c r="R1364" s="2" t="s">
        <v>243</v>
      </c>
      <c r="S1364" s="2">
        <v>1</v>
      </c>
      <c r="T1364" s="2">
        <v>28.8</v>
      </c>
      <c r="U1364" s="2">
        <v>6.6240000000000014</v>
      </c>
      <c r="V1364" s="2">
        <v>35.423999999999999</v>
      </c>
      <c r="W1364" s="2">
        <f>16.2249*S1364</f>
        <v>16.224900000000002</v>
      </c>
      <c r="X1364" s="5">
        <f t="shared" si="190"/>
        <v>0.43663541666666661</v>
      </c>
      <c r="Z1364" s="2" t="s">
        <v>3227</v>
      </c>
      <c r="AA1364" s="2" t="s">
        <v>46</v>
      </c>
      <c r="AB1364" s="2" t="s">
        <v>56</v>
      </c>
      <c r="AC1364" s="2" t="s">
        <v>57</v>
      </c>
      <c r="AF1364" s="2">
        <f t="shared" si="188"/>
        <v>0</v>
      </c>
      <c r="AJ1364" s="2">
        <f t="shared" si="189"/>
        <v>0</v>
      </c>
      <c r="AK1364" s="2">
        <f t="shared" si="191"/>
        <v>12.575099999999999</v>
      </c>
      <c r="AL1364" s="5">
        <f t="shared" si="186"/>
        <v>0.43663541666666661</v>
      </c>
    </row>
    <row r="1365" spans="1:38" x14ac:dyDescent="0.2">
      <c r="A1365" s="2">
        <v>2025</v>
      </c>
      <c r="B1365" s="2">
        <v>7</v>
      </c>
      <c r="D1365" s="2" t="s">
        <v>509</v>
      </c>
      <c r="E1365" s="2" t="s">
        <v>38</v>
      </c>
      <c r="F1365" s="2" t="s">
        <v>39</v>
      </c>
      <c r="G1365" s="2">
        <v>513405020</v>
      </c>
      <c r="H1365" s="2" t="s">
        <v>40</v>
      </c>
      <c r="I1365" s="2" t="s">
        <v>156</v>
      </c>
      <c r="J1365" s="2" t="s">
        <v>510</v>
      </c>
      <c r="K1365" s="2">
        <v>919770433</v>
      </c>
      <c r="L1365" s="2" t="s">
        <v>99</v>
      </c>
      <c r="M1365" s="2" t="s">
        <v>80</v>
      </c>
      <c r="P1365" s="2" t="s">
        <v>43</v>
      </c>
      <c r="Q1365" s="2" t="s">
        <v>54</v>
      </c>
      <c r="R1365" s="2" t="s">
        <v>55</v>
      </c>
      <c r="S1365" s="2">
        <v>1</v>
      </c>
      <c r="T1365" s="2">
        <v>18</v>
      </c>
      <c r="U1365" s="2">
        <v>4.1400000000000006</v>
      </c>
      <c r="V1365" s="2">
        <v>22.14</v>
      </c>
      <c r="W1365" s="2">
        <f>10.6*S1365</f>
        <v>10.6</v>
      </c>
      <c r="X1365" s="5">
        <f t="shared" si="190"/>
        <v>0.41111111111111115</v>
      </c>
      <c r="Z1365" s="2" t="s">
        <v>3227</v>
      </c>
      <c r="AA1365" s="2" t="s">
        <v>46</v>
      </c>
      <c r="AB1365" s="2" t="s">
        <v>56</v>
      </c>
      <c r="AC1365" s="2" t="s">
        <v>57</v>
      </c>
      <c r="AF1365" s="2">
        <f t="shared" si="188"/>
        <v>0</v>
      </c>
      <c r="AG1365" s="2">
        <v>10.6</v>
      </c>
      <c r="AH1365" s="2">
        <v>18</v>
      </c>
      <c r="AJ1365" s="2">
        <f t="shared" si="189"/>
        <v>0</v>
      </c>
      <c r="AK1365" s="2">
        <f t="shared" si="191"/>
        <v>7.4</v>
      </c>
      <c r="AL1365" s="5">
        <f t="shared" si="186"/>
        <v>0.41111111111111115</v>
      </c>
    </row>
    <row r="1366" spans="1:38" x14ac:dyDescent="0.2">
      <c r="A1366" s="2">
        <v>2025</v>
      </c>
      <c r="B1366" s="2">
        <v>7</v>
      </c>
      <c r="D1366" s="2" t="s">
        <v>509</v>
      </c>
      <c r="E1366" s="2" t="s">
        <v>38</v>
      </c>
      <c r="F1366" s="2" t="s">
        <v>39</v>
      </c>
      <c r="G1366" s="2">
        <v>513405020</v>
      </c>
      <c r="H1366" s="2" t="s">
        <v>40</v>
      </c>
      <c r="I1366" s="2" t="s">
        <v>156</v>
      </c>
      <c r="J1366" s="2" t="s">
        <v>510</v>
      </c>
      <c r="K1366" s="2">
        <v>919770433</v>
      </c>
      <c r="L1366" s="2" t="s">
        <v>99</v>
      </c>
      <c r="M1366" s="2" t="s">
        <v>80</v>
      </c>
      <c r="P1366" s="2" t="s">
        <v>43</v>
      </c>
      <c r="Q1366" s="2" t="s">
        <v>63</v>
      </c>
      <c r="R1366" s="2" t="s">
        <v>64</v>
      </c>
      <c r="S1366" s="2">
        <v>7</v>
      </c>
      <c r="T1366" s="2">
        <v>12.6</v>
      </c>
      <c r="U1366" s="2">
        <v>2.8980000000000001</v>
      </c>
      <c r="V1366" s="2">
        <v>15.497999999999999</v>
      </c>
      <c r="W1366" s="2">
        <f>0.8561*S1366</f>
        <v>5.9927000000000001</v>
      </c>
      <c r="X1366" s="5">
        <f t="shared" si="190"/>
        <v>0.5243888888888889</v>
      </c>
      <c r="Z1366" s="2" t="s">
        <v>3227</v>
      </c>
      <c r="AA1366" s="2" t="s">
        <v>46</v>
      </c>
      <c r="AB1366" s="2" t="s">
        <v>60</v>
      </c>
      <c r="AC1366" s="2" t="s">
        <v>57</v>
      </c>
      <c r="AF1366" s="2">
        <f t="shared" si="188"/>
        <v>0</v>
      </c>
      <c r="AG1366" s="2">
        <v>0.85609999999999997</v>
      </c>
      <c r="AH1366" s="2">
        <v>1.8</v>
      </c>
      <c r="AJ1366" s="2">
        <f t="shared" si="189"/>
        <v>0</v>
      </c>
      <c r="AK1366" s="2">
        <f t="shared" si="191"/>
        <v>6.6072999999999995</v>
      </c>
      <c r="AL1366" s="5">
        <f t="shared" si="186"/>
        <v>0.5243888888888889</v>
      </c>
    </row>
    <row r="1367" spans="1:38" x14ac:dyDescent="0.2">
      <c r="A1367" s="2">
        <v>2025</v>
      </c>
      <c r="B1367" s="2">
        <v>7</v>
      </c>
      <c r="D1367" s="2" t="s">
        <v>509</v>
      </c>
      <c r="E1367" s="2" t="s">
        <v>38</v>
      </c>
      <c r="F1367" s="2" t="s">
        <v>39</v>
      </c>
      <c r="G1367" s="2">
        <v>513405020</v>
      </c>
      <c r="H1367" s="2" t="s">
        <v>40</v>
      </c>
      <c r="I1367" s="2" t="s">
        <v>156</v>
      </c>
      <c r="J1367" s="2" t="s">
        <v>510</v>
      </c>
      <c r="K1367" s="2">
        <v>919770433</v>
      </c>
      <c r="L1367" s="2" t="s">
        <v>99</v>
      </c>
      <c r="M1367" s="2" t="s">
        <v>80</v>
      </c>
      <c r="P1367" s="2" t="s">
        <v>43</v>
      </c>
      <c r="Q1367" s="2" t="s">
        <v>334</v>
      </c>
      <c r="R1367" s="2" t="s">
        <v>335</v>
      </c>
      <c r="S1367" s="2">
        <v>30</v>
      </c>
      <c r="T1367" s="2">
        <v>90</v>
      </c>
      <c r="U1367" s="2">
        <v>20.7</v>
      </c>
      <c r="V1367" s="2">
        <v>110.7</v>
      </c>
      <c r="W1367" s="2">
        <f>1.1122*S1367</f>
        <v>33.366</v>
      </c>
      <c r="X1367" s="5">
        <f t="shared" si="190"/>
        <v>0.62926666666666664</v>
      </c>
      <c r="Z1367" s="2" t="s">
        <v>3227</v>
      </c>
      <c r="AA1367" s="2" t="s">
        <v>46</v>
      </c>
      <c r="AB1367" s="2" t="s">
        <v>60</v>
      </c>
      <c r="AC1367" s="2" t="s">
        <v>57</v>
      </c>
      <c r="AF1367" s="2">
        <f t="shared" si="188"/>
        <v>0</v>
      </c>
      <c r="AG1367" s="2">
        <v>1.1122000000000001</v>
      </c>
      <c r="AH1367" s="2">
        <v>3</v>
      </c>
      <c r="AJ1367" s="2">
        <f t="shared" si="189"/>
        <v>0</v>
      </c>
      <c r="AK1367" s="2">
        <f t="shared" si="191"/>
        <v>56.634</v>
      </c>
      <c r="AL1367" s="5">
        <f t="shared" si="186"/>
        <v>0.62926666666666664</v>
      </c>
    </row>
    <row r="1368" spans="1:38" x14ac:dyDescent="0.2">
      <c r="A1368" s="2">
        <v>2025</v>
      </c>
      <c r="B1368" s="2">
        <v>7</v>
      </c>
      <c r="D1368" s="2" t="s">
        <v>1583</v>
      </c>
      <c r="M1368" s="2" t="s">
        <v>80</v>
      </c>
      <c r="P1368" s="2" t="s">
        <v>282</v>
      </c>
      <c r="Q1368" s="2" t="s">
        <v>1584</v>
      </c>
      <c r="R1368" s="2" t="s">
        <v>1585</v>
      </c>
      <c r="S1368" s="2">
        <v>1</v>
      </c>
      <c r="T1368" s="2">
        <v>132</v>
      </c>
      <c r="U1368" s="2">
        <v>30.36</v>
      </c>
      <c r="V1368" s="2">
        <v>162.36000000000001</v>
      </c>
      <c r="W1368" s="2">
        <v>92</v>
      </c>
      <c r="X1368" s="5">
        <f t="shared" si="190"/>
        <v>0.30303030303030304</v>
      </c>
      <c r="Z1368" s="2" t="s">
        <v>3227</v>
      </c>
      <c r="AA1368" s="2" t="s">
        <v>71</v>
      </c>
      <c r="AB1368" s="2" t="s">
        <v>119</v>
      </c>
      <c r="AC1368" s="2" t="s">
        <v>119</v>
      </c>
      <c r="AF1368" s="2">
        <f t="shared" si="188"/>
        <v>0</v>
      </c>
      <c r="AJ1368" s="2">
        <f t="shared" si="189"/>
        <v>0</v>
      </c>
      <c r="AK1368" s="2">
        <f t="shared" si="191"/>
        <v>40</v>
      </c>
      <c r="AL1368" s="5">
        <f t="shared" si="186"/>
        <v>0.30303030303030304</v>
      </c>
    </row>
    <row r="1369" spans="1:38" x14ac:dyDescent="0.2">
      <c r="A1369" s="2">
        <v>2025</v>
      </c>
      <c r="B1369" s="2">
        <v>7</v>
      </c>
      <c r="D1369" s="2" t="s">
        <v>1583</v>
      </c>
      <c r="M1369" s="2" t="s">
        <v>80</v>
      </c>
      <c r="P1369" s="2" t="s">
        <v>282</v>
      </c>
      <c r="Q1369" s="2" t="s">
        <v>1586</v>
      </c>
      <c r="R1369" s="2" t="s">
        <v>1587</v>
      </c>
      <c r="S1369" s="2">
        <v>1</v>
      </c>
      <c r="T1369" s="2">
        <v>123</v>
      </c>
      <c r="U1369" s="2">
        <v>28.29</v>
      </c>
      <c r="V1369" s="2">
        <v>151.29</v>
      </c>
      <c r="W1369" s="2">
        <v>85</v>
      </c>
      <c r="X1369" s="5">
        <f t="shared" si="190"/>
        <v>0.30894308943089432</v>
      </c>
      <c r="Z1369" s="2" t="s">
        <v>3227</v>
      </c>
      <c r="AA1369" s="2" t="s">
        <v>71</v>
      </c>
      <c r="AB1369" s="2" t="s">
        <v>119</v>
      </c>
      <c r="AC1369" s="2" t="s">
        <v>119</v>
      </c>
      <c r="AF1369" s="2">
        <f t="shared" si="188"/>
        <v>0</v>
      </c>
      <c r="AJ1369" s="2">
        <f t="shared" si="189"/>
        <v>0</v>
      </c>
      <c r="AK1369" s="2">
        <f t="shared" si="191"/>
        <v>38</v>
      </c>
      <c r="AL1369" s="5">
        <f t="shared" si="186"/>
        <v>0.30894308943089432</v>
      </c>
    </row>
    <row r="1370" spans="1:38" x14ac:dyDescent="0.2">
      <c r="A1370" s="2">
        <v>2025</v>
      </c>
      <c r="B1370" s="2">
        <v>7</v>
      </c>
      <c r="D1370" s="2" t="s">
        <v>1583</v>
      </c>
      <c r="M1370" s="2" t="s">
        <v>80</v>
      </c>
      <c r="P1370" s="2" t="s">
        <v>282</v>
      </c>
      <c r="Q1370" s="2" t="s">
        <v>1436</v>
      </c>
      <c r="R1370" s="2" t="s">
        <v>1437</v>
      </c>
      <c r="S1370" s="2">
        <v>10</v>
      </c>
      <c r="T1370" s="2">
        <v>69</v>
      </c>
      <c r="U1370" s="2">
        <v>15.87</v>
      </c>
      <c r="V1370" s="2">
        <v>84.87</v>
      </c>
      <c r="W1370" s="2">
        <f>5.135*S1370</f>
        <v>51.349999999999994</v>
      </c>
      <c r="X1370" s="5">
        <f t="shared" si="190"/>
        <v>0.25579710144927542</v>
      </c>
      <c r="Z1370" s="2" t="s">
        <v>3227</v>
      </c>
      <c r="AA1370" s="2" t="s">
        <v>71</v>
      </c>
      <c r="AB1370" s="2" t="s">
        <v>119</v>
      </c>
      <c r="AC1370" s="2" t="s">
        <v>119</v>
      </c>
      <c r="AF1370" s="2">
        <f t="shared" si="188"/>
        <v>0</v>
      </c>
      <c r="AJ1370" s="2">
        <f t="shared" si="189"/>
        <v>0</v>
      </c>
      <c r="AK1370" s="2">
        <f t="shared" si="191"/>
        <v>17.650000000000006</v>
      </c>
      <c r="AL1370" s="5">
        <f t="shared" si="186"/>
        <v>0.25579710144927542</v>
      </c>
    </row>
    <row r="1371" spans="1:38" x14ac:dyDescent="0.2">
      <c r="A1371" s="2">
        <v>2025</v>
      </c>
      <c r="B1371" s="2">
        <v>7</v>
      </c>
      <c r="D1371" s="2" t="s">
        <v>1583</v>
      </c>
      <c r="M1371" s="2" t="s">
        <v>80</v>
      </c>
      <c r="P1371" s="2" t="s">
        <v>282</v>
      </c>
      <c r="Q1371" s="2" t="s">
        <v>1588</v>
      </c>
      <c r="R1371" s="2" t="s">
        <v>1589</v>
      </c>
      <c r="S1371" s="2">
        <v>10</v>
      </c>
      <c r="T1371" s="2">
        <v>69</v>
      </c>
      <c r="U1371" s="2">
        <v>15.87</v>
      </c>
      <c r="V1371" s="2">
        <v>84.87</v>
      </c>
      <c r="W1371" s="2">
        <f>5.135*S1371</f>
        <v>51.349999999999994</v>
      </c>
      <c r="X1371" s="5">
        <f t="shared" si="190"/>
        <v>0.25579710144927542</v>
      </c>
      <c r="Z1371" s="2" t="s">
        <v>3227</v>
      </c>
      <c r="AA1371" s="2" t="s">
        <v>71</v>
      </c>
      <c r="AB1371" s="2" t="s">
        <v>119</v>
      </c>
      <c r="AC1371" s="2" t="s">
        <v>119</v>
      </c>
      <c r="AF1371" s="2">
        <f t="shared" si="188"/>
        <v>0</v>
      </c>
      <c r="AJ1371" s="2">
        <f t="shared" si="189"/>
        <v>0</v>
      </c>
      <c r="AK1371" s="2">
        <f t="shared" si="191"/>
        <v>17.650000000000006</v>
      </c>
      <c r="AL1371" s="5">
        <f t="shared" si="186"/>
        <v>0.25579710144927542</v>
      </c>
    </row>
    <row r="1372" spans="1:38" x14ac:dyDescent="0.2">
      <c r="A1372" s="2">
        <v>2025</v>
      </c>
      <c r="B1372" s="2">
        <v>7</v>
      </c>
      <c r="D1372" s="2" t="s">
        <v>1583</v>
      </c>
      <c r="E1372" s="2" t="s">
        <v>38</v>
      </c>
      <c r="F1372" s="2" t="s">
        <v>39</v>
      </c>
      <c r="L1372" s="2" t="s">
        <v>3002</v>
      </c>
      <c r="M1372" s="2" t="s">
        <v>80</v>
      </c>
      <c r="P1372" s="2" t="s">
        <v>43</v>
      </c>
      <c r="Q1372" s="2" t="s">
        <v>58</v>
      </c>
      <c r="R1372" s="2" t="s">
        <v>59</v>
      </c>
      <c r="S1372" s="2">
        <v>1000</v>
      </c>
      <c r="T1372" s="2">
        <v>130</v>
      </c>
      <c r="U1372" s="2">
        <v>29.9</v>
      </c>
      <c r="V1372" s="2">
        <v>159.9</v>
      </c>
      <c r="W1372" s="2">
        <f>0.0914*S1372</f>
        <v>91.399999999999991</v>
      </c>
      <c r="X1372" s="5">
        <f t="shared" si="190"/>
        <v>0.29692307692307701</v>
      </c>
      <c r="Z1372" s="2" t="s">
        <v>3227</v>
      </c>
      <c r="AA1372" s="2" t="s">
        <v>46</v>
      </c>
      <c r="AB1372" s="2" t="s">
        <v>60</v>
      </c>
      <c r="AC1372" s="2" t="s">
        <v>57</v>
      </c>
      <c r="AF1372" s="2">
        <f t="shared" si="188"/>
        <v>0</v>
      </c>
      <c r="AG1372" s="2">
        <v>9.14</v>
      </c>
      <c r="AH1372" s="2">
        <v>16</v>
      </c>
      <c r="AJ1372" s="2">
        <f t="shared" si="189"/>
        <v>0</v>
      </c>
      <c r="AK1372" s="2">
        <f t="shared" si="191"/>
        <v>38.600000000000009</v>
      </c>
      <c r="AL1372" s="5">
        <f t="shared" si="186"/>
        <v>0.29692307692307701</v>
      </c>
    </row>
    <row r="1373" spans="1:38" x14ac:dyDescent="0.2">
      <c r="A1373" s="2">
        <v>2025</v>
      </c>
      <c r="B1373" s="2">
        <v>7</v>
      </c>
      <c r="D1373" s="2" t="s">
        <v>1583</v>
      </c>
      <c r="E1373" s="2" t="s">
        <v>38</v>
      </c>
      <c r="F1373" s="2" t="s">
        <v>39</v>
      </c>
      <c r="L1373" s="2" t="s">
        <v>3002</v>
      </c>
      <c r="M1373" s="2" t="s">
        <v>80</v>
      </c>
      <c r="P1373" s="2" t="s">
        <v>43</v>
      </c>
      <c r="Q1373" s="2" t="s">
        <v>61</v>
      </c>
      <c r="R1373" s="2" t="s">
        <v>62</v>
      </c>
      <c r="S1373" s="2">
        <v>2000</v>
      </c>
      <c r="T1373" s="2">
        <v>200</v>
      </c>
      <c r="U1373" s="2">
        <v>46</v>
      </c>
      <c r="V1373" s="2">
        <v>246</v>
      </c>
      <c r="W1373" s="2">
        <f>0.082*S1373</f>
        <v>164</v>
      </c>
      <c r="X1373" s="5">
        <f t="shared" si="190"/>
        <v>0.18</v>
      </c>
      <c r="Z1373" s="2" t="s">
        <v>3227</v>
      </c>
      <c r="AA1373" s="2" t="s">
        <v>46</v>
      </c>
      <c r="AB1373" s="2" t="s">
        <v>60</v>
      </c>
      <c r="AC1373" s="2" t="s">
        <v>57</v>
      </c>
      <c r="AF1373" s="2">
        <f t="shared" si="188"/>
        <v>0</v>
      </c>
      <c r="AG1373" s="2">
        <v>8.1999999999999993</v>
      </c>
      <c r="AH1373" s="2">
        <v>13</v>
      </c>
      <c r="AJ1373" s="2">
        <f t="shared" si="189"/>
        <v>0</v>
      </c>
      <c r="AK1373" s="2">
        <f t="shared" si="191"/>
        <v>36</v>
      </c>
      <c r="AL1373" s="5">
        <f t="shared" si="186"/>
        <v>0.18</v>
      </c>
    </row>
    <row r="1374" spans="1:38" x14ac:dyDescent="0.2">
      <c r="A1374" s="2">
        <v>2025</v>
      </c>
      <c r="B1374" s="2">
        <v>7</v>
      </c>
      <c r="D1374" s="2" t="s">
        <v>1590</v>
      </c>
      <c r="P1374" s="2" t="s">
        <v>114</v>
      </c>
      <c r="Q1374" s="2" t="s">
        <v>1591</v>
      </c>
      <c r="R1374" s="2" t="s">
        <v>1592</v>
      </c>
      <c r="S1374" s="2">
        <v>-1</v>
      </c>
      <c r="T1374" s="2">
        <v>-65.239999999999995</v>
      </c>
      <c r="U1374" s="2">
        <v>-15.0052</v>
      </c>
      <c r="V1374" s="2">
        <v>-80.245199999999997</v>
      </c>
      <c r="X1374" s="5">
        <f t="shared" si="190"/>
        <v>1</v>
      </c>
      <c r="Z1374" s="2" t="s">
        <v>117</v>
      </c>
      <c r="AF1374" s="2">
        <f t="shared" si="188"/>
        <v>0</v>
      </c>
      <c r="AJ1374" s="2">
        <f t="shared" si="189"/>
        <v>0</v>
      </c>
      <c r="AK1374" s="2">
        <f t="shared" si="191"/>
        <v>-65.239999999999995</v>
      </c>
      <c r="AL1374" s="5">
        <f t="shared" si="186"/>
        <v>1</v>
      </c>
    </row>
    <row r="1375" spans="1:38" x14ac:dyDescent="0.2">
      <c r="A1375" s="2">
        <v>2025</v>
      </c>
      <c r="B1375" s="2">
        <v>7</v>
      </c>
      <c r="D1375" s="2" t="s">
        <v>1593</v>
      </c>
      <c r="E1375" s="2" t="s">
        <v>108</v>
      </c>
      <c r="F1375" s="2" t="s">
        <v>395</v>
      </c>
      <c r="G1375" s="2">
        <v>500314594</v>
      </c>
      <c r="H1375" s="2" t="s">
        <v>40</v>
      </c>
      <c r="I1375" s="2" t="s">
        <v>1594</v>
      </c>
      <c r="J1375" s="2" t="s">
        <v>1595</v>
      </c>
      <c r="L1375" s="2" t="s">
        <v>201</v>
      </c>
      <c r="M1375" s="2" t="s">
        <v>41</v>
      </c>
      <c r="O1375" s="2" t="s">
        <v>1596</v>
      </c>
      <c r="P1375" s="2" t="s">
        <v>282</v>
      </c>
      <c r="Q1375" s="2" t="s">
        <v>1547</v>
      </c>
      <c r="R1375" s="2" t="s">
        <v>1548</v>
      </c>
      <c r="S1375" s="2">
        <v>1</v>
      </c>
      <c r="T1375" s="2">
        <v>0</v>
      </c>
      <c r="U1375" s="2">
        <v>0</v>
      </c>
      <c r="V1375" s="2">
        <v>0</v>
      </c>
      <c r="W1375" s="2">
        <v>0</v>
      </c>
      <c r="X1375" s="5">
        <v>0</v>
      </c>
      <c r="Z1375" s="2" t="s">
        <v>104</v>
      </c>
      <c r="AA1375" s="2" t="s">
        <v>387</v>
      </c>
      <c r="AB1375" s="2" t="s">
        <v>388</v>
      </c>
      <c r="AC1375" s="2" t="s">
        <v>389</v>
      </c>
      <c r="AF1375" s="2">
        <f t="shared" si="188"/>
        <v>0</v>
      </c>
      <c r="AJ1375" s="2">
        <f t="shared" si="189"/>
        <v>0</v>
      </c>
      <c r="AK1375" s="2">
        <f t="shared" si="191"/>
        <v>0</v>
      </c>
      <c r="AL1375" s="20" t="s">
        <v>3401</v>
      </c>
    </row>
    <row r="1376" spans="1:38" x14ac:dyDescent="0.2">
      <c r="A1376" s="2">
        <v>2025</v>
      </c>
      <c r="B1376" s="2">
        <v>7</v>
      </c>
      <c r="D1376" s="2" t="s">
        <v>1593</v>
      </c>
      <c r="E1376" s="2" t="s">
        <v>108</v>
      </c>
      <c r="F1376" s="2" t="s">
        <v>395</v>
      </c>
      <c r="G1376" s="2">
        <v>500314594</v>
      </c>
      <c r="H1376" s="2" t="s">
        <v>40</v>
      </c>
      <c r="I1376" s="2" t="s">
        <v>1594</v>
      </c>
      <c r="J1376" s="2" t="s">
        <v>1595</v>
      </c>
      <c r="L1376" s="2" t="s">
        <v>201</v>
      </c>
      <c r="M1376" s="2" t="s">
        <v>41</v>
      </c>
      <c r="O1376" s="2" t="s">
        <v>1596</v>
      </c>
      <c r="P1376" s="2" t="s">
        <v>282</v>
      </c>
      <c r="Q1376" s="2" t="s">
        <v>399</v>
      </c>
      <c r="R1376" s="2" t="s">
        <v>400</v>
      </c>
      <c r="S1376" s="2">
        <v>20</v>
      </c>
      <c r="T1376" s="2">
        <v>580</v>
      </c>
      <c r="U1376" s="2">
        <v>133.4</v>
      </c>
      <c r="V1376" s="2">
        <v>713.4</v>
      </c>
      <c r="W1376" s="2">
        <f>17.4*S1376</f>
        <v>348</v>
      </c>
      <c r="X1376" s="5">
        <f t="shared" ref="X1376:X1390" si="192">(T1376-W1376)/T1376</f>
        <v>0.4</v>
      </c>
      <c r="Z1376" s="2" t="s">
        <v>3227</v>
      </c>
      <c r="AA1376" s="2" t="s">
        <v>46</v>
      </c>
      <c r="AB1376" s="2" t="s">
        <v>60</v>
      </c>
      <c r="AC1376" s="2" t="s">
        <v>3332</v>
      </c>
      <c r="AF1376" s="2">
        <f t="shared" si="188"/>
        <v>0</v>
      </c>
      <c r="AJ1376" s="2">
        <f t="shared" si="189"/>
        <v>0</v>
      </c>
      <c r="AK1376" s="2">
        <f t="shared" si="191"/>
        <v>232</v>
      </c>
      <c r="AL1376" s="5">
        <f t="shared" ref="AL1376:AL1390" si="193">(T1376-W1376)/T1376</f>
        <v>0.4</v>
      </c>
    </row>
    <row r="1377" spans="1:38" x14ac:dyDescent="0.2">
      <c r="A1377" s="2">
        <v>2025</v>
      </c>
      <c r="B1377" s="2">
        <v>7</v>
      </c>
      <c r="D1377" s="2" t="s">
        <v>1593</v>
      </c>
      <c r="E1377" s="2" t="s">
        <v>108</v>
      </c>
      <c r="F1377" s="2" t="s">
        <v>395</v>
      </c>
      <c r="G1377" s="2">
        <v>500314594</v>
      </c>
      <c r="H1377" s="2" t="s">
        <v>40</v>
      </c>
      <c r="I1377" s="2" t="s">
        <v>1594</v>
      </c>
      <c r="J1377" s="2" t="s">
        <v>1595</v>
      </c>
      <c r="L1377" s="2" t="s">
        <v>201</v>
      </c>
      <c r="M1377" s="2" t="s">
        <v>41</v>
      </c>
      <c r="O1377" s="2" t="s">
        <v>1596</v>
      </c>
      <c r="P1377" s="2" t="s">
        <v>282</v>
      </c>
      <c r="Q1377" s="2" t="s">
        <v>401</v>
      </c>
      <c r="R1377" s="2" t="s">
        <v>402</v>
      </c>
      <c r="S1377" s="2">
        <v>20</v>
      </c>
      <c r="T1377" s="2">
        <v>580</v>
      </c>
      <c r="U1377" s="2">
        <v>133.4</v>
      </c>
      <c r="V1377" s="2">
        <v>713.4</v>
      </c>
      <c r="W1377" s="2">
        <f>17.4*S1377</f>
        <v>348</v>
      </c>
      <c r="X1377" s="5">
        <f t="shared" si="192"/>
        <v>0.4</v>
      </c>
      <c r="Z1377" s="2" t="s">
        <v>3227</v>
      </c>
      <c r="AA1377" s="2" t="s">
        <v>46</v>
      </c>
      <c r="AB1377" s="2" t="s">
        <v>60</v>
      </c>
      <c r="AC1377" s="2" t="s">
        <v>3332</v>
      </c>
      <c r="AF1377" s="2">
        <f t="shared" si="188"/>
        <v>0</v>
      </c>
      <c r="AJ1377" s="2">
        <f t="shared" si="189"/>
        <v>0</v>
      </c>
      <c r="AK1377" s="2">
        <f t="shared" si="191"/>
        <v>232</v>
      </c>
      <c r="AL1377" s="5">
        <f t="shared" si="193"/>
        <v>0.4</v>
      </c>
    </row>
    <row r="1378" spans="1:38" x14ac:dyDescent="0.2">
      <c r="A1378" s="2">
        <v>2025</v>
      </c>
      <c r="B1378" s="2">
        <v>7</v>
      </c>
      <c r="D1378" s="2" t="s">
        <v>1597</v>
      </c>
      <c r="P1378" s="2" t="s">
        <v>72</v>
      </c>
      <c r="Q1378" s="2" t="s">
        <v>1598</v>
      </c>
      <c r="R1378" s="2" t="s">
        <v>83</v>
      </c>
      <c r="S1378" s="2">
        <v>1</v>
      </c>
      <c r="T1378" s="2">
        <v>280</v>
      </c>
      <c r="U1378" s="2">
        <v>64.400000000000006</v>
      </c>
      <c r="V1378" s="2">
        <v>344.4</v>
      </c>
      <c r="W1378" s="2">
        <f>138.6</f>
        <v>138.6</v>
      </c>
      <c r="X1378" s="5">
        <f t="shared" si="192"/>
        <v>0.505</v>
      </c>
      <c r="Z1378" s="2" t="s">
        <v>3227</v>
      </c>
      <c r="AA1378" s="2" t="s">
        <v>75</v>
      </c>
      <c r="AB1378" s="2" t="s">
        <v>76</v>
      </c>
      <c r="AC1378" s="2" t="s">
        <v>77</v>
      </c>
      <c r="AF1378" s="2">
        <f t="shared" si="188"/>
        <v>0</v>
      </c>
      <c r="AJ1378" s="2">
        <f t="shared" si="189"/>
        <v>0</v>
      </c>
      <c r="AK1378" s="2">
        <f t="shared" si="191"/>
        <v>141.4</v>
      </c>
      <c r="AL1378" s="5">
        <f t="shared" si="193"/>
        <v>0.505</v>
      </c>
    </row>
    <row r="1379" spans="1:38" x14ac:dyDescent="0.2">
      <c r="A1379" s="2">
        <v>2025</v>
      </c>
      <c r="B1379" s="2">
        <v>7</v>
      </c>
      <c r="D1379" s="2" t="s">
        <v>1597</v>
      </c>
      <c r="P1379" s="2" t="s">
        <v>93</v>
      </c>
      <c r="Q1379" s="2" t="s">
        <v>94</v>
      </c>
      <c r="R1379" s="2" t="s">
        <v>95</v>
      </c>
      <c r="S1379" s="2">
        <v>1</v>
      </c>
      <c r="T1379" s="2">
        <v>1.1399999999999999</v>
      </c>
      <c r="U1379" s="2">
        <v>0.26219999999999999</v>
      </c>
      <c r="V1379" s="2">
        <v>1.4021999999999999</v>
      </c>
      <c r="W1379" s="2">
        <v>1.1399999999999999</v>
      </c>
      <c r="X1379" s="5">
        <f t="shared" si="192"/>
        <v>0</v>
      </c>
      <c r="Z1379" s="2" t="s">
        <v>3227</v>
      </c>
      <c r="AA1379" s="2" t="s">
        <v>96</v>
      </c>
      <c r="AB1379" s="2" t="s">
        <v>76</v>
      </c>
      <c r="AC1379" s="2" t="s">
        <v>93</v>
      </c>
      <c r="AF1379" s="2">
        <f t="shared" si="188"/>
        <v>0</v>
      </c>
      <c r="AJ1379" s="2">
        <f t="shared" si="189"/>
        <v>0</v>
      </c>
      <c r="AK1379" s="2">
        <f t="shared" si="191"/>
        <v>0</v>
      </c>
      <c r="AL1379" s="5">
        <f t="shared" si="193"/>
        <v>0</v>
      </c>
    </row>
    <row r="1380" spans="1:38" x14ac:dyDescent="0.2">
      <c r="A1380" s="2">
        <v>2025</v>
      </c>
      <c r="B1380" s="2">
        <v>7</v>
      </c>
      <c r="D1380" s="2" t="s">
        <v>1599</v>
      </c>
      <c r="M1380" s="2" t="s">
        <v>40</v>
      </c>
      <c r="P1380" s="2" t="s">
        <v>187</v>
      </c>
      <c r="Q1380" s="2" t="s">
        <v>188</v>
      </c>
      <c r="R1380" s="2" t="s">
        <v>189</v>
      </c>
      <c r="S1380" s="2">
        <v>1</v>
      </c>
      <c r="T1380" s="2">
        <v>50</v>
      </c>
      <c r="U1380" s="2">
        <v>11.5</v>
      </c>
      <c r="V1380" s="2">
        <v>61.5</v>
      </c>
      <c r="W1380" s="2">
        <f>T1380*40%</f>
        <v>20</v>
      </c>
      <c r="X1380" s="5">
        <f t="shared" si="192"/>
        <v>0.6</v>
      </c>
      <c r="Z1380" s="2" t="s">
        <v>117</v>
      </c>
      <c r="AA1380" s="2" t="s">
        <v>190</v>
      </c>
      <c r="AB1380" s="2" t="s">
        <v>189</v>
      </c>
      <c r="AC1380" s="2" t="s">
        <v>40</v>
      </c>
      <c r="AF1380" s="2">
        <f t="shared" si="188"/>
        <v>0</v>
      </c>
      <c r="AJ1380" s="2">
        <f t="shared" si="189"/>
        <v>0</v>
      </c>
      <c r="AK1380" s="2">
        <f t="shared" si="191"/>
        <v>30</v>
      </c>
      <c r="AL1380" s="5">
        <f t="shared" si="193"/>
        <v>0.6</v>
      </c>
    </row>
    <row r="1381" spans="1:38" x14ac:dyDescent="0.2">
      <c r="A1381" s="2">
        <v>2025</v>
      </c>
      <c r="B1381" s="2">
        <v>7</v>
      </c>
      <c r="D1381" s="2" t="s">
        <v>1599</v>
      </c>
      <c r="M1381" s="2" t="s">
        <v>40</v>
      </c>
      <c r="P1381" s="2" t="s">
        <v>187</v>
      </c>
      <c r="Q1381" s="2" t="s">
        <v>191</v>
      </c>
      <c r="R1381" s="2" t="s">
        <v>190</v>
      </c>
      <c r="S1381" s="2">
        <v>1</v>
      </c>
      <c r="T1381" s="2">
        <v>50</v>
      </c>
      <c r="U1381" s="2">
        <v>11.5</v>
      </c>
      <c r="V1381" s="2">
        <v>61.5</v>
      </c>
      <c r="W1381" s="2">
        <f>T1381*50%</f>
        <v>25</v>
      </c>
      <c r="X1381" s="5">
        <f t="shared" si="192"/>
        <v>0.5</v>
      </c>
      <c r="Z1381" s="2" t="s">
        <v>117</v>
      </c>
      <c r="AA1381" s="2" t="s">
        <v>190</v>
      </c>
      <c r="AB1381" s="2" t="s">
        <v>190</v>
      </c>
      <c r="AC1381" s="2" t="s">
        <v>40</v>
      </c>
      <c r="AF1381" s="2">
        <f t="shared" si="188"/>
        <v>0</v>
      </c>
      <c r="AJ1381" s="2">
        <f t="shared" si="189"/>
        <v>0</v>
      </c>
      <c r="AK1381" s="2">
        <f t="shared" si="191"/>
        <v>25</v>
      </c>
      <c r="AL1381" s="5">
        <f t="shared" si="193"/>
        <v>0.5</v>
      </c>
    </row>
    <row r="1382" spans="1:38" x14ac:dyDescent="0.2">
      <c r="A1382" s="2">
        <v>2025</v>
      </c>
      <c r="B1382" s="2">
        <v>7</v>
      </c>
      <c r="D1382" s="2" t="s">
        <v>525</v>
      </c>
      <c r="E1382" s="2" t="s">
        <v>108</v>
      </c>
      <c r="F1382" s="2" t="s">
        <v>39</v>
      </c>
      <c r="G1382" s="2">
        <v>509391583</v>
      </c>
      <c r="H1382" s="2" t="s">
        <v>40</v>
      </c>
      <c r="I1382" s="2" t="s">
        <v>526</v>
      </c>
      <c r="J1382" s="2" t="s">
        <v>527</v>
      </c>
      <c r="L1382" s="2" t="s">
        <v>344</v>
      </c>
      <c r="P1382" s="2" t="s">
        <v>282</v>
      </c>
      <c r="Q1382" s="2" t="s">
        <v>1510</v>
      </c>
      <c r="R1382" s="2" t="s">
        <v>1511</v>
      </c>
      <c r="S1382" s="2">
        <v>2</v>
      </c>
      <c r="T1382" s="2">
        <v>99.8</v>
      </c>
      <c r="U1382" s="2">
        <v>22.954000000000001</v>
      </c>
      <c r="V1382" s="2">
        <v>122.754</v>
      </c>
      <c r="W1382" s="2">
        <f>27.445*S1382</f>
        <v>54.89</v>
      </c>
      <c r="X1382" s="5">
        <f t="shared" si="192"/>
        <v>0.44999999999999996</v>
      </c>
      <c r="Z1382" s="2" t="s">
        <v>3227</v>
      </c>
      <c r="AA1382" s="2" t="s">
        <v>71</v>
      </c>
      <c r="AB1382" s="2" t="s">
        <v>1600</v>
      </c>
      <c r="AC1382" s="2" t="s">
        <v>1600</v>
      </c>
      <c r="AF1382" s="2">
        <f t="shared" si="188"/>
        <v>0</v>
      </c>
      <c r="AG1382" s="2">
        <v>27.445</v>
      </c>
      <c r="AJ1382" s="2">
        <f t="shared" si="189"/>
        <v>0</v>
      </c>
      <c r="AK1382" s="2">
        <f t="shared" si="191"/>
        <v>44.91</v>
      </c>
      <c r="AL1382" s="5">
        <f t="shared" si="193"/>
        <v>0.44999999999999996</v>
      </c>
    </row>
    <row r="1383" spans="1:38" x14ac:dyDescent="0.2">
      <c r="A1383" s="2">
        <v>2025</v>
      </c>
      <c r="B1383" s="2">
        <v>7</v>
      </c>
      <c r="D1383" s="2" t="s">
        <v>525</v>
      </c>
      <c r="E1383" s="2" t="s">
        <v>108</v>
      </c>
      <c r="F1383" s="2" t="s">
        <v>39</v>
      </c>
      <c r="G1383" s="2">
        <v>509391583</v>
      </c>
      <c r="H1383" s="2" t="s">
        <v>40</v>
      </c>
      <c r="I1383" s="2" t="s">
        <v>526</v>
      </c>
      <c r="J1383" s="2" t="s">
        <v>527</v>
      </c>
      <c r="L1383" s="2" t="s">
        <v>344</v>
      </c>
      <c r="P1383" s="2" t="s">
        <v>282</v>
      </c>
      <c r="Q1383" s="2" t="s">
        <v>798</v>
      </c>
      <c r="R1383" s="2" t="s">
        <v>799</v>
      </c>
      <c r="S1383" s="2">
        <v>1</v>
      </c>
      <c r="T1383" s="2">
        <v>21.9</v>
      </c>
      <c r="U1383" s="2">
        <v>5.0369999999999999</v>
      </c>
      <c r="V1383" s="2">
        <v>26.937000000000001</v>
      </c>
      <c r="W1383" s="2">
        <v>18.14</v>
      </c>
      <c r="X1383" s="5">
        <f t="shared" si="192"/>
        <v>0.1716894977168949</v>
      </c>
      <c r="Z1383" s="2" t="s">
        <v>3227</v>
      </c>
      <c r="AA1383" s="2" t="s">
        <v>71</v>
      </c>
      <c r="AB1383" s="2" t="s">
        <v>119</v>
      </c>
      <c r="AC1383" s="2" t="s">
        <v>119</v>
      </c>
      <c r="AF1383" s="2">
        <f t="shared" si="188"/>
        <v>0</v>
      </c>
      <c r="AJ1383" s="2">
        <f t="shared" si="189"/>
        <v>0</v>
      </c>
      <c r="AK1383" s="2">
        <f t="shared" si="191"/>
        <v>3.759999999999998</v>
      </c>
      <c r="AL1383" s="5">
        <f t="shared" si="193"/>
        <v>0.1716894977168949</v>
      </c>
    </row>
    <row r="1384" spans="1:38" x14ac:dyDescent="0.2">
      <c r="A1384" s="2">
        <v>2025</v>
      </c>
      <c r="B1384" s="2">
        <v>7</v>
      </c>
      <c r="D1384" s="2" t="s">
        <v>525</v>
      </c>
      <c r="E1384" s="2" t="s">
        <v>108</v>
      </c>
      <c r="F1384" s="2" t="s">
        <v>39</v>
      </c>
      <c r="G1384" s="2">
        <v>509391583</v>
      </c>
      <c r="H1384" s="2" t="s">
        <v>40</v>
      </c>
      <c r="I1384" s="2" t="s">
        <v>526</v>
      </c>
      <c r="J1384" s="2" t="s">
        <v>527</v>
      </c>
      <c r="L1384" s="2" t="s">
        <v>344</v>
      </c>
      <c r="P1384" s="2" t="s">
        <v>282</v>
      </c>
      <c r="Q1384" s="2" t="s">
        <v>1069</v>
      </c>
      <c r="R1384" s="2" t="s">
        <v>1070</v>
      </c>
      <c r="S1384" s="2">
        <v>3</v>
      </c>
      <c r="T1384" s="2">
        <v>23.7</v>
      </c>
      <c r="U1384" s="2">
        <v>5.4510000000000014</v>
      </c>
      <c r="V1384" s="2">
        <v>29.151</v>
      </c>
      <c r="W1384" s="2">
        <f>6.0484*S1384</f>
        <v>18.145199999999999</v>
      </c>
      <c r="X1384" s="5">
        <f t="shared" si="192"/>
        <v>0.23437974683544305</v>
      </c>
      <c r="Z1384" s="2" t="s">
        <v>3227</v>
      </c>
      <c r="AA1384" s="2" t="s">
        <v>71</v>
      </c>
      <c r="AB1384" s="2" t="s">
        <v>119</v>
      </c>
      <c r="AC1384" s="2" t="s">
        <v>119</v>
      </c>
      <c r="AF1384" s="2">
        <f t="shared" si="188"/>
        <v>0</v>
      </c>
      <c r="AJ1384" s="2">
        <f t="shared" si="189"/>
        <v>0</v>
      </c>
      <c r="AK1384" s="2">
        <f t="shared" si="191"/>
        <v>5.5548000000000002</v>
      </c>
      <c r="AL1384" s="5">
        <f t="shared" si="193"/>
        <v>0.23437974683544305</v>
      </c>
    </row>
    <row r="1385" spans="1:38" x14ac:dyDescent="0.2">
      <c r="A1385" s="2">
        <v>2025</v>
      </c>
      <c r="B1385" s="2">
        <v>7</v>
      </c>
      <c r="D1385" s="2" t="s">
        <v>874</v>
      </c>
      <c r="E1385" s="2" t="s">
        <v>108</v>
      </c>
      <c r="F1385" s="2" t="s">
        <v>39</v>
      </c>
      <c r="G1385" s="2">
        <v>506929833</v>
      </c>
      <c r="H1385" s="2" t="s">
        <v>109</v>
      </c>
      <c r="I1385" s="2" t="s">
        <v>133</v>
      </c>
      <c r="J1385" s="2" t="s">
        <v>875</v>
      </c>
      <c r="K1385" s="2">
        <v>964065954</v>
      </c>
      <c r="L1385" s="2" t="s">
        <v>133</v>
      </c>
      <c r="M1385" s="2" t="s">
        <v>40</v>
      </c>
      <c r="O1385" s="2" t="s">
        <v>1601</v>
      </c>
      <c r="P1385" s="2" t="s">
        <v>187</v>
      </c>
      <c r="Q1385" s="2" t="s">
        <v>1602</v>
      </c>
      <c r="R1385" s="2" t="s">
        <v>1603</v>
      </c>
      <c r="S1385" s="2">
        <v>1</v>
      </c>
      <c r="T1385" s="2">
        <v>85.04</v>
      </c>
      <c r="U1385" s="2">
        <v>19.559200000000001</v>
      </c>
      <c r="V1385" s="2">
        <v>104.5992</v>
      </c>
      <c r="W1385" s="2">
        <v>10.15</v>
      </c>
      <c r="X1385" s="5">
        <f t="shared" si="192"/>
        <v>0.88064440263405452</v>
      </c>
      <c r="Z1385" s="2" t="s">
        <v>117</v>
      </c>
      <c r="AA1385" s="2" t="s">
        <v>118</v>
      </c>
      <c r="AB1385" s="2" t="s">
        <v>119</v>
      </c>
      <c r="AC1385" s="2" t="s">
        <v>1604</v>
      </c>
      <c r="AF1385" s="2">
        <f t="shared" si="188"/>
        <v>0</v>
      </c>
      <c r="AG1385" s="2">
        <v>10.15</v>
      </c>
      <c r="AJ1385" s="2">
        <f t="shared" si="189"/>
        <v>0</v>
      </c>
      <c r="AK1385" s="2">
        <f t="shared" si="191"/>
        <v>74.89</v>
      </c>
      <c r="AL1385" s="5">
        <f t="shared" si="193"/>
        <v>0.88064440263405452</v>
      </c>
    </row>
    <row r="1386" spans="1:38" x14ac:dyDescent="0.2">
      <c r="A1386" s="2">
        <v>2025</v>
      </c>
      <c r="B1386" s="2">
        <v>7</v>
      </c>
      <c r="D1386" s="2" t="s">
        <v>874</v>
      </c>
      <c r="E1386" s="2" t="s">
        <v>108</v>
      </c>
      <c r="F1386" s="2" t="s">
        <v>39</v>
      </c>
      <c r="G1386" s="2">
        <v>506929833</v>
      </c>
      <c r="H1386" s="2" t="s">
        <v>109</v>
      </c>
      <c r="I1386" s="2" t="s">
        <v>133</v>
      </c>
      <c r="J1386" s="2" t="s">
        <v>875</v>
      </c>
      <c r="K1386" s="2">
        <v>964065954</v>
      </c>
      <c r="L1386" s="2" t="s">
        <v>133</v>
      </c>
      <c r="M1386" s="2" t="s">
        <v>40</v>
      </c>
      <c r="O1386" s="2" t="s">
        <v>1601</v>
      </c>
      <c r="P1386" s="2" t="s">
        <v>187</v>
      </c>
      <c r="Q1386" s="2" t="s">
        <v>188</v>
      </c>
      <c r="R1386" s="2" t="s">
        <v>189</v>
      </c>
      <c r="S1386" s="2">
        <v>2</v>
      </c>
      <c r="T1386" s="2">
        <v>138</v>
      </c>
      <c r="U1386" s="2">
        <v>31.74</v>
      </c>
      <c r="V1386" s="2">
        <v>169.74</v>
      </c>
      <c r="W1386" s="2">
        <f>T1386*40%</f>
        <v>55.2</v>
      </c>
      <c r="X1386" s="5">
        <f t="shared" si="192"/>
        <v>0.6</v>
      </c>
      <c r="Z1386" s="2" t="s">
        <v>117</v>
      </c>
      <c r="AA1386" s="2" t="s">
        <v>190</v>
      </c>
      <c r="AB1386" s="2" t="s">
        <v>189</v>
      </c>
      <c r="AC1386" s="2" t="s">
        <v>40</v>
      </c>
      <c r="AF1386" s="2">
        <f t="shared" si="188"/>
        <v>0</v>
      </c>
      <c r="AJ1386" s="2">
        <f t="shared" si="189"/>
        <v>0</v>
      </c>
      <c r="AK1386" s="2">
        <f t="shared" si="191"/>
        <v>82.8</v>
      </c>
      <c r="AL1386" s="5">
        <f t="shared" si="193"/>
        <v>0.6</v>
      </c>
    </row>
    <row r="1387" spans="1:38" x14ac:dyDescent="0.2">
      <c r="A1387" s="2">
        <v>2025</v>
      </c>
      <c r="B1387" s="2">
        <v>7</v>
      </c>
      <c r="D1387" s="2" t="s">
        <v>874</v>
      </c>
      <c r="E1387" s="2" t="s">
        <v>108</v>
      </c>
      <c r="F1387" s="2" t="s">
        <v>39</v>
      </c>
      <c r="G1387" s="2">
        <v>506929833</v>
      </c>
      <c r="H1387" s="2" t="s">
        <v>109</v>
      </c>
      <c r="I1387" s="2" t="s">
        <v>133</v>
      </c>
      <c r="J1387" s="2" t="s">
        <v>875</v>
      </c>
      <c r="K1387" s="2">
        <v>964065954</v>
      </c>
      <c r="L1387" s="2" t="s">
        <v>133</v>
      </c>
      <c r="M1387" s="2" t="s">
        <v>40</v>
      </c>
      <c r="O1387" s="2" t="s">
        <v>1601</v>
      </c>
      <c r="P1387" s="2" t="s">
        <v>187</v>
      </c>
      <c r="Q1387" s="2" t="s">
        <v>191</v>
      </c>
      <c r="R1387" s="2" t="s">
        <v>190</v>
      </c>
      <c r="S1387" s="2">
        <v>4.25</v>
      </c>
      <c r="T1387" s="2">
        <v>212.5</v>
      </c>
      <c r="U1387" s="2">
        <v>48.875</v>
      </c>
      <c r="V1387" s="2">
        <v>261.375</v>
      </c>
      <c r="W1387" s="2">
        <f>T1387*50%</f>
        <v>106.25</v>
      </c>
      <c r="X1387" s="5">
        <f t="shared" si="192"/>
        <v>0.5</v>
      </c>
      <c r="Z1387" s="2" t="s">
        <v>117</v>
      </c>
      <c r="AA1387" s="2" t="s">
        <v>190</v>
      </c>
      <c r="AB1387" s="2" t="s">
        <v>190</v>
      </c>
      <c r="AC1387" s="2" t="s">
        <v>40</v>
      </c>
      <c r="AF1387" s="2">
        <f t="shared" si="188"/>
        <v>0</v>
      </c>
      <c r="AJ1387" s="2">
        <f t="shared" si="189"/>
        <v>0</v>
      </c>
      <c r="AK1387" s="2">
        <f t="shared" si="191"/>
        <v>106.25</v>
      </c>
      <c r="AL1387" s="5">
        <f t="shared" si="193"/>
        <v>0.5</v>
      </c>
    </row>
    <row r="1388" spans="1:38" x14ac:dyDescent="0.2">
      <c r="A1388" s="2">
        <v>2025</v>
      </c>
      <c r="B1388" s="2">
        <v>7</v>
      </c>
      <c r="D1388" s="2" t="s">
        <v>530</v>
      </c>
      <c r="E1388" s="2" t="s">
        <v>108</v>
      </c>
      <c r="F1388" s="2" t="s">
        <v>531</v>
      </c>
      <c r="G1388" s="2">
        <v>502139552</v>
      </c>
      <c r="H1388" s="2" t="s">
        <v>40</v>
      </c>
      <c r="I1388" s="2" t="s">
        <v>339</v>
      </c>
      <c r="J1388" s="2" t="s">
        <v>532</v>
      </c>
      <c r="L1388" s="2" t="s">
        <v>339</v>
      </c>
      <c r="M1388" s="2" t="s">
        <v>80</v>
      </c>
      <c r="P1388" s="2" t="s">
        <v>72</v>
      </c>
      <c r="Q1388" s="2" t="s">
        <v>73</v>
      </c>
      <c r="R1388" s="2" t="s">
        <v>74</v>
      </c>
      <c r="S1388" s="2">
        <v>2</v>
      </c>
      <c r="T1388" s="2">
        <v>430</v>
      </c>
      <c r="U1388" s="2">
        <v>98.9</v>
      </c>
      <c r="V1388" s="2">
        <v>528.9</v>
      </c>
      <c r="W1388" s="2">
        <v>234.90600000000001</v>
      </c>
      <c r="X1388" s="5">
        <f t="shared" si="192"/>
        <v>0.45370697674418603</v>
      </c>
      <c r="Z1388" s="2" t="s">
        <v>3227</v>
      </c>
      <c r="AA1388" s="2" t="s">
        <v>75</v>
      </c>
      <c r="AB1388" s="2" t="s">
        <v>76</v>
      </c>
      <c r="AC1388" s="2" t="s">
        <v>77</v>
      </c>
      <c r="AF1388" s="2">
        <f t="shared" si="188"/>
        <v>0</v>
      </c>
      <c r="AG1388" s="2">
        <v>117.453</v>
      </c>
      <c r="AH1388" s="2">
        <v>220</v>
      </c>
      <c r="AJ1388" s="2">
        <f t="shared" si="189"/>
        <v>0</v>
      </c>
      <c r="AK1388" s="2">
        <f t="shared" si="191"/>
        <v>195.09399999999999</v>
      </c>
      <c r="AL1388" s="5">
        <f t="shared" si="193"/>
        <v>0.45370697674418603</v>
      </c>
    </row>
    <row r="1389" spans="1:38" x14ac:dyDescent="0.2">
      <c r="A1389" s="2">
        <v>2025</v>
      </c>
      <c r="B1389" s="2">
        <v>7</v>
      </c>
      <c r="D1389" s="2" t="s">
        <v>530</v>
      </c>
      <c r="E1389" s="2" t="s">
        <v>108</v>
      </c>
      <c r="F1389" s="2" t="s">
        <v>531</v>
      </c>
      <c r="G1389" s="2">
        <v>502139552</v>
      </c>
      <c r="H1389" s="2" t="s">
        <v>40</v>
      </c>
      <c r="I1389" s="2" t="s">
        <v>339</v>
      </c>
      <c r="J1389" s="2" t="s">
        <v>532</v>
      </c>
      <c r="L1389" s="2" t="s">
        <v>339</v>
      </c>
      <c r="M1389" s="2" t="s">
        <v>80</v>
      </c>
      <c r="P1389" s="2" t="s">
        <v>72</v>
      </c>
      <c r="Q1389" s="2" t="s">
        <v>1075</v>
      </c>
      <c r="R1389" s="2" t="s">
        <v>83</v>
      </c>
      <c r="S1389" s="2">
        <v>1</v>
      </c>
      <c r="T1389" s="2">
        <v>239.99</v>
      </c>
      <c r="U1389" s="2">
        <v>55.197699999999998</v>
      </c>
      <c r="V1389" s="2">
        <v>295.18770000000001</v>
      </c>
      <c r="W1389" s="2">
        <v>159.54</v>
      </c>
      <c r="X1389" s="5">
        <f t="shared" si="192"/>
        <v>0.33522230092920546</v>
      </c>
      <c r="Z1389" s="2" t="s">
        <v>3227</v>
      </c>
      <c r="AA1389" s="2" t="s">
        <v>75</v>
      </c>
      <c r="AB1389" s="2" t="s">
        <v>76</v>
      </c>
      <c r="AC1389" s="2" t="s">
        <v>77</v>
      </c>
      <c r="AF1389" s="2">
        <f t="shared" si="188"/>
        <v>0</v>
      </c>
      <c r="AG1389" s="2">
        <f>144.14+15.4</f>
        <v>159.54</v>
      </c>
      <c r="AH1389" s="2">
        <v>280</v>
      </c>
      <c r="AJ1389" s="2">
        <f t="shared" si="189"/>
        <v>0</v>
      </c>
      <c r="AK1389" s="2">
        <f t="shared" si="191"/>
        <v>80.450000000000017</v>
      </c>
      <c r="AL1389" s="5">
        <f t="shared" si="193"/>
        <v>0.33522230092920546</v>
      </c>
    </row>
    <row r="1390" spans="1:38" x14ac:dyDescent="0.2">
      <c r="A1390" s="2">
        <v>2025</v>
      </c>
      <c r="B1390" s="2">
        <v>7</v>
      </c>
      <c r="D1390" s="2" t="s">
        <v>530</v>
      </c>
      <c r="E1390" s="2" t="s">
        <v>108</v>
      </c>
      <c r="F1390" s="2" t="s">
        <v>531</v>
      </c>
      <c r="G1390" s="2">
        <v>502139552</v>
      </c>
      <c r="H1390" s="2" t="s">
        <v>40</v>
      </c>
      <c r="I1390" s="2" t="s">
        <v>339</v>
      </c>
      <c r="J1390" s="2" t="s">
        <v>532</v>
      </c>
      <c r="L1390" s="2" t="s">
        <v>339</v>
      </c>
      <c r="M1390" s="2" t="s">
        <v>80</v>
      </c>
      <c r="P1390" s="2" t="s">
        <v>72</v>
      </c>
      <c r="Q1390" s="2" t="s">
        <v>1605</v>
      </c>
      <c r="R1390" s="2" t="s">
        <v>207</v>
      </c>
      <c r="S1390" s="2">
        <v>1</v>
      </c>
      <c r="T1390" s="2">
        <v>475</v>
      </c>
      <c r="U1390" s="2">
        <v>109.25</v>
      </c>
      <c r="V1390" s="2">
        <v>584.25</v>
      </c>
      <c r="W1390" s="2">
        <v>257.04000000000002</v>
      </c>
      <c r="X1390" s="5">
        <f t="shared" si="192"/>
        <v>0.45886315789473681</v>
      </c>
      <c r="Z1390" s="2" t="s">
        <v>3227</v>
      </c>
      <c r="AA1390" s="2" t="s">
        <v>75</v>
      </c>
      <c r="AB1390" s="2" t="s">
        <v>76</v>
      </c>
      <c r="AC1390" s="2" t="s">
        <v>77</v>
      </c>
      <c r="AF1390" s="2">
        <f t="shared" si="188"/>
        <v>0</v>
      </c>
      <c r="AJ1390" s="2">
        <f t="shared" si="189"/>
        <v>0</v>
      </c>
      <c r="AK1390" s="2">
        <f t="shared" si="191"/>
        <v>217.95999999999998</v>
      </c>
      <c r="AL1390" s="5">
        <f t="shared" si="193"/>
        <v>0.45886315789473681</v>
      </c>
    </row>
    <row r="1391" spans="1:38" x14ac:dyDescent="0.2">
      <c r="A1391" s="2">
        <v>2025</v>
      </c>
      <c r="B1391" s="2">
        <v>7</v>
      </c>
      <c r="D1391" s="2" t="s">
        <v>530</v>
      </c>
      <c r="E1391" s="2" t="s">
        <v>108</v>
      </c>
      <c r="F1391" s="2" t="s">
        <v>531</v>
      </c>
      <c r="G1391" s="2">
        <v>502139552</v>
      </c>
      <c r="H1391" s="2" t="s">
        <v>40</v>
      </c>
      <c r="I1391" s="2" t="s">
        <v>339</v>
      </c>
      <c r="J1391" s="2" t="s">
        <v>532</v>
      </c>
      <c r="L1391" s="2" t="s">
        <v>339</v>
      </c>
      <c r="M1391" s="2" t="s">
        <v>40</v>
      </c>
      <c r="P1391" s="2" t="s">
        <v>40</v>
      </c>
      <c r="Q1391" s="2" t="s">
        <v>140</v>
      </c>
      <c r="R1391" s="2" t="s">
        <v>141</v>
      </c>
      <c r="S1391" s="2">
        <v>-1</v>
      </c>
      <c r="T1391" s="2">
        <v>-10.6</v>
      </c>
      <c r="U1391" s="2">
        <v>-2.4380000000000002</v>
      </c>
      <c r="V1391" s="2">
        <v>-13.038</v>
      </c>
      <c r="Z1391" s="2" t="s">
        <v>119</v>
      </c>
      <c r="AA1391" s="2" t="s">
        <v>142</v>
      </c>
      <c r="AF1391" s="2">
        <f t="shared" si="188"/>
        <v>0</v>
      </c>
      <c r="AJ1391" s="2">
        <f t="shared" si="189"/>
        <v>0</v>
      </c>
    </row>
    <row r="1392" spans="1:38" x14ac:dyDescent="0.2">
      <c r="A1392" s="2">
        <v>2025</v>
      </c>
      <c r="B1392" s="2">
        <v>7</v>
      </c>
      <c r="D1392" s="2" t="s">
        <v>530</v>
      </c>
      <c r="E1392" s="2" t="s">
        <v>108</v>
      </c>
      <c r="F1392" s="2" t="s">
        <v>531</v>
      </c>
      <c r="G1392" s="2">
        <v>502139552</v>
      </c>
      <c r="H1392" s="2" t="s">
        <v>40</v>
      </c>
      <c r="I1392" s="2" t="s">
        <v>339</v>
      </c>
      <c r="J1392" s="2" t="s">
        <v>532</v>
      </c>
      <c r="L1392" s="2" t="s">
        <v>339</v>
      </c>
      <c r="M1392" s="2" t="s">
        <v>80</v>
      </c>
      <c r="P1392" s="2" t="s">
        <v>93</v>
      </c>
      <c r="Q1392" s="2" t="s">
        <v>94</v>
      </c>
      <c r="R1392" s="2" t="s">
        <v>95</v>
      </c>
      <c r="S1392" s="2">
        <v>4</v>
      </c>
      <c r="T1392" s="2">
        <v>4.5599999999999996</v>
      </c>
      <c r="U1392" s="2">
        <v>1.0488</v>
      </c>
      <c r="V1392" s="2">
        <v>5.6087999999999996</v>
      </c>
      <c r="W1392" s="2">
        <v>4.5599999999999996</v>
      </c>
      <c r="X1392" s="5">
        <f t="shared" ref="X1392:X1397" si="194">(T1392-W1392)/T1392</f>
        <v>0</v>
      </c>
      <c r="Z1392" s="2" t="s">
        <v>3227</v>
      </c>
      <c r="AA1392" s="2" t="s">
        <v>96</v>
      </c>
      <c r="AB1392" s="2" t="s">
        <v>76</v>
      </c>
      <c r="AC1392" s="2" t="s">
        <v>93</v>
      </c>
      <c r="AF1392" s="2">
        <f t="shared" si="188"/>
        <v>0</v>
      </c>
      <c r="AJ1392" s="2">
        <f t="shared" si="189"/>
        <v>0</v>
      </c>
      <c r="AK1392" s="2">
        <f t="shared" ref="AK1392:AK1423" si="195">T1392-W1392</f>
        <v>0</v>
      </c>
      <c r="AL1392" s="5">
        <f t="shared" ref="AL1392:AL1397" si="196">(T1392-W1392)/T1392</f>
        <v>0</v>
      </c>
    </row>
    <row r="1393" spans="1:38" x14ac:dyDescent="0.2">
      <c r="A1393" s="2">
        <v>2025</v>
      </c>
      <c r="B1393" s="2">
        <v>7</v>
      </c>
      <c r="D1393" s="2" t="s">
        <v>1419</v>
      </c>
      <c r="M1393" s="2" t="s">
        <v>41</v>
      </c>
      <c r="P1393" s="2" t="s">
        <v>72</v>
      </c>
      <c r="Q1393" s="2" t="s">
        <v>73</v>
      </c>
      <c r="R1393" s="2" t="s">
        <v>74</v>
      </c>
      <c r="S1393" s="2">
        <v>1</v>
      </c>
      <c r="T1393" s="2">
        <v>210</v>
      </c>
      <c r="U1393" s="2">
        <v>48.3</v>
      </c>
      <c r="V1393" s="2">
        <v>258.3</v>
      </c>
      <c r="W1393" s="2">
        <v>117.453</v>
      </c>
      <c r="X1393" s="5">
        <f t="shared" si="194"/>
        <v>0.44069999999999998</v>
      </c>
      <c r="Z1393" s="2" t="s">
        <v>3227</v>
      </c>
      <c r="AA1393" s="2" t="s">
        <v>75</v>
      </c>
      <c r="AB1393" s="2" t="s">
        <v>76</v>
      </c>
      <c r="AC1393" s="2" t="s">
        <v>77</v>
      </c>
      <c r="AF1393" s="2">
        <f t="shared" si="188"/>
        <v>0</v>
      </c>
      <c r="AG1393" s="2">
        <v>117.453</v>
      </c>
      <c r="AH1393" s="2">
        <v>220</v>
      </c>
      <c r="AJ1393" s="2">
        <f t="shared" si="189"/>
        <v>0</v>
      </c>
      <c r="AK1393" s="2">
        <f t="shared" si="195"/>
        <v>92.546999999999997</v>
      </c>
      <c r="AL1393" s="5">
        <f t="shared" si="196"/>
        <v>0.44069999999999998</v>
      </c>
    </row>
    <row r="1394" spans="1:38" x14ac:dyDescent="0.2">
      <c r="A1394" s="2">
        <v>2025</v>
      </c>
      <c r="B1394" s="2">
        <v>7</v>
      </c>
      <c r="D1394" s="2" t="s">
        <v>1419</v>
      </c>
      <c r="M1394" s="2" t="s">
        <v>41</v>
      </c>
      <c r="P1394" s="2" t="s">
        <v>93</v>
      </c>
      <c r="Q1394" s="2" t="s">
        <v>94</v>
      </c>
      <c r="R1394" s="2" t="s">
        <v>95</v>
      </c>
      <c r="S1394" s="2">
        <v>1</v>
      </c>
      <c r="T1394" s="2">
        <v>1.1399999999999999</v>
      </c>
      <c r="U1394" s="2">
        <v>0.26219999999999999</v>
      </c>
      <c r="V1394" s="2">
        <v>1.4021999999999999</v>
      </c>
      <c r="W1394" s="2">
        <v>1.1399999999999999</v>
      </c>
      <c r="X1394" s="5">
        <f t="shared" si="194"/>
        <v>0</v>
      </c>
      <c r="Z1394" s="2" t="s">
        <v>3227</v>
      </c>
      <c r="AA1394" s="2" t="s">
        <v>96</v>
      </c>
      <c r="AB1394" s="2" t="s">
        <v>76</v>
      </c>
      <c r="AC1394" s="2" t="s">
        <v>93</v>
      </c>
      <c r="AF1394" s="2">
        <f t="shared" si="188"/>
        <v>0</v>
      </c>
      <c r="AJ1394" s="2">
        <f t="shared" si="189"/>
        <v>0</v>
      </c>
      <c r="AK1394" s="2">
        <f t="shared" si="195"/>
        <v>0</v>
      </c>
      <c r="AL1394" s="5">
        <f t="shared" si="196"/>
        <v>0</v>
      </c>
    </row>
    <row r="1395" spans="1:38" x14ac:dyDescent="0.2">
      <c r="A1395" s="2">
        <v>2025</v>
      </c>
      <c r="B1395" s="2">
        <v>7</v>
      </c>
      <c r="D1395" s="2" t="s">
        <v>549</v>
      </c>
      <c r="E1395" s="2" t="s">
        <v>108</v>
      </c>
      <c r="F1395" s="2" t="s">
        <v>395</v>
      </c>
      <c r="G1395" s="2">
        <v>503641790</v>
      </c>
      <c r="H1395" s="2" t="s">
        <v>40</v>
      </c>
      <c r="I1395" s="2" t="s">
        <v>550</v>
      </c>
      <c r="J1395" s="2" t="s">
        <v>551</v>
      </c>
      <c r="K1395" s="2">
        <v>917753665</v>
      </c>
      <c r="L1395" s="2" t="s">
        <v>99</v>
      </c>
      <c r="M1395" s="2" t="s">
        <v>40</v>
      </c>
      <c r="O1395" s="2" t="s">
        <v>1606</v>
      </c>
      <c r="P1395" s="2" t="s">
        <v>114</v>
      </c>
      <c r="Q1395" s="2" t="s">
        <v>1079</v>
      </c>
      <c r="R1395" s="2" t="s">
        <v>1080</v>
      </c>
      <c r="S1395" s="2">
        <v>1</v>
      </c>
      <c r="T1395" s="2">
        <v>66.41</v>
      </c>
      <c r="U1395" s="2">
        <v>15.2743</v>
      </c>
      <c r="V1395" s="2">
        <v>81.684299999999993</v>
      </c>
      <c r="W1395" s="2">
        <v>37.96</v>
      </c>
      <c r="X1395" s="5">
        <f t="shared" si="194"/>
        <v>0.4283993374491793</v>
      </c>
      <c r="Z1395" s="2" t="s">
        <v>117</v>
      </c>
      <c r="AA1395" s="2" t="s">
        <v>118</v>
      </c>
      <c r="AB1395" s="2" t="s">
        <v>119</v>
      </c>
      <c r="AC1395" s="2" t="s">
        <v>114</v>
      </c>
      <c r="AF1395" s="2">
        <f t="shared" si="188"/>
        <v>0</v>
      </c>
      <c r="AG1395" s="2">
        <v>37.96</v>
      </c>
      <c r="AJ1395" s="2">
        <f t="shared" si="189"/>
        <v>0</v>
      </c>
      <c r="AK1395" s="2">
        <f t="shared" si="195"/>
        <v>28.449999999999996</v>
      </c>
      <c r="AL1395" s="5">
        <f t="shared" si="196"/>
        <v>0.4283993374491793</v>
      </c>
    </row>
    <row r="1396" spans="1:38" x14ac:dyDescent="0.2">
      <c r="A1396" s="2">
        <v>2025</v>
      </c>
      <c r="B1396" s="2">
        <v>7</v>
      </c>
      <c r="D1396" s="2" t="s">
        <v>549</v>
      </c>
      <c r="E1396" s="2" t="s">
        <v>108</v>
      </c>
      <c r="F1396" s="2" t="s">
        <v>395</v>
      </c>
      <c r="G1396" s="2">
        <v>503641790</v>
      </c>
      <c r="H1396" s="2" t="s">
        <v>40</v>
      </c>
      <c r="I1396" s="2" t="s">
        <v>550</v>
      </c>
      <c r="J1396" s="2" t="s">
        <v>551</v>
      </c>
      <c r="K1396" s="2">
        <v>917753665</v>
      </c>
      <c r="L1396" s="2" t="s">
        <v>99</v>
      </c>
      <c r="M1396" s="2" t="s">
        <v>40</v>
      </c>
      <c r="O1396" s="2" t="s">
        <v>1607</v>
      </c>
      <c r="P1396" s="2" t="s">
        <v>1608</v>
      </c>
      <c r="Q1396" s="2" t="s">
        <v>1609</v>
      </c>
      <c r="R1396" s="2" t="s">
        <v>1610</v>
      </c>
      <c r="S1396" s="2">
        <v>2</v>
      </c>
      <c r="T1396" s="2">
        <v>121.06</v>
      </c>
      <c r="U1396" s="2">
        <v>27.843800000000002</v>
      </c>
      <c r="V1396" s="2">
        <v>148.90379999999999</v>
      </c>
      <c r="W1396" s="2">
        <v>32.024999999999999</v>
      </c>
      <c r="X1396" s="5">
        <f t="shared" si="194"/>
        <v>0.73546175450189988</v>
      </c>
      <c r="Z1396" s="2" t="s">
        <v>117</v>
      </c>
      <c r="AA1396" s="2" t="s">
        <v>118</v>
      </c>
      <c r="AB1396" s="2" t="s">
        <v>119</v>
      </c>
      <c r="AC1396" s="2" t="s">
        <v>1608</v>
      </c>
      <c r="AF1396" s="2">
        <f t="shared" si="188"/>
        <v>0</v>
      </c>
      <c r="AG1396" s="2">
        <v>32.024999999999999</v>
      </c>
      <c r="AJ1396" s="2">
        <f t="shared" si="189"/>
        <v>0</v>
      </c>
      <c r="AK1396" s="2">
        <f t="shared" si="195"/>
        <v>89.034999999999997</v>
      </c>
      <c r="AL1396" s="5">
        <f t="shared" si="196"/>
        <v>0.73546175450189988</v>
      </c>
    </row>
    <row r="1397" spans="1:38" x14ac:dyDescent="0.2">
      <c r="A1397" s="2">
        <v>2025</v>
      </c>
      <c r="B1397" s="2">
        <v>7</v>
      </c>
      <c r="D1397" s="2" t="s">
        <v>549</v>
      </c>
      <c r="E1397" s="2" t="s">
        <v>108</v>
      </c>
      <c r="F1397" s="2" t="s">
        <v>395</v>
      </c>
      <c r="G1397" s="2">
        <v>503641790</v>
      </c>
      <c r="H1397" s="2" t="s">
        <v>40</v>
      </c>
      <c r="I1397" s="2" t="s">
        <v>550</v>
      </c>
      <c r="J1397" s="2" t="s">
        <v>551</v>
      </c>
      <c r="K1397" s="2">
        <v>917753665</v>
      </c>
      <c r="L1397" s="2" t="s">
        <v>99</v>
      </c>
      <c r="M1397" s="2" t="s">
        <v>80</v>
      </c>
      <c r="O1397" s="2" t="s">
        <v>1611</v>
      </c>
      <c r="P1397" s="2" t="s">
        <v>72</v>
      </c>
      <c r="Q1397" s="2" t="s">
        <v>206</v>
      </c>
      <c r="R1397" s="2" t="s">
        <v>207</v>
      </c>
      <c r="S1397" s="2">
        <v>2</v>
      </c>
      <c r="T1397" s="2">
        <v>900</v>
      </c>
      <c r="U1397" s="2">
        <v>207</v>
      </c>
      <c r="V1397" s="2">
        <v>1107</v>
      </c>
      <c r="W1397" s="2">
        <f>291.59*S1397</f>
        <v>583.17999999999995</v>
      </c>
      <c r="X1397" s="5">
        <f t="shared" si="194"/>
        <v>0.35202222222222229</v>
      </c>
      <c r="Z1397" s="2" t="s">
        <v>3227</v>
      </c>
      <c r="AA1397" s="2" t="s">
        <v>75</v>
      </c>
      <c r="AB1397" s="2" t="s">
        <v>76</v>
      </c>
      <c r="AC1397" s="2" t="s">
        <v>77</v>
      </c>
      <c r="AF1397" s="2">
        <f t="shared" si="188"/>
        <v>0</v>
      </c>
      <c r="AG1397" s="2">
        <v>291.58999999999997</v>
      </c>
      <c r="AH1397" s="2">
        <v>450</v>
      </c>
      <c r="AJ1397" s="2">
        <f t="shared" si="189"/>
        <v>0</v>
      </c>
      <c r="AK1397" s="2">
        <f t="shared" si="195"/>
        <v>316.82000000000005</v>
      </c>
      <c r="AL1397" s="5">
        <f t="shared" si="196"/>
        <v>0.35202222222222229</v>
      </c>
    </row>
    <row r="1398" spans="1:38" x14ac:dyDescent="0.2">
      <c r="A1398" s="2">
        <v>2025</v>
      </c>
      <c r="B1398" s="2">
        <v>7</v>
      </c>
      <c r="D1398" s="2" t="s">
        <v>549</v>
      </c>
      <c r="E1398" s="2" t="s">
        <v>108</v>
      </c>
      <c r="F1398" s="2" t="s">
        <v>395</v>
      </c>
      <c r="G1398" s="2">
        <v>503641790</v>
      </c>
      <c r="H1398" s="2" t="s">
        <v>40</v>
      </c>
      <c r="I1398" s="2" t="s">
        <v>550</v>
      </c>
      <c r="J1398" s="2" t="s">
        <v>551</v>
      </c>
      <c r="K1398" s="2">
        <v>917753665</v>
      </c>
      <c r="L1398" s="2" t="s">
        <v>99</v>
      </c>
      <c r="M1398" s="2" t="s">
        <v>40</v>
      </c>
      <c r="O1398" s="2" t="s">
        <v>1607</v>
      </c>
      <c r="P1398" s="2" t="s">
        <v>187</v>
      </c>
      <c r="Q1398" s="2" t="s">
        <v>188</v>
      </c>
      <c r="R1398" s="2" t="s">
        <v>189</v>
      </c>
      <c r="S1398" s="2">
        <v>1</v>
      </c>
      <c r="T1398" s="2">
        <v>0</v>
      </c>
      <c r="U1398" s="2">
        <v>0</v>
      </c>
      <c r="V1398" s="2">
        <v>0</v>
      </c>
      <c r="W1398" s="2">
        <f>T1398*40%</f>
        <v>0</v>
      </c>
      <c r="X1398" s="5">
        <v>0</v>
      </c>
      <c r="Z1398" s="2" t="s">
        <v>117</v>
      </c>
      <c r="AA1398" s="2" t="s">
        <v>190</v>
      </c>
      <c r="AB1398" s="2" t="s">
        <v>189</v>
      </c>
      <c r="AC1398" s="2" t="s">
        <v>40</v>
      </c>
      <c r="AF1398" s="2">
        <f t="shared" si="188"/>
        <v>0</v>
      </c>
      <c r="AJ1398" s="2">
        <f t="shared" si="189"/>
        <v>0</v>
      </c>
      <c r="AK1398" s="2">
        <f t="shared" si="195"/>
        <v>0</v>
      </c>
      <c r="AL1398" s="5">
        <v>0</v>
      </c>
    </row>
    <row r="1399" spans="1:38" x14ac:dyDescent="0.2">
      <c r="A1399" s="2">
        <v>2025</v>
      </c>
      <c r="B1399" s="2">
        <v>7</v>
      </c>
      <c r="D1399" s="2" t="s">
        <v>549</v>
      </c>
      <c r="E1399" s="2" t="s">
        <v>108</v>
      </c>
      <c r="F1399" s="2" t="s">
        <v>395</v>
      </c>
      <c r="G1399" s="2">
        <v>503641790</v>
      </c>
      <c r="H1399" s="2" t="s">
        <v>40</v>
      </c>
      <c r="I1399" s="2" t="s">
        <v>550</v>
      </c>
      <c r="J1399" s="2" t="s">
        <v>551</v>
      </c>
      <c r="K1399" s="2">
        <v>917753665</v>
      </c>
      <c r="L1399" s="2" t="s">
        <v>99</v>
      </c>
      <c r="M1399" s="2" t="s">
        <v>40</v>
      </c>
      <c r="O1399" s="2" t="s">
        <v>1607</v>
      </c>
      <c r="P1399" s="2" t="s">
        <v>187</v>
      </c>
      <c r="Q1399" s="2" t="s">
        <v>191</v>
      </c>
      <c r="R1399" s="2" t="s">
        <v>190</v>
      </c>
      <c r="S1399" s="2">
        <v>3</v>
      </c>
      <c r="T1399" s="2">
        <v>135</v>
      </c>
      <c r="U1399" s="2">
        <v>31.05</v>
      </c>
      <c r="V1399" s="2">
        <v>166.05</v>
      </c>
      <c r="W1399" s="2">
        <f>T1399*50%</f>
        <v>67.5</v>
      </c>
      <c r="X1399" s="5">
        <f t="shared" ref="X1399:X1430" si="197">(T1399-W1399)/T1399</f>
        <v>0.5</v>
      </c>
      <c r="Z1399" s="2" t="s">
        <v>117</v>
      </c>
      <c r="AA1399" s="2" t="s">
        <v>190</v>
      </c>
      <c r="AB1399" s="2" t="s">
        <v>190</v>
      </c>
      <c r="AC1399" s="2" t="s">
        <v>40</v>
      </c>
      <c r="AF1399" s="2">
        <f t="shared" si="188"/>
        <v>0</v>
      </c>
      <c r="AJ1399" s="2">
        <f t="shared" si="189"/>
        <v>0</v>
      </c>
      <c r="AK1399" s="2">
        <f t="shared" si="195"/>
        <v>67.5</v>
      </c>
      <c r="AL1399" s="5">
        <f t="shared" ref="AL1399:AL1430" si="198">(T1399-W1399)/T1399</f>
        <v>0.5</v>
      </c>
    </row>
    <row r="1400" spans="1:38" x14ac:dyDescent="0.2">
      <c r="A1400" s="2">
        <v>2025</v>
      </c>
      <c r="B1400" s="2">
        <v>7</v>
      </c>
      <c r="D1400" s="2" t="s">
        <v>549</v>
      </c>
      <c r="E1400" s="2" t="s">
        <v>108</v>
      </c>
      <c r="F1400" s="2" t="s">
        <v>395</v>
      </c>
      <c r="G1400" s="2">
        <v>503641790</v>
      </c>
      <c r="H1400" s="2" t="s">
        <v>40</v>
      </c>
      <c r="I1400" s="2" t="s">
        <v>550</v>
      </c>
      <c r="J1400" s="2" t="s">
        <v>551</v>
      </c>
      <c r="K1400" s="2">
        <v>917753665</v>
      </c>
      <c r="L1400" s="2" t="s">
        <v>99</v>
      </c>
      <c r="M1400" s="2" t="s">
        <v>80</v>
      </c>
      <c r="O1400" s="2" t="s">
        <v>1611</v>
      </c>
      <c r="P1400" s="2" t="s">
        <v>93</v>
      </c>
      <c r="Q1400" s="2" t="s">
        <v>94</v>
      </c>
      <c r="R1400" s="2" t="s">
        <v>95</v>
      </c>
      <c r="S1400" s="2">
        <v>2</v>
      </c>
      <c r="T1400" s="2">
        <v>2.2799999999999998</v>
      </c>
      <c r="U1400" s="2">
        <v>0.52439999999999998</v>
      </c>
      <c r="V1400" s="2">
        <v>2.8043999999999998</v>
      </c>
      <c r="W1400" s="2">
        <v>2.2799999999999998</v>
      </c>
      <c r="X1400" s="5">
        <f t="shared" si="197"/>
        <v>0</v>
      </c>
      <c r="Z1400" s="2" t="s">
        <v>3227</v>
      </c>
      <c r="AA1400" s="2" t="s">
        <v>96</v>
      </c>
      <c r="AB1400" s="2" t="s">
        <v>76</v>
      </c>
      <c r="AC1400" s="2" t="s">
        <v>93</v>
      </c>
      <c r="AF1400" s="2">
        <f t="shared" si="188"/>
        <v>0</v>
      </c>
      <c r="AG1400" s="2">
        <v>1.1399999999999999</v>
      </c>
      <c r="AH1400" s="2">
        <v>1.1399999999999999</v>
      </c>
      <c r="AJ1400" s="2">
        <f t="shared" si="189"/>
        <v>0</v>
      </c>
      <c r="AK1400" s="2">
        <f t="shared" si="195"/>
        <v>0</v>
      </c>
      <c r="AL1400" s="5">
        <f t="shared" si="198"/>
        <v>0</v>
      </c>
    </row>
    <row r="1401" spans="1:38" x14ac:dyDescent="0.2">
      <c r="A1401" s="2">
        <v>2025</v>
      </c>
      <c r="B1401" s="2">
        <v>7</v>
      </c>
      <c r="D1401" s="2" t="s">
        <v>549</v>
      </c>
      <c r="E1401" s="2" t="s">
        <v>108</v>
      </c>
      <c r="F1401" s="2" t="s">
        <v>395</v>
      </c>
      <c r="G1401" s="2">
        <v>503641790</v>
      </c>
      <c r="H1401" s="2" t="s">
        <v>40</v>
      </c>
      <c r="I1401" s="2" t="s">
        <v>550</v>
      </c>
      <c r="J1401" s="2" t="s">
        <v>551</v>
      </c>
      <c r="K1401" s="2">
        <v>917753665</v>
      </c>
      <c r="L1401" s="2" t="s">
        <v>99</v>
      </c>
      <c r="M1401" s="2" t="s">
        <v>40</v>
      </c>
      <c r="O1401" s="2" t="s">
        <v>1607</v>
      </c>
      <c r="P1401" s="2" t="s">
        <v>40</v>
      </c>
      <c r="Q1401" s="2" t="s">
        <v>363</v>
      </c>
      <c r="R1401" s="2" t="s">
        <v>364</v>
      </c>
      <c r="S1401" s="2">
        <v>6</v>
      </c>
      <c r="T1401" s="2">
        <v>42.77</v>
      </c>
      <c r="U1401" s="2">
        <v>9.8371000000000013</v>
      </c>
      <c r="V1401" s="2">
        <v>52.607100000000003</v>
      </c>
      <c r="X1401" s="5">
        <f t="shared" si="197"/>
        <v>1</v>
      </c>
      <c r="Z1401" s="2" t="s">
        <v>119</v>
      </c>
      <c r="AA1401" s="2" t="s">
        <v>3380</v>
      </c>
      <c r="AF1401" s="2">
        <f t="shared" si="188"/>
        <v>0</v>
      </c>
      <c r="AJ1401" s="2">
        <f t="shared" si="189"/>
        <v>0</v>
      </c>
      <c r="AK1401" s="2">
        <f t="shared" si="195"/>
        <v>42.77</v>
      </c>
      <c r="AL1401" s="5">
        <f t="shared" si="198"/>
        <v>1</v>
      </c>
    </row>
    <row r="1402" spans="1:38" x14ac:dyDescent="0.2">
      <c r="A1402" s="2">
        <v>2025</v>
      </c>
      <c r="B1402" s="2">
        <v>7</v>
      </c>
      <c r="D1402" s="2" t="s">
        <v>558</v>
      </c>
      <c r="E1402" s="2" t="s">
        <v>108</v>
      </c>
      <c r="F1402" s="2" t="s">
        <v>39</v>
      </c>
      <c r="G1402" s="2">
        <v>506517233</v>
      </c>
      <c r="H1402" s="2" t="s">
        <v>80</v>
      </c>
      <c r="I1402" s="2" t="s">
        <v>559</v>
      </c>
      <c r="J1402" s="2" t="s">
        <v>560</v>
      </c>
      <c r="L1402" s="2" t="s">
        <v>133</v>
      </c>
      <c r="P1402" s="2" t="s">
        <v>72</v>
      </c>
      <c r="Q1402" s="2" t="s">
        <v>1612</v>
      </c>
      <c r="R1402" s="2" t="s">
        <v>207</v>
      </c>
      <c r="S1402" s="2">
        <v>1</v>
      </c>
      <c r="T1402" s="2">
        <v>350</v>
      </c>
      <c r="U1402" s="2">
        <v>80.5</v>
      </c>
      <c r="V1402" s="2">
        <v>430.5</v>
      </c>
      <c r="W1402" s="2">
        <v>261.07</v>
      </c>
      <c r="X1402" s="5">
        <f t="shared" si="197"/>
        <v>0.2540857142857143</v>
      </c>
      <c r="Z1402" s="2" t="s">
        <v>3227</v>
      </c>
      <c r="AA1402" s="2" t="s">
        <v>75</v>
      </c>
      <c r="AB1402" s="2" t="s">
        <v>76</v>
      </c>
      <c r="AC1402" s="2" t="s">
        <v>77</v>
      </c>
      <c r="AF1402" s="2">
        <f t="shared" si="188"/>
        <v>0</v>
      </c>
      <c r="AJ1402" s="2">
        <f t="shared" si="189"/>
        <v>0</v>
      </c>
      <c r="AK1402" s="2">
        <f t="shared" si="195"/>
        <v>88.93</v>
      </c>
      <c r="AL1402" s="5">
        <f t="shared" si="198"/>
        <v>0.2540857142857143</v>
      </c>
    </row>
    <row r="1403" spans="1:38" x14ac:dyDescent="0.2">
      <c r="A1403" s="2">
        <v>2025</v>
      </c>
      <c r="B1403" s="2">
        <v>7</v>
      </c>
      <c r="D1403" s="2" t="s">
        <v>558</v>
      </c>
      <c r="E1403" s="2" t="s">
        <v>108</v>
      </c>
      <c r="F1403" s="2" t="s">
        <v>39</v>
      </c>
      <c r="G1403" s="2">
        <v>506517233</v>
      </c>
      <c r="H1403" s="2" t="s">
        <v>80</v>
      </c>
      <c r="I1403" s="2" t="s">
        <v>559</v>
      </c>
      <c r="J1403" s="2" t="s">
        <v>560</v>
      </c>
      <c r="L1403" s="2" t="s">
        <v>133</v>
      </c>
      <c r="P1403" s="2" t="s">
        <v>93</v>
      </c>
      <c r="Q1403" s="2" t="s">
        <v>94</v>
      </c>
      <c r="R1403" s="2" t="s">
        <v>95</v>
      </c>
      <c r="S1403" s="2">
        <v>1</v>
      </c>
      <c r="T1403" s="2">
        <v>1.1399999999999999</v>
      </c>
      <c r="U1403" s="2">
        <v>0.26219999999999999</v>
      </c>
      <c r="V1403" s="2">
        <v>1.4021999999999999</v>
      </c>
      <c r="W1403" s="2">
        <v>1.1399999999999999</v>
      </c>
      <c r="X1403" s="5">
        <f t="shared" si="197"/>
        <v>0</v>
      </c>
      <c r="Z1403" s="2" t="s">
        <v>3227</v>
      </c>
      <c r="AA1403" s="2" t="s">
        <v>96</v>
      </c>
      <c r="AB1403" s="2" t="s">
        <v>76</v>
      </c>
      <c r="AC1403" s="2" t="s">
        <v>93</v>
      </c>
      <c r="AF1403" s="2">
        <f t="shared" si="188"/>
        <v>0</v>
      </c>
      <c r="AJ1403" s="2">
        <f t="shared" si="189"/>
        <v>0</v>
      </c>
      <c r="AK1403" s="2">
        <f t="shared" si="195"/>
        <v>0</v>
      </c>
      <c r="AL1403" s="5">
        <f t="shared" si="198"/>
        <v>0</v>
      </c>
    </row>
    <row r="1404" spans="1:38" x14ac:dyDescent="0.2">
      <c r="A1404" s="2">
        <v>2025</v>
      </c>
      <c r="B1404" s="2">
        <v>7</v>
      </c>
      <c r="D1404" s="2" t="s">
        <v>1613</v>
      </c>
      <c r="E1404" s="2" t="s">
        <v>108</v>
      </c>
      <c r="F1404" s="2" t="s">
        <v>39</v>
      </c>
      <c r="G1404" s="2">
        <v>502930268</v>
      </c>
      <c r="H1404" s="2" t="s">
        <v>41</v>
      </c>
      <c r="I1404" s="2" t="s">
        <v>1614</v>
      </c>
      <c r="J1404" s="2" t="s">
        <v>1615</v>
      </c>
      <c r="K1404" s="2">
        <v>917259016</v>
      </c>
      <c r="L1404" s="2" t="s">
        <v>99</v>
      </c>
      <c r="M1404" s="2" t="s">
        <v>41</v>
      </c>
      <c r="O1404" s="2" t="s">
        <v>1616</v>
      </c>
      <c r="P1404" s="2" t="s">
        <v>72</v>
      </c>
      <c r="Q1404" s="2" t="s">
        <v>73</v>
      </c>
      <c r="R1404" s="2" t="s">
        <v>74</v>
      </c>
      <c r="S1404" s="2">
        <v>1</v>
      </c>
      <c r="T1404" s="2">
        <v>220</v>
      </c>
      <c r="U1404" s="2">
        <v>50.6</v>
      </c>
      <c r="V1404" s="2">
        <v>270.60000000000002</v>
      </c>
      <c r="W1404" s="2">
        <v>117.453</v>
      </c>
      <c r="X1404" s="5">
        <f t="shared" si="197"/>
        <v>0.46612272727272724</v>
      </c>
      <c r="Z1404" s="2" t="s">
        <v>3227</v>
      </c>
      <c r="AA1404" s="2" t="s">
        <v>75</v>
      </c>
      <c r="AB1404" s="2" t="s">
        <v>76</v>
      </c>
      <c r="AC1404" s="2" t="s">
        <v>77</v>
      </c>
      <c r="AF1404" s="2">
        <f t="shared" si="188"/>
        <v>0</v>
      </c>
      <c r="AG1404" s="2">
        <v>117.453</v>
      </c>
      <c r="AH1404" s="2">
        <v>220</v>
      </c>
      <c r="AJ1404" s="2">
        <f t="shared" si="189"/>
        <v>0</v>
      </c>
      <c r="AK1404" s="2">
        <f t="shared" si="195"/>
        <v>102.547</v>
      </c>
      <c r="AL1404" s="5">
        <f t="shared" si="198"/>
        <v>0.46612272727272724</v>
      </c>
    </row>
    <row r="1405" spans="1:38" x14ac:dyDescent="0.2">
      <c r="A1405" s="2">
        <v>2025</v>
      </c>
      <c r="B1405" s="2">
        <v>7</v>
      </c>
      <c r="D1405" s="2" t="s">
        <v>1613</v>
      </c>
      <c r="E1405" s="2" t="s">
        <v>108</v>
      </c>
      <c r="F1405" s="2" t="s">
        <v>39</v>
      </c>
      <c r="G1405" s="2">
        <v>502930268</v>
      </c>
      <c r="H1405" s="2" t="s">
        <v>41</v>
      </c>
      <c r="I1405" s="2" t="s">
        <v>1614</v>
      </c>
      <c r="J1405" s="2" t="s">
        <v>1615</v>
      </c>
      <c r="K1405" s="2">
        <v>917259016</v>
      </c>
      <c r="L1405" s="2" t="s">
        <v>99</v>
      </c>
      <c r="M1405" s="2" t="s">
        <v>41</v>
      </c>
      <c r="O1405" s="2" t="s">
        <v>1616</v>
      </c>
      <c r="P1405" s="2" t="s">
        <v>72</v>
      </c>
      <c r="Q1405" s="2" t="s">
        <v>1617</v>
      </c>
      <c r="R1405" s="2" t="s">
        <v>995</v>
      </c>
      <c r="S1405" s="2">
        <v>1</v>
      </c>
      <c r="T1405" s="2">
        <v>345</v>
      </c>
      <c r="U1405" s="2">
        <v>79.350000000000009</v>
      </c>
      <c r="V1405" s="2">
        <v>424.35</v>
      </c>
      <c r="W1405" s="2">
        <v>191.52</v>
      </c>
      <c r="X1405" s="5">
        <f t="shared" si="197"/>
        <v>0.44486956521739129</v>
      </c>
      <c r="Z1405" s="2" t="s">
        <v>3227</v>
      </c>
      <c r="AA1405" s="2" t="s">
        <v>75</v>
      </c>
      <c r="AB1405" s="2" t="s">
        <v>76</v>
      </c>
      <c r="AC1405" s="2" t="s">
        <v>77</v>
      </c>
      <c r="AF1405" s="2">
        <f t="shared" si="188"/>
        <v>0</v>
      </c>
      <c r="AJ1405" s="2">
        <f t="shared" si="189"/>
        <v>0</v>
      </c>
      <c r="AK1405" s="2">
        <f t="shared" si="195"/>
        <v>153.47999999999999</v>
      </c>
      <c r="AL1405" s="5">
        <f t="shared" si="198"/>
        <v>0.44486956521739129</v>
      </c>
    </row>
    <row r="1406" spans="1:38" x14ac:dyDescent="0.2">
      <c r="A1406" s="2">
        <v>2025</v>
      </c>
      <c r="B1406" s="2">
        <v>7</v>
      </c>
      <c r="D1406" s="2" t="s">
        <v>1613</v>
      </c>
      <c r="E1406" s="2" t="s">
        <v>108</v>
      </c>
      <c r="F1406" s="2" t="s">
        <v>39</v>
      </c>
      <c r="G1406" s="2">
        <v>502930268</v>
      </c>
      <c r="H1406" s="2" t="s">
        <v>41</v>
      </c>
      <c r="I1406" s="2" t="s">
        <v>1614</v>
      </c>
      <c r="J1406" s="2" t="s">
        <v>1615</v>
      </c>
      <c r="K1406" s="2">
        <v>917259016</v>
      </c>
      <c r="L1406" s="2" t="s">
        <v>99</v>
      </c>
      <c r="M1406" s="2" t="s">
        <v>41</v>
      </c>
      <c r="O1406" s="2" t="s">
        <v>1616</v>
      </c>
      <c r="P1406" s="2" t="s">
        <v>93</v>
      </c>
      <c r="Q1406" s="2" t="s">
        <v>94</v>
      </c>
      <c r="R1406" s="2" t="s">
        <v>95</v>
      </c>
      <c r="S1406" s="2">
        <v>2</v>
      </c>
      <c r="T1406" s="2">
        <v>2.2799999999999998</v>
      </c>
      <c r="U1406" s="2">
        <v>0.52439999999999998</v>
      </c>
      <c r="V1406" s="2">
        <v>2.8043999999999998</v>
      </c>
      <c r="W1406" s="2">
        <v>2.2799999999999998</v>
      </c>
      <c r="X1406" s="5">
        <f t="shared" si="197"/>
        <v>0</v>
      </c>
      <c r="Z1406" s="2" t="s">
        <v>3227</v>
      </c>
      <c r="AA1406" s="2" t="s">
        <v>96</v>
      </c>
      <c r="AB1406" s="2" t="s">
        <v>76</v>
      </c>
      <c r="AC1406" s="2" t="s">
        <v>93</v>
      </c>
      <c r="AF1406" s="2">
        <f t="shared" si="188"/>
        <v>0</v>
      </c>
      <c r="AJ1406" s="2">
        <f t="shared" si="189"/>
        <v>0</v>
      </c>
      <c r="AK1406" s="2">
        <f t="shared" si="195"/>
        <v>0</v>
      </c>
      <c r="AL1406" s="5">
        <f t="shared" si="198"/>
        <v>0</v>
      </c>
    </row>
    <row r="1407" spans="1:38" x14ac:dyDescent="0.2">
      <c r="A1407" s="2">
        <v>2025</v>
      </c>
      <c r="B1407" s="2">
        <v>7</v>
      </c>
      <c r="D1407" s="2" t="s">
        <v>563</v>
      </c>
      <c r="E1407" s="2" t="s">
        <v>108</v>
      </c>
      <c r="F1407" s="2" t="s">
        <v>39</v>
      </c>
      <c r="G1407" s="2">
        <v>510917011</v>
      </c>
      <c r="H1407" s="2" t="s">
        <v>41</v>
      </c>
      <c r="I1407" s="2" t="s">
        <v>564</v>
      </c>
      <c r="J1407" s="2" t="s">
        <v>565</v>
      </c>
      <c r="L1407" s="2" t="s">
        <v>418</v>
      </c>
      <c r="M1407" s="2" t="s">
        <v>41</v>
      </c>
      <c r="O1407" s="2" t="s">
        <v>1618</v>
      </c>
      <c r="P1407" s="2" t="s">
        <v>68</v>
      </c>
      <c r="Q1407" s="2" t="s">
        <v>1619</v>
      </c>
      <c r="R1407" s="2" t="s">
        <v>1620</v>
      </c>
      <c r="S1407" s="2">
        <v>1</v>
      </c>
      <c r="T1407" s="2">
        <v>2270</v>
      </c>
      <c r="U1407" s="2">
        <v>522.1</v>
      </c>
      <c r="V1407" s="2">
        <v>2792.1</v>
      </c>
      <c r="W1407" s="2">
        <v>1483.25</v>
      </c>
      <c r="X1407" s="5">
        <f t="shared" si="197"/>
        <v>0.34658590308370046</v>
      </c>
      <c r="Z1407" s="2" t="s">
        <v>104</v>
      </c>
      <c r="AA1407" s="2" t="s">
        <v>264</v>
      </c>
      <c r="AB1407" s="2" t="s">
        <v>1095</v>
      </c>
      <c r="AC1407" s="2" t="s">
        <v>3231</v>
      </c>
      <c r="AF1407" s="2">
        <f t="shared" si="188"/>
        <v>0</v>
      </c>
      <c r="AJ1407" s="2">
        <f t="shared" si="189"/>
        <v>0</v>
      </c>
      <c r="AK1407" s="2">
        <f t="shared" si="195"/>
        <v>786.75</v>
      </c>
      <c r="AL1407" s="5">
        <f t="shared" si="198"/>
        <v>0.34658590308370046</v>
      </c>
    </row>
    <row r="1408" spans="1:38" x14ac:dyDescent="0.2">
      <c r="A1408" s="2">
        <v>2025</v>
      </c>
      <c r="B1408" s="2">
        <v>7</v>
      </c>
      <c r="D1408" s="2" t="s">
        <v>1621</v>
      </c>
      <c r="M1408" s="2" t="s">
        <v>109</v>
      </c>
      <c r="P1408" s="2" t="s">
        <v>114</v>
      </c>
      <c r="Q1408" s="2" t="s">
        <v>672</v>
      </c>
      <c r="R1408" s="2" t="s">
        <v>673</v>
      </c>
      <c r="S1408" s="2">
        <v>1</v>
      </c>
      <c r="T1408" s="2">
        <v>14.95</v>
      </c>
      <c r="U1408" s="2">
        <v>3.4384999999999999</v>
      </c>
      <c r="V1408" s="2">
        <v>18.388500000000001</v>
      </c>
      <c r="X1408" s="5">
        <f t="shared" si="197"/>
        <v>1</v>
      </c>
      <c r="Z1408" s="2" t="s">
        <v>117</v>
      </c>
      <c r="AF1408" s="2">
        <f t="shared" si="188"/>
        <v>0</v>
      </c>
      <c r="AJ1408" s="2">
        <f t="shared" si="189"/>
        <v>0</v>
      </c>
      <c r="AK1408" s="2">
        <f t="shared" si="195"/>
        <v>14.95</v>
      </c>
      <c r="AL1408" s="5">
        <f t="shared" si="198"/>
        <v>1</v>
      </c>
    </row>
    <row r="1409" spans="1:38" x14ac:dyDescent="0.2">
      <c r="A1409" s="2">
        <v>2025</v>
      </c>
      <c r="B1409" s="2">
        <v>7</v>
      </c>
      <c r="D1409" s="2" t="s">
        <v>889</v>
      </c>
      <c r="E1409" s="2" t="s">
        <v>108</v>
      </c>
      <c r="F1409" s="2" t="s">
        <v>39</v>
      </c>
      <c r="G1409" s="2">
        <v>507216970</v>
      </c>
      <c r="H1409" s="2" t="s">
        <v>41</v>
      </c>
      <c r="I1409" s="2" t="s">
        <v>890</v>
      </c>
      <c r="J1409" s="2" t="s">
        <v>891</v>
      </c>
      <c r="L1409" s="2" t="s">
        <v>99</v>
      </c>
      <c r="M1409" s="2" t="s">
        <v>41</v>
      </c>
      <c r="P1409" s="2" t="s">
        <v>282</v>
      </c>
      <c r="Q1409" s="2" t="s">
        <v>1510</v>
      </c>
      <c r="R1409" s="2" t="s">
        <v>1511</v>
      </c>
      <c r="S1409" s="2">
        <v>4</v>
      </c>
      <c r="T1409" s="2">
        <v>180</v>
      </c>
      <c r="U1409" s="2">
        <v>41.4</v>
      </c>
      <c r="V1409" s="2">
        <v>221.4</v>
      </c>
      <c r="W1409" s="2">
        <f>27.445*S1409</f>
        <v>109.78</v>
      </c>
      <c r="X1409" s="5">
        <f t="shared" si="197"/>
        <v>0.39011111111111113</v>
      </c>
      <c r="Z1409" s="2" t="s">
        <v>3227</v>
      </c>
      <c r="AA1409" s="2" t="s">
        <v>71</v>
      </c>
      <c r="AB1409" s="2" t="s">
        <v>1600</v>
      </c>
      <c r="AC1409" s="2" t="s">
        <v>1600</v>
      </c>
      <c r="AF1409" s="2">
        <f t="shared" si="188"/>
        <v>0</v>
      </c>
      <c r="AJ1409" s="2">
        <f t="shared" si="189"/>
        <v>0</v>
      </c>
      <c r="AK1409" s="2">
        <f t="shared" si="195"/>
        <v>70.22</v>
      </c>
      <c r="AL1409" s="5">
        <f t="shared" si="198"/>
        <v>0.39011111111111113</v>
      </c>
    </row>
    <row r="1410" spans="1:38" x14ac:dyDescent="0.2">
      <c r="A1410" s="2">
        <v>2025</v>
      </c>
      <c r="B1410" s="2">
        <v>7</v>
      </c>
      <c r="D1410" s="2" t="s">
        <v>893</v>
      </c>
      <c r="E1410" s="2" t="s">
        <v>38</v>
      </c>
      <c r="F1410" s="2" t="s">
        <v>717</v>
      </c>
      <c r="L1410" s="2" t="s">
        <v>461</v>
      </c>
      <c r="M1410" s="2" t="s">
        <v>41</v>
      </c>
      <c r="P1410" s="2" t="s">
        <v>43</v>
      </c>
      <c r="Q1410" s="2" t="s">
        <v>1363</v>
      </c>
      <c r="R1410" s="2" t="s">
        <v>1364</v>
      </c>
      <c r="S1410" s="2">
        <v>2</v>
      </c>
      <c r="T1410" s="2">
        <v>51.6</v>
      </c>
      <c r="U1410" s="2">
        <v>11.868</v>
      </c>
      <c r="V1410" s="2">
        <v>63.468000000000004</v>
      </c>
      <c r="W1410" s="2">
        <f>9.75*S1410</f>
        <v>19.5</v>
      </c>
      <c r="X1410" s="5">
        <f t="shared" si="197"/>
        <v>0.62209302325581395</v>
      </c>
      <c r="Z1410" s="2" t="s">
        <v>3227</v>
      </c>
      <c r="AA1410" s="2" t="s">
        <v>46</v>
      </c>
      <c r="AB1410" s="2" t="s">
        <v>47</v>
      </c>
      <c r="AC1410" s="2" t="s">
        <v>57</v>
      </c>
      <c r="AF1410" s="2">
        <f t="shared" ref="AF1410:AF1473" si="199">AJ1410</f>
        <v>0</v>
      </c>
      <c r="AJ1410" s="2">
        <f t="shared" ref="AJ1410:AJ1473" si="200">AI1410*T1410</f>
        <v>0</v>
      </c>
      <c r="AK1410" s="2">
        <f t="shared" si="195"/>
        <v>32.1</v>
      </c>
      <c r="AL1410" s="5">
        <f t="shared" si="198"/>
        <v>0.62209302325581395</v>
      </c>
    </row>
    <row r="1411" spans="1:38" x14ac:dyDescent="0.2">
      <c r="A1411" s="2">
        <v>2025</v>
      </c>
      <c r="B1411" s="2">
        <v>7</v>
      </c>
      <c r="D1411" s="2" t="s">
        <v>893</v>
      </c>
      <c r="E1411" s="2" t="s">
        <v>38</v>
      </c>
      <c r="F1411" s="2" t="s">
        <v>717</v>
      </c>
      <c r="L1411" s="2" t="s">
        <v>461</v>
      </c>
      <c r="M1411" s="2" t="s">
        <v>41</v>
      </c>
      <c r="P1411" s="2" t="s">
        <v>43</v>
      </c>
      <c r="Q1411" s="2" t="s">
        <v>61</v>
      </c>
      <c r="R1411" s="2" t="s">
        <v>62</v>
      </c>
      <c r="S1411" s="2">
        <v>3000</v>
      </c>
      <c r="T1411" s="2">
        <v>315</v>
      </c>
      <c r="U1411" s="2">
        <v>72.45</v>
      </c>
      <c r="V1411" s="2">
        <v>387.45</v>
      </c>
      <c r="W1411" s="2">
        <f>0.082*S1411</f>
        <v>246</v>
      </c>
      <c r="X1411" s="5">
        <f t="shared" si="197"/>
        <v>0.21904761904761905</v>
      </c>
      <c r="Z1411" s="2" t="s">
        <v>3227</v>
      </c>
      <c r="AA1411" s="2" t="s">
        <v>46</v>
      </c>
      <c r="AB1411" s="2" t="s">
        <v>60</v>
      </c>
      <c r="AC1411" s="2" t="s">
        <v>57</v>
      </c>
      <c r="AF1411" s="2">
        <f t="shared" si="199"/>
        <v>0</v>
      </c>
      <c r="AG1411" s="2">
        <v>8.1999999999999993</v>
      </c>
      <c r="AH1411" s="2">
        <v>13</v>
      </c>
      <c r="AJ1411" s="2">
        <f t="shared" si="200"/>
        <v>0</v>
      </c>
      <c r="AK1411" s="2">
        <f t="shared" si="195"/>
        <v>69</v>
      </c>
      <c r="AL1411" s="5">
        <f t="shared" si="198"/>
        <v>0.21904761904761905</v>
      </c>
    </row>
    <row r="1412" spans="1:38" x14ac:dyDescent="0.2">
      <c r="A1412" s="2">
        <v>2025</v>
      </c>
      <c r="B1412" s="2">
        <v>7</v>
      </c>
      <c r="D1412" s="2" t="s">
        <v>894</v>
      </c>
      <c r="P1412" s="2" t="s">
        <v>72</v>
      </c>
      <c r="Q1412" s="2" t="s">
        <v>73</v>
      </c>
      <c r="R1412" s="2" t="s">
        <v>74</v>
      </c>
      <c r="S1412" s="2">
        <v>1</v>
      </c>
      <c r="T1412" s="2">
        <v>220</v>
      </c>
      <c r="U1412" s="2">
        <v>50.6</v>
      </c>
      <c r="V1412" s="2">
        <v>270.60000000000002</v>
      </c>
      <c r="W1412" s="2">
        <v>117.453</v>
      </c>
      <c r="X1412" s="5">
        <f t="shared" si="197"/>
        <v>0.46612272727272724</v>
      </c>
      <c r="Z1412" s="2" t="s">
        <v>3227</v>
      </c>
      <c r="AA1412" s="2" t="s">
        <v>75</v>
      </c>
      <c r="AB1412" s="2" t="s">
        <v>76</v>
      </c>
      <c r="AC1412" s="2" t="s">
        <v>77</v>
      </c>
      <c r="AF1412" s="2">
        <f t="shared" si="199"/>
        <v>0</v>
      </c>
      <c r="AG1412" s="2">
        <v>117.453</v>
      </c>
      <c r="AH1412" s="2">
        <v>220</v>
      </c>
      <c r="AJ1412" s="2">
        <f t="shared" si="200"/>
        <v>0</v>
      </c>
      <c r="AK1412" s="2">
        <f t="shared" si="195"/>
        <v>102.547</v>
      </c>
      <c r="AL1412" s="5">
        <f t="shared" si="198"/>
        <v>0.46612272727272724</v>
      </c>
    </row>
    <row r="1413" spans="1:38" x14ac:dyDescent="0.2">
      <c r="A1413" s="2">
        <v>2025</v>
      </c>
      <c r="B1413" s="2">
        <v>7</v>
      </c>
      <c r="D1413" s="2" t="s">
        <v>894</v>
      </c>
      <c r="P1413" s="2" t="s">
        <v>93</v>
      </c>
      <c r="Q1413" s="2" t="s">
        <v>94</v>
      </c>
      <c r="R1413" s="2" t="s">
        <v>95</v>
      </c>
      <c r="S1413" s="2">
        <v>1</v>
      </c>
      <c r="T1413" s="2">
        <v>1.1399999999999999</v>
      </c>
      <c r="U1413" s="2">
        <v>0.26219999999999999</v>
      </c>
      <c r="V1413" s="2">
        <v>1.4021999999999999</v>
      </c>
      <c r="W1413" s="2">
        <v>1.1399999999999999</v>
      </c>
      <c r="X1413" s="5">
        <f t="shared" si="197"/>
        <v>0</v>
      </c>
      <c r="Z1413" s="2" t="s">
        <v>3227</v>
      </c>
      <c r="AA1413" s="2" t="s">
        <v>96</v>
      </c>
      <c r="AB1413" s="2" t="s">
        <v>76</v>
      </c>
      <c r="AC1413" s="2" t="s">
        <v>93</v>
      </c>
      <c r="AF1413" s="2">
        <f t="shared" si="199"/>
        <v>0</v>
      </c>
      <c r="AJ1413" s="2">
        <f t="shared" si="200"/>
        <v>0</v>
      </c>
      <c r="AK1413" s="2">
        <f t="shared" si="195"/>
        <v>0</v>
      </c>
      <c r="AL1413" s="5">
        <f t="shared" si="198"/>
        <v>0</v>
      </c>
    </row>
    <row r="1414" spans="1:38" x14ac:dyDescent="0.2">
      <c r="A1414" s="2">
        <v>2025</v>
      </c>
      <c r="B1414" s="2">
        <v>7</v>
      </c>
      <c r="D1414" s="2" t="s">
        <v>1622</v>
      </c>
      <c r="E1414" s="2" t="s">
        <v>108</v>
      </c>
      <c r="F1414" s="2" t="s">
        <v>477</v>
      </c>
      <c r="G1414" s="2">
        <v>504161342</v>
      </c>
      <c r="H1414" s="2" t="s">
        <v>290</v>
      </c>
      <c r="I1414" s="2" t="s">
        <v>1623</v>
      </c>
      <c r="J1414" s="2" t="s">
        <v>1624</v>
      </c>
      <c r="L1414" s="2" t="s">
        <v>293</v>
      </c>
      <c r="M1414" s="2" t="s">
        <v>290</v>
      </c>
      <c r="O1414" s="2" t="s">
        <v>1625</v>
      </c>
      <c r="P1414" s="2" t="s">
        <v>282</v>
      </c>
      <c r="Q1414" s="2" t="s">
        <v>1626</v>
      </c>
      <c r="R1414" s="2" t="s">
        <v>1627</v>
      </c>
      <c r="S1414" s="2">
        <v>1</v>
      </c>
      <c r="T1414" s="2">
        <v>369</v>
      </c>
      <c r="U1414" s="2">
        <v>84.87</v>
      </c>
      <c r="V1414" s="2">
        <v>453.87</v>
      </c>
      <c r="W1414" s="2">
        <v>209.3</v>
      </c>
      <c r="X1414" s="5">
        <f t="shared" si="197"/>
        <v>0.43279132791327912</v>
      </c>
      <c r="Z1414" s="2" t="s">
        <v>3227</v>
      </c>
      <c r="AA1414" s="2" t="s">
        <v>71</v>
      </c>
      <c r="AB1414" s="2" t="s">
        <v>1600</v>
      </c>
      <c r="AC1414" s="2" t="s">
        <v>1600</v>
      </c>
      <c r="AF1414" s="2">
        <f t="shared" si="199"/>
        <v>0</v>
      </c>
      <c r="AG1414" s="2">
        <v>209.3</v>
      </c>
      <c r="AJ1414" s="2">
        <f t="shared" si="200"/>
        <v>0</v>
      </c>
      <c r="AK1414" s="2">
        <f t="shared" si="195"/>
        <v>159.69999999999999</v>
      </c>
      <c r="AL1414" s="5">
        <f t="shared" si="198"/>
        <v>0.43279132791327912</v>
      </c>
    </row>
    <row r="1415" spans="1:38" x14ac:dyDescent="0.2">
      <c r="A1415" s="2">
        <v>2025</v>
      </c>
      <c r="B1415" s="2">
        <v>7</v>
      </c>
      <c r="D1415" s="2" t="s">
        <v>1622</v>
      </c>
      <c r="E1415" s="2" t="s">
        <v>108</v>
      </c>
      <c r="F1415" s="2" t="s">
        <v>477</v>
      </c>
      <c r="G1415" s="2">
        <v>504161342</v>
      </c>
      <c r="H1415" s="2" t="s">
        <v>290</v>
      </c>
      <c r="I1415" s="2" t="s">
        <v>1623</v>
      </c>
      <c r="J1415" s="2" t="s">
        <v>1624</v>
      </c>
      <c r="L1415" s="2" t="s">
        <v>293</v>
      </c>
      <c r="M1415" s="2" t="s">
        <v>1172</v>
      </c>
      <c r="O1415" s="2" t="s">
        <v>1628</v>
      </c>
      <c r="P1415" s="2" t="s">
        <v>282</v>
      </c>
      <c r="Q1415" s="2" t="s">
        <v>1629</v>
      </c>
      <c r="R1415" s="2" t="s">
        <v>1630</v>
      </c>
      <c r="S1415" s="2">
        <v>1</v>
      </c>
      <c r="T1415" s="2">
        <v>249</v>
      </c>
      <c r="U1415" s="2">
        <v>57.27</v>
      </c>
      <c r="V1415" s="2">
        <v>306.27</v>
      </c>
      <c r="W1415" s="2">
        <v>136.94999999999999</v>
      </c>
      <c r="X1415" s="5">
        <f t="shared" si="197"/>
        <v>0.45000000000000007</v>
      </c>
      <c r="Z1415" s="2" t="s">
        <v>3227</v>
      </c>
      <c r="AA1415" s="2" t="s">
        <v>71</v>
      </c>
      <c r="AB1415" s="2" t="s">
        <v>119</v>
      </c>
      <c r="AC1415" s="2" t="s">
        <v>119</v>
      </c>
      <c r="AF1415" s="2">
        <f t="shared" si="199"/>
        <v>0</v>
      </c>
      <c r="AG1415" s="2">
        <v>136.94999999999999</v>
      </c>
      <c r="AJ1415" s="2">
        <f t="shared" si="200"/>
        <v>0</v>
      </c>
      <c r="AK1415" s="2">
        <f t="shared" si="195"/>
        <v>112.05000000000001</v>
      </c>
      <c r="AL1415" s="5">
        <f t="shared" si="198"/>
        <v>0.45000000000000007</v>
      </c>
    </row>
    <row r="1416" spans="1:38" x14ac:dyDescent="0.2">
      <c r="A1416" s="2">
        <v>2025</v>
      </c>
      <c r="B1416" s="2">
        <v>7</v>
      </c>
      <c r="D1416" s="2" t="s">
        <v>1622</v>
      </c>
      <c r="E1416" s="2" t="s">
        <v>108</v>
      </c>
      <c r="F1416" s="2" t="s">
        <v>477</v>
      </c>
      <c r="G1416" s="2">
        <v>504161342</v>
      </c>
      <c r="H1416" s="2" t="s">
        <v>290</v>
      </c>
      <c r="I1416" s="2" t="s">
        <v>1623</v>
      </c>
      <c r="J1416" s="2" t="s">
        <v>1624</v>
      </c>
      <c r="L1416" s="2" t="s">
        <v>293</v>
      </c>
      <c r="M1416" s="2" t="s">
        <v>1172</v>
      </c>
      <c r="O1416" s="2" t="s">
        <v>1628</v>
      </c>
      <c r="P1416" s="2" t="s">
        <v>282</v>
      </c>
      <c r="Q1416" s="2" t="s">
        <v>1631</v>
      </c>
      <c r="R1416" s="2" t="s">
        <v>1632</v>
      </c>
      <c r="S1416" s="2">
        <v>2</v>
      </c>
      <c r="T1416" s="2">
        <v>198</v>
      </c>
      <c r="U1416" s="2">
        <v>45.54</v>
      </c>
      <c r="V1416" s="2">
        <v>243.54</v>
      </c>
      <c r="W1416" s="2">
        <f>64.35*S1416</f>
        <v>128.69999999999999</v>
      </c>
      <c r="X1416" s="5">
        <f t="shared" si="197"/>
        <v>0.35000000000000003</v>
      </c>
      <c r="Z1416" s="2" t="s">
        <v>3227</v>
      </c>
      <c r="AA1416" s="2" t="s">
        <v>71</v>
      </c>
      <c r="AB1416" s="2" t="s">
        <v>119</v>
      </c>
      <c r="AC1416" s="2" t="s">
        <v>119</v>
      </c>
      <c r="AF1416" s="2">
        <f t="shared" si="199"/>
        <v>0</v>
      </c>
      <c r="AG1416" s="2">
        <v>64.349999999999994</v>
      </c>
      <c r="AJ1416" s="2">
        <f t="shared" si="200"/>
        <v>0</v>
      </c>
      <c r="AK1416" s="2">
        <f t="shared" si="195"/>
        <v>69.300000000000011</v>
      </c>
      <c r="AL1416" s="5">
        <f t="shared" si="198"/>
        <v>0.35000000000000003</v>
      </c>
    </row>
    <row r="1417" spans="1:38" x14ac:dyDescent="0.2">
      <c r="A1417" s="2">
        <v>2025</v>
      </c>
      <c r="B1417" s="2">
        <v>7</v>
      </c>
      <c r="D1417" s="2" t="s">
        <v>1275</v>
      </c>
      <c r="M1417" s="2" t="s">
        <v>40</v>
      </c>
      <c r="P1417" s="2" t="s">
        <v>187</v>
      </c>
      <c r="Q1417" s="2" t="s">
        <v>188</v>
      </c>
      <c r="R1417" s="2" t="s">
        <v>189</v>
      </c>
      <c r="S1417" s="2">
        <v>1</v>
      </c>
      <c r="T1417" s="2">
        <v>75</v>
      </c>
      <c r="U1417" s="2">
        <v>17.25</v>
      </c>
      <c r="V1417" s="2">
        <v>92.25</v>
      </c>
      <c r="W1417" s="2">
        <f>T1417*40%</f>
        <v>30</v>
      </c>
      <c r="X1417" s="5">
        <f t="shared" si="197"/>
        <v>0.6</v>
      </c>
      <c r="Z1417" s="2" t="s">
        <v>117</v>
      </c>
      <c r="AA1417" s="2" t="s">
        <v>190</v>
      </c>
      <c r="AB1417" s="2" t="s">
        <v>189</v>
      </c>
      <c r="AC1417" s="2" t="s">
        <v>40</v>
      </c>
      <c r="AF1417" s="2">
        <f t="shared" si="199"/>
        <v>0</v>
      </c>
      <c r="AJ1417" s="2">
        <f t="shared" si="200"/>
        <v>0</v>
      </c>
      <c r="AK1417" s="2">
        <f t="shared" si="195"/>
        <v>45</v>
      </c>
      <c r="AL1417" s="5">
        <f t="shared" si="198"/>
        <v>0.6</v>
      </c>
    </row>
    <row r="1418" spans="1:38" x14ac:dyDescent="0.2">
      <c r="A1418" s="2">
        <v>2025</v>
      </c>
      <c r="B1418" s="2">
        <v>7</v>
      </c>
      <c r="D1418" s="2" t="s">
        <v>1275</v>
      </c>
      <c r="M1418" s="2" t="s">
        <v>40</v>
      </c>
      <c r="P1418" s="2" t="s">
        <v>187</v>
      </c>
      <c r="Q1418" s="2" t="s">
        <v>191</v>
      </c>
      <c r="R1418" s="2" t="s">
        <v>190</v>
      </c>
      <c r="S1418" s="2">
        <v>2</v>
      </c>
      <c r="T1418" s="2">
        <v>100</v>
      </c>
      <c r="U1418" s="2">
        <v>23</v>
      </c>
      <c r="V1418" s="2">
        <v>123</v>
      </c>
      <c r="W1418" s="2">
        <f>T1418*50%</f>
        <v>50</v>
      </c>
      <c r="X1418" s="5">
        <f t="shared" si="197"/>
        <v>0.5</v>
      </c>
      <c r="Z1418" s="2" t="s">
        <v>117</v>
      </c>
      <c r="AA1418" s="2" t="s">
        <v>190</v>
      </c>
      <c r="AB1418" s="2" t="s">
        <v>190</v>
      </c>
      <c r="AC1418" s="2" t="s">
        <v>40</v>
      </c>
      <c r="AF1418" s="2">
        <f t="shared" si="199"/>
        <v>0</v>
      </c>
      <c r="AJ1418" s="2">
        <f t="shared" si="200"/>
        <v>0</v>
      </c>
      <c r="AK1418" s="2">
        <f t="shared" si="195"/>
        <v>50</v>
      </c>
      <c r="AL1418" s="5">
        <f t="shared" si="198"/>
        <v>0.5</v>
      </c>
    </row>
    <row r="1419" spans="1:38" x14ac:dyDescent="0.2">
      <c r="A1419" s="2">
        <v>2025</v>
      </c>
      <c r="B1419" s="2">
        <v>7</v>
      </c>
      <c r="D1419" s="2" t="s">
        <v>1092</v>
      </c>
      <c r="P1419" s="2" t="s">
        <v>43</v>
      </c>
      <c r="Q1419" s="2" t="s">
        <v>48</v>
      </c>
      <c r="R1419" s="2" t="s">
        <v>49</v>
      </c>
      <c r="S1419" s="2">
        <v>10</v>
      </c>
      <c r="T1419" s="2">
        <v>110</v>
      </c>
      <c r="U1419" s="2">
        <v>25.3</v>
      </c>
      <c r="V1419" s="2">
        <v>135.30000000000001</v>
      </c>
      <c r="W1419" s="2">
        <f>6.6267*S1419</f>
        <v>66.266999999999996</v>
      </c>
      <c r="X1419" s="5">
        <f t="shared" si="197"/>
        <v>0.3975727272727273</v>
      </c>
      <c r="Z1419" s="2" t="s">
        <v>3227</v>
      </c>
      <c r="AA1419" s="2" t="s">
        <v>46</v>
      </c>
      <c r="AB1419" s="2" t="s">
        <v>47</v>
      </c>
      <c r="AC1419" s="2" t="s">
        <v>57</v>
      </c>
      <c r="AF1419" s="2">
        <f t="shared" si="199"/>
        <v>0</v>
      </c>
      <c r="AG1419" s="2">
        <v>6.6266999999999996</v>
      </c>
      <c r="AH1419" s="2">
        <v>12</v>
      </c>
      <c r="AJ1419" s="2">
        <f t="shared" si="200"/>
        <v>0</v>
      </c>
      <c r="AK1419" s="2">
        <f t="shared" si="195"/>
        <v>43.733000000000004</v>
      </c>
      <c r="AL1419" s="5">
        <f t="shared" si="198"/>
        <v>0.3975727272727273</v>
      </c>
    </row>
    <row r="1420" spans="1:38" x14ac:dyDescent="0.2">
      <c r="A1420" s="2">
        <v>2025</v>
      </c>
      <c r="B1420" s="2">
        <v>7</v>
      </c>
      <c r="D1420" s="2" t="s">
        <v>1290</v>
      </c>
      <c r="M1420" s="2" t="s">
        <v>40</v>
      </c>
      <c r="P1420" s="2" t="s">
        <v>187</v>
      </c>
      <c r="Q1420" s="2" t="s">
        <v>317</v>
      </c>
      <c r="R1420" s="2" t="s">
        <v>318</v>
      </c>
      <c r="S1420" s="2">
        <v>1</v>
      </c>
      <c r="T1420" s="2">
        <v>461</v>
      </c>
      <c r="U1420" s="2">
        <v>106.03</v>
      </c>
      <c r="V1420" s="2">
        <v>567.03</v>
      </c>
      <c r="X1420" s="5">
        <f t="shared" si="197"/>
        <v>1</v>
      </c>
      <c r="Z1420" s="2" t="s">
        <v>117</v>
      </c>
      <c r="AA1420" s="2" t="s">
        <v>317</v>
      </c>
      <c r="AF1420" s="2">
        <f t="shared" si="199"/>
        <v>0</v>
      </c>
      <c r="AJ1420" s="2">
        <f t="shared" si="200"/>
        <v>0</v>
      </c>
      <c r="AK1420" s="2">
        <f t="shared" si="195"/>
        <v>461</v>
      </c>
      <c r="AL1420" s="5">
        <f t="shared" si="198"/>
        <v>1</v>
      </c>
    </row>
    <row r="1421" spans="1:38" x14ac:dyDescent="0.2">
      <c r="A1421" s="2">
        <v>2025</v>
      </c>
      <c r="B1421" s="2">
        <v>7</v>
      </c>
      <c r="D1421" s="2" t="s">
        <v>574</v>
      </c>
      <c r="E1421" s="2" t="s">
        <v>38</v>
      </c>
      <c r="F1421" s="2" t="s">
        <v>39</v>
      </c>
      <c r="G1421" s="2">
        <v>504811029</v>
      </c>
      <c r="H1421" s="2" t="s">
        <v>41</v>
      </c>
      <c r="I1421" s="2" t="s">
        <v>177</v>
      </c>
      <c r="J1421" s="2" t="s">
        <v>575</v>
      </c>
      <c r="L1421" s="2" t="s">
        <v>177</v>
      </c>
      <c r="M1421" s="2" t="s">
        <v>41</v>
      </c>
      <c r="P1421" s="2" t="s">
        <v>282</v>
      </c>
      <c r="Q1421" s="2" t="s">
        <v>1633</v>
      </c>
      <c r="R1421" s="2" t="s">
        <v>1634</v>
      </c>
      <c r="S1421" s="2">
        <v>1</v>
      </c>
      <c r="T1421" s="2">
        <v>16.899999999999999</v>
      </c>
      <c r="U1421" s="2">
        <v>3.887</v>
      </c>
      <c r="V1421" s="2">
        <v>20.786999999999999</v>
      </c>
      <c r="W1421" s="2">
        <v>10.73</v>
      </c>
      <c r="X1421" s="5">
        <f t="shared" si="197"/>
        <v>0.36508875739644964</v>
      </c>
      <c r="Z1421" s="2" t="s">
        <v>3227</v>
      </c>
      <c r="AA1421" s="2" t="s">
        <v>71</v>
      </c>
      <c r="AB1421" s="2" t="s">
        <v>119</v>
      </c>
      <c r="AC1421" s="2" t="s">
        <v>119</v>
      </c>
      <c r="AF1421" s="2">
        <f t="shared" si="199"/>
        <v>0</v>
      </c>
      <c r="AJ1421" s="2">
        <f t="shared" si="200"/>
        <v>0</v>
      </c>
      <c r="AK1421" s="2">
        <f t="shared" si="195"/>
        <v>6.1699999999999982</v>
      </c>
      <c r="AL1421" s="5">
        <f t="shared" si="198"/>
        <v>0.36508875739644964</v>
      </c>
    </row>
    <row r="1422" spans="1:38" x14ac:dyDescent="0.2">
      <c r="A1422" s="2">
        <v>2025</v>
      </c>
      <c r="B1422" s="2">
        <v>7</v>
      </c>
      <c r="D1422" s="2" t="s">
        <v>574</v>
      </c>
      <c r="E1422" s="2" t="s">
        <v>38</v>
      </c>
      <c r="F1422" s="2" t="s">
        <v>39</v>
      </c>
      <c r="G1422" s="2">
        <v>504811029</v>
      </c>
      <c r="H1422" s="2" t="s">
        <v>41</v>
      </c>
      <c r="I1422" s="2" t="s">
        <v>177</v>
      </c>
      <c r="J1422" s="2" t="s">
        <v>575</v>
      </c>
      <c r="L1422" s="2" t="s">
        <v>177</v>
      </c>
      <c r="M1422" s="2" t="s">
        <v>41</v>
      </c>
      <c r="P1422" s="2" t="s">
        <v>43</v>
      </c>
      <c r="Q1422" s="2" t="s">
        <v>54</v>
      </c>
      <c r="R1422" s="2" t="s">
        <v>55</v>
      </c>
      <c r="S1422" s="2">
        <v>10</v>
      </c>
      <c r="T1422" s="2">
        <v>160</v>
      </c>
      <c r="U1422" s="2">
        <v>36.799999999999997</v>
      </c>
      <c r="V1422" s="2">
        <v>196.8</v>
      </c>
      <c r="W1422" s="2">
        <f>10.6*S1422</f>
        <v>106</v>
      </c>
      <c r="X1422" s="5">
        <f t="shared" si="197"/>
        <v>0.33750000000000002</v>
      </c>
      <c r="Z1422" s="2" t="s">
        <v>3227</v>
      </c>
      <c r="AA1422" s="2" t="s">
        <v>46</v>
      </c>
      <c r="AB1422" s="2" t="s">
        <v>56</v>
      </c>
      <c r="AC1422" s="2" t="s">
        <v>57</v>
      </c>
      <c r="AF1422" s="2">
        <f t="shared" si="199"/>
        <v>0</v>
      </c>
      <c r="AG1422" s="2">
        <v>10.6</v>
      </c>
      <c r="AH1422" s="2">
        <v>18</v>
      </c>
      <c r="AJ1422" s="2">
        <f t="shared" si="200"/>
        <v>0</v>
      </c>
      <c r="AK1422" s="2">
        <f t="shared" si="195"/>
        <v>54</v>
      </c>
      <c r="AL1422" s="5">
        <f t="shared" si="198"/>
        <v>0.33750000000000002</v>
      </c>
    </row>
    <row r="1423" spans="1:38" x14ac:dyDescent="0.2">
      <c r="A1423" s="2">
        <v>2025</v>
      </c>
      <c r="B1423" s="2">
        <v>7</v>
      </c>
      <c r="D1423" s="2" t="s">
        <v>574</v>
      </c>
      <c r="E1423" s="2" t="s">
        <v>38</v>
      </c>
      <c r="F1423" s="2" t="s">
        <v>39</v>
      </c>
      <c r="G1423" s="2">
        <v>504811029</v>
      </c>
      <c r="H1423" s="2" t="s">
        <v>41</v>
      </c>
      <c r="I1423" s="2" t="s">
        <v>177</v>
      </c>
      <c r="J1423" s="2" t="s">
        <v>575</v>
      </c>
      <c r="L1423" s="2" t="s">
        <v>177</v>
      </c>
      <c r="M1423" s="2" t="s">
        <v>41</v>
      </c>
      <c r="P1423" s="2" t="s">
        <v>43</v>
      </c>
      <c r="Q1423" s="2" t="s">
        <v>61</v>
      </c>
      <c r="R1423" s="2" t="s">
        <v>62</v>
      </c>
      <c r="S1423" s="2">
        <v>1000</v>
      </c>
      <c r="T1423" s="2">
        <v>105</v>
      </c>
      <c r="U1423" s="2">
        <v>24.15</v>
      </c>
      <c r="V1423" s="2">
        <v>129.15</v>
      </c>
      <c r="W1423" s="2">
        <f>0.082*S1423</f>
        <v>82</v>
      </c>
      <c r="X1423" s="5">
        <f t="shared" si="197"/>
        <v>0.21904761904761905</v>
      </c>
      <c r="Z1423" s="2" t="s">
        <v>3227</v>
      </c>
      <c r="AA1423" s="2" t="s">
        <v>46</v>
      </c>
      <c r="AB1423" s="2" t="s">
        <v>60</v>
      </c>
      <c r="AC1423" s="2" t="s">
        <v>57</v>
      </c>
      <c r="AF1423" s="2">
        <f t="shared" si="199"/>
        <v>0</v>
      </c>
      <c r="AG1423" s="2">
        <v>8.1999999999999993</v>
      </c>
      <c r="AH1423" s="2">
        <v>13</v>
      </c>
      <c r="AJ1423" s="2">
        <f t="shared" si="200"/>
        <v>0</v>
      </c>
      <c r="AK1423" s="2">
        <f t="shared" si="195"/>
        <v>23</v>
      </c>
      <c r="AL1423" s="5">
        <f t="shared" si="198"/>
        <v>0.21904761904761905</v>
      </c>
    </row>
    <row r="1424" spans="1:38" x14ac:dyDescent="0.2">
      <c r="A1424" s="2">
        <v>2025</v>
      </c>
      <c r="B1424" s="2">
        <v>7</v>
      </c>
      <c r="D1424" s="2" t="s">
        <v>574</v>
      </c>
      <c r="E1424" s="2" t="s">
        <v>38</v>
      </c>
      <c r="F1424" s="2" t="s">
        <v>39</v>
      </c>
      <c r="G1424" s="2">
        <v>504811029</v>
      </c>
      <c r="H1424" s="2" t="s">
        <v>41</v>
      </c>
      <c r="I1424" s="2" t="s">
        <v>177</v>
      </c>
      <c r="J1424" s="2" t="s">
        <v>575</v>
      </c>
      <c r="L1424" s="2" t="s">
        <v>177</v>
      </c>
      <c r="M1424" s="2" t="s">
        <v>41</v>
      </c>
      <c r="P1424" s="2" t="s">
        <v>43</v>
      </c>
      <c r="Q1424" s="2" t="s">
        <v>420</v>
      </c>
      <c r="R1424" s="2" t="s">
        <v>421</v>
      </c>
      <c r="S1424" s="2">
        <v>20</v>
      </c>
      <c r="T1424" s="2">
        <v>132</v>
      </c>
      <c r="U1424" s="2">
        <v>30.36</v>
      </c>
      <c r="V1424" s="2">
        <v>162.36000000000001</v>
      </c>
      <c r="W1424" s="2">
        <f>3.7556*S1424</f>
        <v>75.111999999999995</v>
      </c>
      <c r="X1424" s="5">
        <f t="shared" si="197"/>
        <v>0.430969696969697</v>
      </c>
      <c r="Z1424" s="2" t="s">
        <v>3227</v>
      </c>
      <c r="AA1424" s="2" t="s">
        <v>46</v>
      </c>
      <c r="AB1424" s="2" t="s">
        <v>60</v>
      </c>
      <c r="AC1424" s="2" t="s">
        <v>57</v>
      </c>
      <c r="AF1424" s="2">
        <f t="shared" si="199"/>
        <v>0</v>
      </c>
      <c r="AG1424" s="2">
        <v>3.7555999999999998</v>
      </c>
      <c r="AH1424" s="2">
        <v>7.2</v>
      </c>
      <c r="AJ1424" s="2">
        <f t="shared" si="200"/>
        <v>0</v>
      </c>
      <c r="AK1424" s="2">
        <f t="shared" ref="AK1424:AK1451" si="201">T1424-W1424</f>
        <v>56.888000000000005</v>
      </c>
      <c r="AL1424" s="5">
        <f t="shared" si="198"/>
        <v>0.430969696969697</v>
      </c>
    </row>
    <row r="1425" spans="1:38" x14ac:dyDescent="0.2">
      <c r="A1425" s="2">
        <v>2025</v>
      </c>
      <c r="B1425" s="2">
        <v>7</v>
      </c>
      <c r="D1425" s="2" t="s">
        <v>574</v>
      </c>
      <c r="E1425" s="2" t="s">
        <v>38</v>
      </c>
      <c r="F1425" s="2" t="s">
        <v>39</v>
      </c>
      <c r="G1425" s="2">
        <v>504811029</v>
      </c>
      <c r="H1425" s="2" t="s">
        <v>41</v>
      </c>
      <c r="I1425" s="2" t="s">
        <v>177</v>
      </c>
      <c r="J1425" s="2" t="s">
        <v>575</v>
      </c>
      <c r="L1425" s="2" t="s">
        <v>177</v>
      </c>
      <c r="M1425" s="2" t="s">
        <v>41</v>
      </c>
      <c r="P1425" s="2" t="s">
        <v>43</v>
      </c>
      <c r="Q1425" s="2" t="s">
        <v>579</v>
      </c>
      <c r="R1425" s="2" t="s">
        <v>580</v>
      </c>
      <c r="S1425" s="2">
        <v>20</v>
      </c>
      <c r="T1425" s="2">
        <v>48</v>
      </c>
      <c r="U1425" s="2">
        <v>11.04</v>
      </c>
      <c r="V1425" s="2">
        <v>59.04</v>
      </c>
      <c r="W1425" s="2">
        <f>1.4114*S1425</f>
        <v>28.228000000000002</v>
      </c>
      <c r="X1425" s="5">
        <f t="shared" si="197"/>
        <v>0.41191666666666665</v>
      </c>
      <c r="Z1425" s="2" t="s">
        <v>3227</v>
      </c>
      <c r="AA1425" s="2" t="s">
        <v>46</v>
      </c>
      <c r="AB1425" s="2" t="s">
        <v>60</v>
      </c>
      <c r="AC1425" s="2" t="s">
        <v>57</v>
      </c>
      <c r="AF1425" s="2">
        <f t="shared" si="199"/>
        <v>0</v>
      </c>
      <c r="AG1425" s="2">
        <v>1.4114</v>
      </c>
      <c r="AH1425" s="2">
        <v>3</v>
      </c>
      <c r="AJ1425" s="2">
        <f t="shared" si="200"/>
        <v>0</v>
      </c>
      <c r="AK1425" s="2">
        <f t="shared" si="201"/>
        <v>19.771999999999998</v>
      </c>
      <c r="AL1425" s="5">
        <f t="shared" si="198"/>
        <v>0.41191666666666665</v>
      </c>
    </row>
    <row r="1426" spans="1:38" x14ac:dyDescent="0.2">
      <c r="A1426" s="2">
        <v>2025</v>
      </c>
      <c r="B1426" s="2">
        <v>7</v>
      </c>
      <c r="D1426" s="2" t="s">
        <v>574</v>
      </c>
      <c r="E1426" s="2" t="s">
        <v>38</v>
      </c>
      <c r="F1426" s="2" t="s">
        <v>39</v>
      </c>
      <c r="G1426" s="2">
        <v>504811029</v>
      </c>
      <c r="H1426" s="2" t="s">
        <v>41</v>
      </c>
      <c r="I1426" s="2" t="s">
        <v>177</v>
      </c>
      <c r="J1426" s="2" t="s">
        <v>575</v>
      </c>
      <c r="L1426" s="2" t="s">
        <v>177</v>
      </c>
      <c r="M1426" s="2" t="s">
        <v>41</v>
      </c>
      <c r="P1426" s="2" t="s">
        <v>43</v>
      </c>
      <c r="Q1426" s="2" t="s">
        <v>65</v>
      </c>
      <c r="R1426" s="2" t="s">
        <v>66</v>
      </c>
      <c r="S1426" s="2">
        <v>2</v>
      </c>
      <c r="T1426" s="2">
        <v>43</v>
      </c>
      <c r="U1426" s="2">
        <v>9.89</v>
      </c>
      <c r="V1426" s="2">
        <v>52.89</v>
      </c>
      <c r="W1426" s="2">
        <f>15.0203*S1426</f>
        <v>30.040600000000001</v>
      </c>
      <c r="X1426" s="5">
        <f t="shared" si="197"/>
        <v>0.30138139534883718</v>
      </c>
      <c r="Z1426" s="2" t="s">
        <v>3227</v>
      </c>
      <c r="AA1426" s="2" t="s">
        <v>46</v>
      </c>
      <c r="AB1426" s="2" t="s">
        <v>67</v>
      </c>
      <c r="AC1426" s="2" t="s">
        <v>57</v>
      </c>
      <c r="AF1426" s="2">
        <f t="shared" si="199"/>
        <v>0</v>
      </c>
      <c r="AG1426" s="2">
        <v>15.020300000000001</v>
      </c>
      <c r="AH1426" s="2">
        <v>27.6</v>
      </c>
      <c r="AJ1426" s="2">
        <f t="shared" si="200"/>
        <v>0</v>
      </c>
      <c r="AK1426" s="2">
        <f t="shared" si="201"/>
        <v>12.959399999999999</v>
      </c>
      <c r="AL1426" s="5">
        <f t="shared" si="198"/>
        <v>0.30138139534883718</v>
      </c>
    </row>
    <row r="1427" spans="1:38" x14ac:dyDescent="0.2">
      <c r="A1427" s="2">
        <v>2025</v>
      </c>
      <c r="B1427" s="2">
        <v>7</v>
      </c>
      <c r="D1427" s="2" t="s">
        <v>581</v>
      </c>
      <c r="E1427" s="2" t="s">
        <v>38</v>
      </c>
      <c r="F1427" s="2" t="s">
        <v>39</v>
      </c>
      <c r="G1427" s="2">
        <v>518281272</v>
      </c>
      <c r="H1427" s="2" t="s">
        <v>41</v>
      </c>
      <c r="I1427" s="2" t="s">
        <v>1101</v>
      </c>
      <c r="J1427" s="2" t="s">
        <v>1102</v>
      </c>
      <c r="L1427" s="2" t="s">
        <v>177</v>
      </c>
      <c r="M1427" s="2" t="s">
        <v>41</v>
      </c>
      <c r="P1427" s="2" t="s">
        <v>43</v>
      </c>
      <c r="Q1427" s="2" t="s">
        <v>58</v>
      </c>
      <c r="R1427" s="2" t="s">
        <v>59</v>
      </c>
      <c r="S1427" s="2">
        <v>100</v>
      </c>
      <c r="T1427" s="2">
        <v>14</v>
      </c>
      <c r="U1427" s="2">
        <v>3.22</v>
      </c>
      <c r="V1427" s="2">
        <v>17.22</v>
      </c>
      <c r="W1427" s="2">
        <f>0.0914*S1427</f>
        <v>9.1399999999999988</v>
      </c>
      <c r="X1427" s="5">
        <f t="shared" si="197"/>
        <v>0.34714285714285725</v>
      </c>
      <c r="Z1427" s="2" t="s">
        <v>3227</v>
      </c>
      <c r="AA1427" s="2" t="s">
        <v>46</v>
      </c>
      <c r="AB1427" s="2" t="s">
        <v>60</v>
      </c>
      <c r="AC1427" s="2" t="s">
        <v>57</v>
      </c>
      <c r="AF1427" s="2">
        <f t="shared" si="199"/>
        <v>0</v>
      </c>
      <c r="AG1427" s="2">
        <v>9.14</v>
      </c>
      <c r="AH1427" s="2">
        <v>16</v>
      </c>
      <c r="AJ1427" s="2">
        <f t="shared" si="200"/>
        <v>0</v>
      </c>
      <c r="AK1427" s="2">
        <f t="shared" si="201"/>
        <v>4.8600000000000012</v>
      </c>
      <c r="AL1427" s="5">
        <f t="shared" si="198"/>
        <v>0.34714285714285725</v>
      </c>
    </row>
    <row r="1428" spans="1:38" x14ac:dyDescent="0.2">
      <c r="A1428" s="2">
        <v>2025</v>
      </c>
      <c r="B1428" s="2">
        <v>7</v>
      </c>
      <c r="D1428" s="2" t="s">
        <v>606</v>
      </c>
      <c r="E1428" s="2" t="s">
        <v>108</v>
      </c>
      <c r="F1428" s="2" t="s">
        <v>39</v>
      </c>
      <c r="G1428" s="2">
        <v>504822187</v>
      </c>
      <c r="H1428" s="2" t="s">
        <v>109</v>
      </c>
      <c r="I1428" s="2" t="s">
        <v>607</v>
      </c>
      <c r="J1428" s="2" t="s">
        <v>608</v>
      </c>
      <c r="K1428" s="2">
        <v>966216853</v>
      </c>
      <c r="L1428" s="2" t="s">
        <v>461</v>
      </c>
      <c r="P1428" s="2" t="s">
        <v>114</v>
      </c>
      <c r="Q1428" s="2" t="s">
        <v>539</v>
      </c>
      <c r="R1428" s="2" t="s">
        <v>540</v>
      </c>
      <c r="S1428" s="2">
        <v>1</v>
      </c>
      <c r="T1428" s="2">
        <v>42.7</v>
      </c>
      <c r="U1428" s="2">
        <v>9.8210000000000015</v>
      </c>
      <c r="V1428" s="2">
        <v>52.521000000000001</v>
      </c>
      <c r="X1428" s="5">
        <f t="shared" si="197"/>
        <v>1</v>
      </c>
      <c r="Z1428" s="2" t="s">
        <v>117</v>
      </c>
      <c r="AF1428" s="2">
        <f t="shared" si="199"/>
        <v>0</v>
      </c>
      <c r="AJ1428" s="2">
        <f t="shared" si="200"/>
        <v>0</v>
      </c>
      <c r="AK1428" s="2">
        <f t="shared" si="201"/>
        <v>42.7</v>
      </c>
      <c r="AL1428" s="5">
        <f t="shared" si="198"/>
        <v>1</v>
      </c>
    </row>
    <row r="1429" spans="1:38" x14ac:dyDescent="0.2">
      <c r="A1429" s="2">
        <v>2025</v>
      </c>
      <c r="B1429" s="2">
        <v>7</v>
      </c>
      <c r="D1429" s="2" t="s">
        <v>606</v>
      </c>
      <c r="E1429" s="2" t="s">
        <v>108</v>
      </c>
      <c r="F1429" s="2" t="s">
        <v>39</v>
      </c>
      <c r="G1429" s="2">
        <v>504822187</v>
      </c>
      <c r="H1429" s="2" t="s">
        <v>109</v>
      </c>
      <c r="I1429" s="2" t="s">
        <v>607</v>
      </c>
      <c r="J1429" s="2" t="s">
        <v>608</v>
      </c>
      <c r="K1429" s="2">
        <v>966216853</v>
      </c>
      <c r="L1429" s="2" t="s">
        <v>461</v>
      </c>
      <c r="P1429" s="2" t="s">
        <v>43</v>
      </c>
      <c r="Q1429" s="2" t="s">
        <v>212</v>
      </c>
      <c r="R1429" s="2" t="s">
        <v>213</v>
      </c>
      <c r="S1429" s="2">
        <v>1</v>
      </c>
      <c r="T1429" s="2">
        <v>44.4</v>
      </c>
      <c r="U1429" s="2">
        <v>10.212</v>
      </c>
      <c r="V1429" s="2">
        <v>54.611999999999988</v>
      </c>
      <c r="W1429" s="2">
        <f>25.6</f>
        <v>25.6</v>
      </c>
      <c r="X1429" s="5">
        <f t="shared" si="197"/>
        <v>0.42342342342342337</v>
      </c>
      <c r="Z1429" s="2" t="s">
        <v>3227</v>
      </c>
      <c r="AA1429" s="2" t="s">
        <v>46</v>
      </c>
      <c r="AB1429" s="2" t="s">
        <v>47</v>
      </c>
      <c r="AC1429" s="2" t="s">
        <v>57</v>
      </c>
      <c r="AF1429" s="2">
        <f t="shared" si="199"/>
        <v>0</v>
      </c>
      <c r="AJ1429" s="2">
        <f t="shared" si="200"/>
        <v>0</v>
      </c>
      <c r="AK1429" s="2">
        <f t="shared" si="201"/>
        <v>18.799999999999997</v>
      </c>
      <c r="AL1429" s="5">
        <f t="shared" si="198"/>
        <v>0.42342342342342337</v>
      </c>
    </row>
    <row r="1430" spans="1:38" x14ac:dyDescent="0.2">
      <c r="A1430" s="2">
        <v>2025</v>
      </c>
      <c r="B1430" s="2">
        <v>7</v>
      </c>
      <c r="D1430" s="2" t="s">
        <v>606</v>
      </c>
      <c r="E1430" s="2" t="s">
        <v>108</v>
      </c>
      <c r="F1430" s="2" t="s">
        <v>39</v>
      </c>
      <c r="G1430" s="2">
        <v>504822187</v>
      </c>
      <c r="H1430" s="2" t="s">
        <v>109</v>
      </c>
      <c r="I1430" s="2" t="s">
        <v>607</v>
      </c>
      <c r="J1430" s="2" t="s">
        <v>608</v>
      </c>
      <c r="K1430" s="2">
        <v>966216853</v>
      </c>
      <c r="L1430" s="2" t="s">
        <v>461</v>
      </c>
      <c r="P1430" s="2" t="s">
        <v>43</v>
      </c>
      <c r="Q1430" s="2" t="s">
        <v>160</v>
      </c>
      <c r="R1430" s="2" t="s">
        <v>161</v>
      </c>
      <c r="S1430" s="2">
        <v>2</v>
      </c>
      <c r="T1430" s="2">
        <v>15.6</v>
      </c>
      <c r="U1430" s="2">
        <v>3.5880000000000001</v>
      </c>
      <c r="V1430" s="2">
        <v>19.187999999999999</v>
      </c>
      <c r="W1430" s="2">
        <f>3.7358*S1430</f>
        <v>7.4715999999999996</v>
      </c>
      <c r="X1430" s="5">
        <f t="shared" si="197"/>
        <v>0.52105128205128204</v>
      </c>
      <c r="Z1430" s="2" t="s">
        <v>3227</v>
      </c>
      <c r="AA1430" s="2" t="s">
        <v>46</v>
      </c>
      <c r="AB1430" s="2" t="s">
        <v>47</v>
      </c>
      <c r="AC1430" s="2" t="s">
        <v>57</v>
      </c>
      <c r="AF1430" s="2">
        <f t="shared" si="199"/>
        <v>0</v>
      </c>
      <c r="AG1430" s="2">
        <v>3.7357999999999998</v>
      </c>
      <c r="AH1430" s="2">
        <v>9</v>
      </c>
      <c r="AJ1430" s="2">
        <f t="shared" si="200"/>
        <v>0</v>
      </c>
      <c r="AK1430" s="2">
        <f t="shared" si="201"/>
        <v>8.1283999999999992</v>
      </c>
      <c r="AL1430" s="5">
        <f t="shared" si="198"/>
        <v>0.52105128205128204</v>
      </c>
    </row>
    <row r="1431" spans="1:38" x14ac:dyDescent="0.2">
      <c r="A1431" s="2">
        <v>2025</v>
      </c>
      <c r="B1431" s="2">
        <v>7</v>
      </c>
      <c r="D1431" s="2" t="s">
        <v>606</v>
      </c>
      <c r="E1431" s="2" t="s">
        <v>108</v>
      </c>
      <c r="F1431" s="2" t="s">
        <v>39</v>
      </c>
      <c r="G1431" s="2">
        <v>504822187</v>
      </c>
      <c r="H1431" s="2" t="s">
        <v>109</v>
      </c>
      <c r="I1431" s="2" t="s">
        <v>607</v>
      </c>
      <c r="J1431" s="2" t="s">
        <v>608</v>
      </c>
      <c r="K1431" s="2">
        <v>966216853</v>
      </c>
      <c r="L1431" s="2" t="s">
        <v>461</v>
      </c>
      <c r="P1431" s="2" t="s">
        <v>43</v>
      </c>
      <c r="Q1431" s="2" t="s">
        <v>54</v>
      </c>
      <c r="R1431" s="2" t="s">
        <v>55</v>
      </c>
      <c r="S1431" s="2">
        <v>5</v>
      </c>
      <c r="T1431" s="2">
        <v>80</v>
      </c>
      <c r="U1431" s="2">
        <v>18.399999999999999</v>
      </c>
      <c r="V1431" s="2">
        <v>98.4</v>
      </c>
      <c r="W1431" s="2">
        <f>10.6*S1431</f>
        <v>53</v>
      </c>
      <c r="X1431" s="5">
        <f t="shared" ref="X1431:X1451" si="202">(T1431-W1431)/T1431</f>
        <v>0.33750000000000002</v>
      </c>
      <c r="Z1431" s="2" t="s">
        <v>3227</v>
      </c>
      <c r="AA1431" s="2" t="s">
        <v>46</v>
      </c>
      <c r="AB1431" s="2" t="s">
        <v>56</v>
      </c>
      <c r="AC1431" s="2" t="s">
        <v>57</v>
      </c>
      <c r="AF1431" s="2">
        <f t="shared" si="199"/>
        <v>0</v>
      </c>
      <c r="AG1431" s="2">
        <v>10.6</v>
      </c>
      <c r="AH1431" s="2">
        <v>18</v>
      </c>
      <c r="AJ1431" s="2">
        <f t="shared" si="200"/>
        <v>0</v>
      </c>
      <c r="AK1431" s="2">
        <f t="shared" si="201"/>
        <v>27</v>
      </c>
      <c r="AL1431" s="5">
        <f t="shared" ref="AL1431:AL1451" si="203">(T1431-W1431)/T1431</f>
        <v>0.33750000000000002</v>
      </c>
    </row>
    <row r="1432" spans="1:38" x14ac:dyDescent="0.2">
      <c r="A1432" s="2">
        <v>2025</v>
      </c>
      <c r="B1432" s="2">
        <v>7</v>
      </c>
      <c r="D1432" s="2" t="s">
        <v>606</v>
      </c>
      <c r="E1432" s="2" t="s">
        <v>108</v>
      </c>
      <c r="F1432" s="2" t="s">
        <v>39</v>
      </c>
      <c r="G1432" s="2">
        <v>504822187</v>
      </c>
      <c r="H1432" s="2" t="s">
        <v>109</v>
      </c>
      <c r="I1432" s="2" t="s">
        <v>607</v>
      </c>
      <c r="J1432" s="2" t="s">
        <v>608</v>
      </c>
      <c r="K1432" s="2">
        <v>966216853</v>
      </c>
      <c r="L1432" s="2" t="s">
        <v>461</v>
      </c>
      <c r="P1432" s="2" t="s">
        <v>43</v>
      </c>
      <c r="Q1432" s="2" t="s">
        <v>61</v>
      </c>
      <c r="R1432" s="2" t="s">
        <v>62</v>
      </c>
      <c r="S1432" s="2">
        <v>500</v>
      </c>
      <c r="T1432" s="2">
        <v>65</v>
      </c>
      <c r="U1432" s="2">
        <v>14.95</v>
      </c>
      <c r="V1432" s="2">
        <v>79.95</v>
      </c>
      <c r="W1432" s="2">
        <f>0.082*S1432</f>
        <v>41</v>
      </c>
      <c r="X1432" s="5">
        <f t="shared" si="202"/>
        <v>0.36923076923076925</v>
      </c>
      <c r="Z1432" s="2" t="s">
        <v>3227</v>
      </c>
      <c r="AA1432" s="2" t="s">
        <v>46</v>
      </c>
      <c r="AB1432" s="2" t="s">
        <v>60</v>
      </c>
      <c r="AC1432" s="2" t="s">
        <v>57</v>
      </c>
      <c r="AF1432" s="2">
        <f t="shared" si="199"/>
        <v>0</v>
      </c>
      <c r="AG1432" s="2">
        <v>8.1999999999999993</v>
      </c>
      <c r="AH1432" s="2">
        <v>13</v>
      </c>
      <c r="AJ1432" s="2">
        <f t="shared" si="200"/>
        <v>0</v>
      </c>
      <c r="AK1432" s="2">
        <f t="shared" si="201"/>
        <v>24</v>
      </c>
      <c r="AL1432" s="5">
        <f t="shared" si="203"/>
        <v>0.36923076923076925</v>
      </c>
    </row>
    <row r="1433" spans="1:38" x14ac:dyDescent="0.2">
      <c r="A1433" s="2">
        <v>2025</v>
      </c>
      <c r="B1433" s="2">
        <v>7</v>
      </c>
      <c r="D1433" s="2" t="s">
        <v>606</v>
      </c>
      <c r="E1433" s="2" t="s">
        <v>108</v>
      </c>
      <c r="F1433" s="2" t="s">
        <v>39</v>
      </c>
      <c r="G1433" s="2">
        <v>504822187</v>
      </c>
      <c r="H1433" s="2" t="s">
        <v>109</v>
      </c>
      <c r="I1433" s="2" t="s">
        <v>607</v>
      </c>
      <c r="J1433" s="2" t="s">
        <v>608</v>
      </c>
      <c r="K1433" s="2">
        <v>966216853</v>
      </c>
      <c r="L1433" s="2" t="s">
        <v>461</v>
      </c>
      <c r="M1433" s="2" t="s">
        <v>40</v>
      </c>
      <c r="P1433" s="2" t="s">
        <v>187</v>
      </c>
      <c r="Q1433" s="2" t="s">
        <v>188</v>
      </c>
      <c r="R1433" s="2" t="s">
        <v>189</v>
      </c>
      <c r="S1433" s="2">
        <v>1</v>
      </c>
      <c r="T1433" s="2">
        <v>108</v>
      </c>
      <c r="U1433" s="2">
        <v>24.84</v>
      </c>
      <c r="V1433" s="2">
        <v>132.84</v>
      </c>
      <c r="W1433" s="2">
        <f>T1433*40%</f>
        <v>43.2</v>
      </c>
      <c r="X1433" s="5">
        <f t="shared" si="202"/>
        <v>0.6</v>
      </c>
      <c r="Z1433" s="2" t="s">
        <v>117</v>
      </c>
      <c r="AA1433" s="2" t="s">
        <v>190</v>
      </c>
      <c r="AB1433" s="2" t="s">
        <v>189</v>
      </c>
      <c r="AC1433" s="2" t="s">
        <v>40</v>
      </c>
      <c r="AF1433" s="2">
        <f t="shared" si="199"/>
        <v>0</v>
      </c>
      <c r="AJ1433" s="2">
        <f t="shared" si="200"/>
        <v>0</v>
      </c>
      <c r="AK1433" s="2">
        <f t="shared" si="201"/>
        <v>64.8</v>
      </c>
      <c r="AL1433" s="5">
        <f t="shared" si="203"/>
        <v>0.6</v>
      </c>
    </row>
    <row r="1434" spans="1:38" x14ac:dyDescent="0.2">
      <c r="A1434" s="2">
        <v>2025</v>
      </c>
      <c r="B1434" s="2">
        <v>7</v>
      </c>
      <c r="D1434" s="2" t="s">
        <v>606</v>
      </c>
      <c r="E1434" s="2" t="s">
        <v>108</v>
      </c>
      <c r="F1434" s="2" t="s">
        <v>39</v>
      </c>
      <c r="G1434" s="2">
        <v>504822187</v>
      </c>
      <c r="H1434" s="2" t="s">
        <v>109</v>
      </c>
      <c r="I1434" s="2" t="s">
        <v>607</v>
      </c>
      <c r="J1434" s="2" t="s">
        <v>608</v>
      </c>
      <c r="K1434" s="2">
        <v>966216853</v>
      </c>
      <c r="L1434" s="2" t="s">
        <v>461</v>
      </c>
      <c r="M1434" s="2" t="s">
        <v>40</v>
      </c>
      <c r="P1434" s="2" t="s">
        <v>187</v>
      </c>
      <c r="Q1434" s="2" t="s">
        <v>191</v>
      </c>
      <c r="R1434" s="2" t="s">
        <v>190</v>
      </c>
      <c r="S1434" s="2">
        <v>4</v>
      </c>
      <c r="T1434" s="2">
        <v>135</v>
      </c>
      <c r="U1434" s="2">
        <v>31.05</v>
      </c>
      <c r="V1434" s="2">
        <v>166.05</v>
      </c>
      <c r="W1434" s="2">
        <f>T1434*50%</f>
        <v>67.5</v>
      </c>
      <c r="X1434" s="5">
        <f t="shared" si="202"/>
        <v>0.5</v>
      </c>
      <c r="Z1434" s="2" t="s">
        <v>117</v>
      </c>
      <c r="AA1434" s="2" t="s">
        <v>190</v>
      </c>
      <c r="AB1434" s="2" t="s">
        <v>190</v>
      </c>
      <c r="AC1434" s="2" t="s">
        <v>40</v>
      </c>
      <c r="AF1434" s="2">
        <f t="shared" si="199"/>
        <v>0</v>
      </c>
      <c r="AJ1434" s="2">
        <f t="shared" si="200"/>
        <v>0</v>
      </c>
      <c r="AK1434" s="2">
        <f t="shared" si="201"/>
        <v>67.5</v>
      </c>
      <c r="AL1434" s="5">
        <f t="shared" si="203"/>
        <v>0.5</v>
      </c>
    </row>
    <row r="1435" spans="1:38" x14ac:dyDescent="0.2">
      <c r="A1435" s="2">
        <v>2025</v>
      </c>
      <c r="B1435" s="2">
        <v>7</v>
      </c>
      <c r="D1435" s="2" t="s">
        <v>606</v>
      </c>
      <c r="E1435" s="2" t="s">
        <v>108</v>
      </c>
      <c r="F1435" s="2" t="s">
        <v>39</v>
      </c>
      <c r="G1435" s="2">
        <v>504822187</v>
      </c>
      <c r="H1435" s="2" t="s">
        <v>109</v>
      </c>
      <c r="I1435" s="2" t="s">
        <v>607</v>
      </c>
      <c r="J1435" s="2" t="s">
        <v>608</v>
      </c>
      <c r="K1435" s="2">
        <v>966216853</v>
      </c>
      <c r="L1435" s="2" t="s">
        <v>461</v>
      </c>
      <c r="P1435" s="2" t="s">
        <v>40</v>
      </c>
      <c r="Q1435" s="2" t="s">
        <v>363</v>
      </c>
      <c r="R1435" s="2" t="s">
        <v>364</v>
      </c>
      <c r="S1435" s="2">
        <v>4</v>
      </c>
      <c r="T1435" s="2">
        <v>11.4</v>
      </c>
      <c r="U1435" s="2">
        <v>2.6219999999999999</v>
      </c>
      <c r="V1435" s="2">
        <v>14.022</v>
      </c>
      <c r="X1435" s="5">
        <f t="shared" si="202"/>
        <v>1</v>
      </c>
      <c r="Z1435" s="2" t="s">
        <v>119</v>
      </c>
      <c r="AA1435" s="2" t="s">
        <v>3380</v>
      </c>
      <c r="AF1435" s="2">
        <f t="shared" si="199"/>
        <v>0</v>
      </c>
      <c r="AJ1435" s="2">
        <f t="shared" si="200"/>
        <v>0</v>
      </c>
      <c r="AK1435" s="2">
        <f t="shared" si="201"/>
        <v>11.4</v>
      </c>
      <c r="AL1435" s="5">
        <f t="shared" si="203"/>
        <v>1</v>
      </c>
    </row>
    <row r="1436" spans="1:38" x14ac:dyDescent="0.2">
      <c r="A1436" s="2">
        <v>2025</v>
      </c>
      <c r="B1436" s="2">
        <v>7</v>
      </c>
      <c r="C1436" s="2" t="s">
        <v>3400</v>
      </c>
      <c r="D1436" s="2" t="s">
        <v>1635</v>
      </c>
      <c r="E1436" s="2" t="s">
        <v>2446</v>
      </c>
      <c r="F1436" s="2" t="s">
        <v>39</v>
      </c>
      <c r="L1436" s="2" t="s">
        <v>398</v>
      </c>
      <c r="M1436" s="2" t="s">
        <v>109</v>
      </c>
      <c r="P1436" s="2" t="s">
        <v>282</v>
      </c>
      <c r="Q1436" s="2" t="s">
        <v>1636</v>
      </c>
      <c r="R1436" s="2" t="s">
        <v>1637</v>
      </c>
      <c r="S1436" s="2">
        <v>1</v>
      </c>
      <c r="T1436" s="2">
        <v>66.900000000000006</v>
      </c>
      <c r="U1436" s="2">
        <v>15.387</v>
      </c>
      <c r="V1436" s="2">
        <v>82.287000000000006</v>
      </c>
      <c r="W1436" s="2">
        <v>46.04</v>
      </c>
      <c r="X1436" s="5">
        <f t="shared" si="202"/>
        <v>0.31180866965620335</v>
      </c>
      <c r="Z1436" s="2" t="s">
        <v>3227</v>
      </c>
      <c r="AA1436" s="2" t="s">
        <v>71</v>
      </c>
      <c r="AB1436" s="2" t="s">
        <v>1600</v>
      </c>
      <c r="AC1436" s="2" t="s">
        <v>1600</v>
      </c>
      <c r="AF1436" s="2">
        <f t="shared" si="199"/>
        <v>0</v>
      </c>
      <c r="AJ1436" s="2">
        <f t="shared" si="200"/>
        <v>0</v>
      </c>
      <c r="AK1436" s="2">
        <f t="shared" si="201"/>
        <v>20.860000000000007</v>
      </c>
      <c r="AL1436" s="5">
        <f t="shared" si="203"/>
        <v>0.31180866965620335</v>
      </c>
    </row>
    <row r="1437" spans="1:38" x14ac:dyDescent="0.2">
      <c r="A1437" s="2">
        <v>2025</v>
      </c>
      <c r="B1437" s="2">
        <v>7</v>
      </c>
      <c r="D1437" s="2" t="s">
        <v>898</v>
      </c>
      <c r="E1437" s="2" t="s">
        <v>108</v>
      </c>
      <c r="F1437" s="2" t="s">
        <v>39</v>
      </c>
      <c r="H1437" s="2" t="s">
        <v>40</v>
      </c>
      <c r="I1437" s="2" t="s">
        <v>156</v>
      </c>
      <c r="J1437" s="2" t="s">
        <v>899</v>
      </c>
      <c r="K1437" s="2">
        <v>912047019</v>
      </c>
      <c r="L1437" s="2" t="s">
        <v>99</v>
      </c>
      <c r="M1437" s="2" t="s">
        <v>40</v>
      </c>
      <c r="O1437" s="2" t="s">
        <v>1638</v>
      </c>
      <c r="P1437" s="2" t="s">
        <v>114</v>
      </c>
      <c r="Q1437" s="2" t="s">
        <v>672</v>
      </c>
      <c r="R1437" s="2" t="s">
        <v>673</v>
      </c>
      <c r="S1437" s="2">
        <v>2</v>
      </c>
      <c r="T1437" s="2">
        <v>29.89</v>
      </c>
      <c r="U1437" s="2">
        <v>6.8747000000000007</v>
      </c>
      <c r="V1437" s="2">
        <v>36.764699999999998</v>
      </c>
      <c r="W1437" s="2">
        <f>5.2342*S1437</f>
        <v>10.468400000000001</v>
      </c>
      <c r="X1437" s="5">
        <f t="shared" si="202"/>
        <v>0.64976915356306453</v>
      </c>
      <c r="Z1437" s="2" t="s">
        <v>117</v>
      </c>
      <c r="AA1437" s="2" t="s">
        <v>118</v>
      </c>
      <c r="AB1437" s="2" t="s">
        <v>119</v>
      </c>
      <c r="AC1437" s="2" t="s">
        <v>114</v>
      </c>
      <c r="AF1437" s="2">
        <f t="shared" si="199"/>
        <v>0</v>
      </c>
      <c r="AG1437" s="2">
        <v>5.2342000000000004</v>
      </c>
      <c r="AJ1437" s="2">
        <f t="shared" si="200"/>
        <v>0</v>
      </c>
      <c r="AK1437" s="2">
        <f t="shared" si="201"/>
        <v>19.421599999999998</v>
      </c>
      <c r="AL1437" s="5">
        <f t="shared" si="203"/>
        <v>0.64976915356306453</v>
      </c>
    </row>
    <row r="1438" spans="1:38" x14ac:dyDescent="0.2">
      <c r="A1438" s="2">
        <v>2025</v>
      </c>
      <c r="B1438" s="2">
        <v>7</v>
      </c>
      <c r="D1438" s="2" t="s">
        <v>898</v>
      </c>
      <c r="E1438" s="2" t="s">
        <v>108</v>
      </c>
      <c r="F1438" s="2" t="s">
        <v>39</v>
      </c>
      <c r="H1438" s="2" t="s">
        <v>40</v>
      </c>
      <c r="I1438" s="2" t="s">
        <v>156</v>
      </c>
      <c r="J1438" s="2" t="s">
        <v>899</v>
      </c>
      <c r="K1438" s="2">
        <v>912047019</v>
      </c>
      <c r="L1438" s="2" t="s">
        <v>99</v>
      </c>
      <c r="M1438" s="2" t="s">
        <v>3301</v>
      </c>
      <c r="O1438" s="2" t="s">
        <v>1639</v>
      </c>
      <c r="P1438" s="2" t="s">
        <v>282</v>
      </c>
      <c r="Q1438" s="2" t="s">
        <v>1640</v>
      </c>
      <c r="R1438" s="2" t="s">
        <v>1641</v>
      </c>
      <c r="S1438" s="2">
        <v>1</v>
      </c>
      <c r="T1438" s="2">
        <v>335</v>
      </c>
      <c r="U1438" s="2">
        <v>77.05</v>
      </c>
      <c r="V1438" s="2">
        <v>412.05</v>
      </c>
      <c r="W1438" s="2">
        <v>235</v>
      </c>
      <c r="X1438" s="5">
        <f t="shared" si="202"/>
        <v>0.29850746268656714</v>
      </c>
      <c r="Z1438" s="2" t="s">
        <v>3227</v>
      </c>
      <c r="AA1438" s="2" t="s">
        <v>71</v>
      </c>
      <c r="AB1438" s="2" t="s">
        <v>119</v>
      </c>
      <c r="AC1438" s="2" t="s">
        <v>119</v>
      </c>
      <c r="AF1438" s="2">
        <f t="shared" si="199"/>
        <v>0</v>
      </c>
      <c r="AJ1438" s="2">
        <f t="shared" si="200"/>
        <v>0</v>
      </c>
      <c r="AK1438" s="2">
        <f t="shared" si="201"/>
        <v>100</v>
      </c>
      <c r="AL1438" s="5">
        <f t="shared" si="203"/>
        <v>0.29850746268656714</v>
      </c>
    </row>
    <row r="1439" spans="1:38" x14ac:dyDescent="0.2">
      <c r="A1439" s="2">
        <v>2025</v>
      </c>
      <c r="B1439" s="2">
        <v>7</v>
      </c>
      <c r="D1439" s="2" t="s">
        <v>898</v>
      </c>
      <c r="E1439" s="2" t="s">
        <v>108</v>
      </c>
      <c r="F1439" s="2" t="s">
        <v>39</v>
      </c>
      <c r="H1439" s="2" t="s">
        <v>40</v>
      </c>
      <c r="I1439" s="2" t="s">
        <v>156</v>
      </c>
      <c r="J1439" s="2" t="s">
        <v>899</v>
      </c>
      <c r="K1439" s="2">
        <v>912047019</v>
      </c>
      <c r="L1439" s="2" t="s">
        <v>99</v>
      </c>
      <c r="M1439" s="2" t="s">
        <v>3301</v>
      </c>
      <c r="O1439" s="2" t="s">
        <v>1642</v>
      </c>
      <c r="P1439" s="2" t="s">
        <v>43</v>
      </c>
      <c r="Q1439" s="2" t="s">
        <v>250</v>
      </c>
      <c r="R1439" s="2" t="s">
        <v>251</v>
      </c>
      <c r="S1439" s="2">
        <v>2</v>
      </c>
      <c r="T1439" s="2">
        <v>110</v>
      </c>
      <c r="U1439" s="2">
        <v>25.3</v>
      </c>
      <c r="V1439" s="2">
        <v>135.30000000000001</v>
      </c>
      <c r="W1439" s="2">
        <f>25.0958*S1439</f>
        <v>50.191600000000001</v>
      </c>
      <c r="X1439" s="5">
        <f t="shared" si="202"/>
        <v>0.54371272727272724</v>
      </c>
      <c r="Z1439" s="2" t="s">
        <v>3227</v>
      </c>
      <c r="AA1439" s="2" t="s">
        <v>46</v>
      </c>
      <c r="AB1439" s="2" t="s">
        <v>90</v>
      </c>
      <c r="AC1439" s="2" t="s">
        <v>57</v>
      </c>
      <c r="AF1439" s="2">
        <f t="shared" si="199"/>
        <v>0</v>
      </c>
      <c r="AJ1439" s="2">
        <f t="shared" si="200"/>
        <v>0</v>
      </c>
      <c r="AK1439" s="2">
        <f t="shared" si="201"/>
        <v>59.808399999999999</v>
      </c>
      <c r="AL1439" s="5">
        <f t="shared" si="203"/>
        <v>0.54371272727272724</v>
      </c>
    </row>
    <row r="1440" spans="1:38" x14ac:dyDescent="0.2">
      <c r="A1440" s="2">
        <v>2025</v>
      </c>
      <c r="B1440" s="2">
        <v>7</v>
      </c>
      <c r="D1440" s="2" t="s">
        <v>1295</v>
      </c>
      <c r="E1440" s="2" t="s">
        <v>183</v>
      </c>
      <c r="F1440" s="2" t="s">
        <v>366</v>
      </c>
      <c r="G1440" s="2">
        <v>500625654</v>
      </c>
      <c r="H1440" s="2" t="s">
        <v>290</v>
      </c>
      <c r="I1440" s="2" t="s">
        <v>339</v>
      </c>
      <c r="J1440" s="2" t="s">
        <v>1296</v>
      </c>
      <c r="L1440" s="2" t="s">
        <v>339</v>
      </c>
      <c r="P1440" s="2" t="s">
        <v>72</v>
      </c>
      <c r="Q1440" s="2" t="s">
        <v>1448</v>
      </c>
      <c r="R1440" s="2" t="s">
        <v>381</v>
      </c>
      <c r="S1440" s="2">
        <v>1</v>
      </c>
      <c r="T1440" s="2">
        <v>223.1</v>
      </c>
      <c r="U1440" s="2">
        <v>51.313000000000002</v>
      </c>
      <c r="V1440" s="2">
        <v>274.41300000000001</v>
      </c>
      <c r="W1440" s="2">
        <v>133.91669999999999</v>
      </c>
      <c r="X1440" s="5">
        <f t="shared" si="202"/>
        <v>0.39974585387718514</v>
      </c>
      <c r="Z1440" s="2" t="s">
        <v>3227</v>
      </c>
      <c r="AA1440" s="2" t="s">
        <v>75</v>
      </c>
      <c r="AB1440" s="2" t="s">
        <v>76</v>
      </c>
      <c r="AC1440" s="2" t="s">
        <v>77</v>
      </c>
      <c r="AF1440" s="2">
        <f t="shared" si="199"/>
        <v>0</v>
      </c>
      <c r="AJ1440" s="2">
        <f t="shared" si="200"/>
        <v>0</v>
      </c>
      <c r="AK1440" s="2">
        <f t="shared" si="201"/>
        <v>89.183300000000003</v>
      </c>
      <c r="AL1440" s="5">
        <f t="shared" si="203"/>
        <v>0.39974585387718514</v>
      </c>
    </row>
    <row r="1441" spans="1:38" x14ac:dyDescent="0.2">
      <c r="A1441" s="2">
        <v>2025</v>
      </c>
      <c r="B1441" s="2">
        <v>7</v>
      </c>
      <c r="D1441" s="2" t="s">
        <v>1295</v>
      </c>
      <c r="E1441" s="2" t="s">
        <v>183</v>
      </c>
      <c r="F1441" s="2" t="s">
        <v>366</v>
      </c>
      <c r="G1441" s="2">
        <v>500625654</v>
      </c>
      <c r="H1441" s="2" t="s">
        <v>290</v>
      </c>
      <c r="I1441" s="2" t="s">
        <v>339</v>
      </c>
      <c r="J1441" s="2" t="s">
        <v>1296</v>
      </c>
      <c r="L1441" s="2" t="s">
        <v>339</v>
      </c>
      <c r="P1441" s="2" t="s">
        <v>72</v>
      </c>
      <c r="Q1441" s="2" t="s">
        <v>1449</v>
      </c>
      <c r="R1441" s="2" t="s">
        <v>307</v>
      </c>
      <c r="S1441" s="2">
        <v>1</v>
      </c>
      <c r="T1441" s="2">
        <v>213.4</v>
      </c>
      <c r="U1441" s="2">
        <v>49.082000000000001</v>
      </c>
      <c r="V1441" s="2">
        <v>262.48200000000003</v>
      </c>
      <c r="W1441" s="2">
        <v>122.446</v>
      </c>
      <c r="X1441" s="5">
        <f t="shared" si="202"/>
        <v>0.4262136832239925</v>
      </c>
      <c r="Z1441" s="2" t="s">
        <v>3227</v>
      </c>
      <c r="AA1441" s="2" t="s">
        <v>75</v>
      </c>
      <c r="AB1441" s="2" t="s">
        <v>76</v>
      </c>
      <c r="AC1441" s="2" t="s">
        <v>77</v>
      </c>
      <c r="AF1441" s="2">
        <f t="shared" si="199"/>
        <v>0</v>
      </c>
      <c r="AG1441" s="2">
        <v>122.446</v>
      </c>
      <c r="AH1441" s="2">
        <v>230</v>
      </c>
      <c r="AJ1441" s="2">
        <f t="shared" si="200"/>
        <v>0</v>
      </c>
      <c r="AK1441" s="2">
        <f t="shared" si="201"/>
        <v>90.954000000000008</v>
      </c>
      <c r="AL1441" s="5">
        <f t="shared" si="203"/>
        <v>0.4262136832239925</v>
      </c>
    </row>
    <row r="1442" spans="1:38" x14ac:dyDescent="0.2">
      <c r="A1442" s="2">
        <v>2025</v>
      </c>
      <c r="B1442" s="2">
        <v>7</v>
      </c>
      <c r="D1442" s="2" t="s">
        <v>1295</v>
      </c>
      <c r="E1442" s="2" t="s">
        <v>183</v>
      </c>
      <c r="F1442" s="2" t="s">
        <v>366</v>
      </c>
      <c r="G1442" s="2">
        <v>500625654</v>
      </c>
      <c r="H1442" s="2" t="s">
        <v>290</v>
      </c>
      <c r="I1442" s="2" t="s">
        <v>339</v>
      </c>
      <c r="J1442" s="2" t="s">
        <v>1296</v>
      </c>
      <c r="L1442" s="2" t="s">
        <v>339</v>
      </c>
      <c r="P1442" s="2" t="s">
        <v>72</v>
      </c>
      <c r="Q1442" s="2" t="s">
        <v>1643</v>
      </c>
      <c r="R1442" s="2" t="s">
        <v>995</v>
      </c>
      <c r="S1442" s="2">
        <v>1</v>
      </c>
      <c r="T1442" s="2">
        <v>271.60000000000002</v>
      </c>
      <c r="U1442" s="2">
        <v>62.468000000000011</v>
      </c>
      <c r="V1442" s="2">
        <v>334.06799999999998</v>
      </c>
      <c r="W1442" s="2">
        <f>132.55+13.31</f>
        <v>145.86000000000001</v>
      </c>
      <c r="X1442" s="5">
        <f t="shared" si="202"/>
        <v>0.46296023564064803</v>
      </c>
      <c r="Z1442" s="2" t="s">
        <v>3227</v>
      </c>
      <c r="AA1442" s="2" t="s">
        <v>75</v>
      </c>
      <c r="AB1442" s="2" t="s">
        <v>76</v>
      </c>
      <c r="AC1442" s="2" t="s">
        <v>77</v>
      </c>
      <c r="AF1442" s="2">
        <f t="shared" si="199"/>
        <v>0</v>
      </c>
      <c r="AJ1442" s="2">
        <f t="shared" si="200"/>
        <v>0</v>
      </c>
      <c r="AK1442" s="2">
        <f t="shared" si="201"/>
        <v>125.74000000000001</v>
      </c>
      <c r="AL1442" s="5">
        <f t="shared" si="203"/>
        <v>0.46296023564064803</v>
      </c>
    </row>
    <row r="1443" spans="1:38" x14ac:dyDescent="0.2">
      <c r="A1443" s="2">
        <v>2025</v>
      </c>
      <c r="B1443" s="2">
        <v>7</v>
      </c>
      <c r="D1443" s="2" t="s">
        <v>1295</v>
      </c>
      <c r="E1443" s="2" t="s">
        <v>183</v>
      </c>
      <c r="F1443" s="2" t="s">
        <v>366</v>
      </c>
      <c r="G1443" s="2">
        <v>500625654</v>
      </c>
      <c r="H1443" s="2" t="s">
        <v>290</v>
      </c>
      <c r="I1443" s="2" t="s">
        <v>339</v>
      </c>
      <c r="J1443" s="2" t="s">
        <v>1296</v>
      </c>
      <c r="L1443" s="2" t="s">
        <v>339</v>
      </c>
      <c r="M1443" s="2" t="s">
        <v>80</v>
      </c>
      <c r="P1443" s="2" t="s">
        <v>1038</v>
      </c>
      <c r="Q1443" s="2" t="s">
        <v>1644</v>
      </c>
      <c r="R1443" s="2" t="s">
        <v>1645</v>
      </c>
      <c r="S1443" s="2">
        <v>1</v>
      </c>
      <c r="T1443" s="2">
        <v>368.6</v>
      </c>
      <c r="U1443" s="2">
        <v>84.778000000000006</v>
      </c>
      <c r="V1443" s="2">
        <v>453.37799999999999</v>
      </c>
      <c r="W1443" s="2">
        <v>210.62</v>
      </c>
      <c r="X1443" s="5">
        <f t="shared" si="202"/>
        <v>0.42859468258274552</v>
      </c>
      <c r="Z1443" s="2" t="s">
        <v>3227</v>
      </c>
      <c r="AA1443" s="2" t="s">
        <v>75</v>
      </c>
      <c r="AB1443" s="2" t="s">
        <v>76</v>
      </c>
      <c r="AC1443" s="2" t="s">
        <v>1038</v>
      </c>
      <c r="AF1443" s="2">
        <f t="shared" si="199"/>
        <v>0</v>
      </c>
      <c r="AJ1443" s="2">
        <f t="shared" si="200"/>
        <v>0</v>
      </c>
      <c r="AK1443" s="2">
        <f t="shared" si="201"/>
        <v>157.98000000000002</v>
      </c>
      <c r="AL1443" s="5">
        <f t="shared" si="203"/>
        <v>0.42859468258274552</v>
      </c>
    </row>
    <row r="1444" spans="1:38" x14ac:dyDescent="0.2">
      <c r="A1444" s="2">
        <v>2025</v>
      </c>
      <c r="B1444" s="2">
        <v>7</v>
      </c>
      <c r="D1444" s="2" t="s">
        <v>1295</v>
      </c>
      <c r="E1444" s="2" t="s">
        <v>183</v>
      </c>
      <c r="F1444" s="2" t="s">
        <v>366</v>
      </c>
      <c r="G1444" s="2">
        <v>500625654</v>
      </c>
      <c r="H1444" s="2" t="s">
        <v>290</v>
      </c>
      <c r="I1444" s="2" t="s">
        <v>339</v>
      </c>
      <c r="J1444" s="2" t="s">
        <v>1296</v>
      </c>
      <c r="L1444" s="2" t="s">
        <v>339</v>
      </c>
      <c r="M1444" s="2" t="s">
        <v>80</v>
      </c>
      <c r="P1444" s="2" t="s">
        <v>1038</v>
      </c>
      <c r="Q1444" s="2" t="s">
        <v>1646</v>
      </c>
      <c r="R1444" s="2" t="s">
        <v>1647</v>
      </c>
      <c r="S1444" s="2">
        <v>1</v>
      </c>
      <c r="T1444" s="2">
        <v>203.7</v>
      </c>
      <c r="U1444" s="2">
        <v>46.850999999999999</v>
      </c>
      <c r="V1444" s="2">
        <v>250.55099999999999</v>
      </c>
      <c r="W1444" s="2">
        <v>119.06</v>
      </c>
      <c r="X1444" s="5">
        <f t="shared" si="202"/>
        <v>0.41551300932744228</v>
      </c>
      <c r="Z1444" s="2" t="s">
        <v>3227</v>
      </c>
      <c r="AA1444" s="2" t="s">
        <v>75</v>
      </c>
      <c r="AB1444" s="2" t="s">
        <v>76</v>
      </c>
      <c r="AC1444" s="2" t="s">
        <v>1038</v>
      </c>
      <c r="AF1444" s="2">
        <f t="shared" si="199"/>
        <v>0</v>
      </c>
      <c r="AJ1444" s="2">
        <f t="shared" si="200"/>
        <v>0</v>
      </c>
      <c r="AK1444" s="2">
        <f t="shared" si="201"/>
        <v>84.639999999999986</v>
      </c>
      <c r="AL1444" s="5">
        <f t="shared" si="203"/>
        <v>0.41551300932744228</v>
      </c>
    </row>
    <row r="1445" spans="1:38" x14ac:dyDescent="0.2">
      <c r="A1445" s="2">
        <v>2025</v>
      </c>
      <c r="B1445" s="2">
        <v>7</v>
      </c>
      <c r="D1445" s="2" t="s">
        <v>1295</v>
      </c>
      <c r="E1445" s="2" t="s">
        <v>183</v>
      </c>
      <c r="F1445" s="2" t="s">
        <v>366</v>
      </c>
      <c r="G1445" s="2">
        <v>500625654</v>
      </c>
      <c r="H1445" s="2" t="s">
        <v>290</v>
      </c>
      <c r="I1445" s="2" t="s">
        <v>339</v>
      </c>
      <c r="J1445" s="2" t="s">
        <v>1296</v>
      </c>
      <c r="L1445" s="2" t="s">
        <v>339</v>
      </c>
      <c r="M1445" s="2" t="s">
        <v>80</v>
      </c>
      <c r="P1445" s="2" t="s">
        <v>169</v>
      </c>
      <c r="Q1445" s="2" t="s">
        <v>170</v>
      </c>
      <c r="R1445" s="2" t="s">
        <v>170</v>
      </c>
      <c r="S1445" s="2">
        <v>1</v>
      </c>
      <c r="T1445" s="2">
        <v>30</v>
      </c>
      <c r="U1445" s="2">
        <v>6.9</v>
      </c>
      <c r="V1445" s="2">
        <v>36.9</v>
      </c>
      <c r="W1445" s="2">
        <v>23</v>
      </c>
      <c r="X1445" s="5">
        <f t="shared" si="202"/>
        <v>0.23333333333333334</v>
      </c>
      <c r="Z1445" s="2" t="s">
        <v>169</v>
      </c>
      <c r="AA1445" s="2" t="s">
        <v>169</v>
      </c>
      <c r="AF1445" s="2">
        <f t="shared" si="199"/>
        <v>0</v>
      </c>
      <c r="AJ1445" s="2">
        <f t="shared" si="200"/>
        <v>0</v>
      </c>
      <c r="AK1445" s="2">
        <f t="shared" si="201"/>
        <v>7</v>
      </c>
      <c r="AL1445" s="5">
        <f t="shared" si="203"/>
        <v>0.23333333333333334</v>
      </c>
    </row>
    <row r="1446" spans="1:38" x14ac:dyDescent="0.2">
      <c r="A1446" s="2">
        <v>2025</v>
      </c>
      <c r="B1446" s="2">
        <v>7</v>
      </c>
      <c r="D1446" s="2" t="s">
        <v>1295</v>
      </c>
      <c r="E1446" s="2" t="s">
        <v>183</v>
      </c>
      <c r="F1446" s="2" t="s">
        <v>366</v>
      </c>
      <c r="G1446" s="2">
        <v>500625654</v>
      </c>
      <c r="H1446" s="2" t="s">
        <v>290</v>
      </c>
      <c r="I1446" s="2" t="s">
        <v>339</v>
      </c>
      <c r="J1446" s="2" t="s">
        <v>1296</v>
      </c>
      <c r="L1446" s="2" t="s">
        <v>339</v>
      </c>
      <c r="P1446" s="2" t="s">
        <v>93</v>
      </c>
      <c r="Q1446" s="2" t="s">
        <v>94</v>
      </c>
      <c r="R1446" s="2" t="s">
        <v>95</v>
      </c>
      <c r="S1446" s="2">
        <v>5</v>
      </c>
      <c r="T1446" s="2">
        <v>5.7</v>
      </c>
      <c r="U1446" s="2">
        <v>1.3109999999999999</v>
      </c>
      <c r="V1446" s="2">
        <v>7.0110000000000001</v>
      </c>
      <c r="W1446" s="2">
        <v>5.6999999999999993</v>
      </c>
      <c r="X1446" s="5">
        <f t="shared" si="202"/>
        <v>1.5582077538598687E-16</v>
      </c>
      <c r="Z1446" s="2" t="s">
        <v>3227</v>
      </c>
      <c r="AA1446" s="2" t="s">
        <v>96</v>
      </c>
      <c r="AB1446" s="2" t="s">
        <v>76</v>
      </c>
      <c r="AC1446" s="2" t="s">
        <v>93</v>
      </c>
      <c r="AF1446" s="2">
        <f t="shared" si="199"/>
        <v>0</v>
      </c>
      <c r="AJ1446" s="2">
        <f t="shared" si="200"/>
        <v>0</v>
      </c>
      <c r="AK1446" s="2">
        <f t="shared" si="201"/>
        <v>0</v>
      </c>
      <c r="AL1446" s="5">
        <f t="shared" si="203"/>
        <v>1.5582077538598687E-16</v>
      </c>
    </row>
    <row r="1447" spans="1:38" x14ac:dyDescent="0.2">
      <c r="A1447" s="2">
        <v>2025</v>
      </c>
      <c r="B1447" s="2">
        <v>7</v>
      </c>
      <c r="D1447" s="2" t="s">
        <v>617</v>
      </c>
      <c r="E1447" s="2" t="s">
        <v>38</v>
      </c>
      <c r="F1447" s="2" t="s">
        <v>39</v>
      </c>
      <c r="G1447" s="2">
        <v>513759654</v>
      </c>
      <c r="H1447" s="2" t="s">
        <v>41</v>
      </c>
      <c r="I1447" s="2" t="s">
        <v>618</v>
      </c>
      <c r="J1447" s="2" t="s">
        <v>619</v>
      </c>
      <c r="L1447" s="2" t="s">
        <v>418</v>
      </c>
      <c r="M1447" s="2" t="s">
        <v>41</v>
      </c>
      <c r="P1447" s="2" t="s">
        <v>282</v>
      </c>
      <c r="Q1447" s="2" t="s">
        <v>399</v>
      </c>
      <c r="R1447" s="2" t="s">
        <v>400</v>
      </c>
      <c r="S1447" s="2">
        <v>2</v>
      </c>
      <c r="T1447" s="2">
        <v>58</v>
      </c>
      <c r="U1447" s="2">
        <v>13.34</v>
      </c>
      <c r="V1447" s="2">
        <v>71.34</v>
      </c>
      <c r="W1447" s="2">
        <f>17.4*S1447</f>
        <v>34.799999999999997</v>
      </c>
      <c r="X1447" s="5">
        <f t="shared" si="202"/>
        <v>0.4</v>
      </c>
      <c r="Z1447" s="2" t="s">
        <v>3227</v>
      </c>
      <c r="AA1447" s="2" t="s">
        <v>46</v>
      </c>
      <c r="AB1447" s="2" t="s">
        <v>60</v>
      </c>
      <c r="AC1447" s="2" t="s">
        <v>3332</v>
      </c>
      <c r="AF1447" s="2">
        <f t="shared" si="199"/>
        <v>0</v>
      </c>
      <c r="AJ1447" s="2">
        <f t="shared" si="200"/>
        <v>0</v>
      </c>
      <c r="AK1447" s="2">
        <f t="shared" si="201"/>
        <v>23.200000000000003</v>
      </c>
      <c r="AL1447" s="5">
        <f t="shared" si="203"/>
        <v>0.4</v>
      </c>
    </row>
    <row r="1448" spans="1:38" x14ac:dyDescent="0.2">
      <c r="A1448" s="2">
        <v>2025</v>
      </c>
      <c r="B1448" s="2">
        <v>7</v>
      </c>
      <c r="D1448" s="2" t="s">
        <v>617</v>
      </c>
      <c r="E1448" s="2" t="s">
        <v>38</v>
      </c>
      <c r="F1448" s="2" t="s">
        <v>39</v>
      </c>
      <c r="G1448" s="2">
        <v>513759654</v>
      </c>
      <c r="H1448" s="2" t="s">
        <v>41</v>
      </c>
      <c r="I1448" s="2" t="s">
        <v>618</v>
      </c>
      <c r="J1448" s="2" t="s">
        <v>619</v>
      </c>
      <c r="L1448" s="2" t="s">
        <v>418</v>
      </c>
      <c r="M1448" s="2" t="s">
        <v>41</v>
      </c>
      <c r="P1448" s="2" t="s">
        <v>282</v>
      </c>
      <c r="Q1448" s="2" t="s">
        <v>401</v>
      </c>
      <c r="R1448" s="2" t="s">
        <v>402</v>
      </c>
      <c r="S1448" s="2">
        <v>1</v>
      </c>
      <c r="T1448" s="2">
        <v>29</v>
      </c>
      <c r="U1448" s="2">
        <v>6.67</v>
      </c>
      <c r="V1448" s="2">
        <v>35.67</v>
      </c>
      <c r="W1448" s="2">
        <f>17.4*S1448</f>
        <v>17.399999999999999</v>
      </c>
      <c r="X1448" s="5">
        <f t="shared" si="202"/>
        <v>0.4</v>
      </c>
      <c r="Z1448" s="2" t="s">
        <v>3227</v>
      </c>
      <c r="AA1448" s="2" t="s">
        <v>46</v>
      </c>
      <c r="AB1448" s="2" t="s">
        <v>60</v>
      </c>
      <c r="AC1448" s="2" t="s">
        <v>3332</v>
      </c>
      <c r="AF1448" s="2">
        <f t="shared" si="199"/>
        <v>0</v>
      </c>
      <c r="AJ1448" s="2">
        <f t="shared" si="200"/>
        <v>0</v>
      </c>
      <c r="AK1448" s="2">
        <f t="shared" si="201"/>
        <v>11.600000000000001</v>
      </c>
      <c r="AL1448" s="5">
        <f t="shared" si="203"/>
        <v>0.4</v>
      </c>
    </row>
    <row r="1449" spans="1:38" x14ac:dyDescent="0.2">
      <c r="A1449" s="2">
        <v>2025</v>
      </c>
      <c r="B1449" s="2">
        <v>7</v>
      </c>
      <c r="D1449" s="2" t="s">
        <v>617</v>
      </c>
      <c r="E1449" s="2" t="s">
        <v>38</v>
      </c>
      <c r="F1449" s="2" t="s">
        <v>39</v>
      </c>
      <c r="G1449" s="2">
        <v>513759654</v>
      </c>
      <c r="H1449" s="2" t="s">
        <v>41</v>
      </c>
      <c r="I1449" s="2" t="s">
        <v>618</v>
      </c>
      <c r="J1449" s="2" t="s">
        <v>619</v>
      </c>
      <c r="L1449" s="2" t="s">
        <v>418</v>
      </c>
      <c r="M1449" s="2" t="s">
        <v>41</v>
      </c>
      <c r="P1449" s="2" t="s">
        <v>43</v>
      </c>
      <c r="Q1449" s="2" t="s">
        <v>63</v>
      </c>
      <c r="R1449" s="2" t="s">
        <v>64</v>
      </c>
      <c r="S1449" s="2">
        <v>10</v>
      </c>
      <c r="T1449" s="2">
        <v>18</v>
      </c>
      <c r="U1449" s="2">
        <v>4.1400000000000006</v>
      </c>
      <c r="V1449" s="2">
        <v>22.14</v>
      </c>
      <c r="W1449" s="2">
        <f>0.8561*S1449</f>
        <v>8.5609999999999999</v>
      </c>
      <c r="X1449" s="5">
        <f t="shared" si="202"/>
        <v>0.5243888888888889</v>
      </c>
      <c r="Z1449" s="2" t="s">
        <v>3227</v>
      </c>
      <c r="AA1449" s="2" t="s">
        <v>46</v>
      </c>
      <c r="AB1449" s="2" t="s">
        <v>60</v>
      </c>
      <c r="AC1449" s="2" t="s">
        <v>57</v>
      </c>
      <c r="AF1449" s="2">
        <f t="shared" si="199"/>
        <v>0</v>
      </c>
      <c r="AG1449" s="2">
        <v>0.85609999999999997</v>
      </c>
      <c r="AH1449" s="2">
        <v>1.8</v>
      </c>
      <c r="AJ1449" s="2">
        <f t="shared" si="200"/>
        <v>0</v>
      </c>
      <c r="AK1449" s="2">
        <f t="shared" si="201"/>
        <v>9.4390000000000001</v>
      </c>
      <c r="AL1449" s="5">
        <f t="shared" si="203"/>
        <v>0.5243888888888889</v>
      </c>
    </row>
    <row r="1450" spans="1:38" x14ac:dyDescent="0.2">
      <c r="A1450" s="2">
        <v>2025</v>
      </c>
      <c r="B1450" s="2">
        <v>7</v>
      </c>
      <c r="D1450" s="2" t="s">
        <v>1113</v>
      </c>
      <c r="E1450" s="2" t="s">
        <v>38</v>
      </c>
      <c r="F1450" s="2" t="s">
        <v>39</v>
      </c>
      <c r="G1450" s="2">
        <v>210420588</v>
      </c>
      <c r="H1450" s="2" t="s">
        <v>40</v>
      </c>
      <c r="I1450" s="2" t="s">
        <v>1114</v>
      </c>
      <c r="J1450" s="2" t="s">
        <v>1115</v>
      </c>
      <c r="K1450" s="2">
        <v>914550474</v>
      </c>
      <c r="L1450" s="2" t="s">
        <v>99</v>
      </c>
      <c r="M1450" s="2" t="s">
        <v>40</v>
      </c>
      <c r="O1450" s="2" t="s">
        <v>1648</v>
      </c>
      <c r="P1450" s="2" t="s">
        <v>114</v>
      </c>
      <c r="Q1450" s="2" t="s">
        <v>1649</v>
      </c>
      <c r="R1450" s="2" t="s">
        <v>1650</v>
      </c>
      <c r="S1450" s="2">
        <v>2</v>
      </c>
      <c r="T1450" s="2">
        <v>30.13</v>
      </c>
      <c r="U1450" s="2">
        <v>6.9298999999999999</v>
      </c>
      <c r="V1450" s="2">
        <v>37.059899999999999</v>
      </c>
      <c r="X1450" s="5">
        <f t="shared" si="202"/>
        <v>1</v>
      </c>
      <c r="Z1450" s="2" t="s">
        <v>117</v>
      </c>
      <c r="AF1450" s="2">
        <f t="shared" si="199"/>
        <v>0</v>
      </c>
      <c r="AJ1450" s="2">
        <f t="shared" si="200"/>
        <v>0</v>
      </c>
      <c r="AK1450" s="2">
        <f t="shared" si="201"/>
        <v>30.13</v>
      </c>
      <c r="AL1450" s="5">
        <f t="shared" si="203"/>
        <v>1</v>
      </c>
    </row>
    <row r="1451" spans="1:38" x14ac:dyDescent="0.2">
      <c r="A1451" s="2">
        <v>2025</v>
      </c>
      <c r="B1451" s="2">
        <v>7</v>
      </c>
      <c r="D1451" s="2" t="s">
        <v>624</v>
      </c>
      <c r="E1451" s="2" t="s">
        <v>38</v>
      </c>
      <c r="F1451" s="2" t="s">
        <v>39</v>
      </c>
      <c r="G1451" s="2" t="s">
        <v>625</v>
      </c>
      <c r="H1451" s="2" t="s">
        <v>40</v>
      </c>
      <c r="I1451" s="2" t="s">
        <v>626</v>
      </c>
      <c r="J1451" s="2" t="s">
        <v>627</v>
      </c>
      <c r="L1451" s="2" t="s">
        <v>626</v>
      </c>
      <c r="M1451" s="2" t="s">
        <v>40</v>
      </c>
      <c r="P1451" s="2" t="s">
        <v>114</v>
      </c>
      <c r="Q1451" s="2" t="s">
        <v>630</v>
      </c>
      <c r="R1451" s="2" t="s">
        <v>631</v>
      </c>
      <c r="S1451" s="2">
        <v>1</v>
      </c>
      <c r="T1451" s="2">
        <v>39.5</v>
      </c>
      <c r="V1451" s="2">
        <f>T1451</f>
        <v>39.5</v>
      </c>
      <c r="W1451" s="2">
        <v>25.57</v>
      </c>
      <c r="X1451" s="5">
        <f t="shared" si="202"/>
        <v>0.35265822784810125</v>
      </c>
      <c r="Z1451" s="2" t="s">
        <v>117</v>
      </c>
      <c r="AA1451" s="2" t="s">
        <v>181</v>
      </c>
      <c r="AB1451" s="2" t="s">
        <v>119</v>
      </c>
      <c r="AC1451" s="2" t="s">
        <v>114</v>
      </c>
      <c r="AF1451" s="2">
        <f t="shared" si="199"/>
        <v>0</v>
      </c>
      <c r="AJ1451" s="2">
        <f t="shared" si="200"/>
        <v>0</v>
      </c>
      <c r="AK1451" s="2">
        <f t="shared" si="201"/>
        <v>13.93</v>
      </c>
      <c r="AL1451" s="5">
        <f t="shared" si="203"/>
        <v>0.35265822784810125</v>
      </c>
    </row>
    <row r="1452" spans="1:38" x14ac:dyDescent="0.2">
      <c r="A1452" s="2">
        <v>2025</v>
      </c>
      <c r="B1452" s="2">
        <v>7</v>
      </c>
      <c r="D1452" s="2" t="s">
        <v>624</v>
      </c>
      <c r="E1452" s="2" t="s">
        <v>38</v>
      </c>
      <c r="F1452" s="2" t="s">
        <v>39</v>
      </c>
      <c r="G1452" s="2" t="s">
        <v>625</v>
      </c>
      <c r="H1452" s="2" t="s">
        <v>40</v>
      </c>
      <c r="I1452" s="2" t="s">
        <v>626</v>
      </c>
      <c r="J1452" s="2" t="s">
        <v>627</v>
      </c>
      <c r="L1452" s="2" t="s">
        <v>626</v>
      </c>
      <c r="M1452" s="2" t="s">
        <v>40</v>
      </c>
      <c r="P1452" s="2" t="s">
        <v>114</v>
      </c>
      <c r="Q1452" s="2" t="s">
        <v>514</v>
      </c>
      <c r="R1452" s="2" t="s">
        <v>515</v>
      </c>
      <c r="S1452" s="2">
        <v>0</v>
      </c>
      <c r="T1452" s="2">
        <v>0</v>
      </c>
      <c r="V1452" s="2">
        <f>T1452</f>
        <v>0</v>
      </c>
      <c r="W1452" s="2">
        <v>0</v>
      </c>
      <c r="X1452" s="5">
        <v>0</v>
      </c>
      <c r="Z1452" s="2" t="s">
        <v>117</v>
      </c>
      <c r="AA1452" s="2" t="s">
        <v>181</v>
      </c>
      <c r="AB1452" s="2" t="s">
        <v>119</v>
      </c>
      <c r="AC1452" s="2" t="s">
        <v>114</v>
      </c>
      <c r="AF1452" s="2">
        <f t="shared" si="199"/>
        <v>0</v>
      </c>
      <c r="AJ1452" s="2">
        <f t="shared" si="200"/>
        <v>0</v>
      </c>
      <c r="AK1452" s="2">
        <v>0</v>
      </c>
      <c r="AL1452" s="5">
        <v>0</v>
      </c>
    </row>
    <row r="1453" spans="1:38" x14ac:dyDescent="0.2">
      <c r="A1453" s="2">
        <v>2025</v>
      </c>
      <c r="B1453" s="2">
        <v>7</v>
      </c>
      <c r="D1453" s="2" t="s">
        <v>1651</v>
      </c>
      <c r="E1453" s="2" t="s">
        <v>38</v>
      </c>
      <c r="F1453" s="2" t="s">
        <v>39</v>
      </c>
      <c r="H1453" s="2" t="s">
        <v>41</v>
      </c>
      <c r="I1453" s="2" t="s">
        <v>1652</v>
      </c>
      <c r="J1453" s="2" t="s">
        <v>1653</v>
      </c>
      <c r="L1453" s="2" t="s">
        <v>112</v>
      </c>
      <c r="M1453" s="2" t="s">
        <v>40</v>
      </c>
      <c r="O1453" s="2" t="s">
        <v>1654</v>
      </c>
      <c r="P1453" s="2" t="s">
        <v>114</v>
      </c>
      <c r="Q1453" s="2" t="s">
        <v>1655</v>
      </c>
      <c r="R1453" s="2" t="s">
        <v>1656</v>
      </c>
      <c r="S1453" s="2">
        <v>1</v>
      </c>
      <c r="T1453" s="2">
        <v>2635.57</v>
      </c>
      <c r="U1453" s="2">
        <v>606.18110000000001</v>
      </c>
      <c r="V1453" s="2">
        <v>3241.7511</v>
      </c>
      <c r="W1453" s="2">
        <v>565.755</v>
      </c>
      <c r="X1453" s="5">
        <f t="shared" ref="X1453:X1469" si="204">(T1453-W1453)/T1453</f>
        <v>0.78533865539522763</v>
      </c>
      <c r="Z1453" s="2" t="s">
        <v>117</v>
      </c>
      <c r="AA1453" s="2" t="s">
        <v>118</v>
      </c>
      <c r="AB1453" s="2" t="s">
        <v>119</v>
      </c>
      <c r="AC1453" s="2" t="s">
        <v>114</v>
      </c>
      <c r="AF1453" s="2">
        <f t="shared" si="199"/>
        <v>0</v>
      </c>
      <c r="AG1453" s="2">
        <v>565.755</v>
      </c>
      <c r="AJ1453" s="2">
        <f t="shared" si="200"/>
        <v>0</v>
      </c>
      <c r="AK1453" s="2">
        <f t="shared" ref="AK1453:AK1469" si="205">T1453-W1453</f>
        <v>2069.8150000000001</v>
      </c>
      <c r="AL1453" s="5">
        <f t="shared" ref="AL1453:AL1469" si="206">(T1453-W1453)/T1453</f>
        <v>0.78533865539522763</v>
      </c>
    </row>
    <row r="1454" spans="1:38" x14ac:dyDescent="0.2">
      <c r="A1454" s="2">
        <v>2025</v>
      </c>
      <c r="B1454" s="2">
        <v>7</v>
      </c>
      <c r="D1454" s="2" t="s">
        <v>1651</v>
      </c>
      <c r="E1454" s="2" t="s">
        <v>38</v>
      </c>
      <c r="F1454" s="2" t="s">
        <v>39</v>
      </c>
      <c r="H1454" s="2" t="s">
        <v>41</v>
      </c>
      <c r="I1454" s="2" t="s">
        <v>1652</v>
      </c>
      <c r="J1454" s="2" t="s">
        <v>1653</v>
      </c>
      <c r="L1454" s="2" t="s">
        <v>112</v>
      </c>
      <c r="M1454" s="2" t="s">
        <v>40</v>
      </c>
      <c r="O1454" s="2" t="s">
        <v>1654</v>
      </c>
      <c r="P1454" s="2" t="s">
        <v>187</v>
      </c>
      <c r="Q1454" s="2" t="s">
        <v>188</v>
      </c>
      <c r="R1454" s="2" t="s">
        <v>189</v>
      </c>
      <c r="S1454" s="2">
        <v>2</v>
      </c>
      <c r="T1454" s="2">
        <v>242</v>
      </c>
      <c r="U1454" s="2">
        <v>55.66</v>
      </c>
      <c r="V1454" s="2">
        <v>297.66000000000003</v>
      </c>
      <c r="W1454" s="2">
        <f>T1454*40%</f>
        <v>96.800000000000011</v>
      </c>
      <c r="X1454" s="5">
        <f t="shared" si="204"/>
        <v>0.6</v>
      </c>
      <c r="Z1454" s="2" t="s">
        <v>117</v>
      </c>
      <c r="AA1454" s="2" t="s">
        <v>190</v>
      </c>
      <c r="AB1454" s="2" t="s">
        <v>189</v>
      </c>
      <c r="AC1454" s="2" t="s">
        <v>40</v>
      </c>
      <c r="AF1454" s="2">
        <f t="shared" si="199"/>
        <v>0</v>
      </c>
      <c r="AJ1454" s="2">
        <f t="shared" si="200"/>
        <v>0</v>
      </c>
      <c r="AK1454" s="2">
        <f t="shared" si="205"/>
        <v>145.19999999999999</v>
      </c>
      <c r="AL1454" s="5">
        <f t="shared" si="206"/>
        <v>0.6</v>
      </c>
    </row>
    <row r="1455" spans="1:38" x14ac:dyDescent="0.2">
      <c r="A1455" s="2">
        <v>2025</v>
      </c>
      <c r="B1455" s="2">
        <v>7</v>
      </c>
      <c r="D1455" s="2" t="s">
        <v>1651</v>
      </c>
      <c r="E1455" s="2" t="s">
        <v>38</v>
      </c>
      <c r="F1455" s="2" t="s">
        <v>39</v>
      </c>
      <c r="H1455" s="2" t="s">
        <v>41</v>
      </c>
      <c r="I1455" s="2" t="s">
        <v>1652</v>
      </c>
      <c r="J1455" s="2" t="s">
        <v>1653</v>
      </c>
      <c r="L1455" s="2" t="s">
        <v>112</v>
      </c>
      <c r="M1455" s="2" t="s">
        <v>40</v>
      </c>
      <c r="O1455" s="2" t="s">
        <v>1654</v>
      </c>
      <c r="P1455" s="2" t="s">
        <v>187</v>
      </c>
      <c r="Q1455" s="2" t="s">
        <v>191</v>
      </c>
      <c r="R1455" s="2" t="s">
        <v>190</v>
      </c>
      <c r="S1455" s="2">
        <v>4</v>
      </c>
      <c r="T1455" s="2">
        <v>200</v>
      </c>
      <c r="U1455" s="2">
        <v>46</v>
      </c>
      <c r="V1455" s="2">
        <v>246</v>
      </c>
      <c r="W1455" s="2">
        <f>T1455*50%</f>
        <v>100</v>
      </c>
      <c r="X1455" s="5">
        <f t="shared" si="204"/>
        <v>0.5</v>
      </c>
      <c r="Z1455" s="2" t="s">
        <v>117</v>
      </c>
      <c r="AA1455" s="2" t="s">
        <v>190</v>
      </c>
      <c r="AB1455" s="2" t="s">
        <v>190</v>
      </c>
      <c r="AC1455" s="2" t="s">
        <v>40</v>
      </c>
      <c r="AF1455" s="2">
        <f t="shared" si="199"/>
        <v>0</v>
      </c>
      <c r="AJ1455" s="2">
        <f t="shared" si="200"/>
        <v>0</v>
      </c>
      <c r="AK1455" s="2">
        <f t="shared" si="205"/>
        <v>100</v>
      </c>
      <c r="AL1455" s="5">
        <f t="shared" si="206"/>
        <v>0.5</v>
      </c>
    </row>
    <row r="1456" spans="1:38" x14ac:dyDescent="0.2">
      <c r="A1456" s="2">
        <v>2025</v>
      </c>
      <c r="B1456" s="2">
        <v>7</v>
      </c>
      <c r="D1456" s="2" t="s">
        <v>1302</v>
      </c>
      <c r="P1456" s="2" t="s">
        <v>1194</v>
      </c>
      <c r="Q1456" s="2" t="s">
        <v>1086</v>
      </c>
      <c r="R1456" s="2" t="s">
        <v>1087</v>
      </c>
      <c r="S1456" s="2">
        <v>-1</v>
      </c>
      <c r="T1456" s="2">
        <v>-580</v>
      </c>
      <c r="U1456" s="2">
        <v>-133.4</v>
      </c>
      <c r="V1456" s="2">
        <v>-713.4</v>
      </c>
      <c r="X1456" s="5">
        <f t="shared" si="204"/>
        <v>1</v>
      </c>
      <c r="Z1456" s="2" t="s">
        <v>104</v>
      </c>
      <c r="AA1456" s="2" t="s">
        <v>1199</v>
      </c>
      <c r="AB1456" s="2" t="s">
        <v>119</v>
      </c>
      <c r="AC1456" s="2" t="s">
        <v>1194</v>
      </c>
      <c r="AF1456" s="2">
        <f t="shared" si="199"/>
        <v>0</v>
      </c>
      <c r="AJ1456" s="2">
        <f t="shared" si="200"/>
        <v>0</v>
      </c>
      <c r="AK1456" s="2">
        <f t="shared" si="205"/>
        <v>-580</v>
      </c>
      <c r="AL1456" s="5">
        <f t="shared" si="206"/>
        <v>1</v>
      </c>
    </row>
    <row r="1457" spans="1:38" x14ac:dyDescent="0.2">
      <c r="A1457" s="2">
        <v>2025</v>
      </c>
      <c r="B1457" s="2">
        <v>7</v>
      </c>
      <c r="D1457" s="2" t="s">
        <v>1657</v>
      </c>
      <c r="P1457" s="2" t="s">
        <v>282</v>
      </c>
      <c r="Q1457" s="2" t="s">
        <v>1510</v>
      </c>
      <c r="R1457" s="2" t="s">
        <v>1511</v>
      </c>
      <c r="S1457" s="2">
        <v>2</v>
      </c>
      <c r="T1457" s="2">
        <v>80</v>
      </c>
      <c r="U1457" s="2">
        <v>18.399999999999999</v>
      </c>
      <c r="V1457" s="2">
        <v>98.4</v>
      </c>
      <c r="W1457" s="2">
        <f>27.445*S1457</f>
        <v>54.89</v>
      </c>
      <c r="X1457" s="5">
        <f t="shared" si="204"/>
        <v>0.31387500000000002</v>
      </c>
      <c r="Z1457" s="2" t="s">
        <v>3227</v>
      </c>
      <c r="AA1457" s="2" t="s">
        <v>71</v>
      </c>
      <c r="AB1457" s="2" t="s">
        <v>1600</v>
      </c>
      <c r="AC1457" s="2" t="s">
        <v>1600</v>
      </c>
      <c r="AF1457" s="2">
        <f t="shared" si="199"/>
        <v>0</v>
      </c>
      <c r="AJ1457" s="2">
        <f t="shared" si="200"/>
        <v>0</v>
      </c>
      <c r="AK1457" s="2">
        <f t="shared" si="205"/>
        <v>25.11</v>
      </c>
      <c r="AL1457" s="5">
        <f t="shared" si="206"/>
        <v>0.31387500000000002</v>
      </c>
    </row>
    <row r="1458" spans="1:38" x14ac:dyDescent="0.2">
      <c r="A1458" s="2">
        <v>2025</v>
      </c>
      <c r="B1458" s="2">
        <v>7</v>
      </c>
      <c r="D1458" s="2" t="s">
        <v>1658</v>
      </c>
      <c r="P1458" s="2" t="s">
        <v>282</v>
      </c>
      <c r="Q1458" s="2" t="s">
        <v>1588</v>
      </c>
      <c r="R1458" s="2" t="s">
        <v>1589</v>
      </c>
      <c r="S1458" s="2">
        <v>3</v>
      </c>
      <c r="T1458" s="2">
        <v>20.7</v>
      </c>
      <c r="U1458" s="2">
        <v>4.7610000000000001</v>
      </c>
      <c r="V1458" s="2">
        <v>25.460999999999999</v>
      </c>
      <c r="W1458" s="2">
        <f>5.135*S1458</f>
        <v>15.404999999999999</v>
      </c>
      <c r="X1458" s="5">
        <f t="shared" si="204"/>
        <v>0.25579710144927537</v>
      </c>
      <c r="Z1458" s="2" t="s">
        <v>3227</v>
      </c>
      <c r="AA1458" s="2" t="s">
        <v>71</v>
      </c>
      <c r="AB1458" s="2" t="s">
        <v>119</v>
      </c>
      <c r="AC1458" s="2" t="s">
        <v>119</v>
      </c>
      <c r="AF1458" s="2">
        <f t="shared" si="199"/>
        <v>0</v>
      </c>
      <c r="AJ1458" s="2">
        <f t="shared" si="200"/>
        <v>0</v>
      </c>
      <c r="AK1458" s="2">
        <f t="shared" si="205"/>
        <v>5.2949999999999999</v>
      </c>
      <c r="AL1458" s="5">
        <f t="shared" si="206"/>
        <v>0.25579710144927537</v>
      </c>
    </row>
    <row r="1459" spans="1:38" x14ac:dyDescent="0.2">
      <c r="A1459" s="2">
        <v>2025</v>
      </c>
      <c r="B1459" s="2">
        <v>7</v>
      </c>
      <c r="D1459" s="2" t="s">
        <v>1658</v>
      </c>
      <c r="M1459" s="2" t="s">
        <v>109</v>
      </c>
      <c r="P1459" s="2" t="s">
        <v>169</v>
      </c>
      <c r="Q1459" s="2" t="s">
        <v>170</v>
      </c>
      <c r="R1459" s="2" t="s">
        <v>170</v>
      </c>
      <c r="S1459" s="2">
        <v>1</v>
      </c>
      <c r="T1459" s="2">
        <v>8.5</v>
      </c>
      <c r="U1459" s="2">
        <v>1.9550000000000001</v>
      </c>
      <c r="V1459" s="2">
        <v>10.455</v>
      </c>
      <c r="W1459" s="2">
        <v>6</v>
      </c>
      <c r="X1459" s="5">
        <f t="shared" si="204"/>
        <v>0.29411764705882354</v>
      </c>
      <c r="Z1459" s="2" t="s">
        <v>169</v>
      </c>
      <c r="AA1459" s="2" t="s">
        <v>169</v>
      </c>
      <c r="AF1459" s="2">
        <f t="shared" si="199"/>
        <v>0</v>
      </c>
      <c r="AJ1459" s="2">
        <f t="shared" si="200"/>
        <v>0</v>
      </c>
      <c r="AK1459" s="2">
        <f t="shared" si="205"/>
        <v>2.5</v>
      </c>
      <c r="AL1459" s="5">
        <f t="shared" si="206"/>
        <v>0.29411764705882354</v>
      </c>
    </row>
    <row r="1460" spans="1:38" x14ac:dyDescent="0.2">
      <c r="A1460" s="2">
        <v>2025</v>
      </c>
      <c r="B1460" s="2">
        <v>7</v>
      </c>
      <c r="D1460" s="2" t="s">
        <v>1659</v>
      </c>
      <c r="M1460" s="2" t="s">
        <v>40</v>
      </c>
      <c r="P1460" s="2" t="s">
        <v>114</v>
      </c>
      <c r="Q1460" s="2" t="s">
        <v>373</v>
      </c>
      <c r="R1460" s="2" t="s">
        <v>374</v>
      </c>
      <c r="S1460" s="2">
        <v>1</v>
      </c>
      <c r="T1460" s="2">
        <v>45.07</v>
      </c>
      <c r="U1460" s="2">
        <v>10.366099999999999</v>
      </c>
      <c r="V1460" s="2">
        <v>55.436100000000003</v>
      </c>
      <c r="W1460" s="2">
        <f>23.042*S1460</f>
        <v>23.042000000000002</v>
      </c>
      <c r="X1460" s="5">
        <f t="shared" si="204"/>
        <v>0.48875083203905034</v>
      </c>
      <c r="Z1460" s="2" t="s">
        <v>117</v>
      </c>
      <c r="AA1460" s="2" t="s">
        <v>118</v>
      </c>
      <c r="AB1460" s="2" t="s">
        <v>119</v>
      </c>
      <c r="AC1460" s="2" t="s">
        <v>114</v>
      </c>
      <c r="AF1460" s="2">
        <f t="shared" si="199"/>
        <v>0</v>
      </c>
      <c r="AJ1460" s="2">
        <f t="shared" si="200"/>
        <v>0</v>
      </c>
      <c r="AK1460" s="2">
        <f t="shared" si="205"/>
        <v>22.027999999999999</v>
      </c>
      <c r="AL1460" s="5">
        <f t="shared" si="206"/>
        <v>0.48875083203905034</v>
      </c>
    </row>
    <row r="1461" spans="1:38" x14ac:dyDescent="0.2">
      <c r="A1461" s="2">
        <v>2025</v>
      </c>
      <c r="B1461" s="2">
        <v>7</v>
      </c>
      <c r="D1461" s="2" t="s">
        <v>1659</v>
      </c>
      <c r="P1461" s="2" t="s">
        <v>114</v>
      </c>
      <c r="Q1461" s="2" t="s">
        <v>1332</v>
      </c>
      <c r="R1461" s="2" t="s">
        <v>1333</v>
      </c>
      <c r="S1461" s="2">
        <v>1</v>
      </c>
      <c r="T1461" s="2">
        <v>70.12</v>
      </c>
      <c r="U1461" s="2">
        <v>16.127600000000001</v>
      </c>
      <c r="V1461" s="2">
        <v>86.247600000000006</v>
      </c>
      <c r="X1461" s="5">
        <f t="shared" si="204"/>
        <v>1</v>
      </c>
      <c r="Z1461" s="2" t="s">
        <v>117</v>
      </c>
      <c r="AF1461" s="2">
        <f t="shared" si="199"/>
        <v>0</v>
      </c>
      <c r="AJ1461" s="2">
        <f t="shared" si="200"/>
        <v>0</v>
      </c>
      <c r="AK1461" s="2">
        <f t="shared" si="205"/>
        <v>70.12</v>
      </c>
      <c r="AL1461" s="5">
        <f t="shared" si="206"/>
        <v>1</v>
      </c>
    </row>
    <row r="1462" spans="1:38" x14ac:dyDescent="0.2">
      <c r="A1462" s="2">
        <v>2025</v>
      </c>
      <c r="B1462" s="2">
        <v>7</v>
      </c>
      <c r="D1462" s="2" t="s">
        <v>1660</v>
      </c>
      <c r="P1462" s="2" t="s">
        <v>40</v>
      </c>
      <c r="Q1462" s="2" t="s">
        <v>363</v>
      </c>
      <c r="R1462" s="2" t="s">
        <v>364</v>
      </c>
      <c r="S1462" s="2">
        <v>1</v>
      </c>
      <c r="T1462" s="2">
        <v>120.75</v>
      </c>
      <c r="U1462" s="2">
        <v>27.772500000000001</v>
      </c>
      <c r="V1462" s="2">
        <v>148.52250000000001</v>
      </c>
      <c r="X1462" s="5">
        <f t="shared" si="204"/>
        <v>1</v>
      </c>
      <c r="Z1462" s="2" t="s">
        <v>119</v>
      </c>
      <c r="AA1462" s="2" t="s">
        <v>3380</v>
      </c>
      <c r="AF1462" s="2">
        <f t="shared" si="199"/>
        <v>0</v>
      </c>
      <c r="AJ1462" s="2">
        <f t="shared" si="200"/>
        <v>0</v>
      </c>
      <c r="AK1462" s="2">
        <f t="shared" si="205"/>
        <v>120.75</v>
      </c>
      <c r="AL1462" s="5">
        <f t="shared" si="206"/>
        <v>1</v>
      </c>
    </row>
    <row r="1463" spans="1:38" x14ac:dyDescent="0.2">
      <c r="A1463" s="2">
        <v>2025</v>
      </c>
      <c r="B1463" s="2">
        <v>7</v>
      </c>
      <c r="D1463" s="2" t="s">
        <v>643</v>
      </c>
      <c r="E1463" s="2" t="s">
        <v>108</v>
      </c>
      <c r="F1463" s="2" t="s">
        <v>477</v>
      </c>
      <c r="G1463" s="2">
        <v>509056946</v>
      </c>
      <c r="H1463" s="2" t="s">
        <v>109</v>
      </c>
      <c r="I1463" s="2" t="s">
        <v>644</v>
      </c>
      <c r="J1463" s="2" t="s">
        <v>645</v>
      </c>
      <c r="K1463" s="2">
        <v>964495536</v>
      </c>
      <c r="L1463" s="2" t="s">
        <v>112</v>
      </c>
      <c r="P1463" s="2" t="s">
        <v>43</v>
      </c>
      <c r="Q1463" s="2" t="s">
        <v>61</v>
      </c>
      <c r="R1463" s="2" t="s">
        <v>62</v>
      </c>
      <c r="S1463" s="2">
        <v>2000</v>
      </c>
      <c r="T1463" s="2">
        <v>200</v>
      </c>
      <c r="U1463" s="2">
        <v>46</v>
      </c>
      <c r="V1463" s="2">
        <v>246</v>
      </c>
      <c r="W1463" s="2">
        <f>0.082*S1463</f>
        <v>164</v>
      </c>
      <c r="X1463" s="5">
        <f t="shared" si="204"/>
        <v>0.18</v>
      </c>
      <c r="Z1463" s="2" t="s">
        <v>3227</v>
      </c>
      <c r="AA1463" s="2" t="s">
        <v>46</v>
      </c>
      <c r="AB1463" s="2" t="s">
        <v>60</v>
      </c>
      <c r="AC1463" s="2" t="s">
        <v>57</v>
      </c>
      <c r="AF1463" s="2">
        <f t="shared" si="199"/>
        <v>0</v>
      </c>
      <c r="AG1463" s="2">
        <v>8.1999999999999993</v>
      </c>
      <c r="AH1463" s="2">
        <v>13</v>
      </c>
      <c r="AJ1463" s="2">
        <f t="shared" si="200"/>
        <v>0</v>
      </c>
      <c r="AK1463" s="2">
        <f t="shared" si="205"/>
        <v>36</v>
      </c>
      <c r="AL1463" s="5">
        <f t="shared" si="206"/>
        <v>0.18</v>
      </c>
    </row>
    <row r="1464" spans="1:38" x14ac:dyDescent="0.2">
      <c r="A1464" s="2">
        <v>2025</v>
      </c>
      <c r="B1464" s="2">
        <v>7</v>
      </c>
      <c r="C1464" s="2" t="s">
        <v>3424</v>
      </c>
      <c r="D1464" s="2" t="s">
        <v>1120</v>
      </c>
      <c r="E1464" s="2" t="s">
        <v>108</v>
      </c>
      <c r="F1464" s="2" t="s">
        <v>39</v>
      </c>
      <c r="G1464" s="2">
        <v>504923765</v>
      </c>
      <c r="H1464" s="2" t="s">
        <v>109</v>
      </c>
      <c r="I1464" s="2" t="s">
        <v>3245</v>
      </c>
      <c r="J1464" s="2" t="s">
        <v>3246</v>
      </c>
      <c r="K1464" s="2">
        <v>96179412</v>
      </c>
      <c r="L1464" s="2" t="s">
        <v>461</v>
      </c>
      <c r="M1464" s="2" t="s">
        <v>40</v>
      </c>
      <c r="O1464" s="2" t="s">
        <v>3253</v>
      </c>
      <c r="P1464" s="2" t="s">
        <v>114</v>
      </c>
      <c r="Q1464" s="2" t="s">
        <v>539</v>
      </c>
      <c r="R1464" s="2" t="s">
        <v>540</v>
      </c>
      <c r="S1464" s="2">
        <v>1</v>
      </c>
      <c r="T1464" s="2">
        <v>49.81</v>
      </c>
      <c r="U1464" s="2">
        <v>11.456300000000001</v>
      </c>
      <c r="V1464" s="2">
        <v>61.266300000000001</v>
      </c>
      <c r="W1464" s="2">
        <v>24.454000000000001</v>
      </c>
      <c r="X1464" s="5">
        <f t="shared" si="204"/>
        <v>0.5090544067456334</v>
      </c>
      <c r="Z1464" s="2" t="s">
        <v>117</v>
      </c>
      <c r="AA1464" s="2" t="s">
        <v>118</v>
      </c>
      <c r="AB1464" s="2" t="s">
        <v>119</v>
      </c>
      <c r="AC1464" s="2" t="s">
        <v>114</v>
      </c>
      <c r="AF1464" s="2">
        <f t="shared" si="199"/>
        <v>0</v>
      </c>
      <c r="AJ1464" s="2">
        <f t="shared" si="200"/>
        <v>0</v>
      </c>
      <c r="AK1464" s="2">
        <f t="shared" si="205"/>
        <v>25.356000000000002</v>
      </c>
      <c r="AL1464" s="5">
        <f t="shared" si="206"/>
        <v>0.5090544067456334</v>
      </c>
    </row>
    <row r="1465" spans="1:38" x14ac:dyDescent="0.2">
      <c r="A1465" s="2">
        <v>2025</v>
      </c>
      <c r="B1465" s="2">
        <v>7</v>
      </c>
      <c r="C1465" s="2" t="s">
        <v>3424</v>
      </c>
      <c r="D1465" s="2" t="s">
        <v>1120</v>
      </c>
      <c r="E1465" s="2" t="s">
        <v>108</v>
      </c>
      <c r="F1465" s="2" t="s">
        <v>39</v>
      </c>
      <c r="G1465" s="2">
        <v>504923765</v>
      </c>
      <c r="H1465" s="2" t="s">
        <v>109</v>
      </c>
      <c r="I1465" s="2" t="s">
        <v>3245</v>
      </c>
      <c r="J1465" s="2" t="s">
        <v>3246</v>
      </c>
      <c r="K1465" s="2">
        <v>96179412</v>
      </c>
      <c r="L1465" s="2" t="s">
        <v>461</v>
      </c>
      <c r="M1465" s="2" t="s">
        <v>40</v>
      </c>
      <c r="O1465" s="2" t="s">
        <v>3253</v>
      </c>
      <c r="P1465" s="2" t="s">
        <v>187</v>
      </c>
      <c r="Q1465" s="2" t="s">
        <v>188</v>
      </c>
      <c r="R1465" s="2" t="s">
        <v>189</v>
      </c>
      <c r="S1465" s="2">
        <v>1</v>
      </c>
      <c r="T1465" s="2">
        <v>197</v>
      </c>
      <c r="U1465" s="2">
        <v>45.31</v>
      </c>
      <c r="V1465" s="2">
        <v>242.31</v>
      </c>
      <c r="W1465" s="2">
        <f>T1465*40%</f>
        <v>78.800000000000011</v>
      </c>
      <c r="X1465" s="5">
        <f t="shared" si="204"/>
        <v>0.6</v>
      </c>
      <c r="Z1465" s="2" t="s">
        <v>117</v>
      </c>
      <c r="AA1465" s="2" t="s">
        <v>190</v>
      </c>
      <c r="AB1465" s="2" t="s">
        <v>189</v>
      </c>
      <c r="AC1465" s="2" t="s">
        <v>40</v>
      </c>
      <c r="AF1465" s="2">
        <f t="shared" si="199"/>
        <v>0</v>
      </c>
      <c r="AJ1465" s="2">
        <f t="shared" si="200"/>
        <v>0</v>
      </c>
      <c r="AK1465" s="2">
        <f t="shared" si="205"/>
        <v>118.19999999999999</v>
      </c>
      <c r="AL1465" s="5">
        <f t="shared" si="206"/>
        <v>0.6</v>
      </c>
    </row>
    <row r="1466" spans="1:38" x14ac:dyDescent="0.2">
      <c r="A1466" s="2">
        <v>2025</v>
      </c>
      <c r="B1466" s="2">
        <v>7</v>
      </c>
      <c r="C1466" s="2" t="s">
        <v>3424</v>
      </c>
      <c r="D1466" s="2" t="s">
        <v>1120</v>
      </c>
      <c r="E1466" s="2" t="s">
        <v>108</v>
      </c>
      <c r="F1466" s="2" t="s">
        <v>39</v>
      </c>
      <c r="G1466" s="2">
        <v>504923765</v>
      </c>
      <c r="H1466" s="2" t="s">
        <v>109</v>
      </c>
      <c r="I1466" s="2" t="s">
        <v>3245</v>
      </c>
      <c r="J1466" s="2" t="s">
        <v>3246</v>
      </c>
      <c r="K1466" s="2">
        <v>96179412</v>
      </c>
      <c r="L1466" s="2" t="s">
        <v>461</v>
      </c>
      <c r="M1466" s="2" t="s">
        <v>40</v>
      </c>
      <c r="O1466" s="2" t="s">
        <v>3253</v>
      </c>
      <c r="P1466" s="2" t="s">
        <v>187</v>
      </c>
      <c r="Q1466" s="2" t="s">
        <v>191</v>
      </c>
      <c r="R1466" s="2" t="s">
        <v>190</v>
      </c>
      <c r="S1466" s="2">
        <v>1</v>
      </c>
      <c r="T1466" s="2">
        <v>50</v>
      </c>
      <c r="U1466" s="2">
        <v>11.5</v>
      </c>
      <c r="V1466" s="2">
        <v>61.5</v>
      </c>
      <c r="W1466" s="2">
        <f>T1466*50%</f>
        <v>25</v>
      </c>
      <c r="X1466" s="5">
        <f t="shared" si="204"/>
        <v>0.5</v>
      </c>
      <c r="Z1466" s="2" t="s">
        <v>117</v>
      </c>
      <c r="AA1466" s="2" t="s">
        <v>190</v>
      </c>
      <c r="AB1466" s="2" t="s">
        <v>190</v>
      </c>
      <c r="AC1466" s="2" t="s">
        <v>40</v>
      </c>
      <c r="AF1466" s="2">
        <f t="shared" si="199"/>
        <v>0</v>
      </c>
      <c r="AJ1466" s="2">
        <f t="shared" si="200"/>
        <v>0</v>
      </c>
      <c r="AK1466" s="2">
        <f t="shared" si="205"/>
        <v>25</v>
      </c>
      <c r="AL1466" s="5">
        <f t="shared" si="206"/>
        <v>0.5</v>
      </c>
    </row>
    <row r="1467" spans="1:38" x14ac:dyDescent="0.2">
      <c r="A1467" s="2">
        <v>2025</v>
      </c>
      <c r="B1467" s="2">
        <v>7</v>
      </c>
      <c r="C1467" s="2" t="s">
        <v>3424</v>
      </c>
      <c r="D1467" s="2" t="s">
        <v>655</v>
      </c>
      <c r="E1467" s="2" t="s">
        <v>38</v>
      </c>
      <c r="G1467" s="2">
        <v>509116590</v>
      </c>
      <c r="H1467" s="2" t="s">
        <v>290</v>
      </c>
      <c r="I1467" s="2" t="s">
        <v>656</v>
      </c>
      <c r="J1467" s="2" t="s">
        <v>657</v>
      </c>
      <c r="L1467" s="2" t="s">
        <v>293</v>
      </c>
      <c r="M1467" s="2" t="s">
        <v>80</v>
      </c>
      <c r="P1467" s="2" t="s">
        <v>72</v>
      </c>
      <c r="Q1467" s="2" t="s">
        <v>73</v>
      </c>
      <c r="R1467" s="2" t="s">
        <v>74</v>
      </c>
      <c r="S1467" s="2">
        <v>1</v>
      </c>
      <c r="T1467" s="2">
        <v>220</v>
      </c>
      <c r="U1467" s="2">
        <v>50.6</v>
      </c>
      <c r="V1467" s="2">
        <v>270.60000000000002</v>
      </c>
      <c r="W1467" s="2">
        <v>117.453</v>
      </c>
      <c r="X1467" s="5">
        <f t="shared" si="204"/>
        <v>0.46612272727272724</v>
      </c>
      <c r="Z1467" s="2" t="s">
        <v>3227</v>
      </c>
      <c r="AA1467" s="2" t="s">
        <v>75</v>
      </c>
      <c r="AB1467" s="2" t="s">
        <v>76</v>
      </c>
      <c r="AC1467" s="2" t="s">
        <v>77</v>
      </c>
      <c r="AF1467" s="2">
        <f t="shared" si="199"/>
        <v>0</v>
      </c>
      <c r="AG1467" s="2">
        <v>117.453</v>
      </c>
      <c r="AH1467" s="2">
        <v>220</v>
      </c>
      <c r="AJ1467" s="2">
        <f t="shared" si="200"/>
        <v>0</v>
      </c>
      <c r="AK1467" s="2">
        <f t="shared" si="205"/>
        <v>102.547</v>
      </c>
      <c r="AL1467" s="5">
        <f t="shared" si="206"/>
        <v>0.46612272727272724</v>
      </c>
    </row>
    <row r="1468" spans="1:38" x14ac:dyDescent="0.2">
      <c r="A1468" s="2">
        <v>2025</v>
      </c>
      <c r="B1468" s="2">
        <v>7</v>
      </c>
      <c r="C1468" s="2" t="s">
        <v>3424</v>
      </c>
      <c r="D1468" s="2" t="s">
        <v>655</v>
      </c>
      <c r="E1468" s="2" t="s">
        <v>38</v>
      </c>
      <c r="G1468" s="2">
        <v>509116590</v>
      </c>
      <c r="H1468" s="2" t="s">
        <v>290</v>
      </c>
      <c r="I1468" s="2" t="s">
        <v>656</v>
      </c>
      <c r="J1468" s="2" t="s">
        <v>657</v>
      </c>
      <c r="L1468" s="2" t="s">
        <v>293</v>
      </c>
      <c r="M1468" s="2" t="s">
        <v>80</v>
      </c>
      <c r="P1468" s="2" t="s">
        <v>93</v>
      </c>
      <c r="Q1468" s="2" t="s">
        <v>94</v>
      </c>
      <c r="R1468" s="2" t="s">
        <v>95</v>
      </c>
      <c r="S1468" s="2">
        <v>1</v>
      </c>
      <c r="T1468" s="2">
        <v>1.1399999999999999</v>
      </c>
      <c r="U1468" s="2">
        <v>0.26219999999999999</v>
      </c>
      <c r="V1468" s="2">
        <v>1.4021999999999999</v>
      </c>
      <c r="W1468" s="2">
        <v>1.1399999999999999</v>
      </c>
      <c r="X1468" s="5">
        <f t="shared" si="204"/>
        <v>0</v>
      </c>
      <c r="Z1468" s="2" t="s">
        <v>3227</v>
      </c>
      <c r="AA1468" s="2" t="s">
        <v>96</v>
      </c>
      <c r="AB1468" s="2" t="s">
        <v>76</v>
      </c>
      <c r="AC1468" s="2" t="s">
        <v>93</v>
      </c>
      <c r="AF1468" s="2">
        <f t="shared" si="199"/>
        <v>0</v>
      </c>
      <c r="AJ1468" s="2">
        <f t="shared" si="200"/>
        <v>0</v>
      </c>
      <c r="AK1468" s="2">
        <f t="shared" si="205"/>
        <v>0</v>
      </c>
      <c r="AL1468" s="5">
        <f t="shared" si="206"/>
        <v>0</v>
      </c>
    </row>
    <row r="1469" spans="1:38" x14ac:dyDescent="0.2">
      <c r="A1469" s="2">
        <v>2025</v>
      </c>
      <c r="B1469" s="2">
        <v>7</v>
      </c>
      <c r="D1469" s="2" t="s">
        <v>1661</v>
      </c>
      <c r="P1469" s="2" t="s">
        <v>282</v>
      </c>
      <c r="Q1469" s="2" t="s">
        <v>1662</v>
      </c>
      <c r="R1469" s="2" t="s">
        <v>1663</v>
      </c>
      <c r="S1469" s="2">
        <v>1</v>
      </c>
      <c r="T1469" s="2">
        <v>5190</v>
      </c>
      <c r="U1469" s="2">
        <v>1193.7</v>
      </c>
      <c r="V1469" s="2">
        <v>6383.7</v>
      </c>
      <c r="W1469" s="2">
        <v>3290</v>
      </c>
      <c r="X1469" s="5">
        <f t="shared" si="204"/>
        <v>0.36608863198458574</v>
      </c>
      <c r="Z1469" s="2" t="s">
        <v>104</v>
      </c>
      <c r="AA1469" s="2" t="s">
        <v>387</v>
      </c>
      <c r="AB1469" s="2" t="s">
        <v>2641</v>
      </c>
      <c r="AC1469" s="2" t="s">
        <v>1327</v>
      </c>
      <c r="AF1469" s="2">
        <f t="shared" si="199"/>
        <v>0</v>
      </c>
      <c r="AJ1469" s="2">
        <f t="shared" si="200"/>
        <v>0</v>
      </c>
      <c r="AK1469" s="2">
        <f t="shared" si="205"/>
        <v>1900</v>
      </c>
      <c r="AL1469" s="5">
        <f t="shared" si="206"/>
        <v>0.36608863198458574</v>
      </c>
    </row>
    <row r="1470" spans="1:38" x14ac:dyDescent="0.2">
      <c r="A1470" s="2">
        <v>2025</v>
      </c>
      <c r="B1470" s="2">
        <v>7</v>
      </c>
      <c r="D1470" s="2" t="s">
        <v>1661</v>
      </c>
      <c r="P1470" s="2" t="s">
        <v>282</v>
      </c>
      <c r="Q1470" s="2" t="s">
        <v>1664</v>
      </c>
      <c r="R1470" s="2" t="s">
        <v>1665</v>
      </c>
      <c r="S1470" s="2">
        <v>1</v>
      </c>
      <c r="T1470" s="2">
        <v>0</v>
      </c>
      <c r="U1470" s="2">
        <v>0</v>
      </c>
      <c r="V1470" s="2">
        <v>0</v>
      </c>
      <c r="X1470" s="5">
        <v>0</v>
      </c>
      <c r="Z1470" s="2" t="s">
        <v>104</v>
      </c>
      <c r="AA1470" s="2" t="s">
        <v>387</v>
      </c>
      <c r="AB1470" s="2" t="s">
        <v>2641</v>
      </c>
      <c r="AC1470" s="2" t="s">
        <v>1327</v>
      </c>
      <c r="AF1470" s="2">
        <f t="shared" si="199"/>
        <v>0</v>
      </c>
      <c r="AJ1470" s="2">
        <f t="shared" si="200"/>
        <v>0</v>
      </c>
    </row>
    <row r="1471" spans="1:38" x14ac:dyDescent="0.2">
      <c r="A1471" s="2">
        <v>2025</v>
      </c>
      <c r="B1471" s="2">
        <v>7</v>
      </c>
      <c r="C1471" s="2" t="s">
        <v>3424</v>
      </c>
      <c r="D1471" s="2" t="s">
        <v>921</v>
      </c>
      <c r="L1471" s="2" t="s">
        <v>112</v>
      </c>
      <c r="M1471" s="2" t="s">
        <v>40</v>
      </c>
      <c r="P1471" s="2" t="s">
        <v>698</v>
      </c>
      <c r="Q1471" s="2" t="s">
        <v>704</v>
      </c>
      <c r="R1471" s="2" t="s">
        <v>705</v>
      </c>
      <c r="S1471" s="2">
        <v>1</v>
      </c>
      <c r="T1471" s="2">
        <v>2252.5</v>
      </c>
      <c r="U1471" s="2">
        <v>518.07500000000005</v>
      </c>
      <c r="V1471" s="2">
        <v>2770.5749999999998</v>
      </c>
      <c r="W1471" s="2">
        <v>1229.3399999999999</v>
      </c>
      <c r="X1471" s="5">
        <f t="shared" ref="X1471:X1512" si="207">(T1471-W1471)/T1471</f>
        <v>0.45423307436182025</v>
      </c>
      <c r="Z1471" s="2" t="s">
        <v>104</v>
      </c>
      <c r="AA1471" s="2" t="s">
        <v>616</v>
      </c>
      <c r="AB1471" s="2" t="s">
        <v>151</v>
      </c>
      <c r="AC1471" s="2" t="s">
        <v>698</v>
      </c>
      <c r="AF1471" s="2">
        <f t="shared" si="199"/>
        <v>0</v>
      </c>
      <c r="AJ1471" s="2">
        <f t="shared" si="200"/>
        <v>0</v>
      </c>
      <c r="AK1471" s="2">
        <f t="shared" ref="AK1471:AK1512" si="208">T1471-W1471</f>
        <v>1023.1600000000001</v>
      </c>
      <c r="AL1471" s="5">
        <f t="shared" ref="AL1471:AL1512" si="209">(T1471-W1471)/T1471</f>
        <v>0.45423307436182025</v>
      </c>
    </row>
    <row r="1472" spans="1:38" x14ac:dyDescent="0.2">
      <c r="A1472" s="2">
        <v>2025</v>
      </c>
      <c r="B1472" s="2">
        <v>7</v>
      </c>
      <c r="D1472" s="2" t="s">
        <v>674</v>
      </c>
      <c r="M1472" s="2" t="s">
        <v>40</v>
      </c>
      <c r="P1472" s="2" t="s">
        <v>187</v>
      </c>
      <c r="Q1472" s="2" t="s">
        <v>188</v>
      </c>
      <c r="R1472" s="2" t="s">
        <v>189</v>
      </c>
      <c r="S1472" s="2">
        <v>1</v>
      </c>
      <c r="T1472" s="2">
        <v>50</v>
      </c>
      <c r="U1472" s="2">
        <v>11.5</v>
      </c>
      <c r="V1472" s="2">
        <v>61.5</v>
      </c>
      <c r="W1472" s="2">
        <f>T1472*40%</f>
        <v>20</v>
      </c>
      <c r="X1472" s="5">
        <f t="shared" si="207"/>
        <v>0.6</v>
      </c>
      <c r="Z1472" s="2" t="s">
        <v>117</v>
      </c>
      <c r="AA1472" s="2" t="s">
        <v>190</v>
      </c>
      <c r="AB1472" s="2" t="s">
        <v>189</v>
      </c>
      <c r="AC1472" s="2" t="s">
        <v>40</v>
      </c>
      <c r="AF1472" s="2">
        <f t="shared" si="199"/>
        <v>0</v>
      </c>
      <c r="AJ1472" s="2">
        <f t="shared" si="200"/>
        <v>0</v>
      </c>
      <c r="AK1472" s="2">
        <f t="shared" si="208"/>
        <v>30</v>
      </c>
      <c r="AL1472" s="5">
        <f t="shared" si="209"/>
        <v>0.6</v>
      </c>
    </row>
    <row r="1473" spans="1:38" x14ac:dyDescent="0.2">
      <c r="A1473" s="2">
        <v>2025</v>
      </c>
      <c r="B1473" s="2">
        <v>7</v>
      </c>
      <c r="D1473" s="2" t="s">
        <v>674</v>
      </c>
      <c r="M1473" s="2" t="s">
        <v>40</v>
      </c>
      <c r="P1473" s="2" t="s">
        <v>187</v>
      </c>
      <c r="Q1473" s="2" t="s">
        <v>191</v>
      </c>
      <c r="R1473" s="2" t="s">
        <v>190</v>
      </c>
      <c r="S1473" s="2">
        <v>2</v>
      </c>
      <c r="T1473" s="2">
        <v>100</v>
      </c>
      <c r="U1473" s="2">
        <v>23</v>
      </c>
      <c r="V1473" s="2">
        <v>123</v>
      </c>
      <c r="W1473" s="2">
        <f>T1473*50%</f>
        <v>50</v>
      </c>
      <c r="X1473" s="5">
        <f t="shared" si="207"/>
        <v>0.5</v>
      </c>
      <c r="Z1473" s="2" t="s">
        <v>117</v>
      </c>
      <c r="AA1473" s="2" t="s">
        <v>190</v>
      </c>
      <c r="AB1473" s="2" t="s">
        <v>190</v>
      </c>
      <c r="AC1473" s="2" t="s">
        <v>40</v>
      </c>
      <c r="AF1473" s="2">
        <f t="shared" si="199"/>
        <v>0</v>
      </c>
      <c r="AJ1473" s="2">
        <f t="shared" si="200"/>
        <v>0</v>
      </c>
      <c r="AK1473" s="2">
        <f t="shared" si="208"/>
        <v>50</v>
      </c>
      <c r="AL1473" s="5">
        <f t="shared" si="209"/>
        <v>0.5</v>
      </c>
    </row>
    <row r="1474" spans="1:38" x14ac:dyDescent="0.2">
      <c r="A1474" s="2">
        <v>2025</v>
      </c>
      <c r="B1474" s="2">
        <v>6</v>
      </c>
      <c r="D1474" s="2" t="s">
        <v>37</v>
      </c>
      <c r="P1474" s="2" t="s">
        <v>282</v>
      </c>
      <c r="Q1474" s="2" t="s">
        <v>1436</v>
      </c>
      <c r="R1474" s="2" t="s">
        <v>1437</v>
      </c>
      <c r="S1474" s="2">
        <v>1</v>
      </c>
      <c r="T1474" s="2">
        <v>7.9</v>
      </c>
      <c r="U1474" s="2">
        <v>1.8169999999999999</v>
      </c>
      <c r="V1474" s="2">
        <v>9.7170000000000005</v>
      </c>
      <c r="W1474" s="2">
        <f>5.135*S1474</f>
        <v>5.1349999999999998</v>
      </c>
      <c r="X1474" s="5">
        <f t="shared" si="207"/>
        <v>0.35000000000000003</v>
      </c>
      <c r="Z1474" s="2" t="s">
        <v>3227</v>
      </c>
      <c r="AA1474" s="2" t="s">
        <v>71</v>
      </c>
      <c r="AB1474" s="2" t="s">
        <v>119</v>
      </c>
      <c r="AC1474" s="2" t="s">
        <v>119</v>
      </c>
      <c r="AF1474" s="2">
        <f t="shared" ref="AF1474:AF1537" si="210">AJ1474</f>
        <v>0</v>
      </c>
      <c r="AJ1474" s="2">
        <f t="shared" ref="AJ1474:AJ1537" si="211">AI1474*T1474</f>
        <v>0</v>
      </c>
      <c r="AK1474" s="2">
        <f t="shared" si="208"/>
        <v>2.7650000000000006</v>
      </c>
      <c r="AL1474" s="5">
        <f t="shared" si="209"/>
        <v>0.35000000000000003</v>
      </c>
    </row>
    <row r="1475" spans="1:38" x14ac:dyDescent="0.2">
      <c r="A1475" s="2">
        <v>2025</v>
      </c>
      <c r="B1475" s="2">
        <v>6</v>
      </c>
      <c r="D1475" s="2" t="s">
        <v>37</v>
      </c>
      <c r="P1475" s="2" t="s">
        <v>43</v>
      </c>
      <c r="Q1475" s="2" t="s">
        <v>54</v>
      </c>
      <c r="R1475" s="2" t="s">
        <v>55</v>
      </c>
      <c r="S1475" s="2">
        <v>2</v>
      </c>
      <c r="T1475" s="2">
        <v>29</v>
      </c>
      <c r="U1475" s="2">
        <v>6.67</v>
      </c>
      <c r="V1475" s="2">
        <v>35.67</v>
      </c>
      <c r="W1475" s="2">
        <f>10.6*S1475</f>
        <v>21.2</v>
      </c>
      <c r="X1475" s="5">
        <f t="shared" si="207"/>
        <v>0.26896551724137935</v>
      </c>
      <c r="Z1475" s="2" t="s">
        <v>3227</v>
      </c>
      <c r="AA1475" s="2" t="s">
        <v>46</v>
      </c>
      <c r="AB1475" s="2" t="s">
        <v>56</v>
      </c>
      <c r="AC1475" s="2" t="s">
        <v>57</v>
      </c>
      <c r="AF1475" s="2">
        <f t="shared" si="210"/>
        <v>0</v>
      </c>
      <c r="AG1475" s="2">
        <v>10.6</v>
      </c>
      <c r="AH1475" s="2">
        <v>18</v>
      </c>
      <c r="AJ1475" s="2">
        <f t="shared" si="211"/>
        <v>0</v>
      </c>
      <c r="AK1475" s="2">
        <f t="shared" si="208"/>
        <v>7.8000000000000007</v>
      </c>
      <c r="AL1475" s="5">
        <f t="shared" si="209"/>
        <v>0.26896551724137935</v>
      </c>
    </row>
    <row r="1476" spans="1:38" x14ac:dyDescent="0.2">
      <c r="A1476" s="2">
        <v>2025</v>
      </c>
      <c r="B1476" s="2">
        <v>6</v>
      </c>
      <c r="D1476" s="2" t="s">
        <v>37</v>
      </c>
      <c r="P1476" s="2" t="s">
        <v>43</v>
      </c>
      <c r="Q1476" s="2" t="s">
        <v>58</v>
      </c>
      <c r="R1476" s="2" t="s">
        <v>59</v>
      </c>
      <c r="S1476" s="2">
        <v>100</v>
      </c>
      <c r="T1476" s="2">
        <v>12</v>
      </c>
      <c r="U1476" s="2">
        <v>2.76</v>
      </c>
      <c r="V1476" s="2">
        <v>14.76</v>
      </c>
      <c r="W1476" s="2">
        <f>0.0914*S1476</f>
        <v>9.1399999999999988</v>
      </c>
      <c r="X1476" s="5">
        <f t="shared" si="207"/>
        <v>0.23833333333333342</v>
      </c>
      <c r="Z1476" s="2" t="s">
        <v>3227</v>
      </c>
      <c r="AA1476" s="2" t="s">
        <v>46</v>
      </c>
      <c r="AB1476" s="2" t="s">
        <v>60</v>
      </c>
      <c r="AC1476" s="2" t="s">
        <v>57</v>
      </c>
      <c r="AF1476" s="2">
        <f t="shared" si="210"/>
        <v>0</v>
      </c>
      <c r="AG1476" s="2">
        <v>9.14</v>
      </c>
      <c r="AH1476" s="2">
        <v>16</v>
      </c>
      <c r="AJ1476" s="2">
        <f t="shared" si="211"/>
        <v>0</v>
      </c>
      <c r="AK1476" s="2">
        <f t="shared" si="208"/>
        <v>2.8600000000000012</v>
      </c>
      <c r="AL1476" s="5">
        <f t="shared" si="209"/>
        <v>0.23833333333333342</v>
      </c>
    </row>
    <row r="1477" spans="1:38" x14ac:dyDescent="0.2">
      <c r="A1477" s="2">
        <v>2025</v>
      </c>
      <c r="B1477" s="2">
        <v>6</v>
      </c>
      <c r="D1477" s="2" t="s">
        <v>37</v>
      </c>
      <c r="P1477" s="2" t="s">
        <v>43</v>
      </c>
      <c r="Q1477" s="2" t="s">
        <v>61</v>
      </c>
      <c r="R1477" s="2" t="s">
        <v>62</v>
      </c>
      <c r="S1477" s="2">
        <v>300</v>
      </c>
      <c r="T1477" s="2">
        <v>30</v>
      </c>
      <c r="U1477" s="2">
        <v>6.9</v>
      </c>
      <c r="V1477" s="2">
        <v>36.9</v>
      </c>
      <c r="W1477" s="2">
        <f>0.082*S1477</f>
        <v>24.6</v>
      </c>
      <c r="X1477" s="5">
        <f t="shared" si="207"/>
        <v>0.17999999999999997</v>
      </c>
      <c r="Z1477" s="2" t="s">
        <v>3227</v>
      </c>
      <c r="AA1477" s="2" t="s">
        <v>46</v>
      </c>
      <c r="AB1477" s="2" t="s">
        <v>60</v>
      </c>
      <c r="AC1477" s="2" t="s">
        <v>57</v>
      </c>
      <c r="AF1477" s="2">
        <f t="shared" si="210"/>
        <v>0</v>
      </c>
      <c r="AG1477" s="2">
        <v>8.1999999999999993</v>
      </c>
      <c r="AH1477" s="2">
        <v>13</v>
      </c>
      <c r="AJ1477" s="2">
        <f t="shared" si="211"/>
        <v>0</v>
      </c>
      <c r="AK1477" s="2">
        <f t="shared" si="208"/>
        <v>5.3999999999999986</v>
      </c>
      <c r="AL1477" s="5">
        <f t="shared" si="209"/>
        <v>0.17999999999999997</v>
      </c>
    </row>
    <row r="1478" spans="1:38" x14ac:dyDescent="0.2">
      <c r="A1478" s="2">
        <v>2025</v>
      </c>
      <c r="B1478" s="2">
        <v>6</v>
      </c>
      <c r="D1478" s="2" t="s">
        <v>37</v>
      </c>
      <c r="P1478" s="2" t="s">
        <v>72</v>
      </c>
      <c r="Q1478" s="2" t="s">
        <v>912</v>
      </c>
      <c r="R1478" s="2" t="s">
        <v>74</v>
      </c>
      <c r="S1478" s="2">
        <v>1</v>
      </c>
      <c r="T1478" s="2">
        <v>222.44</v>
      </c>
      <c r="U1478" s="2">
        <v>51.161200000000001</v>
      </c>
      <c r="V1478" s="2">
        <v>273.60120000000001</v>
      </c>
      <c r="W1478" s="2">
        <f>115.92+6.06</f>
        <v>121.98</v>
      </c>
      <c r="X1478" s="5">
        <f t="shared" si="207"/>
        <v>0.4516274051429599</v>
      </c>
      <c r="Z1478" s="2" t="s">
        <v>3227</v>
      </c>
      <c r="AA1478" s="2" t="s">
        <v>75</v>
      </c>
      <c r="AB1478" s="2" t="s">
        <v>76</v>
      </c>
      <c r="AC1478" s="2" t="s">
        <v>77</v>
      </c>
      <c r="AF1478" s="2">
        <f t="shared" si="210"/>
        <v>0</v>
      </c>
      <c r="AJ1478" s="2">
        <f t="shared" si="211"/>
        <v>0</v>
      </c>
      <c r="AK1478" s="2">
        <f t="shared" si="208"/>
        <v>100.46</v>
      </c>
      <c r="AL1478" s="5">
        <f t="shared" si="209"/>
        <v>0.4516274051429599</v>
      </c>
    </row>
    <row r="1479" spans="1:38" x14ac:dyDescent="0.2">
      <c r="A1479" s="2">
        <v>2025</v>
      </c>
      <c r="B1479" s="2">
        <v>6</v>
      </c>
      <c r="D1479" s="2" t="s">
        <v>37</v>
      </c>
      <c r="E1479" s="2" t="s">
        <v>38</v>
      </c>
      <c r="F1479" s="2" t="s">
        <v>39</v>
      </c>
      <c r="H1479" s="2" t="s">
        <v>40</v>
      </c>
      <c r="L1479" s="2" t="s">
        <v>99</v>
      </c>
      <c r="M1479" s="2" t="s">
        <v>80</v>
      </c>
      <c r="P1479" s="2" t="s">
        <v>1038</v>
      </c>
      <c r="Q1479" s="2" t="s">
        <v>1666</v>
      </c>
      <c r="R1479" s="2" t="s">
        <v>1667</v>
      </c>
      <c r="S1479" s="2">
        <v>1</v>
      </c>
      <c r="T1479" s="2">
        <v>242.76</v>
      </c>
      <c r="U1479" s="2">
        <v>55.834800000000001</v>
      </c>
      <c r="V1479" s="2">
        <v>298.59480000000002</v>
      </c>
      <c r="W1479" s="2">
        <v>124.74</v>
      </c>
      <c r="X1479" s="5">
        <f t="shared" si="207"/>
        <v>0.48615916955017302</v>
      </c>
      <c r="Z1479" s="2" t="s">
        <v>3227</v>
      </c>
      <c r="AA1479" s="2" t="s">
        <v>75</v>
      </c>
      <c r="AB1479" s="2" t="s">
        <v>76</v>
      </c>
      <c r="AC1479" s="2" t="s">
        <v>1038</v>
      </c>
      <c r="AF1479" s="2">
        <f t="shared" si="210"/>
        <v>0</v>
      </c>
      <c r="AJ1479" s="2">
        <f t="shared" si="211"/>
        <v>0</v>
      </c>
      <c r="AK1479" s="2">
        <f t="shared" si="208"/>
        <v>118.02</v>
      </c>
      <c r="AL1479" s="5">
        <f t="shared" si="209"/>
        <v>0.48615916955017302</v>
      </c>
    </row>
    <row r="1480" spans="1:38" x14ac:dyDescent="0.2">
      <c r="A1480" s="2">
        <v>2025</v>
      </c>
      <c r="B1480" s="2">
        <v>6</v>
      </c>
      <c r="D1480" s="2" t="s">
        <v>37</v>
      </c>
      <c r="E1480" s="2" t="s">
        <v>38</v>
      </c>
      <c r="F1480" s="2" t="s">
        <v>39</v>
      </c>
      <c r="H1480" s="2" t="s">
        <v>40</v>
      </c>
      <c r="P1480" s="2" t="s">
        <v>1038</v>
      </c>
      <c r="Q1480" s="2" t="s">
        <v>1668</v>
      </c>
      <c r="R1480" s="2" t="s">
        <v>1669</v>
      </c>
      <c r="S1480" s="2">
        <v>2</v>
      </c>
      <c r="T1480" s="2">
        <v>406.51</v>
      </c>
      <c r="U1480" s="2">
        <v>93.497299999999996</v>
      </c>
      <c r="V1480" s="2">
        <v>500.00729999999999</v>
      </c>
      <c r="W1480" s="2">
        <f>144.4*2</f>
        <v>288.8</v>
      </c>
      <c r="X1480" s="5">
        <f t="shared" si="207"/>
        <v>0.28956237238936305</v>
      </c>
      <c r="Z1480" s="2" t="s">
        <v>3227</v>
      </c>
      <c r="AA1480" s="2" t="s">
        <v>1041</v>
      </c>
      <c r="AB1480" s="2" t="s">
        <v>1042</v>
      </c>
      <c r="AC1480" s="2" t="s">
        <v>1038</v>
      </c>
      <c r="AF1480" s="2">
        <f t="shared" si="210"/>
        <v>0</v>
      </c>
      <c r="AJ1480" s="2">
        <f t="shared" si="211"/>
        <v>0</v>
      </c>
      <c r="AK1480" s="2">
        <f t="shared" si="208"/>
        <v>117.70999999999998</v>
      </c>
      <c r="AL1480" s="5">
        <f t="shared" si="209"/>
        <v>0.28956237238936305</v>
      </c>
    </row>
    <row r="1481" spans="1:38" x14ac:dyDescent="0.2">
      <c r="A1481" s="2">
        <v>2025</v>
      </c>
      <c r="B1481" s="2">
        <v>6</v>
      </c>
      <c r="D1481" s="2" t="s">
        <v>37</v>
      </c>
      <c r="E1481" s="2" t="s">
        <v>38</v>
      </c>
      <c r="F1481" s="2" t="s">
        <v>39</v>
      </c>
      <c r="H1481" s="2" t="s">
        <v>40</v>
      </c>
      <c r="P1481" s="2" t="s">
        <v>1038</v>
      </c>
      <c r="Q1481" s="2" t="s">
        <v>1670</v>
      </c>
      <c r="R1481" s="2" t="s">
        <v>1671</v>
      </c>
      <c r="S1481" s="2">
        <v>2</v>
      </c>
      <c r="T1481" s="2">
        <v>406.5</v>
      </c>
      <c r="U1481" s="2">
        <v>93.495000000000005</v>
      </c>
      <c r="V1481" s="2">
        <v>499.995</v>
      </c>
      <c r="W1481" s="2">
        <f>149.18*2</f>
        <v>298.36</v>
      </c>
      <c r="X1481" s="5">
        <f t="shared" si="207"/>
        <v>0.26602706027060269</v>
      </c>
      <c r="Z1481" s="2" t="s">
        <v>3227</v>
      </c>
      <c r="AA1481" s="2" t="s">
        <v>1041</v>
      </c>
      <c r="AB1481" s="2" t="s">
        <v>1042</v>
      </c>
      <c r="AC1481" s="2" t="s">
        <v>1038</v>
      </c>
      <c r="AF1481" s="2">
        <f t="shared" si="210"/>
        <v>0</v>
      </c>
      <c r="AJ1481" s="2">
        <f t="shared" si="211"/>
        <v>0</v>
      </c>
      <c r="AK1481" s="2">
        <f t="shared" si="208"/>
        <v>108.13999999999999</v>
      </c>
      <c r="AL1481" s="5">
        <f t="shared" si="209"/>
        <v>0.26602706027060269</v>
      </c>
    </row>
    <row r="1482" spans="1:38" x14ac:dyDescent="0.2">
      <c r="A1482" s="2">
        <v>2025</v>
      </c>
      <c r="B1482" s="2">
        <v>6</v>
      </c>
      <c r="D1482" s="2" t="s">
        <v>37</v>
      </c>
      <c r="P1482" s="2" t="s">
        <v>169</v>
      </c>
      <c r="Q1482" s="2" t="s">
        <v>170</v>
      </c>
      <c r="R1482" s="2" t="s">
        <v>170</v>
      </c>
      <c r="S1482" s="2">
        <v>1</v>
      </c>
      <c r="T1482" s="2">
        <v>50</v>
      </c>
      <c r="U1482" s="2">
        <v>11.5</v>
      </c>
      <c r="V1482" s="2">
        <v>61.5</v>
      </c>
      <c r="W1482" s="2">
        <v>46</v>
      </c>
      <c r="X1482" s="5">
        <f t="shared" si="207"/>
        <v>0.08</v>
      </c>
      <c r="Z1482" s="2" t="s">
        <v>169</v>
      </c>
      <c r="AA1482" s="2" t="s">
        <v>169</v>
      </c>
      <c r="AF1482" s="2">
        <f t="shared" si="210"/>
        <v>0</v>
      </c>
      <c r="AJ1482" s="2">
        <f t="shared" si="211"/>
        <v>0</v>
      </c>
      <c r="AK1482" s="2">
        <f t="shared" si="208"/>
        <v>4</v>
      </c>
      <c r="AL1482" s="5">
        <f t="shared" si="209"/>
        <v>0.08</v>
      </c>
    </row>
    <row r="1483" spans="1:38" x14ac:dyDescent="0.2">
      <c r="A1483" s="2">
        <v>2025</v>
      </c>
      <c r="B1483" s="2">
        <v>6</v>
      </c>
      <c r="D1483" s="2" t="s">
        <v>37</v>
      </c>
      <c r="P1483" s="2" t="s">
        <v>93</v>
      </c>
      <c r="Q1483" s="2" t="s">
        <v>94</v>
      </c>
      <c r="R1483" s="2" t="s">
        <v>95</v>
      </c>
      <c r="S1483" s="2">
        <v>2</v>
      </c>
      <c r="T1483" s="2">
        <v>2.2799999999999998</v>
      </c>
      <c r="U1483" s="2">
        <v>0.52439999999999998</v>
      </c>
      <c r="V1483" s="2">
        <v>2.8043999999999998</v>
      </c>
      <c r="W1483" s="2">
        <v>2.2799999999999998</v>
      </c>
      <c r="X1483" s="5">
        <f t="shared" si="207"/>
        <v>0</v>
      </c>
      <c r="Z1483" s="2" t="s">
        <v>3227</v>
      </c>
      <c r="AA1483" s="2" t="s">
        <v>96</v>
      </c>
      <c r="AB1483" s="2" t="s">
        <v>76</v>
      </c>
      <c r="AC1483" s="2" t="s">
        <v>93</v>
      </c>
      <c r="AF1483" s="2">
        <f t="shared" si="210"/>
        <v>0</v>
      </c>
      <c r="AJ1483" s="2">
        <f t="shared" si="211"/>
        <v>0</v>
      </c>
      <c r="AK1483" s="2">
        <f t="shared" si="208"/>
        <v>0</v>
      </c>
      <c r="AL1483" s="5">
        <f t="shared" si="209"/>
        <v>0</v>
      </c>
    </row>
    <row r="1484" spans="1:38" x14ac:dyDescent="0.2">
      <c r="A1484" s="2">
        <v>2025</v>
      </c>
      <c r="B1484" s="2">
        <v>6</v>
      </c>
      <c r="C1484" s="2" t="s">
        <v>3393</v>
      </c>
      <c r="D1484" s="2" t="s">
        <v>1672</v>
      </c>
      <c r="E1484" s="2" t="s">
        <v>38</v>
      </c>
      <c r="F1484" s="2" t="s">
        <v>39</v>
      </c>
      <c r="L1484" s="2" t="s">
        <v>99</v>
      </c>
      <c r="M1484" s="2" t="s">
        <v>80</v>
      </c>
      <c r="P1484" s="2" t="s">
        <v>43</v>
      </c>
      <c r="Q1484" s="2" t="s">
        <v>52</v>
      </c>
      <c r="R1484" s="2" t="s">
        <v>53</v>
      </c>
      <c r="S1484" s="2">
        <v>2</v>
      </c>
      <c r="T1484" s="2">
        <v>19.2</v>
      </c>
      <c r="U1484" s="2">
        <v>4.4160000000000004</v>
      </c>
      <c r="V1484" s="2">
        <v>23.616</v>
      </c>
      <c r="W1484" s="2">
        <f>5.2973*S1484</f>
        <v>10.5946</v>
      </c>
      <c r="X1484" s="5">
        <f t="shared" si="207"/>
        <v>0.44819791666666664</v>
      </c>
      <c r="Z1484" s="2" t="s">
        <v>3227</v>
      </c>
      <c r="AA1484" s="2" t="s">
        <v>46</v>
      </c>
      <c r="AB1484" s="2" t="s">
        <v>47</v>
      </c>
      <c r="AC1484" s="2" t="s">
        <v>57</v>
      </c>
      <c r="AF1484" s="2">
        <f t="shared" si="210"/>
        <v>0</v>
      </c>
      <c r="AG1484" s="2">
        <v>5.2972999999999999</v>
      </c>
      <c r="AH1484" s="2">
        <v>10.8</v>
      </c>
      <c r="AJ1484" s="2">
        <f t="shared" si="211"/>
        <v>0</v>
      </c>
      <c r="AK1484" s="2">
        <f t="shared" si="208"/>
        <v>8.6053999999999995</v>
      </c>
      <c r="AL1484" s="5">
        <f t="shared" si="209"/>
        <v>0.44819791666666664</v>
      </c>
    </row>
    <row r="1485" spans="1:38" x14ac:dyDescent="0.2">
      <c r="A1485" s="2">
        <v>2025</v>
      </c>
      <c r="B1485" s="2">
        <v>6</v>
      </c>
      <c r="C1485" s="2" t="s">
        <v>3393</v>
      </c>
      <c r="D1485" s="2" t="s">
        <v>1672</v>
      </c>
      <c r="E1485" s="2" t="s">
        <v>38</v>
      </c>
      <c r="F1485" s="2" t="s">
        <v>39</v>
      </c>
      <c r="L1485" s="2" t="s">
        <v>99</v>
      </c>
      <c r="M1485" s="2" t="s">
        <v>80</v>
      </c>
      <c r="P1485" s="2" t="s">
        <v>43</v>
      </c>
      <c r="Q1485" s="2" t="s">
        <v>54</v>
      </c>
      <c r="R1485" s="2" t="s">
        <v>55</v>
      </c>
      <c r="S1485" s="2">
        <v>3</v>
      </c>
      <c r="T1485" s="2">
        <v>54</v>
      </c>
      <c r="U1485" s="2">
        <v>12.42</v>
      </c>
      <c r="V1485" s="2">
        <v>66.42</v>
      </c>
      <c r="W1485" s="2">
        <f>10.6*S1485</f>
        <v>31.799999999999997</v>
      </c>
      <c r="X1485" s="5">
        <f t="shared" si="207"/>
        <v>0.41111111111111115</v>
      </c>
      <c r="Z1485" s="2" t="s">
        <v>3227</v>
      </c>
      <c r="AA1485" s="2" t="s">
        <v>46</v>
      </c>
      <c r="AB1485" s="2" t="s">
        <v>56</v>
      </c>
      <c r="AC1485" s="2" t="s">
        <v>57</v>
      </c>
      <c r="AF1485" s="2">
        <f t="shared" si="210"/>
        <v>0</v>
      </c>
      <c r="AG1485" s="2">
        <v>10.6</v>
      </c>
      <c r="AH1485" s="2">
        <v>18</v>
      </c>
      <c r="AJ1485" s="2">
        <f t="shared" si="211"/>
        <v>0</v>
      </c>
      <c r="AK1485" s="2">
        <f t="shared" si="208"/>
        <v>22.200000000000003</v>
      </c>
      <c r="AL1485" s="5">
        <f t="shared" si="209"/>
        <v>0.41111111111111115</v>
      </c>
    </row>
    <row r="1486" spans="1:38" x14ac:dyDescent="0.2">
      <c r="A1486" s="2">
        <v>2025</v>
      </c>
      <c r="B1486" s="2">
        <v>6</v>
      </c>
      <c r="C1486" s="2" t="s">
        <v>3393</v>
      </c>
      <c r="D1486" s="2" t="s">
        <v>1672</v>
      </c>
      <c r="E1486" s="2" t="s">
        <v>38</v>
      </c>
      <c r="F1486" s="2" t="s">
        <v>39</v>
      </c>
      <c r="L1486" s="2" t="s">
        <v>99</v>
      </c>
      <c r="M1486" s="2" t="s">
        <v>80</v>
      </c>
      <c r="P1486" s="2" t="s">
        <v>43</v>
      </c>
      <c r="Q1486" s="2" t="s">
        <v>254</v>
      </c>
      <c r="R1486" s="2" t="s">
        <v>255</v>
      </c>
      <c r="S1486" s="2">
        <v>200</v>
      </c>
      <c r="T1486" s="2">
        <v>28</v>
      </c>
      <c r="U1486" s="2">
        <v>6.44</v>
      </c>
      <c r="V1486" s="2">
        <v>34.44</v>
      </c>
      <c r="W1486" s="2">
        <f>0.0914*S1486</f>
        <v>18.279999999999998</v>
      </c>
      <c r="X1486" s="5">
        <f t="shared" si="207"/>
        <v>0.34714285714285725</v>
      </c>
      <c r="Z1486" s="2" t="s">
        <v>3227</v>
      </c>
      <c r="AA1486" s="2" t="s">
        <v>46</v>
      </c>
      <c r="AB1486" s="2" t="s">
        <v>60</v>
      </c>
      <c r="AC1486" s="2" t="s">
        <v>57</v>
      </c>
      <c r="AF1486" s="2">
        <f t="shared" si="210"/>
        <v>0</v>
      </c>
      <c r="AJ1486" s="2">
        <f t="shared" si="211"/>
        <v>0</v>
      </c>
      <c r="AK1486" s="2">
        <f t="shared" si="208"/>
        <v>9.7200000000000024</v>
      </c>
      <c r="AL1486" s="5">
        <f t="shared" si="209"/>
        <v>0.34714285714285725</v>
      </c>
    </row>
    <row r="1487" spans="1:38" x14ac:dyDescent="0.2">
      <c r="A1487" s="2">
        <v>2025</v>
      </c>
      <c r="B1487" s="2">
        <v>6</v>
      </c>
      <c r="C1487" s="2" t="s">
        <v>3393</v>
      </c>
      <c r="D1487" s="2" t="s">
        <v>1672</v>
      </c>
      <c r="E1487" s="2" t="s">
        <v>38</v>
      </c>
      <c r="F1487" s="2" t="s">
        <v>39</v>
      </c>
      <c r="L1487" s="2" t="s">
        <v>99</v>
      </c>
      <c r="M1487" s="2" t="s">
        <v>80</v>
      </c>
      <c r="P1487" s="2" t="s">
        <v>43</v>
      </c>
      <c r="Q1487" s="2" t="s">
        <v>258</v>
      </c>
      <c r="R1487" s="2" t="s">
        <v>259</v>
      </c>
      <c r="S1487" s="2">
        <v>1</v>
      </c>
      <c r="T1487" s="2">
        <v>24</v>
      </c>
      <c r="U1487" s="2">
        <v>5.52</v>
      </c>
      <c r="V1487" s="2">
        <v>29.52</v>
      </c>
      <c r="W1487" s="2">
        <f>11*S1487</f>
        <v>11</v>
      </c>
      <c r="X1487" s="5">
        <f t="shared" si="207"/>
        <v>0.54166666666666663</v>
      </c>
      <c r="Z1487" s="2" t="s">
        <v>3227</v>
      </c>
      <c r="AA1487" s="2" t="s">
        <v>46</v>
      </c>
      <c r="AB1487" s="2" t="s">
        <v>47</v>
      </c>
      <c r="AC1487" s="2" t="s">
        <v>57</v>
      </c>
      <c r="AF1487" s="2">
        <f t="shared" si="210"/>
        <v>0</v>
      </c>
      <c r="AJ1487" s="2">
        <f t="shared" si="211"/>
        <v>0</v>
      </c>
      <c r="AK1487" s="2">
        <f t="shared" si="208"/>
        <v>13</v>
      </c>
      <c r="AL1487" s="5">
        <f t="shared" si="209"/>
        <v>0.54166666666666663</v>
      </c>
    </row>
    <row r="1488" spans="1:38" x14ac:dyDescent="0.2">
      <c r="A1488" s="2">
        <v>2025</v>
      </c>
      <c r="B1488" s="2">
        <v>6</v>
      </c>
      <c r="D1488" s="2" t="s">
        <v>1457</v>
      </c>
      <c r="M1488" s="2" t="s">
        <v>40</v>
      </c>
      <c r="P1488" s="2" t="s">
        <v>187</v>
      </c>
      <c r="Q1488" s="2" t="s">
        <v>188</v>
      </c>
      <c r="R1488" s="2" t="s">
        <v>189</v>
      </c>
      <c r="S1488" s="2">
        <v>1</v>
      </c>
      <c r="T1488" s="2">
        <v>134</v>
      </c>
      <c r="U1488" s="2">
        <v>30.82</v>
      </c>
      <c r="V1488" s="2">
        <v>164.82</v>
      </c>
      <c r="W1488" s="2">
        <f>T1488*40%</f>
        <v>53.6</v>
      </c>
      <c r="X1488" s="5">
        <f t="shared" si="207"/>
        <v>0.60000000000000009</v>
      </c>
      <c r="Z1488" s="2" t="s">
        <v>117</v>
      </c>
      <c r="AA1488" s="2" t="s">
        <v>190</v>
      </c>
      <c r="AB1488" s="2" t="s">
        <v>189</v>
      </c>
      <c r="AC1488" s="2" t="s">
        <v>40</v>
      </c>
      <c r="AF1488" s="2">
        <f t="shared" si="210"/>
        <v>0</v>
      </c>
      <c r="AJ1488" s="2">
        <f t="shared" si="211"/>
        <v>0</v>
      </c>
      <c r="AK1488" s="2">
        <f t="shared" si="208"/>
        <v>80.400000000000006</v>
      </c>
      <c r="AL1488" s="5">
        <f t="shared" si="209"/>
        <v>0.60000000000000009</v>
      </c>
    </row>
    <row r="1489" spans="1:38" x14ac:dyDescent="0.2">
      <c r="A1489" s="2">
        <v>2025</v>
      </c>
      <c r="B1489" s="2">
        <v>6</v>
      </c>
      <c r="D1489" s="2" t="s">
        <v>1457</v>
      </c>
      <c r="M1489" s="2" t="s">
        <v>40</v>
      </c>
      <c r="P1489" s="2" t="s">
        <v>187</v>
      </c>
      <c r="Q1489" s="2" t="s">
        <v>191</v>
      </c>
      <c r="R1489" s="2" t="s">
        <v>190</v>
      </c>
      <c r="S1489" s="2">
        <v>2</v>
      </c>
      <c r="T1489" s="2">
        <v>100</v>
      </c>
      <c r="U1489" s="2">
        <v>23</v>
      </c>
      <c r="V1489" s="2">
        <v>123</v>
      </c>
      <c r="W1489" s="2">
        <f>T1489*50%</f>
        <v>50</v>
      </c>
      <c r="X1489" s="5">
        <f t="shared" si="207"/>
        <v>0.5</v>
      </c>
      <c r="Z1489" s="2" t="s">
        <v>117</v>
      </c>
      <c r="AA1489" s="2" t="s">
        <v>190</v>
      </c>
      <c r="AB1489" s="2" t="s">
        <v>190</v>
      </c>
      <c r="AC1489" s="2" t="s">
        <v>40</v>
      </c>
      <c r="AF1489" s="2">
        <f t="shared" si="210"/>
        <v>0</v>
      </c>
      <c r="AJ1489" s="2">
        <f t="shared" si="211"/>
        <v>0</v>
      </c>
      <c r="AK1489" s="2">
        <f t="shared" si="208"/>
        <v>50</v>
      </c>
      <c r="AL1489" s="5">
        <f t="shared" si="209"/>
        <v>0.5</v>
      </c>
    </row>
    <row r="1490" spans="1:38" x14ac:dyDescent="0.2">
      <c r="A1490" s="2">
        <v>2025</v>
      </c>
      <c r="B1490" s="2">
        <v>6</v>
      </c>
      <c r="D1490" s="2" t="s">
        <v>1475</v>
      </c>
      <c r="L1490" s="2" t="s">
        <v>177</v>
      </c>
      <c r="M1490" s="2" t="s">
        <v>80</v>
      </c>
      <c r="P1490" s="2" t="s">
        <v>43</v>
      </c>
      <c r="Q1490" s="2" t="s">
        <v>54</v>
      </c>
      <c r="R1490" s="2" t="s">
        <v>55</v>
      </c>
      <c r="S1490" s="2">
        <v>10</v>
      </c>
      <c r="T1490" s="2">
        <v>170</v>
      </c>
      <c r="U1490" s="2">
        <v>39.1</v>
      </c>
      <c r="V1490" s="2">
        <v>209.1</v>
      </c>
      <c r="W1490" s="2">
        <f>10.6*S1490</f>
        <v>106</v>
      </c>
      <c r="X1490" s="5">
        <f t="shared" si="207"/>
        <v>0.37647058823529411</v>
      </c>
      <c r="Z1490" s="2" t="s">
        <v>3227</v>
      </c>
      <c r="AA1490" s="2" t="s">
        <v>46</v>
      </c>
      <c r="AB1490" s="2" t="s">
        <v>56</v>
      </c>
      <c r="AC1490" s="2" t="s">
        <v>57</v>
      </c>
      <c r="AF1490" s="2">
        <f t="shared" si="210"/>
        <v>0</v>
      </c>
      <c r="AG1490" s="2">
        <v>10.6</v>
      </c>
      <c r="AH1490" s="2">
        <v>18</v>
      </c>
      <c r="AJ1490" s="2">
        <f t="shared" si="211"/>
        <v>0</v>
      </c>
      <c r="AK1490" s="2">
        <f t="shared" si="208"/>
        <v>64</v>
      </c>
      <c r="AL1490" s="5">
        <f t="shared" si="209"/>
        <v>0.37647058823529411</v>
      </c>
    </row>
    <row r="1491" spans="1:38" x14ac:dyDescent="0.2">
      <c r="A1491" s="2">
        <v>2025</v>
      </c>
      <c r="B1491" s="2">
        <v>6</v>
      </c>
      <c r="D1491" s="2" t="s">
        <v>1475</v>
      </c>
      <c r="L1491" s="2" t="s">
        <v>177</v>
      </c>
      <c r="M1491" s="2" t="s">
        <v>80</v>
      </c>
      <c r="P1491" s="2" t="s">
        <v>43</v>
      </c>
      <c r="Q1491" s="2" t="s">
        <v>61</v>
      </c>
      <c r="R1491" s="2" t="s">
        <v>62</v>
      </c>
      <c r="S1491" s="2">
        <v>500</v>
      </c>
      <c r="T1491" s="2">
        <v>55</v>
      </c>
      <c r="U1491" s="2">
        <v>12.65</v>
      </c>
      <c r="V1491" s="2">
        <v>67.650000000000006</v>
      </c>
      <c r="W1491" s="2">
        <f>0.082*S1491</f>
        <v>41</v>
      </c>
      <c r="X1491" s="5">
        <f t="shared" si="207"/>
        <v>0.25454545454545452</v>
      </c>
      <c r="Z1491" s="2" t="s">
        <v>3227</v>
      </c>
      <c r="AA1491" s="2" t="s">
        <v>46</v>
      </c>
      <c r="AB1491" s="2" t="s">
        <v>60</v>
      </c>
      <c r="AC1491" s="2" t="s">
        <v>57</v>
      </c>
      <c r="AF1491" s="2">
        <f t="shared" si="210"/>
        <v>0</v>
      </c>
      <c r="AG1491" s="2">
        <v>8.1999999999999993</v>
      </c>
      <c r="AH1491" s="2">
        <v>13</v>
      </c>
      <c r="AJ1491" s="2">
        <f t="shared" si="211"/>
        <v>0</v>
      </c>
      <c r="AK1491" s="2">
        <f t="shared" si="208"/>
        <v>14</v>
      </c>
      <c r="AL1491" s="5">
        <f t="shared" si="209"/>
        <v>0.25454545454545452</v>
      </c>
    </row>
    <row r="1492" spans="1:38" x14ac:dyDescent="0.2">
      <c r="A1492" s="2">
        <v>2025</v>
      </c>
      <c r="B1492" s="2">
        <v>6</v>
      </c>
      <c r="D1492" s="2" t="s">
        <v>1475</v>
      </c>
      <c r="L1492" s="2" t="s">
        <v>177</v>
      </c>
      <c r="M1492" s="2" t="s">
        <v>80</v>
      </c>
      <c r="P1492" s="2" t="s">
        <v>43</v>
      </c>
      <c r="Q1492" s="2" t="s">
        <v>65</v>
      </c>
      <c r="R1492" s="2" t="s">
        <v>66</v>
      </c>
      <c r="S1492" s="2">
        <v>5</v>
      </c>
      <c r="T1492" s="2">
        <v>100</v>
      </c>
      <c r="U1492" s="2">
        <v>23</v>
      </c>
      <c r="V1492" s="2">
        <v>123</v>
      </c>
      <c r="W1492" s="2">
        <f>15.0203*S1492</f>
        <v>75.101500000000001</v>
      </c>
      <c r="X1492" s="5">
        <f t="shared" si="207"/>
        <v>0.24898499999999998</v>
      </c>
      <c r="Z1492" s="2" t="s">
        <v>3227</v>
      </c>
      <c r="AA1492" s="2" t="s">
        <v>46</v>
      </c>
      <c r="AB1492" s="2" t="s">
        <v>67</v>
      </c>
      <c r="AC1492" s="2" t="s">
        <v>57</v>
      </c>
      <c r="AF1492" s="2">
        <f t="shared" si="210"/>
        <v>0</v>
      </c>
      <c r="AG1492" s="2">
        <v>15.020300000000001</v>
      </c>
      <c r="AH1492" s="2">
        <v>27.6</v>
      </c>
      <c r="AJ1492" s="2">
        <f t="shared" si="211"/>
        <v>0</v>
      </c>
      <c r="AK1492" s="2">
        <f t="shared" si="208"/>
        <v>24.898499999999999</v>
      </c>
      <c r="AL1492" s="5">
        <f t="shared" si="209"/>
        <v>0.24898499999999998</v>
      </c>
    </row>
    <row r="1493" spans="1:38" x14ac:dyDescent="0.2">
      <c r="A1493" s="2">
        <v>2025</v>
      </c>
      <c r="B1493" s="2">
        <v>6</v>
      </c>
      <c r="D1493" s="2" t="s">
        <v>1673</v>
      </c>
      <c r="P1493" s="2" t="s">
        <v>114</v>
      </c>
      <c r="Q1493" s="2" t="s">
        <v>1250</v>
      </c>
      <c r="R1493" s="2" t="s">
        <v>1251</v>
      </c>
      <c r="S1493" s="2">
        <v>1</v>
      </c>
      <c r="T1493" s="2">
        <v>390.29</v>
      </c>
      <c r="U1493" s="2">
        <v>89.766700000000014</v>
      </c>
      <c r="V1493" s="2">
        <v>480.05669999999998</v>
      </c>
      <c r="X1493" s="5">
        <f t="shared" si="207"/>
        <v>1</v>
      </c>
      <c r="Z1493" s="2" t="s">
        <v>117</v>
      </c>
      <c r="AF1493" s="2">
        <f t="shared" si="210"/>
        <v>0</v>
      </c>
      <c r="AJ1493" s="2">
        <f t="shared" si="211"/>
        <v>0</v>
      </c>
      <c r="AK1493" s="2">
        <f t="shared" si="208"/>
        <v>390.29</v>
      </c>
      <c r="AL1493" s="5">
        <f t="shared" si="209"/>
        <v>1</v>
      </c>
    </row>
    <row r="1494" spans="1:38" x14ac:dyDescent="0.2">
      <c r="A1494" s="2">
        <v>2025</v>
      </c>
      <c r="B1494" s="2">
        <v>6</v>
      </c>
      <c r="D1494" s="2" t="s">
        <v>1673</v>
      </c>
      <c r="M1494" s="2" t="s">
        <v>40</v>
      </c>
      <c r="P1494" s="2" t="s">
        <v>114</v>
      </c>
      <c r="Q1494" s="2" t="s">
        <v>373</v>
      </c>
      <c r="R1494" s="2" t="s">
        <v>374</v>
      </c>
      <c r="S1494" s="2">
        <v>1</v>
      </c>
      <c r="T1494" s="2">
        <v>45.07</v>
      </c>
      <c r="U1494" s="2">
        <v>10.366099999999999</v>
      </c>
      <c r="V1494" s="2">
        <v>55.436100000000003</v>
      </c>
      <c r="W1494" s="2">
        <f>23.042*S1494</f>
        <v>23.042000000000002</v>
      </c>
      <c r="X1494" s="5">
        <f t="shared" si="207"/>
        <v>0.48875083203905034</v>
      </c>
      <c r="Z1494" s="2" t="s">
        <v>117</v>
      </c>
      <c r="AA1494" s="2" t="s">
        <v>118</v>
      </c>
      <c r="AB1494" s="2" t="s">
        <v>119</v>
      </c>
      <c r="AC1494" s="2" t="s">
        <v>114</v>
      </c>
      <c r="AF1494" s="2">
        <f t="shared" si="210"/>
        <v>0</v>
      </c>
      <c r="AJ1494" s="2">
        <f t="shared" si="211"/>
        <v>0</v>
      </c>
      <c r="AK1494" s="2">
        <f t="shared" si="208"/>
        <v>22.027999999999999</v>
      </c>
      <c r="AL1494" s="5">
        <f t="shared" si="209"/>
        <v>0.48875083203905034</v>
      </c>
    </row>
    <row r="1495" spans="1:38" x14ac:dyDescent="0.2">
      <c r="A1495" s="2">
        <v>2025</v>
      </c>
      <c r="B1495" s="2">
        <v>6</v>
      </c>
      <c r="D1495" s="2" t="s">
        <v>942</v>
      </c>
      <c r="E1495" s="2" t="s">
        <v>38</v>
      </c>
      <c r="F1495" s="2" t="s">
        <v>39</v>
      </c>
      <c r="G1495" s="2">
        <v>507562208</v>
      </c>
      <c r="H1495" s="2" t="s">
        <v>40</v>
      </c>
      <c r="I1495" s="2" t="s">
        <v>943</v>
      </c>
      <c r="J1495" s="2" t="s">
        <v>944</v>
      </c>
      <c r="K1495" s="2">
        <v>918832449</v>
      </c>
      <c r="L1495" s="2" t="s">
        <v>344</v>
      </c>
      <c r="M1495" s="2" t="s">
        <v>40</v>
      </c>
      <c r="O1495" s="2" t="s">
        <v>1674</v>
      </c>
      <c r="P1495" s="2" t="s">
        <v>114</v>
      </c>
      <c r="Q1495" s="2" t="s">
        <v>1383</v>
      </c>
      <c r="R1495" s="2" t="s">
        <v>1384</v>
      </c>
      <c r="S1495" s="2">
        <v>1</v>
      </c>
      <c r="T1495" s="2">
        <v>152.41</v>
      </c>
      <c r="U1495" s="2">
        <v>35.054299999999998</v>
      </c>
      <c r="V1495" s="2">
        <v>187.46430000000001</v>
      </c>
      <c r="X1495" s="5">
        <f t="shared" si="207"/>
        <v>1</v>
      </c>
      <c r="Z1495" s="2" t="s">
        <v>117</v>
      </c>
      <c r="AA1495" s="2" t="s">
        <v>118</v>
      </c>
      <c r="AB1495" s="2" t="s">
        <v>119</v>
      </c>
      <c r="AC1495" s="2" t="s">
        <v>114</v>
      </c>
      <c r="AF1495" s="2">
        <f t="shared" si="210"/>
        <v>0</v>
      </c>
      <c r="AJ1495" s="2">
        <f t="shared" si="211"/>
        <v>0</v>
      </c>
      <c r="AK1495" s="2">
        <f t="shared" si="208"/>
        <v>152.41</v>
      </c>
      <c r="AL1495" s="5">
        <f t="shared" si="209"/>
        <v>1</v>
      </c>
    </row>
    <row r="1496" spans="1:38" x14ac:dyDescent="0.2">
      <c r="A1496" s="2">
        <v>2025</v>
      </c>
      <c r="B1496" s="2">
        <v>6</v>
      </c>
      <c r="D1496" s="2" t="s">
        <v>942</v>
      </c>
      <c r="E1496" s="2" t="s">
        <v>38</v>
      </c>
      <c r="F1496" s="2" t="s">
        <v>39</v>
      </c>
      <c r="G1496" s="2">
        <v>507562208</v>
      </c>
      <c r="H1496" s="2" t="s">
        <v>40</v>
      </c>
      <c r="I1496" s="2" t="s">
        <v>943</v>
      </c>
      <c r="J1496" s="2" t="s">
        <v>944</v>
      </c>
      <c r="K1496" s="2">
        <v>918832449</v>
      </c>
      <c r="L1496" s="2" t="s">
        <v>344</v>
      </c>
      <c r="M1496" s="2" t="s">
        <v>40</v>
      </c>
      <c r="O1496" s="2" t="s">
        <v>1675</v>
      </c>
      <c r="P1496" s="2" t="s">
        <v>114</v>
      </c>
      <c r="Q1496" s="2" t="s">
        <v>561</v>
      </c>
      <c r="R1496" s="2" t="s">
        <v>562</v>
      </c>
      <c r="S1496" s="2">
        <v>4</v>
      </c>
      <c r="T1496" s="2">
        <v>57.15</v>
      </c>
      <c r="U1496" s="2">
        <v>13.144500000000001</v>
      </c>
      <c r="V1496" s="2">
        <v>70.294499999999999</v>
      </c>
      <c r="W1496" s="2">
        <v>21.32</v>
      </c>
      <c r="X1496" s="5">
        <f t="shared" si="207"/>
        <v>0.62694663167104114</v>
      </c>
      <c r="Z1496" s="2" t="s">
        <v>117</v>
      </c>
      <c r="AA1496" s="2" t="s">
        <v>118</v>
      </c>
      <c r="AB1496" s="2" t="s">
        <v>119</v>
      </c>
      <c r="AC1496" s="2" t="s">
        <v>114</v>
      </c>
      <c r="AF1496" s="2">
        <f t="shared" si="210"/>
        <v>0</v>
      </c>
      <c r="AG1496" s="2">
        <v>5.33</v>
      </c>
      <c r="AJ1496" s="2">
        <f t="shared" si="211"/>
        <v>0</v>
      </c>
      <c r="AK1496" s="2">
        <f t="shared" si="208"/>
        <v>35.83</v>
      </c>
      <c r="AL1496" s="5">
        <f t="shared" si="209"/>
        <v>0.62694663167104114</v>
      </c>
    </row>
    <row r="1497" spans="1:38" x14ac:dyDescent="0.2">
      <c r="A1497" s="2">
        <v>2025</v>
      </c>
      <c r="B1497" s="2">
        <v>6</v>
      </c>
      <c r="D1497" s="2" t="s">
        <v>942</v>
      </c>
      <c r="E1497" s="2" t="s">
        <v>38</v>
      </c>
      <c r="F1497" s="2" t="s">
        <v>39</v>
      </c>
      <c r="G1497" s="2">
        <v>507562208</v>
      </c>
      <c r="H1497" s="2" t="s">
        <v>40</v>
      </c>
      <c r="I1497" s="2" t="s">
        <v>943</v>
      </c>
      <c r="J1497" s="2" t="s">
        <v>944</v>
      </c>
      <c r="K1497" s="2">
        <v>918832449</v>
      </c>
      <c r="L1497" s="2" t="s">
        <v>344</v>
      </c>
      <c r="M1497" s="2" t="s">
        <v>40</v>
      </c>
      <c r="O1497" s="2" t="s">
        <v>1675</v>
      </c>
      <c r="P1497" s="2" t="s">
        <v>169</v>
      </c>
      <c r="Q1497" s="2" t="s">
        <v>170</v>
      </c>
      <c r="R1497" s="2" t="s">
        <v>170</v>
      </c>
      <c r="S1497" s="2">
        <v>1</v>
      </c>
      <c r="T1497" s="2">
        <v>7</v>
      </c>
      <c r="U1497" s="2">
        <v>1.61</v>
      </c>
      <c r="V1497" s="2">
        <v>8.61</v>
      </c>
      <c r="W1497" s="2">
        <v>6</v>
      </c>
      <c r="X1497" s="5">
        <f t="shared" si="207"/>
        <v>0.14285714285714285</v>
      </c>
      <c r="Z1497" s="2" t="s">
        <v>169</v>
      </c>
      <c r="AA1497" s="2" t="s">
        <v>169</v>
      </c>
      <c r="AF1497" s="2">
        <f t="shared" si="210"/>
        <v>0</v>
      </c>
      <c r="AJ1497" s="2">
        <f t="shared" si="211"/>
        <v>0</v>
      </c>
      <c r="AK1497" s="2">
        <f t="shared" si="208"/>
        <v>1</v>
      </c>
      <c r="AL1497" s="5">
        <f t="shared" si="209"/>
        <v>0.14285714285714285</v>
      </c>
    </row>
    <row r="1498" spans="1:38" x14ac:dyDescent="0.2">
      <c r="A1498" s="2">
        <v>2025</v>
      </c>
      <c r="B1498" s="2">
        <v>6</v>
      </c>
      <c r="D1498" s="2" t="s">
        <v>182</v>
      </c>
      <c r="E1498" s="2" t="s">
        <v>183</v>
      </c>
      <c r="F1498" s="2" t="s">
        <v>184</v>
      </c>
      <c r="G1498" s="2">
        <v>503116920</v>
      </c>
      <c r="H1498" s="2" t="s">
        <v>41</v>
      </c>
      <c r="I1498" s="2" t="s">
        <v>185</v>
      </c>
      <c r="J1498" s="2" t="s">
        <v>186</v>
      </c>
      <c r="K1498" s="2">
        <v>919591406</v>
      </c>
      <c r="L1498" s="2" t="s">
        <v>99</v>
      </c>
      <c r="P1498" s="2" t="s">
        <v>282</v>
      </c>
      <c r="Q1498" s="2" t="s">
        <v>1154</v>
      </c>
      <c r="R1498" s="2" t="s">
        <v>1155</v>
      </c>
      <c r="S1498" s="2">
        <v>1</v>
      </c>
      <c r="T1498" s="2">
        <v>2990</v>
      </c>
      <c r="U1498" s="2">
        <v>687.7</v>
      </c>
      <c r="V1498" s="2">
        <v>3677.7</v>
      </c>
      <c r="W1498" s="2">
        <v>2190</v>
      </c>
      <c r="X1498" s="5">
        <f t="shared" si="207"/>
        <v>0.26755852842809363</v>
      </c>
      <c r="Z1498" s="2" t="s">
        <v>104</v>
      </c>
      <c r="AA1498" s="2" t="s">
        <v>1574</v>
      </c>
      <c r="AB1498" s="2" t="s">
        <v>388</v>
      </c>
      <c r="AC1498" s="2" t="s">
        <v>1327</v>
      </c>
      <c r="AF1498" s="2">
        <f t="shared" si="210"/>
        <v>0</v>
      </c>
      <c r="AJ1498" s="2">
        <f t="shared" si="211"/>
        <v>0</v>
      </c>
      <c r="AK1498" s="2">
        <f t="shared" si="208"/>
        <v>800</v>
      </c>
      <c r="AL1498" s="5">
        <f t="shared" si="209"/>
        <v>0.26755852842809363</v>
      </c>
    </row>
    <row r="1499" spans="1:38" x14ac:dyDescent="0.2">
      <c r="A1499" s="2">
        <v>2025</v>
      </c>
      <c r="B1499" s="2">
        <v>6</v>
      </c>
      <c r="D1499" s="2" t="s">
        <v>1331</v>
      </c>
      <c r="P1499" s="2" t="s">
        <v>40</v>
      </c>
      <c r="Q1499" s="2" t="s">
        <v>363</v>
      </c>
      <c r="R1499" s="2" t="s">
        <v>364</v>
      </c>
      <c r="S1499" s="2">
        <v>1</v>
      </c>
      <c r="T1499" s="2">
        <v>21.6</v>
      </c>
      <c r="U1499" s="2">
        <v>4.9680000000000009</v>
      </c>
      <c r="V1499" s="2">
        <v>26.568000000000001</v>
      </c>
      <c r="X1499" s="5">
        <f t="shared" si="207"/>
        <v>1</v>
      </c>
      <c r="Z1499" s="2" t="s">
        <v>119</v>
      </c>
      <c r="AA1499" s="2" t="s">
        <v>3380</v>
      </c>
      <c r="AF1499" s="2">
        <f t="shared" si="210"/>
        <v>0</v>
      </c>
      <c r="AJ1499" s="2">
        <f t="shared" si="211"/>
        <v>0</v>
      </c>
      <c r="AK1499" s="2">
        <f t="shared" si="208"/>
        <v>21.6</v>
      </c>
      <c r="AL1499" s="5">
        <f t="shared" si="209"/>
        <v>1</v>
      </c>
    </row>
    <row r="1500" spans="1:38" x14ac:dyDescent="0.2">
      <c r="A1500" s="2">
        <v>2025</v>
      </c>
      <c r="B1500" s="2">
        <v>6</v>
      </c>
      <c r="D1500" s="2" t="s">
        <v>1484</v>
      </c>
      <c r="P1500" s="2" t="s">
        <v>1194</v>
      </c>
      <c r="Q1500" s="2" t="s">
        <v>1084</v>
      </c>
      <c r="R1500" s="2" t="s">
        <v>1085</v>
      </c>
      <c r="S1500" s="2">
        <v>1</v>
      </c>
      <c r="T1500" s="2">
        <v>3350</v>
      </c>
      <c r="U1500" s="2">
        <v>770.5</v>
      </c>
      <c r="V1500" s="2">
        <v>4120.5</v>
      </c>
      <c r="W1500" s="2">
        <f>1979+184.05</f>
        <v>2163.0500000000002</v>
      </c>
      <c r="X1500" s="5">
        <f t="shared" si="207"/>
        <v>0.35431343283582084</v>
      </c>
      <c r="Z1500" s="2" t="s">
        <v>104</v>
      </c>
      <c r="AA1500" s="2" t="s">
        <v>2746</v>
      </c>
      <c r="AB1500" s="2" t="s">
        <v>2747</v>
      </c>
      <c r="AC1500" s="2" t="s">
        <v>1194</v>
      </c>
      <c r="AF1500" s="2">
        <f t="shared" si="210"/>
        <v>0</v>
      </c>
      <c r="AJ1500" s="2">
        <f t="shared" si="211"/>
        <v>0</v>
      </c>
      <c r="AK1500" s="2">
        <f t="shared" si="208"/>
        <v>1186.9499999999998</v>
      </c>
      <c r="AL1500" s="5">
        <f t="shared" si="209"/>
        <v>0.35431343283582084</v>
      </c>
    </row>
    <row r="1501" spans="1:38" x14ac:dyDescent="0.2">
      <c r="A1501" s="2">
        <v>2025</v>
      </c>
      <c r="B1501" s="2">
        <v>6</v>
      </c>
      <c r="D1501" s="2" t="s">
        <v>1484</v>
      </c>
      <c r="P1501" s="2" t="s">
        <v>1194</v>
      </c>
      <c r="Q1501" s="2" t="s">
        <v>1086</v>
      </c>
      <c r="R1501" s="2" t="s">
        <v>1087</v>
      </c>
      <c r="S1501" s="2">
        <v>2</v>
      </c>
      <c r="T1501" s="2">
        <v>960</v>
      </c>
      <c r="U1501" s="2">
        <v>220.8</v>
      </c>
      <c r="V1501" s="2">
        <v>1180.8</v>
      </c>
      <c r="W1501" s="2">
        <f>266.3617*S1501</f>
        <v>532.72339999999997</v>
      </c>
      <c r="X1501" s="5">
        <f t="shared" si="207"/>
        <v>0.44507979166666672</v>
      </c>
      <c r="Z1501" s="2" t="s">
        <v>104</v>
      </c>
      <c r="AA1501" s="2" t="s">
        <v>1199</v>
      </c>
      <c r="AB1501" s="2" t="s">
        <v>119</v>
      </c>
      <c r="AC1501" s="2" t="s">
        <v>1194</v>
      </c>
      <c r="AF1501" s="2">
        <f t="shared" si="210"/>
        <v>0</v>
      </c>
      <c r="AJ1501" s="2">
        <f t="shared" si="211"/>
        <v>0</v>
      </c>
      <c r="AK1501" s="2">
        <f t="shared" si="208"/>
        <v>427.27660000000003</v>
      </c>
      <c r="AL1501" s="5">
        <f t="shared" si="209"/>
        <v>0.44507979166666672</v>
      </c>
    </row>
    <row r="1502" spans="1:38" x14ac:dyDescent="0.2">
      <c r="A1502" s="2">
        <v>2025</v>
      </c>
      <c r="B1502" s="2">
        <v>6</v>
      </c>
      <c r="C1502" s="2" t="s">
        <v>3417</v>
      </c>
      <c r="D1502" s="2" t="s">
        <v>3416</v>
      </c>
      <c r="E1502" s="2" t="s">
        <v>752</v>
      </c>
      <c r="F1502" s="2" t="s">
        <v>39</v>
      </c>
      <c r="L1502" s="2" t="s">
        <v>339</v>
      </c>
      <c r="M1502" s="2" t="s">
        <v>40</v>
      </c>
      <c r="P1502" s="2" t="s">
        <v>114</v>
      </c>
      <c r="Q1502" s="16" t="s">
        <v>709</v>
      </c>
      <c r="R1502" s="2" t="s">
        <v>710</v>
      </c>
      <c r="S1502" s="2">
        <v>1</v>
      </c>
      <c r="T1502" s="2">
        <v>1690</v>
      </c>
      <c r="U1502" s="2">
        <v>388.7</v>
      </c>
      <c r="V1502" s="2">
        <v>2078.6999999999998</v>
      </c>
      <c r="W1502" s="2">
        <f>1244.2445</f>
        <v>1244.2445</v>
      </c>
      <c r="X1502" s="5">
        <f t="shared" si="207"/>
        <v>0.26376065088757394</v>
      </c>
      <c r="Z1502" s="2" t="s">
        <v>104</v>
      </c>
      <c r="AA1502" s="2" t="s">
        <v>578</v>
      </c>
      <c r="AB1502" s="2" t="s">
        <v>701</v>
      </c>
      <c r="AC1502" s="2" t="s">
        <v>114</v>
      </c>
      <c r="AF1502" s="2">
        <f t="shared" si="210"/>
        <v>0</v>
      </c>
      <c r="AJ1502" s="2">
        <f t="shared" si="211"/>
        <v>0</v>
      </c>
      <c r="AK1502" s="2">
        <f t="shared" si="208"/>
        <v>445.75549999999998</v>
      </c>
      <c r="AL1502" s="5">
        <f t="shared" si="209"/>
        <v>0.26376065088757394</v>
      </c>
    </row>
    <row r="1503" spans="1:38" x14ac:dyDescent="0.2">
      <c r="A1503" s="2">
        <v>2025</v>
      </c>
      <c r="B1503" s="2">
        <v>6</v>
      </c>
      <c r="C1503" s="2" t="s">
        <v>3417</v>
      </c>
      <c r="D1503" s="2" t="s">
        <v>3416</v>
      </c>
      <c r="E1503" s="2" t="s">
        <v>752</v>
      </c>
      <c r="F1503" s="2" t="s">
        <v>39</v>
      </c>
      <c r="L1503" s="2" t="s">
        <v>339</v>
      </c>
      <c r="M1503" s="2" t="s">
        <v>40</v>
      </c>
      <c r="P1503" s="2" t="s">
        <v>114</v>
      </c>
      <c r="Q1503" s="2" t="s">
        <v>412</v>
      </c>
      <c r="R1503" s="2" t="s">
        <v>413</v>
      </c>
      <c r="S1503" s="2">
        <v>1</v>
      </c>
      <c r="T1503" s="2">
        <v>14990</v>
      </c>
      <c r="U1503" s="2">
        <v>3447.7</v>
      </c>
      <c r="V1503" s="2">
        <v>18437.7</v>
      </c>
      <c r="W1503" s="2">
        <v>10669.4</v>
      </c>
      <c r="X1503" s="5">
        <f t="shared" si="207"/>
        <v>0.28823215476984659</v>
      </c>
      <c r="Z1503" s="2" t="s">
        <v>104</v>
      </c>
      <c r="AA1503" s="2" t="s">
        <v>414</v>
      </c>
      <c r="AB1503" s="2" t="s">
        <v>151</v>
      </c>
      <c r="AC1503" s="2" t="s">
        <v>114</v>
      </c>
      <c r="AF1503" s="2">
        <f t="shared" si="210"/>
        <v>0</v>
      </c>
      <c r="AJ1503" s="2">
        <f t="shared" si="211"/>
        <v>0</v>
      </c>
      <c r="AK1503" s="2">
        <f t="shared" si="208"/>
        <v>4320.6000000000004</v>
      </c>
      <c r="AL1503" s="5">
        <f t="shared" si="209"/>
        <v>0.28823215476984659</v>
      </c>
    </row>
    <row r="1504" spans="1:38" x14ac:dyDescent="0.2">
      <c r="A1504" s="2">
        <v>2025</v>
      </c>
      <c r="B1504" s="2">
        <v>6</v>
      </c>
      <c r="C1504" s="2" t="s">
        <v>3417</v>
      </c>
      <c r="D1504" s="2" t="s">
        <v>3416</v>
      </c>
      <c r="E1504" s="2" t="s">
        <v>752</v>
      </c>
      <c r="F1504" s="2" t="s">
        <v>39</v>
      </c>
      <c r="L1504" s="2" t="s">
        <v>339</v>
      </c>
      <c r="M1504" s="2" t="s">
        <v>40</v>
      </c>
      <c r="P1504" s="2" t="s">
        <v>114</v>
      </c>
      <c r="Q1504" s="2" t="s">
        <v>879</v>
      </c>
      <c r="R1504" s="2" t="s">
        <v>880</v>
      </c>
      <c r="S1504" s="2">
        <v>1</v>
      </c>
      <c r="T1504" s="2">
        <v>4580</v>
      </c>
      <c r="U1504" s="2">
        <v>1053.4000000000001</v>
      </c>
      <c r="V1504" s="2">
        <v>5633.4</v>
      </c>
      <c r="W1504" s="2">
        <f>3130.82+148.37</f>
        <v>3279.19</v>
      </c>
      <c r="X1504" s="5">
        <f t="shared" si="207"/>
        <v>0.28401965065502183</v>
      </c>
      <c r="Z1504" s="2" t="s">
        <v>104</v>
      </c>
      <c r="AA1504" s="2" t="s">
        <v>616</v>
      </c>
      <c r="AB1504" s="2" t="s">
        <v>2508</v>
      </c>
      <c r="AC1504" s="2" t="s">
        <v>114</v>
      </c>
      <c r="AF1504" s="2">
        <f t="shared" si="210"/>
        <v>0</v>
      </c>
      <c r="AJ1504" s="2">
        <f t="shared" si="211"/>
        <v>0</v>
      </c>
      <c r="AK1504" s="2">
        <f t="shared" si="208"/>
        <v>1300.81</v>
      </c>
      <c r="AL1504" s="5">
        <f t="shared" si="209"/>
        <v>0.28401965065502183</v>
      </c>
    </row>
    <row r="1505" spans="1:38" x14ac:dyDescent="0.2">
      <c r="A1505" s="2">
        <v>2025</v>
      </c>
      <c r="B1505" s="2">
        <v>6</v>
      </c>
      <c r="C1505" s="2" t="s">
        <v>3417</v>
      </c>
      <c r="D1505" s="2" t="s">
        <v>3416</v>
      </c>
      <c r="E1505" s="2" t="s">
        <v>752</v>
      </c>
      <c r="F1505" s="2" t="s">
        <v>39</v>
      </c>
      <c r="L1505" s="2" t="s">
        <v>339</v>
      </c>
      <c r="M1505" s="2" t="s">
        <v>40</v>
      </c>
      <c r="P1505" s="2" t="s">
        <v>114</v>
      </c>
      <c r="Q1505" s="2" t="s">
        <v>838</v>
      </c>
      <c r="R1505" s="2" t="s">
        <v>839</v>
      </c>
      <c r="S1505" s="2">
        <v>1</v>
      </c>
      <c r="T1505" s="2">
        <v>4690</v>
      </c>
      <c r="U1505" s="2">
        <v>1078.7</v>
      </c>
      <c r="V1505" s="2">
        <v>5768.7</v>
      </c>
      <c r="W1505" s="2">
        <f>3229.76+112.87</f>
        <v>3342.63</v>
      </c>
      <c r="X1505" s="5">
        <f t="shared" si="207"/>
        <v>0.28728571428571426</v>
      </c>
      <c r="Z1505" s="2" t="s">
        <v>104</v>
      </c>
      <c r="AA1505" s="2" t="s">
        <v>150</v>
      </c>
      <c r="AB1505" s="2" t="s">
        <v>151</v>
      </c>
      <c r="AC1505" s="2" t="s">
        <v>114</v>
      </c>
      <c r="AF1505" s="2">
        <f t="shared" si="210"/>
        <v>0</v>
      </c>
      <c r="AJ1505" s="2">
        <f t="shared" si="211"/>
        <v>0</v>
      </c>
      <c r="AK1505" s="2">
        <f t="shared" si="208"/>
        <v>1347.37</v>
      </c>
      <c r="AL1505" s="5">
        <f t="shared" si="209"/>
        <v>0.28728571428571426</v>
      </c>
    </row>
    <row r="1506" spans="1:38" x14ac:dyDescent="0.2">
      <c r="A1506" s="2">
        <v>2025</v>
      </c>
      <c r="B1506" s="2">
        <v>6</v>
      </c>
      <c r="C1506" s="2" t="s">
        <v>3417</v>
      </c>
      <c r="D1506" s="2" t="s">
        <v>3416</v>
      </c>
      <c r="E1506" s="2" t="s">
        <v>752</v>
      </c>
      <c r="F1506" s="2" t="s">
        <v>39</v>
      </c>
      <c r="L1506" s="2" t="s">
        <v>339</v>
      </c>
      <c r="M1506" s="2" t="s">
        <v>40</v>
      </c>
      <c r="P1506" s="2" t="s">
        <v>101</v>
      </c>
      <c r="Q1506" s="2" t="s">
        <v>1676</v>
      </c>
      <c r="R1506" s="2" t="s">
        <v>1677</v>
      </c>
      <c r="S1506" s="2">
        <v>1</v>
      </c>
      <c r="T1506" s="2">
        <v>12990</v>
      </c>
      <c r="U1506" s="2">
        <v>2987.7</v>
      </c>
      <c r="V1506" s="2">
        <v>15977.7</v>
      </c>
      <c r="W1506" s="2">
        <f>6663.34+975</f>
        <v>7638.34</v>
      </c>
      <c r="X1506" s="5">
        <f t="shared" si="207"/>
        <v>0.41198306389530409</v>
      </c>
      <c r="Z1506" s="2" t="s">
        <v>104</v>
      </c>
      <c r="AA1506" s="2" t="s">
        <v>264</v>
      </c>
      <c r="AB1506" s="2" t="s">
        <v>265</v>
      </c>
      <c r="AC1506" s="2" t="s">
        <v>101</v>
      </c>
      <c r="AF1506" s="2">
        <f t="shared" si="210"/>
        <v>0</v>
      </c>
      <c r="AJ1506" s="2">
        <f t="shared" si="211"/>
        <v>0</v>
      </c>
      <c r="AK1506" s="2">
        <f t="shared" si="208"/>
        <v>5351.66</v>
      </c>
      <c r="AL1506" s="5">
        <f t="shared" si="209"/>
        <v>0.41198306389530409</v>
      </c>
    </row>
    <row r="1507" spans="1:38" x14ac:dyDescent="0.2">
      <c r="A1507" s="2">
        <v>2025</v>
      </c>
      <c r="B1507" s="2">
        <v>6</v>
      </c>
      <c r="D1507" s="2" t="s">
        <v>716</v>
      </c>
      <c r="E1507" s="2" t="s">
        <v>108</v>
      </c>
      <c r="F1507" s="2" t="s">
        <v>717</v>
      </c>
      <c r="G1507" s="2">
        <v>500042063</v>
      </c>
      <c r="H1507" s="2" t="s">
        <v>109</v>
      </c>
      <c r="I1507" s="2" t="s">
        <v>112</v>
      </c>
      <c r="J1507" s="2" t="s">
        <v>718</v>
      </c>
      <c r="L1507" s="2" t="s">
        <v>112</v>
      </c>
      <c r="M1507" s="2" t="s">
        <v>40</v>
      </c>
      <c r="O1507" s="2" t="s">
        <v>1678</v>
      </c>
      <c r="P1507" s="2" t="s">
        <v>114</v>
      </c>
      <c r="Q1507" s="2" t="s">
        <v>901</v>
      </c>
      <c r="R1507" s="2" t="s">
        <v>902</v>
      </c>
      <c r="S1507" s="2">
        <v>1</v>
      </c>
      <c r="T1507" s="2">
        <v>80.7</v>
      </c>
      <c r="U1507" s="2">
        <v>18.561</v>
      </c>
      <c r="V1507" s="2">
        <v>99.260999999999996</v>
      </c>
      <c r="X1507" s="5">
        <f t="shared" si="207"/>
        <v>1</v>
      </c>
      <c r="Z1507" s="2" t="s">
        <v>117</v>
      </c>
      <c r="AF1507" s="2">
        <f t="shared" si="210"/>
        <v>0</v>
      </c>
      <c r="AJ1507" s="2">
        <f t="shared" si="211"/>
        <v>0</v>
      </c>
      <c r="AK1507" s="2">
        <f t="shared" si="208"/>
        <v>80.7</v>
      </c>
      <c r="AL1507" s="5">
        <f t="shared" si="209"/>
        <v>1</v>
      </c>
    </row>
    <row r="1508" spans="1:38" x14ac:dyDescent="0.2">
      <c r="A1508" s="2">
        <v>2025</v>
      </c>
      <c r="B1508" s="2">
        <v>6</v>
      </c>
      <c r="D1508" s="2" t="s">
        <v>716</v>
      </c>
      <c r="E1508" s="2" t="s">
        <v>108</v>
      </c>
      <c r="F1508" s="2" t="s">
        <v>717</v>
      </c>
      <c r="G1508" s="2">
        <v>500042063</v>
      </c>
      <c r="H1508" s="2" t="s">
        <v>109</v>
      </c>
      <c r="I1508" s="2" t="s">
        <v>112</v>
      </c>
      <c r="J1508" s="2" t="s">
        <v>718</v>
      </c>
      <c r="L1508" s="2" t="s">
        <v>112</v>
      </c>
      <c r="M1508" s="2" t="s">
        <v>109</v>
      </c>
      <c r="O1508" s="2" t="s">
        <v>1679</v>
      </c>
      <c r="P1508" s="2" t="s">
        <v>282</v>
      </c>
      <c r="Q1508" s="2" t="s">
        <v>1588</v>
      </c>
      <c r="R1508" s="2" t="s">
        <v>1589</v>
      </c>
      <c r="S1508" s="2">
        <v>10</v>
      </c>
      <c r="T1508" s="2">
        <v>69</v>
      </c>
      <c r="U1508" s="2">
        <v>15.87</v>
      </c>
      <c r="V1508" s="2">
        <v>84.87</v>
      </c>
      <c r="W1508" s="2">
        <f>5.135*S1508</f>
        <v>51.349999999999994</v>
      </c>
      <c r="X1508" s="5">
        <f t="shared" si="207"/>
        <v>0.25579710144927542</v>
      </c>
      <c r="Z1508" s="2" t="s">
        <v>3227</v>
      </c>
      <c r="AA1508" s="2" t="s">
        <v>71</v>
      </c>
      <c r="AB1508" s="2" t="s">
        <v>119</v>
      </c>
      <c r="AC1508" s="2" t="s">
        <v>119</v>
      </c>
      <c r="AF1508" s="2">
        <f t="shared" si="210"/>
        <v>0</v>
      </c>
      <c r="AJ1508" s="2">
        <f t="shared" si="211"/>
        <v>0</v>
      </c>
      <c r="AK1508" s="2">
        <f t="shared" si="208"/>
        <v>17.650000000000006</v>
      </c>
      <c r="AL1508" s="5">
        <f t="shared" si="209"/>
        <v>0.25579710144927542</v>
      </c>
    </row>
    <row r="1509" spans="1:38" x14ac:dyDescent="0.2">
      <c r="A1509" s="2">
        <v>2025</v>
      </c>
      <c r="B1509" s="2">
        <v>6</v>
      </c>
      <c r="C1509" s="2" t="s">
        <v>3324</v>
      </c>
      <c r="D1509" s="2" t="s">
        <v>314</v>
      </c>
      <c r="E1509" s="2" t="s">
        <v>108</v>
      </c>
      <c r="F1509" s="2" t="s">
        <v>39</v>
      </c>
      <c r="G1509" s="2">
        <v>503270520</v>
      </c>
      <c r="H1509" s="2" t="s">
        <v>40</v>
      </c>
      <c r="I1509" s="2" t="s">
        <v>315</v>
      </c>
      <c r="J1509" s="2" t="s">
        <v>316</v>
      </c>
      <c r="L1509" s="2" t="s">
        <v>99</v>
      </c>
      <c r="M1509" s="2" t="s">
        <v>40</v>
      </c>
      <c r="P1509" s="2" t="s">
        <v>114</v>
      </c>
      <c r="Q1509" s="2" t="s">
        <v>639</v>
      </c>
      <c r="R1509" s="2" t="s">
        <v>640</v>
      </c>
      <c r="S1509" s="2">
        <v>1</v>
      </c>
      <c r="T1509" s="2">
        <v>1745.89</v>
      </c>
      <c r="U1509" s="2">
        <v>401.55470000000003</v>
      </c>
      <c r="V1509" s="2">
        <v>2147.4447</v>
      </c>
      <c r="W1509" s="2">
        <v>585.00340000000006</v>
      </c>
      <c r="X1509" s="5">
        <f t="shared" si="207"/>
        <v>0.66492539621625646</v>
      </c>
      <c r="Z1509" s="2" t="s">
        <v>117</v>
      </c>
      <c r="AA1509" s="2" t="s">
        <v>118</v>
      </c>
      <c r="AB1509" s="2" t="s">
        <v>119</v>
      </c>
      <c r="AC1509" s="2" t="s">
        <v>114</v>
      </c>
      <c r="AF1509" s="2">
        <f t="shared" si="210"/>
        <v>0</v>
      </c>
      <c r="AJ1509" s="2">
        <f t="shared" si="211"/>
        <v>0</v>
      </c>
      <c r="AK1509" s="2">
        <f t="shared" si="208"/>
        <v>1160.8866</v>
      </c>
      <c r="AL1509" s="5">
        <f t="shared" si="209"/>
        <v>0.66492539621625646</v>
      </c>
    </row>
    <row r="1510" spans="1:38" x14ac:dyDescent="0.2">
      <c r="A1510" s="2">
        <v>2025</v>
      </c>
      <c r="B1510" s="2">
        <v>6</v>
      </c>
      <c r="D1510" s="2" t="s">
        <v>314</v>
      </c>
      <c r="E1510" s="2" t="s">
        <v>108</v>
      </c>
      <c r="G1510" s="2">
        <v>503270520</v>
      </c>
      <c r="H1510" s="2" t="s">
        <v>40</v>
      </c>
      <c r="I1510" s="2" t="s">
        <v>315</v>
      </c>
      <c r="J1510" s="2" t="s">
        <v>316</v>
      </c>
      <c r="L1510" s="2" t="s">
        <v>99</v>
      </c>
      <c r="P1510" s="2" t="s">
        <v>114</v>
      </c>
      <c r="Q1510" s="2" t="s">
        <v>1680</v>
      </c>
      <c r="R1510" s="2" t="s">
        <v>1681</v>
      </c>
      <c r="S1510" s="2">
        <v>1</v>
      </c>
      <c r="T1510" s="2">
        <v>1120.44</v>
      </c>
      <c r="U1510" s="2">
        <v>257.70119999999997</v>
      </c>
      <c r="V1510" s="2">
        <v>1378.1412</v>
      </c>
      <c r="X1510" s="5">
        <f t="shared" si="207"/>
        <v>1</v>
      </c>
      <c r="Z1510" s="2" t="s">
        <v>117</v>
      </c>
      <c r="AF1510" s="2">
        <f t="shared" si="210"/>
        <v>0</v>
      </c>
      <c r="AJ1510" s="2">
        <f t="shared" si="211"/>
        <v>0</v>
      </c>
      <c r="AK1510" s="2">
        <f t="shared" si="208"/>
        <v>1120.44</v>
      </c>
      <c r="AL1510" s="5">
        <f t="shared" si="209"/>
        <v>1</v>
      </c>
    </row>
    <row r="1511" spans="1:38" x14ac:dyDescent="0.2">
      <c r="A1511" s="2">
        <v>2025</v>
      </c>
      <c r="B1511" s="2">
        <v>6</v>
      </c>
      <c r="D1511" s="2" t="s">
        <v>314</v>
      </c>
      <c r="E1511" s="2" t="s">
        <v>108</v>
      </c>
      <c r="G1511" s="2">
        <v>503270520</v>
      </c>
      <c r="H1511" s="2" t="s">
        <v>40</v>
      </c>
      <c r="I1511" s="2" t="s">
        <v>315</v>
      </c>
      <c r="J1511" s="2" t="s">
        <v>316</v>
      </c>
      <c r="L1511" s="2" t="s">
        <v>99</v>
      </c>
      <c r="M1511" s="2" t="s">
        <v>40</v>
      </c>
      <c r="P1511" s="2" t="s">
        <v>187</v>
      </c>
      <c r="Q1511" s="2" t="s">
        <v>188</v>
      </c>
      <c r="R1511" s="2" t="s">
        <v>189</v>
      </c>
      <c r="S1511" s="2">
        <v>0</v>
      </c>
      <c r="T1511" s="2">
        <v>37.5</v>
      </c>
      <c r="U1511" s="2">
        <v>8.625</v>
      </c>
      <c r="V1511" s="2">
        <v>46.125</v>
      </c>
      <c r="W1511" s="2">
        <f>T1511*40%</f>
        <v>15</v>
      </c>
      <c r="X1511" s="5">
        <f t="shared" si="207"/>
        <v>0.6</v>
      </c>
      <c r="Z1511" s="2" t="s">
        <v>117</v>
      </c>
      <c r="AA1511" s="2" t="s">
        <v>190</v>
      </c>
      <c r="AB1511" s="2" t="s">
        <v>189</v>
      </c>
      <c r="AC1511" s="2" t="s">
        <v>40</v>
      </c>
      <c r="AF1511" s="2">
        <f t="shared" si="210"/>
        <v>0</v>
      </c>
      <c r="AJ1511" s="2">
        <f t="shared" si="211"/>
        <v>0</v>
      </c>
      <c r="AK1511" s="2">
        <f t="shared" si="208"/>
        <v>22.5</v>
      </c>
      <c r="AL1511" s="5">
        <f t="shared" si="209"/>
        <v>0.6</v>
      </c>
    </row>
    <row r="1512" spans="1:38" x14ac:dyDescent="0.2">
      <c r="A1512" s="2">
        <v>2025</v>
      </c>
      <c r="B1512" s="2">
        <v>6</v>
      </c>
      <c r="D1512" s="2" t="s">
        <v>314</v>
      </c>
      <c r="E1512" s="2" t="s">
        <v>108</v>
      </c>
      <c r="G1512" s="2">
        <v>503270520</v>
      </c>
      <c r="H1512" s="2" t="s">
        <v>40</v>
      </c>
      <c r="I1512" s="2" t="s">
        <v>315</v>
      </c>
      <c r="J1512" s="2" t="s">
        <v>316</v>
      </c>
      <c r="L1512" s="2" t="s">
        <v>99</v>
      </c>
      <c r="M1512" s="2" t="s">
        <v>40</v>
      </c>
      <c r="P1512" s="2" t="s">
        <v>187</v>
      </c>
      <c r="Q1512" s="2" t="s">
        <v>191</v>
      </c>
      <c r="R1512" s="2" t="s">
        <v>190</v>
      </c>
      <c r="S1512" s="2">
        <v>5</v>
      </c>
      <c r="T1512" s="2">
        <v>270</v>
      </c>
      <c r="U1512" s="2">
        <v>62.1</v>
      </c>
      <c r="V1512" s="2">
        <v>332.1</v>
      </c>
      <c r="W1512" s="2">
        <f>T1512*50%</f>
        <v>135</v>
      </c>
      <c r="X1512" s="5">
        <f t="shared" si="207"/>
        <v>0.5</v>
      </c>
      <c r="Z1512" s="2" t="s">
        <v>117</v>
      </c>
      <c r="AA1512" s="2" t="s">
        <v>190</v>
      </c>
      <c r="AB1512" s="2" t="s">
        <v>190</v>
      </c>
      <c r="AC1512" s="2" t="s">
        <v>40</v>
      </c>
      <c r="AF1512" s="2">
        <f t="shared" si="210"/>
        <v>0</v>
      </c>
      <c r="AJ1512" s="2">
        <f t="shared" si="211"/>
        <v>0</v>
      </c>
      <c r="AK1512" s="2">
        <f t="shared" si="208"/>
        <v>135</v>
      </c>
      <c r="AL1512" s="5">
        <f t="shared" si="209"/>
        <v>0.5</v>
      </c>
    </row>
    <row r="1513" spans="1:38" x14ac:dyDescent="0.2">
      <c r="A1513" s="2">
        <v>2025</v>
      </c>
      <c r="B1513" s="2">
        <v>6</v>
      </c>
      <c r="D1513" s="2" t="s">
        <v>314</v>
      </c>
      <c r="E1513" s="2" t="s">
        <v>108</v>
      </c>
      <c r="G1513" s="2">
        <v>503270520</v>
      </c>
      <c r="H1513" s="2" t="s">
        <v>40</v>
      </c>
      <c r="I1513" s="2" t="s">
        <v>315</v>
      </c>
      <c r="J1513" s="2" t="s">
        <v>316</v>
      </c>
      <c r="L1513" s="2" t="s">
        <v>99</v>
      </c>
      <c r="M1513" s="2" t="s">
        <v>40</v>
      </c>
      <c r="P1513" s="2" t="s">
        <v>40</v>
      </c>
      <c r="Q1513" s="2" t="s">
        <v>140</v>
      </c>
      <c r="R1513" s="2" t="s">
        <v>141</v>
      </c>
      <c r="S1513" s="2">
        <v>-2</v>
      </c>
      <c r="T1513" s="2">
        <v>-1146.54</v>
      </c>
      <c r="U1513" s="2">
        <v>-263.70420000000001</v>
      </c>
      <c r="V1513" s="2">
        <v>-1410.2442000000001</v>
      </c>
      <c r="Z1513" s="2" t="s">
        <v>119</v>
      </c>
      <c r="AA1513" s="2" t="s">
        <v>142</v>
      </c>
      <c r="AF1513" s="2">
        <f t="shared" si="210"/>
        <v>0</v>
      </c>
      <c r="AJ1513" s="2">
        <f t="shared" si="211"/>
        <v>0</v>
      </c>
    </row>
    <row r="1514" spans="1:38" x14ac:dyDescent="0.2">
      <c r="A1514" s="2">
        <v>2025</v>
      </c>
      <c r="B1514" s="2">
        <v>6</v>
      </c>
      <c r="D1514" s="2" t="s">
        <v>319</v>
      </c>
      <c r="E1514" s="2" t="s">
        <v>38</v>
      </c>
      <c r="F1514" s="2" t="s">
        <v>39</v>
      </c>
      <c r="G1514" s="2">
        <v>500883262</v>
      </c>
      <c r="H1514" s="2" t="s">
        <v>40</v>
      </c>
      <c r="I1514" s="2" t="s">
        <v>99</v>
      </c>
      <c r="J1514" s="2" t="s">
        <v>320</v>
      </c>
      <c r="L1514" s="2" t="s">
        <v>99</v>
      </c>
      <c r="M1514" s="2" t="s">
        <v>80</v>
      </c>
      <c r="O1514" s="2" t="s">
        <v>1682</v>
      </c>
      <c r="P1514" s="2" t="s">
        <v>43</v>
      </c>
      <c r="Q1514" s="2" t="s">
        <v>969</v>
      </c>
      <c r="R1514" s="2" t="s">
        <v>970</v>
      </c>
      <c r="S1514" s="2">
        <v>10</v>
      </c>
      <c r="T1514" s="2">
        <v>290</v>
      </c>
      <c r="U1514" s="2">
        <v>66.7</v>
      </c>
      <c r="V1514" s="2">
        <v>356.7</v>
      </c>
      <c r="W1514" s="2">
        <f>18.3719*S1514</f>
        <v>183.71899999999999</v>
      </c>
      <c r="X1514" s="5">
        <f>(T1514-W1514)/T1514</f>
        <v>0.36648620689655176</v>
      </c>
      <c r="Z1514" s="2" t="s">
        <v>3227</v>
      </c>
      <c r="AA1514" s="2" t="s">
        <v>46</v>
      </c>
      <c r="AB1514" s="2" t="s">
        <v>60</v>
      </c>
      <c r="AC1514" s="2" t="s">
        <v>57</v>
      </c>
      <c r="AF1514" s="2">
        <f t="shared" si="210"/>
        <v>0</v>
      </c>
      <c r="AJ1514" s="2">
        <f t="shared" si="211"/>
        <v>0</v>
      </c>
      <c r="AK1514" s="2">
        <f t="shared" ref="AK1514:AK1552" si="212">T1514-W1514</f>
        <v>106.28100000000001</v>
      </c>
      <c r="AL1514" s="5">
        <f t="shared" ref="AL1514:AL1552" si="213">(T1514-W1514)/T1514</f>
        <v>0.36648620689655176</v>
      </c>
    </row>
    <row r="1515" spans="1:38" x14ac:dyDescent="0.2">
      <c r="A1515" s="2">
        <v>2025</v>
      </c>
      <c r="B1515" s="2">
        <v>6</v>
      </c>
      <c r="D1515" s="2" t="s">
        <v>319</v>
      </c>
      <c r="E1515" s="2" t="s">
        <v>38</v>
      </c>
      <c r="F1515" s="2" t="s">
        <v>39</v>
      </c>
      <c r="G1515" s="2">
        <v>500883262</v>
      </c>
      <c r="H1515" s="2" t="s">
        <v>40</v>
      </c>
      <c r="I1515" s="2" t="s">
        <v>99</v>
      </c>
      <c r="J1515" s="2" t="s">
        <v>320</v>
      </c>
      <c r="L1515" s="2" t="s">
        <v>99</v>
      </c>
      <c r="M1515" s="2" t="s">
        <v>80</v>
      </c>
      <c r="O1515" s="2" t="s">
        <v>1682</v>
      </c>
      <c r="P1515" s="2" t="s">
        <v>43</v>
      </c>
      <c r="Q1515" s="2" t="s">
        <v>971</v>
      </c>
      <c r="R1515" s="2" t="s">
        <v>972</v>
      </c>
      <c r="S1515" s="2">
        <v>10</v>
      </c>
      <c r="T1515" s="2">
        <v>290</v>
      </c>
      <c r="U1515" s="2">
        <v>66.7</v>
      </c>
      <c r="V1515" s="2">
        <v>356.7</v>
      </c>
      <c r="W1515" s="2">
        <f>18.9342*S1515</f>
        <v>189.34200000000001</v>
      </c>
      <c r="X1515" s="5">
        <f>(T1515-W1515)/T1515</f>
        <v>0.34709655172413789</v>
      </c>
      <c r="Z1515" s="2" t="s">
        <v>3227</v>
      </c>
      <c r="AA1515" s="2" t="s">
        <v>46</v>
      </c>
      <c r="AB1515" s="2" t="s">
        <v>60</v>
      </c>
      <c r="AC1515" s="2" t="s">
        <v>57</v>
      </c>
      <c r="AF1515" s="2">
        <f t="shared" si="210"/>
        <v>0</v>
      </c>
      <c r="AJ1515" s="2">
        <f t="shared" si="211"/>
        <v>0</v>
      </c>
      <c r="AK1515" s="2">
        <f t="shared" si="212"/>
        <v>100.65799999999999</v>
      </c>
      <c r="AL1515" s="5">
        <f t="shared" si="213"/>
        <v>0.34709655172413789</v>
      </c>
    </row>
    <row r="1516" spans="1:38" x14ac:dyDescent="0.2">
      <c r="A1516" s="2">
        <v>2025</v>
      </c>
      <c r="B1516" s="2">
        <v>6</v>
      </c>
      <c r="D1516" s="2" t="s">
        <v>319</v>
      </c>
      <c r="E1516" s="2" t="s">
        <v>38</v>
      </c>
      <c r="F1516" s="2" t="s">
        <v>39</v>
      </c>
      <c r="G1516" s="2">
        <v>500883262</v>
      </c>
      <c r="H1516" s="2" t="s">
        <v>40</v>
      </c>
      <c r="I1516" s="2" t="s">
        <v>99</v>
      </c>
      <c r="J1516" s="2" t="s">
        <v>320</v>
      </c>
      <c r="L1516" s="2" t="s">
        <v>99</v>
      </c>
      <c r="M1516" s="2" t="s">
        <v>80</v>
      </c>
      <c r="O1516" s="2" t="s">
        <v>1683</v>
      </c>
      <c r="P1516" s="2" t="s">
        <v>72</v>
      </c>
      <c r="Q1516" s="2" t="s">
        <v>73</v>
      </c>
      <c r="R1516" s="2" t="s">
        <v>74</v>
      </c>
      <c r="S1516" s="2">
        <v>0</v>
      </c>
      <c r="T1516" s="2">
        <v>0</v>
      </c>
      <c r="U1516" s="2">
        <v>0</v>
      </c>
      <c r="V1516" s="2">
        <v>0</v>
      </c>
      <c r="W1516" s="2">
        <v>0</v>
      </c>
      <c r="X1516" s="5">
        <v>0</v>
      </c>
      <c r="Z1516" s="2" t="s">
        <v>3227</v>
      </c>
      <c r="AA1516" s="2" t="s">
        <v>75</v>
      </c>
      <c r="AB1516" s="2" t="s">
        <v>76</v>
      </c>
      <c r="AC1516" s="2" t="s">
        <v>77</v>
      </c>
      <c r="AF1516" s="2">
        <f t="shared" si="210"/>
        <v>0</v>
      </c>
      <c r="AG1516" s="2">
        <v>117.453</v>
      </c>
      <c r="AH1516" s="2">
        <v>220</v>
      </c>
      <c r="AJ1516" s="2">
        <f t="shared" si="211"/>
        <v>0</v>
      </c>
      <c r="AK1516" s="2">
        <f t="shared" si="212"/>
        <v>0</v>
      </c>
      <c r="AL1516" s="5" t="e">
        <f t="shared" si="213"/>
        <v>#DIV/0!</v>
      </c>
    </row>
    <row r="1517" spans="1:38" x14ac:dyDescent="0.2">
      <c r="A1517" s="2">
        <v>2025</v>
      </c>
      <c r="B1517" s="2">
        <v>6</v>
      </c>
      <c r="D1517" s="2" t="s">
        <v>319</v>
      </c>
      <c r="E1517" s="2" t="s">
        <v>38</v>
      </c>
      <c r="F1517" s="2" t="s">
        <v>39</v>
      </c>
      <c r="G1517" s="2">
        <v>500883262</v>
      </c>
      <c r="H1517" s="2" t="s">
        <v>40</v>
      </c>
      <c r="I1517" s="2" t="s">
        <v>99</v>
      </c>
      <c r="J1517" s="2" t="s">
        <v>320</v>
      </c>
      <c r="L1517" s="2" t="s">
        <v>99</v>
      </c>
      <c r="M1517" s="2" t="s">
        <v>80</v>
      </c>
      <c r="O1517" s="2" t="s">
        <v>1683</v>
      </c>
      <c r="P1517" s="2" t="s">
        <v>93</v>
      </c>
      <c r="Q1517" s="2" t="s">
        <v>94</v>
      </c>
      <c r="R1517" s="2" t="s">
        <v>95</v>
      </c>
      <c r="S1517" s="2">
        <v>0</v>
      </c>
      <c r="T1517" s="2">
        <v>0</v>
      </c>
      <c r="U1517" s="2">
        <v>0</v>
      </c>
      <c r="V1517" s="2">
        <v>0</v>
      </c>
      <c r="W1517" s="2">
        <v>0</v>
      </c>
      <c r="X1517" s="5">
        <v>0</v>
      </c>
      <c r="Z1517" s="2" t="s">
        <v>3227</v>
      </c>
      <c r="AA1517" s="2" t="s">
        <v>96</v>
      </c>
      <c r="AB1517" s="2" t="s">
        <v>76</v>
      </c>
      <c r="AC1517" s="2" t="s">
        <v>93</v>
      </c>
      <c r="AF1517" s="2">
        <f t="shared" si="210"/>
        <v>0</v>
      </c>
      <c r="AJ1517" s="2">
        <f t="shared" si="211"/>
        <v>0</v>
      </c>
      <c r="AK1517" s="2">
        <f t="shared" si="212"/>
        <v>0</v>
      </c>
      <c r="AL1517" s="5" t="e">
        <f t="shared" si="213"/>
        <v>#DIV/0!</v>
      </c>
    </row>
    <row r="1518" spans="1:38" x14ac:dyDescent="0.2">
      <c r="A1518" s="2">
        <v>2025</v>
      </c>
      <c r="B1518" s="2">
        <v>6</v>
      </c>
      <c r="D1518" s="2" t="s">
        <v>1684</v>
      </c>
      <c r="M1518" s="2" t="s">
        <v>40</v>
      </c>
      <c r="P1518" s="2" t="s">
        <v>187</v>
      </c>
      <c r="Q1518" s="2" t="s">
        <v>188</v>
      </c>
      <c r="R1518" s="2" t="s">
        <v>189</v>
      </c>
      <c r="S1518" s="2">
        <v>1</v>
      </c>
      <c r="T1518" s="2">
        <v>50</v>
      </c>
      <c r="U1518" s="2">
        <v>11.5</v>
      </c>
      <c r="V1518" s="2">
        <v>61.5</v>
      </c>
      <c r="W1518" s="2">
        <f>T1518*40%</f>
        <v>20</v>
      </c>
      <c r="X1518" s="5">
        <f t="shared" ref="X1518:X1552" si="214">(T1518-W1518)/T1518</f>
        <v>0.6</v>
      </c>
      <c r="Z1518" s="2" t="s">
        <v>117</v>
      </c>
      <c r="AA1518" s="2" t="s">
        <v>190</v>
      </c>
      <c r="AB1518" s="2" t="s">
        <v>189</v>
      </c>
      <c r="AC1518" s="2" t="s">
        <v>40</v>
      </c>
      <c r="AF1518" s="2">
        <f t="shared" si="210"/>
        <v>0</v>
      </c>
      <c r="AJ1518" s="2">
        <f t="shared" si="211"/>
        <v>0</v>
      </c>
      <c r="AK1518" s="2">
        <f t="shared" si="212"/>
        <v>30</v>
      </c>
      <c r="AL1518" s="5">
        <f t="shared" si="213"/>
        <v>0.6</v>
      </c>
    </row>
    <row r="1519" spans="1:38" x14ac:dyDescent="0.2">
      <c r="A1519" s="2">
        <v>2025</v>
      </c>
      <c r="B1519" s="2">
        <v>6</v>
      </c>
      <c r="D1519" s="2" t="s">
        <v>1684</v>
      </c>
      <c r="M1519" s="2" t="s">
        <v>40</v>
      </c>
      <c r="P1519" s="2" t="s">
        <v>187</v>
      </c>
      <c r="Q1519" s="2" t="s">
        <v>191</v>
      </c>
      <c r="R1519" s="2" t="s">
        <v>190</v>
      </c>
      <c r="S1519" s="2">
        <v>1</v>
      </c>
      <c r="T1519" s="2">
        <v>50</v>
      </c>
      <c r="U1519" s="2">
        <v>11.5</v>
      </c>
      <c r="V1519" s="2">
        <v>61.5</v>
      </c>
      <c r="W1519" s="2">
        <f>T1519*50%</f>
        <v>25</v>
      </c>
      <c r="X1519" s="5">
        <f t="shared" si="214"/>
        <v>0.5</v>
      </c>
      <c r="Z1519" s="2" t="s">
        <v>117</v>
      </c>
      <c r="AA1519" s="2" t="s">
        <v>190</v>
      </c>
      <c r="AB1519" s="2" t="s">
        <v>190</v>
      </c>
      <c r="AC1519" s="2" t="s">
        <v>40</v>
      </c>
      <c r="AF1519" s="2">
        <f t="shared" si="210"/>
        <v>0</v>
      </c>
      <c r="AJ1519" s="2">
        <f t="shared" si="211"/>
        <v>0</v>
      </c>
      <c r="AK1519" s="2">
        <f t="shared" si="212"/>
        <v>25</v>
      </c>
      <c r="AL1519" s="5">
        <f t="shared" si="213"/>
        <v>0.5</v>
      </c>
    </row>
    <row r="1520" spans="1:38" x14ac:dyDescent="0.2">
      <c r="A1520" s="2">
        <v>2025</v>
      </c>
      <c r="B1520" s="2">
        <v>6</v>
      </c>
      <c r="D1520" s="2" t="s">
        <v>1684</v>
      </c>
      <c r="P1520" s="2" t="s">
        <v>40</v>
      </c>
      <c r="Q1520" s="2" t="s">
        <v>363</v>
      </c>
      <c r="R1520" s="2" t="s">
        <v>364</v>
      </c>
      <c r="S1520" s="2">
        <v>1</v>
      </c>
      <c r="T1520" s="2">
        <v>303</v>
      </c>
      <c r="U1520" s="2">
        <v>69.69</v>
      </c>
      <c r="V1520" s="2">
        <v>372.69</v>
      </c>
      <c r="X1520" s="5">
        <f t="shared" si="214"/>
        <v>1</v>
      </c>
      <c r="Z1520" s="2" t="s">
        <v>119</v>
      </c>
      <c r="AA1520" s="2" t="s">
        <v>3380</v>
      </c>
      <c r="AF1520" s="2">
        <f t="shared" si="210"/>
        <v>0</v>
      </c>
      <c r="AJ1520" s="2">
        <f t="shared" si="211"/>
        <v>0</v>
      </c>
      <c r="AK1520" s="2">
        <f t="shared" si="212"/>
        <v>303</v>
      </c>
      <c r="AL1520" s="5">
        <f t="shared" si="213"/>
        <v>1</v>
      </c>
    </row>
    <row r="1521" spans="1:38" x14ac:dyDescent="0.2">
      <c r="A1521" s="2">
        <v>2025</v>
      </c>
      <c r="B1521" s="2">
        <v>6</v>
      </c>
      <c r="D1521" s="2" t="s">
        <v>1685</v>
      </c>
      <c r="P1521" s="2" t="s">
        <v>72</v>
      </c>
      <c r="Q1521" s="2" t="s">
        <v>73</v>
      </c>
      <c r="R1521" s="2" t="s">
        <v>74</v>
      </c>
      <c r="S1521" s="2">
        <v>1</v>
      </c>
      <c r="T1521" s="2">
        <v>210</v>
      </c>
      <c r="U1521" s="2">
        <v>48.3</v>
      </c>
      <c r="V1521" s="2">
        <v>258.3</v>
      </c>
      <c r="W1521" s="2">
        <v>117.453</v>
      </c>
      <c r="X1521" s="5">
        <f t="shared" si="214"/>
        <v>0.44069999999999998</v>
      </c>
      <c r="Z1521" s="2" t="s">
        <v>3227</v>
      </c>
      <c r="AA1521" s="2" t="s">
        <v>75</v>
      </c>
      <c r="AB1521" s="2" t="s">
        <v>76</v>
      </c>
      <c r="AC1521" s="2" t="s">
        <v>77</v>
      </c>
      <c r="AF1521" s="2">
        <f t="shared" si="210"/>
        <v>0</v>
      </c>
      <c r="AG1521" s="2">
        <v>117.453</v>
      </c>
      <c r="AH1521" s="2">
        <v>220</v>
      </c>
      <c r="AJ1521" s="2">
        <f t="shared" si="211"/>
        <v>0</v>
      </c>
      <c r="AK1521" s="2">
        <f t="shared" si="212"/>
        <v>92.546999999999997</v>
      </c>
      <c r="AL1521" s="5">
        <f t="shared" si="213"/>
        <v>0.44069999999999998</v>
      </c>
    </row>
    <row r="1522" spans="1:38" x14ac:dyDescent="0.2">
      <c r="A1522" s="2">
        <v>2025</v>
      </c>
      <c r="B1522" s="2">
        <v>6</v>
      </c>
      <c r="D1522" s="2" t="s">
        <v>1685</v>
      </c>
      <c r="P1522" s="2" t="s">
        <v>93</v>
      </c>
      <c r="Q1522" s="2" t="s">
        <v>94</v>
      </c>
      <c r="R1522" s="2" t="s">
        <v>95</v>
      </c>
      <c r="S1522" s="2">
        <v>1</v>
      </c>
      <c r="T1522" s="2">
        <v>1.1399999999999999</v>
      </c>
      <c r="U1522" s="2">
        <v>0.26219999999999999</v>
      </c>
      <c r="V1522" s="2">
        <v>1.4021999999999999</v>
      </c>
      <c r="W1522" s="2">
        <v>1.1399999999999999</v>
      </c>
      <c r="X1522" s="5">
        <f t="shared" si="214"/>
        <v>0</v>
      </c>
      <c r="Z1522" s="2" t="s">
        <v>3227</v>
      </c>
      <c r="AA1522" s="2" t="s">
        <v>96</v>
      </c>
      <c r="AB1522" s="2" t="s">
        <v>76</v>
      </c>
      <c r="AC1522" s="2" t="s">
        <v>93</v>
      </c>
      <c r="AF1522" s="2">
        <f t="shared" si="210"/>
        <v>0</v>
      </c>
      <c r="AJ1522" s="2">
        <f t="shared" si="211"/>
        <v>0</v>
      </c>
      <c r="AK1522" s="2">
        <f t="shared" si="212"/>
        <v>0</v>
      </c>
      <c r="AL1522" s="5">
        <f t="shared" si="213"/>
        <v>0</v>
      </c>
    </row>
    <row r="1523" spans="1:38" x14ac:dyDescent="0.2">
      <c r="A1523" s="2">
        <v>2025</v>
      </c>
      <c r="B1523" s="2">
        <v>6</v>
      </c>
      <c r="C1523" s="2" t="s">
        <v>3417</v>
      </c>
      <c r="D1523" s="2" t="s">
        <v>1350</v>
      </c>
      <c r="E1523" s="2" t="s">
        <v>38</v>
      </c>
      <c r="F1523" s="2" t="s">
        <v>39</v>
      </c>
      <c r="L1523" s="2" t="s">
        <v>99</v>
      </c>
      <c r="M1523" s="2" t="s">
        <v>41</v>
      </c>
      <c r="P1523" s="2" t="s">
        <v>282</v>
      </c>
      <c r="Q1523" s="2" t="s">
        <v>1686</v>
      </c>
      <c r="R1523" s="2" t="s">
        <v>1687</v>
      </c>
      <c r="S1523" s="2">
        <v>1</v>
      </c>
      <c r="T1523" s="2">
        <v>59.9</v>
      </c>
      <c r="U1523" s="2">
        <v>13.776999999999999</v>
      </c>
      <c r="V1523" s="2">
        <v>73.676999999999992</v>
      </c>
      <c r="W1523" s="2">
        <v>36.549999999999997</v>
      </c>
      <c r="X1523" s="5">
        <f t="shared" si="214"/>
        <v>0.38981636060100172</v>
      </c>
      <c r="Z1523" s="2" t="s">
        <v>3227</v>
      </c>
      <c r="AA1523" s="2" t="s">
        <v>71</v>
      </c>
      <c r="AB1523" s="2" t="s">
        <v>1600</v>
      </c>
      <c r="AC1523" s="2" t="s">
        <v>1600</v>
      </c>
      <c r="AF1523" s="2">
        <f t="shared" si="210"/>
        <v>0</v>
      </c>
      <c r="AJ1523" s="2">
        <f t="shared" si="211"/>
        <v>0</v>
      </c>
      <c r="AK1523" s="2">
        <f t="shared" si="212"/>
        <v>23.35</v>
      </c>
      <c r="AL1523" s="5">
        <f t="shared" si="213"/>
        <v>0.38981636060100172</v>
      </c>
    </row>
    <row r="1524" spans="1:38" x14ac:dyDescent="0.2">
      <c r="A1524" s="2">
        <v>2025</v>
      </c>
      <c r="B1524" s="2">
        <v>6</v>
      </c>
      <c r="D1524" s="2" t="s">
        <v>981</v>
      </c>
      <c r="E1524" s="2" t="s">
        <v>108</v>
      </c>
      <c r="F1524" s="2" t="s">
        <v>717</v>
      </c>
      <c r="G1524" s="2">
        <v>500594309</v>
      </c>
      <c r="H1524" s="2" t="s">
        <v>290</v>
      </c>
      <c r="I1524" s="2" t="s">
        <v>982</v>
      </c>
      <c r="J1524" s="2" t="s">
        <v>983</v>
      </c>
      <c r="L1524" s="2" t="s">
        <v>293</v>
      </c>
      <c r="M1524" s="2" t="s">
        <v>80</v>
      </c>
      <c r="O1524" s="2" t="s">
        <v>1688</v>
      </c>
      <c r="P1524" s="2" t="s">
        <v>72</v>
      </c>
      <c r="Q1524" s="2" t="s">
        <v>73</v>
      </c>
      <c r="R1524" s="2" t="s">
        <v>74</v>
      </c>
      <c r="S1524" s="2">
        <v>1</v>
      </c>
      <c r="T1524" s="2">
        <v>200</v>
      </c>
      <c r="U1524" s="2">
        <v>46</v>
      </c>
      <c r="V1524" s="2">
        <v>246</v>
      </c>
      <c r="W1524" s="2">
        <v>117.453</v>
      </c>
      <c r="X1524" s="5">
        <f t="shared" si="214"/>
        <v>0.41273499999999996</v>
      </c>
      <c r="Z1524" s="2" t="s">
        <v>3227</v>
      </c>
      <c r="AA1524" s="2" t="s">
        <v>75</v>
      </c>
      <c r="AB1524" s="2" t="s">
        <v>76</v>
      </c>
      <c r="AC1524" s="2" t="s">
        <v>77</v>
      </c>
      <c r="AF1524" s="2">
        <f t="shared" si="210"/>
        <v>0</v>
      </c>
      <c r="AG1524" s="2">
        <v>117.453</v>
      </c>
      <c r="AH1524" s="2">
        <v>220</v>
      </c>
      <c r="AJ1524" s="2">
        <f t="shared" si="211"/>
        <v>0</v>
      </c>
      <c r="AK1524" s="2">
        <f t="shared" si="212"/>
        <v>82.546999999999997</v>
      </c>
      <c r="AL1524" s="5">
        <f t="shared" si="213"/>
        <v>0.41273499999999996</v>
      </c>
    </row>
    <row r="1525" spans="1:38" x14ac:dyDescent="0.2">
      <c r="A1525" s="2">
        <v>2025</v>
      </c>
      <c r="B1525" s="2">
        <v>6</v>
      </c>
      <c r="D1525" s="2" t="s">
        <v>981</v>
      </c>
      <c r="E1525" s="2" t="s">
        <v>108</v>
      </c>
      <c r="F1525" s="2" t="s">
        <v>717</v>
      </c>
      <c r="G1525" s="2">
        <v>500594309</v>
      </c>
      <c r="H1525" s="2" t="s">
        <v>290</v>
      </c>
      <c r="I1525" s="2" t="s">
        <v>982</v>
      </c>
      <c r="J1525" s="2" t="s">
        <v>983</v>
      </c>
      <c r="L1525" s="2" t="s">
        <v>293</v>
      </c>
      <c r="M1525" s="2" t="s">
        <v>80</v>
      </c>
      <c r="O1525" s="2" t="s">
        <v>1688</v>
      </c>
      <c r="P1525" s="2" t="s">
        <v>93</v>
      </c>
      <c r="Q1525" s="2" t="s">
        <v>94</v>
      </c>
      <c r="R1525" s="2" t="s">
        <v>95</v>
      </c>
      <c r="S1525" s="2">
        <v>1</v>
      </c>
      <c r="T1525" s="2">
        <v>1.1399999999999999</v>
      </c>
      <c r="U1525" s="2">
        <v>0.26219999999999999</v>
      </c>
      <c r="V1525" s="2">
        <v>1.4021999999999999</v>
      </c>
      <c r="W1525" s="2">
        <v>1.1399999999999999</v>
      </c>
      <c r="X1525" s="5">
        <f t="shared" si="214"/>
        <v>0</v>
      </c>
      <c r="Z1525" s="2" t="s">
        <v>3227</v>
      </c>
      <c r="AA1525" s="2" t="s">
        <v>96</v>
      </c>
      <c r="AB1525" s="2" t="s">
        <v>76</v>
      </c>
      <c r="AC1525" s="2" t="s">
        <v>93</v>
      </c>
      <c r="AF1525" s="2">
        <f t="shared" si="210"/>
        <v>0</v>
      </c>
      <c r="AG1525" s="2">
        <v>1.1399999999999999</v>
      </c>
      <c r="AH1525" s="2">
        <v>1.1399999999999999</v>
      </c>
      <c r="AJ1525" s="2">
        <f t="shared" si="211"/>
        <v>0</v>
      </c>
      <c r="AK1525" s="2">
        <f t="shared" si="212"/>
        <v>0</v>
      </c>
      <c r="AL1525" s="5">
        <f t="shared" si="213"/>
        <v>0</v>
      </c>
    </row>
    <row r="1526" spans="1:38" x14ac:dyDescent="0.2">
      <c r="A1526" s="2">
        <v>2025</v>
      </c>
      <c r="B1526" s="2">
        <v>6</v>
      </c>
      <c r="D1526" s="2" t="s">
        <v>741</v>
      </c>
      <c r="P1526" s="2" t="s">
        <v>114</v>
      </c>
      <c r="Q1526" s="2" t="s">
        <v>1689</v>
      </c>
      <c r="R1526" s="2" t="s">
        <v>1690</v>
      </c>
      <c r="S1526" s="2">
        <v>1</v>
      </c>
      <c r="T1526" s="2">
        <v>73.69</v>
      </c>
      <c r="U1526" s="2">
        <v>16.948699999999999</v>
      </c>
      <c r="V1526" s="2">
        <v>90.6387</v>
      </c>
      <c r="X1526" s="5">
        <f t="shared" si="214"/>
        <v>1</v>
      </c>
      <c r="Z1526" s="2" t="s">
        <v>117</v>
      </c>
      <c r="AF1526" s="2">
        <f t="shared" si="210"/>
        <v>0</v>
      </c>
      <c r="AJ1526" s="2">
        <f t="shared" si="211"/>
        <v>0</v>
      </c>
      <c r="AK1526" s="2">
        <f t="shared" si="212"/>
        <v>73.69</v>
      </c>
      <c r="AL1526" s="5">
        <f t="shared" si="213"/>
        <v>1</v>
      </c>
    </row>
    <row r="1527" spans="1:38" x14ac:dyDescent="0.2">
      <c r="A1527" s="2">
        <v>2025</v>
      </c>
      <c r="B1527" s="2">
        <v>6</v>
      </c>
      <c r="D1527" s="2" t="s">
        <v>741</v>
      </c>
      <c r="M1527" s="2" t="s">
        <v>40</v>
      </c>
      <c r="P1527" s="2" t="s">
        <v>187</v>
      </c>
      <c r="Q1527" s="2" t="s">
        <v>188</v>
      </c>
      <c r="R1527" s="2" t="s">
        <v>189</v>
      </c>
      <c r="S1527" s="2">
        <v>2</v>
      </c>
      <c r="T1527" s="2">
        <v>214</v>
      </c>
      <c r="U1527" s="2">
        <v>49.22</v>
      </c>
      <c r="V1527" s="2">
        <v>263.22000000000003</v>
      </c>
      <c r="W1527" s="2">
        <f>T1527*40%</f>
        <v>85.600000000000009</v>
      </c>
      <c r="X1527" s="5">
        <f t="shared" si="214"/>
        <v>0.59999999999999987</v>
      </c>
      <c r="Z1527" s="2" t="s">
        <v>117</v>
      </c>
      <c r="AA1527" s="2" t="s">
        <v>190</v>
      </c>
      <c r="AB1527" s="2" t="s">
        <v>189</v>
      </c>
      <c r="AC1527" s="2" t="s">
        <v>40</v>
      </c>
      <c r="AF1527" s="2">
        <f t="shared" si="210"/>
        <v>0</v>
      </c>
      <c r="AJ1527" s="2">
        <f t="shared" si="211"/>
        <v>0</v>
      </c>
      <c r="AK1527" s="2">
        <f t="shared" si="212"/>
        <v>128.39999999999998</v>
      </c>
      <c r="AL1527" s="5">
        <f t="shared" si="213"/>
        <v>0.59999999999999987</v>
      </c>
    </row>
    <row r="1528" spans="1:38" x14ac:dyDescent="0.2">
      <c r="A1528" s="2">
        <v>2025</v>
      </c>
      <c r="B1528" s="2">
        <v>6</v>
      </c>
      <c r="D1528" s="2" t="s">
        <v>741</v>
      </c>
      <c r="M1528" s="2" t="s">
        <v>40</v>
      </c>
      <c r="P1528" s="2" t="s">
        <v>187</v>
      </c>
      <c r="Q1528" s="2" t="s">
        <v>191</v>
      </c>
      <c r="R1528" s="2" t="s">
        <v>190</v>
      </c>
      <c r="S1528" s="2">
        <v>1.8</v>
      </c>
      <c r="T1528" s="2">
        <v>90</v>
      </c>
      <c r="U1528" s="2">
        <v>20.7</v>
      </c>
      <c r="V1528" s="2">
        <v>110.7</v>
      </c>
      <c r="W1528" s="2">
        <f>T1528*50%</f>
        <v>45</v>
      </c>
      <c r="X1528" s="5">
        <f t="shared" si="214"/>
        <v>0.5</v>
      </c>
      <c r="Z1528" s="2" t="s">
        <v>117</v>
      </c>
      <c r="AA1528" s="2" t="s">
        <v>190</v>
      </c>
      <c r="AB1528" s="2" t="s">
        <v>190</v>
      </c>
      <c r="AC1528" s="2" t="s">
        <v>40</v>
      </c>
      <c r="AF1528" s="2">
        <f t="shared" si="210"/>
        <v>0</v>
      </c>
      <c r="AJ1528" s="2">
        <f t="shared" si="211"/>
        <v>0</v>
      </c>
      <c r="AK1528" s="2">
        <f t="shared" si="212"/>
        <v>45</v>
      </c>
      <c r="AL1528" s="5">
        <f t="shared" si="213"/>
        <v>0.5</v>
      </c>
    </row>
    <row r="1529" spans="1:38" x14ac:dyDescent="0.2">
      <c r="A1529" s="2">
        <v>2025</v>
      </c>
      <c r="B1529" s="2">
        <v>6</v>
      </c>
      <c r="C1529" s="2" t="s">
        <v>3324</v>
      </c>
      <c r="D1529" s="2" t="s">
        <v>1355</v>
      </c>
      <c r="E1529" s="2" t="s">
        <v>752</v>
      </c>
      <c r="F1529" s="2" t="s">
        <v>39</v>
      </c>
      <c r="G1529" s="2">
        <v>518238334</v>
      </c>
      <c r="H1529" s="2" t="s">
        <v>41</v>
      </c>
      <c r="I1529" s="2" t="s">
        <v>762</v>
      </c>
      <c r="J1529" s="2" t="s">
        <v>1356</v>
      </c>
      <c r="L1529" s="2" t="s">
        <v>418</v>
      </c>
      <c r="M1529" s="2" t="s">
        <v>41</v>
      </c>
      <c r="P1529" s="2" t="s">
        <v>282</v>
      </c>
      <c r="Q1529" s="2" t="s">
        <v>1691</v>
      </c>
      <c r="R1529" s="2" t="s">
        <v>1692</v>
      </c>
      <c r="S1529" s="2">
        <v>1</v>
      </c>
      <c r="T1529" s="2">
        <v>100</v>
      </c>
      <c r="U1529" s="2">
        <v>23</v>
      </c>
      <c r="V1529" s="2">
        <v>123</v>
      </c>
      <c r="W1529" s="2">
        <v>65</v>
      </c>
      <c r="X1529" s="5">
        <f t="shared" si="214"/>
        <v>0.35</v>
      </c>
      <c r="Z1529" s="2" t="s">
        <v>3227</v>
      </c>
      <c r="AA1529" s="2" t="s">
        <v>1574</v>
      </c>
      <c r="AB1529" s="2" t="s">
        <v>388</v>
      </c>
      <c r="AC1529" s="2" t="s">
        <v>1327</v>
      </c>
      <c r="AF1529" s="2">
        <f t="shared" si="210"/>
        <v>0</v>
      </c>
      <c r="AJ1529" s="2">
        <f t="shared" si="211"/>
        <v>0</v>
      </c>
      <c r="AK1529" s="2">
        <f t="shared" si="212"/>
        <v>35</v>
      </c>
      <c r="AL1529" s="5">
        <f t="shared" si="213"/>
        <v>0.35</v>
      </c>
    </row>
    <row r="1530" spans="1:38" x14ac:dyDescent="0.2">
      <c r="A1530" s="2">
        <v>2025</v>
      </c>
      <c r="B1530" s="2">
        <v>6</v>
      </c>
      <c r="D1530" s="2" t="s">
        <v>1693</v>
      </c>
      <c r="M1530" s="2" t="s">
        <v>40</v>
      </c>
      <c r="P1530" s="2" t="s">
        <v>114</v>
      </c>
      <c r="Q1530" s="2" t="s">
        <v>373</v>
      </c>
      <c r="R1530" s="2" t="s">
        <v>374</v>
      </c>
      <c r="S1530" s="2">
        <v>1</v>
      </c>
      <c r="T1530" s="2">
        <v>45.07</v>
      </c>
      <c r="U1530" s="2">
        <v>10.366099999999999</v>
      </c>
      <c r="V1530" s="2">
        <v>55.436100000000003</v>
      </c>
      <c r="W1530" s="2">
        <f>23.042*S1530</f>
        <v>23.042000000000002</v>
      </c>
      <c r="X1530" s="5">
        <f t="shared" si="214"/>
        <v>0.48875083203905034</v>
      </c>
      <c r="Z1530" s="2" t="s">
        <v>117</v>
      </c>
      <c r="AA1530" s="2" t="s">
        <v>118</v>
      </c>
      <c r="AB1530" s="2" t="s">
        <v>119</v>
      </c>
      <c r="AC1530" s="2" t="s">
        <v>114</v>
      </c>
      <c r="AF1530" s="2">
        <f t="shared" si="210"/>
        <v>0</v>
      </c>
      <c r="AJ1530" s="2">
        <f t="shared" si="211"/>
        <v>0</v>
      </c>
      <c r="AK1530" s="2">
        <f t="shared" si="212"/>
        <v>22.027999999999999</v>
      </c>
      <c r="AL1530" s="5">
        <f t="shared" si="213"/>
        <v>0.48875083203905034</v>
      </c>
    </row>
    <row r="1531" spans="1:38" x14ac:dyDescent="0.2">
      <c r="A1531" s="2">
        <v>2025</v>
      </c>
      <c r="B1531" s="2">
        <v>6</v>
      </c>
      <c r="D1531" s="2" t="s">
        <v>353</v>
      </c>
      <c r="E1531" s="2" t="s">
        <v>38</v>
      </c>
      <c r="F1531" s="2" t="s">
        <v>39</v>
      </c>
      <c r="G1531" s="2">
        <v>516289241</v>
      </c>
      <c r="H1531" s="2" t="s">
        <v>41</v>
      </c>
      <c r="I1531" s="2" t="s">
        <v>354</v>
      </c>
      <c r="J1531" s="2" t="s">
        <v>355</v>
      </c>
      <c r="K1531" s="2">
        <v>918502342</v>
      </c>
      <c r="L1531" s="2" t="s">
        <v>99</v>
      </c>
      <c r="M1531" s="2" t="s">
        <v>40</v>
      </c>
      <c r="P1531" s="2" t="s">
        <v>114</v>
      </c>
      <c r="Q1531" s="2" t="s">
        <v>373</v>
      </c>
      <c r="R1531" s="2" t="s">
        <v>374</v>
      </c>
      <c r="S1531" s="2">
        <v>1</v>
      </c>
      <c r="T1531" s="2">
        <v>45.07</v>
      </c>
      <c r="U1531" s="2">
        <v>10.366099999999999</v>
      </c>
      <c r="V1531" s="2">
        <v>55.436100000000003</v>
      </c>
      <c r="W1531" s="2">
        <f>23.042*S1531</f>
        <v>23.042000000000002</v>
      </c>
      <c r="X1531" s="5">
        <f t="shared" si="214"/>
        <v>0.48875083203905034</v>
      </c>
      <c r="Z1531" s="2" t="s">
        <v>117</v>
      </c>
      <c r="AA1531" s="2" t="s">
        <v>118</v>
      </c>
      <c r="AB1531" s="2" t="s">
        <v>119</v>
      </c>
      <c r="AC1531" s="2" t="s">
        <v>114</v>
      </c>
      <c r="AF1531" s="2">
        <f t="shared" si="210"/>
        <v>0</v>
      </c>
      <c r="AJ1531" s="2">
        <f t="shared" si="211"/>
        <v>0</v>
      </c>
      <c r="AK1531" s="2">
        <f t="shared" si="212"/>
        <v>22.027999999999999</v>
      </c>
      <c r="AL1531" s="5">
        <f t="shared" si="213"/>
        <v>0.48875083203905034</v>
      </c>
    </row>
    <row r="1532" spans="1:38" x14ac:dyDescent="0.2">
      <c r="A1532" s="2">
        <v>2025</v>
      </c>
      <c r="B1532" s="2">
        <v>6</v>
      </c>
      <c r="D1532" s="2" t="s">
        <v>353</v>
      </c>
      <c r="E1532" s="2" t="s">
        <v>38</v>
      </c>
      <c r="F1532" s="2" t="s">
        <v>39</v>
      </c>
      <c r="G1532" s="2">
        <v>516289241</v>
      </c>
      <c r="H1532" s="2" t="s">
        <v>41</v>
      </c>
      <c r="I1532" s="2" t="s">
        <v>354</v>
      </c>
      <c r="J1532" s="2" t="s">
        <v>355</v>
      </c>
      <c r="K1532" s="2">
        <v>918502342</v>
      </c>
      <c r="L1532" s="2" t="s">
        <v>99</v>
      </c>
      <c r="M1532" s="2" t="s">
        <v>40</v>
      </c>
      <c r="P1532" s="2" t="s">
        <v>187</v>
      </c>
      <c r="Q1532" s="2" t="s">
        <v>188</v>
      </c>
      <c r="R1532" s="2" t="s">
        <v>189</v>
      </c>
      <c r="S1532" s="2">
        <v>1</v>
      </c>
      <c r="T1532" s="2">
        <v>50</v>
      </c>
      <c r="U1532" s="2">
        <v>11.5</v>
      </c>
      <c r="V1532" s="2">
        <v>61.5</v>
      </c>
      <c r="W1532" s="2">
        <f>T1532*40%</f>
        <v>20</v>
      </c>
      <c r="X1532" s="5">
        <f t="shared" si="214"/>
        <v>0.6</v>
      </c>
      <c r="Z1532" s="2" t="s">
        <v>117</v>
      </c>
      <c r="AA1532" s="2" t="s">
        <v>190</v>
      </c>
      <c r="AB1532" s="2" t="s">
        <v>189</v>
      </c>
      <c r="AC1532" s="2" t="s">
        <v>40</v>
      </c>
      <c r="AF1532" s="2">
        <f t="shared" si="210"/>
        <v>0</v>
      </c>
      <c r="AJ1532" s="2">
        <f t="shared" si="211"/>
        <v>0</v>
      </c>
      <c r="AK1532" s="2">
        <f t="shared" si="212"/>
        <v>30</v>
      </c>
      <c r="AL1532" s="5">
        <f t="shared" si="213"/>
        <v>0.6</v>
      </c>
    </row>
    <row r="1533" spans="1:38" x14ac:dyDescent="0.2">
      <c r="A1533" s="2">
        <v>2025</v>
      </c>
      <c r="B1533" s="2">
        <v>6</v>
      </c>
      <c r="D1533" s="2" t="s">
        <v>353</v>
      </c>
      <c r="E1533" s="2" t="s">
        <v>38</v>
      </c>
      <c r="F1533" s="2" t="s">
        <v>39</v>
      </c>
      <c r="G1533" s="2">
        <v>516289241</v>
      </c>
      <c r="H1533" s="2" t="s">
        <v>41</v>
      </c>
      <c r="I1533" s="2" t="s">
        <v>354</v>
      </c>
      <c r="J1533" s="2" t="s">
        <v>355</v>
      </c>
      <c r="K1533" s="2">
        <v>918502342</v>
      </c>
      <c r="L1533" s="2" t="s">
        <v>99</v>
      </c>
      <c r="M1533" s="2" t="s">
        <v>40</v>
      </c>
      <c r="P1533" s="2" t="s">
        <v>187</v>
      </c>
      <c r="Q1533" s="2" t="s">
        <v>191</v>
      </c>
      <c r="R1533" s="2" t="s">
        <v>190</v>
      </c>
      <c r="S1533" s="2">
        <v>1</v>
      </c>
      <c r="T1533" s="2">
        <v>50</v>
      </c>
      <c r="U1533" s="2">
        <v>11.5</v>
      </c>
      <c r="V1533" s="2">
        <v>61.5</v>
      </c>
      <c r="W1533" s="2">
        <f>T1533*50%</f>
        <v>25</v>
      </c>
      <c r="X1533" s="5">
        <f t="shared" si="214"/>
        <v>0.5</v>
      </c>
      <c r="Z1533" s="2" t="s">
        <v>117</v>
      </c>
      <c r="AA1533" s="2" t="s">
        <v>190</v>
      </c>
      <c r="AB1533" s="2" t="s">
        <v>190</v>
      </c>
      <c r="AC1533" s="2" t="s">
        <v>40</v>
      </c>
      <c r="AF1533" s="2">
        <f t="shared" si="210"/>
        <v>0</v>
      </c>
      <c r="AJ1533" s="2">
        <f t="shared" si="211"/>
        <v>0</v>
      </c>
      <c r="AK1533" s="2">
        <f t="shared" si="212"/>
        <v>25</v>
      </c>
      <c r="AL1533" s="5">
        <f t="shared" si="213"/>
        <v>0.5</v>
      </c>
    </row>
    <row r="1534" spans="1:38" x14ac:dyDescent="0.2">
      <c r="A1534" s="2">
        <v>2025</v>
      </c>
      <c r="B1534" s="2">
        <v>6</v>
      </c>
      <c r="D1534" s="2" t="s">
        <v>359</v>
      </c>
      <c r="E1534" s="2" t="s">
        <v>108</v>
      </c>
      <c r="F1534" s="2" t="s">
        <v>39</v>
      </c>
      <c r="G1534" s="2">
        <v>503413909</v>
      </c>
      <c r="H1534" s="2" t="s">
        <v>109</v>
      </c>
      <c r="I1534" s="2" t="s">
        <v>360</v>
      </c>
      <c r="J1534" s="2" t="s">
        <v>361</v>
      </c>
      <c r="L1534" s="2" t="s">
        <v>360</v>
      </c>
      <c r="M1534" s="2" t="s">
        <v>40</v>
      </c>
      <c r="O1534" s="2" t="s">
        <v>1694</v>
      </c>
      <c r="P1534" s="2" t="s">
        <v>187</v>
      </c>
      <c r="Q1534" s="2" t="s">
        <v>188</v>
      </c>
      <c r="R1534" s="2" t="s">
        <v>189</v>
      </c>
      <c r="S1534" s="2">
        <v>1</v>
      </c>
      <c r="T1534" s="2">
        <v>199</v>
      </c>
      <c r="U1534" s="2">
        <v>45.77</v>
      </c>
      <c r="V1534" s="2">
        <v>244.77</v>
      </c>
      <c r="W1534" s="2">
        <f>T1534*40%</f>
        <v>79.600000000000009</v>
      </c>
      <c r="X1534" s="5">
        <f t="shared" si="214"/>
        <v>0.6</v>
      </c>
      <c r="Z1534" s="2" t="s">
        <v>117</v>
      </c>
      <c r="AA1534" s="2" t="s">
        <v>190</v>
      </c>
      <c r="AB1534" s="2" t="s">
        <v>189</v>
      </c>
      <c r="AC1534" s="2" t="s">
        <v>40</v>
      </c>
      <c r="AF1534" s="2">
        <f t="shared" si="210"/>
        <v>0</v>
      </c>
      <c r="AJ1534" s="2">
        <f t="shared" si="211"/>
        <v>0</v>
      </c>
      <c r="AK1534" s="2">
        <f t="shared" si="212"/>
        <v>119.39999999999999</v>
      </c>
      <c r="AL1534" s="5">
        <f t="shared" si="213"/>
        <v>0.6</v>
      </c>
    </row>
    <row r="1535" spans="1:38" x14ac:dyDescent="0.2">
      <c r="A1535" s="2">
        <v>2025</v>
      </c>
      <c r="B1535" s="2">
        <v>6</v>
      </c>
      <c r="D1535" s="2" t="s">
        <v>359</v>
      </c>
      <c r="E1535" s="2" t="s">
        <v>108</v>
      </c>
      <c r="F1535" s="2" t="s">
        <v>39</v>
      </c>
      <c r="G1535" s="2">
        <v>503413909</v>
      </c>
      <c r="H1535" s="2" t="s">
        <v>109</v>
      </c>
      <c r="I1535" s="2" t="s">
        <v>360</v>
      </c>
      <c r="J1535" s="2" t="s">
        <v>361</v>
      </c>
      <c r="L1535" s="2" t="s">
        <v>360</v>
      </c>
      <c r="M1535" s="2" t="s">
        <v>40</v>
      </c>
      <c r="O1535" s="2" t="s">
        <v>1694</v>
      </c>
      <c r="P1535" s="2" t="s">
        <v>187</v>
      </c>
      <c r="Q1535" s="2" t="s">
        <v>191</v>
      </c>
      <c r="R1535" s="2" t="s">
        <v>190</v>
      </c>
      <c r="S1535" s="2">
        <v>3</v>
      </c>
      <c r="T1535" s="2">
        <v>150</v>
      </c>
      <c r="U1535" s="2">
        <v>34.5</v>
      </c>
      <c r="V1535" s="2">
        <v>184.5</v>
      </c>
      <c r="W1535" s="2">
        <f>T1535*50%</f>
        <v>75</v>
      </c>
      <c r="X1535" s="5">
        <f t="shared" si="214"/>
        <v>0.5</v>
      </c>
      <c r="Z1535" s="2" t="s">
        <v>117</v>
      </c>
      <c r="AA1535" s="2" t="s">
        <v>190</v>
      </c>
      <c r="AB1535" s="2" t="s">
        <v>190</v>
      </c>
      <c r="AC1535" s="2" t="s">
        <v>40</v>
      </c>
      <c r="AF1535" s="2">
        <f t="shared" si="210"/>
        <v>0</v>
      </c>
      <c r="AG1535" s="2">
        <v>75</v>
      </c>
      <c r="AJ1535" s="2">
        <f t="shared" si="211"/>
        <v>0</v>
      </c>
      <c r="AK1535" s="2">
        <f t="shared" si="212"/>
        <v>75</v>
      </c>
      <c r="AL1535" s="5">
        <f t="shared" si="213"/>
        <v>0.5</v>
      </c>
    </row>
    <row r="1536" spans="1:38" x14ac:dyDescent="0.2">
      <c r="A1536" s="2">
        <v>2025</v>
      </c>
      <c r="B1536" s="2">
        <v>6</v>
      </c>
      <c r="D1536" s="2" t="s">
        <v>1695</v>
      </c>
      <c r="P1536" s="2" t="s">
        <v>282</v>
      </c>
      <c r="Q1536" s="2" t="s">
        <v>434</v>
      </c>
      <c r="R1536" s="2" t="s">
        <v>435</v>
      </c>
      <c r="S1536" s="2">
        <v>1</v>
      </c>
      <c r="T1536" s="2">
        <v>695</v>
      </c>
      <c r="U1536" s="2">
        <v>159.85</v>
      </c>
      <c r="V1536" s="2">
        <v>854.85</v>
      </c>
      <c r="W1536" s="2">
        <v>417</v>
      </c>
      <c r="X1536" s="5">
        <f t="shared" si="214"/>
        <v>0.4</v>
      </c>
      <c r="Z1536" s="2" t="s">
        <v>104</v>
      </c>
      <c r="AA1536" s="2" t="s">
        <v>387</v>
      </c>
      <c r="AB1536" s="2" t="s">
        <v>388</v>
      </c>
      <c r="AC1536" s="2" t="s">
        <v>389</v>
      </c>
      <c r="AF1536" s="2">
        <f t="shared" si="210"/>
        <v>0</v>
      </c>
      <c r="AJ1536" s="2">
        <f t="shared" si="211"/>
        <v>0</v>
      </c>
      <c r="AK1536" s="2">
        <f t="shared" si="212"/>
        <v>278</v>
      </c>
      <c r="AL1536" s="5">
        <f t="shared" si="213"/>
        <v>0.4</v>
      </c>
    </row>
    <row r="1537" spans="1:38" x14ac:dyDescent="0.2">
      <c r="A1537" s="2">
        <v>2025</v>
      </c>
      <c r="B1537" s="2">
        <v>6</v>
      </c>
      <c r="D1537" s="2" t="s">
        <v>375</v>
      </c>
      <c r="E1537" s="2" t="s">
        <v>108</v>
      </c>
      <c r="F1537" s="2" t="s">
        <v>376</v>
      </c>
      <c r="G1537" s="2">
        <v>503552542</v>
      </c>
      <c r="H1537" s="2" t="s">
        <v>290</v>
      </c>
      <c r="I1537" s="2" t="s">
        <v>377</v>
      </c>
      <c r="J1537" s="2" t="s">
        <v>378</v>
      </c>
      <c r="L1537" s="2" t="s">
        <v>339</v>
      </c>
      <c r="M1537" s="2" t="s">
        <v>80</v>
      </c>
      <c r="O1537" s="2" t="s">
        <v>1696</v>
      </c>
      <c r="P1537" s="2" t="s">
        <v>72</v>
      </c>
      <c r="Q1537" s="2" t="s">
        <v>301</v>
      </c>
      <c r="R1537" s="2" t="s">
        <v>74</v>
      </c>
      <c r="S1537" s="2">
        <v>1</v>
      </c>
      <c r="T1537" s="2">
        <v>210</v>
      </c>
      <c r="U1537" s="2">
        <v>48.3</v>
      </c>
      <c r="V1537" s="2">
        <v>258.3</v>
      </c>
      <c r="W1537" s="2">
        <v>121.46</v>
      </c>
      <c r="X1537" s="5">
        <f t="shared" si="214"/>
        <v>0.42161904761904767</v>
      </c>
      <c r="Z1537" s="2" t="s">
        <v>3227</v>
      </c>
      <c r="AA1537" s="2" t="s">
        <v>75</v>
      </c>
      <c r="AB1537" s="2" t="s">
        <v>76</v>
      </c>
      <c r="AC1537" s="2" t="s">
        <v>77</v>
      </c>
      <c r="AF1537" s="2">
        <f t="shared" si="210"/>
        <v>0</v>
      </c>
      <c r="AG1537" s="2">
        <v>121.46</v>
      </c>
      <c r="AH1537" s="2">
        <v>210</v>
      </c>
      <c r="AJ1537" s="2">
        <f t="shared" si="211"/>
        <v>0</v>
      </c>
      <c r="AK1537" s="2">
        <f t="shared" si="212"/>
        <v>88.54</v>
      </c>
      <c r="AL1537" s="5">
        <f t="shared" si="213"/>
        <v>0.42161904761904767</v>
      </c>
    </row>
    <row r="1538" spans="1:38" x14ac:dyDescent="0.2">
      <c r="A1538" s="2">
        <v>2025</v>
      </c>
      <c r="B1538" s="2">
        <v>6</v>
      </c>
      <c r="D1538" s="2" t="s">
        <v>375</v>
      </c>
      <c r="E1538" s="2" t="s">
        <v>108</v>
      </c>
      <c r="F1538" s="2" t="s">
        <v>376</v>
      </c>
      <c r="G1538" s="2">
        <v>503552542</v>
      </c>
      <c r="H1538" s="2" t="s">
        <v>290</v>
      </c>
      <c r="I1538" s="2" t="s">
        <v>377</v>
      </c>
      <c r="J1538" s="2" t="s">
        <v>378</v>
      </c>
      <c r="L1538" s="2" t="s">
        <v>339</v>
      </c>
      <c r="M1538" s="2" t="s">
        <v>80</v>
      </c>
      <c r="O1538" s="2" t="s">
        <v>1696</v>
      </c>
      <c r="P1538" s="2" t="s">
        <v>93</v>
      </c>
      <c r="Q1538" s="2" t="s">
        <v>94</v>
      </c>
      <c r="R1538" s="2" t="s">
        <v>95</v>
      </c>
      <c r="S1538" s="2">
        <v>1</v>
      </c>
      <c r="T1538" s="2">
        <v>1.1399999999999999</v>
      </c>
      <c r="U1538" s="2">
        <v>0.26219999999999999</v>
      </c>
      <c r="V1538" s="2">
        <v>1.4021999999999999</v>
      </c>
      <c r="W1538" s="2">
        <v>1.1399999999999999</v>
      </c>
      <c r="X1538" s="5">
        <f t="shared" si="214"/>
        <v>0</v>
      </c>
      <c r="Z1538" s="2" t="s">
        <v>3227</v>
      </c>
      <c r="AA1538" s="2" t="s">
        <v>96</v>
      </c>
      <c r="AB1538" s="2" t="s">
        <v>76</v>
      </c>
      <c r="AC1538" s="2" t="s">
        <v>93</v>
      </c>
      <c r="AF1538" s="2">
        <f t="shared" ref="AF1538:AF1601" si="215">AJ1538</f>
        <v>0</v>
      </c>
      <c r="AJ1538" s="2">
        <f t="shared" ref="AJ1538:AJ1601" si="216">AI1538*T1538</f>
        <v>0</v>
      </c>
      <c r="AK1538" s="2">
        <f t="shared" si="212"/>
        <v>0</v>
      </c>
      <c r="AL1538" s="5">
        <f t="shared" si="213"/>
        <v>0</v>
      </c>
    </row>
    <row r="1539" spans="1:38" x14ac:dyDescent="0.2">
      <c r="A1539" s="2">
        <v>2025</v>
      </c>
      <c r="B1539" s="2">
        <v>6</v>
      </c>
      <c r="C1539" s="2" t="s">
        <v>3393</v>
      </c>
      <c r="D1539" s="2" t="s">
        <v>3407</v>
      </c>
      <c r="E1539" s="2" t="s">
        <v>38</v>
      </c>
      <c r="F1539" s="2" t="s">
        <v>39</v>
      </c>
      <c r="L1539" s="2" t="s">
        <v>99</v>
      </c>
      <c r="M1539" s="2" t="s">
        <v>40</v>
      </c>
      <c r="O1539" s="2" t="s">
        <v>1697</v>
      </c>
      <c r="P1539" s="2" t="s">
        <v>114</v>
      </c>
      <c r="Q1539" s="2" t="s">
        <v>1698</v>
      </c>
      <c r="R1539" s="2" t="s">
        <v>1699</v>
      </c>
      <c r="S1539" s="2">
        <v>1</v>
      </c>
      <c r="T1539" s="2">
        <v>976</v>
      </c>
      <c r="U1539" s="2">
        <v>224.48</v>
      </c>
      <c r="V1539" s="2">
        <v>1200.48</v>
      </c>
      <c r="W1539" s="2">
        <v>796.8</v>
      </c>
      <c r="X1539" s="5">
        <f t="shared" si="214"/>
        <v>0.18360655737704923</v>
      </c>
      <c r="Z1539" s="2" t="s">
        <v>117</v>
      </c>
      <c r="AA1539" s="2" t="s">
        <v>578</v>
      </c>
      <c r="AB1539" s="2" t="s">
        <v>119</v>
      </c>
      <c r="AC1539" s="2" t="s">
        <v>114</v>
      </c>
      <c r="AF1539" s="2">
        <f t="shared" si="215"/>
        <v>0</v>
      </c>
      <c r="AG1539" s="2">
        <v>796.8</v>
      </c>
      <c r="AJ1539" s="2">
        <f t="shared" si="216"/>
        <v>0</v>
      </c>
      <c r="AK1539" s="2">
        <f t="shared" si="212"/>
        <v>179.20000000000005</v>
      </c>
      <c r="AL1539" s="5">
        <f t="shared" si="213"/>
        <v>0.18360655737704923</v>
      </c>
    </row>
    <row r="1540" spans="1:38" x14ac:dyDescent="0.2">
      <c r="A1540" s="2">
        <v>2025</v>
      </c>
      <c r="B1540" s="2">
        <v>6</v>
      </c>
      <c r="C1540" s="2" t="s">
        <v>3393</v>
      </c>
      <c r="D1540" s="2" t="s">
        <v>3407</v>
      </c>
      <c r="E1540" s="2" t="s">
        <v>38</v>
      </c>
      <c r="F1540" s="2" t="s">
        <v>39</v>
      </c>
      <c r="L1540" s="2" t="s">
        <v>99</v>
      </c>
      <c r="M1540" s="2" t="s">
        <v>40</v>
      </c>
      <c r="O1540" s="2" t="s">
        <v>1697</v>
      </c>
      <c r="P1540" s="2" t="s">
        <v>114</v>
      </c>
      <c r="Q1540" s="2" t="s">
        <v>926</v>
      </c>
      <c r="R1540" s="2" t="s">
        <v>927</v>
      </c>
      <c r="S1540" s="2">
        <v>1</v>
      </c>
      <c r="T1540" s="2">
        <v>350</v>
      </c>
      <c r="U1540" s="2">
        <v>80.5</v>
      </c>
      <c r="V1540" s="2">
        <v>430.5</v>
      </c>
      <c r="W1540" s="2">
        <v>324.64999999999998</v>
      </c>
      <c r="X1540" s="5">
        <f t="shared" si="214"/>
        <v>7.2428571428571495E-2</v>
      </c>
      <c r="Z1540" s="2" t="s">
        <v>117</v>
      </c>
      <c r="AA1540" s="2" t="s">
        <v>578</v>
      </c>
      <c r="AB1540" s="2" t="s">
        <v>119</v>
      </c>
      <c r="AC1540" s="2" t="s">
        <v>114</v>
      </c>
      <c r="AF1540" s="2">
        <f t="shared" si="215"/>
        <v>0</v>
      </c>
      <c r="AG1540" s="2">
        <f>305.4+19.25</f>
        <v>324.64999999999998</v>
      </c>
      <c r="AJ1540" s="2">
        <f t="shared" si="216"/>
        <v>0</v>
      </c>
      <c r="AK1540" s="2">
        <f t="shared" si="212"/>
        <v>25.350000000000023</v>
      </c>
      <c r="AL1540" s="5">
        <f t="shared" si="213"/>
        <v>7.2428571428571495E-2</v>
      </c>
    </row>
    <row r="1541" spans="1:38" x14ac:dyDescent="0.2">
      <c r="A1541" s="2">
        <v>2025</v>
      </c>
      <c r="B1541" s="2">
        <v>6</v>
      </c>
      <c r="C1541" s="2" t="s">
        <v>3393</v>
      </c>
      <c r="D1541" s="2" t="s">
        <v>3407</v>
      </c>
      <c r="E1541" s="2" t="s">
        <v>38</v>
      </c>
      <c r="F1541" s="2" t="s">
        <v>39</v>
      </c>
      <c r="L1541" s="2" t="s">
        <v>99</v>
      </c>
      <c r="M1541" s="2" t="s">
        <v>40</v>
      </c>
      <c r="O1541" s="2" t="s">
        <v>1697</v>
      </c>
      <c r="P1541" s="2" t="s">
        <v>282</v>
      </c>
      <c r="Q1541" s="2" t="s">
        <v>1700</v>
      </c>
      <c r="R1541" s="2" t="s">
        <v>1701</v>
      </c>
      <c r="S1541" s="2">
        <v>1</v>
      </c>
      <c r="T1541" s="2">
        <v>394</v>
      </c>
      <c r="U1541" s="2">
        <v>90.62</v>
      </c>
      <c r="V1541" s="2">
        <v>484.62</v>
      </c>
      <c r="W1541" s="2">
        <v>319.5</v>
      </c>
      <c r="X1541" s="5">
        <f t="shared" si="214"/>
        <v>0.18908629441624367</v>
      </c>
      <c r="Z1541" s="2" t="s">
        <v>3227</v>
      </c>
      <c r="AA1541" s="2" t="s">
        <v>71</v>
      </c>
      <c r="AB1541" s="2" t="s">
        <v>1600</v>
      </c>
      <c r="AC1541" s="2" t="s">
        <v>1600</v>
      </c>
      <c r="AF1541" s="2">
        <f t="shared" si="215"/>
        <v>0</v>
      </c>
      <c r="AG1541" s="2">
        <v>319.5</v>
      </c>
      <c r="AJ1541" s="2">
        <f t="shared" si="216"/>
        <v>0</v>
      </c>
      <c r="AK1541" s="2">
        <f t="shared" si="212"/>
        <v>74.5</v>
      </c>
      <c r="AL1541" s="5">
        <f t="shared" si="213"/>
        <v>0.18908629441624367</v>
      </c>
    </row>
    <row r="1542" spans="1:38" x14ac:dyDescent="0.2">
      <c r="A1542" s="2">
        <v>2025</v>
      </c>
      <c r="B1542" s="2">
        <v>6</v>
      </c>
      <c r="C1542" s="2" t="s">
        <v>3393</v>
      </c>
      <c r="D1542" s="2" t="s">
        <v>3407</v>
      </c>
      <c r="E1542" s="2" t="s">
        <v>38</v>
      </c>
      <c r="F1542" s="2" t="s">
        <v>39</v>
      </c>
      <c r="L1542" s="2" t="s">
        <v>99</v>
      </c>
      <c r="M1542" s="2" t="s">
        <v>40</v>
      </c>
      <c r="O1542" s="2" t="s">
        <v>1697</v>
      </c>
      <c r="P1542" s="2" t="s">
        <v>282</v>
      </c>
      <c r="Q1542" s="2" t="s">
        <v>1702</v>
      </c>
      <c r="R1542" s="2" t="s">
        <v>1703</v>
      </c>
      <c r="S1542" s="2">
        <v>1</v>
      </c>
      <c r="T1542" s="2">
        <v>750</v>
      </c>
      <c r="U1542" s="2">
        <v>172.5</v>
      </c>
      <c r="V1542" s="2">
        <v>922.5</v>
      </c>
      <c r="W1542" s="2">
        <v>399.2</v>
      </c>
      <c r="X1542" s="5">
        <f t="shared" si="214"/>
        <v>0.46773333333333333</v>
      </c>
      <c r="Z1542" s="2" t="s">
        <v>3227</v>
      </c>
      <c r="AA1542" s="2" t="s">
        <v>71</v>
      </c>
      <c r="AB1542" s="2" t="s">
        <v>1600</v>
      </c>
      <c r="AC1542" s="2" t="s">
        <v>1600</v>
      </c>
      <c r="AF1542" s="2">
        <f t="shared" si="215"/>
        <v>0</v>
      </c>
      <c r="AG1542" s="2">
        <v>399.2</v>
      </c>
      <c r="AJ1542" s="2">
        <f t="shared" si="216"/>
        <v>0</v>
      </c>
      <c r="AK1542" s="2">
        <f t="shared" si="212"/>
        <v>350.8</v>
      </c>
      <c r="AL1542" s="5">
        <f t="shared" si="213"/>
        <v>0.46773333333333333</v>
      </c>
    </row>
    <row r="1543" spans="1:38" x14ac:dyDescent="0.2">
      <c r="A1543" s="2">
        <v>2025</v>
      </c>
      <c r="B1543" s="2">
        <v>6</v>
      </c>
      <c r="C1543" s="2" t="s">
        <v>3393</v>
      </c>
      <c r="D1543" s="2" t="s">
        <v>3407</v>
      </c>
      <c r="E1543" s="2" t="s">
        <v>38</v>
      </c>
      <c r="F1543" s="2" t="s">
        <v>39</v>
      </c>
      <c r="L1543" s="2" t="s">
        <v>99</v>
      </c>
      <c r="M1543" s="2" t="s">
        <v>40</v>
      </c>
      <c r="O1543" s="2" t="s">
        <v>1697</v>
      </c>
      <c r="P1543" s="2" t="s">
        <v>101</v>
      </c>
      <c r="Q1543" s="2" t="s">
        <v>1704</v>
      </c>
      <c r="R1543" s="2" t="s">
        <v>1705</v>
      </c>
      <c r="S1543" s="2">
        <v>1</v>
      </c>
      <c r="T1543" s="2">
        <v>11750</v>
      </c>
      <c r="U1543" s="2">
        <v>2702.5</v>
      </c>
      <c r="V1543" s="2">
        <v>14452.5</v>
      </c>
      <c r="W1543" s="2">
        <v>8373.6</v>
      </c>
      <c r="X1543" s="5">
        <f t="shared" si="214"/>
        <v>0.28735319148936167</v>
      </c>
      <c r="Z1543" s="2" t="s">
        <v>104</v>
      </c>
      <c r="AA1543" s="2" t="s">
        <v>264</v>
      </c>
      <c r="AB1543" s="2" t="s">
        <v>265</v>
      </c>
      <c r="AC1543" s="2" t="s">
        <v>101</v>
      </c>
      <c r="AF1543" s="2">
        <f t="shared" si="215"/>
        <v>0</v>
      </c>
      <c r="AG1543" s="2">
        <f>7734.84+638.76</f>
        <v>8373.6</v>
      </c>
      <c r="AJ1543" s="2">
        <f t="shared" si="216"/>
        <v>0</v>
      </c>
      <c r="AK1543" s="2">
        <f t="shared" si="212"/>
        <v>3376.3999999999996</v>
      </c>
      <c r="AL1543" s="5">
        <f t="shared" si="213"/>
        <v>0.28735319148936167</v>
      </c>
    </row>
    <row r="1544" spans="1:38" x14ac:dyDescent="0.2">
      <c r="A1544" s="2">
        <v>2025</v>
      </c>
      <c r="B1544" s="2">
        <v>6</v>
      </c>
      <c r="C1544" s="2" t="s">
        <v>3393</v>
      </c>
      <c r="D1544" s="2" t="s">
        <v>3407</v>
      </c>
      <c r="E1544" s="2" t="s">
        <v>38</v>
      </c>
      <c r="F1544" s="2" t="s">
        <v>39</v>
      </c>
      <c r="L1544" s="2" t="s">
        <v>99</v>
      </c>
      <c r="M1544" s="2" t="s">
        <v>40</v>
      </c>
      <c r="O1544" s="2" t="s">
        <v>1697</v>
      </c>
      <c r="P1544" s="2" t="s">
        <v>101</v>
      </c>
      <c r="Q1544" s="2" t="s">
        <v>1093</v>
      </c>
      <c r="R1544" s="2" t="s">
        <v>1094</v>
      </c>
      <c r="S1544" s="2">
        <v>2</v>
      </c>
      <c r="T1544" s="2">
        <v>5600</v>
      </c>
      <c r="U1544" s="2">
        <v>1288</v>
      </c>
      <c r="V1544" s="2">
        <v>6888</v>
      </c>
      <c r="W1544" s="2">
        <v>2256.42</v>
      </c>
      <c r="X1544" s="5">
        <f t="shared" si="214"/>
        <v>0.59706785714285715</v>
      </c>
      <c r="Z1544" s="2" t="s">
        <v>104</v>
      </c>
      <c r="AA1544" s="2" t="s">
        <v>264</v>
      </c>
      <c r="AB1544" s="2" t="s">
        <v>1095</v>
      </c>
      <c r="AC1544" s="2" t="s">
        <v>101</v>
      </c>
      <c r="AF1544" s="2">
        <f t="shared" si="215"/>
        <v>0</v>
      </c>
      <c r="AG1544" s="2">
        <f>2084.42+172</f>
        <v>2256.42</v>
      </c>
      <c r="AJ1544" s="2">
        <f t="shared" si="216"/>
        <v>0</v>
      </c>
      <c r="AK1544" s="2">
        <f t="shared" si="212"/>
        <v>3343.58</v>
      </c>
      <c r="AL1544" s="5">
        <f t="shared" si="213"/>
        <v>0.59706785714285715</v>
      </c>
    </row>
    <row r="1545" spans="1:38" x14ac:dyDescent="0.2">
      <c r="A1545" s="2">
        <v>2025</v>
      </c>
      <c r="B1545" s="2">
        <v>6</v>
      </c>
      <c r="D1545" s="2" t="s">
        <v>1015</v>
      </c>
      <c r="E1545" s="2" t="s">
        <v>108</v>
      </c>
      <c r="F1545" s="2" t="s">
        <v>477</v>
      </c>
      <c r="G1545" s="2">
        <v>503815284</v>
      </c>
      <c r="H1545" s="2" t="s">
        <v>40</v>
      </c>
      <c r="I1545" s="2" t="s">
        <v>156</v>
      </c>
      <c r="J1545" s="2" t="s">
        <v>2538</v>
      </c>
      <c r="L1545" s="2" t="s">
        <v>99</v>
      </c>
      <c r="M1545" s="2" t="s">
        <v>80</v>
      </c>
      <c r="P1545" s="2" t="s">
        <v>282</v>
      </c>
      <c r="Q1545" s="2" t="s">
        <v>1237</v>
      </c>
      <c r="R1545" s="2" t="s">
        <v>1238</v>
      </c>
      <c r="S1545" s="2">
        <v>1</v>
      </c>
      <c r="T1545" s="2">
        <v>70</v>
      </c>
      <c r="U1545" s="2">
        <v>16.100000000000001</v>
      </c>
      <c r="V1545" s="2">
        <v>86.1</v>
      </c>
      <c r="W1545" s="2">
        <v>50</v>
      </c>
      <c r="X1545" s="5">
        <f t="shared" si="214"/>
        <v>0.2857142857142857</v>
      </c>
      <c r="Z1545" s="2" t="s">
        <v>3227</v>
      </c>
      <c r="AA1545" s="2" t="s">
        <v>71</v>
      </c>
      <c r="AB1545" s="2" t="s">
        <v>119</v>
      </c>
      <c r="AC1545" s="2" t="s">
        <v>119</v>
      </c>
      <c r="AF1545" s="2">
        <f t="shared" si="215"/>
        <v>0</v>
      </c>
      <c r="AJ1545" s="2">
        <f t="shared" si="216"/>
        <v>0</v>
      </c>
      <c r="AK1545" s="2">
        <f t="shared" si="212"/>
        <v>20</v>
      </c>
      <c r="AL1545" s="5">
        <f t="shared" si="213"/>
        <v>0.2857142857142857</v>
      </c>
    </row>
    <row r="1546" spans="1:38" x14ac:dyDescent="0.2">
      <c r="A1546" s="2">
        <v>2025</v>
      </c>
      <c r="B1546" s="2">
        <v>6</v>
      </c>
      <c r="D1546" s="2" t="s">
        <v>1553</v>
      </c>
      <c r="E1546" s="2" t="s">
        <v>108</v>
      </c>
      <c r="F1546" s="2" t="s">
        <v>717</v>
      </c>
      <c r="G1546" s="2">
        <v>500975914</v>
      </c>
      <c r="H1546" s="2" t="s">
        <v>41</v>
      </c>
      <c r="I1546" s="2" t="s">
        <v>1554</v>
      </c>
      <c r="J1546" s="2" t="s">
        <v>1555</v>
      </c>
      <c r="L1546" s="2" t="s">
        <v>99</v>
      </c>
      <c r="P1546" s="2" t="s">
        <v>114</v>
      </c>
      <c r="Q1546" s="2" t="s">
        <v>1706</v>
      </c>
      <c r="R1546" s="2" t="s">
        <v>1707</v>
      </c>
      <c r="S1546" s="2">
        <v>1</v>
      </c>
      <c r="T1546" s="2">
        <v>108.89</v>
      </c>
      <c r="U1546" s="2">
        <v>25.044699999999999</v>
      </c>
      <c r="V1546" s="2">
        <v>133.93469999999999</v>
      </c>
      <c r="X1546" s="5">
        <f t="shared" si="214"/>
        <v>1</v>
      </c>
      <c r="Z1546" s="2" t="s">
        <v>117</v>
      </c>
      <c r="AF1546" s="2">
        <f t="shared" si="215"/>
        <v>0</v>
      </c>
      <c r="AJ1546" s="2">
        <f t="shared" si="216"/>
        <v>0</v>
      </c>
      <c r="AK1546" s="2">
        <f t="shared" si="212"/>
        <v>108.89</v>
      </c>
      <c r="AL1546" s="5">
        <f t="shared" si="213"/>
        <v>1</v>
      </c>
    </row>
    <row r="1547" spans="1:38" x14ac:dyDescent="0.2">
      <c r="A1547" s="2">
        <v>2025</v>
      </c>
      <c r="B1547" s="2">
        <v>6</v>
      </c>
      <c r="D1547" s="2" t="s">
        <v>1553</v>
      </c>
      <c r="E1547" s="2" t="s">
        <v>108</v>
      </c>
      <c r="F1547" s="2" t="s">
        <v>717</v>
      </c>
      <c r="G1547" s="2">
        <v>500975914</v>
      </c>
      <c r="H1547" s="2" t="s">
        <v>41</v>
      </c>
      <c r="I1547" s="2" t="s">
        <v>1554</v>
      </c>
      <c r="J1547" s="2" t="s">
        <v>1555</v>
      </c>
      <c r="L1547" s="2" t="s">
        <v>99</v>
      </c>
      <c r="M1547" s="2" t="s">
        <v>41</v>
      </c>
      <c r="P1547" s="2" t="s">
        <v>282</v>
      </c>
      <c r="Q1547" s="2" t="s">
        <v>528</v>
      </c>
      <c r="R1547" s="2" t="s">
        <v>529</v>
      </c>
      <c r="S1547" s="2">
        <v>1</v>
      </c>
      <c r="T1547" s="2">
        <v>360</v>
      </c>
      <c r="U1547" s="2">
        <v>82.8</v>
      </c>
      <c r="V1547" s="2">
        <v>442.8</v>
      </c>
      <c r="W1547" s="2">
        <v>299.25</v>
      </c>
      <c r="X1547" s="5">
        <f t="shared" si="214"/>
        <v>0.16875000000000001</v>
      </c>
      <c r="Z1547" s="2" t="s">
        <v>3227</v>
      </c>
      <c r="AA1547" s="2" t="s">
        <v>71</v>
      </c>
      <c r="AB1547" s="2" t="s">
        <v>119</v>
      </c>
      <c r="AC1547" s="2" t="s">
        <v>119</v>
      </c>
      <c r="AF1547" s="2">
        <f t="shared" si="215"/>
        <v>0</v>
      </c>
      <c r="AJ1547" s="2">
        <f t="shared" si="216"/>
        <v>0</v>
      </c>
      <c r="AK1547" s="2">
        <f t="shared" si="212"/>
        <v>60.75</v>
      </c>
      <c r="AL1547" s="5">
        <f t="shared" si="213"/>
        <v>0.16875000000000001</v>
      </c>
    </row>
    <row r="1548" spans="1:38" x14ac:dyDescent="0.2">
      <c r="A1548" s="2">
        <v>2025</v>
      </c>
      <c r="B1548" s="2">
        <v>6</v>
      </c>
      <c r="D1548" s="2" t="s">
        <v>1553</v>
      </c>
      <c r="E1548" s="2" t="s">
        <v>108</v>
      </c>
      <c r="F1548" s="2" t="s">
        <v>717</v>
      </c>
      <c r="G1548" s="2">
        <v>500975914</v>
      </c>
      <c r="H1548" s="2" t="s">
        <v>41</v>
      </c>
      <c r="I1548" s="2" t="s">
        <v>1554</v>
      </c>
      <c r="J1548" s="2" t="s">
        <v>1555</v>
      </c>
      <c r="L1548" s="2" t="s">
        <v>99</v>
      </c>
      <c r="M1548" s="2" t="s">
        <v>40</v>
      </c>
      <c r="P1548" s="2" t="s">
        <v>187</v>
      </c>
      <c r="Q1548" s="2" t="s">
        <v>188</v>
      </c>
      <c r="R1548" s="2" t="s">
        <v>189</v>
      </c>
      <c r="S1548" s="2">
        <v>1</v>
      </c>
      <c r="T1548" s="2">
        <v>55.5</v>
      </c>
      <c r="U1548" s="2">
        <v>12.765000000000001</v>
      </c>
      <c r="V1548" s="2">
        <v>68.265000000000001</v>
      </c>
      <c r="W1548" s="2">
        <f>T1548*40%</f>
        <v>22.200000000000003</v>
      </c>
      <c r="X1548" s="5">
        <f t="shared" si="214"/>
        <v>0.6</v>
      </c>
      <c r="Z1548" s="2" t="s">
        <v>117</v>
      </c>
      <c r="AA1548" s="2" t="s">
        <v>190</v>
      </c>
      <c r="AB1548" s="2" t="s">
        <v>189</v>
      </c>
      <c r="AC1548" s="2" t="s">
        <v>40</v>
      </c>
      <c r="AF1548" s="2">
        <f t="shared" si="215"/>
        <v>0</v>
      </c>
      <c r="AJ1548" s="2">
        <f t="shared" si="216"/>
        <v>0</v>
      </c>
      <c r="AK1548" s="2">
        <f t="shared" si="212"/>
        <v>33.299999999999997</v>
      </c>
      <c r="AL1548" s="5">
        <f t="shared" si="213"/>
        <v>0.6</v>
      </c>
    </row>
    <row r="1549" spans="1:38" x14ac:dyDescent="0.2">
      <c r="A1549" s="2">
        <v>2025</v>
      </c>
      <c r="B1549" s="2">
        <v>6</v>
      </c>
      <c r="D1549" s="2" t="s">
        <v>1553</v>
      </c>
      <c r="E1549" s="2" t="s">
        <v>108</v>
      </c>
      <c r="F1549" s="2" t="s">
        <v>717</v>
      </c>
      <c r="G1549" s="2">
        <v>500975914</v>
      </c>
      <c r="H1549" s="2" t="s">
        <v>41</v>
      </c>
      <c r="I1549" s="2" t="s">
        <v>1554</v>
      </c>
      <c r="J1549" s="2" t="s">
        <v>1555</v>
      </c>
      <c r="L1549" s="2" t="s">
        <v>99</v>
      </c>
      <c r="M1549" s="2" t="s">
        <v>40</v>
      </c>
      <c r="P1549" s="2" t="s">
        <v>187</v>
      </c>
      <c r="Q1549" s="2" t="s">
        <v>191</v>
      </c>
      <c r="R1549" s="2" t="s">
        <v>190</v>
      </c>
      <c r="S1549" s="2">
        <v>0.75</v>
      </c>
      <c r="T1549" s="2">
        <v>33.75</v>
      </c>
      <c r="U1549" s="2">
        <v>7.7625000000000002</v>
      </c>
      <c r="V1549" s="2">
        <v>41.512500000000003</v>
      </c>
      <c r="W1549" s="2">
        <f>T1549*50%</f>
        <v>16.875</v>
      </c>
      <c r="X1549" s="5">
        <f t="shared" si="214"/>
        <v>0.5</v>
      </c>
      <c r="Z1549" s="2" t="s">
        <v>117</v>
      </c>
      <c r="AA1549" s="2" t="s">
        <v>190</v>
      </c>
      <c r="AB1549" s="2" t="s">
        <v>190</v>
      </c>
      <c r="AC1549" s="2" t="s">
        <v>40</v>
      </c>
      <c r="AF1549" s="2">
        <f t="shared" si="215"/>
        <v>0</v>
      </c>
      <c r="AJ1549" s="2">
        <f t="shared" si="216"/>
        <v>0</v>
      </c>
      <c r="AK1549" s="2">
        <f t="shared" si="212"/>
        <v>16.875</v>
      </c>
      <c r="AL1549" s="5">
        <f t="shared" si="213"/>
        <v>0.5</v>
      </c>
    </row>
    <row r="1550" spans="1:38" x14ac:dyDescent="0.2">
      <c r="A1550" s="2">
        <v>2025</v>
      </c>
      <c r="B1550" s="2">
        <v>6</v>
      </c>
      <c r="D1550" s="2" t="s">
        <v>433</v>
      </c>
      <c r="P1550" s="2" t="s">
        <v>114</v>
      </c>
      <c r="Q1550" s="2" t="s">
        <v>412</v>
      </c>
      <c r="R1550" s="2" t="s">
        <v>413</v>
      </c>
      <c r="S1550" s="2">
        <v>1</v>
      </c>
      <c r="T1550" s="2">
        <v>19990</v>
      </c>
      <c r="U1550" s="2">
        <v>4597.7</v>
      </c>
      <c r="V1550" s="2">
        <v>24587.7</v>
      </c>
      <c r="W1550" s="2">
        <v>10669.4</v>
      </c>
      <c r="X1550" s="5">
        <f t="shared" si="214"/>
        <v>0.46626313156578292</v>
      </c>
      <c r="Z1550" s="2" t="s">
        <v>104</v>
      </c>
      <c r="AA1550" s="2" t="s">
        <v>414</v>
      </c>
      <c r="AB1550" s="2" t="s">
        <v>151</v>
      </c>
      <c r="AC1550" s="2" t="s">
        <v>114</v>
      </c>
      <c r="AF1550" s="2">
        <f t="shared" si="215"/>
        <v>0</v>
      </c>
      <c r="AJ1550" s="2">
        <f t="shared" si="216"/>
        <v>0</v>
      </c>
      <c r="AK1550" s="2">
        <f t="shared" si="212"/>
        <v>9320.6</v>
      </c>
      <c r="AL1550" s="5">
        <f t="shared" si="213"/>
        <v>0.46626313156578292</v>
      </c>
    </row>
    <row r="1551" spans="1:38" x14ac:dyDescent="0.2">
      <c r="A1551" s="2">
        <v>2025</v>
      </c>
      <c r="B1551" s="2">
        <v>6</v>
      </c>
      <c r="D1551" s="2" t="s">
        <v>1377</v>
      </c>
      <c r="M1551" s="2" t="s">
        <v>80</v>
      </c>
      <c r="O1551" s="2" t="s">
        <v>3201</v>
      </c>
      <c r="P1551" s="2" t="s">
        <v>72</v>
      </c>
      <c r="Q1551" s="2" t="s">
        <v>78</v>
      </c>
      <c r="R1551" s="2" t="s">
        <v>79</v>
      </c>
      <c r="S1551" s="2">
        <v>1</v>
      </c>
      <c r="T1551" s="2">
        <v>210</v>
      </c>
      <c r="U1551" s="2">
        <v>48.3</v>
      </c>
      <c r="V1551" s="2">
        <v>258.3</v>
      </c>
      <c r="W1551" s="2">
        <v>111.98</v>
      </c>
      <c r="X1551" s="5">
        <f t="shared" si="214"/>
        <v>0.46676190476190477</v>
      </c>
      <c r="Z1551" s="2" t="s">
        <v>3227</v>
      </c>
      <c r="AA1551" s="2" t="s">
        <v>75</v>
      </c>
      <c r="AB1551" s="2" t="s">
        <v>76</v>
      </c>
      <c r="AC1551" s="2" t="s">
        <v>77</v>
      </c>
      <c r="AF1551" s="2">
        <f t="shared" si="215"/>
        <v>0</v>
      </c>
      <c r="AG1551" s="2">
        <v>111.98</v>
      </c>
      <c r="AH1551" s="2">
        <v>210</v>
      </c>
      <c r="AJ1551" s="2">
        <f t="shared" si="216"/>
        <v>0</v>
      </c>
      <c r="AK1551" s="2">
        <f t="shared" si="212"/>
        <v>98.02</v>
      </c>
      <c r="AL1551" s="5">
        <f t="shared" si="213"/>
        <v>0.46676190476190477</v>
      </c>
    </row>
    <row r="1552" spans="1:38" x14ac:dyDescent="0.2">
      <c r="A1552" s="2">
        <v>2025</v>
      </c>
      <c r="B1552" s="2">
        <v>6</v>
      </c>
      <c r="D1552" s="2" t="s">
        <v>1377</v>
      </c>
      <c r="P1552" s="2" t="s">
        <v>93</v>
      </c>
      <c r="Q1552" s="2" t="s">
        <v>94</v>
      </c>
      <c r="R1552" s="2" t="s">
        <v>95</v>
      </c>
      <c r="S1552" s="2">
        <v>1</v>
      </c>
      <c r="T1552" s="2">
        <v>1.1399999999999999</v>
      </c>
      <c r="U1552" s="2">
        <v>0.26219999999999999</v>
      </c>
      <c r="V1552" s="2">
        <v>1.4021999999999999</v>
      </c>
      <c r="W1552" s="2">
        <v>1.1399999999999999</v>
      </c>
      <c r="X1552" s="5">
        <f t="shared" si="214"/>
        <v>0</v>
      </c>
      <c r="Z1552" s="2" t="s">
        <v>3227</v>
      </c>
      <c r="AA1552" s="2" t="s">
        <v>96</v>
      </c>
      <c r="AB1552" s="2" t="s">
        <v>76</v>
      </c>
      <c r="AC1552" s="2" t="s">
        <v>93</v>
      </c>
      <c r="AF1552" s="2">
        <f t="shared" si="215"/>
        <v>0</v>
      </c>
      <c r="AJ1552" s="2">
        <f t="shared" si="216"/>
        <v>0</v>
      </c>
      <c r="AK1552" s="2">
        <f t="shared" si="212"/>
        <v>0</v>
      </c>
      <c r="AL1552" s="5">
        <f t="shared" si="213"/>
        <v>0</v>
      </c>
    </row>
    <row r="1553" spans="1:38" x14ac:dyDescent="0.2">
      <c r="A1553" s="2">
        <v>2025</v>
      </c>
      <c r="B1553" s="2">
        <v>6</v>
      </c>
      <c r="D1553" s="2" t="s">
        <v>436</v>
      </c>
      <c r="E1553" s="2" t="s">
        <v>108</v>
      </c>
      <c r="F1553" s="2" t="s">
        <v>376</v>
      </c>
      <c r="G1553" s="2">
        <v>509350631</v>
      </c>
      <c r="H1553" s="2" t="s">
        <v>290</v>
      </c>
      <c r="I1553" s="2" t="s">
        <v>437</v>
      </c>
      <c r="J1553" s="2" t="s">
        <v>438</v>
      </c>
      <c r="L1553" s="2" t="s">
        <v>339</v>
      </c>
      <c r="M1553" s="2" t="s">
        <v>80</v>
      </c>
      <c r="P1553" s="2" t="s">
        <v>72</v>
      </c>
      <c r="Q1553" s="2" t="s">
        <v>1022</v>
      </c>
      <c r="R1553" s="2" t="s">
        <v>74</v>
      </c>
      <c r="S1553" s="2">
        <v>-1</v>
      </c>
      <c r="T1553" s="2">
        <v>-205</v>
      </c>
      <c r="U1553" s="2">
        <v>-47.15</v>
      </c>
      <c r="V1553" s="2">
        <v>-252.15</v>
      </c>
      <c r="W1553" s="2">
        <v>128.30000000000001</v>
      </c>
      <c r="X1553" s="18">
        <f>SIGN(T1553)*((ABS(T1553)-W1553)/ABS(T1553))</f>
        <v>-0.37414634146341458</v>
      </c>
      <c r="Z1553" s="2" t="s">
        <v>3227</v>
      </c>
      <c r="AA1553" s="2" t="s">
        <v>75</v>
      </c>
      <c r="AB1553" s="2" t="s">
        <v>76</v>
      </c>
      <c r="AC1553" s="2" t="s">
        <v>77</v>
      </c>
      <c r="AF1553" s="2">
        <f t="shared" si="215"/>
        <v>0</v>
      </c>
      <c r="AJ1553" s="2">
        <f t="shared" si="216"/>
        <v>0</v>
      </c>
      <c r="AK1553" s="2">
        <f>T1553+(W1553)</f>
        <v>-76.699999999999989</v>
      </c>
      <c r="AL1553" s="18">
        <f>SIGN(T1553)*((ABS(T1553)-W1553)/ABS(T1553))</f>
        <v>-0.37414634146341458</v>
      </c>
    </row>
    <row r="1554" spans="1:38" x14ac:dyDescent="0.2">
      <c r="A1554" s="2">
        <v>2025</v>
      </c>
      <c r="B1554" s="2">
        <v>6</v>
      </c>
      <c r="D1554" s="2" t="s">
        <v>436</v>
      </c>
      <c r="E1554" s="2" t="s">
        <v>108</v>
      </c>
      <c r="F1554" s="2" t="s">
        <v>376</v>
      </c>
      <c r="G1554" s="2">
        <v>509350631</v>
      </c>
      <c r="H1554" s="2" t="s">
        <v>290</v>
      </c>
      <c r="I1554" s="2" t="s">
        <v>437</v>
      </c>
      <c r="J1554" s="2" t="s">
        <v>438</v>
      </c>
      <c r="L1554" s="2" t="s">
        <v>339</v>
      </c>
      <c r="M1554" s="2" t="s">
        <v>80</v>
      </c>
      <c r="P1554" s="2" t="s">
        <v>93</v>
      </c>
      <c r="Q1554" s="2" t="s">
        <v>94</v>
      </c>
      <c r="R1554" s="2" t="s">
        <v>95</v>
      </c>
      <c r="S1554" s="2">
        <v>-1</v>
      </c>
      <c r="T1554" s="2">
        <v>-1.1399999999999999</v>
      </c>
      <c r="U1554" s="2">
        <v>-0.26219999999999999</v>
      </c>
      <c r="V1554" s="2">
        <v>-1.4021999999999999</v>
      </c>
      <c r="W1554" s="2">
        <v>1.1399999999999999</v>
      </c>
      <c r="X1554" s="18">
        <f>SIGN(T1554)*((ABS(T1554)-W1554)/ABS(T1554))</f>
        <v>0</v>
      </c>
      <c r="Z1554" s="2" t="s">
        <v>3227</v>
      </c>
      <c r="AA1554" s="2" t="s">
        <v>96</v>
      </c>
      <c r="AB1554" s="2" t="s">
        <v>76</v>
      </c>
      <c r="AC1554" s="2" t="s">
        <v>93</v>
      </c>
      <c r="AF1554" s="2">
        <f t="shared" si="215"/>
        <v>0</v>
      </c>
      <c r="AJ1554" s="2">
        <f t="shared" si="216"/>
        <v>0</v>
      </c>
      <c r="AK1554" s="2">
        <f>T1554+(W1554)</f>
        <v>0</v>
      </c>
      <c r="AL1554" s="18">
        <f>SIGN(T1554)*((ABS(T1554)-W1554)/ABS(T1554))</f>
        <v>0</v>
      </c>
    </row>
    <row r="1555" spans="1:38" x14ac:dyDescent="0.2">
      <c r="A1555" s="2">
        <v>2025</v>
      </c>
      <c r="B1555" s="2">
        <v>6</v>
      </c>
      <c r="D1555" s="2" t="s">
        <v>443</v>
      </c>
      <c r="E1555" s="2" t="s">
        <v>38</v>
      </c>
      <c r="F1555" s="2" t="s">
        <v>39</v>
      </c>
      <c r="G1555" s="2">
        <v>503734616</v>
      </c>
      <c r="H1555" s="2" t="s">
        <v>290</v>
      </c>
      <c r="I1555" s="2" t="s">
        <v>444</v>
      </c>
      <c r="J1555" s="2" t="s">
        <v>445</v>
      </c>
      <c r="K1555" s="2">
        <v>966019450</v>
      </c>
      <c r="L1555" s="2" t="s">
        <v>446</v>
      </c>
      <c r="M1555" s="2" t="s">
        <v>40</v>
      </c>
      <c r="P1555" s="2" t="s">
        <v>187</v>
      </c>
      <c r="Q1555" s="2" t="s">
        <v>188</v>
      </c>
      <c r="R1555" s="2" t="s">
        <v>189</v>
      </c>
      <c r="S1555" s="2">
        <v>1</v>
      </c>
      <c r="T1555" s="2">
        <v>172</v>
      </c>
      <c r="U1555" s="2">
        <v>39.56</v>
      </c>
      <c r="V1555" s="2">
        <v>211.56</v>
      </c>
      <c r="W1555" s="2">
        <f>T1555*40%</f>
        <v>68.8</v>
      </c>
      <c r="X1555" s="5">
        <f t="shared" ref="X1555:X1566" si="217">(T1555-W1555)/T1555</f>
        <v>0.6</v>
      </c>
      <c r="Z1555" s="2" t="s">
        <v>117</v>
      </c>
      <c r="AA1555" s="2" t="s">
        <v>190</v>
      </c>
      <c r="AB1555" s="2" t="s">
        <v>189</v>
      </c>
      <c r="AC1555" s="2" t="s">
        <v>40</v>
      </c>
      <c r="AF1555" s="2">
        <f t="shared" si="215"/>
        <v>0</v>
      </c>
      <c r="AJ1555" s="2">
        <f t="shared" si="216"/>
        <v>0</v>
      </c>
      <c r="AK1555" s="2">
        <f t="shared" ref="AK1555:AK1566" si="218">T1555-W1555</f>
        <v>103.2</v>
      </c>
      <c r="AL1555" s="5">
        <f t="shared" ref="AL1555:AL1566" si="219">(T1555-W1555)/T1555</f>
        <v>0.6</v>
      </c>
    </row>
    <row r="1556" spans="1:38" x14ac:dyDescent="0.2">
      <c r="A1556" s="2">
        <v>2025</v>
      </c>
      <c r="B1556" s="2">
        <v>6</v>
      </c>
      <c r="D1556" s="2" t="s">
        <v>443</v>
      </c>
      <c r="E1556" s="2" t="s">
        <v>38</v>
      </c>
      <c r="F1556" s="2" t="s">
        <v>39</v>
      </c>
      <c r="G1556" s="2">
        <v>503734616</v>
      </c>
      <c r="H1556" s="2" t="s">
        <v>290</v>
      </c>
      <c r="I1556" s="2" t="s">
        <v>444</v>
      </c>
      <c r="J1556" s="2" t="s">
        <v>445</v>
      </c>
      <c r="K1556" s="2">
        <v>966019450</v>
      </c>
      <c r="L1556" s="2" t="s">
        <v>446</v>
      </c>
      <c r="M1556" s="2" t="s">
        <v>40</v>
      </c>
      <c r="P1556" s="2" t="s">
        <v>187</v>
      </c>
      <c r="Q1556" s="2" t="s">
        <v>191</v>
      </c>
      <c r="R1556" s="2" t="s">
        <v>190</v>
      </c>
      <c r="S1556" s="2">
        <v>1</v>
      </c>
      <c r="T1556" s="2">
        <v>50</v>
      </c>
      <c r="U1556" s="2">
        <v>11.5</v>
      </c>
      <c r="V1556" s="2">
        <v>61.5</v>
      </c>
      <c r="W1556" s="2">
        <f>T1556*50%</f>
        <v>25</v>
      </c>
      <c r="X1556" s="5">
        <f t="shared" si="217"/>
        <v>0.5</v>
      </c>
      <c r="Z1556" s="2" t="s">
        <v>117</v>
      </c>
      <c r="AA1556" s="2" t="s">
        <v>190</v>
      </c>
      <c r="AB1556" s="2" t="s">
        <v>190</v>
      </c>
      <c r="AC1556" s="2" t="s">
        <v>40</v>
      </c>
      <c r="AF1556" s="2">
        <f t="shared" si="215"/>
        <v>0</v>
      </c>
      <c r="AJ1556" s="2">
        <f t="shared" si="216"/>
        <v>0</v>
      </c>
      <c r="AK1556" s="2">
        <f t="shared" si="218"/>
        <v>25</v>
      </c>
      <c r="AL1556" s="5">
        <f t="shared" si="219"/>
        <v>0.5</v>
      </c>
    </row>
    <row r="1557" spans="1:38" x14ac:dyDescent="0.2">
      <c r="A1557" s="2">
        <v>2025</v>
      </c>
      <c r="B1557" s="2">
        <v>6</v>
      </c>
      <c r="D1557" s="2" t="s">
        <v>451</v>
      </c>
      <c r="E1557" s="2" t="s">
        <v>108</v>
      </c>
      <c r="F1557" s="2" t="s">
        <v>39</v>
      </c>
      <c r="G1557" s="2">
        <v>506085686</v>
      </c>
      <c r="H1557" s="2" t="s">
        <v>40</v>
      </c>
      <c r="I1557" s="2" t="s">
        <v>452</v>
      </c>
      <c r="J1557" s="2" t="s">
        <v>453</v>
      </c>
      <c r="K1557" s="2">
        <v>917241919</v>
      </c>
      <c r="L1557" s="2" t="s">
        <v>398</v>
      </c>
      <c r="M1557" s="2" t="s">
        <v>40</v>
      </c>
      <c r="P1557" s="2" t="s">
        <v>187</v>
      </c>
      <c r="Q1557" s="2" t="s">
        <v>188</v>
      </c>
      <c r="R1557" s="2" t="s">
        <v>189</v>
      </c>
      <c r="S1557" s="2">
        <v>3</v>
      </c>
      <c r="T1557" s="2">
        <v>221.25</v>
      </c>
      <c r="U1557" s="2">
        <v>50.887500000000003</v>
      </c>
      <c r="V1557" s="2">
        <v>272.13749999999999</v>
      </c>
      <c r="W1557" s="2">
        <f>T1557*40%</f>
        <v>88.5</v>
      </c>
      <c r="X1557" s="5">
        <f t="shared" si="217"/>
        <v>0.6</v>
      </c>
      <c r="Z1557" s="2" t="s">
        <v>117</v>
      </c>
      <c r="AA1557" s="2" t="s">
        <v>190</v>
      </c>
      <c r="AB1557" s="2" t="s">
        <v>189</v>
      </c>
      <c r="AC1557" s="2" t="s">
        <v>40</v>
      </c>
      <c r="AF1557" s="2">
        <f t="shared" si="215"/>
        <v>0</v>
      </c>
      <c r="AJ1557" s="2">
        <f t="shared" si="216"/>
        <v>0</v>
      </c>
      <c r="AK1557" s="2">
        <f t="shared" si="218"/>
        <v>132.75</v>
      </c>
      <c r="AL1557" s="5">
        <f t="shared" si="219"/>
        <v>0.6</v>
      </c>
    </row>
    <row r="1558" spans="1:38" x14ac:dyDescent="0.2">
      <c r="A1558" s="2">
        <v>2025</v>
      </c>
      <c r="B1558" s="2">
        <v>6</v>
      </c>
      <c r="D1558" s="2" t="s">
        <v>451</v>
      </c>
      <c r="E1558" s="2" t="s">
        <v>108</v>
      </c>
      <c r="F1558" s="2" t="s">
        <v>39</v>
      </c>
      <c r="G1558" s="2">
        <v>506085686</v>
      </c>
      <c r="H1558" s="2" t="s">
        <v>40</v>
      </c>
      <c r="I1558" s="2" t="s">
        <v>452</v>
      </c>
      <c r="J1558" s="2" t="s">
        <v>453</v>
      </c>
      <c r="K1558" s="2">
        <v>917241919</v>
      </c>
      <c r="L1558" s="2" t="s">
        <v>398</v>
      </c>
      <c r="M1558" s="2" t="s">
        <v>40</v>
      </c>
      <c r="P1558" s="2" t="s">
        <v>187</v>
      </c>
      <c r="Q1558" s="2" t="s">
        <v>191</v>
      </c>
      <c r="R1558" s="2" t="s">
        <v>190</v>
      </c>
      <c r="S1558" s="2">
        <v>7</v>
      </c>
      <c r="T1558" s="2">
        <v>270</v>
      </c>
      <c r="U1558" s="2">
        <v>62.1</v>
      </c>
      <c r="V1558" s="2">
        <v>332.1</v>
      </c>
      <c r="W1558" s="2">
        <f>T1558*50%</f>
        <v>135</v>
      </c>
      <c r="X1558" s="5">
        <f t="shared" si="217"/>
        <v>0.5</v>
      </c>
      <c r="Z1558" s="2" t="s">
        <v>117</v>
      </c>
      <c r="AA1558" s="2" t="s">
        <v>190</v>
      </c>
      <c r="AB1558" s="2" t="s">
        <v>190</v>
      </c>
      <c r="AC1558" s="2" t="s">
        <v>40</v>
      </c>
      <c r="AF1558" s="2">
        <f t="shared" si="215"/>
        <v>0</v>
      </c>
      <c r="AJ1558" s="2">
        <f t="shared" si="216"/>
        <v>0</v>
      </c>
      <c r="AK1558" s="2">
        <f t="shared" si="218"/>
        <v>135</v>
      </c>
      <c r="AL1558" s="5">
        <f t="shared" si="219"/>
        <v>0.5</v>
      </c>
    </row>
    <row r="1559" spans="1:38" x14ac:dyDescent="0.2">
      <c r="A1559" s="2">
        <v>2025</v>
      </c>
      <c r="B1559" s="2">
        <v>6</v>
      </c>
      <c r="D1559" s="2" t="s">
        <v>822</v>
      </c>
      <c r="E1559" s="2" t="s">
        <v>38</v>
      </c>
      <c r="F1559" s="2" t="s">
        <v>39</v>
      </c>
      <c r="G1559" s="2">
        <v>513812342</v>
      </c>
      <c r="H1559" s="2" t="s">
        <v>41</v>
      </c>
      <c r="I1559" s="2" t="s">
        <v>825</v>
      </c>
      <c r="J1559" s="2" t="s">
        <v>826</v>
      </c>
      <c r="L1559" s="2" t="s">
        <v>418</v>
      </c>
      <c r="M1559" s="2" t="s">
        <v>40</v>
      </c>
      <c r="P1559" s="2" t="s">
        <v>187</v>
      </c>
      <c r="Q1559" s="2" t="s">
        <v>188</v>
      </c>
      <c r="R1559" s="2" t="s">
        <v>189</v>
      </c>
      <c r="S1559" s="2">
        <v>1</v>
      </c>
      <c r="T1559" s="2">
        <v>99</v>
      </c>
      <c r="U1559" s="2">
        <v>22.77</v>
      </c>
      <c r="V1559" s="2">
        <v>121.77</v>
      </c>
      <c r="W1559" s="2">
        <f>T1559*40%</f>
        <v>39.6</v>
      </c>
      <c r="X1559" s="5">
        <f t="shared" si="217"/>
        <v>0.6</v>
      </c>
      <c r="Z1559" s="2" t="s">
        <v>117</v>
      </c>
      <c r="AA1559" s="2" t="s">
        <v>190</v>
      </c>
      <c r="AB1559" s="2" t="s">
        <v>189</v>
      </c>
      <c r="AC1559" s="2" t="s">
        <v>40</v>
      </c>
      <c r="AF1559" s="2">
        <f t="shared" si="215"/>
        <v>0</v>
      </c>
      <c r="AJ1559" s="2">
        <f t="shared" si="216"/>
        <v>0</v>
      </c>
      <c r="AK1559" s="2">
        <f t="shared" si="218"/>
        <v>59.4</v>
      </c>
      <c r="AL1559" s="5">
        <f t="shared" si="219"/>
        <v>0.6</v>
      </c>
    </row>
    <row r="1560" spans="1:38" x14ac:dyDescent="0.2">
      <c r="A1560" s="2">
        <v>2025</v>
      </c>
      <c r="B1560" s="2">
        <v>6</v>
      </c>
      <c r="D1560" s="2" t="s">
        <v>822</v>
      </c>
      <c r="E1560" s="2" t="s">
        <v>38</v>
      </c>
      <c r="F1560" s="2" t="s">
        <v>39</v>
      </c>
      <c r="G1560" s="2">
        <v>513812342</v>
      </c>
      <c r="H1560" s="2" t="s">
        <v>41</v>
      </c>
      <c r="I1560" s="2" t="s">
        <v>825</v>
      </c>
      <c r="J1560" s="2" t="s">
        <v>826</v>
      </c>
      <c r="L1560" s="2" t="s">
        <v>418</v>
      </c>
      <c r="M1560" s="2" t="s">
        <v>40</v>
      </c>
      <c r="P1560" s="2" t="s">
        <v>187</v>
      </c>
      <c r="Q1560" s="2" t="s">
        <v>191</v>
      </c>
      <c r="R1560" s="2" t="s">
        <v>190</v>
      </c>
      <c r="S1560" s="2">
        <v>0.5</v>
      </c>
      <c r="T1560" s="2">
        <v>25</v>
      </c>
      <c r="U1560" s="2">
        <v>5.75</v>
      </c>
      <c r="V1560" s="2">
        <v>30.75</v>
      </c>
      <c r="W1560" s="2">
        <f>T1560*50%</f>
        <v>12.5</v>
      </c>
      <c r="X1560" s="5">
        <f t="shared" si="217"/>
        <v>0.5</v>
      </c>
      <c r="Z1560" s="2" t="s">
        <v>117</v>
      </c>
      <c r="AA1560" s="2" t="s">
        <v>190</v>
      </c>
      <c r="AB1560" s="2" t="s">
        <v>190</v>
      </c>
      <c r="AC1560" s="2" t="s">
        <v>40</v>
      </c>
      <c r="AF1560" s="2">
        <f t="shared" si="215"/>
        <v>0</v>
      </c>
      <c r="AJ1560" s="2">
        <f t="shared" si="216"/>
        <v>0</v>
      </c>
      <c r="AK1560" s="2">
        <f t="shared" si="218"/>
        <v>12.5</v>
      </c>
      <c r="AL1560" s="5">
        <f t="shared" si="219"/>
        <v>0.5</v>
      </c>
    </row>
    <row r="1561" spans="1:38" x14ac:dyDescent="0.2">
      <c r="A1561" s="2">
        <v>2025</v>
      </c>
      <c r="B1561" s="2">
        <v>6</v>
      </c>
      <c r="D1561" s="2" t="s">
        <v>1565</v>
      </c>
      <c r="P1561" s="2" t="s">
        <v>282</v>
      </c>
      <c r="Q1561" s="2" t="s">
        <v>1436</v>
      </c>
      <c r="R1561" s="2" t="s">
        <v>1437</v>
      </c>
      <c r="S1561" s="2">
        <v>4</v>
      </c>
      <c r="T1561" s="2">
        <v>31.6</v>
      </c>
      <c r="U1561" s="2">
        <v>7.2680000000000007</v>
      </c>
      <c r="V1561" s="2">
        <v>38.868000000000002</v>
      </c>
      <c r="W1561" s="2">
        <f>5.135*S1561</f>
        <v>20.54</v>
      </c>
      <c r="X1561" s="5">
        <f t="shared" si="217"/>
        <v>0.35000000000000003</v>
      </c>
      <c r="Z1561" s="2" t="s">
        <v>3227</v>
      </c>
      <c r="AA1561" s="2" t="s">
        <v>71</v>
      </c>
      <c r="AB1561" s="2" t="s">
        <v>119</v>
      </c>
      <c r="AC1561" s="2" t="s">
        <v>119</v>
      </c>
      <c r="AF1561" s="2">
        <f t="shared" si="215"/>
        <v>0</v>
      </c>
      <c r="AJ1561" s="2">
        <f t="shared" si="216"/>
        <v>0</v>
      </c>
      <c r="AK1561" s="2">
        <f t="shared" si="218"/>
        <v>11.060000000000002</v>
      </c>
      <c r="AL1561" s="5">
        <f t="shared" si="219"/>
        <v>0.35000000000000003</v>
      </c>
    </row>
    <row r="1562" spans="1:38" x14ac:dyDescent="0.2">
      <c r="A1562" s="2">
        <v>2025</v>
      </c>
      <c r="B1562" s="2">
        <v>6</v>
      </c>
      <c r="D1562" s="2" t="s">
        <v>1565</v>
      </c>
      <c r="P1562" s="2" t="s">
        <v>282</v>
      </c>
      <c r="Q1562" s="2" t="s">
        <v>1588</v>
      </c>
      <c r="R1562" s="2" t="s">
        <v>1589</v>
      </c>
      <c r="S1562" s="2">
        <v>6</v>
      </c>
      <c r="T1562" s="2">
        <v>47.4</v>
      </c>
      <c r="U1562" s="2">
        <v>10.901999999999999</v>
      </c>
      <c r="V1562" s="2">
        <v>58.302</v>
      </c>
      <c r="W1562" s="2">
        <f>5.135*S1562</f>
        <v>30.81</v>
      </c>
      <c r="X1562" s="5">
        <f t="shared" si="217"/>
        <v>0.35000000000000003</v>
      </c>
      <c r="Z1562" s="2" t="s">
        <v>3227</v>
      </c>
      <c r="AA1562" s="2" t="s">
        <v>71</v>
      </c>
      <c r="AB1562" s="2" t="s">
        <v>119</v>
      </c>
      <c r="AC1562" s="2" t="s">
        <v>119</v>
      </c>
      <c r="AF1562" s="2">
        <f t="shared" si="215"/>
        <v>0</v>
      </c>
      <c r="AJ1562" s="2">
        <f t="shared" si="216"/>
        <v>0</v>
      </c>
      <c r="AK1562" s="2">
        <f t="shared" si="218"/>
        <v>16.59</v>
      </c>
      <c r="AL1562" s="5">
        <f t="shared" si="219"/>
        <v>0.35000000000000003</v>
      </c>
    </row>
    <row r="1563" spans="1:38" x14ac:dyDescent="0.2">
      <c r="A1563" s="2">
        <v>2025</v>
      </c>
      <c r="B1563" s="2">
        <v>6</v>
      </c>
      <c r="D1563" s="2" t="s">
        <v>833</v>
      </c>
      <c r="E1563" s="2" t="s">
        <v>38</v>
      </c>
      <c r="F1563" s="2" t="s">
        <v>39</v>
      </c>
      <c r="G1563" s="2">
        <v>510845002</v>
      </c>
      <c r="H1563" s="2" t="s">
        <v>290</v>
      </c>
      <c r="I1563" s="2" t="s">
        <v>1708</v>
      </c>
      <c r="J1563" s="2" t="s">
        <v>1709</v>
      </c>
      <c r="L1563" s="2" t="s">
        <v>339</v>
      </c>
      <c r="M1563" s="2" t="s">
        <v>40</v>
      </c>
      <c r="O1563" s="2" t="s">
        <v>1710</v>
      </c>
      <c r="P1563" s="2" t="s">
        <v>114</v>
      </c>
      <c r="Q1563" s="6" t="s">
        <v>126</v>
      </c>
      <c r="R1563" s="2" t="s">
        <v>127</v>
      </c>
      <c r="S1563" s="2">
        <v>1</v>
      </c>
      <c r="T1563" s="2">
        <v>6.09</v>
      </c>
      <c r="U1563" s="2">
        <v>1.4007000000000001</v>
      </c>
      <c r="V1563" s="2">
        <v>7.4907000000000004</v>
      </c>
      <c r="W1563" s="2">
        <v>3.3595999999999999</v>
      </c>
      <c r="X1563" s="5">
        <f t="shared" si="217"/>
        <v>0.44834154351395733</v>
      </c>
      <c r="Z1563" s="2" t="s">
        <v>117</v>
      </c>
      <c r="AA1563" s="2" t="s">
        <v>118</v>
      </c>
      <c r="AB1563" s="2" t="s">
        <v>119</v>
      </c>
      <c r="AC1563" s="2" t="s">
        <v>114</v>
      </c>
      <c r="AF1563" s="2">
        <f t="shared" si="215"/>
        <v>0</v>
      </c>
      <c r="AG1563" s="2">
        <v>3.3595999999999999</v>
      </c>
      <c r="AJ1563" s="2">
        <f t="shared" si="216"/>
        <v>0</v>
      </c>
      <c r="AK1563" s="2">
        <f t="shared" si="218"/>
        <v>2.7303999999999999</v>
      </c>
      <c r="AL1563" s="5">
        <f t="shared" si="219"/>
        <v>0.44834154351395733</v>
      </c>
    </row>
    <row r="1564" spans="1:38" x14ac:dyDescent="0.2">
      <c r="A1564" s="2">
        <v>2025</v>
      </c>
      <c r="B1564" s="2">
        <v>6</v>
      </c>
      <c r="D1564" s="2" t="s">
        <v>833</v>
      </c>
      <c r="P1564" s="2" t="s">
        <v>114</v>
      </c>
      <c r="Q1564" s="2" t="s">
        <v>988</v>
      </c>
      <c r="R1564" s="2" t="s">
        <v>989</v>
      </c>
      <c r="S1564" s="2">
        <v>1</v>
      </c>
      <c r="T1564" s="2">
        <v>363.6</v>
      </c>
      <c r="U1564" s="2">
        <v>83.628000000000014</v>
      </c>
      <c r="V1564" s="2">
        <v>447.22800000000012</v>
      </c>
      <c r="X1564" s="5">
        <f t="shared" si="217"/>
        <v>1</v>
      </c>
      <c r="Z1564" s="2" t="s">
        <v>117</v>
      </c>
      <c r="AF1564" s="2">
        <f t="shared" si="215"/>
        <v>0</v>
      </c>
      <c r="AJ1564" s="2">
        <f t="shared" si="216"/>
        <v>0</v>
      </c>
      <c r="AK1564" s="2">
        <f t="shared" si="218"/>
        <v>363.6</v>
      </c>
      <c r="AL1564" s="5">
        <f t="shared" si="219"/>
        <v>1</v>
      </c>
    </row>
    <row r="1565" spans="1:38" x14ac:dyDescent="0.2">
      <c r="A1565" s="2">
        <v>2025</v>
      </c>
      <c r="B1565" s="2">
        <v>6</v>
      </c>
      <c r="D1565" s="2" t="s">
        <v>833</v>
      </c>
      <c r="M1565" s="2" t="s">
        <v>40</v>
      </c>
      <c r="P1565" s="2" t="s">
        <v>187</v>
      </c>
      <c r="Q1565" s="2" t="s">
        <v>188</v>
      </c>
      <c r="R1565" s="2" t="s">
        <v>189</v>
      </c>
      <c r="S1565" s="2">
        <v>1</v>
      </c>
      <c r="T1565" s="2">
        <v>71</v>
      </c>
      <c r="U1565" s="2">
        <v>16.329999999999998</v>
      </c>
      <c r="V1565" s="2">
        <v>87.33</v>
      </c>
      <c r="W1565" s="2">
        <f>T1565*40%</f>
        <v>28.400000000000002</v>
      </c>
      <c r="X1565" s="5">
        <f t="shared" si="217"/>
        <v>0.59999999999999987</v>
      </c>
      <c r="Z1565" s="2" t="s">
        <v>117</v>
      </c>
      <c r="AA1565" s="2" t="s">
        <v>190</v>
      </c>
      <c r="AB1565" s="2" t="s">
        <v>189</v>
      </c>
      <c r="AC1565" s="2" t="s">
        <v>40</v>
      </c>
      <c r="AF1565" s="2">
        <f t="shared" si="215"/>
        <v>0</v>
      </c>
      <c r="AJ1565" s="2">
        <f t="shared" si="216"/>
        <v>0</v>
      </c>
      <c r="AK1565" s="2">
        <f t="shared" si="218"/>
        <v>42.599999999999994</v>
      </c>
      <c r="AL1565" s="5">
        <f t="shared" si="219"/>
        <v>0.59999999999999987</v>
      </c>
    </row>
    <row r="1566" spans="1:38" x14ac:dyDescent="0.2">
      <c r="A1566" s="2">
        <v>2025</v>
      </c>
      <c r="B1566" s="2">
        <v>6</v>
      </c>
      <c r="D1566" s="2" t="s">
        <v>833</v>
      </c>
      <c r="M1566" s="2" t="s">
        <v>40</v>
      </c>
      <c r="P1566" s="2" t="s">
        <v>187</v>
      </c>
      <c r="Q1566" s="2" t="s">
        <v>191</v>
      </c>
      <c r="R1566" s="2" t="s">
        <v>190</v>
      </c>
      <c r="S1566" s="2">
        <v>1</v>
      </c>
      <c r="T1566" s="2">
        <v>50</v>
      </c>
      <c r="U1566" s="2">
        <v>11.5</v>
      </c>
      <c r="V1566" s="2">
        <v>61.5</v>
      </c>
      <c r="W1566" s="2">
        <f>T1566*50%</f>
        <v>25</v>
      </c>
      <c r="X1566" s="5">
        <f t="shared" si="217"/>
        <v>0.5</v>
      </c>
      <c r="Z1566" s="2" t="s">
        <v>117</v>
      </c>
      <c r="AA1566" s="2" t="s">
        <v>190</v>
      </c>
      <c r="AB1566" s="2" t="s">
        <v>190</v>
      </c>
      <c r="AC1566" s="2" t="s">
        <v>40</v>
      </c>
      <c r="AF1566" s="2">
        <f t="shared" si="215"/>
        <v>0</v>
      </c>
      <c r="AJ1566" s="2">
        <f t="shared" si="216"/>
        <v>0</v>
      </c>
      <c r="AK1566" s="2">
        <f t="shared" si="218"/>
        <v>25</v>
      </c>
      <c r="AL1566" s="5">
        <f t="shared" si="219"/>
        <v>0.5</v>
      </c>
    </row>
    <row r="1567" spans="1:38" x14ac:dyDescent="0.2">
      <c r="A1567" s="2">
        <v>2025</v>
      </c>
      <c r="B1567" s="2">
        <v>6</v>
      </c>
      <c r="C1567" s="2" t="s">
        <v>3391</v>
      </c>
      <c r="D1567" s="15" t="s">
        <v>3337</v>
      </c>
      <c r="E1567" s="2" t="s">
        <v>108</v>
      </c>
      <c r="F1567" s="2" t="s">
        <v>39</v>
      </c>
      <c r="L1567" s="2" t="s">
        <v>461</v>
      </c>
      <c r="M1567" s="2" t="s">
        <v>40</v>
      </c>
      <c r="P1567" s="2" t="s">
        <v>72</v>
      </c>
      <c r="Q1567" s="2" t="s">
        <v>1248</v>
      </c>
      <c r="R1567" s="2" t="s">
        <v>74</v>
      </c>
      <c r="S1567" s="2">
        <v>-1</v>
      </c>
      <c r="T1567" s="2">
        <v>-220</v>
      </c>
      <c r="U1567" s="2">
        <v>-50.6</v>
      </c>
      <c r="V1567" s="2">
        <v>-270.60000000000002</v>
      </c>
      <c r="W1567" s="2">
        <f>144.91+10.63</f>
        <v>155.54</v>
      </c>
      <c r="X1567" s="18">
        <f>SIGN(T1567)*((ABS(T1567)-W1567)/ABS(T1567))</f>
        <v>-0.29300000000000004</v>
      </c>
      <c r="Z1567" s="2" t="s">
        <v>3227</v>
      </c>
      <c r="AA1567" s="2" t="s">
        <v>75</v>
      </c>
      <c r="AB1567" s="2" t="s">
        <v>76</v>
      </c>
      <c r="AC1567" s="2" t="s">
        <v>77</v>
      </c>
      <c r="AF1567" s="2">
        <f t="shared" si="215"/>
        <v>0</v>
      </c>
      <c r="AJ1567" s="2">
        <f t="shared" si="216"/>
        <v>0</v>
      </c>
      <c r="AK1567" s="2">
        <f>T1567+(W1567)</f>
        <v>-64.460000000000008</v>
      </c>
      <c r="AL1567" s="18">
        <f>SIGN(T1567)*((ABS(T1567)-W1567)/ABS(T1567))</f>
        <v>-0.29300000000000004</v>
      </c>
    </row>
    <row r="1568" spans="1:38" x14ac:dyDescent="0.2">
      <c r="A1568" s="2">
        <v>2025</v>
      </c>
      <c r="B1568" s="2">
        <v>6</v>
      </c>
      <c r="C1568" s="2" t="s">
        <v>3391</v>
      </c>
      <c r="D1568" s="15" t="s">
        <v>3337</v>
      </c>
      <c r="E1568" s="2" t="s">
        <v>108</v>
      </c>
      <c r="F1568" s="2" t="s">
        <v>39</v>
      </c>
      <c r="L1568" s="2" t="s">
        <v>461</v>
      </c>
      <c r="M1568" s="2" t="s">
        <v>40</v>
      </c>
      <c r="P1568" s="2" t="s">
        <v>93</v>
      </c>
      <c r="Q1568" s="2" t="s">
        <v>94</v>
      </c>
      <c r="R1568" s="2" t="s">
        <v>95</v>
      </c>
      <c r="S1568" s="2">
        <v>-1</v>
      </c>
      <c r="T1568" s="2">
        <v>-1.1399999999999999</v>
      </c>
      <c r="U1568" s="2">
        <v>-0.26219999999999999</v>
      </c>
      <c r="V1568" s="2">
        <v>-1.4021999999999999</v>
      </c>
      <c r="W1568" s="2">
        <v>1.1399999999999999</v>
      </c>
      <c r="X1568" s="18">
        <f>SIGN(T1568)*((ABS(T1568)-W1568)/ABS(T1568))</f>
        <v>0</v>
      </c>
      <c r="Z1568" s="2" t="s">
        <v>3227</v>
      </c>
      <c r="AA1568" s="2" t="s">
        <v>96</v>
      </c>
      <c r="AB1568" s="2" t="s">
        <v>76</v>
      </c>
      <c r="AC1568" s="2" t="s">
        <v>93</v>
      </c>
      <c r="AF1568" s="2">
        <f t="shared" si="215"/>
        <v>0</v>
      </c>
      <c r="AJ1568" s="2">
        <f t="shared" si="216"/>
        <v>0</v>
      </c>
      <c r="AK1568" s="2">
        <f>T1568+(W1568)</f>
        <v>0</v>
      </c>
      <c r="AL1568" s="18">
        <f>SIGN(T1568)*((ABS(T1568)-W1568)/ABS(T1568))</f>
        <v>0</v>
      </c>
    </row>
    <row r="1569" spans="1:38" x14ac:dyDescent="0.2">
      <c r="A1569" s="2">
        <v>2025</v>
      </c>
      <c r="B1569" s="2">
        <v>6</v>
      </c>
      <c r="D1569" s="2" t="s">
        <v>469</v>
      </c>
      <c r="E1569" s="2" t="s">
        <v>38</v>
      </c>
      <c r="F1569" s="2" t="s">
        <v>470</v>
      </c>
      <c r="G1569" s="2">
        <v>513626930</v>
      </c>
      <c r="H1569" s="2" t="s">
        <v>40</v>
      </c>
      <c r="I1569" s="2" t="s">
        <v>339</v>
      </c>
      <c r="J1569" s="2" t="s">
        <v>471</v>
      </c>
      <c r="L1569" s="2" t="s">
        <v>339</v>
      </c>
      <c r="M1569" s="2" t="s">
        <v>40</v>
      </c>
      <c r="P1569" s="2" t="s">
        <v>114</v>
      </c>
      <c r="Q1569" s="16" t="s">
        <v>709</v>
      </c>
      <c r="R1569" s="2" t="s">
        <v>710</v>
      </c>
      <c r="S1569" s="2">
        <v>1</v>
      </c>
      <c r="T1569" s="2">
        <v>1600</v>
      </c>
      <c r="U1569" s="2">
        <v>368</v>
      </c>
      <c r="V1569" s="2">
        <v>1968</v>
      </c>
      <c r="W1569" s="2">
        <f>1244.2445</f>
        <v>1244.2445</v>
      </c>
      <c r="X1569" s="5">
        <f t="shared" ref="X1569:X1589" si="220">(T1569-W1569)/T1569</f>
        <v>0.22234718749999999</v>
      </c>
      <c r="Z1569" s="2" t="s">
        <v>104</v>
      </c>
      <c r="AA1569" s="2" t="s">
        <v>578</v>
      </c>
      <c r="AB1569" s="2" t="s">
        <v>701</v>
      </c>
      <c r="AC1569" s="2" t="s">
        <v>114</v>
      </c>
      <c r="AF1569" s="2">
        <f t="shared" si="215"/>
        <v>0</v>
      </c>
      <c r="AJ1569" s="2">
        <f t="shared" si="216"/>
        <v>0</v>
      </c>
      <c r="AK1569" s="2">
        <f t="shared" ref="AK1569:AK1602" si="221">T1569-W1569</f>
        <v>355.75549999999998</v>
      </c>
      <c r="AL1569" s="5">
        <f t="shared" ref="AL1569:AL1589" si="222">(T1569-W1569)/T1569</f>
        <v>0.22234718749999999</v>
      </c>
    </row>
    <row r="1570" spans="1:38" x14ac:dyDescent="0.2">
      <c r="A1570" s="2">
        <v>2025</v>
      </c>
      <c r="B1570" s="2">
        <v>6</v>
      </c>
      <c r="D1570" s="2" t="s">
        <v>469</v>
      </c>
      <c r="E1570" s="2" t="s">
        <v>38</v>
      </c>
      <c r="F1570" s="2" t="s">
        <v>470</v>
      </c>
      <c r="G1570" s="2">
        <v>513626930</v>
      </c>
      <c r="H1570" s="2" t="s">
        <v>40</v>
      </c>
      <c r="I1570" s="2" t="s">
        <v>339</v>
      </c>
      <c r="J1570" s="2" t="s">
        <v>471</v>
      </c>
      <c r="L1570" s="2" t="s">
        <v>339</v>
      </c>
      <c r="M1570" s="2" t="s">
        <v>40</v>
      </c>
      <c r="P1570" s="2" t="s">
        <v>114</v>
      </c>
      <c r="Q1570" s="2" t="s">
        <v>412</v>
      </c>
      <c r="R1570" s="2" t="s">
        <v>413</v>
      </c>
      <c r="S1570" s="2">
        <v>1</v>
      </c>
      <c r="T1570" s="2">
        <v>15000</v>
      </c>
      <c r="U1570" s="2">
        <v>3450</v>
      </c>
      <c r="V1570" s="2">
        <v>18450</v>
      </c>
      <c r="W1570" s="2">
        <v>10669.4</v>
      </c>
      <c r="X1570" s="5">
        <f t="shared" si="220"/>
        <v>0.28870666666666667</v>
      </c>
      <c r="Z1570" s="2" t="s">
        <v>104</v>
      </c>
      <c r="AA1570" s="2" t="s">
        <v>414</v>
      </c>
      <c r="AB1570" s="2" t="s">
        <v>151</v>
      </c>
      <c r="AC1570" s="2" t="s">
        <v>114</v>
      </c>
      <c r="AF1570" s="2">
        <f t="shared" si="215"/>
        <v>0</v>
      </c>
      <c r="AJ1570" s="2">
        <f t="shared" si="216"/>
        <v>0</v>
      </c>
      <c r="AK1570" s="2">
        <f t="shared" si="221"/>
        <v>4330.6000000000004</v>
      </c>
      <c r="AL1570" s="5">
        <f t="shared" si="222"/>
        <v>0.28870666666666667</v>
      </c>
    </row>
    <row r="1571" spans="1:38" x14ac:dyDescent="0.2">
      <c r="A1571" s="2">
        <v>2025</v>
      </c>
      <c r="B1571" s="2">
        <v>6</v>
      </c>
      <c r="D1571" s="2" t="s">
        <v>469</v>
      </c>
      <c r="E1571" s="2" t="s">
        <v>38</v>
      </c>
      <c r="F1571" s="2" t="s">
        <v>470</v>
      </c>
      <c r="G1571" s="2">
        <v>513626930</v>
      </c>
      <c r="H1571" s="2" t="s">
        <v>40</v>
      </c>
      <c r="I1571" s="2" t="s">
        <v>339</v>
      </c>
      <c r="J1571" s="2" t="s">
        <v>471</v>
      </c>
      <c r="L1571" s="2" t="s">
        <v>339</v>
      </c>
      <c r="M1571" s="2" t="s">
        <v>40</v>
      </c>
      <c r="P1571" s="2" t="s">
        <v>114</v>
      </c>
      <c r="Q1571" s="2" t="s">
        <v>955</v>
      </c>
      <c r="R1571" s="2" t="s">
        <v>956</v>
      </c>
      <c r="S1571" s="2">
        <v>1</v>
      </c>
      <c r="T1571" s="2">
        <v>9999</v>
      </c>
      <c r="U1571" s="2">
        <v>2299.77</v>
      </c>
      <c r="V1571" s="2">
        <v>12298.77</v>
      </c>
      <c r="W1571" s="2">
        <v>6468.73</v>
      </c>
      <c r="X1571" s="5">
        <f t="shared" si="220"/>
        <v>0.35306230623062312</v>
      </c>
      <c r="Z1571" s="2" t="s">
        <v>104</v>
      </c>
      <c r="AA1571" s="2" t="s">
        <v>616</v>
      </c>
      <c r="AB1571" s="2" t="s">
        <v>957</v>
      </c>
      <c r="AC1571" s="2" t="s">
        <v>114</v>
      </c>
      <c r="AF1571" s="2">
        <f t="shared" si="215"/>
        <v>0</v>
      </c>
      <c r="AG1571" s="2">
        <v>6468.73</v>
      </c>
      <c r="AJ1571" s="2">
        <f t="shared" si="216"/>
        <v>0</v>
      </c>
      <c r="AK1571" s="2">
        <f t="shared" si="221"/>
        <v>3530.2700000000004</v>
      </c>
      <c r="AL1571" s="5">
        <f t="shared" si="222"/>
        <v>0.35306230623062312</v>
      </c>
    </row>
    <row r="1572" spans="1:38" x14ac:dyDescent="0.2">
      <c r="A1572" s="2">
        <v>2025</v>
      </c>
      <c r="B1572" s="2">
        <v>6</v>
      </c>
      <c r="D1572" s="2" t="s">
        <v>469</v>
      </c>
      <c r="E1572" s="2" t="s">
        <v>38</v>
      </c>
      <c r="F1572" s="2" t="s">
        <v>470</v>
      </c>
      <c r="G1572" s="2">
        <v>513626930</v>
      </c>
      <c r="H1572" s="2" t="s">
        <v>40</v>
      </c>
      <c r="I1572" s="2" t="s">
        <v>339</v>
      </c>
      <c r="J1572" s="2" t="s">
        <v>471</v>
      </c>
      <c r="L1572" s="2" t="s">
        <v>339</v>
      </c>
      <c r="M1572" s="2" t="s">
        <v>40</v>
      </c>
      <c r="P1572" s="2" t="s">
        <v>114</v>
      </c>
      <c r="Q1572" s="2" t="s">
        <v>838</v>
      </c>
      <c r="R1572" s="2" t="s">
        <v>839</v>
      </c>
      <c r="S1572" s="2">
        <v>1</v>
      </c>
      <c r="T1572" s="2">
        <v>4600</v>
      </c>
      <c r="U1572" s="2">
        <v>1058</v>
      </c>
      <c r="V1572" s="2">
        <v>5658</v>
      </c>
      <c r="X1572" s="5">
        <f t="shared" si="220"/>
        <v>1</v>
      </c>
      <c r="Z1572" s="2" t="s">
        <v>104</v>
      </c>
      <c r="AF1572" s="2">
        <f t="shared" si="215"/>
        <v>0</v>
      </c>
      <c r="AJ1572" s="2">
        <f t="shared" si="216"/>
        <v>0</v>
      </c>
      <c r="AK1572" s="2">
        <f t="shared" si="221"/>
        <v>4600</v>
      </c>
      <c r="AL1572" s="5">
        <f t="shared" si="222"/>
        <v>1</v>
      </c>
    </row>
    <row r="1573" spans="1:38" x14ac:dyDescent="0.2">
      <c r="A1573" s="2">
        <v>2025</v>
      </c>
      <c r="B1573" s="2">
        <v>6</v>
      </c>
      <c r="D1573" s="2" t="s">
        <v>469</v>
      </c>
      <c r="E1573" s="2" t="s">
        <v>38</v>
      </c>
      <c r="F1573" s="2" t="s">
        <v>470</v>
      </c>
      <c r="G1573" s="2">
        <v>513626930</v>
      </c>
      <c r="H1573" s="2" t="s">
        <v>40</v>
      </c>
      <c r="I1573" s="2" t="s">
        <v>339</v>
      </c>
      <c r="J1573" s="2" t="s">
        <v>471</v>
      </c>
      <c r="L1573" s="2" t="s">
        <v>339</v>
      </c>
      <c r="M1573" s="2" t="s">
        <v>40</v>
      </c>
      <c r="P1573" s="2" t="s">
        <v>1194</v>
      </c>
      <c r="Q1573" s="2" t="s">
        <v>1711</v>
      </c>
      <c r="R1573" s="2" t="s">
        <v>1712</v>
      </c>
      <c r="S1573" s="2">
        <v>1</v>
      </c>
      <c r="T1573" s="2">
        <v>2650</v>
      </c>
      <c r="U1573" s="2">
        <v>609.5</v>
      </c>
      <c r="V1573" s="2">
        <v>3259.5</v>
      </c>
      <c r="X1573" s="5">
        <f t="shared" si="220"/>
        <v>1</v>
      </c>
      <c r="Z1573" s="2" t="s">
        <v>104</v>
      </c>
      <c r="AA1573" s="2" t="s">
        <v>1199</v>
      </c>
      <c r="AB1573" s="2" t="s">
        <v>119</v>
      </c>
      <c r="AC1573" s="2" t="s">
        <v>1194</v>
      </c>
      <c r="AF1573" s="2">
        <f t="shared" si="215"/>
        <v>0</v>
      </c>
      <c r="AJ1573" s="2">
        <f t="shared" si="216"/>
        <v>0</v>
      </c>
      <c r="AK1573" s="2">
        <f t="shared" si="221"/>
        <v>2650</v>
      </c>
      <c r="AL1573" s="5">
        <f t="shared" si="222"/>
        <v>1</v>
      </c>
    </row>
    <row r="1574" spans="1:38" x14ac:dyDescent="0.2">
      <c r="A1574" s="2">
        <v>2025</v>
      </c>
      <c r="B1574" s="2">
        <v>6</v>
      </c>
      <c r="D1574" s="2" t="s">
        <v>469</v>
      </c>
      <c r="E1574" s="2" t="s">
        <v>38</v>
      </c>
      <c r="F1574" s="2" t="s">
        <v>470</v>
      </c>
      <c r="G1574" s="2">
        <v>513626930</v>
      </c>
      <c r="H1574" s="2" t="s">
        <v>40</v>
      </c>
      <c r="I1574" s="2" t="s">
        <v>339</v>
      </c>
      <c r="J1574" s="2" t="s">
        <v>471</v>
      </c>
      <c r="L1574" s="2" t="s">
        <v>339</v>
      </c>
      <c r="M1574" s="2" t="s">
        <v>40</v>
      </c>
      <c r="P1574" s="2" t="s">
        <v>1194</v>
      </c>
      <c r="Q1574" s="2" t="s">
        <v>1197</v>
      </c>
      <c r="R1574" s="2" t="s">
        <v>1198</v>
      </c>
      <c r="S1574" s="2">
        <v>2</v>
      </c>
      <c r="T1574" s="2">
        <v>1000</v>
      </c>
      <c r="U1574" s="2">
        <v>230</v>
      </c>
      <c r="V1574" s="2">
        <v>1230</v>
      </c>
      <c r="X1574" s="5">
        <f t="shared" si="220"/>
        <v>1</v>
      </c>
      <c r="Z1574" s="2" t="s">
        <v>104</v>
      </c>
      <c r="AA1574" s="2" t="s">
        <v>1199</v>
      </c>
      <c r="AB1574" s="2" t="s">
        <v>119</v>
      </c>
      <c r="AC1574" s="2" t="s">
        <v>1194</v>
      </c>
      <c r="AF1574" s="2">
        <f t="shared" si="215"/>
        <v>0</v>
      </c>
      <c r="AJ1574" s="2">
        <f t="shared" si="216"/>
        <v>0</v>
      </c>
      <c r="AK1574" s="2">
        <f t="shared" si="221"/>
        <v>1000</v>
      </c>
      <c r="AL1574" s="5">
        <f t="shared" si="222"/>
        <v>1</v>
      </c>
    </row>
    <row r="1575" spans="1:38" x14ac:dyDescent="0.2">
      <c r="A1575" s="2">
        <v>2025</v>
      </c>
      <c r="B1575" s="2">
        <v>6</v>
      </c>
      <c r="D1575" s="2" t="s">
        <v>840</v>
      </c>
      <c r="E1575" s="2" t="s">
        <v>108</v>
      </c>
      <c r="F1575" s="2" t="s">
        <v>531</v>
      </c>
      <c r="G1575" s="2">
        <v>504981285</v>
      </c>
      <c r="H1575" s="2" t="s">
        <v>290</v>
      </c>
      <c r="I1575" s="2" t="s">
        <v>841</v>
      </c>
      <c r="J1575" s="2" t="s">
        <v>842</v>
      </c>
      <c r="K1575" s="2">
        <v>932209225</v>
      </c>
      <c r="L1575" s="2" t="s">
        <v>339</v>
      </c>
      <c r="M1575" s="2" t="s">
        <v>40</v>
      </c>
      <c r="P1575" s="2" t="s">
        <v>187</v>
      </c>
      <c r="Q1575" s="2" t="s">
        <v>188</v>
      </c>
      <c r="R1575" s="2" t="s">
        <v>189</v>
      </c>
      <c r="S1575" s="2">
        <v>2</v>
      </c>
      <c r="T1575" s="2">
        <v>100</v>
      </c>
      <c r="U1575" s="2">
        <v>23</v>
      </c>
      <c r="V1575" s="2">
        <v>123</v>
      </c>
      <c r="W1575" s="2">
        <f>T1575*40%</f>
        <v>40</v>
      </c>
      <c r="X1575" s="5">
        <f t="shared" si="220"/>
        <v>0.6</v>
      </c>
      <c r="Z1575" s="2" t="s">
        <v>117</v>
      </c>
      <c r="AA1575" s="2" t="s">
        <v>190</v>
      </c>
      <c r="AB1575" s="2" t="s">
        <v>189</v>
      </c>
      <c r="AC1575" s="2" t="s">
        <v>40</v>
      </c>
      <c r="AF1575" s="2">
        <f t="shared" si="215"/>
        <v>0</v>
      </c>
      <c r="AJ1575" s="2">
        <f t="shared" si="216"/>
        <v>0</v>
      </c>
      <c r="AK1575" s="2">
        <f t="shared" si="221"/>
        <v>60</v>
      </c>
      <c r="AL1575" s="5">
        <f t="shared" si="222"/>
        <v>0.6</v>
      </c>
    </row>
    <row r="1576" spans="1:38" x14ac:dyDescent="0.2">
      <c r="A1576" s="2">
        <v>2025</v>
      </c>
      <c r="B1576" s="2">
        <v>6</v>
      </c>
      <c r="D1576" s="2" t="s">
        <v>840</v>
      </c>
      <c r="E1576" s="2" t="s">
        <v>108</v>
      </c>
      <c r="F1576" s="2" t="s">
        <v>531</v>
      </c>
      <c r="G1576" s="2">
        <v>504981285</v>
      </c>
      <c r="H1576" s="2" t="s">
        <v>290</v>
      </c>
      <c r="I1576" s="2" t="s">
        <v>841</v>
      </c>
      <c r="J1576" s="2" t="s">
        <v>842</v>
      </c>
      <c r="K1576" s="2">
        <v>932209225</v>
      </c>
      <c r="L1576" s="2" t="s">
        <v>339</v>
      </c>
      <c r="M1576" s="2" t="s">
        <v>40</v>
      </c>
      <c r="P1576" s="2" t="s">
        <v>187</v>
      </c>
      <c r="Q1576" s="2" t="s">
        <v>191</v>
      </c>
      <c r="R1576" s="2" t="s">
        <v>190</v>
      </c>
      <c r="S1576" s="2">
        <v>5</v>
      </c>
      <c r="T1576" s="2">
        <v>200</v>
      </c>
      <c r="U1576" s="2">
        <v>46</v>
      </c>
      <c r="V1576" s="2">
        <v>246</v>
      </c>
      <c r="W1576" s="2">
        <f>T1576*50%</f>
        <v>100</v>
      </c>
      <c r="X1576" s="5">
        <f t="shared" si="220"/>
        <v>0.5</v>
      </c>
      <c r="Z1576" s="2" t="s">
        <v>117</v>
      </c>
      <c r="AA1576" s="2" t="s">
        <v>190</v>
      </c>
      <c r="AB1576" s="2" t="s">
        <v>190</v>
      </c>
      <c r="AC1576" s="2" t="s">
        <v>40</v>
      </c>
      <c r="AF1576" s="2">
        <f t="shared" si="215"/>
        <v>0</v>
      </c>
      <c r="AJ1576" s="2">
        <f t="shared" si="216"/>
        <v>0</v>
      </c>
      <c r="AK1576" s="2">
        <f t="shared" si="221"/>
        <v>100</v>
      </c>
      <c r="AL1576" s="5">
        <f t="shared" si="222"/>
        <v>0.5</v>
      </c>
    </row>
    <row r="1577" spans="1:38" x14ac:dyDescent="0.2">
      <c r="A1577" s="2">
        <v>2025</v>
      </c>
      <c r="B1577" s="2">
        <v>6</v>
      </c>
      <c r="D1577" s="2" t="s">
        <v>843</v>
      </c>
      <c r="E1577" s="2" t="s">
        <v>38</v>
      </c>
      <c r="F1577" s="2" t="s">
        <v>39</v>
      </c>
      <c r="G1577" s="2">
        <v>161685080</v>
      </c>
      <c r="H1577" s="2" t="s">
        <v>41</v>
      </c>
      <c r="I1577" s="2" t="s">
        <v>418</v>
      </c>
      <c r="K1577" s="2" t="s">
        <v>844</v>
      </c>
      <c r="L1577" s="2" t="s">
        <v>418</v>
      </c>
      <c r="M1577" s="2" t="s">
        <v>41</v>
      </c>
      <c r="O1577" s="2" t="s">
        <v>1713</v>
      </c>
      <c r="P1577" s="2" t="s">
        <v>43</v>
      </c>
      <c r="Q1577" s="2" t="s">
        <v>54</v>
      </c>
      <c r="R1577" s="2" t="s">
        <v>55</v>
      </c>
      <c r="S1577" s="2">
        <v>2</v>
      </c>
      <c r="T1577" s="2">
        <v>36</v>
      </c>
      <c r="U1577" s="2">
        <v>8.2800000000000011</v>
      </c>
      <c r="V1577" s="2">
        <v>44.28</v>
      </c>
      <c r="W1577" s="2">
        <f>10.6*S1577</f>
        <v>21.2</v>
      </c>
      <c r="X1577" s="5">
        <f t="shared" si="220"/>
        <v>0.41111111111111115</v>
      </c>
      <c r="Z1577" s="2" t="s">
        <v>3227</v>
      </c>
      <c r="AA1577" s="2" t="s">
        <v>46</v>
      </c>
      <c r="AB1577" s="2" t="s">
        <v>56</v>
      </c>
      <c r="AC1577" s="2" t="s">
        <v>57</v>
      </c>
      <c r="AF1577" s="2">
        <f t="shared" si="215"/>
        <v>0</v>
      </c>
      <c r="AG1577" s="2">
        <v>10.6</v>
      </c>
      <c r="AH1577" s="2">
        <v>18</v>
      </c>
      <c r="AJ1577" s="2">
        <f t="shared" si="216"/>
        <v>0</v>
      </c>
      <c r="AK1577" s="2">
        <f t="shared" si="221"/>
        <v>14.8</v>
      </c>
      <c r="AL1577" s="5">
        <f t="shared" si="222"/>
        <v>0.41111111111111115</v>
      </c>
    </row>
    <row r="1578" spans="1:38" x14ac:dyDescent="0.2">
      <c r="A1578" s="2">
        <v>2025</v>
      </c>
      <c r="B1578" s="2">
        <v>6</v>
      </c>
      <c r="D1578" s="2" t="s">
        <v>1714</v>
      </c>
      <c r="M1578" s="2" t="s">
        <v>40</v>
      </c>
      <c r="P1578" s="2" t="s">
        <v>187</v>
      </c>
      <c r="Q1578" s="2" t="s">
        <v>188</v>
      </c>
      <c r="R1578" s="2" t="s">
        <v>189</v>
      </c>
      <c r="S1578" s="2">
        <v>1</v>
      </c>
      <c r="T1578" s="2">
        <v>99</v>
      </c>
      <c r="U1578" s="2">
        <v>22.77</v>
      </c>
      <c r="V1578" s="2">
        <v>121.77</v>
      </c>
      <c r="W1578" s="2">
        <f>T1578*40%</f>
        <v>39.6</v>
      </c>
      <c r="X1578" s="5">
        <f t="shared" si="220"/>
        <v>0.6</v>
      </c>
      <c r="Z1578" s="2" t="s">
        <v>117</v>
      </c>
      <c r="AA1578" s="2" t="s">
        <v>190</v>
      </c>
      <c r="AB1578" s="2" t="s">
        <v>189</v>
      </c>
      <c r="AC1578" s="2" t="s">
        <v>40</v>
      </c>
      <c r="AF1578" s="2">
        <f t="shared" si="215"/>
        <v>0</v>
      </c>
      <c r="AJ1578" s="2">
        <f t="shared" si="216"/>
        <v>0</v>
      </c>
      <c r="AK1578" s="2">
        <f t="shared" si="221"/>
        <v>59.4</v>
      </c>
      <c r="AL1578" s="5">
        <f t="shared" si="222"/>
        <v>0.6</v>
      </c>
    </row>
    <row r="1579" spans="1:38" x14ac:dyDescent="0.2">
      <c r="A1579" s="2">
        <v>2025</v>
      </c>
      <c r="B1579" s="2">
        <v>6</v>
      </c>
      <c r="D1579" s="2" t="s">
        <v>1714</v>
      </c>
      <c r="M1579" s="2" t="s">
        <v>40</v>
      </c>
      <c r="P1579" s="2" t="s">
        <v>187</v>
      </c>
      <c r="Q1579" s="2" t="s">
        <v>191</v>
      </c>
      <c r="R1579" s="2" t="s">
        <v>190</v>
      </c>
      <c r="S1579" s="2">
        <v>1</v>
      </c>
      <c r="T1579" s="2">
        <v>50</v>
      </c>
      <c r="U1579" s="2">
        <v>11.5</v>
      </c>
      <c r="V1579" s="2">
        <v>61.5</v>
      </c>
      <c r="W1579" s="2">
        <f>T1579*50%</f>
        <v>25</v>
      </c>
      <c r="X1579" s="5">
        <f t="shared" si="220"/>
        <v>0.5</v>
      </c>
      <c r="Z1579" s="2" t="s">
        <v>117</v>
      </c>
      <c r="AA1579" s="2" t="s">
        <v>190</v>
      </c>
      <c r="AB1579" s="2" t="s">
        <v>190</v>
      </c>
      <c r="AC1579" s="2" t="s">
        <v>40</v>
      </c>
      <c r="AF1579" s="2">
        <f t="shared" si="215"/>
        <v>0</v>
      </c>
      <c r="AJ1579" s="2">
        <f t="shared" si="216"/>
        <v>0</v>
      </c>
      <c r="AK1579" s="2">
        <f t="shared" si="221"/>
        <v>25</v>
      </c>
      <c r="AL1579" s="5">
        <f t="shared" si="222"/>
        <v>0.5</v>
      </c>
    </row>
    <row r="1580" spans="1:38" x14ac:dyDescent="0.2">
      <c r="A1580" s="2">
        <v>2025</v>
      </c>
      <c r="B1580" s="2">
        <v>6</v>
      </c>
      <c r="D1580" s="2" t="s">
        <v>488</v>
      </c>
      <c r="E1580" s="2" t="s">
        <v>38</v>
      </c>
      <c r="F1580" s="2" t="s">
        <v>39</v>
      </c>
      <c r="G1580" s="2">
        <v>507380312</v>
      </c>
      <c r="H1580" s="2" t="s">
        <v>40</v>
      </c>
      <c r="I1580" s="2" t="s">
        <v>489</v>
      </c>
      <c r="J1580" s="2" t="s">
        <v>490</v>
      </c>
      <c r="K1580" s="2">
        <v>912293443</v>
      </c>
      <c r="L1580" s="2" t="s">
        <v>99</v>
      </c>
      <c r="M1580" s="2" t="s">
        <v>80</v>
      </c>
      <c r="P1580" s="2" t="s">
        <v>282</v>
      </c>
      <c r="Q1580" s="2" t="s">
        <v>1436</v>
      </c>
      <c r="R1580" s="2" t="s">
        <v>1437</v>
      </c>
      <c r="S1580" s="2">
        <v>1</v>
      </c>
      <c r="T1580" s="2">
        <v>7.9</v>
      </c>
      <c r="U1580" s="2">
        <v>1.8169999999999999</v>
      </c>
      <c r="V1580" s="2">
        <v>9.7170000000000005</v>
      </c>
      <c r="W1580" s="2">
        <f>5.135*S1580</f>
        <v>5.1349999999999998</v>
      </c>
      <c r="X1580" s="5">
        <f t="shared" si="220"/>
        <v>0.35000000000000003</v>
      </c>
      <c r="Z1580" s="2" t="s">
        <v>3227</v>
      </c>
      <c r="AA1580" s="2" t="s">
        <v>71</v>
      </c>
      <c r="AB1580" s="2" t="s">
        <v>119</v>
      </c>
      <c r="AC1580" s="2" t="s">
        <v>119</v>
      </c>
      <c r="AF1580" s="2">
        <f t="shared" si="215"/>
        <v>0</v>
      </c>
      <c r="AJ1580" s="2">
        <f t="shared" si="216"/>
        <v>0</v>
      </c>
      <c r="AK1580" s="2">
        <f t="shared" si="221"/>
        <v>2.7650000000000006</v>
      </c>
      <c r="AL1580" s="5">
        <f t="shared" si="222"/>
        <v>0.35000000000000003</v>
      </c>
    </row>
    <row r="1581" spans="1:38" x14ac:dyDescent="0.2">
      <c r="A1581" s="2">
        <v>2025</v>
      </c>
      <c r="B1581" s="2">
        <v>6</v>
      </c>
      <c r="D1581" s="2" t="s">
        <v>488</v>
      </c>
      <c r="E1581" s="2" t="s">
        <v>38</v>
      </c>
      <c r="F1581" s="2" t="s">
        <v>39</v>
      </c>
      <c r="G1581" s="2">
        <v>507380312</v>
      </c>
      <c r="H1581" s="2" t="s">
        <v>40</v>
      </c>
      <c r="I1581" s="2" t="s">
        <v>489</v>
      </c>
      <c r="J1581" s="2" t="s">
        <v>490</v>
      </c>
      <c r="K1581" s="2">
        <v>912293443</v>
      </c>
      <c r="L1581" s="2" t="s">
        <v>99</v>
      </c>
      <c r="M1581" s="2" t="s">
        <v>40</v>
      </c>
      <c r="P1581" s="2" t="s">
        <v>40</v>
      </c>
      <c r="Q1581" s="2" t="s">
        <v>491</v>
      </c>
      <c r="R1581" s="2" t="s">
        <v>492</v>
      </c>
      <c r="S1581" s="2">
        <v>1</v>
      </c>
      <c r="T1581" s="2">
        <v>664.04</v>
      </c>
      <c r="U1581" s="2">
        <v>152.72919999999999</v>
      </c>
      <c r="V1581" s="2">
        <v>816.76919999999996</v>
      </c>
      <c r="X1581" s="5">
        <f t="shared" si="220"/>
        <v>1</v>
      </c>
      <c r="Z1581" s="2" t="s">
        <v>119</v>
      </c>
      <c r="AA1581" s="2" t="s">
        <v>492</v>
      </c>
      <c r="AF1581" s="2">
        <f t="shared" si="215"/>
        <v>0</v>
      </c>
      <c r="AJ1581" s="2">
        <f t="shared" si="216"/>
        <v>0</v>
      </c>
      <c r="AK1581" s="2">
        <f t="shared" si="221"/>
        <v>664.04</v>
      </c>
      <c r="AL1581" s="5">
        <f t="shared" si="222"/>
        <v>1</v>
      </c>
    </row>
    <row r="1582" spans="1:38" x14ac:dyDescent="0.2">
      <c r="A1582" s="2">
        <v>2025</v>
      </c>
      <c r="B1582" s="2">
        <v>6</v>
      </c>
      <c r="D1582" s="2" t="s">
        <v>1715</v>
      </c>
      <c r="P1582" s="2" t="s">
        <v>114</v>
      </c>
      <c r="Q1582" s="2" t="s">
        <v>1250</v>
      </c>
      <c r="R1582" s="2" t="s">
        <v>1251</v>
      </c>
      <c r="S1582" s="2">
        <v>1</v>
      </c>
      <c r="T1582" s="2">
        <v>351.26</v>
      </c>
      <c r="U1582" s="2">
        <v>80.7898</v>
      </c>
      <c r="V1582" s="2">
        <v>432.0498</v>
      </c>
      <c r="X1582" s="5">
        <f t="shared" si="220"/>
        <v>1</v>
      </c>
      <c r="Z1582" s="2" t="s">
        <v>117</v>
      </c>
      <c r="AF1582" s="2">
        <f t="shared" si="215"/>
        <v>0</v>
      </c>
      <c r="AJ1582" s="2">
        <f t="shared" si="216"/>
        <v>0</v>
      </c>
      <c r="AK1582" s="2">
        <f t="shared" si="221"/>
        <v>351.26</v>
      </c>
      <c r="AL1582" s="5">
        <f t="shared" si="222"/>
        <v>1</v>
      </c>
    </row>
    <row r="1583" spans="1:38" x14ac:dyDescent="0.2">
      <c r="A1583" s="2">
        <v>2025</v>
      </c>
      <c r="B1583" s="2">
        <v>6</v>
      </c>
      <c r="D1583" s="2" t="s">
        <v>850</v>
      </c>
      <c r="M1583" s="2" t="s">
        <v>40</v>
      </c>
      <c r="P1583" s="2" t="s">
        <v>114</v>
      </c>
      <c r="Q1583" s="2" t="s">
        <v>904</v>
      </c>
      <c r="R1583" s="2" t="s">
        <v>905</v>
      </c>
      <c r="S1583" s="2">
        <v>1</v>
      </c>
      <c r="T1583" s="2">
        <v>699.3</v>
      </c>
      <c r="U1583" s="2">
        <v>160.839</v>
      </c>
      <c r="V1583" s="2">
        <v>860.1389999999999</v>
      </c>
      <c r="W1583" s="2">
        <v>345.20339999999999</v>
      </c>
      <c r="X1583" s="5">
        <f t="shared" si="220"/>
        <v>0.50635864435864431</v>
      </c>
      <c r="Z1583" s="2" t="s">
        <v>117</v>
      </c>
      <c r="AA1583" s="2" t="s">
        <v>181</v>
      </c>
      <c r="AB1583" s="2" t="s">
        <v>119</v>
      </c>
      <c r="AC1583" s="2" t="s">
        <v>114</v>
      </c>
      <c r="AF1583" s="2">
        <f t="shared" si="215"/>
        <v>0</v>
      </c>
      <c r="AJ1583" s="2">
        <f t="shared" si="216"/>
        <v>0</v>
      </c>
      <c r="AK1583" s="2">
        <f t="shared" si="221"/>
        <v>354.09659999999997</v>
      </c>
      <c r="AL1583" s="5">
        <f t="shared" si="222"/>
        <v>0.50635864435864431</v>
      </c>
    </row>
    <row r="1584" spans="1:38" x14ac:dyDescent="0.2">
      <c r="A1584" s="2">
        <v>2025</v>
      </c>
      <c r="B1584" s="2">
        <v>6</v>
      </c>
      <c r="D1584" s="2" t="s">
        <v>850</v>
      </c>
      <c r="M1584" s="2" t="s">
        <v>40</v>
      </c>
      <c r="P1584" s="2" t="s">
        <v>187</v>
      </c>
      <c r="Q1584" s="2" t="s">
        <v>188</v>
      </c>
      <c r="R1584" s="2" t="s">
        <v>189</v>
      </c>
      <c r="S1584" s="2">
        <v>1</v>
      </c>
      <c r="T1584" s="2">
        <v>50</v>
      </c>
      <c r="U1584" s="2">
        <v>11.5</v>
      </c>
      <c r="V1584" s="2">
        <v>61.5</v>
      </c>
      <c r="W1584" s="2">
        <f>T1584*40%</f>
        <v>20</v>
      </c>
      <c r="X1584" s="5">
        <f t="shared" si="220"/>
        <v>0.6</v>
      </c>
      <c r="Z1584" s="2" t="s">
        <v>117</v>
      </c>
      <c r="AA1584" s="2" t="s">
        <v>190</v>
      </c>
      <c r="AB1584" s="2" t="s">
        <v>189</v>
      </c>
      <c r="AC1584" s="2" t="s">
        <v>40</v>
      </c>
      <c r="AF1584" s="2">
        <f t="shared" si="215"/>
        <v>0</v>
      </c>
      <c r="AJ1584" s="2">
        <f t="shared" si="216"/>
        <v>0</v>
      </c>
      <c r="AK1584" s="2">
        <f t="shared" si="221"/>
        <v>30</v>
      </c>
      <c r="AL1584" s="5">
        <f t="shared" si="222"/>
        <v>0.6</v>
      </c>
    </row>
    <row r="1585" spans="1:38" x14ac:dyDescent="0.2">
      <c r="A1585" s="2">
        <v>2025</v>
      </c>
      <c r="B1585" s="2">
        <v>6</v>
      </c>
      <c r="D1585" s="2" t="s">
        <v>850</v>
      </c>
      <c r="M1585" s="2" t="s">
        <v>40</v>
      </c>
      <c r="P1585" s="2" t="s">
        <v>187</v>
      </c>
      <c r="Q1585" s="2" t="s">
        <v>191</v>
      </c>
      <c r="R1585" s="2" t="s">
        <v>190</v>
      </c>
      <c r="S1585" s="2">
        <v>1</v>
      </c>
      <c r="T1585" s="2">
        <v>50</v>
      </c>
      <c r="U1585" s="2">
        <v>11.5</v>
      </c>
      <c r="V1585" s="2">
        <v>61.5</v>
      </c>
      <c r="W1585" s="2">
        <f>T1585*50%</f>
        <v>25</v>
      </c>
      <c r="X1585" s="5">
        <f t="shared" si="220"/>
        <v>0.5</v>
      </c>
      <c r="Z1585" s="2" t="s">
        <v>117</v>
      </c>
      <c r="AA1585" s="2" t="s">
        <v>190</v>
      </c>
      <c r="AB1585" s="2" t="s">
        <v>190</v>
      </c>
      <c r="AC1585" s="2" t="s">
        <v>40</v>
      </c>
      <c r="AF1585" s="2">
        <f t="shared" si="215"/>
        <v>0</v>
      </c>
      <c r="AJ1585" s="2">
        <f t="shared" si="216"/>
        <v>0</v>
      </c>
      <c r="AK1585" s="2">
        <f t="shared" si="221"/>
        <v>25</v>
      </c>
      <c r="AL1585" s="5">
        <f t="shared" si="222"/>
        <v>0.5</v>
      </c>
    </row>
    <row r="1586" spans="1:38" x14ac:dyDescent="0.2">
      <c r="A1586" s="2">
        <v>2025</v>
      </c>
      <c r="B1586" s="2">
        <v>6</v>
      </c>
      <c r="D1586" s="2" t="s">
        <v>853</v>
      </c>
      <c r="E1586" s="2" t="s">
        <v>108</v>
      </c>
      <c r="F1586" s="2" t="s">
        <v>39</v>
      </c>
      <c r="G1586" s="2">
        <v>505128128</v>
      </c>
      <c r="H1586" s="2" t="s">
        <v>41</v>
      </c>
      <c r="I1586" s="2" t="s">
        <v>854</v>
      </c>
      <c r="J1586" s="2" t="s">
        <v>855</v>
      </c>
      <c r="K1586" s="2">
        <v>917665950</v>
      </c>
      <c r="L1586" s="2" t="s">
        <v>99</v>
      </c>
      <c r="M1586" s="2" t="s">
        <v>40</v>
      </c>
      <c r="O1586" s="2" t="s">
        <v>1716</v>
      </c>
      <c r="P1586" s="2" t="s">
        <v>114</v>
      </c>
      <c r="Q1586" s="2" t="s">
        <v>373</v>
      </c>
      <c r="R1586" s="2" t="s">
        <v>374</v>
      </c>
      <c r="S1586" s="2">
        <v>1</v>
      </c>
      <c r="T1586" s="2">
        <v>45.07</v>
      </c>
      <c r="U1586" s="2">
        <v>10.366099999999999</v>
      </c>
      <c r="V1586" s="2">
        <v>55.436100000000003</v>
      </c>
      <c r="W1586" s="2">
        <f>23.042*S1586</f>
        <v>23.042000000000002</v>
      </c>
      <c r="X1586" s="5">
        <f t="shared" si="220"/>
        <v>0.48875083203905034</v>
      </c>
      <c r="Z1586" s="2" t="s">
        <v>117</v>
      </c>
      <c r="AA1586" s="2" t="s">
        <v>118</v>
      </c>
      <c r="AB1586" s="2" t="s">
        <v>119</v>
      </c>
      <c r="AC1586" s="2" t="s">
        <v>114</v>
      </c>
      <c r="AF1586" s="2">
        <f t="shared" si="215"/>
        <v>0</v>
      </c>
      <c r="AJ1586" s="2">
        <f t="shared" si="216"/>
        <v>0</v>
      </c>
      <c r="AK1586" s="2">
        <f t="shared" si="221"/>
        <v>22.027999999999999</v>
      </c>
      <c r="AL1586" s="5">
        <f t="shared" si="222"/>
        <v>0.48875083203905034</v>
      </c>
    </row>
    <row r="1587" spans="1:38" x14ac:dyDescent="0.2">
      <c r="A1587" s="2">
        <v>2025</v>
      </c>
      <c r="B1587" s="2">
        <v>6</v>
      </c>
      <c r="D1587" s="2" t="s">
        <v>853</v>
      </c>
      <c r="E1587" s="2" t="s">
        <v>108</v>
      </c>
      <c r="F1587" s="2" t="s">
        <v>39</v>
      </c>
      <c r="G1587" s="2">
        <v>505128128</v>
      </c>
      <c r="H1587" s="2" t="s">
        <v>41</v>
      </c>
      <c r="I1587" s="2" t="s">
        <v>854</v>
      </c>
      <c r="J1587" s="2" t="s">
        <v>855</v>
      </c>
      <c r="K1587" s="2">
        <v>917665950</v>
      </c>
      <c r="L1587" s="2" t="s">
        <v>99</v>
      </c>
      <c r="M1587" s="2" t="s">
        <v>41</v>
      </c>
      <c r="O1587" s="2" t="s">
        <v>1717</v>
      </c>
      <c r="P1587" s="2" t="s">
        <v>43</v>
      </c>
      <c r="Q1587" s="2" t="s">
        <v>48</v>
      </c>
      <c r="R1587" s="2" t="s">
        <v>49</v>
      </c>
      <c r="S1587" s="2">
        <v>2</v>
      </c>
      <c r="T1587" s="2">
        <v>24</v>
      </c>
      <c r="U1587" s="2">
        <v>5.52</v>
      </c>
      <c r="V1587" s="2">
        <v>29.52</v>
      </c>
      <c r="W1587" s="2">
        <f>6.6267*S1587</f>
        <v>13.253399999999999</v>
      </c>
      <c r="X1587" s="5">
        <f t="shared" si="220"/>
        <v>0.44777500000000003</v>
      </c>
      <c r="Z1587" s="2" t="s">
        <v>3227</v>
      </c>
      <c r="AA1587" s="2" t="s">
        <v>46</v>
      </c>
      <c r="AB1587" s="2" t="s">
        <v>47</v>
      </c>
      <c r="AC1587" s="2" t="s">
        <v>57</v>
      </c>
      <c r="AF1587" s="2">
        <f t="shared" si="215"/>
        <v>0</v>
      </c>
      <c r="AG1587" s="2">
        <v>6.6266999999999996</v>
      </c>
      <c r="AH1587" s="2">
        <v>12</v>
      </c>
      <c r="AJ1587" s="2">
        <f t="shared" si="216"/>
        <v>0</v>
      </c>
      <c r="AK1587" s="2">
        <f t="shared" si="221"/>
        <v>10.746600000000001</v>
      </c>
      <c r="AL1587" s="5">
        <f t="shared" si="222"/>
        <v>0.44777500000000003</v>
      </c>
    </row>
    <row r="1588" spans="1:38" x14ac:dyDescent="0.2">
      <c r="A1588" s="2">
        <v>2025</v>
      </c>
      <c r="B1588" s="2">
        <v>6</v>
      </c>
      <c r="D1588" s="2" t="s">
        <v>853</v>
      </c>
      <c r="E1588" s="2" t="s">
        <v>108</v>
      </c>
      <c r="F1588" s="2" t="s">
        <v>39</v>
      </c>
      <c r="G1588" s="2">
        <v>505128128</v>
      </c>
      <c r="H1588" s="2" t="s">
        <v>41</v>
      </c>
      <c r="I1588" s="2" t="s">
        <v>854</v>
      </c>
      <c r="J1588" s="2" t="s">
        <v>855</v>
      </c>
      <c r="K1588" s="2">
        <v>917665950</v>
      </c>
      <c r="L1588" s="2" t="s">
        <v>99</v>
      </c>
      <c r="M1588" s="2" t="s">
        <v>41</v>
      </c>
      <c r="O1588" s="2" t="s">
        <v>1717</v>
      </c>
      <c r="P1588" s="2" t="s">
        <v>43</v>
      </c>
      <c r="Q1588" s="2" t="s">
        <v>54</v>
      </c>
      <c r="R1588" s="2" t="s">
        <v>55</v>
      </c>
      <c r="S1588" s="2">
        <v>2</v>
      </c>
      <c r="T1588" s="2">
        <v>36</v>
      </c>
      <c r="U1588" s="2">
        <v>8.2800000000000011</v>
      </c>
      <c r="V1588" s="2">
        <v>44.28</v>
      </c>
      <c r="W1588" s="2">
        <f>10.6*S1588</f>
        <v>21.2</v>
      </c>
      <c r="X1588" s="5">
        <f t="shared" si="220"/>
        <v>0.41111111111111115</v>
      </c>
      <c r="Z1588" s="2" t="s">
        <v>3227</v>
      </c>
      <c r="AA1588" s="2" t="s">
        <v>46</v>
      </c>
      <c r="AB1588" s="2" t="s">
        <v>56</v>
      </c>
      <c r="AC1588" s="2" t="s">
        <v>57</v>
      </c>
      <c r="AF1588" s="2">
        <f t="shared" si="215"/>
        <v>0</v>
      </c>
      <c r="AG1588" s="2">
        <v>10.6</v>
      </c>
      <c r="AH1588" s="2">
        <v>18</v>
      </c>
      <c r="AJ1588" s="2">
        <f t="shared" si="216"/>
        <v>0</v>
      </c>
      <c r="AK1588" s="2">
        <f t="shared" si="221"/>
        <v>14.8</v>
      </c>
      <c r="AL1588" s="5">
        <f t="shared" si="222"/>
        <v>0.41111111111111115</v>
      </c>
    </row>
    <row r="1589" spans="1:38" x14ac:dyDescent="0.2">
      <c r="A1589" s="2">
        <v>2025</v>
      </c>
      <c r="B1589" s="2">
        <v>6</v>
      </c>
      <c r="D1589" s="2" t="s">
        <v>507</v>
      </c>
      <c r="E1589" s="2" t="s">
        <v>38</v>
      </c>
      <c r="F1589" s="2" t="s">
        <v>39</v>
      </c>
      <c r="G1589" s="2">
        <v>514446170</v>
      </c>
      <c r="H1589" s="2" t="s">
        <v>41</v>
      </c>
      <c r="I1589" s="2" t="s">
        <v>177</v>
      </c>
      <c r="J1589" s="2" t="s">
        <v>3134</v>
      </c>
      <c r="L1589" s="2" t="s">
        <v>177</v>
      </c>
      <c r="M1589" s="2" t="s">
        <v>41</v>
      </c>
      <c r="O1589" s="2" t="s">
        <v>3137</v>
      </c>
      <c r="P1589" s="2" t="s">
        <v>43</v>
      </c>
      <c r="Q1589" s="2" t="s">
        <v>54</v>
      </c>
      <c r="R1589" s="2" t="s">
        <v>55</v>
      </c>
      <c r="S1589" s="2">
        <v>10</v>
      </c>
      <c r="T1589" s="2">
        <v>140</v>
      </c>
      <c r="U1589" s="2">
        <v>32.200000000000003</v>
      </c>
      <c r="V1589" s="2">
        <v>172.2</v>
      </c>
      <c r="W1589" s="2">
        <f>10.6*S1589</f>
        <v>106</v>
      </c>
      <c r="X1589" s="5">
        <f t="shared" si="220"/>
        <v>0.24285714285714285</v>
      </c>
      <c r="Z1589" s="2" t="s">
        <v>3227</v>
      </c>
      <c r="AA1589" s="2" t="s">
        <v>46</v>
      </c>
      <c r="AB1589" s="2" t="s">
        <v>56</v>
      </c>
      <c r="AC1589" s="2" t="s">
        <v>57</v>
      </c>
      <c r="AF1589" s="2">
        <f t="shared" si="215"/>
        <v>0</v>
      </c>
      <c r="AG1589" s="2">
        <v>10.6</v>
      </c>
      <c r="AH1589" s="2">
        <v>18</v>
      </c>
      <c r="AJ1589" s="2">
        <f t="shared" si="216"/>
        <v>0</v>
      </c>
      <c r="AK1589" s="2">
        <f t="shared" si="221"/>
        <v>34</v>
      </c>
      <c r="AL1589" s="5">
        <f t="shared" si="222"/>
        <v>0.24285714285714285</v>
      </c>
    </row>
    <row r="1590" spans="1:38" x14ac:dyDescent="0.2">
      <c r="A1590" s="2">
        <v>2025</v>
      </c>
      <c r="B1590" s="2">
        <v>6</v>
      </c>
      <c r="D1590" s="2" t="s">
        <v>508</v>
      </c>
      <c r="P1590" s="2" t="s">
        <v>114</v>
      </c>
      <c r="Q1590" s="16" t="s">
        <v>709</v>
      </c>
      <c r="R1590" s="2" t="s">
        <v>710</v>
      </c>
      <c r="S1590" s="2">
        <v>1</v>
      </c>
      <c r="T1590" s="2">
        <v>0</v>
      </c>
      <c r="U1590" s="2">
        <v>0</v>
      </c>
      <c r="V1590" s="2">
        <v>0</v>
      </c>
      <c r="W1590" s="2">
        <f>1244.2445</f>
        <v>1244.2445</v>
      </c>
      <c r="X1590" s="18">
        <v>-1</v>
      </c>
      <c r="Z1590" s="2" t="s">
        <v>104</v>
      </c>
      <c r="AA1590" s="2" t="s">
        <v>578</v>
      </c>
      <c r="AB1590" s="2" t="s">
        <v>701</v>
      </c>
      <c r="AC1590" s="2" t="s">
        <v>114</v>
      </c>
      <c r="AF1590" s="2">
        <f t="shared" si="215"/>
        <v>0</v>
      </c>
      <c r="AJ1590" s="2">
        <f t="shared" si="216"/>
        <v>0</v>
      </c>
      <c r="AK1590" s="2">
        <f t="shared" si="221"/>
        <v>-1244.2445</v>
      </c>
      <c r="AL1590" s="18">
        <v>-1</v>
      </c>
    </row>
    <row r="1591" spans="1:38" x14ac:dyDescent="0.2">
      <c r="A1591" s="2">
        <v>2025</v>
      </c>
      <c r="B1591" s="2">
        <v>6</v>
      </c>
      <c r="D1591" s="2" t="s">
        <v>508</v>
      </c>
      <c r="P1591" s="2" t="s">
        <v>114</v>
      </c>
      <c r="Q1591" s="2" t="s">
        <v>148</v>
      </c>
      <c r="R1591" s="2" t="s">
        <v>149</v>
      </c>
      <c r="S1591" s="2">
        <v>1</v>
      </c>
      <c r="T1591" s="2">
        <v>5500</v>
      </c>
      <c r="U1591" s="2">
        <v>1265</v>
      </c>
      <c r="V1591" s="2">
        <v>6765</v>
      </c>
      <c r="X1591" s="5">
        <f t="shared" ref="X1591:X1602" si="223">(T1591-W1591)/T1591</f>
        <v>1</v>
      </c>
      <c r="Z1591" s="2" t="s">
        <v>104</v>
      </c>
      <c r="AF1591" s="2">
        <f t="shared" si="215"/>
        <v>0</v>
      </c>
      <c r="AJ1591" s="2">
        <f t="shared" si="216"/>
        <v>0</v>
      </c>
      <c r="AK1591" s="2">
        <f t="shared" si="221"/>
        <v>5500</v>
      </c>
      <c r="AL1591" s="5">
        <f t="shared" ref="AL1591:AL1602" si="224">(T1591-W1591)/T1591</f>
        <v>1</v>
      </c>
    </row>
    <row r="1592" spans="1:38" x14ac:dyDescent="0.2">
      <c r="A1592" s="2">
        <v>2025</v>
      </c>
      <c r="B1592" s="2">
        <v>6</v>
      </c>
      <c r="D1592" s="2" t="s">
        <v>1590</v>
      </c>
      <c r="P1592" s="2" t="s">
        <v>114</v>
      </c>
      <c r="Q1592" s="2" t="s">
        <v>1560</v>
      </c>
      <c r="R1592" s="2" t="s">
        <v>1561</v>
      </c>
      <c r="S1592" s="2">
        <v>1</v>
      </c>
      <c r="T1592" s="2">
        <v>57.86</v>
      </c>
      <c r="U1592" s="2">
        <v>13.3078</v>
      </c>
      <c r="V1592" s="2">
        <v>71.1678</v>
      </c>
      <c r="X1592" s="5">
        <f t="shared" si="223"/>
        <v>1</v>
      </c>
      <c r="Z1592" s="2" t="s">
        <v>117</v>
      </c>
      <c r="AF1592" s="2">
        <f t="shared" si="215"/>
        <v>0</v>
      </c>
      <c r="AJ1592" s="2">
        <f t="shared" si="216"/>
        <v>0</v>
      </c>
      <c r="AK1592" s="2">
        <f t="shared" si="221"/>
        <v>57.86</v>
      </c>
      <c r="AL1592" s="5">
        <f t="shared" si="224"/>
        <v>1</v>
      </c>
    </row>
    <row r="1593" spans="1:38" x14ac:dyDescent="0.2">
      <c r="A1593" s="2">
        <v>2025</v>
      </c>
      <c r="B1593" s="2">
        <v>6</v>
      </c>
      <c r="D1593" s="2" t="s">
        <v>1590</v>
      </c>
      <c r="P1593" s="2" t="s">
        <v>114</v>
      </c>
      <c r="Q1593" s="2" t="s">
        <v>1591</v>
      </c>
      <c r="R1593" s="2" t="s">
        <v>1592</v>
      </c>
      <c r="S1593" s="2">
        <v>1</v>
      </c>
      <c r="T1593" s="2">
        <v>65.239999999999995</v>
      </c>
      <c r="U1593" s="2">
        <v>15.0052</v>
      </c>
      <c r="V1593" s="2">
        <v>80.245199999999997</v>
      </c>
      <c r="X1593" s="5">
        <f t="shared" si="223"/>
        <v>1</v>
      </c>
      <c r="Z1593" s="2" t="s">
        <v>117</v>
      </c>
      <c r="AF1593" s="2">
        <f t="shared" si="215"/>
        <v>0</v>
      </c>
      <c r="AJ1593" s="2">
        <f t="shared" si="216"/>
        <v>0</v>
      </c>
      <c r="AK1593" s="2">
        <f t="shared" si="221"/>
        <v>65.239999999999995</v>
      </c>
      <c r="AL1593" s="5">
        <f t="shared" si="224"/>
        <v>1</v>
      </c>
    </row>
    <row r="1594" spans="1:38" x14ac:dyDescent="0.2">
      <c r="A1594" s="2">
        <v>2025</v>
      </c>
      <c r="B1594" s="2">
        <v>6</v>
      </c>
      <c r="D1594" s="2" t="s">
        <v>1590</v>
      </c>
      <c r="P1594" s="2" t="s">
        <v>169</v>
      </c>
      <c r="Q1594" s="2" t="s">
        <v>170</v>
      </c>
      <c r="R1594" s="2" t="s">
        <v>170</v>
      </c>
      <c r="S1594" s="2">
        <v>1</v>
      </c>
      <c r="T1594" s="2">
        <v>8</v>
      </c>
      <c r="U1594" s="2">
        <v>1.84</v>
      </c>
      <c r="V1594" s="2">
        <v>9.84</v>
      </c>
      <c r="W1594" s="2">
        <v>6</v>
      </c>
      <c r="X1594" s="5">
        <f t="shared" si="223"/>
        <v>0.25</v>
      </c>
      <c r="Z1594" s="2" t="s">
        <v>169</v>
      </c>
      <c r="AA1594" s="2" t="s">
        <v>169</v>
      </c>
      <c r="AF1594" s="2">
        <f t="shared" si="215"/>
        <v>0</v>
      </c>
      <c r="AJ1594" s="2">
        <f t="shared" si="216"/>
        <v>0</v>
      </c>
      <c r="AK1594" s="2">
        <f t="shared" si="221"/>
        <v>2</v>
      </c>
      <c r="AL1594" s="5">
        <f t="shared" si="224"/>
        <v>0.25</v>
      </c>
    </row>
    <row r="1595" spans="1:38" x14ac:dyDescent="0.2">
      <c r="A1595" s="2">
        <v>2025</v>
      </c>
      <c r="B1595" s="2">
        <v>6</v>
      </c>
      <c r="C1595" s="2" t="s">
        <v>3391</v>
      </c>
      <c r="D1595" s="2" t="s">
        <v>1718</v>
      </c>
      <c r="E1595" s="2" t="s">
        <v>752</v>
      </c>
      <c r="F1595" s="2" t="s">
        <v>39</v>
      </c>
      <c r="L1595" s="2" t="s">
        <v>398</v>
      </c>
      <c r="M1595" s="2" t="s">
        <v>109</v>
      </c>
      <c r="P1595" s="2" t="s">
        <v>282</v>
      </c>
      <c r="Q1595" s="2" t="s">
        <v>1436</v>
      </c>
      <c r="R1595" s="2" t="s">
        <v>1437</v>
      </c>
      <c r="S1595" s="2">
        <v>10</v>
      </c>
      <c r="T1595" s="2">
        <v>79</v>
      </c>
      <c r="U1595" s="2">
        <v>18.170000000000002</v>
      </c>
      <c r="V1595" s="2">
        <v>97.17</v>
      </c>
      <c r="W1595" s="2">
        <f>5.135*S1595</f>
        <v>51.349999999999994</v>
      </c>
      <c r="X1595" s="5">
        <f t="shared" si="223"/>
        <v>0.35000000000000009</v>
      </c>
      <c r="Z1595" s="2" t="s">
        <v>3227</v>
      </c>
      <c r="AA1595" s="2" t="s">
        <v>71</v>
      </c>
      <c r="AB1595" s="2" t="s">
        <v>119</v>
      </c>
      <c r="AC1595" s="2" t="s">
        <v>119</v>
      </c>
      <c r="AF1595" s="2">
        <f t="shared" si="215"/>
        <v>0</v>
      </c>
      <c r="AJ1595" s="2">
        <f t="shared" si="216"/>
        <v>0</v>
      </c>
      <c r="AK1595" s="2">
        <f t="shared" si="221"/>
        <v>27.650000000000006</v>
      </c>
      <c r="AL1595" s="5">
        <f t="shared" si="224"/>
        <v>0.35000000000000009</v>
      </c>
    </row>
    <row r="1596" spans="1:38" x14ac:dyDescent="0.2">
      <c r="A1596" s="2">
        <v>2025</v>
      </c>
      <c r="B1596" s="2">
        <v>6</v>
      </c>
      <c r="C1596" s="2" t="s">
        <v>3393</v>
      </c>
      <c r="D1596" s="2" t="s">
        <v>1718</v>
      </c>
      <c r="E1596" s="2" t="s">
        <v>752</v>
      </c>
      <c r="F1596" s="2" t="s">
        <v>39</v>
      </c>
      <c r="L1596" s="2" t="s">
        <v>398</v>
      </c>
      <c r="M1596" s="2" t="s">
        <v>109</v>
      </c>
      <c r="P1596" s="2" t="s">
        <v>282</v>
      </c>
      <c r="Q1596" s="2" t="s">
        <v>1444</v>
      </c>
      <c r="R1596" s="2" t="s">
        <v>1445</v>
      </c>
      <c r="S1596" s="2">
        <v>1</v>
      </c>
      <c r="T1596" s="2">
        <v>119.9</v>
      </c>
      <c r="U1596" s="2">
        <v>27.577000000000002</v>
      </c>
      <c r="V1596" s="2">
        <v>147.477</v>
      </c>
      <c r="X1596" s="5">
        <f t="shared" si="223"/>
        <v>1</v>
      </c>
      <c r="Z1596" s="2" t="s">
        <v>3227</v>
      </c>
      <c r="AA1596" s="2" t="s">
        <v>71</v>
      </c>
      <c r="AB1596" s="2" t="s">
        <v>119</v>
      </c>
      <c r="AC1596" s="2" t="s">
        <v>119</v>
      </c>
      <c r="AF1596" s="2">
        <f t="shared" si="215"/>
        <v>0</v>
      </c>
      <c r="AJ1596" s="2">
        <f t="shared" si="216"/>
        <v>0</v>
      </c>
      <c r="AK1596" s="2">
        <f t="shared" si="221"/>
        <v>119.9</v>
      </c>
      <c r="AL1596" s="5">
        <f t="shared" si="224"/>
        <v>1</v>
      </c>
    </row>
    <row r="1597" spans="1:38" x14ac:dyDescent="0.2">
      <c r="A1597" s="2">
        <v>2025</v>
      </c>
      <c r="B1597" s="2">
        <v>6</v>
      </c>
      <c r="D1597" s="2" t="s">
        <v>1719</v>
      </c>
      <c r="E1597" s="2" t="s">
        <v>38</v>
      </c>
      <c r="F1597" s="2" t="s">
        <v>477</v>
      </c>
      <c r="G1597" s="2">
        <v>504997866</v>
      </c>
      <c r="H1597" s="2" t="s">
        <v>290</v>
      </c>
      <c r="I1597" s="2" t="s">
        <v>3234</v>
      </c>
      <c r="J1597" s="2" t="s">
        <v>3235</v>
      </c>
      <c r="L1597" s="2" t="s">
        <v>571</v>
      </c>
      <c r="M1597" s="2" t="s">
        <v>80</v>
      </c>
      <c r="O1597" s="2" t="s">
        <v>3236</v>
      </c>
      <c r="P1597" s="2" t="s">
        <v>72</v>
      </c>
      <c r="Q1597" s="2" t="s">
        <v>73</v>
      </c>
      <c r="R1597" s="2" t="s">
        <v>74</v>
      </c>
      <c r="S1597" s="2">
        <v>1</v>
      </c>
      <c r="T1597" s="2">
        <v>220</v>
      </c>
      <c r="U1597" s="2">
        <v>50.6</v>
      </c>
      <c r="V1597" s="2">
        <v>270.60000000000002</v>
      </c>
      <c r="W1597" s="2">
        <v>117.453</v>
      </c>
      <c r="X1597" s="5">
        <f t="shared" si="223"/>
        <v>0.46612272727272724</v>
      </c>
      <c r="Z1597" s="2" t="s">
        <v>3227</v>
      </c>
      <c r="AA1597" s="2" t="s">
        <v>75</v>
      </c>
      <c r="AB1597" s="2" t="s">
        <v>76</v>
      </c>
      <c r="AC1597" s="2" t="s">
        <v>77</v>
      </c>
      <c r="AF1597" s="2">
        <f t="shared" si="215"/>
        <v>0</v>
      </c>
      <c r="AG1597" s="2">
        <v>117.453</v>
      </c>
      <c r="AH1597" s="2">
        <v>220</v>
      </c>
      <c r="AJ1597" s="2">
        <f t="shared" si="216"/>
        <v>0</v>
      </c>
      <c r="AK1597" s="2">
        <f t="shared" si="221"/>
        <v>102.547</v>
      </c>
      <c r="AL1597" s="5">
        <f t="shared" si="224"/>
        <v>0.46612272727272724</v>
      </c>
    </row>
    <row r="1598" spans="1:38" x14ac:dyDescent="0.2">
      <c r="A1598" s="2">
        <v>2025</v>
      </c>
      <c r="B1598" s="2">
        <v>6</v>
      </c>
      <c r="D1598" s="2" t="s">
        <v>1719</v>
      </c>
      <c r="E1598" s="2" t="s">
        <v>38</v>
      </c>
      <c r="F1598" s="2" t="s">
        <v>477</v>
      </c>
      <c r="G1598" s="2">
        <v>504997866</v>
      </c>
      <c r="H1598" s="2" t="s">
        <v>290</v>
      </c>
      <c r="I1598" s="2" t="s">
        <v>3234</v>
      </c>
      <c r="J1598" s="2" t="s">
        <v>3235</v>
      </c>
      <c r="L1598" s="2" t="s">
        <v>571</v>
      </c>
      <c r="M1598" s="2" t="s">
        <v>80</v>
      </c>
      <c r="O1598" s="2" t="s">
        <v>3236</v>
      </c>
      <c r="P1598" s="2" t="s">
        <v>93</v>
      </c>
      <c r="Q1598" s="2" t="s">
        <v>94</v>
      </c>
      <c r="R1598" s="2" t="s">
        <v>95</v>
      </c>
      <c r="S1598" s="2">
        <v>1</v>
      </c>
      <c r="T1598" s="2">
        <v>1.1399999999999999</v>
      </c>
      <c r="U1598" s="2">
        <v>0.26219999999999999</v>
      </c>
      <c r="V1598" s="2">
        <v>1.4021999999999999</v>
      </c>
      <c r="W1598" s="2">
        <v>1.1399999999999999</v>
      </c>
      <c r="X1598" s="5">
        <f t="shared" si="223"/>
        <v>0</v>
      </c>
      <c r="Z1598" s="2" t="s">
        <v>3227</v>
      </c>
      <c r="AA1598" s="2" t="s">
        <v>96</v>
      </c>
      <c r="AB1598" s="2" t="s">
        <v>76</v>
      </c>
      <c r="AC1598" s="2" t="s">
        <v>93</v>
      </c>
      <c r="AF1598" s="2">
        <f t="shared" si="215"/>
        <v>0</v>
      </c>
      <c r="AG1598" s="2">
        <v>1.1399999999999999</v>
      </c>
      <c r="AH1598" s="2">
        <v>1.1399999999999999</v>
      </c>
      <c r="AJ1598" s="2">
        <f t="shared" si="216"/>
        <v>0</v>
      </c>
      <c r="AK1598" s="2">
        <f t="shared" si="221"/>
        <v>0</v>
      </c>
      <c r="AL1598" s="5">
        <f t="shared" si="224"/>
        <v>0</v>
      </c>
    </row>
    <row r="1599" spans="1:38" x14ac:dyDescent="0.2">
      <c r="A1599" s="2">
        <v>2025</v>
      </c>
      <c r="B1599" s="2">
        <v>6</v>
      </c>
      <c r="D1599" s="2" t="s">
        <v>525</v>
      </c>
      <c r="E1599" s="2" t="s">
        <v>108</v>
      </c>
      <c r="F1599" s="2" t="s">
        <v>39</v>
      </c>
      <c r="G1599" s="2">
        <v>509391583</v>
      </c>
      <c r="H1599" s="2" t="s">
        <v>40</v>
      </c>
      <c r="I1599" s="2" t="s">
        <v>526</v>
      </c>
      <c r="J1599" s="2" t="s">
        <v>527</v>
      </c>
      <c r="L1599" s="2" t="s">
        <v>344</v>
      </c>
      <c r="P1599" s="2" t="s">
        <v>282</v>
      </c>
      <c r="Q1599" s="2" t="s">
        <v>1510</v>
      </c>
      <c r="R1599" s="2" t="s">
        <v>1511</v>
      </c>
      <c r="S1599" s="2">
        <v>2</v>
      </c>
      <c r="T1599" s="2">
        <v>99.8</v>
      </c>
      <c r="U1599" s="2">
        <v>22.954000000000001</v>
      </c>
      <c r="V1599" s="2">
        <v>122.754</v>
      </c>
      <c r="W1599" s="2">
        <f>27.445*S1599</f>
        <v>54.89</v>
      </c>
      <c r="X1599" s="5">
        <f t="shared" si="223"/>
        <v>0.44999999999999996</v>
      </c>
      <c r="Z1599" s="2" t="s">
        <v>3227</v>
      </c>
      <c r="AA1599" s="2" t="s">
        <v>71</v>
      </c>
      <c r="AB1599" s="2" t="s">
        <v>1600</v>
      </c>
      <c r="AC1599" s="2" t="s">
        <v>1600</v>
      </c>
      <c r="AF1599" s="2">
        <f t="shared" si="215"/>
        <v>0</v>
      </c>
      <c r="AJ1599" s="2">
        <f t="shared" si="216"/>
        <v>0</v>
      </c>
      <c r="AK1599" s="2">
        <f t="shared" si="221"/>
        <v>44.91</v>
      </c>
      <c r="AL1599" s="5">
        <f t="shared" si="224"/>
        <v>0.44999999999999996</v>
      </c>
    </row>
    <row r="1600" spans="1:38" x14ac:dyDescent="0.2">
      <c r="A1600" s="2">
        <v>2025</v>
      </c>
      <c r="B1600" s="2">
        <v>6</v>
      </c>
      <c r="D1600" s="2" t="s">
        <v>530</v>
      </c>
      <c r="E1600" s="2" t="s">
        <v>108</v>
      </c>
      <c r="F1600" s="2" t="s">
        <v>531</v>
      </c>
      <c r="G1600" s="2">
        <v>502139552</v>
      </c>
      <c r="H1600" s="2" t="s">
        <v>40</v>
      </c>
      <c r="I1600" s="2" t="s">
        <v>339</v>
      </c>
      <c r="J1600" s="2" t="s">
        <v>532</v>
      </c>
      <c r="L1600" s="2" t="s">
        <v>339</v>
      </c>
      <c r="M1600" s="2" t="s">
        <v>80</v>
      </c>
      <c r="P1600" s="2" t="s">
        <v>43</v>
      </c>
      <c r="Q1600" s="2" t="s">
        <v>250</v>
      </c>
      <c r="R1600" s="2" t="s">
        <v>251</v>
      </c>
      <c r="S1600" s="2">
        <v>2</v>
      </c>
      <c r="T1600" s="2">
        <v>110</v>
      </c>
      <c r="U1600" s="2">
        <v>25.3</v>
      </c>
      <c r="V1600" s="2">
        <v>135.30000000000001</v>
      </c>
      <c r="W1600" s="2">
        <f>25.0958*S1600</f>
        <v>50.191600000000001</v>
      </c>
      <c r="X1600" s="5">
        <f t="shared" si="223"/>
        <v>0.54371272727272724</v>
      </c>
      <c r="Z1600" s="2" t="s">
        <v>3227</v>
      </c>
      <c r="AA1600" s="2" t="s">
        <v>46</v>
      </c>
      <c r="AB1600" s="2" t="s">
        <v>90</v>
      </c>
      <c r="AC1600" s="2" t="s">
        <v>57</v>
      </c>
      <c r="AF1600" s="2">
        <f t="shared" si="215"/>
        <v>0</v>
      </c>
      <c r="AJ1600" s="2">
        <f t="shared" si="216"/>
        <v>0</v>
      </c>
      <c r="AK1600" s="2">
        <f t="shared" si="221"/>
        <v>59.808399999999999</v>
      </c>
      <c r="AL1600" s="5">
        <f t="shared" si="224"/>
        <v>0.54371272727272724</v>
      </c>
    </row>
    <row r="1601" spans="1:38" x14ac:dyDescent="0.2">
      <c r="A1601" s="2">
        <v>2025</v>
      </c>
      <c r="B1601" s="2">
        <v>6</v>
      </c>
      <c r="D1601" s="2" t="s">
        <v>530</v>
      </c>
      <c r="E1601" s="2" t="s">
        <v>108</v>
      </c>
      <c r="F1601" s="2" t="s">
        <v>531</v>
      </c>
      <c r="G1601" s="2">
        <v>502139552</v>
      </c>
      <c r="H1601" s="2" t="s">
        <v>40</v>
      </c>
      <c r="I1601" s="2" t="s">
        <v>339</v>
      </c>
      <c r="J1601" s="2" t="s">
        <v>532</v>
      </c>
      <c r="L1601" s="2" t="s">
        <v>339</v>
      </c>
      <c r="M1601" s="2" t="s">
        <v>80</v>
      </c>
      <c r="P1601" s="2" t="s">
        <v>72</v>
      </c>
      <c r="Q1601" s="2" t="s">
        <v>73</v>
      </c>
      <c r="R1601" s="2" t="s">
        <v>74</v>
      </c>
      <c r="S1601" s="2">
        <v>1</v>
      </c>
      <c r="T1601" s="2">
        <v>210</v>
      </c>
      <c r="U1601" s="2">
        <v>48.3</v>
      </c>
      <c r="V1601" s="2">
        <v>258.3</v>
      </c>
      <c r="W1601" s="2">
        <v>117.453</v>
      </c>
      <c r="X1601" s="5">
        <f t="shared" si="223"/>
        <v>0.44069999999999998</v>
      </c>
      <c r="Z1601" s="2" t="s">
        <v>3227</v>
      </c>
      <c r="AA1601" s="2" t="s">
        <v>75</v>
      </c>
      <c r="AB1601" s="2" t="s">
        <v>76</v>
      </c>
      <c r="AC1601" s="2" t="s">
        <v>77</v>
      </c>
      <c r="AF1601" s="2">
        <f t="shared" si="215"/>
        <v>0</v>
      </c>
      <c r="AG1601" s="2">
        <v>117.453</v>
      </c>
      <c r="AH1601" s="2">
        <v>220</v>
      </c>
      <c r="AJ1601" s="2">
        <f t="shared" si="216"/>
        <v>0</v>
      </c>
      <c r="AK1601" s="2">
        <f t="shared" si="221"/>
        <v>92.546999999999997</v>
      </c>
      <c r="AL1601" s="5">
        <f t="shared" si="224"/>
        <v>0.44069999999999998</v>
      </c>
    </row>
    <row r="1602" spans="1:38" x14ac:dyDescent="0.2">
      <c r="A1602" s="2">
        <v>2025</v>
      </c>
      <c r="B1602" s="2">
        <v>6</v>
      </c>
      <c r="D1602" s="2" t="s">
        <v>530</v>
      </c>
      <c r="E1602" s="2" t="s">
        <v>108</v>
      </c>
      <c r="F1602" s="2" t="s">
        <v>531</v>
      </c>
      <c r="G1602" s="2">
        <v>502139552</v>
      </c>
      <c r="H1602" s="2" t="s">
        <v>40</v>
      </c>
      <c r="I1602" s="2" t="s">
        <v>339</v>
      </c>
      <c r="J1602" s="2" t="s">
        <v>532</v>
      </c>
      <c r="L1602" s="2" t="s">
        <v>339</v>
      </c>
      <c r="M1602" s="2" t="s">
        <v>80</v>
      </c>
      <c r="P1602" s="2" t="s">
        <v>72</v>
      </c>
      <c r="Q1602" s="2" t="s">
        <v>1035</v>
      </c>
      <c r="R1602" s="2" t="s">
        <v>79</v>
      </c>
      <c r="S1602" s="2">
        <v>1</v>
      </c>
      <c r="T1602" s="2">
        <v>210</v>
      </c>
      <c r="U1602" s="2">
        <v>48.3</v>
      </c>
      <c r="V1602" s="2">
        <v>258.3</v>
      </c>
      <c r="W1602" s="2">
        <v>113.33</v>
      </c>
      <c r="X1602" s="5">
        <f t="shared" si="223"/>
        <v>0.46033333333333332</v>
      </c>
      <c r="Z1602" s="2" t="s">
        <v>3227</v>
      </c>
      <c r="AA1602" s="2" t="s">
        <v>75</v>
      </c>
      <c r="AB1602" s="2" t="s">
        <v>76</v>
      </c>
      <c r="AC1602" s="2" t="s">
        <v>77</v>
      </c>
      <c r="AF1602" s="2">
        <f t="shared" ref="AF1602:AF1665" si="225">AJ1602</f>
        <v>0</v>
      </c>
      <c r="AG1602" s="2">
        <v>113.33</v>
      </c>
      <c r="AH1602" s="2">
        <v>220</v>
      </c>
      <c r="AJ1602" s="2">
        <f t="shared" ref="AJ1602:AJ1665" si="226">AI1602*T1602</f>
        <v>0</v>
      </c>
      <c r="AK1602" s="2">
        <f t="shared" si="221"/>
        <v>96.67</v>
      </c>
      <c r="AL1602" s="5">
        <f t="shared" si="224"/>
        <v>0.46033333333333332</v>
      </c>
    </row>
    <row r="1603" spans="1:38" x14ac:dyDescent="0.2">
      <c r="A1603" s="2">
        <v>2025</v>
      </c>
      <c r="B1603" s="2">
        <v>6</v>
      </c>
      <c r="D1603" s="2" t="s">
        <v>530</v>
      </c>
      <c r="E1603" s="2" t="s">
        <v>108</v>
      </c>
      <c r="F1603" s="2" t="s">
        <v>531</v>
      </c>
      <c r="G1603" s="2">
        <v>502139552</v>
      </c>
      <c r="H1603" s="2" t="s">
        <v>40</v>
      </c>
      <c r="I1603" s="2" t="s">
        <v>339</v>
      </c>
      <c r="J1603" s="2" t="s">
        <v>532</v>
      </c>
      <c r="L1603" s="2" t="s">
        <v>339</v>
      </c>
      <c r="M1603" s="2" t="s">
        <v>40</v>
      </c>
      <c r="P1603" s="2" t="s">
        <v>40</v>
      </c>
      <c r="Q1603" s="2" t="s">
        <v>140</v>
      </c>
      <c r="R1603" s="2" t="s">
        <v>141</v>
      </c>
      <c r="S1603" s="2">
        <v>-2</v>
      </c>
      <c r="T1603" s="2">
        <v>-10.89</v>
      </c>
      <c r="U1603" s="2">
        <v>-2.5047000000000001</v>
      </c>
      <c r="V1603" s="2">
        <v>-13.3947</v>
      </c>
      <c r="Z1603" s="2" t="s">
        <v>119</v>
      </c>
      <c r="AA1603" s="2" t="s">
        <v>142</v>
      </c>
      <c r="AF1603" s="2">
        <f t="shared" si="225"/>
        <v>0</v>
      </c>
      <c r="AJ1603" s="2">
        <f t="shared" si="226"/>
        <v>0</v>
      </c>
    </row>
    <row r="1604" spans="1:38" x14ac:dyDescent="0.2">
      <c r="A1604" s="2">
        <v>2025</v>
      </c>
      <c r="B1604" s="2">
        <v>6</v>
      </c>
      <c r="D1604" s="2" t="s">
        <v>530</v>
      </c>
      <c r="E1604" s="2" t="s">
        <v>108</v>
      </c>
      <c r="F1604" s="2" t="s">
        <v>531</v>
      </c>
      <c r="G1604" s="2">
        <v>502139552</v>
      </c>
      <c r="H1604" s="2" t="s">
        <v>40</v>
      </c>
      <c r="I1604" s="2" t="s">
        <v>339</v>
      </c>
      <c r="J1604" s="2" t="s">
        <v>532</v>
      </c>
      <c r="L1604" s="2" t="s">
        <v>339</v>
      </c>
      <c r="M1604" s="2" t="s">
        <v>80</v>
      </c>
      <c r="P1604" s="2" t="s">
        <v>93</v>
      </c>
      <c r="Q1604" s="2" t="s">
        <v>94</v>
      </c>
      <c r="R1604" s="2" t="s">
        <v>95</v>
      </c>
      <c r="S1604" s="2">
        <v>2</v>
      </c>
      <c r="T1604" s="2">
        <v>2.2799999999999998</v>
      </c>
      <c r="U1604" s="2">
        <v>0.52439999999999998</v>
      </c>
      <c r="V1604" s="2">
        <v>2.8043999999999998</v>
      </c>
      <c r="W1604" s="2">
        <v>2.2799999999999998</v>
      </c>
      <c r="X1604" s="5">
        <f t="shared" ref="X1604:X1627" si="227">(T1604-W1604)/T1604</f>
        <v>0</v>
      </c>
      <c r="Z1604" s="2" t="s">
        <v>3227</v>
      </c>
      <c r="AA1604" s="2" t="s">
        <v>96</v>
      </c>
      <c r="AB1604" s="2" t="s">
        <v>76</v>
      </c>
      <c r="AC1604" s="2" t="s">
        <v>93</v>
      </c>
      <c r="AF1604" s="2">
        <f t="shared" si="225"/>
        <v>0</v>
      </c>
      <c r="AJ1604" s="2">
        <f t="shared" si="226"/>
        <v>0</v>
      </c>
      <c r="AK1604" s="2">
        <f t="shared" ref="AK1604:AK1635" si="228">T1604-W1604</f>
        <v>0</v>
      </c>
      <c r="AL1604" s="5">
        <f t="shared" ref="AL1604:AL1627" si="229">(T1604-W1604)/T1604</f>
        <v>0</v>
      </c>
    </row>
    <row r="1605" spans="1:38" x14ac:dyDescent="0.2">
      <c r="A1605" s="2">
        <v>2025</v>
      </c>
      <c r="B1605" s="2">
        <v>6</v>
      </c>
      <c r="D1605" s="2" t="s">
        <v>1720</v>
      </c>
      <c r="E1605" s="2" t="s">
        <v>108</v>
      </c>
      <c r="F1605" s="2" t="s">
        <v>717</v>
      </c>
      <c r="P1605" s="2" t="s">
        <v>187</v>
      </c>
      <c r="Q1605" s="2" t="s">
        <v>1721</v>
      </c>
      <c r="R1605" s="2" t="s">
        <v>1722</v>
      </c>
      <c r="S1605" s="2">
        <v>8</v>
      </c>
      <c r="T1605" s="2">
        <v>302.68</v>
      </c>
      <c r="U1605" s="2">
        <v>69.616399999999999</v>
      </c>
      <c r="V1605" s="2">
        <v>372.29640000000001</v>
      </c>
      <c r="X1605" s="5">
        <f t="shared" si="227"/>
        <v>1</v>
      </c>
      <c r="Z1605" s="2" t="s">
        <v>117</v>
      </c>
      <c r="AA1605" s="2" t="s">
        <v>118</v>
      </c>
      <c r="AB1605" s="2" t="s">
        <v>119</v>
      </c>
      <c r="AC1605" s="2" t="s">
        <v>1608</v>
      </c>
      <c r="AF1605" s="2">
        <f t="shared" si="225"/>
        <v>0</v>
      </c>
      <c r="AJ1605" s="2">
        <f t="shared" si="226"/>
        <v>0</v>
      </c>
      <c r="AK1605" s="2">
        <f t="shared" si="228"/>
        <v>302.68</v>
      </c>
      <c r="AL1605" s="5">
        <f t="shared" si="229"/>
        <v>1</v>
      </c>
    </row>
    <row r="1606" spans="1:38" x14ac:dyDescent="0.2">
      <c r="A1606" s="2">
        <v>2025</v>
      </c>
      <c r="B1606" s="2">
        <v>6</v>
      </c>
      <c r="D1606" s="2" t="s">
        <v>1720</v>
      </c>
      <c r="E1606" s="2" t="s">
        <v>108</v>
      </c>
      <c r="F1606" s="2" t="s">
        <v>717</v>
      </c>
      <c r="P1606" s="2" t="s">
        <v>40</v>
      </c>
      <c r="Q1606" s="2" t="s">
        <v>363</v>
      </c>
      <c r="R1606" s="2" t="s">
        <v>364</v>
      </c>
      <c r="S1606" s="2">
        <v>1</v>
      </c>
      <c r="T1606" s="2">
        <v>344.58</v>
      </c>
      <c r="U1606" s="2">
        <v>79.253399999999999</v>
      </c>
      <c r="V1606" s="2">
        <v>423.83339999999998</v>
      </c>
      <c r="X1606" s="5">
        <f t="shared" si="227"/>
        <v>1</v>
      </c>
      <c r="Z1606" s="2" t="s">
        <v>119</v>
      </c>
      <c r="AA1606" s="2" t="s">
        <v>3380</v>
      </c>
      <c r="AF1606" s="2">
        <f t="shared" si="225"/>
        <v>0</v>
      </c>
      <c r="AJ1606" s="2">
        <f t="shared" si="226"/>
        <v>0</v>
      </c>
      <c r="AK1606" s="2">
        <f t="shared" si="228"/>
        <v>344.58</v>
      </c>
      <c r="AL1606" s="5">
        <f t="shared" si="229"/>
        <v>1</v>
      </c>
    </row>
    <row r="1607" spans="1:38" x14ac:dyDescent="0.2">
      <c r="A1607" s="2">
        <v>2025</v>
      </c>
      <c r="B1607" s="2">
        <v>6</v>
      </c>
      <c r="D1607" s="2" t="s">
        <v>1418</v>
      </c>
      <c r="E1607" s="2" t="s">
        <v>108</v>
      </c>
      <c r="F1607" s="2" t="s">
        <v>39</v>
      </c>
      <c r="G1607" s="2">
        <v>502696338</v>
      </c>
      <c r="H1607" s="2" t="s">
        <v>40</v>
      </c>
      <c r="I1607" s="2" t="s">
        <v>2411</v>
      </c>
      <c r="J1607" s="2" t="s">
        <v>2412</v>
      </c>
      <c r="L1607" s="2" t="s">
        <v>201</v>
      </c>
      <c r="M1607" s="2" t="s">
        <v>80</v>
      </c>
      <c r="P1607" s="2" t="s">
        <v>1038</v>
      </c>
      <c r="Q1607" s="2" t="s">
        <v>1723</v>
      </c>
      <c r="R1607" s="2" t="s">
        <v>1724</v>
      </c>
      <c r="S1607" s="2">
        <v>1</v>
      </c>
      <c r="T1607" s="2">
        <v>210</v>
      </c>
      <c r="U1607" s="2">
        <v>48.3</v>
      </c>
      <c r="V1607" s="2">
        <v>258.3</v>
      </c>
      <c r="W1607" s="2">
        <v>119.06</v>
      </c>
      <c r="X1607" s="5">
        <f t="shared" si="227"/>
        <v>0.43304761904761901</v>
      </c>
      <c r="Z1607" s="2" t="s">
        <v>3227</v>
      </c>
      <c r="AA1607" s="2" t="s">
        <v>75</v>
      </c>
      <c r="AB1607" s="2" t="s">
        <v>76</v>
      </c>
      <c r="AC1607" s="2" t="s">
        <v>1038</v>
      </c>
      <c r="AF1607" s="2">
        <f t="shared" si="225"/>
        <v>0</v>
      </c>
      <c r="AJ1607" s="2">
        <f t="shared" si="226"/>
        <v>0</v>
      </c>
      <c r="AK1607" s="2">
        <f t="shared" si="228"/>
        <v>90.94</v>
      </c>
      <c r="AL1607" s="5">
        <f t="shared" si="229"/>
        <v>0.43304761904761901</v>
      </c>
    </row>
    <row r="1608" spans="1:38" x14ac:dyDescent="0.2">
      <c r="A1608" s="2">
        <v>2025</v>
      </c>
      <c r="B1608" s="2">
        <v>6</v>
      </c>
      <c r="D1608" s="2" t="s">
        <v>1418</v>
      </c>
      <c r="E1608" s="2" t="s">
        <v>108</v>
      </c>
      <c r="F1608" s="2" t="s">
        <v>39</v>
      </c>
      <c r="G1608" s="2">
        <v>502696338</v>
      </c>
      <c r="H1608" s="2" t="s">
        <v>40</v>
      </c>
      <c r="I1608" s="2" t="s">
        <v>2411</v>
      </c>
      <c r="J1608" s="2" t="s">
        <v>2412</v>
      </c>
      <c r="L1608" s="2" t="s">
        <v>201</v>
      </c>
      <c r="M1608" s="2" t="s">
        <v>80</v>
      </c>
      <c r="P1608" s="2" t="s">
        <v>93</v>
      </c>
      <c r="Q1608" s="2" t="s">
        <v>94</v>
      </c>
      <c r="R1608" s="2" t="s">
        <v>95</v>
      </c>
      <c r="S1608" s="2">
        <v>1</v>
      </c>
      <c r="T1608" s="2">
        <v>1.1399999999999999</v>
      </c>
      <c r="U1608" s="2">
        <v>0.26219999999999999</v>
      </c>
      <c r="V1608" s="2">
        <v>1.4021999999999999</v>
      </c>
      <c r="W1608" s="2">
        <v>1.1399999999999999</v>
      </c>
      <c r="X1608" s="5">
        <f t="shared" si="227"/>
        <v>0</v>
      </c>
      <c r="Z1608" s="2" t="s">
        <v>3227</v>
      </c>
      <c r="AA1608" s="2" t="s">
        <v>96</v>
      </c>
      <c r="AB1608" s="2" t="s">
        <v>76</v>
      </c>
      <c r="AC1608" s="2" t="s">
        <v>93</v>
      </c>
      <c r="AF1608" s="2">
        <f t="shared" si="225"/>
        <v>0</v>
      </c>
      <c r="AJ1608" s="2">
        <f t="shared" si="226"/>
        <v>0</v>
      </c>
      <c r="AK1608" s="2">
        <f t="shared" si="228"/>
        <v>0</v>
      </c>
      <c r="AL1608" s="5">
        <f t="shared" si="229"/>
        <v>0</v>
      </c>
    </row>
    <row r="1609" spans="1:38" x14ac:dyDescent="0.2">
      <c r="A1609" s="2">
        <v>2025</v>
      </c>
      <c r="B1609" s="2">
        <v>6</v>
      </c>
      <c r="D1609" s="2" t="s">
        <v>549</v>
      </c>
      <c r="E1609" s="2" t="s">
        <v>108</v>
      </c>
      <c r="F1609" s="2" t="s">
        <v>395</v>
      </c>
      <c r="G1609" s="2">
        <v>503641790</v>
      </c>
      <c r="H1609" s="2" t="s">
        <v>40</v>
      </c>
      <c r="I1609" s="2" t="s">
        <v>550</v>
      </c>
      <c r="J1609" s="2" t="s">
        <v>551</v>
      </c>
      <c r="K1609" s="2">
        <v>917753665</v>
      </c>
      <c r="L1609" s="2" t="s">
        <v>99</v>
      </c>
      <c r="M1609" s="2" t="s">
        <v>80</v>
      </c>
      <c r="O1609" s="2" t="s">
        <v>1725</v>
      </c>
      <c r="P1609" s="2" t="s">
        <v>72</v>
      </c>
      <c r="Q1609" s="2" t="s">
        <v>306</v>
      </c>
      <c r="R1609" s="2" t="s">
        <v>307</v>
      </c>
      <c r="S1609" s="2">
        <v>1</v>
      </c>
      <c r="T1609" s="2">
        <v>220</v>
      </c>
      <c r="U1609" s="2">
        <v>50.6</v>
      </c>
      <c r="V1609" s="2">
        <v>270.60000000000002</v>
      </c>
      <c r="W1609" s="2">
        <v>119.33</v>
      </c>
      <c r="X1609" s="5">
        <f t="shared" si="227"/>
        <v>0.4575909090909091</v>
      </c>
      <c r="Z1609" s="2" t="s">
        <v>3227</v>
      </c>
      <c r="AA1609" s="2" t="s">
        <v>75</v>
      </c>
      <c r="AB1609" s="2" t="s">
        <v>76</v>
      </c>
      <c r="AC1609" s="2" t="s">
        <v>77</v>
      </c>
      <c r="AF1609" s="2">
        <f t="shared" si="225"/>
        <v>0</v>
      </c>
      <c r="AG1609" s="2">
        <v>119.33</v>
      </c>
      <c r="AH1609" s="2">
        <v>220</v>
      </c>
      <c r="AJ1609" s="2">
        <f t="shared" si="226"/>
        <v>0</v>
      </c>
      <c r="AK1609" s="2">
        <f t="shared" si="228"/>
        <v>100.67</v>
      </c>
      <c r="AL1609" s="5">
        <f t="shared" si="229"/>
        <v>0.4575909090909091</v>
      </c>
    </row>
    <row r="1610" spans="1:38" x14ac:dyDescent="0.2">
      <c r="A1610" s="2">
        <v>2025</v>
      </c>
      <c r="B1610" s="2">
        <v>6</v>
      </c>
      <c r="D1610" s="2" t="s">
        <v>549</v>
      </c>
      <c r="E1610" s="2" t="s">
        <v>108</v>
      </c>
      <c r="F1610" s="2" t="s">
        <v>395</v>
      </c>
      <c r="G1610" s="2">
        <v>503641790</v>
      </c>
      <c r="H1610" s="2" t="s">
        <v>40</v>
      </c>
      <c r="I1610" s="2" t="s">
        <v>550</v>
      </c>
      <c r="J1610" s="2" t="s">
        <v>551</v>
      </c>
      <c r="K1610" s="2">
        <v>917753665</v>
      </c>
      <c r="L1610" s="2" t="s">
        <v>99</v>
      </c>
      <c r="M1610" s="2" t="s">
        <v>80</v>
      </c>
      <c r="O1610" s="2" t="s">
        <v>1726</v>
      </c>
      <c r="P1610" s="2" t="s">
        <v>72</v>
      </c>
      <c r="Q1610" s="2" t="s">
        <v>78</v>
      </c>
      <c r="R1610" s="2" t="s">
        <v>79</v>
      </c>
      <c r="S1610" s="2">
        <v>1</v>
      </c>
      <c r="T1610" s="2">
        <v>210</v>
      </c>
      <c r="U1610" s="2">
        <v>48.3</v>
      </c>
      <c r="V1610" s="2">
        <v>258.3</v>
      </c>
      <c r="W1610" s="2">
        <v>111.98</v>
      </c>
      <c r="X1610" s="5">
        <f t="shared" si="227"/>
        <v>0.46676190476190477</v>
      </c>
      <c r="Z1610" s="2" t="s">
        <v>3227</v>
      </c>
      <c r="AA1610" s="2" t="s">
        <v>75</v>
      </c>
      <c r="AB1610" s="2" t="s">
        <v>76</v>
      </c>
      <c r="AC1610" s="2" t="s">
        <v>77</v>
      </c>
      <c r="AF1610" s="2">
        <f t="shared" si="225"/>
        <v>0</v>
      </c>
      <c r="AG1610" s="2">
        <v>111.98</v>
      </c>
      <c r="AH1610" s="2">
        <v>210</v>
      </c>
      <c r="AJ1610" s="2">
        <f t="shared" si="226"/>
        <v>0</v>
      </c>
      <c r="AK1610" s="2">
        <f t="shared" si="228"/>
        <v>98.02</v>
      </c>
      <c r="AL1610" s="5">
        <f t="shared" si="229"/>
        <v>0.46676190476190477</v>
      </c>
    </row>
    <row r="1611" spans="1:38" x14ac:dyDescent="0.2">
      <c r="A1611" s="2">
        <v>2025</v>
      </c>
      <c r="B1611" s="2">
        <v>6</v>
      </c>
      <c r="D1611" s="2" t="s">
        <v>549</v>
      </c>
      <c r="E1611" s="2" t="s">
        <v>108</v>
      </c>
      <c r="F1611" s="2" t="s">
        <v>395</v>
      </c>
      <c r="G1611" s="2">
        <v>503641790</v>
      </c>
      <c r="H1611" s="2" t="s">
        <v>40</v>
      </c>
      <c r="I1611" s="2" t="s">
        <v>550</v>
      </c>
      <c r="J1611" s="2" t="s">
        <v>551</v>
      </c>
      <c r="K1611" s="2">
        <v>917753665</v>
      </c>
      <c r="L1611" s="2" t="s">
        <v>99</v>
      </c>
      <c r="M1611" s="2" t="s">
        <v>80</v>
      </c>
      <c r="O1611" s="2" t="s">
        <v>1727</v>
      </c>
      <c r="P1611" s="2" t="s">
        <v>1038</v>
      </c>
      <c r="Q1611" s="2" t="s">
        <v>1728</v>
      </c>
      <c r="R1611" s="2" t="s">
        <v>1729</v>
      </c>
      <c r="S1611" s="2">
        <v>1</v>
      </c>
      <c r="T1611" s="2">
        <v>180</v>
      </c>
      <c r="U1611" s="2">
        <v>41.4</v>
      </c>
      <c r="V1611" s="2">
        <v>221.4</v>
      </c>
      <c r="W1611" s="2">
        <v>141.16</v>
      </c>
      <c r="X1611" s="5">
        <f t="shared" si="227"/>
        <v>0.21577777777777779</v>
      </c>
      <c r="Z1611" s="2" t="s">
        <v>3227</v>
      </c>
      <c r="AA1611" s="2" t="s">
        <v>75</v>
      </c>
      <c r="AB1611" s="2" t="s">
        <v>76</v>
      </c>
      <c r="AC1611" s="2" t="s">
        <v>1038</v>
      </c>
      <c r="AF1611" s="2">
        <f t="shared" si="225"/>
        <v>0</v>
      </c>
      <c r="AG1611" s="2">
        <v>141.16</v>
      </c>
      <c r="AH1611" s="2">
        <v>220</v>
      </c>
      <c r="AJ1611" s="2">
        <f t="shared" si="226"/>
        <v>0</v>
      </c>
      <c r="AK1611" s="2">
        <f t="shared" si="228"/>
        <v>38.840000000000003</v>
      </c>
      <c r="AL1611" s="5">
        <f t="shared" si="229"/>
        <v>0.21577777777777779</v>
      </c>
    </row>
    <row r="1612" spans="1:38" x14ac:dyDescent="0.2">
      <c r="A1612" s="2">
        <v>2025</v>
      </c>
      <c r="B1612" s="2">
        <v>6</v>
      </c>
      <c r="D1612" s="2" t="s">
        <v>549</v>
      </c>
      <c r="E1612" s="2" t="s">
        <v>108</v>
      </c>
      <c r="F1612" s="2" t="s">
        <v>395</v>
      </c>
      <c r="G1612" s="2">
        <v>503641790</v>
      </c>
      <c r="H1612" s="2" t="s">
        <v>40</v>
      </c>
      <c r="I1612" s="2" t="s">
        <v>550</v>
      </c>
      <c r="J1612" s="2" t="s">
        <v>551</v>
      </c>
      <c r="K1612" s="2">
        <v>917753665</v>
      </c>
      <c r="L1612" s="2" t="s">
        <v>99</v>
      </c>
      <c r="M1612" s="2" t="s">
        <v>80</v>
      </c>
      <c r="O1612" s="2" t="s">
        <v>1727</v>
      </c>
      <c r="P1612" s="2" t="s">
        <v>93</v>
      </c>
      <c r="Q1612" s="2" t="s">
        <v>94</v>
      </c>
      <c r="R1612" s="2" t="s">
        <v>95</v>
      </c>
      <c r="S1612" s="2">
        <v>3</v>
      </c>
      <c r="T1612" s="2">
        <v>3.42</v>
      </c>
      <c r="U1612" s="2">
        <v>0.78659999999999997</v>
      </c>
      <c r="V1612" s="2">
        <v>4.2065999999999999</v>
      </c>
      <c r="W1612" s="2">
        <v>3.42</v>
      </c>
      <c r="X1612" s="5">
        <f t="shared" si="227"/>
        <v>0</v>
      </c>
      <c r="Z1612" s="2" t="s">
        <v>3227</v>
      </c>
      <c r="AA1612" s="2" t="s">
        <v>96</v>
      </c>
      <c r="AB1612" s="2" t="s">
        <v>76</v>
      </c>
      <c r="AC1612" s="2" t="s">
        <v>93</v>
      </c>
      <c r="AF1612" s="2">
        <f t="shared" si="225"/>
        <v>0</v>
      </c>
      <c r="AG1612" s="2">
        <v>1.1399999999999999</v>
      </c>
      <c r="AH1612" s="2">
        <v>1.1399999999999999</v>
      </c>
      <c r="AJ1612" s="2">
        <f t="shared" si="226"/>
        <v>0</v>
      </c>
      <c r="AK1612" s="2">
        <f t="shared" si="228"/>
        <v>0</v>
      </c>
      <c r="AL1612" s="5">
        <f t="shared" si="229"/>
        <v>0</v>
      </c>
    </row>
    <row r="1613" spans="1:38" x14ac:dyDescent="0.2">
      <c r="A1613" s="2">
        <v>2025</v>
      </c>
      <c r="B1613" s="2">
        <v>6</v>
      </c>
      <c r="D1613" s="2" t="s">
        <v>1621</v>
      </c>
      <c r="E1613" s="2" t="s">
        <v>108</v>
      </c>
      <c r="F1613" s="2" t="s">
        <v>39</v>
      </c>
      <c r="L1613" s="2" t="s">
        <v>112</v>
      </c>
      <c r="M1613" s="2" t="s">
        <v>109</v>
      </c>
      <c r="P1613" s="2" t="s">
        <v>43</v>
      </c>
      <c r="Q1613" s="2" t="s">
        <v>232</v>
      </c>
      <c r="R1613" s="2" t="s">
        <v>233</v>
      </c>
      <c r="S1613" s="2">
        <v>1</v>
      </c>
      <c r="T1613" s="2">
        <v>12</v>
      </c>
      <c r="U1613" s="2">
        <v>2.76</v>
      </c>
      <c r="V1613" s="2">
        <v>14.76</v>
      </c>
      <c r="W1613" s="2">
        <v>5.9066999999999998</v>
      </c>
      <c r="X1613" s="5">
        <f t="shared" si="227"/>
        <v>0.50777499999999998</v>
      </c>
      <c r="Z1613" s="2" t="s">
        <v>3227</v>
      </c>
      <c r="AA1613" s="2" t="s">
        <v>46</v>
      </c>
      <c r="AB1613" s="2" t="s">
        <v>56</v>
      </c>
      <c r="AC1613" s="2" t="s">
        <v>57</v>
      </c>
      <c r="AF1613" s="2">
        <f t="shared" si="225"/>
        <v>0</v>
      </c>
      <c r="AG1613" s="2">
        <v>5.9066999999999998</v>
      </c>
      <c r="AH1613" s="2">
        <v>12.6</v>
      </c>
      <c r="AJ1613" s="2">
        <f t="shared" si="226"/>
        <v>0</v>
      </c>
      <c r="AK1613" s="2">
        <f t="shared" si="228"/>
        <v>6.0933000000000002</v>
      </c>
      <c r="AL1613" s="5">
        <f t="shared" si="229"/>
        <v>0.50777499999999998</v>
      </c>
    </row>
    <row r="1614" spans="1:38" x14ac:dyDescent="0.2">
      <c r="A1614" s="2">
        <v>2025</v>
      </c>
      <c r="B1614" s="2">
        <v>6</v>
      </c>
      <c r="D1614" s="2" t="s">
        <v>1621</v>
      </c>
      <c r="E1614" s="2" t="s">
        <v>108</v>
      </c>
      <c r="F1614" s="2" t="s">
        <v>39</v>
      </c>
      <c r="L1614" s="2" t="s">
        <v>112</v>
      </c>
      <c r="M1614" s="2" t="s">
        <v>109</v>
      </c>
      <c r="P1614" s="2" t="s">
        <v>43</v>
      </c>
      <c r="Q1614" s="2" t="s">
        <v>54</v>
      </c>
      <c r="R1614" s="2" t="s">
        <v>55</v>
      </c>
      <c r="S1614" s="2">
        <v>12</v>
      </c>
      <c r="T1614" s="2">
        <v>168</v>
      </c>
      <c r="U1614" s="2">
        <v>38.64</v>
      </c>
      <c r="V1614" s="2">
        <v>206.64</v>
      </c>
      <c r="W1614" s="2">
        <f>10.6*S1614</f>
        <v>127.19999999999999</v>
      </c>
      <c r="X1614" s="5">
        <f t="shared" si="227"/>
        <v>0.24285714285714294</v>
      </c>
      <c r="Z1614" s="2" t="s">
        <v>3227</v>
      </c>
      <c r="AA1614" s="2" t="s">
        <v>46</v>
      </c>
      <c r="AB1614" s="2" t="s">
        <v>56</v>
      </c>
      <c r="AC1614" s="2" t="s">
        <v>57</v>
      </c>
      <c r="AF1614" s="2">
        <f t="shared" si="225"/>
        <v>0</v>
      </c>
      <c r="AG1614" s="2">
        <v>10.6</v>
      </c>
      <c r="AH1614" s="2">
        <v>18</v>
      </c>
      <c r="AJ1614" s="2">
        <f t="shared" si="226"/>
        <v>0</v>
      </c>
      <c r="AK1614" s="2">
        <f t="shared" si="228"/>
        <v>40.800000000000011</v>
      </c>
      <c r="AL1614" s="5">
        <f t="shared" si="229"/>
        <v>0.24285714285714294</v>
      </c>
    </row>
    <row r="1615" spans="1:38" x14ac:dyDescent="0.2">
      <c r="A1615" s="2">
        <v>2025</v>
      </c>
      <c r="B1615" s="2">
        <v>6</v>
      </c>
      <c r="D1615" s="2" t="s">
        <v>1621</v>
      </c>
      <c r="E1615" s="2" t="s">
        <v>108</v>
      </c>
      <c r="F1615" s="2" t="s">
        <v>39</v>
      </c>
      <c r="L1615" s="2" t="s">
        <v>112</v>
      </c>
      <c r="M1615" s="2" t="s">
        <v>109</v>
      </c>
      <c r="P1615" s="2" t="s">
        <v>43</v>
      </c>
      <c r="Q1615" s="2" t="s">
        <v>1730</v>
      </c>
      <c r="R1615" s="2" t="s">
        <v>1731</v>
      </c>
      <c r="S1615" s="2">
        <v>1</v>
      </c>
      <c r="T1615" s="2">
        <v>8.4</v>
      </c>
      <c r="U1615" s="2">
        <v>1.9319999999999999</v>
      </c>
      <c r="V1615" s="2">
        <v>10.332000000000001</v>
      </c>
      <c r="W1615" s="2">
        <f>3.855</f>
        <v>3.855</v>
      </c>
      <c r="X1615" s="5">
        <f t="shared" si="227"/>
        <v>0.54107142857142854</v>
      </c>
      <c r="Z1615" s="2" t="s">
        <v>3227</v>
      </c>
      <c r="AA1615" s="2" t="s">
        <v>46</v>
      </c>
      <c r="AB1615" s="2" t="s">
        <v>56</v>
      </c>
      <c r="AC1615" s="2" t="s">
        <v>57</v>
      </c>
      <c r="AF1615" s="2">
        <f t="shared" si="225"/>
        <v>0</v>
      </c>
      <c r="AJ1615" s="2">
        <f t="shared" si="226"/>
        <v>0</v>
      </c>
      <c r="AK1615" s="2">
        <f t="shared" si="228"/>
        <v>4.5449999999999999</v>
      </c>
      <c r="AL1615" s="5">
        <f t="shared" si="229"/>
        <v>0.54107142857142854</v>
      </c>
    </row>
    <row r="1616" spans="1:38" x14ac:dyDescent="0.2">
      <c r="A1616" s="2">
        <v>2025</v>
      </c>
      <c r="B1616" s="2">
        <v>6</v>
      </c>
      <c r="D1616" s="2" t="s">
        <v>1621</v>
      </c>
      <c r="E1616" s="2" t="s">
        <v>108</v>
      </c>
      <c r="F1616" s="2" t="s">
        <v>39</v>
      </c>
      <c r="L1616" s="2" t="s">
        <v>112</v>
      </c>
      <c r="M1616" s="2" t="s">
        <v>109</v>
      </c>
      <c r="P1616" s="2" t="s">
        <v>43</v>
      </c>
      <c r="Q1616" s="2" t="s">
        <v>1732</v>
      </c>
      <c r="R1616" s="2" t="s">
        <v>1733</v>
      </c>
      <c r="S1616" s="2">
        <v>1</v>
      </c>
      <c r="T1616" s="2">
        <v>9.6</v>
      </c>
      <c r="U1616" s="2">
        <v>2.2080000000000002</v>
      </c>
      <c r="V1616" s="2">
        <v>11.808</v>
      </c>
      <c r="W1616" s="2">
        <v>5.3234000000000004</v>
      </c>
      <c r="X1616" s="5">
        <f t="shared" si="227"/>
        <v>0.44547916666666659</v>
      </c>
      <c r="Z1616" s="2" t="s">
        <v>3227</v>
      </c>
      <c r="AA1616" s="2" t="s">
        <v>46</v>
      </c>
      <c r="AB1616" s="2" t="s">
        <v>56</v>
      </c>
      <c r="AC1616" s="2" t="s">
        <v>57</v>
      </c>
      <c r="AF1616" s="2">
        <f t="shared" si="225"/>
        <v>0</v>
      </c>
      <c r="AJ1616" s="2">
        <f t="shared" si="226"/>
        <v>0</v>
      </c>
      <c r="AK1616" s="2">
        <f t="shared" si="228"/>
        <v>4.2765999999999993</v>
      </c>
      <c r="AL1616" s="5">
        <f t="shared" si="229"/>
        <v>0.44547916666666659</v>
      </c>
    </row>
    <row r="1617" spans="1:38" x14ac:dyDescent="0.2">
      <c r="A1617" s="2">
        <v>2025</v>
      </c>
      <c r="B1617" s="2">
        <v>6</v>
      </c>
      <c r="D1617" s="2" t="s">
        <v>1088</v>
      </c>
      <c r="E1617" s="2" t="s">
        <v>108</v>
      </c>
      <c r="F1617" s="2" t="s">
        <v>39</v>
      </c>
      <c r="G1617" s="2">
        <v>505194147</v>
      </c>
      <c r="H1617" s="2" t="s">
        <v>109</v>
      </c>
      <c r="I1617" s="2" t="s">
        <v>1089</v>
      </c>
      <c r="J1617" s="2" t="s">
        <v>1090</v>
      </c>
      <c r="K1617" s="2">
        <v>917523997</v>
      </c>
      <c r="L1617" s="2" t="s">
        <v>112</v>
      </c>
      <c r="M1617" s="2" t="s">
        <v>40</v>
      </c>
      <c r="O1617" s="2" t="s">
        <v>1734</v>
      </c>
      <c r="P1617" s="2" t="s">
        <v>114</v>
      </c>
      <c r="Q1617" s="2" t="s">
        <v>1735</v>
      </c>
      <c r="R1617" s="2" t="s">
        <v>1736</v>
      </c>
      <c r="S1617" s="2">
        <v>1</v>
      </c>
      <c r="T1617" s="2">
        <v>101.32</v>
      </c>
      <c r="U1617" s="2">
        <v>23.303599999999999</v>
      </c>
      <c r="V1617" s="2">
        <v>124.6236</v>
      </c>
      <c r="X1617" s="5">
        <f t="shared" si="227"/>
        <v>1</v>
      </c>
      <c r="Z1617" s="2" t="s">
        <v>117</v>
      </c>
      <c r="AA1617" s="2" t="s">
        <v>118</v>
      </c>
      <c r="AB1617" s="2" t="s">
        <v>119</v>
      </c>
      <c r="AC1617" s="2" t="s">
        <v>114</v>
      </c>
      <c r="AF1617" s="2">
        <f t="shared" si="225"/>
        <v>0</v>
      </c>
      <c r="AJ1617" s="2">
        <f t="shared" si="226"/>
        <v>0</v>
      </c>
      <c r="AK1617" s="2">
        <f t="shared" si="228"/>
        <v>101.32</v>
      </c>
      <c r="AL1617" s="5">
        <f t="shared" si="229"/>
        <v>1</v>
      </c>
    </row>
    <row r="1618" spans="1:38" x14ac:dyDescent="0.2">
      <c r="A1618" s="2">
        <v>2025</v>
      </c>
      <c r="B1618" s="2">
        <v>6</v>
      </c>
      <c r="D1618" s="2" t="s">
        <v>1088</v>
      </c>
      <c r="E1618" s="2" t="s">
        <v>108</v>
      </c>
      <c r="F1618" s="2" t="s">
        <v>39</v>
      </c>
      <c r="G1618" s="2">
        <v>505194147</v>
      </c>
      <c r="H1618" s="2" t="s">
        <v>109</v>
      </c>
      <c r="I1618" s="2" t="s">
        <v>1089</v>
      </c>
      <c r="J1618" s="2" t="s">
        <v>1090</v>
      </c>
      <c r="K1618" s="2">
        <v>917523997</v>
      </c>
      <c r="L1618" s="2" t="s">
        <v>112</v>
      </c>
      <c r="M1618" s="2" t="s">
        <v>40</v>
      </c>
      <c r="O1618" s="2" t="s">
        <v>1734</v>
      </c>
      <c r="P1618" s="2" t="s">
        <v>187</v>
      </c>
      <c r="Q1618" s="2" t="s">
        <v>191</v>
      </c>
      <c r="R1618" s="2" t="s">
        <v>190</v>
      </c>
      <c r="S1618" s="2">
        <v>2</v>
      </c>
      <c r="T1618" s="2">
        <v>100</v>
      </c>
      <c r="U1618" s="2">
        <v>23</v>
      </c>
      <c r="V1618" s="2">
        <v>123</v>
      </c>
      <c r="W1618" s="2">
        <f>T1618*50%</f>
        <v>50</v>
      </c>
      <c r="X1618" s="5">
        <f t="shared" si="227"/>
        <v>0.5</v>
      </c>
      <c r="Z1618" s="2" t="s">
        <v>117</v>
      </c>
      <c r="AA1618" s="2" t="s">
        <v>190</v>
      </c>
      <c r="AB1618" s="2" t="s">
        <v>190</v>
      </c>
      <c r="AC1618" s="2" t="s">
        <v>40</v>
      </c>
      <c r="AF1618" s="2">
        <f t="shared" si="225"/>
        <v>0</v>
      </c>
      <c r="AJ1618" s="2">
        <f t="shared" si="226"/>
        <v>0</v>
      </c>
      <c r="AK1618" s="2">
        <f t="shared" si="228"/>
        <v>50</v>
      </c>
      <c r="AL1618" s="5">
        <f t="shared" si="229"/>
        <v>0.5</v>
      </c>
    </row>
    <row r="1619" spans="1:38" x14ac:dyDescent="0.2">
      <c r="A1619" s="2">
        <v>2025</v>
      </c>
      <c r="B1619" s="2">
        <v>6</v>
      </c>
      <c r="D1619" s="2" t="s">
        <v>1737</v>
      </c>
      <c r="P1619" s="2" t="s">
        <v>114</v>
      </c>
      <c r="Q1619" s="2" t="s">
        <v>1738</v>
      </c>
      <c r="R1619" s="2" t="s">
        <v>1739</v>
      </c>
      <c r="S1619" s="2">
        <v>1</v>
      </c>
      <c r="T1619" s="2">
        <v>700</v>
      </c>
      <c r="U1619" s="2">
        <v>161</v>
      </c>
      <c r="V1619" s="2">
        <v>861</v>
      </c>
      <c r="X1619" s="5">
        <f t="shared" si="227"/>
        <v>1</v>
      </c>
      <c r="Z1619" s="2" t="s">
        <v>117</v>
      </c>
      <c r="AF1619" s="2">
        <f t="shared" si="225"/>
        <v>0</v>
      </c>
      <c r="AJ1619" s="2">
        <f t="shared" si="226"/>
        <v>0</v>
      </c>
      <c r="AK1619" s="2">
        <f t="shared" si="228"/>
        <v>700</v>
      </c>
      <c r="AL1619" s="5">
        <f t="shared" si="229"/>
        <v>1</v>
      </c>
    </row>
    <row r="1620" spans="1:38" x14ac:dyDescent="0.2">
      <c r="A1620" s="2">
        <v>2025</v>
      </c>
      <c r="B1620" s="2">
        <v>6</v>
      </c>
      <c r="D1620" s="2" t="s">
        <v>588</v>
      </c>
      <c r="E1620" s="2" t="s">
        <v>38</v>
      </c>
      <c r="F1620" s="2" t="s">
        <v>39</v>
      </c>
      <c r="G1620" s="2">
        <v>510339298</v>
      </c>
      <c r="H1620" s="2" t="s">
        <v>41</v>
      </c>
      <c r="I1620" s="2" t="s">
        <v>177</v>
      </c>
      <c r="J1620" s="2" t="s">
        <v>589</v>
      </c>
      <c r="L1620" s="2" t="s">
        <v>177</v>
      </c>
      <c r="M1620" s="2" t="s">
        <v>41</v>
      </c>
      <c r="P1620" s="2" t="s">
        <v>43</v>
      </c>
      <c r="Q1620" s="2" t="s">
        <v>160</v>
      </c>
      <c r="R1620" s="2" t="s">
        <v>161</v>
      </c>
      <c r="S1620" s="2">
        <v>1</v>
      </c>
      <c r="T1620" s="2">
        <v>7.8</v>
      </c>
      <c r="U1620" s="2">
        <v>1.794</v>
      </c>
      <c r="V1620" s="2">
        <v>9.5939999999999994</v>
      </c>
      <c r="W1620" s="2">
        <f>3.7358*S1620</f>
        <v>3.7357999999999998</v>
      </c>
      <c r="X1620" s="5">
        <f t="shared" si="227"/>
        <v>0.52105128205128204</v>
      </c>
      <c r="Z1620" s="2" t="s">
        <v>3227</v>
      </c>
      <c r="AA1620" s="2" t="s">
        <v>46</v>
      </c>
      <c r="AB1620" s="2" t="s">
        <v>47</v>
      </c>
      <c r="AC1620" s="2" t="s">
        <v>57</v>
      </c>
      <c r="AF1620" s="2">
        <f t="shared" si="225"/>
        <v>0</v>
      </c>
      <c r="AG1620" s="2">
        <v>3.7357999999999998</v>
      </c>
      <c r="AH1620" s="2">
        <v>9</v>
      </c>
      <c r="AJ1620" s="2">
        <f t="shared" si="226"/>
        <v>0</v>
      </c>
      <c r="AK1620" s="2">
        <f t="shared" si="228"/>
        <v>4.0641999999999996</v>
      </c>
      <c r="AL1620" s="5">
        <f t="shared" si="229"/>
        <v>0.52105128205128204</v>
      </c>
    </row>
    <row r="1621" spans="1:38" x14ac:dyDescent="0.2">
      <c r="A1621" s="2">
        <v>2025</v>
      </c>
      <c r="B1621" s="2">
        <v>6</v>
      </c>
      <c r="D1621" s="2" t="s">
        <v>588</v>
      </c>
      <c r="E1621" s="2" t="s">
        <v>38</v>
      </c>
      <c r="F1621" s="2" t="s">
        <v>39</v>
      </c>
      <c r="G1621" s="2">
        <v>510339298</v>
      </c>
      <c r="H1621" s="2" t="s">
        <v>41</v>
      </c>
      <c r="I1621" s="2" t="s">
        <v>177</v>
      </c>
      <c r="J1621" s="2" t="s">
        <v>589</v>
      </c>
      <c r="L1621" s="2" t="s">
        <v>177</v>
      </c>
      <c r="M1621" s="2" t="s">
        <v>41</v>
      </c>
      <c r="P1621" s="2" t="s">
        <v>43</v>
      </c>
      <c r="Q1621" s="2" t="s">
        <v>54</v>
      </c>
      <c r="R1621" s="2" t="s">
        <v>55</v>
      </c>
      <c r="S1621" s="2">
        <v>10</v>
      </c>
      <c r="T1621" s="2">
        <v>140</v>
      </c>
      <c r="U1621" s="2">
        <v>32.200000000000003</v>
      </c>
      <c r="V1621" s="2">
        <v>172.2</v>
      </c>
      <c r="W1621" s="2">
        <f>10.6*S1621</f>
        <v>106</v>
      </c>
      <c r="X1621" s="5">
        <f t="shared" si="227"/>
        <v>0.24285714285714285</v>
      </c>
      <c r="Z1621" s="2" t="s">
        <v>3227</v>
      </c>
      <c r="AA1621" s="2" t="s">
        <v>46</v>
      </c>
      <c r="AB1621" s="2" t="s">
        <v>56</v>
      </c>
      <c r="AC1621" s="2" t="s">
        <v>57</v>
      </c>
      <c r="AF1621" s="2">
        <f t="shared" si="225"/>
        <v>0</v>
      </c>
      <c r="AG1621" s="2">
        <v>10.6</v>
      </c>
      <c r="AH1621" s="2">
        <v>18</v>
      </c>
      <c r="AJ1621" s="2">
        <f t="shared" si="226"/>
        <v>0</v>
      </c>
      <c r="AK1621" s="2">
        <f t="shared" si="228"/>
        <v>34</v>
      </c>
      <c r="AL1621" s="5">
        <f t="shared" si="229"/>
        <v>0.24285714285714285</v>
      </c>
    </row>
    <row r="1622" spans="1:38" x14ac:dyDescent="0.2">
      <c r="A1622" s="2">
        <v>2025</v>
      </c>
      <c r="B1622" s="2">
        <v>6</v>
      </c>
      <c r="D1622" s="2" t="s">
        <v>588</v>
      </c>
      <c r="E1622" s="2" t="s">
        <v>38</v>
      </c>
      <c r="F1622" s="2" t="s">
        <v>39</v>
      </c>
      <c r="G1622" s="2">
        <v>510339298</v>
      </c>
      <c r="H1622" s="2" t="s">
        <v>41</v>
      </c>
      <c r="I1622" s="2" t="s">
        <v>177</v>
      </c>
      <c r="J1622" s="2" t="s">
        <v>589</v>
      </c>
      <c r="L1622" s="2" t="s">
        <v>177</v>
      </c>
      <c r="M1622" s="2" t="s">
        <v>40</v>
      </c>
      <c r="P1622" s="2" t="s">
        <v>187</v>
      </c>
      <c r="Q1622" s="2" t="s">
        <v>188</v>
      </c>
      <c r="R1622" s="2" t="s">
        <v>189</v>
      </c>
      <c r="S1622" s="2">
        <v>1</v>
      </c>
      <c r="T1622" s="2">
        <v>61</v>
      </c>
      <c r="U1622" s="2">
        <v>14.03</v>
      </c>
      <c r="V1622" s="2">
        <v>75.03</v>
      </c>
      <c r="W1622" s="2">
        <f>T1622*40%</f>
        <v>24.400000000000002</v>
      </c>
      <c r="X1622" s="5">
        <f t="shared" si="227"/>
        <v>0.59999999999999987</v>
      </c>
      <c r="Z1622" s="2" t="s">
        <v>117</v>
      </c>
      <c r="AA1622" s="2" t="s">
        <v>190</v>
      </c>
      <c r="AB1622" s="2" t="s">
        <v>189</v>
      </c>
      <c r="AC1622" s="2" t="s">
        <v>40</v>
      </c>
      <c r="AF1622" s="2">
        <f t="shared" si="225"/>
        <v>0</v>
      </c>
      <c r="AJ1622" s="2">
        <f t="shared" si="226"/>
        <v>0</v>
      </c>
      <c r="AK1622" s="2">
        <f t="shared" si="228"/>
        <v>36.599999999999994</v>
      </c>
      <c r="AL1622" s="5">
        <f t="shared" si="229"/>
        <v>0.59999999999999987</v>
      </c>
    </row>
    <row r="1623" spans="1:38" x14ac:dyDescent="0.2">
      <c r="A1623" s="2">
        <v>2025</v>
      </c>
      <c r="B1623" s="2">
        <v>6</v>
      </c>
      <c r="D1623" s="2" t="s">
        <v>588</v>
      </c>
      <c r="E1623" s="2" t="s">
        <v>38</v>
      </c>
      <c r="F1623" s="2" t="s">
        <v>39</v>
      </c>
      <c r="G1623" s="2">
        <v>510339298</v>
      </c>
      <c r="H1623" s="2" t="s">
        <v>41</v>
      </c>
      <c r="I1623" s="2" t="s">
        <v>177</v>
      </c>
      <c r="J1623" s="2" t="s">
        <v>589</v>
      </c>
      <c r="L1623" s="2" t="s">
        <v>177</v>
      </c>
      <c r="M1623" s="2" t="s">
        <v>40</v>
      </c>
      <c r="P1623" s="2" t="s">
        <v>187</v>
      </c>
      <c r="Q1623" s="2" t="s">
        <v>191</v>
      </c>
      <c r="R1623" s="2" t="s">
        <v>190</v>
      </c>
      <c r="S1623" s="2">
        <v>1.5</v>
      </c>
      <c r="T1623" s="2">
        <v>75</v>
      </c>
      <c r="U1623" s="2">
        <v>17.25</v>
      </c>
      <c r="V1623" s="2">
        <v>92.25</v>
      </c>
      <c r="W1623" s="2">
        <f>T1623*50%</f>
        <v>37.5</v>
      </c>
      <c r="X1623" s="5">
        <f t="shared" si="227"/>
        <v>0.5</v>
      </c>
      <c r="Z1623" s="2" t="s">
        <v>117</v>
      </c>
      <c r="AA1623" s="2" t="s">
        <v>190</v>
      </c>
      <c r="AB1623" s="2" t="s">
        <v>190</v>
      </c>
      <c r="AC1623" s="2" t="s">
        <v>40</v>
      </c>
      <c r="AF1623" s="2">
        <f t="shared" si="225"/>
        <v>0</v>
      </c>
      <c r="AJ1623" s="2">
        <f t="shared" si="226"/>
        <v>0</v>
      </c>
      <c r="AK1623" s="2">
        <f t="shared" si="228"/>
        <v>37.5</v>
      </c>
      <c r="AL1623" s="5">
        <f t="shared" si="229"/>
        <v>0.5</v>
      </c>
    </row>
    <row r="1624" spans="1:38" x14ac:dyDescent="0.2">
      <c r="A1624" s="2">
        <v>2025</v>
      </c>
      <c r="B1624" s="2">
        <v>6</v>
      </c>
      <c r="D1624" s="2" t="s">
        <v>1740</v>
      </c>
      <c r="E1624" s="2" t="s">
        <v>98</v>
      </c>
      <c r="F1624" s="2" t="s">
        <v>39</v>
      </c>
      <c r="G1624" s="2">
        <v>502368519</v>
      </c>
      <c r="H1624" s="2" t="s">
        <v>41</v>
      </c>
      <c r="I1624" s="2" t="s">
        <v>1126</v>
      </c>
      <c r="J1624" s="2" t="s">
        <v>1741</v>
      </c>
      <c r="K1624" s="2">
        <v>968602188</v>
      </c>
      <c r="L1624" s="2" t="s">
        <v>461</v>
      </c>
      <c r="M1624" s="2" t="s">
        <v>40</v>
      </c>
      <c r="P1624" s="2" t="s">
        <v>187</v>
      </c>
      <c r="Q1624" s="2" t="s">
        <v>188</v>
      </c>
      <c r="R1624" s="2" t="s">
        <v>189</v>
      </c>
      <c r="S1624" s="2">
        <v>1</v>
      </c>
      <c r="T1624" s="2">
        <v>174</v>
      </c>
      <c r="U1624" s="2">
        <v>40.020000000000003</v>
      </c>
      <c r="V1624" s="2">
        <v>214.02</v>
      </c>
      <c r="W1624" s="2">
        <f>T1624*40%</f>
        <v>69.600000000000009</v>
      </c>
      <c r="X1624" s="5">
        <f t="shared" si="227"/>
        <v>0.6</v>
      </c>
      <c r="Z1624" s="2" t="s">
        <v>117</v>
      </c>
      <c r="AA1624" s="2" t="s">
        <v>190</v>
      </c>
      <c r="AB1624" s="2" t="s">
        <v>189</v>
      </c>
      <c r="AC1624" s="2" t="s">
        <v>40</v>
      </c>
      <c r="AF1624" s="2">
        <f t="shared" si="225"/>
        <v>0</v>
      </c>
      <c r="AJ1624" s="2">
        <f t="shared" si="226"/>
        <v>0</v>
      </c>
      <c r="AK1624" s="2">
        <f t="shared" si="228"/>
        <v>104.39999999999999</v>
      </c>
      <c r="AL1624" s="5">
        <f t="shared" si="229"/>
        <v>0.6</v>
      </c>
    </row>
    <row r="1625" spans="1:38" x14ac:dyDescent="0.2">
      <c r="A1625" s="2">
        <v>2025</v>
      </c>
      <c r="B1625" s="2">
        <v>6</v>
      </c>
      <c r="D1625" s="2" t="s">
        <v>1740</v>
      </c>
      <c r="E1625" s="2" t="s">
        <v>98</v>
      </c>
      <c r="F1625" s="2" t="s">
        <v>39</v>
      </c>
      <c r="G1625" s="2">
        <v>502368519</v>
      </c>
      <c r="H1625" s="2" t="s">
        <v>41</v>
      </c>
      <c r="I1625" s="2" t="s">
        <v>1126</v>
      </c>
      <c r="J1625" s="2" t="s">
        <v>1741</v>
      </c>
      <c r="K1625" s="2">
        <v>968602188</v>
      </c>
      <c r="L1625" s="2" t="s">
        <v>461</v>
      </c>
      <c r="M1625" s="2" t="s">
        <v>40</v>
      </c>
      <c r="P1625" s="2" t="s">
        <v>187</v>
      </c>
      <c r="Q1625" s="2" t="s">
        <v>191</v>
      </c>
      <c r="R1625" s="2" t="s">
        <v>190</v>
      </c>
      <c r="S1625" s="2">
        <v>1.5</v>
      </c>
      <c r="T1625" s="2">
        <v>75</v>
      </c>
      <c r="U1625" s="2">
        <v>17.25</v>
      </c>
      <c r="V1625" s="2">
        <v>92.25</v>
      </c>
      <c r="W1625" s="2">
        <f>T1625*50%</f>
        <v>37.5</v>
      </c>
      <c r="X1625" s="5">
        <f t="shared" si="227"/>
        <v>0.5</v>
      </c>
      <c r="Z1625" s="2" t="s">
        <v>117</v>
      </c>
      <c r="AA1625" s="2" t="s">
        <v>190</v>
      </c>
      <c r="AB1625" s="2" t="s">
        <v>190</v>
      </c>
      <c r="AC1625" s="2" t="s">
        <v>40</v>
      </c>
      <c r="AF1625" s="2">
        <f t="shared" si="225"/>
        <v>0</v>
      </c>
      <c r="AJ1625" s="2">
        <f t="shared" si="226"/>
        <v>0</v>
      </c>
      <c r="AK1625" s="2">
        <f t="shared" si="228"/>
        <v>37.5</v>
      </c>
      <c r="AL1625" s="5">
        <f t="shared" si="229"/>
        <v>0.5</v>
      </c>
    </row>
    <row r="1626" spans="1:38" x14ac:dyDescent="0.2">
      <c r="A1626" s="2">
        <v>2025</v>
      </c>
      <c r="B1626" s="2">
        <v>6</v>
      </c>
      <c r="D1626" s="2" t="s">
        <v>617</v>
      </c>
      <c r="E1626" s="2" t="s">
        <v>38</v>
      </c>
      <c r="F1626" s="2" t="s">
        <v>39</v>
      </c>
      <c r="G1626" s="2">
        <v>513759654</v>
      </c>
      <c r="H1626" s="2" t="s">
        <v>41</v>
      </c>
      <c r="I1626" s="2" t="s">
        <v>618</v>
      </c>
      <c r="J1626" s="2" t="s">
        <v>619</v>
      </c>
      <c r="L1626" s="2" t="s">
        <v>418</v>
      </c>
      <c r="M1626" s="2" t="s">
        <v>40</v>
      </c>
      <c r="P1626" s="2" t="s">
        <v>114</v>
      </c>
      <c r="Q1626" s="2" t="s">
        <v>904</v>
      </c>
      <c r="R1626" s="2" t="s">
        <v>905</v>
      </c>
      <c r="S1626" s="2">
        <v>1</v>
      </c>
      <c r="T1626" s="2">
        <v>699.3</v>
      </c>
      <c r="U1626" s="2">
        <v>160.839</v>
      </c>
      <c r="V1626" s="2">
        <v>860.1389999999999</v>
      </c>
      <c r="W1626" s="2">
        <v>345.20339999999999</v>
      </c>
      <c r="X1626" s="5">
        <f t="shared" si="227"/>
        <v>0.50635864435864431</v>
      </c>
      <c r="Z1626" s="2" t="s">
        <v>117</v>
      </c>
      <c r="AA1626" s="2" t="s">
        <v>181</v>
      </c>
      <c r="AB1626" s="2" t="s">
        <v>119</v>
      </c>
      <c r="AC1626" s="2" t="s">
        <v>114</v>
      </c>
      <c r="AF1626" s="2">
        <f t="shared" si="225"/>
        <v>0</v>
      </c>
      <c r="AJ1626" s="2">
        <f t="shared" si="226"/>
        <v>0</v>
      </c>
      <c r="AK1626" s="2">
        <f t="shared" si="228"/>
        <v>354.09659999999997</v>
      </c>
      <c r="AL1626" s="5">
        <f t="shared" si="229"/>
        <v>0.50635864435864431</v>
      </c>
    </row>
    <row r="1627" spans="1:38" x14ac:dyDescent="0.2">
      <c r="A1627" s="2">
        <v>2025</v>
      </c>
      <c r="B1627" s="2">
        <v>6</v>
      </c>
      <c r="D1627" s="2" t="s">
        <v>617</v>
      </c>
      <c r="E1627" s="2" t="s">
        <v>38</v>
      </c>
      <c r="F1627" s="2" t="s">
        <v>39</v>
      </c>
      <c r="G1627" s="2">
        <v>513759654</v>
      </c>
      <c r="H1627" s="2" t="s">
        <v>41</v>
      </c>
      <c r="I1627" s="2" t="s">
        <v>618</v>
      </c>
      <c r="J1627" s="2" t="s">
        <v>619</v>
      </c>
      <c r="L1627" s="2" t="s">
        <v>418</v>
      </c>
      <c r="M1627" s="2" t="s">
        <v>40</v>
      </c>
      <c r="P1627" s="2" t="s">
        <v>187</v>
      </c>
      <c r="Q1627" s="2" t="s">
        <v>188</v>
      </c>
      <c r="R1627" s="2" t="s">
        <v>189</v>
      </c>
      <c r="S1627" s="2">
        <v>1</v>
      </c>
      <c r="T1627" s="2">
        <v>102</v>
      </c>
      <c r="U1627" s="2">
        <v>23.46</v>
      </c>
      <c r="V1627" s="2">
        <v>125.46</v>
      </c>
      <c r="W1627" s="2">
        <f>T1627*40%</f>
        <v>40.800000000000004</v>
      </c>
      <c r="X1627" s="5">
        <f t="shared" si="227"/>
        <v>0.6</v>
      </c>
      <c r="Z1627" s="2" t="s">
        <v>117</v>
      </c>
      <c r="AA1627" s="2" t="s">
        <v>190</v>
      </c>
      <c r="AB1627" s="2" t="s">
        <v>189</v>
      </c>
      <c r="AC1627" s="2" t="s">
        <v>40</v>
      </c>
      <c r="AF1627" s="2">
        <f t="shared" si="225"/>
        <v>0</v>
      </c>
      <c r="AJ1627" s="2">
        <f t="shared" si="226"/>
        <v>0</v>
      </c>
      <c r="AK1627" s="2">
        <f t="shared" si="228"/>
        <v>61.199999999999996</v>
      </c>
      <c r="AL1627" s="5">
        <f t="shared" si="229"/>
        <v>0.6</v>
      </c>
    </row>
    <row r="1628" spans="1:38" x14ac:dyDescent="0.2">
      <c r="A1628" s="2">
        <v>2025</v>
      </c>
      <c r="B1628" s="2">
        <v>6</v>
      </c>
      <c r="D1628" s="2" t="s">
        <v>617</v>
      </c>
      <c r="E1628" s="2" t="s">
        <v>38</v>
      </c>
      <c r="F1628" s="2" t="s">
        <v>39</v>
      </c>
      <c r="G1628" s="2">
        <v>513759654</v>
      </c>
      <c r="H1628" s="2" t="s">
        <v>41</v>
      </c>
      <c r="I1628" s="2" t="s">
        <v>618</v>
      </c>
      <c r="J1628" s="2" t="s">
        <v>619</v>
      </c>
      <c r="L1628" s="2" t="s">
        <v>418</v>
      </c>
      <c r="M1628" s="2" t="s">
        <v>40</v>
      </c>
      <c r="P1628" s="2" t="s">
        <v>187</v>
      </c>
      <c r="Q1628" s="2" t="s">
        <v>191</v>
      </c>
      <c r="R1628" s="2" t="s">
        <v>190</v>
      </c>
      <c r="S1628" s="2">
        <v>1</v>
      </c>
      <c r="T1628" s="2">
        <v>0</v>
      </c>
      <c r="U1628" s="2">
        <v>0</v>
      </c>
      <c r="V1628" s="2">
        <v>0</v>
      </c>
      <c r="W1628" s="2">
        <f>T1628*50%</f>
        <v>0</v>
      </c>
      <c r="X1628" s="5">
        <v>0</v>
      </c>
      <c r="Z1628" s="2" t="s">
        <v>117</v>
      </c>
      <c r="AA1628" s="2" t="s">
        <v>190</v>
      </c>
      <c r="AB1628" s="2" t="s">
        <v>190</v>
      </c>
      <c r="AC1628" s="2" t="s">
        <v>40</v>
      </c>
      <c r="AF1628" s="2">
        <f t="shared" si="225"/>
        <v>0</v>
      </c>
      <c r="AJ1628" s="2">
        <f t="shared" si="226"/>
        <v>0</v>
      </c>
      <c r="AK1628" s="2">
        <f t="shared" si="228"/>
        <v>0</v>
      </c>
      <c r="AL1628" s="5">
        <v>0</v>
      </c>
    </row>
    <row r="1629" spans="1:38" x14ac:dyDescent="0.2">
      <c r="A1629" s="2">
        <v>2025</v>
      </c>
      <c r="B1629" s="2">
        <v>6</v>
      </c>
      <c r="D1629" s="2" t="s">
        <v>624</v>
      </c>
      <c r="E1629" s="2" t="s">
        <v>38</v>
      </c>
      <c r="F1629" s="2" t="s">
        <v>39</v>
      </c>
      <c r="G1629" s="2" t="s">
        <v>625</v>
      </c>
      <c r="H1629" s="2" t="s">
        <v>40</v>
      </c>
      <c r="I1629" s="2" t="s">
        <v>626</v>
      </c>
      <c r="J1629" s="2" t="s">
        <v>627</v>
      </c>
      <c r="L1629" s="2" t="s">
        <v>626</v>
      </c>
      <c r="M1629" s="2" t="s">
        <v>40</v>
      </c>
      <c r="P1629" s="2" t="s">
        <v>114</v>
      </c>
      <c r="Q1629" s="2" t="s">
        <v>514</v>
      </c>
      <c r="R1629" s="2" t="s">
        <v>515</v>
      </c>
      <c r="S1629" s="2">
        <v>1</v>
      </c>
      <c r="T1629" s="2">
        <v>229.42</v>
      </c>
      <c r="V1629" s="2">
        <f>T1629</f>
        <v>229.42</v>
      </c>
      <c r="W1629" s="2">
        <v>139.46600000000001</v>
      </c>
      <c r="X1629" s="5">
        <f t="shared" ref="X1629:X1653" si="230">(T1629-W1629)/T1629</f>
        <v>0.3920931043501002</v>
      </c>
      <c r="Z1629" s="2" t="s">
        <v>117</v>
      </c>
      <c r="AA1629" s="2" t="s">
        <v>181</v>
      </c>
      <c r="AB1629" s="2" t="s">
        <v>119</v>
      </c>
      <c r="AC1629" s="2" t="s">
        <v>114</v>
      </c>
      <c r="AF1629" s="2">
        <f t="shared" si="225"/>
        <v>0</v>
      </c>
      <c r="AJ1629" s="2">
        <f t="shared" si="226"/>
        <v>0</v>
      </c>
      <c r="AK1629" s="2">
        <f t="shared" si="228"/>
        <v>89.953999999999979</v>
      </c>
      <c r="AL1629" s="5">
        <f t="shared" ref="AL1629:AL1653" si="231">(T1629-W1629)/T1629</f>
        <v>0.3920931043501002</v>
      </c>
    </row>
    <row r="1630" spans="1:38" x14ac:dyDescent="0.2">
      <c r="A1630" s="2">
        <v>2025</v>
      </c>
      <c r="B1630" s="2">
        <v>6</v>
      </c>
      <c r="D1630" s="2" t="s">
        <v>1657</v>
      </c>
      <c r="P1630" s="2" t="s">
        <v>282</v>
      </c>
      <c r="Q1630" s="2" t="s">
        <v>1510</v>
      </c>
      <c r="R1630" s="2" t="s">
        <v>1511</v>
      </c>
      <c r="S1630" s="2">
        <v>1</v>
      </c>
      <c r="T1630" s="2">
        <v>49.9</v>
      </c>
      <c r="U1630" s="2">
        <v>11.477</v>
      </c>
      <c r="V1630" s="2">
        <v>61.377000000000002</v>
      </c>
      <c r="W1630" s="2">
        <f>27.445*S1630</f>
        <v>27.445</v>
      </c>
      <c r="X1630" s="5">
        <f t="shared" si="230"/>
        <v>0.44999999999999996</v>
      </c>
      <c r="Z1630" s="2" t="s">
        <v>3227</v>
      </c>
      <c r="AA1630" s="2" t="s">
        <v>71</v>
      </c>
      <c r="AB1630" s="2" t="s">
        <v>1600</v>
      </c>
      <c r="AC1630" s="2" t="s">
        <v>1600</v>
      </c>
      <c r="AF1630" s="2">
        <f t="shared" si="225"/>
        <v>0</v>
      </c>
      <c r="AJ1630" s="2">
        <f t="shared" si="226"/>
        <v>0</v>
      </c>
      <c r="AK1630" s="2">
        <f t="shared" si="228"/>
        <v>22.454999999999998</v>
      </c>
      <c r="AL1630" s="5">
        <f t="shared" si="231"/>
        <v>0.44999999999999996</v>
      </c>
    </row>
    <row r="1631" spans="1:38" x14ac:dyDescent="0.2">
      <c r="A1631" s="2">
        <v>2025</v>
      </c>
      <c r="B1631" s="2">
        <v>6</v>
      </c>
      <c r="D1631" s="2" t="s">
        <v>1658</v>
      </c>
      <c r="P1631" s="2" t="s">
        <v>282</v>
      </c>
      <c r="Q1631" s="2" t="s">
        <v>1436</v>
      </c>
      <c r="R1631" s="2" t="s">
        <v>1437</v>
      </c>
      <c r="S1631" s="2">
        <v>10</v>
      </c>
      <c r="T1631" s="2">
        <v>69</v>
      </c>
      <c r="U1631" s="2">
        <v>15.87</v>
      </c>
      <c r="V1631" s="2">
        <v>84.87</v>
      </c>
      <c r="W1631" s="2">
        <f>5.135*S1631</f>
        <v>51.349999999999994</v>
      </c>
      <c r="X1631" s="5">
        <f t="shared" si="230"/>
        <v>0.25579710144927542</v>
      </c>
      <c r="Z1631" s="2" t="s">
        <v>3227</v>
      </c>
      <c r="AA1631" s="2" t="s">
        <v>71</v>
      </c>
      <c r="AB1631" s="2" t="s">
        <v>119</v>
      </c>
      <c r="AC1631" s="2" t="s">
        <v>119</v>
      </c>
      <c r="AF1631" s="2">
        <f t="shared" si="225"/>
        <v>0</v>
      </c>
      <c r="AJ1631" s="2">
        <f t="shared" si="226"/>
        <v>0</v>
      </c>
      <c r="AK1631" s="2">
        <f t="shared" si="228"/>
        <v>17.650000000000006</v>
      </c>
      <c r="AL1631" s="5">
        <f t="shared" si="231"/>
        <v>0.25579710144927542</v>
      </c>
    </row>
    <row r="1632" spans="1:38" x14ac:dyDescent="0.2">
      <c r="A1632" s="2">
        <v>2025</v>
      </c>
      <c r="B1632" s="2">
        <v>6</v>
      </c>
      <c r="D1632" s="2" t="s">
        <v>1742</v>
      </c>
      <c r="P1632" s="2" t="s">
        <v>114</v>
      </c>
      <c r="Q1632" s="2" t="s">
        <v>646</v>
      </c>
      <c r="R1632" s="2" t="s">
        <v>647</v>
      </c>
      <c r="S1632" s="2">
        <v>1</v>
      </c>
      <c r="T1632" s="2">
        <v>62.6</v>
      </c>
      <c r="U1632" s="2">
        <v>14.398</v>
      </c>
      <c r="V1632" s="2">
        <v>76.998000000000005</v>
      </c>
      <c r="W1632" s="2">
        <v>30.61</v>
      </c>
      <c r="X1632" s="5">
        <f t="shared" si="230"/>
        <v>0.51102236421725244</v>
      </c>
      <c r="Z1632" s="2" t="s">
        <v>117</v>
      </c>
      <c r="AA1632" s="2" t="s">
        <v>118</v>
      </c>
      <c r="AB1632" s="2" t="s">
        <v>119</v>
      </c>
      <c r="AC1632" s="2" t="s">
        <v>114</v>
      </c>
      <c r="AF1632" s="2">
        <f t="shared" si="225"/>
        <v>0</v>
      </c>
      <c r="AJ1632" s="2">
        <f t="shared" si="226"/>
        <v>0</v>
      </c>
      <c r="AK1632" s="2">
        <f t="shared" si="228"/>
        <v>31.990000000000002</v>
      </c>
      <c r="AL1632" s="5">
        <f t="shared" si="231"/>
        <v>0.51102236421725244</v>
      </c>
    </row>
    <row r="1633" spans="1:38" x14ac:dyDescent="0.2">
      <c r="A1633" s="2">
        <v>2025</v>
      </c>
      <c r="B1633" s="2">
        <v>6</v>
      </c>
      <c r="D1633" s="2" t="s">
        <v>1124</v>
      </c>
      <c r="E1633" s="2" t="s">
        <v>108</v>
      </c>
      <c r="F1633" s="2" t="s">
        <v>39</v>
      </c>
      <c r="G1633" s="2">
        <v>515742279</v>
      </c>
      <c r="H1633" s="2" t="s">
        <v>41</v>
      </c>
      <c r="I1633" s="2" t="s">
        <v>2294</v>
      </c>
      <c r="J1633" s="2" t="s">
        <v>2295</v>
      </c>
      <c r="K1633" s="2">
        <v>965790183</v>
      </c>
      <c r="L1633" s="2" t="s">
        <v>177</v>
      </c>
      <c r="M1633" s="2" t="s">
        <v>40</v>
      </c>
      <c r="P1633" s="2" t="s">
        <v>187</v>
      </c>
      <c r="Q1633" s="2" t="s">
        <v>188</v>
      </c>
      <c r="R1633" s="2" t="s">
        <v>189</v>
      </c>
      <c r="S1633" s="2">
        <v>1</v>
      </c>
      <c r="T1633" s="2">
        <v>66</v>
      </c>
      <c r="U1633" s="2">
        <v>15.18</v>
      </c>
      <c r="V1633" s="2">
        <v>81.180000000000007</v>
      </c>
      <c r="W1633" s="2">
        <f>T1633*40%</f>
        <v>26.400000000000002</v>
      </c>
      <c r="X1633" s="5">
        <f t="shared" si="230"/>
        <v>0.59999999999999987</v>
      </c>
      <c r="Z1633" s="2" t="s">
        <v>117</v>
      </c>
      <c r="AA1633" s="2" t="s">
        <v>190</v>
      </c>
      <c r="AB1633" s="2" t="s">
        <v>189</v>
      </c>
      <c r="AC1633" s="2" t="s">
        <v>40</v>
      </c>
      <c r="AF1633" s="2">
        <f t="shared" si="225"/>
        <v>0</v>
      </c>
      <c r="AJ1633" s="2">
        <f t="shared" si="226"/>
        <v>0</v>
      </c>
      <c r="AK1633" s="2">
        <f t="shared" si="228"/>
        <v>39.599999999999994</v>
      </c>
      <c r="AL1633" s="5">
        <f t="shared" si="231"/>
        <v>0.59999999999999987</v>
      </c>
    </row>
    <row r="1634" spans="1:38" x14ac:dyDescent="0.2">
      <c r="A1634" s="2">
        <v>2025</v>
      </c>
      <c r="B1634" s="2">
        <v>6</v>
      </c>
      <c r="D1634" s="2" t="s">
        <v>1124</v>
      </c>
      <c r="E1634" s="2" t="s">
        <v>108</v>
      </c>
      <c r="F1634" s="2" t="s">
        <v>39</v>
      </c>
      <c r="G1634" s="2">
        <v>515742279</v>
      </c>
      <c r="H1634" s="2" t="s">
        <v>41</v>
      </c>
      <c r="I1634" s="2" t="s">
        <v>2294</v>
      </c>
      <c r="J1634" s="2" t="s">
        <v>2295</v>
      </c>
      <c r="K1634" s="2">
        <v>965790183</v>
      </c>
      <c r="L1634" s="2" t="s">
        <v>177</v>
      </c>
      <c r="M1634" s="2" t="s">
        <v>40</v>
      </c>
      <c r="P1634" s="2" t="s">
        <v>187</v>
      </c>
      <c r="Q1634" s="2" t="s">
        <v>191</v>
      </c>
      <c r="R1634" s="2" t="s">
        <v>190</v>
      </c>
      <c r="S1634" s="2">
        <v>1</v>
      </c>
      <c r="T1634" s="2">
        <v>50</v>
      </c>
      <c r="U1634" s="2">
        <v>11.5</v>
      </c>
      <c r="V1634" s="2">
        <v>61.5</v>
      </c>
      <c r="W1634" s="2">
        <f>T1634*50%</f>
        <v>25</v>
      </c>
      <c r="X1634" s="5">
        <f t="shared" si="230"/>
        <v>0.5</v>
      </c>
      <c r="Z1634" s="2" t="s">
        <v>117</v>
      </c>
      <c r="AA1634" s="2" t="s">
        <v>190</v>
      </c>
      <c r="AB1634" s="2" t="s">
        <v>190</v>
      </c>
      <c r="AC1634" s="2" t="s">
        <v>40</v>
      </c>
      <c r="AF1634" s="2">
        <f t="shared" si="225"/>
        <v>0</v>
      </c>
      <c r="AJ1634" s="2">
        <f t="shared" si="226"/>
        <v>0</v>
      </c>
      <c r="AK1634" s="2">
        <f t="shared" si="228"/>
        <v>25</v>
      </c>
      <c r="AL1634" s="5">
        <f t="shared" si="231"/>
        <v>0.5</v>
      </c>
    </row>
    <row r="1635" spans="1:38" x14ac:dyDescent="0.2">
      <c r="A1635" s="2">
        <v>2025</v>
      </c>
      <c r="B1635" s="2">
        <v>6</v>
      </c>
      <c r="D1635" s="2" t="s">
        <v>1743</v>
      </c>
      <c r="P1635" s="2" t="s">
        <v>282</v>
      </c>
      <c r="Q1635" s="2" t="s">
        <v>1744</v>
      </c>
      <c r="R1635" s="2" t="s">
        <v>1745</v>
      </c>
      <c r="S1635" s="2">
        <v>1</v>
      </c>
      <c r="T1635" s="2">
        <v>375</v>
      </c>
      <c r="U1635" s="2">
        <v>86.25</v>
      </c>
      <c r="V1635" s="2">
        <v>461.25</v>
      </c>
      <c r="W1635" s="2">
        <v>225</v>
      </c>
      <c r="X1635" s="5">
        <f t="shared" si="230"/>
        <v>0.4</v>
      </c>
      <c r="Z1635" s="2" t="s">
        <v>3227</v>
      </c>
      <c r="AA1635" s="2" t="s">
        <v>71</v>
      </c>
      <c r="AB1635" s="2" t="s">
        <v>1600</v>
      </c>
      <c r="AC1635" s="2" t="s">
        <v>1600</v>
      </c>
      <c r="AF1635" s="2">
        <f t="shared" si="225"/>
        <v>0</v>
      </c>
      <c r="AJ1635" s="2">
        <f t="shared" si="226"/>
        <v>0</v>
      </c>
      <c r="AK1635" s="2">
        <f t="shared" si="228"/>
        <v>150</v>
      </c>
      <c r="AL1635" s="5">
        <f t="shared" si="231"/>
        <v>0.4</v>
      </c>
    </row>
    <row r="1636" spans="1:38" x14ac:dyDescent="0.2">
      <c r="A1636" s="2">
        <v>2025</v>
      </c>
      <c r="B1636" s="2">
        <v>6</v>
      </c>
      <c r="D1636" s="2" t="s">
        <v>1743</v>
      </c>
      <c r="P1636" s="2" t="s">
        <v>68</v>
      </c>
      <c r="Q1636" s="2" t="s">
        <v>1746</v>
      </c>
      <c r="R1636" s="2" t="s">
        <v>1747</v>
      </c>
      <c r="S1636" s="2">
        <v>1</v>
      </c>
      <c r="T1636" s="2">
        <v>15.5</v>
      </c>
      <c r="U1636" s="2">
        <v>3.5649999999999999</v>
      </c>
      <c r="V1636" s="2">
        <v>19.065000000000001</v>
      </c>
      <c r="W1636" s="2">
        <v>10.8</v>
      </c>
      <c r="X1636" s="5">
        <f t="shared" si="230"/>
        <v>0.30322580645161284</v>
      </c>
      <c r="Z1636" s="2" t="s">
        <v>3227</v>
      </c>
      <c r="AA1636" s="2" t="s">
        <v>71</v>
      </c>
      <c r="AB1636" s="2" t="s">
        <v>68</v>
      </c>
      <c r="AC1636" s="2" t="s">
        <v>3231</v>
      </c>
      <c r="AF1636" s="2">
        <f t="shared" si="225"/>
        <v>0</v>
      </c>
      <c r="AJ1636" s="2">
        <f t="shared" si="226"/>
        <v>0</v>
      </c>
      <c r="AK1636" s="2">
        <f t="shared" ref="AK1636:AK1667" si="232">T1636-W1636</f>
        <v>4.6999999999999993</v>
      </c>
      <c r="AL1636" s="5">
        <f t="shared" si="231"/>
        <v>0.30322580645161284</v>
      </c>
    </row>
    <row r="1637" spans="1:38" x14ac:dyDescent="0.2">
      <c r="A1637" s="2">
        <v>2025</v>
      </c>
      <c r="B1637" s="2">
        <v>8</v>
      </c>
      <c r="D1637" s="2" t="s">
        <v>37</v>
      </c>
      <c r="E1637" s="2" t="s">
        <v>38</v>
      </c>
      <c r="F1637" s="2" t="s">
        <v>39</v>
      </c>
      <c r="H1637" s="2" t="s">
        <v>40</v>
      </c>
      <c r="P1637" s="2" t="s">
        <v>43</v>
      </c>
      <c r="Q1637" s="2" t="s">
        <v>54</v>
      </c>
      <c r="R1637" s="2" t="s">
        <v>55</v>
      </c>
      <c r="S1637" s="2">
        <v>5</v>
      </c>
      <c r="T1637" s="2">
        <v>74</v>
      </c>
      <c r="U1637" s="2">
        <v>17.02</v>
      </c>
      <c r="V1637" s="2">
        <v>91.02</v>
      </c>
      <c r="W1637" s="2">
        <f>10.6*S1637</f>
        <v>53</v>
      </c>
      <c r="X1637" s="5">
        <f t="shared" si="230"/>
        <v>0.28378378378378377</v>
      </c>
      <c r="Z1637" s="2" t="s">
        <v>3227</v>
      </c>
      <c r="AA1637" s="2" t="s">
        <v>46</v>
      </c>
      <c r="AB1637" s="2" t="s">
        <v>56</v>
      </c>
      <c r="AC1637" s="2" t="s">
        <v>57</v>
      </c>
      <c r="AF1637" s="2">
        <f t="shared" si="225"/>
        <v>0</v>
      </c>
      <c r="AG1637" s="2">
        <v>10.6</v>
      </c>
      <c r="AH1637" s="2">
        <v>18</v>
      </c>
      <c r="AJ1637" s="2">
        <f t="shared" si="226"/>
        <v>0</v>
      </c>
      <c r="AK1637" s="2">
        <f t="shared" si="232"/>
        <v>21</v>
      </c>
      <c r="AL1637" s="5">
        <f t="shared" si="231"/>
        <v>0.28378378378378377</v>
      </c>
    </row>
    <row r="1638" spans="1:38" x14ac:dyDescent="0.2">
      <c r="A1638" s="2">
        <v>2025</v>
      </c>
      <c r="B1638" s="2">
        <v>8</v>
      </c>
      <c r="D1638" s="2" t="s">
        <v>37</v>
      </c>
      <c r="E1638" s="2" t="s">
        <v>38</v>
      </c>
      <c r="F1638" s="2" t="s">
        <v>39</v>
      </c>
      <c r="H1638" s="2" t="s">
        <v>40</v>
      </c>
      <c r="P1638" s="2" t="s">
        <v>43</v>
      </c>
      <c r="Q1638" s="2" t="s">
        <v>61</v>
      </c>
      <c r="R1638" s="2" t="s">
        <v>62</v>
      </c>
      <c r="S1638" s="2">
        <v>900</v>
      </c>
      <c r="T1638" s="2">
        <v>94</v>
      </c>
      <c r="U1638" s="2">
        <v>21.62</v>
      </c>
      <c r="V1638" s="2">
        <v>115.62</v>
      </c>
      <c r="W1638" s="2">
        <f>0.082*S1638</f>
        <v>73.8</v>
      </c>
      <c r="X1638" s="5">
        <f t="shared" si="230"/>
        <v>0.21489361702127663</v>
      </c>
      <c r="Z1638" s="2" t="s">
        <v>3227</v>
      </c>
      <c r="AA1638" s="2" t="s">
        <v>46</v>
      </c>
      <c r="AB1638" s="2" t="s">
        <v>60</v>
      </c>
      <c r="AC1638" s="2" t="s">
        <v>57</v>
      </c>
      <c r="AF1638" s="2">
        <f t="shared" si="225"/>
        <v>0</v>
      </c>
      <c r="AG1638" s="2">
        <v>8.1999999999999993</v>
      </c>
      <c r="AH1638" s="2">
        <v>13</v>
      </c>
      <c r="AJ1638" s="2">
        <f t="shared" si="226"/>
        <v>0</v>
      </c>
      <c r="AK1638" s="2">
        <f t="shared" si="232"/>
        <v>20.200000000000003</v>
      </c>
      <c r="AL1638" s="5">
        <f t="shared" si="231"/>
        <v>0.21489361702127663</v>
      </c>
    </row>
    <row r="1639" spans="1:38" x14ac:dyDescent="0.2">
      <c r="A1639" s="2">
        <v>2025</v>
      </c>
      <c r="B1639" s="2">
        <v>8</v>
      </c>
      <c r="D1639" s="2" t="s">
        <v>37</v>
      </c>
      <c r="E1639" s="2" t="s">
        <v>38</v>
      </c>
      <c r="F1639" s="2" t="s">
        <v>39</v>
      </c>
      <c r="H1639" s="2" t="s">
        <v>40</v>
      </c>
      <c r="P1639" s="2" t="s">
        <v>43</v>
      </c>
      <c r="Q1639" s="2" t="s">
        <v>971</v>
      </c>
      <c r="R1639" s="2" t="s">
        <v>972</v>
      </c>
      <c r="S1639" s="2">
        <v>1</v>
      </c>
      <c r="T1639" s="2">
        <v>29</v>
      </c>
      <c r="U1639" s="2">
        <v>6.67</v>
      </c>
      <c r="V1639" s="2">
        <v>35.67</v>
      </c>
      <c r="W1639" s="2">
        <f>18.9342*S1639</f>
        <v>18.934200000000001</v>
      </c>
      <c r="X1639" s="5">
        <f t="shared" si="230"/>
        <v>0.34709655172413789</v>
      </c>
      <c r="Z1639" s="2" t="s">
        <v>3227</v>
      </c>
      <c r="AA1639" s="2" t="s">
        <v>46</v>
      </c>
      <c r="AB1639" s="2" t="s">
        <v>60</v>
      </c>
      <c r="AC1639" s="2" t="s">
        <v>57</v>
      </c>
      <c r="AF1639" s="2">
        <f t="shared" si="225"/>
        <v>0</v>
      </c>
      <c r="AJ1639" s="2">
        <f t="shared" si="226"/>
        <v>0</v>
      </c>
      <c r="AK1639" s="2">
        <f t="shared" si="232"/>
        <v>10.065799999999999</v>
      </c>
      <c r="AL1639" s="5">
        <f t="shared" si="231"/>
        <v>0.34709655172413789</v>
      </c>
    </row>
    <row r="1640" spans="1:38" x14ac:dyDescent="0.2">
      <c r="A1640" s="2">
        <v>2025</v>
      </c>
      <c r="B1640" s="2">
        <v>8</v>
      </c>
      <c r="D1640" s="2" t="s">
        <v>107</v>
      </c>
      <c r="E1640" s="2" t="s">
        <v>108</v>
      </c>
      <c r="F1640" s="2" t="s">
        <v>39</v>
      </c>
      <c r="G1640" s="2">
        <v>507499760</v>
      </c>
      <c r="H1640" s="2" t="s">
        <v>109</v>
      </c>
      <c r="I1640" s="2" t="s">
        <v>110</v>
      </c>
      <c r="J1640" s="2" t="s">
        <v>111</v>
      </c>
      <c r="K1640" s="2">
        <v>962002636</v>
      </c>
      <c r="L1640" s="2" t="s">
        <v>112</v>
      </c>
      <c r="M1640" s="2" t="s">
        <v>40</v>
      </c>
      <c r="O1640" s="2" t="s">
        <v>1748</v>
      </c>
      <c r="P1640" s="2" t="s">
        <v>114</v>
      </c>
      <c r="Q1640" s="2" t="s">
        <v>733</v>
      </c>
      <c r="R1640" s="2" t="s">
        <v>734</v>
      </c>
      <c r="S1640" s="2">
        <v>1</v>
      </c>
      <c r="T1640" s="2">
        <v>28.25</v>
      </c>
      <c r="U1640" s="2">
        <v>6.4974999999999996</v>
      </c>
      <c r="V1640" s="2">
        <v>34.747500000000002</v>
      </c>
      <c r="X1640" s="5">
        <f t="shared" si="230"/>
        <v>1</v>
      </c>
      <c r="Z1640" s="2" t="s">
        <v>117</v>
      </c>
      <c r="AF1640" s="2">
        <f t="shared" si="225"/>
        <v>0</v>
      </c>
      <c r="AJ1640" s="2">
        <f t="shared" si="226"/>
        <v>0</v>
      </c>
      <c r="AK1640" s="2">
        <f t="shared" si="232"/>
        <v>28.25</v>
      </c>
      <c r="AL1640" s="5">
        <f t="shared" si="231"/>
        <v>1</v>
      </c>
    </row>
    <row r="1641" spans="1:38" x14ac:dyDescent="0.2">
      <c r="A1641" s="2">
        <v>2025</v>
      </c>
      <c r="B1641" s="2">
        <v>8</v>
      </c>
      <c r="D1641" s="2" t="s">
        <v>107</v>
      </c>
      <c r="E1641" s="2" t="s">
        <v>108</v>
      </c>
      <c r="F1641" s="2" t="s">
        <v>39</v>
      </c>
      <c r="G1641" s="2">
        <v>507499760</v>
      </c>
      <c r="H1641" s="2" t="s">
        <v>109</v>
      </c>
      <c r="I1641" s="2" t="s">
        <v>110</v>
      </c>
      <c r="J1641" s="2" t="s">
        <v>111</v>
      </c>
      <c r="K1641" s="2">
        <v>962002636</v>
      </c>
      <c r="L1641" s="2" t="s">
        <v>112</v>
      </c>
      <c r="M1641" s="2" t="s">
        <v>40</v>
      </c>
      <c r="O1641" s="2" t="s">
        <v>1749</v>
      </c>
      <c r="P1641" s="2" t="s">
        <v>114</v>
      </c>
      <c r="Q1641" s="2" t="s">
        <v>735</v>
      </c>
      <c r="R1641" s="2" t="s">
        <v>736</v>
      </c>
      <c r="S1641" s="2">
        <v>2</v>
      </c>
      <c r="T1641" s="2">
        <v>42.99</v>
      </c>
      <c r="U1641" s="2">
        <v>9.8877000000000006</v>
      </c>
      <c r="V1641" s="2">
        <v>52.877699999999997</v>
      </c>
      <c r="X1641" s="5">
        <f t="shared" si="230"/>
        <v>1</v>
      </c>
      <c r="AF1641" s="2">
        <f t="shared" si="225"/>
        <v>0</v>
      </c>
      <c r="AJ1641" s="2">
        <f t="shared" si="226"/>
        <v>0</v>
      </c>
      <c r="AK1641" s="2">
        <f t="shared" si="232"/>
        <v>42.99</v>
      </c>
      <c r="AL1641" s="5">
        <f t="shared" si="231"/>
        <v>1</v>
      </c>
    </row>
    <row r="1642" spans="1:38" x14ac:dyDescent="0.2">
      <c r="A1642" s="2">
        <v>2025</v>
      </c>
      <c r="B1642" s="2">
        <v>8</v>
      </c>
      <c r="D1642" s="2" t="s">
        <v>107</v>
      </c>
      <c r="E1642" s="2" t="s">
        <v>108</v>
      </c>
      <c r="F1642" s="2" t="s">
        <v>39</v>
      </c>
      <c r="G1642" s="2">
        <v>507499760</v>
      </c>
      <c r="H1642" s="2" t="s">
        <v>109</v>
      </c>
      <c r="I1642" s="2" t="s">
        <v>110</v>
      </c>
      <c r="J1642" s="2" t="s">
        <v>111</v>
      </c>
      <c r="K1642" s="2">
        <v>962002636</v>
      </c>
      <c r="L1642" s="2" t="s">
        <v>112</v>
      </c>
      <c r="M1642" s="2" t="s">
        <v>40</v>
      </c>
      <c r="O1642" s="2" t="s">
        <v>1749</v>
      </c>
      <c r="P1642" s="2" t="s">
        <v>169</v>
      </c>
      <c r="Q1642" s="2" t="s">
        <v>170</v>
      </c>
      <c r="R1642" s="2" t="s">
        <v>170</v>
      </c>
      <c r="S1642" s="2">
        <v>1</v>
      </c>
      <c r="T1642" s="2">
        <v>8.5</v>
      </c>
      <c r="U1642" s="2">
        <v>1.9550000000000001</v>
      </c>
      <c r="V1642" s="2">
        <v>10.455</v>
      </c>
      <c r="W1642" s="2">
        <v>6</v>
      </c>
      <c r="X1642" s="5">
        <f t="shared" si="230"/>
        <v>0.29411764705882354</v>
      </c>
      <c r="Z1642" s="2" t="s">
        <v>169</v>
      </c>
      <c r="AA1642" s="2" t="s">
        <v>169</v>
      </c>
      <c r="AF1642" s="2">
        <f t="shared" si="225"/>
        <v>0</v>
      </c>
      <c r="AJ1642" s="2">
        <f t="shared" si="226"/>
        <v>0</v>
      </c>
      <c r="AK1642" s="2">
        <f t="shared" si="232"/>
        <v>2.5</v>
      </c>
      <c r="AL1642" s="5">
        <f t="shared" si="231"/>
        <v>0.29411764705882354</v>
      </c>
    </row>
    <row r="1643" spans="1:38" x14ac:dyDescent="0.2">
      <c r="A1643" s="2">
        <v>2025</v>
      </c>
      <c r="B1643" s="2">
        <v>8</v>
      </c>
      <c r="D1643" s="2" t="s">
        <v>936</v>
      </c>
      <c r="E1643" s="2" t="s">
        <v>38</v>
      </c>
      <c r="F1643" s="2" t="s">
        <v>39</v>
      </c>
      <c r="G1643" s="2">
        <v>508868726</v>
      </c>
      <c r="H1643" s="2" t="s">
        <v>290</v>
      </c>
      <c r="I1643" s="2" t="s">
        <v>937</v>
      </c>
      <c r="J1643" s="2" t="s">
        <v>938</v>
      </c>
      <c r="K1643" s="2">
        <v>964771057</v>
      </c>
      <c r="L1643" s="2" t="s">
        <v>339</v>
      </c>
      <c r="M1643" s="2" t="s">
        <v>80</v>
      </c>
      <c r="P1643" s="2" t="s">
        <v>72</v>
      </c>
      <c r="Q1643" s="2" t="s">
        <v>1035</v>
      </c>
      <c r="R1643" s="2" t="s">
        <v>79</v>
      </c>
      <c r="S1643" s="2">
        <v>1</v>
      </c>
      <c r="T1643" s="2">
        <v>220</v>
      </c>
      <c r="U1643" s="2">
        <v>50.6</v>
      </c>
      <c r="V1643" s="2">
        <v>270.60000000000002</v>
      </c>
      <c r="W1643" s="2">
        <v>113.33</v>
      </c>
      <c r="X1643" s="5">
        <f t="shared" si="230"/>
        <v>0.48486363636363639</v>
      </c>
      <c r="Z1643" s="2" t="s">
        <v>3227</v>
      </c>
      <c r="AA1643" s="2" t="s">
        <v>75</v>
      </c>
      <c r="AB1643" s="2" t="s">
        <v>76</v>
      </c>
      <c r="AC1643" s="2" t="s">
        <v>77</v>
      </c>
      <c r="AF1643" s="2">
        <f t="shared" si="225"/>
        <v>0</v>
      </c>
      <c r="AG1643" s="2">
        <v>113.33</v>
      </c>
      <c r="AH1643" s="2">
        <v>220</v>
      </c>
      <c r="AJ1643" s="2">
        <f t="shared" si="226"/>
        <v>0</v>
      </c>
      <c r="AK1643" s="2">
        <f t="shared" si="232"/>
        <v>106.67</v>
      </c>
      <c r="AL1643" s="5">
        <f t="shared" si="231"/>
        <v>0.48486363636363639</v>
      </c>
    </row>
    <row r="1644" spans="1:38" x14ac:dyDescent="0.2">
      <c r="A1644" s="2">
        <v>2025</v>
      </c>
      <c r="B1644" s="2">
        <v>8</v>
      </c>
      <c r="D1644" s="2" t="s">
        <v>936</v>
      </c>
      <c r="E1644" s="2" t="s">
        <v>38</v>
      </c>
      <c r="F1644" s="2" t="s">
        <v>39</v>
      </c>
      <c r="G1644" s="2">
        <v>508868726</v>
      </c>
      <c r="H1644" s="2" t="s">
        <v>290</v>
      </c>
      <c r="I1644" s="2" t="s">
        <v>937</v>
      </c>
      <c r="J1644" s="2" t="s">
        <v>938</v>
      </c>
      <c r="K1644" s="2">
        <v>964771057</v>
      </c>
      <c r="L1644" s="2" t="s">
        <v>339</v>
      </c>
      <c r="M1644" s="2" t="s">
        <v>80</v>
      </c>
      <c r="P1644" s="2" t="s">
        <v>93</v>
      </c>
      <c r="Q1644" s="2" t="s">
        <v>94</v>
      </c>
      <c r="R1644" s="2" t="s">
        <v>95</v>
      </c>
      <c r="S1644" s="2">
        <v>1</v>
      </c>
      <c r="T1644" s="2">
        <v>1.1399999999999999</v>
      </c>
      <c r="U1644" s="2">
        <v>0.26219999999999999</v>
      </c>
      <c r="V1644" s="2">
        <v>1.4021999999999999</v>
      </c>
      <c r="W1644" s="2">
        <v>1.1399999999999999</v>
      </c>
      <c r="X1644" s="5">
        <f t="shared" si="230"/>
        <v>0</v>
      </c>
      <c r="Z1644" s="2" t="s">
        <v>3227</v>
      </c>
      <c r="AA1644" s="2" t="s">
        <v>96</v>
      </c>
      <c r="AB1644" s="2" t="s">
        <v>76</v>
      </c>
      <c r="AC1644" s="2" t="s">
        <v>93</v>
      </c>
      <c r="AF1644" s="2">
        <f t="shared" si="225"/>
        <v>0</v>
      </c>
      <c r="AJ1644" s="2">
        <f t="shared" si="226"/>
        <v>0</v>
      </c>
      <c r="AK1644" s="2">
        <f t="shared" si="232"/>
        <v>0</v>
      </c>
      <c r="AL1644" s="5">
        <f t="shared" si="231"/>
        <v>0</v>
      </c>
    </row>
    <row r="1645" spans="1:38" x14ac:dyDescent="0.2">
      <c r="A1645" s="2">
        <v>2025</v>
      </c>
      <c r="B1645" s="2">
        <v>8</v>
      </c>
      <c r="C1645" s="2" t="s">
        <v>3318</v>
      </c>
      <c r="D1645" s="2" t="s">
        <v>1750</v>
      </c>
      <c r="E1645" s="2" t="s">
        <v>38</v>
      </c>
      <c r="F1645" s="2" t="s">
        <v>39</v>
      </c>
      <c r="I1645" s="2" t="s">
        <v>3388</v>
      </c>
      <c r="L1645" s="2" t="s">
        <v>480</v>
      </c>
      <c r="M1645" s="2" t="s">
        <v>80</v>
      </c>
      <c r="P1645" s="2" t="s">
        <v>72</v>
      </c>
      <c r="Q1645" s="2" t="s">
        <v>1022</v>
      </c>
      <c r="R1645" s="2" t="s">
        <v>74</v>
      </c>
      <c r="S1645" s="2">
        <v>1</v>
      </c>
      <c r="T1645" s="2">
        <v>210</v>
      </c>
      <c r="U1645" s="2">
        <v>48.3</v>
      </c>
      <c r="V1645" s="2">
        <v>258.3</v>
      </c>
      <c r="W1645" s="2">
        <v>128.30000000000001</v>
      </c>
      <c r="X1645" s="5">
        <f t="shared" si="230"/>
        <v>0.38904761904761898</v>
      </c>
      <c r="Z1645" s="2" t="s">
        <v>3227</v>
      </c>
      <c r="AA1645" s="2" t="s">
        <v>75</v>
      </c>
      <c r="AB1645" s="2" t="s">
        <v>76</v>
      </c>
      <c r="AC1645" s="2" t="s">
        <v>77</v>
      </c>
      <c r="AF1645" s="2">
        <f t="shared" si="225"/>
        <v>0</v>
      </c>
      <c r="AJ1645" s="2">
        <f t="shared" si="226"/>
        <v>0</v>
      </c>
      <c r="AK1645" s="2">
        <f t="shared" si="232"/>
        <v>81.699999999999989</v>
      </c>
      <c r="AL1645" s="5">
        <f t="shared" si="231"/>
        <v>0.38904761904761898</v>
      </c>
    </row>
    <row r="1646" spans="1:38" x14ac:dyDescent="0.2">
      <c r="A1646" s="2">
        <v>2025</v>
      </c>
      <c r="B1646" s="2">
        <v>8</v>
      </c>
      <c r="C1646" s="2" t="s">
        <v>3318</v>
      </c>
      <c r="D1646" s="2" t="s">
        <v>1750</v>
      </c>
      <c r="E1646" s="2" t="s">
        <v>38</v>
      </c>
      <c r="F1646" s="2" t="s">
        <v>39</v>
      </c>
      <c r="I1646" s="2" t="s">
        <v>3388</v>
      </c>
      <c r="L1646" s="2" t="s">
        <v>480</v>
      </c>
      <c r="M1646" s="2" t="s">
        <v>80</v>
      </c>
      <c r="P1646" s="2" t="s">
        <v>93</v>
      </c>
      <c r="Q1646" s="2" t="s">
        <v>94</v>
      </c>
      <c r="R1646" s="2" t="s">
        <v>95</v>
      </c>
      <c r="S1646" s="2">
        <v>1</v>
      </c>
      <c r="T1646" s="2">
        <v>1.1399999999999999</v>
      </c>
      <c r="U1646" s="2">
        <v>0.26219999999999999</v>
      </c>
      <c r="V1646" s="2">
        <v>1.4021999999999999</v>
      </c>
      <c r="W1646" s="2">
        <v>1.1399999999999999</v>
      </c>
      <c r="X1646" s="5">
        <f t="shared" si="230"/>
        <v>0</v>
      </c>
      <c r="Z1646" s="2" t="s">
        <v>3227</v>
      </c>
      <c r="AA1646" s="2" t="s">
        <v>96</v>
      </c>
      <c r="AB1646" s="2" t="s">
        <v>76</v>
      </c>
      <c r="AC1646" s="2" t="s">
        <v>93</v>
      </c>
      <c r="AF1646" s="2">
        <f t="shared" si="225"/>
        <v>0</v>
      </c>
      <c r="AJ1646" s="2">
        <f t="shared" si="226"/>
        <v>0</v>
      </c>
      <c r="AK1646" s="2">
        <f t="shared" si="232"/>
        <v>0</v>
      </c>
      <c r="AL1646" s="5">
        <f t="shared" si="231"/>
        <v>0</v>
      </c>
    </row>
    <row r="1647" spans="1:38" x14ac:dyDescent="0.2">
      <c r="A1647" s="2">
        <v>2025</v>
      </c>
      <c r="B1647" s="2">
        <v>8</v>
      </c>
      <c r="D1647" s="2" t="s">
        <v>946</v>
      </c>
      <c r="E1647" s="2" t="s">
        <v>38</v>
      </c>
      <c r="F1647" s="2" t="s">
        <v>39</v>
      </c>
      <c r="G1647" s="2">
        <v>500318263</v>
      </c>
      <c r="H1647" s="2" t="s">
        <v>290</v>
      </c>
      <c r="I1647" s="2" t="s">
        <v>339</v>
      </c>
      <c r="J1647" s="2" t="s">
        <v>947</v>
      </c>
      <c r="L1647" s="2" t="s">
        <v>339</v>
      </c>
      <c r="M1647" s="2" t="s">
        <v>40</v>
      </c>
      <c r="O1647" s="2" t="s">
        <v>1751</v>
      </c>
      <c r="P1647" s="2" t="s">
        <v>187</v>
      </c>
      <c r="Q1647" s="2" t="s">
        <v>188</v>
      </c>
      <c r="R1647" s="2" t="s">
        <v>189</v>
      </c>
      <c r="S1647" s="2">
        <v>1</v>
      </c>
      <c r="T1647" s="2">
        <v>50</v>
      </c>
      <c r="U1647" s="2">
        <v>11.5</v>
      </c>
      <c r="V1647" s="2">
        <v>61.5</v>
      </c>
      <c r="W1647" s="2">
        <f>T1647*40%</f>
        <v>20</v>
      </c>
      <c r="X1647" s="5">
        <f t="shared" si="230"/>
        <v>0.6</v>
      </c>
      <c r="Z1647" s="2" t="s">
        <v>117</v>
      </c>
      <c r="AA1647" s="2" t="s">
        <v>190</v>
      </c>
      <c r="AB1647" s="2" t="s">
        <v>189</v>
      </c>
      <c r="AC1647" s="2" t="s">
        <v>40</v>
      </c>
      <c r="AF1647" s="2">
        <f t="shared" si="225"/>
        <v>0</v>
      </c>
      <c r="AJ1647" s="2">
        <f t="shared" si="226"/>
        <v>0</v>
      </c>
      <c r="AK1647" s="2">
        <f t="shared" si="232"/>
        <v>30</v>
      </c>
      <c r="AL1647" s="5">
        <f t="shared" si="231"/>
        <v>0.6</v>
      </c>
    </row>
    <row r="1648" spans="1:38" x14ac:dyDescent="0.2">
      <c r="A1648" s="2">
        <v>2025</v>
      </c>
      <c r="B1648" s="2">
        <v>8</v>
      </c>
      <c r="D1648" s="2" t="s">
        <v>946</v>
      </c>
      <c r="E1648" s="2" t="s">
        <v>38</v>
      </c>
      <c r="F1648" s="2" t="s">
        <v>39</v>
      </c>
      <c r="G1648" s="2">
        <v>500318263</v>
      </c>
      <c r="H1648" s="2" t="s">
        <v>290</v>
      </c>
      <c r="I1648" s="2" t="s">
        <v>339</v>
      </c>
      <c r="J1648" s="2" t="s">
        <v>947</v>
      </c>
      <c r="L1648" s="2" t="s">
        <v>339</v>
      </c>
      <c r="M1648" s="2" t="s">
        <v>40</v>
      </c>
      <c r="O1648" s="2" t="s">
        <v>1751</v>
      </c>
      <c r="P1648" s="2" t="s">
        <v>187</v>
      </c>
      <c r="Q1648" s="2" t="s">
        <v>191</v>
      </c>
      <c r="R1648" s="2" t="s">
        <v>190</v>
      </c>
      <c r="S1648" s="2">
        <v>0.5</v>
      </c>
      <c r="T1648" s="2">
        <v>25</v>
      </c>
      <c r="U1648" s="2">
        <v>5.75</v>
      </c>
      <c r="V1648" s="2">
        <v>30.75</v>
      </c>
      <c r="W1648" s="2">
        <f>T1648*50%</f>
        <v>12.5</v>
      </c>
      <c r="X1648" s="5">
        <f t="shared" si="230"/>
        <v>0.5</v>
      </c>
      <c r="Z1648" s="2" t="s">
        <v>117</v>
      </c>
      <c r="AA1648" s="2" t="s">
        <v>190</v>
      </c>
      <c r="AB1648" s="2" t="s">
        <v>190</v>
      </c>
      <c r="AC1648" s="2" t="s">
        <v>40</v>
      </c>
      <c r="AF1648" s="2">
        <f t="shared" si="225"/>
        <v>0</v>
      </c>
      <c r="AJ1648" s="2">
        <f t="shared" si="226"/>
        <v>0</v>
      </c>
      <c r="AK1648" s="2">
        <f t="shared" si="232"/>
        <v>12.5</v>
      </c>
      <c r="AL1648" s="5">
        <f t="shared" si="231"/>
        <v>0.5</v>
      </c>
    </row>
    <row r="1649" spans="1:38" x14ac:dyDescent="0.2">
      <c r="A1649" s="2">
        <v>2025</v>
      </c>
      <c r="B1649" s="2">
        <v>8</v>
      </c>
      <c r="C1649" s="2" t="s">
        <v>3318</v>
      </c>
      <c r="D1649" s="2" t="s">
        <v>1162</v>
      </c>
      <c r="E1649" s="2" t="s">
        <v>752</v>
      </c>
      <c r="F1649" s="2" t="s">
        <v>1217</v>
      </c>
      <c r="G1649" s="2">
        <v>508199280</v>
      </c>
      <c r="H1649" s="2" t="s">
        <v>40</v>
      </c>
      <c r="I1649" s="2" t="s">
        <v>1163</v>
      </c>
      <c r="L1649" s="2" t="s">
        <v>293</v>
      </c>
      <c r="M1649" s="2" t="s">
        <v>80</v>
      </c>
      <c r="P1649" s="2" t="s">
        <v>72</v>
      </c>
      <c r="Q1649" s="2" t="s">
        <v>1448</v>
      </c>
      <c r="R1649" s="2" t="s">
        <v>381</v>
      </c>
      <c r="S1649" s="2">
        <v>1</v>
      </c>
      <c r="T1649" s="2">
        <v>234.63</v>
      </c>
      <c r="U1649" s="2">
        <v>53.9649</v>
      </c>
      <c r="V1649" s="2">
        <v>288.5949</v>
      </c>
      <c r="W1649" s="2">
        <v>133.91669999999999</v>
      </c>
      <c r="X1649" s="5">
        <f t="shared" si="230"/>
        <v>0.42924306354686104</v>
      </c>
      <c r="Z1649" s="2" t="s">
        <v>3227</v>
      </c>
      <c r="AA1649" s="2" t="s">
        <v>75</v>
      </c>
      <c r="AB1649" s="2" t="s">
        <v>76</v>
      </c>
      <c r="AC1649" s="2" t="s">
        <v>77</v>
      </c>
      <c r="AF1649" s="2">
        <f t="shared" si="225"/>
        <v>0</v>
      </c>
      <c r="AJ1649" s="2">
        <f t="shared" si="226"/>
        <v>0</v>
      </c>
      <c r="AK1649" s="2">
        <f t="shared" si="232"/>
        <v>100.7133</v>
      </c>
      <c r="AL1649" s="5">
        <f t="shared" si="231"/>
        <v>0.42924306354686104</v>
      </c>
    </row>
    <row r="1650" spans="1:38" x14ac:dyDescent="0.2">
      <c r="A1650" s="2">
        <v>2025</v>
      </c>
      <c r="B1650" s="2">
        <v>8</v>
      </c>
      <c r="C1650" s="2" t="s">
        <v>3318</v>
      </c>
      <c r="D1650" s="2" t="s">
        <v>1162</v>
      </c>
      <c r="E1650" s="2" t="s">
        <v>752</v>
      </c>
      <c r="F1650" s="2" t="s">
        <v>1217</v>
      </c>
      <c r="G1650" s="2">
        <v>508199280</v>
      </c>
      <c r="H1650" s="2" t="s">
        <v>40</v>
      </c>
      <c r="I1650" s="2" t="s">
        <v>1163</v>
      </c>
      <c r="L1650" s="2" t="s">
        <v>293</v>
      </c>
      <c r="M1650" s="2" t="s">
        <v>80</v>
      </c>
      <c r="P1650" s="2" t="s">
        <v>93</v>
      </c>
      <c r="Q1650" s="2" t="s">
        <v>94</v>
      </c>
      <c r="R1650" s="2" t="s">
        <v>95</v>
      </c>
      <c r="S1650" s="2">
        <v>1</v>
      </c>
      <c r="T1650" s="2">
        <v>1.1399999999999999</v>
      </c>
      <c r="U1650" s="2">
        <v>0.26219999999999999</v>
      </c>
      <c r="V1650" s="2">
        <v>1.4021999999999999</v>
      </c>
      <c r="W1650" s="2">
        <v>1.1399999999999999</v>
      </c>
      <c r="X1650" s="5">
        <f t="shared" si="230"/>
        <v>0</v>
      </c>
      <c r="Z1650" s="2" t="s">
        <v>3227</v>
      </c>
      <c r="AA1650" s="2" t="s">
        <v>96</v>
      </c>
      <c r="AB1650" s="2" t="s">
        <v>76</v>
      </c>
      <c r="AC1650" s="2" t="s">
        <v>93</v>
      </c>
      <c r="AF1650" s="2">
        <f t="shared" si="225"/>
        <v>0</v>
      </c>
      <c r="AJ1650" s="2">
        <f t="shared" si="226"/>
        <v>0</v>
      </c>
      <c r="AK1650" s="2">
        <f t="shared" si="232"/>
        <v>0</v>
      </c>
      <c r="AL1650" s="5">
        <f t="shared" si="231"/>
        <v>0</v>
      </c>
    </row>
    <row r="1651" spans="1:38" x14ac:dyDescent="0.2">
      <c r="A1651" s="2">
        <v>2025</v>
      </c>
      <c r="B1651" s="2">
        <v>8</v>
      </c>
      <c r="D1651" s="2" t="s">
        <v>689</v>
      </c>
      <c r="E1651" s="2" t="s">
        <v>108</v>
      </c>
      <c r="F1651" s="2" t="s">
        <v>39</v>
      </c>
      <c r="G1651" s="2">
        <v>503589950</v>
      </c>
      <c r="H1651" s="2" t="s">
        <v>41</v>
      </c>
      <c r="I1651" s="2" t="s">
        <v>610</v>
      </c>
      <c r="J1651" s="2" t="s">
        <v>690</v>
      </c>
      <c r="K1651" s="2">
        <v>913036545</v>
      </c>
      <c r="L1651" s="2" t="s">
        <v>177</v>
      </c>
      <c r="M1651" s="2" t="s">
        <v>41</v>
      </c>
      <c r="O1651" s="2" t="s">
        <v>1752</v>
      </c>
      <c r="P1651" s="2" t="s">
        <v>43</v>
      </c>
      <c r="Q1651" s="2" t="s">
        <v>54</v>
      </c>
      <c r="R1651" s="2" t="s">
        <v>55</v>
      </c>
      <c r="S1651" s="2">
        <v>10</v>
      </c>
      <c r="T1651" s="2">
        <v>140</v>
      </c>
      <c r="U1651" s="2">
        <v>32.200000000000003</v>
      </c>
      <c r="V1651" s="2">
        <v>172.2</v>
      </c>
      <c r="W1651" s="2">
        <f>10.6*S1651</f>
        <v>106</v>
      </c>
      <c r="X1651" s="5">
        <f t="shared" si="230"/>
        <v>0.24285714285714285</v>
      </c>
      <c r="Z1651" s="2" t="s">
        <v>3227</v>
      </c>
      <c r="AA1651" s="2" t="s">
        <v>46</v>
      </c>
      <c r="AB1651" s="2" t="s">
        <v>56</v>
      </c>
      <c r="AC1651" s="2" t="s">
        <v>57</v>
      </c>
      <c r="AF1651" s="2">
        <f t="shared" si="225"/>
        <v>0</v>
      </c>
      <c r="AG1651" s="2">
        <v>10.6</v>
      </c>
      <c r="AH1651" s="2">
        <v>18</v>
      </c>
      <c r="AJ1651" s="2">
        <f t="shared" si="226"/>
        <v>0</v>
      </c>
      <c r="AK1651" s="2">
        <f t="shared" si="232"/>
        <v>34</v>
      </c>
      <c r="AL1651" s="5">
        <f t="shared" si="231"/>
        <v>0.24285714285714285</v>
      </c>
    </row>
    <row r="1652" spans="1:38" x14ac:dyDescent="0.2">
      <c r="A1652" s="2">
        <v>2025</v>
      </c>
      <c r="B1652" s="2">
        <v>8</v>
      </c>
      <c r="D1652" s="2" t="s">
        <v>689</v>
      </c>
      <c r="E1652" s="2" t="s">
        <v>108</v>
      </c>
      <c r="F1652" s="2" t="s">
        <v>39</v>
      </c>
      <c r="G1652" s="2">
        <v>503589950</v>
      </c>
      <c r="H1652" s="2" t="s">
        <v>41</v>
      </c>
      <c r="I1652" s="2" t="s">
        <v>610</v>
      </c>
      <c r="J1652" s="2" t="s">
        <v>690</v>
      </c>
      <c r="K1652" s="2">
        <v>913036545</v>
      </c>
      <c r="L1652" s="2" t="s">
        <v>177</v>
      </c>
      <c r="M1652" s="2" t="s">
        <v>41</v>
      </c>
      <c r="O1652" s="2" t="s">
        <v>1753</v>
      </c>
      <c r="P1652" s="2" t="s">
        <v>43</v>
      </c>
      <c r="Q1652" s="2" t="s">
        <v>63</v>
      </c>
      <c r="R1652" s="2" t="s">
        <v>64</v>
      </c>
      <c r="S1652" s="2">
        <v>20</v>
      </c>
      <c r="T1652" s="2">
        <v>36</v>
      </c>
      <c r="U1652" s="2">
        <v>8.2800000000000011</v>
      </c>
      <c r="V1652" s="2">
        <v>44.28</v>
      </c>
      <c r="W1652" s="2">
        <f>0.8561*S1652</f>
        <v>17.122</v>
      </c>
      <c r="X1652" s="5">
        <f t="shared" si="230"/>
        <v>0.5243888888888889</v>
      </c>
      <c r="Z1652" s="2" t="s">
        <v>3227</v>
      </c>
      <c r="AA1652" s="2" t="s">
        <v>46</v>
      </c>
      <c r="AB1652" s="2" t="s">
        <v>60</v>
      </c>
      <c r="AC1652" s="2" t="s">
        <v>57</v>
      </c>
      <c r="AF1652" s="2">
        <f t="shared" si="225"/>
        <v>0</v>
      </c>
      <c r="AG1652" s="2">
        <v>0.85609999999999997</v>
      </c>
      <c r="AH1652" s="2">
        <v>1.8</v>
      </c>
      <c r="AJ1652" s="2">
        <f t="shared" si="226"/>
        <v>0</v>
      </c>
      <c r="AK1652" s="2">
        <f t="shared" si="232"/>
        <v>18.878</v>
      </c>
      <c r="AL1652" s="5">
        <f t="shared" si="231"/>
        <v>0.5243888888888889</v>
      </c>
    </row>
    <row r="1653" spans="1:38" x14ac:dyDescent="0.2">
      <c r="A1653" s="2">
        <v>2025</v>
      </c>
      <c r="B1653" s="2">
        <v>8</v>
      </c>
      <c r="D1653" s="2" t="s">
        <v>192</v>
      </c>
      <c r="E1653" s="2" t="s">
        <v>108</v>
      </c>
      <c r="F1653" s="2" t="s">
        <v>193</v>
      </c>
      <c r="G1653" s="2">
        <v>502044411</v>
      </c>
      <c r="H1653" s="2" t="s">
        <v>40</v>
      </c>
      <c r="I1653" s="2" t="s">
        <v>156</v>
      </c>
      <c r="J1653" s="2" t="s">
        <v>194</v>
      </c>
      <c r="L1653" s="2" t="s">
        <v>99</v>
      </c>
      <c r="M1653" s="2" t="s">
        <v>40</v>
      </c>
      <c r="O1653" s="2" t="s">
        <v>1754</v>
      </c>
      <c r="P1653" s="2" t="s">
        <v>114</v>
      </c>
      <c r="Q1653" s="2" t="s">
        <v>808</v>
      </c>
      <c r="R1653" s="2" t="s">
        <v>809</v>
      </c>
      <c r="S1653" s="2">
        <v>1</v>
      </c>
      <c r="T1653" s="2">
        <v>83.79</v>
      </c>
      <c r="U1653" s="2">
        <v>19.271699999999999</v>
      </c>
      <c r="V1653" s="2">
        <v>103.0617</v>
      </c>
      <c r="W1653" s="2">
        <v>40.357500000000002</v>
      </c>
      <c r="X1653" s="5">
        <f t="shared" si="230"/>
        <v>0.51834944504117442</v>
      </c>
      <c r="Z1653" s="2" t="s">
        <v>117</v>
      </c>
      <c r="AA1653" s="2" t="s">
        <v>118</v>
      </c>
      <c r="AB1653" s="2" t="s">
        <v>119</v>
      </c>
      <c r="AC1653" s="2" t="s">
        <v>114</v>
      </c>
      <c r="AF1653" s="2">
        <f t="shared" si="225"/>
        <v>0</v>
      </c>
      <c r="AG1653" s="2">
        <v>40.357500000000002</v>
      </c>
      <c r="AJ1653" s="2">
        <f t="shared" si="226"/>
        <v>0</v>
      </c>
      <c r="AK1653" s="2">
        <f t="shared" si="232"/>
        <v>43.432500000000005</v>
      </c>
      <c r="AL1653" s="5">
        <f t="shared" si="231"/>
        <v>0.51834944504117442</v>
      </c>
    </row>
    <row r="1654" spans="1:38" x14ac:dyDescent="0.2">
      <c r="A1654" s="2">
        <v>2025</v>
      </c>
      <c r="B1654" s="2">
        <v>8</v>
      </c>
      <c r="D1654" s="2" t="s">
        <v>192</v>
      </c>
      <c r="E1654" s="2" t="s">
        <v>108</v>
      </c>
      <c r="F1654" s="2" t="s">
        <v>193</v>
      </c>
      <c r="G1654" s="2">
        <v>502044411</v>
      </c>
      <c r="H1654" s="2" t="s">
        <v>40</v>
      </c>
      <c r="I1654" s="2" t="s">
        <v>156</v>
      </c>
      <c r="J1654" s="2" t="s">
        <v>194</v>
      </c>
      <c r="L1654" s="2" t="s">
        <v>99</v>
      </c>
      <c r="M1654" s="2" t="s">
        <v>40</v>
      </c>
      <c r="O1654" s="2" t="s">
        <v>1754</v>
      </c>
      <c r="P1654" s="2" t="s">
        <v>187</v>
      </c>
      <c r="Q1654" s="2" t="s">
        <v>188</v>
      </c>
      <c r="R1654" s="2" t="s">
        <v>189</v>
      </c>
      <c r="S1654" s="2">
        <v>1</v>
      </c>
      <c r="T1654" s="2">
        <v>0</v>
      </c>
      <c r="U1654" s="2">
        <v>0</v>
      </c>
      <c r="V1654" s="2">
        <v>0</v>
      </c>
      <c r="W1654" s="2">
        <f>T1654*40%</f>
        <v>0</v>
      </c>
      <c r="X1654" s="5">
        <v>0</v>
      </c>
      <c r="Z1654" s="2" t="s">
        <v>117</v>
      </c>
      <c r="AA1654" s="2" t="s">
        <v>190</v>
      </c>
      <c r="AB1654" s="2" t="s">
        <v>189</v>
      </c>
      <c r="AC1654" s="2" t="s">
        <v>40</v>
      </c>
      <c r="AF1654" s="2">
        <f t="shared" si="225"/>
        <v>0</v>
      </c>
      <c r="AJ1654" s="2">
        <f t="shared" si="226"/>
        <v>0</v>
      </c>
      <c r="AK1654" s="2">
        <f t="shared" si="232"/>
        <v>0</v>
      </c>
      <c r="AL1654" s="5">
        <v>0</v>
      </c>
    </row>
    <row r="1655" spans="1:38" x14ac:dyDescent="0.2">
      <c r="A1655" s="2">
        <v>2025</v>
      </c>
      <c r="B1655" s="2">
        <v>8</v>
      </c>
      <c r="D1655" s="2" t="s">
        <v>192</v>
      </c>
      <c r="E1655" s="2" t="s">
        <v>108</v>
      </c>
      <c r="F1655" s="2" t="s">
        <v>193</v>
      </c>
      <c r="G1655" s="2">
        <v>502044411</v>
      </c>
      <c r="H1655" s="2" t="s">
        <v>40</v>
      </c>
      <c r="I1655" s="2" t="s">
        <v>156</v>
      </c>
      <c r="J1655" s="2" t="s">
        <v>194</v>
      </c>
      <c r="L1655" s="2" t="s">
        <v>99</v>
      </c>
      <c r="M1655" s="2" t="s">
        <v>40</v>
      </c>
      <c r="O1655" s="2" t="s">
        <v>1754</v>
      </c>
      <c r="P1655" s="2" t="s">
        <v>187</v>
      </c>
      <c r="Q1655" s="2" t="s">
        <v>191</v>
      </c>
      <c r="R1655" s="2" t="s">
        <v>190</v>
      </c>
      <c r="S1655" s="2">
        <v>0.75</v>
      </c>
      <c r="T1655" s="2">
        <v>37.5</v>
      </c>
      <c r="U1655" s="2">
        <v>8.625</v>
      </c>
      <c r="V1655" s="2">
        <v>46.125</v>
      </c>
      <c r="W1655" s="2">
        <f>T1655*50%</f>
        <v>18.75</v>
      </c>
      <c r="X1655" s="5">
        <f t="shared" ref="X1655:X1686" si="233">(T1655-W1655)/T1655</f>
        <v>0.5</v>
      </c>
      <c r="Z1655" s="2" t="s">
        <v>117</v>
      </c>
      <c r="AA1655" s="2" t="s">
        <v>190</v>
      </c>
      <c r="AB1655" s="2" t="s">
        <v>190</v>
      </c>
      <c r="AC1655" s="2" t="s">
        <v>40</v>
      </c>
      <c r="AF1655" s="2">
        <f t="shared" si="225"/>
        <v>0</v>
      </c>
      <c r="AJ1655" s="2">
        <f t="shared" si="226"/>
        <v>0</v>
      </c>
      <c r="AK1655" s="2">
        <f t="shared" si="232"/>
        <v>18.75</v>
      </c>
      <c r="AL1655" s="5">
        <f t="shared" ref="AL1655:AL1686" si="234">(T1655-W1655)/T1655</f>
        <v>0.5</v>
      </c>
    </row>
    <row r="1656" spans="1:38" x14ac:dyDescent="0.2">
      <c r="A1656" s="2">
        <v>2025</v>
      </c>
      <c r="B1656" s="2">
        <v>8</v>
      </c>
      <c r="D1656" s="2" t="s">
        <v>308</v>
      </c>
      <c r="E1656" s="2" t="s">
        <v>108</v>
      </c>
      <c r="F1656" s="2" t="s">
        <v>39</v>
      </c>
      <c r="G1656" s="2">
        <v>503724300</v>
      </c>
      <c r="H1656" s="2" t="s">
        <v>109</v>
      </c>
      <c r="I1656" s="2" t="s">
        <v>3115</v>
      </c>
      <c r="J1656" s="2" t="s">
        <v>3116</v>
      </c>
      <c r="L1656" s="2" t="s">
        <v>112</v>
      </c>
      <c r="M1656" s="2" t="s">
        <v>40</v>
      </c>
      <c r="O1656" s="2" t="s">
        <v>3118</v>
      </c>
      <c r="P1656" s="2" t="s">
        <v>114</v>
      </c>
      <c r="Q1656" s="2" t="s">
        <v>879</v>
      </c>
      <c r="R1656" s="2" t="s">
        <v>880</v>
      </c>
      <c r="S1656" s="2">
        <v>1</v>
      </c>
      <c r="T1656" s="2">
        <v>4500</v>
      </c>
      <c r="U1656" s="2">
        <v>1035</v>
      </c>
      <c r="V1656" s="2">
        <v>5535</v>
      </c>
      <c r="W1656" s="2">
        <v>3279.19</v>
      </c>
      <c r="X1656" s="5">
        <f t="shared" si="233"/>
        <v>0.27129111111111109</v>
      </c>
      <c r="Z1656" s="2" t="s">
        <v>104</v>
      </c>
      <c r="AA1656" s="2" t="s">
        <v>616</v>
      </c>
      <c r="AB1656" s="2" t="s">
        <v>2508</v>
      </c>
      <c r="AC1656" s="2" t="s">
        <v>114</v>
      </c>
      <c r="AF1656" s="2">
        <f t="shared" si="225"/>
        <v>0</v>
      </c>
      <c r="AG1656" s="2">
        <f>3130.82+148.37</f>
        <v>3279.19</v>
      </c>
      <c r="AJ1656" s="2">
        <f t="shared" si="226"/>
        <v>0</v>
      </c>
      <c r="AK1656" s="2">
        <f t="shared" si="232"/>
        <v>1220.81</v>
      </c>
      <c r="AL1656" s="5">
        <f t="shared" si="234"/>
        <v>0.27129111111111109</v>
      </c>
    </row>
    <row r="1657" spans="1:38" x14ac:dyDescent="0.2">
      <c r="A1657" s="2">
        <v>2025</v>
      </c>
      <c r="B1657" s="2">
        <v>8</v>
      </c>
      <c r="D1657" s="2" t="s">
        <v>1178</v>
      </c>
      <c r="E1657" s="2" t="s">
        <v>38</v>
      </c>
      <c r="F1657" s="2" t="s">
        <v>39</v>
      </c>
      <c r="G1657" s="2">
        <v>502089075</v>
      </c>
      <c r="H1657" s="2" t="s">
        <v>41</v>
      </c>
      <c r="I1657" s="2" t="s">
        <v>1179</v>
      </c>
      <c r="J1657" s="2" t="s">
        <v>1180</v>
      </c>
      <c r="L1657" s="2" t="s">
        <v>461</v>
      </c>
      <c r="M1657" s="2" t="s">
        <v>41</v>
      </c>
      <c r="O1657" s="2" t="s">
        <v>1755</v>
      </c>
      <c r="P1657" s="2" t="s">
        <v>43</v>
      </c>
      <c r="Q1657" s="2" t="s">
        <v>54</v>
      </c>
      <c r="R1657" s="2" t="s">
        <v>55</v>
      </c>
      <c r="S1657" s="2">
        <v>3</v>
      </c>
      <c r="T1657" s="2">
        <v>68.400000000000006</v>
      </c>
      <c r="U1657" s="2">
        <v>15.731999999999999</v>
      </c>
      <c r="V1657" s="2">
        <v>84.132000000000005</v>
      </c>
      <c r="W1657" s="2">
        <f>10.6*S1657</f>
        <v>31.799999999999997</v>
      </c>
      <c r="X1657" s="5">
        <f t="shared" si="233"/>
        <v>0.53508771929824572</v>
      </c>
      <c r="Z1657" s="2" t="s">
        <v>3227</v>
      </c>
      <c r="AA1657" s="2" t="s">
        <v>46</v>
      </c>
      <c r="AB1657" s="2" t="s">
        <v>56</v>
      </c>
      <c r="AC1657" s="2" t="s">
        <v>57</v>
      </c>
      <c r="AF1657" s="2">
        <f t="shared" si="225"/>
        <v>0</v>
      </c>
      <c r="AG1657" s="2">
        <v>10.6</v>
      </c>
      <c r="AH1657" s="2">
        <v>18</v>
      </c>
      <c r="AJ1657" s="2">
        <f t="shared" si="226"/>
        <v>0</v>
      </c>
      <c r="AK1657" s="2">
        <f t="shared" si="232"/>
        <v>36.600000000000009</v>
      </c>
      <c r="AL1657" s="5">
        <f t="shared" si="234"/>
        <v>0.53508771929824572</v>
      </c>
    </row>
    <row r="1658" spans="1:38" x14ac:dyDescent="0.2">
      <c r="A1658" s="2">
        <v>2025</v>
      </c>
      <c r="B1658" s="2">
        <v>8</v>
      </c>
      <c r="D1658" s="2" t="s">
        <v>1178</v>
      </c>
      <c r="E1658" s="2" t="s">
        <v>38</v>
      </c>
      <c r="F1658" s="2" t="s">
        <v>39</v>
      </c>
      <c r="G1658" s="2">
        <v>502089075</v>
      </c>
      <c r="H1658" s="2" t="s">
        <v>41</v>
      </c>
      <c r="I1658" s="2" t="s">
        <v>1179</v>
      </c>
      <c r="J1658" s="2" t="s">
        <v>1180</v>
      </c>
      <c r="L1658" s="2" t="s">
        <v>461</v>
      </c>
      <c r="M1658" s="2" t="s">
        <v>41</v>
      </c>
      <c r="O1658" s="2" t="s">
        <v>1756</v>
      </c>
      <c r="P1658" s="2" t="s">
        <v>43</v>
      </c>
      <c r="Q1658" s="2" t="s">
        <v>61</v>
      </c>
      <c r="R1658" s="2" t="s">
        <v>62</v>
      </c>
      <c r="S1658" s="2">
        <v>100</v>
      </c>
      <c r="T1658" s="2">
        <v>13</v>
      </c>
      <c r="U1658" s="2">
        <v>2.99</v>
      </c>
      <c r="V1658" s="2">
        <v>15.99</v>
      </c>
      <c r="W1658" s="2">
        <f>0.082*S1658</f>
        <v>8.2000000000000011</v>
      </c>
      <c r="X1658" s="5">
        <f t="shared" si="233"/>
        <v>0.36923076923076914</v>
      </c>
      <c r="Z1658" s="2" t="s">
        <v>3227</v>
      </c>
      <c r="AA1658" s="2" t="s">
        <v>46</v>
      </c>
      <c r="AB1658" s="2" t="s">
        <v>60</v>
      </c>
      <c r="AC1658" s="2" t="s">
        <v>57</v>
      </c>
      <c r="AF1658" s="2">
        <f t="shared" si="225"/>
        <v>0</v>
      </c>
      <c r="AG1658" s="2">
        <v>8.1999999999999993</v>
      </c>
      <c r="AH1658" s="2">
        <v>13</v>
      </c>
      <c r="AJ1658" s="2">
        <f t="shared" si="226"/>
        <v>0</v>
      </c>
      <c r="AK1658" s="2">
        <f t="shared" si="232"/>
        <v>4.7999999999999989</v>
      </c>
      <c r="AL1658" s="5">
        <f t="shared" si="234"/>
        <v>0.36923076923076914</v>
      </c>
    </row>
    <row r="1659" spans="1:38" x14ac:dyDescent="0.2">
      <c r="A1659" s="2">
        <v>2025</v>
      </c>
      <c r="B1659" s="2">
        <v>8</v>
      </c>
      <c r="D1659" s="2" t="s">
        <v>1178</v>
      </c>
      <c r="E1659" s="2" t="s">
        <v>38</v>
      </c>
      <c r="F1659" s="2" t="s">
        <v>39</v>
      </c>
      <c r="G1659" s="2">
        <v>502089075</v>
      </c>
      <c r="H1659" s="2" t="s">
        <v>41</v>
      </c>
      <c r="I1659" s="2" t="s">
        <v>1179</v>
      </c>
      <c r="J1659" s="2" t="s">
        <v>1180</v>
      </c>
      <c r="L1659" s="2" t="s">
        <v>461</v>
      </c>
      <c r="M1659" s="2" t="s">
        <v>41</v>
      </c>
      <c r="O1659" s="2" t="s">
        <v>1756</v>
      </c>
      <c r="P1659" s="2" t="s">
        <v>43</v>
      </c>
      <c r="Q1659" s="2" t="s">
        <v>254</v>
      </c>
      <c r="R1659" s="2" t="s">
        <v>255</v>
      </c>
      <c r="S1659" s="2">
        <v>100</v>
      </c>
      <c r="T1659" s="2">
        <v>14</v>
      </c>
      <c r="U1659" s="2">
        <v>3.22</v>
      </c>
      <c r="V1659" s="2">
        <v>17.22</v>
      </c>
      <c r="W1659" s="2">
        <f>0.0914*S1659</f>
        <v>9.1399999999999988</v>
      </c>
      <c r="X1659" s="5">
        <f t="shared" si="233"/>
        <v>0.34714285714285725</v>
      </c>
      <c r="Z1659" s="2" t="s">
        <v>3227</v>
      </c>
      <c r="AA1659" s="2" t="s">
        <v>46</v>
      </c>
      <c r="AB1659" s="2" t="s">
        <v>60</v>
      </c>
      <c r="AC1659" s="2" t="s">
        <v>57</v>
      </c>
      <c r="AF1659" s="2">
        <f t="shared" si="225"/>
        <v>0</v>
      </c>
      <c r="AJ1659" s="2">
        <f t="shared" si="226"/>
        <v>0</v>
      </c>
      <c r="AK1659" s="2">
        <f t="shared" si="232"/>
        <v>4.8600000000000012</v>
      </c>
      <c r="AL1659" s="5">
        <f t="shared" si="234"/>
        <v>0.34714285714285725</v>
      </c>
    </row>
    <row r="1660" spans="1:38" x14ac:dyDescent="0.2">
      <c r="A1660" s="2">
        <v>2025</v>
      </c>
      <c r="B1660" s="2">
        <v>8</v>
      </c>
      <c r="D1660" s="2" t="s">
        <v>1178</v>
      </c>
      <c r="E1660" s="2" t="s">
        <v>38</v>
      </c>
      <c r="G1660" s="2">
        <v>502089075</v>
      </c>
      <c r="H1660" s="2" t="s">
        <v>41</v>
      </c>
      <c r="I1660" s="2" t="s">
        <v>1179</v>
      </c>
      <c r="J1660" s="2" t="s">
        <v>1180</v>
      </c>
      <c r="L1660" s="2" t="s">
        <v>461</v>
      </c>
      <c r="M1660" s="2" t="s">
        <v>41</v>
      </c>
      <c r="O1660" s="2" t="s">
        <v>1755</v>
      </c>
      <c r="P1660" s="2" t="s">
        <v>169</v>
      </c>
      <c r="Q1660" s="2" t="s">
        <v>170</v>
      </c>
      <c r="R1660" s="2" t="s">
        <v>170</v>
      </c>
      <c r="S1660" s="2">
        <v>1</v>
      </c>
      <c r="T1660" s="2">
        <v>8</v>
      </c>
      <c r="U1660" s="2">
        <v>1.84</v>
      </c>
      <c r="V1660" s="2">
        <v>9.84</v>
      </c>
      <c r="W1660" s="2">
        <v>6</v>
      </c>
      <c r="X1660" s="5">
        <f t="shared" si="233"/>
        <v>0.25</v>
      </c>
      <c r="Z1660" s="2" t="s">
        <v>169</v>
      </c>
      <c r="AA1660" s="2" t="s">
        <v>169</v>
      </c>
      <c r="AF1660" s="2">
        <f t="shared" si="225"/>
        <v>0</v>
      </c>
      <c r="AJ1660" s="2">
        <f t="shared" si="226"/>
        <v>0</v>
      </c>
      <c r="AK1660" s="2">
        <f t="shared" si="232"/>
        <v>2</v>
      </c>
      <c r="AL1660" s="5">
        <f t="shared" si="234"/>
        <v>0.25</v>
      </c>
    </row>
    <row r="1661" spans="1:38" x14ac:dyDescent="0.2">
      <c r="A1661" s="2">
        <v>2025</v>
      </c>
      <c r="B1661" s="2">
        <v>8</v>
      </c>
      <c r="D1661" s="2" t="s">
        <v>319</v>
      </c>
      <c r="E1661" s="2" t="s">
        <v>38</v>
      </c>
      <c r="F1661" s="2" t="s">
        <v>39</v>
      </c>
      <c r="G1661" s="2">
        <v>500883262</v>
      </c>
      <c r="H1661" s="2" t="s">
        <v>40</v>
      </c>
      <c r="I1661" s="2" t="s">
        <v>99</v>
      </c>
      <c r="J1661" s="2" t="s">
        <v>320</v>
      </c>
      <c r="L1661" s="2" t="s">
        <v>99</v>
      </c>
      <c r="M1661" s="2" t="s">
        <v>80</v>
      </c>
      <c r="O1661" s="2" t="s">
        <v>1757</v>
      </c>
      <c r="P1661" s="2" t="s">
        <v>72</v>
      </c>
      <c r="Q1661" s="2" t="s">
        <v>1758</v>
      </c>
      <c r="R1661" s="2" t="s">
        <v>962</v>
      </c>
      <c r="S1661" s="2">
        <v>1</v>
      </c>
      <c r="T1661" s="2">
        <v>400</v>
      </c>
      <c r="U1661" s="2">
        <v>92</v>
      </c>
      <c r="V1661" s="2">
        <v>492</v>
      </c>
      <c r="W1661" s="2">
        <v>231</v>
      </c>
      <c r="X1661" s="5">
        <f t="shared" si="233"/>
        <v>0.42249999999999999</v>
      </c>
      <c r="Z1661" s="2" t="s">
        <v>3227</v>
      </c>
      <c r="AA1661" s="2" t="s">
        <v>75</v>
      </c>
      <c r="AB1661" s="2" t="s">
        <v>76</v>
      </c>
      <c r="AC1661" s="2" t="s">
        <v>77</v>
      </c>
      <c r="AF1661" s="2">
        <f t="shared" si="225"/>
        <v>0</v>
      </c>
      <c r="AJ1661" s="2">
        <f t="shared" si="226"/>
        <v>0</v>
      </c>
      <c r="AK1661" s="2">
        <f t="shared" si="232"/>
        <v>169</v>
      </c>
      <c r="AL1661" s="5">
        <f t="shared" si="234"/>
        <v>0.42249999999999999</v>
      </c>
    </row>
    <row r="1662" spans="1:38" x14ac:dyDescent="0.2">
      <c r="A1662" s="2">
        <v>2025</v>
      </c>
      <c r="B1662" s="2">
        <v>8</v>
      </c>
      <c r="D1662" s="2" t="s">
        <v>319</v>
      </c>
      <c r="E1662" s="2" t="s">
        <v>38</v>
      </c>
      <c r="F1662" s="2" t="s">
        <v>39</v>
      </c>
      <c r="G1662" s="2">
        <v>500883262</v>
      </c>
      <c r="H1662" s="2" t="s">
        <v>40</v>
      </c>
      <c r="I1662" s="2" t="s">
        <v>99</v>
      </c>
      <c r="J1662" s="2" t="s">
        <v>320</v>
      </c>
      <c r="L1662" s="2" t="s">
        <v>99</v>
      </c>
      <c r="M1662" s="2" t="s">
        <v>80</v>
      </c>
      <c r="O1662" s="2" t="s">
        <v>1757</v>
      </c>
      <c r="P1662" s="2" t="s">
        <v>169</v>
      </c>
      <c r="Q1662" s="2" t="s">
        <v>170</v>
      </c>
      <c r="R1662" s="2" t="s">
        <v>170</v>
      </c>
      <c r="S1662" s="2">
        <v>1</v>
      </c>
      <c r="T1662" s="2">
        <v>40</v>
      </c>
      <c r="U1662" s="2">
        <v>9.2000000000000011</v>
      </c>
      <c r="V1662" s="2">
        <v>49.2</v>
      </c>
      <c r="W1662" s="2">
        <v>30</v>
      </c>
      <c r="X1662" s="5">
        <f t="shared" si="233"/>
        <v>0.25</v>
      </c>
      <c r="Z1662" s="2" t="s">
        <v>169</v>
      </c>
      <c r="AA1662" s="2" t="s">
        <v>169</v>
      </c>
      <c r="AF1662" s="2">
        <f t="shared" si="225"/>
        <v>0</v>
      </c>
      <c r="AJ1662" s="2">
        <f t="shared" si="226"/>
        <v>0</v>
      </c>
      <c r="AK1662" s="2">
        <f t="shared" si="232"/>
        <v>10</v>
      </c>
      <c r="AL1662" s="5">
        <f t="shared" si="234"/>
        <v>0.25</v>
      </c>
    </row>
    <row r="1663" spans="1:38" x14ac:dyDescent="0.2">
      <c r="A1663" s="2">
        <v>2025</v>
      </c>
      <c r="B1663" s="2">
        <v>8</v>
      </c>
      <c r="D1663" s="2" t="s">
        <v>319</v>
      </c>
      <c r="E1663" s="2" t="s">
        <v>38</v>
      </c>
      <c r="F1663" s="2" t="s">
        <v>39</v>
      </c>
      <c r="G1663" s="2">
        <v>500883262</v>
      </c>
      <c r="H1663" s="2" t="s">
        <v>40</v>
      </c>
      <c r="I1663" s="2" t="s">
        <v>99</v>
      </c>
      <c r="J1663" s="2" t="s">
        <v>320</v>
      </c>
      <c r="L1663" s="2" t="s">
        <v>99</v>
      </c>
      <c r="M1663" s="2" t="s">
        <v>80</v>
      </c>
      <c r="O1663" s="2" t="s">
        <v>1757</v>
      </c>
      <c r="P1663" s="2" t="s">
        <v>93</v>
      </c>
      <c r="Q1663" s="2" t="s">
        <v>94</v>
      </c>
      <c r="R1663" s="2" t="s">
        <v>95</v>
      </c>
      <c r="S1663" s="2">
        <v>1</v>
      </c>
      <c r="T1663" s="2">
        <v>1.1399999999999999</v>
      </c>
      <c r="U1663" s="2">
        <v>0.26219999999999999</v>
      </c>
      <c r="V1663" s="2">
        <v>1.4021999999999999</v>
      </c>
      <c r="W1663" s="2">
        <v>1.1399999999999999</v>
      </c>
      <c r="X1663" s="5">
        <f t="shared" si="233"/>
        <v>0</v>
      </c>
      <c r="Z1663" s="2" t="s">
        <v>3227</v>
      </c>
      <c r="AA1663" s="2" t="s">
        <v>96</v>
      </c>
      <c r="AB1663" s="2" t="s">
        <v>76</v>
      </c>
      <c r="AC1663" s="2" t="s">
        <v>93</v>
      </c>
      <c r="AF1663" s="2">
        <f t="shared" si="225"/>
        <v>0</v>
      </c>
      <c r="AJ1663" s="2">
        <f t="shared" si="226"/>
        <v>0</v>
      </c>
      <c r="AK1663" s="2">
        <f t="shared" si="232"/>
        <v>0</v>
      </c>
      <c r="AL1663" s="5">
        <f t="shared" si="234"/>
        <v>0</v>
      </c>
    </row>
    <row r="1664" spans="1:38" x14ac:dyDescent="0.2">
      <c r="A1664" s="2">
        <v>2025</v>
      </c>
      <c r="B1664" s="2">
        <v>8</v>
      </c>
      <c r="D1664" s="2" t="s">
        <v>1759</v>
      </c>
      <c r="P1664" s="2" t="s">
        <v>114</v>
      </c>
      <c r="Q1664" s="2" t="s">
        <v>1760</v>
      </c>
      <c r="R1664" s="2" t="s">
        <v>1761</v>
      </c>
      <c r="S1664" s="2">
        <v>1</v>
      </c>
      <c r="T1664" s="2">
        <v>5750</v>
      </c>
      <c r="U1664" s="2">
        <v>1322.5</v>
      </c>
      <c r="V1664" s="2">
        <v>7072.5</v>
      </c>
      <c r="X1664" s="5">
        <f t="shared" si="233"/>
        <v>1</v>
      </c>
      <c r="Z1664" s="2" t="s">
        <v>104</v>
      </c>
      <c r="AF1664" s="2">
        <f t="shared" si="225"/>
        <v>0</v>
      </c>
      <c r="AJ1664" s="2">
        <f t="shared" si="226"/>
        <v>0</v>
      </c>
      <c r="AK1664" s="2">
        <f t="shared" si="232"/>
        <v>5750</v>
      </c>
      <c r="AL1664" s="5">
        <f t="shared" si="234"/>
        <v>1</v>
      </c>
    </row>
    <row r="1665" spans="1:38" x14ac:dyDescent="0.2">
      <c r="A1665" s="2">
        <v>2025</v>
      </c>
      <c r="B1665" s="2">
        <v>8</v>
      </c>
      <c r="D1665" s="2" t="s">
        <v>1759</v>
      </c>
      <c r="P1665" s="2" t="s">
        <v>114</v>
      </c>
      <c r="Q1665" s="2" t="s">
        <v>1762</v>
      </c>
      <c r="R1665" s="2" t="s">
        <v>1763</v>
      </c>
      <c r="S1665" s="2">
        <v>1</v>
      </c>
      <c r="T1665" s="2">
        <v>6095</v>
      </c>
      <c r="U1665" s="2">
        <v>1401.85</v>
      </c>
      <c r="V1665" s="2">
        <v>7496.85</v>
      </c>
      <c r="X1665" s="5">
        <f t="shared" si="233"/>
        <v>1</v>
      </c>
      <c r="Z1665" s="2" t="s">
        <v>104</v>
      </c>
      <c r="AF1665" s="2">
        <f t="shared" si="225"/>
        <v>0</v>
      </c>
      <c r="AJ1665" s="2">
        <f t="shared" si="226"/>
        <v>0</v>
      </c>
      <c r="AK1665" s="2">
        <f t="shared" si="232"/>
        <v>6095</v>
      </c>
      <c r="AL1665" s="5">
        <f t="shared" si="234"/>
        <v>1</v>
      </c>
    </row>
    <row r="1666" spans="1:38" x14ac:dyDescent="0.2">
      <c r="A1666" s="2">
        <v>2025</v>
      </c>
      <c r="B1666" s="2">
        <v>8</v>
      </c>
      <c r="D1666" s="2" t="s">
        <v>1764</v>
      </c>
      <c r="M1666" s="2" t="s">
        <v>40</v>
      </c>
      <c r="P1666" s="2" t="s">
        <v>187</v>
      </c>
      <c r="Q1666" s="2" t="s">
        <v>188</v>
      </c>
      <c r="R1666" s="2" t="s">
        <v>189</v>
      </c>
      <c r="S1666" s="2">
        <v>1</v>
      </c>
      <c r="T1666" s="2">
        <v>79</v>
      </c>
      <c r="U1666" s="2">
        <v>18.170000000000002</v>
      </c>
      <c r="V1666" s="2">
        <v>97.17</v>
      </c>
      <c r="W1666" s="2">
        <f>T1666*40%</f>
        <v>31.6</v>
      </c>
      <c r="X1666" s="5">
        <f t="shared" si="233"/>
        <v>0.6</v>
      </c>
      <c r="Z1666" s="2" t="s">
        <v>117</v>
      </c>
      <c r="AA1666" s="2" t="s">
        <v>190</v>
      </c>
      <c r="AB1666" s="2" t="s">
        <v>189</v>
      </c>
      <c r="AC1666" s="2" t="s">
        <v>40</v>
      </c>
      <c r="AF1666" s="2">
        <f t="shared" ref="AF1666:AF1729" si="235">AJ1666</f>
        <v>0</v>
      </c>
      <c r="AJ1666" s="2">
        <f t="shared" ref="AJ1666:AJ1729" si="236">AI1666*T1666</f>
        <v>0</v>
      </c>
      <c r="AK1666" s="2">
        <f t="shared" si="232"/>
        <v>47.4</v>
      </c>
      <c r="AL1666" s="5">
        <f t="shared" si="234"/>
        <v>0.6</v>
      </c>
    </row>
    <row r="1667" spans="1:38" x14ac:dyDescent="0.2">
      <c r="A1667" s="2">
        <v>2025</v>
      </c>
      <c r="B1667" s="2">
        <v>8</v>
      </c>
      <c r="D1667" s="2" t="s">
        <v>1764</v>
      </c>
      <c r="M1667" s="2" t="s">
        <v>40</v>
      </c>
      <c r="P1667" s="2" t="s">
        <v>187</v>
      </c>
      <c r="Q1667" s="2" t="s">
        <v>191</v>
      </c>
      <c r="R1667" s="2" t="s">
        <v>190</v>
      </c>
      <c r="S1667" s="2">
        <v>2</v>
      </c>
      <c r="T1667" s="2">
        <v>100</v>
      </c>
      <c r="U1667" s="2">
        <v>23</v>
      </c>
      <c r="V1667" s="2">
        <v>123</v>
      </c>
      <c r="W1667" s="2">
        <f>T1667*50%</f>
        <v>50</v>
      </c>
      <c r="X1667" s="5">
        <f t="shared" si="233"/>
        <v>0.5</v>
      </c>
      <c r="Z1667" s="2" t="s">
        <v>117</v>
      </c>
      <c r="AA1667" s="2" t="s">
        <v>190</v>
      </c>
      <c r="AB1667" s="2" t="s">
        <v>190</v>
      </c>
      <c r="AC1667" s="2" t="s">
        <v>40</v>
      </c>
      <c r="AF1667" s="2">
        <f t="shared" si="235"/>
        <v>0</v>
      </c>
      <c r="AJ1667" s="2">
        <f t="shared" si="236"/>
        <v>0</v>
      </c>
      <c r="AK1667" s="2">
        <f t="shared" si="232"/>
        <v>50</v>
      </c>
      <c r="AL1667" s="5">
        <f t="shared" si="234"/>
        <v>0.5</v>
      </c>
    </row>
    <row r="1668" spans="1:38" x14ac:dyDescent="0.2">
      <c r="A1668" s="2">
        <v>2025</v>
      </c>
      <c r="B1668" s="2">
        <v>8</v>
      </c>
      <c r="D1668" s="2" t="s">
        <v>332</v>
      </c>
      <c r="E1668" s="2" t="s">
        <v>108</v>
      </c>
      <c r="F1668" s="2" t="s">
        <v>39</v>
      </c>
      <c r="G1668" s="2">
        <v>513493557</v>
      </c>
      <c r="H1668" s="2" t="s">
        <v>41</v>
      </c>
      <c r="I1668" s="2" t="s">
        <v>279</v>
      </c>
      <c r="J1668" s="2" t="s">
        <v>333</v>
      </c>
      <c r="L1668" s="2" t="s">
        <v>177</v>
      </c>
      <c r="M1668" s="2" t="s">
        <v>40</v>
      </c>
      <c r="P1668" s="2" t="s">
        <v>187</v>
      </c>
      <c r="Q1668" s="2" t="s">
        <v>188</v>
      </c>
      <c r="R1668" s="2" t="s">
        <v>189</v>
      </c>
      <c r="S1668" s="2">
        <v>1</v>
      </c>
      <c r="T1668" s="2">
        <v>70</v>
      </c>
      <c r="U1668" s="2">
        <v>16.100000000000001</v>
      </c>
      <c r="V1668" s="2">
        <v>86.1</v>
      </c>
      <c r="W1668" s="2">
        <f>T1668*40%</f>
        <v>28</v>
      </c>
      <c r="X1668" s="5">
        <f t="shared" si="233"/>
        <v>0.6</v>
      </c>
      <c r="Z1668" s="2" t="s">
        <v>117</v>
      </c>
      <c r="AA1668" s="2" t="s">
        <v>190</v>
      </c>
      <c r="AB1668" s="2" t="s">
        <v>189</v>
      </c>
      <c r="AC1668" s="2" t="s">
        <v>40</v>
      </c>
      <c r="AF1668" s="2">
        <f t="shared" si="235"/>
        <v>0</v>
      </c>
      <c r="AJ1668" s="2">
        <f t="shared" si="236"/>
        <v>0</v>
      </c>
      <c r="AK1668" s="2">
        <f t="shared" ref="AK1668:AK1699" si="237">T1668-W1668</f>
        <v>42</v>
      </c>
      <c r="AL1668" s="5">
        <f t="shared" si="234"/>
        <v>0.6</v>
      </c>
    </row>
    <row r="1669" spans="1:38" x14ac:dyDescent="0.2">
      <c r="A1669" s="2">
        <v>2025</v>
      </c>
      <c r="B1669" s="2">
        <v>8</v>
      </c>
      <c r="D1669" s="2" t="s">
        <v>332</v>
      </c>
      <c r="E1669" s="2" t="s">
        <v>108</v>
      </c>
      <c r="F1669" s="2" t="s">
        <v>39</v>
      </c>
      <c r="G1669" s="2">
        <v>513493557</v>
      </c>
      <c r="H1669" s="2" t="s">
        <v>41</v>
      </c>
      <c r="I1669" s="2" t="s">
        <v>279</v>
      </c>
      <c r="J1669" s="2" t="s">
        <v>333</v>
      </c>
      <c r="L1669" s="2" t="s">
        <v>177</v>
      </c>
      <c r="M1669" s="2" t="s">
        <v>40</v>
      </c>
      <c r="P1669" s="2" t="s">
        <v>187</v>
      </c>
      <c r="Q1669" s="2" t="s">
        <v>191</v>
      </c>
      <c r="R1669" s="2" t="s">
        <v>190</v>
      </c>
      <c r="S1669" s="2">
        <v>1</v>
      </c>
      <c r="T1669" s="2">
        <v>50</v>
      </c>
      <c r="U1669" s="2">
        <v>11.5</v>
      </c>
      <c r="V1669" s="2">
        <v>61.5</v>
      </c>
      <c r="W1669" s="2">
        <f>T1669*50%</f>
        <v>25</v>
      </c>
      <c r="X1669" s="5">
        <f t="shared" si="233"/>
        <v>0.5</v>
      </c>
      <c r="Z1669" s="2" t="s">
        <v>117</v>
      </c>
      <c r="AA1669" s="2" t="s">
        <v>190</v>
      </c>
      <c r="AB1669" s="2" t="s">
        <v>190</v>
      </c>
      <c r="AC1669" s="2" t="s">
        <v>40</v>
      </c>
      <c r="AF1669" s="2">
        <f t="shared" si="235"/>
        <v>0</v>
      </c>
      <c r="AJ1669" s="2">
        <f t="shared" si="236"/>
        <v>0</v>
      </c>
      <c r="AK1669" s="2">
        <f t="shared" si="237"/>
        <v>25</v>
      </c>
      <c r="AL1669" s="5">
        <f t="shared" si="234"/>
        <v>0.5</v>
      </c>
    </row>
    <row r="1670" spans="1:38" x14ac:dyDescent="0.2">
      <c r="A1670" s="2">
        <v>2025</v>
      </c>
      <c r="B1670" s="2">
        <v>8</v>
      </c>
      <c r="D1670" s="2" t="s">
        <v>731</v>
      </c>
      <c r="E1670" s="2" t="s">
        <v>108</v>
      </c>
      <c r="G1670" s="2">
        <v>502757396</v>
      </c>
      <c r="H1670" s="2" t="s">
        <v>40</v>
      </c>
      <c r="I1670" s="2" t="s">
        <v>99</v>
      </c>
      <c r="J1670" s="2" t="s">
        <v>732</v>
      </c>
      <c r="L1670" s="2" t="s">
        <v>99</v>
      </c>
      <c r="M1670" s="2" t="s">
        <v>80</v>
      </c>
      <c r="P1670" s="2" t="s">
        <v>72</v>
      </c>
      <c r="Q1670" s="2" t="s">
        <v>73</v>
      </c>
      <c r="R1670" s="2" t="s">
        <v>74</v>
      </c>
      <c r="S1670" s="2">
        <v>1</v>
      </c>
      <c r="T1670" s="2">
        <v>210</v>
      </c>
      <c r="U1670" s="2">
        <v>48.3</v>
      </c>
      <c r="V1670" s="2">
        <v>258.3</v>
      </c>
      <c r="W1670" s="2">
        <v>117.453</v>
      </c>
      <c r="X1670" s="5">
        <f t="shared" si="233"/>
        <v>0.44069999999999998</v>
      </c>
      <c r="Z1670" s="2" t="s">
        <v>3227</v>
      </c>
      <c r="AA1670" s="2" t="s">
        <v>75</v>
      </c>
      <c r="AB1670" s="2" t="s">
        <v>76</v>
      </c>
      <c r="AC1670" s="2" t="s">
        <v>77</v>
      </c>
      <c r="AF1670" s="2">
        <f t="shared" si="235"/>
        <v>0</v>
      </c>
      <c r="AG1670" s="2">
        <v>117.453</v>
      </c>
      <c r="AH1670" s="2">
        <v>220</v>
      </c>
      <c r="AJ1670" s="2">
        <f t="shared" si="236"/>
        <v>0</v>
      </c>
      <c r="AK1670" s="2">
        <f t="shared" si="237"/>
        <v>92.546999999999997</v>
      </c>
      <c r="AL1670" s="5">
        <f t="shared" si="234"/>
        <v>0.44069999999999998</v>
      </c>
    </row>
    <row r="1671" spans="1:38" x14ac:dyDescent="0.2">
      <c r="A1671" s="2">
        <v>2025</v>
      </c>
      <c r="B1671" s="2">
        <v>8</v>
      </c>
      <c r="D1671" s="2" t="s">
        <v>731</v>
      </c>
      <c r="E1671" s="2" t="s">
        <v>108</v>
      </c>
      <c r="G1671" s="2">
        <v>502757396</v>
      </c>
      <c r="H1671" s="2" t="s">
        <v>40</v>
      </c>
      <c r="I1671" s="2" t="s">
        <v>99</v>
      </c>
      <c r="J1671" s="2" t="s">
        <v>732</v>
      </c>
      <c r="L1671" s="2" t="s">
        <v>99</v>
      </c>
      <c r="M1671" s="2" t="s">
        <v>80</v>
      </c>
      <c r="P1671" s="2" t="s">
        <v>93</v>
      </c>
      <c r="Q1671" s="2" t="s">
        <v>94</v>
      </c>
      <c r="R1671" s="2" t="s">
        <v>95</v>
      </c>
      <c r="S1671" s="2">
        <v>1</v>
      </c>
      <c r="T1671" s="2">
        <v>1.1399999999999999</v>
      </c>
      <c r="U1671" s="2">
        <v>0.26219999999999999</v>
      </c>
      <c r="V1671" s="2">
        <v>1.4021999999999999</v>
      </c>
      <c r="W1671" s="2">
        <v>1.1399999999999999</v>
      </c>
      <c r="X1671" s="5">
        <f t="shared" si="233"/>
        <v>0</v>
      </c>
      <c r="Z1671" s="2" t="s">
        <v>3227</v>
      </c>
      <c r="AA1671" s="2" t="s">
        <v>96</v>
      </c>
      <c r="AB1671" s="2" t="s">
        <v>76</v>
      </c>
      <c r="AC1671" s="2" t="s">
        <v>93</v>
      </c>
      <c r="AF1671" s="2">
        <f t="shared" si="235"/>
        <v>0</v>
      </c>
      <c r="AG1671" s="2">
        <v>1.1399999999999999</v>
      </c>
      <c r="AH1671" s="2">
        <v>1.1399999999999999</v>
      </c>
      <c r="AJ1671" s="2">
        <f t="shared" si="236"/>
        <v>0</v>
      </c>
      <c r="AK1671" s="2">
        <f t="shared" si="237"/>
        <v>0</v>
      </c>
      <c r="AL1671" s="5">
        <f t="shared" si="234"/>
        <v>0</v>
      </c>
    </row>
    <row r="1672" spans="1:38" x14ac:dyDescent="0.2">
      <c r="A1672" s="2">
        <v>2025</v>
      </c>
      <c r="B1672" s="2">
        <v>8</v>
      </c>
      <c r="C1672" s="2" t="s">
        <v>3490</v>
      </c>
      <c r="D1672" s="2" t="s">
        <v>1765</v>
      </c>
      <c r="E1672" s="2" t="s">
        <v>108</v>
      </c>
      <c r="F1672" s="2" t="s">
        <v>477</v>
      </c>
      <c r="L1672" s="2" t="s">
        <v>201</v>
      </c>
      <c r="M1672" s="2" t="s">
        <v>40</v>
      </c>
      <c r="P1672" s="2" t="s">
        <v>1604</v>
      </c>
      <c r="Q1672" s="2" t="s">
        <v>1766</v>
      </c>
      <c r="R1672" s="2" t="s">
        <v>1767</v>
      </c>
      <c r="S1672" s="2">
        <v>1</v>
      </c>
      <c r="T1672" s="2">
        <v>68.86</v>
      </c>
      <c r="U1672" s="2">
        <v>15.8378</v>
      </c>
      <c r="V1672" s="2">
        <v>84.697800000000001</v>
      </c>
      <c r="W1672" s="2">
        <v>23.9572</v>
      </c>
      <c r="X1672" s="5">
        <f t="shared" si="233"/>
        <v>0.65208829509149002</v>
      </c>
      <c r="Z1672" s="2" t="s">
        <v>117</v>
      </c>
      <c r="AA1672" s="2" t="s">
        <v>118</v>
      </c>
      <c r="AB1672" s="2" t="s">
        <v>119</v>
      </c>
      <c r="AC1672" s="2" t="s">
        <v>1604</v>
      </c>
      <c r="AF1672" s="2">
        <f t="shared" si="235"/>
        <v>0</v>
      </c>
      <c r="AJ1672" s="2">
        <f t="shared" si="236"/>
        <v>0</v>
      </c>
      <c r="AK1672" s="2">
        <f t="shared" si="237"/>
        <v>44.902799999999999</v>
      </c>
      <c r="AL1672" s="5">
        <f t="shared" si="234"/>
        <v>0.65208829509149002</v>
      </c>
    </row>
    <row r="1673" spans="1:38" x14ac:dyDescent="0.2">
      <c r="A1673" s="2">
        <v>2025</v>
      </c>
      <c r="B1673" s="2">
        <v>8</v>
      </c>
      <c r="C1673" s="2" t="s">
        <v>3490</v>
      </c>
      <c r="D1673" s="2" t="s">
        <v>1765</v>
      </c>
      <c r="E1673" s="2" t="s">
        <v>108</v>
      </c>
      <c r="F1673" s="2" t="s">
        <v>477</v>
      </c>
      <c r="L1673" s="2" t="s">
        <v>201</v>
      </c>
      <c r="M1673" s="2" t="s">
        <v>40</v>
      </c>
      <c r="P1673" s="2" t="s">
        <v>187</v>
      </c>
      <c r="Q1673" s="2" t="s">
        <v>188</v>
      </c>
      <c r="R1673" s="2" t="s">
        <v>189</v>
      </c>
      <c r="S1673" s="2">
        <v>1</v>
      </c>
      <c r="T1673" s="2">
        <v>115</v>
      </c>
      <c r="U1673" s="2">
        <v>26.45</v>
      </c>
      <c r="V1673" s="2">
        <v>141.44999999999999</v>
      </c>
      <c r="W1673" s="2">
        <f>T1673*40%</f>
        <v>46</v>
      </c>
      <c r="X1673" s="5">
        <f t="shared" si="233"/>
        <v>0.6</v>
      </c>
      <c r="Z1673" s="2" t="s">
        <v>117</v>
      </c>
      <c r="AA1673" s="2" t="s">
        <v>190</v>
      </c>
      <c r="AB1673" s="2" t="s">
        <v>189</v>
      </c>
      <c r="AC1673" s="2" t="s">
        <v>40</v>
      </c>
      <c r="AF1673" s="2">
        <f t="shared" si="235"/>
        <v>0</v>
      </c>
      <c r="AJ1673" s="2">
        <f t="shared" si="236"/>
        <v>0</v>
      </c>
      <c r="AK1673" s="2">
        <f t="shared" si="237"/>
        <v>69</v>
      </c>
      <c r="AL1673" s="5">
        <f t="shared" si="234"/>
        <v>0.6</v>
      </c>
    </row>
    <row r="1674" spans="1:38" x14ac:dyDescent="0.2">
      <c r="A1674" s="2">
        <v>2025</v>
      </c>
      <c r="B1674" s="2">
        <v>8</v>
      </c>
      <c r="C1674" s="2" t="s">
        <v>3490</v>
      </c>
      <c r="D1674" s="2" t="s">
        <v>1765</v>
      </c>
      <c r="E1674" s="2" t="s">
        <v>108</v>
      </c>
      <c r="F1674" s="2" t="s">
        <v>477</v>
      </c>
      <c r="L1674" s="2" t="s">
        <v>201</v>
      </c>
      <c r="M1674" s="2" t="s">
        <v>40</v>
      </c>
      <c r="P1674" s="2" t="s">
        <v>187</v>
      </c>
      <c r="Q1674" s="2" t="s">
        <v>191</v>
      </c>
      <c r="R1674" s="2" t="s">
        <v>190</v>
      </c>
      <c r="S1674" s="2">
        <v>1.5</v>
      </c>
      <c r="T1674" s="2">
        <v>75</v>
      </c>
      <c r="U1674" s="2">
        <v>17.25</v>
      </c>
      <c r="V1674" s="2">
        <v>92.25</v>
      </c>
      <c r="W1674" s="2">
        <f>T1674*50%</f>
        <v>37.5</v>
      </c>
      <c r="X1674" s="5">
        <f t="shared" si="233"/>
        <v>0.5</v>
      </c>
      <c r="Z1674" s="2" t="s">
        <v>117</v>
      </c>
      <c r="AA1674" s="2" t="s">
        <v>190</v>
      </c>
      <c r="AB1674" s="2" t="s">
        <v>190</v>
      </c>
      <c r="AC1674" s="2" t="s">
        <v>40</v>
      </c>
      <c r="AF1674" s="2">
        <f t="shared" si="235"/>
        <v>0</v>
      </c>
      <c r="AJ1674" s="2">
        <f t="shared" si="236"/>
        <v>0</v>
      </c>
      <c r="AK1674" s="2">
        <f t="shared" si="237"/>
        <v>37.5</v>
      </c>
      <c r="AL1674" s="5">
        <f t="shared" si="234"/>
        <v>0.5</v>
      </c>
    </row>
    <row r="1675" spans="1:38" x14ac:dyDescent="0.2">
      <c r="A1675" s="2">
        <v>2025</v>
      </c>
      <c r="B1675" s="2">
        <v>8</v>
      </c>
      <c r="D1675" s="2" t="s">
        <v>981</v>
      </c>
      <c r="E1675" s="2" t="s">
        <v>108</v>
      </c>
      <c r="F1675" s="2" t="s">
        <v>717</v>
      </c>
      <c r="G1675" s="2">
        <v>500594309</v>
      </c>
      <c r="H1675" s="2" t="s">
        <v>290</v>
      </c>
      <c r="I1675" s="2" t="s">
        <v>982</v>
      </c>
      <c r="J1675" s="2" t="s">
        <v>983</v>
      </c>
      <c r="L1675" s="2" t="s">
        <v>293</v>
      </c>
      <c r="M1675" s="2" t="s">
        <v>80</v>
      </c>
      <c r="O1675" s="2" t="s">
        <v>1768</v>
      </c>
      <c r="P1675" s="2" t="s">
        <v>72</v>
      </c>
      <c r="Q1675" s="2" t="s">
        <v>557</v>
      </c>
      <c r="R1675" s="2" t="s">
        <v>307</v>
      </c>
      <c r="S1675" s="2">
        <v>1</v>
      </c>
      <c r="T1675" s="2">
        <v>230</v>
      </c>
      <c r="U1675" s="2">
        <v>52.900000000000013</v>
      </c>
      <c r="V1675" s="2">
        <v>282.89999999999998</v>
      </c>
      <c r="W1675" s="2">
        <v>122.446</v>
      </c>
      <c r="X1675" s="5">
        <f t="shared" si="233"/>
        <v>0.46762608695652175</v>
      </c>
      <c r="Z1675" s="2" t="s">
        <v>3227</v>
      </c>
      <c r="AA1675" s="2" t="s">
        <v>75</v>
      </c>
      <c r="AB1675" s="2" t="s">
        <v>76</v>
      </c>
      <c r="AC1675" s="2" t="s">
        <v>77</v>
      </c>
      <c r="AF1675" s="2">
        <f t="shared" si="235"/>
        <v>0</v>
      </c>
      <c r="AG1675" s="2">
        <v>122.446</v>
      </c>
      <c r="AH1675" s="2">
        <v>230</v>
      </c>
      <c r="AJ1675" s="2">
        <f t="shared" si="236"/>
        <v>0</v>
      </c>
      <c r="AK1675" s="2">
        <f t="shared" si="237"/>
        <v>107.554</v>
      </c>
      <c r="AL1675" s="5">
        <f t="shared" si="234"/>
        <v>0.46762608695652175</v>
      </c>
    </row>
    <row r="1676" spans="1:38" x14ac:dyDescent="0.2">
      <c r="A1676" s="2">
        <v>2025</v>
      </c>
      <c r="B1676" s="2">
        <v>8</v>
      </c>
      <c r="D1676" s="2" t="s">
        <v>981</v>
      </c>
      <c r="E1676" s="2" t="s">
        <v>108</v>
      </c>
      <c r="F1676" s="2" t="s">
        <v>717</v>
      </c>
      <c r="G1676" s="2">
        <v>500594309</v>
      </c>
      <c r="H1676" s="2" t="s">
        <v>290</v>
      </c>
      <c r="I1676" s="2" t="s">
        <v>982</v>
      </c>
      <c r="J1676" s="2" t="s">
        <v>983</v>
      </c>
      <c r="L1676" s="2" t="s">
        <v>293</v>
      </c>
      <c r="M1676" s="2" t="s">
        <v>80</v>
      </c>
      <c r="O1676" s="2" t="s">
        <v>1768</v>
      </c>
      <c r="P1676" s="2" t="s">
        <v>93</v>
      </c>
      <c r="Q1676" s="2" t="s">
        <v>94</v>
      </c>
      <c r="R1676" s="2" t="s">
        <v>95</v>
      </c>
      <c r="S1676" s="2">
        <v>1</v>
      </c>
      <c r="T1676" s="2">
        <v>1.1399999999999999</v>
      </c>
      <c r="U1676" s="2">
        <v>0.26219999999999999</v>
      </c>
      <c r="V1676" s="2">
        <v>1.4021999999999999</v>
      </c>
      <c r="W1676" s="2">
        <v>1.1399999999999999</v>
      </c>
      <c r="X1676" s="5">
        <f t="shared" si="233"/>
        <v>0</v>
      </c>
      <c r="Z1676" s="2" t="s">
        <v>3227</v>
      </c>
      <c r="AA1676" s="2" t="s">
        <v>96</v>
      </c>
      <c r="AB1676" s="2" t="s">
        <v>76</v>
      </c>
      <c r="AC1676" s="2" t="s">
        <v>93</v>
      </c>
      <c r="AF1676" s="2">
        <f t="shared" si="235"/>
        <v>0</v>
      </c>
      <c r="AG1676" s="2">
        <v>1.1399999999999999</v>
      </c>
      <c r="AH1676" s="2">
        <v>1.1399999999999999</v>
      </c>
      <c r="AJ1676" s="2">
        <f t="shared" si="236"/>
        <v>0</v>
      </c>
      <c r="AK1676" s="2">
        <f t="shared" si="237"/>
        <v>0</v>
      </c>
      <c r="AL1676" s="5">
        <f t="shared" si="234"/>
        <v>0</v>
      </c>
    </row>
    <row r="1677" spans="1:38" x14ac:dyDescent="0.2">
      <c r="A1677" s="2">
        <v>2025</v>
      </c>
      <c r="B1677" s="2">
        <v>8</v>
      </c>
      <c r="D1677" s="2" t="s">
        <v>1769</v>
      </c>
      <c r="M1677" s="2" t="s">
        <v>40</v>
      </c>
      <c r="P1677" s="2" t="s">
        <v>187</v>
      </c>
      <c r="Q1677" s="2" t="s">
        <v>188</v>
      </c>
      <c r="R1677" s="2" t="s">
        <v>189</v>
      </c>
      <c r="S1677" s="2">
        <v>1</v>
      </c>
      <c r="T1677" s="2">
        <v>50</v>
      </c>
      <c r="U1677" s="2">
        <v>11.5</v>
      </c>
      <c r="V1677" s="2">
        <v>61.5</v>
      </c>
      <c r="W1677" s="2">
        <f>T1677*40%</f>
        <v>20</v>
      </c>
      <c r="X1677" s="5">
        <f t="shared" si="233"/>
        <v>0.6</v>
      </c>
      <c r="Z1677" s="2" t="s">
        <v>117</v>
      </c>
      <c r="AA1677" s="2" t="s">
        <v>190</v>
      </c>
      <c r="AB1677" s="2" t="s">
        <v>189</v>
      </c>
      <c r="AC1677" s="2" t="s">
        <v>40</v>
      </c>
      <c r="AF1677" s="2">
        <f t="shared" si="235"/>
        <v>0</v>
      </c>
      <c r="AJ1677" s="2">
        <f t="shared" si="236"/>
        <v>0</v>
      </c>
      <c r="AK1677" s="2">
        <f t="shared" si="237"/>
        <v>30</v>
      </c>
      <c r="AL1677" s="5">
        <f t="shared" si="234"/>
        <v>0.6</v>
      </c>
    </row>
    <row r="1678" spans="1:38" x14ac:dyDescent="0.2">
      <c r="A1678" s="2">
        <v>2025</v>
      </c>
      <c r="B1678" s="2">
        <v>8</v>
      </c>
      <c r="D1678" s="2" t="s">
        <v>1769</v>
      </c>
      <c r="M1678" s="2" t="s">
        <v>40</v>
      </c>
      <c r="P1678" s="2" t="s">
        <v>187</v>
      </c>
      <c r="Q1678" s="2" t="s">
        <v>191</v>
      </c>
      <c r="R1678" s="2" t="s">
        <v>190</v>
      </c>
      <c r="S1678" s="2">
        <v>1.25</v>
      </c>
      <c r="T1678" s="2">
        <v>62.5</v>
      </c>
      <c r="U1678" s="2">
        <v>14.375</v>
      </c>
      <c r="V1678" s="2">
        <v>76.875</v>
      </c>
      <c r="W1678" s="2">
        <f>T1678*50%</f>
        <v>31.25</v>
      </c>
      <c r="X1678" s="5">
        <f t="shared" si="233"/>
        <v>0.5</v>
      </c>
      <c r="Z1678" s="2" t="s">
        <v>117</v>
      </c>
      <c r="AA1678" s="2" t="s">
        <v>190</v>
      </c>
      <c r="AB1678" s="2" t="s">
        <v>190</v>
      </c>
      <c r="AC1678" s="2" t="s">
        <v>40</v>
      </c>
      <c r="AF1678" s="2">
        <f t="shared" si="235"/>
        <v>0</v>
      </c>
      <c r="AJ1678" s="2">
        <f t="shared" si="236"/>
        <v>0</v>
      </c>
      <c r="AK1678" s="2">
        <f t="shared" si="237"/>
        <v>31.25</v>
      </c>
      <c r="AL1678" s="5">
        <f t="shared" si="234"/>
        <v>0.5</v>
      </c>
    </row>
    <row r="1679" spans="1:38" x14ac:dyDescent="0.2">
      <c r="A1679" s="2">
        <v>2025</v>
      </c>
      <c r="B1679" s="2">
        <v>8</v>
      </c>
      <c r="D1679" s="2" t="s">
        <v>1355</v>
      </c>
      <c r="E1679" s="2" t="s">
        <v>752</v>
      </c>
      <c r="F1679" s="2" t="s">
        <v>39</v>
      </c>
      <c r="G1679" s="2">
        <v>518238334</v>
      </c>
      <c r="H1679" s="2" t="s">
        <v>41</v>
      </c>
      <c r="I1679" s="2" t="s">
        <v>762</v>
      </c>
      <c r="J1679" s="2" t="s">
        <v>1356</v>
      </c>
      <c r="L1679" s="2" t="s">
        <v>418</v>
      </c>
      <c r="P1679" s="2" t="s">
        <v>282</v>
      </c>
      <c r="Q1679" s="2" t="s">
        <v>1770</v>
      </c>
      <c r="R1679" s="2" t="s">
        <v>1771</v>
      </c>
      <c r="S1679" s="2">
        <v>1</v>
      </c>
      <c r="T1679" s="2">
        <v>180</v>
      </c>
      <c r="U1679" s="2">
        <v>41.4</v>
      </c>
      <c r="V1679" s="2">
        <v>221.4</v>
      </c>
      <c r="X1679" s="5">
        <f t="shared" si="233"/>
        <v>1</v>
      </c>
      <c r="Z1679" s="2" t="s">
        <v>3227</v>
      </c>
      <c r="AF1679" s="2">
        <f t="shared" si="235"/>
        <v>0</v>
      </c>
      <c r="AJ1679" s="2">
        <f t="shared" si="236"/>
        <v>0</v>
      </c>
      <c r="AK1679" s="2">
        <f t="shared" si="237"/>
        <v>180</v>
      </c>
      <c r="AL1679" s="5">
        <f t="shared" si="234"/>
        <v>1</v>
      </c>
    </row>
    <row r="1680" spans="1:38" x14ac:dyDescent="0.2">
      <c r="A1680" s="2">
        <v>2025</v>
      </c>
      <c r="B1680" s="2">
        <v>8</v>
      </c>
      <c r="D1680" s="2" t="s">
        <v>744</v>
      </c>
      <c r="E1680" s="2" t="s">
        <v>108</v>
      </c>
      <c r="F1680" s="2" t="s">
        <v>39</v>
      </c>
      <c r="G1680" s="2">
        <v>509181163</v>
      </c>
      <c r="H1680" s="2" t="s">
        <v>40</v>
      </c>
      <c r="I1680" s="2" t="s">
        <v>745</v>
      </c>
      <c r="J1680" s="2" t="s">
        <v>746</v>
      </c>
      <c r="K1680" s="2">
        <v>962372760</v>
      </c>
      <c r="L1680" s="2" t="s">
        <v>201</v>
      </c>
      <c r="P1680" s="2" t="s">
        <v>114</v>
      </c>
      <c r="Q1680" s="2" t="s">
        <v>1772</v>
      </c>
      <c r="R1680" s="2" t="s">
        <v>1773</v>
      </c>
      <c r="S1680" s="2">
        <v>1</v>
      </c>
      <c r="T1680" s="2">
        <v>541.59</v>
      </c>
      <c r="U1680" s="2">
        <v>124.56570000000001</v>
      </c>
      <c r="V1680" s="2">
        <v>666.15570000000002</v>
      </c>
      <c r="X1680" s="5">
        <f t="shared" si="233"/>
        <v>1</v>
      </c>
      <c r="AF1680" s="2">
        <f t="shared" si="235"/>
        <v>0</v>
      </c>
      <c r="AJ1680" s="2">
        <f t="shared" si="236"/>
        <v>0</v>
      </c>
      <c r="AK1680" s="2">
        <f t="shared" si="237"/>
        <v>541.59</v>
      </c>
      <c r="AL1680" s="5">
        <f t="shared" si="234"/>
        <v>1</v>
      </c>
    </row>
    <row r="1681" spans="1:38" x14ac:dyDescent="0.2">
      <c r="A1681" s="2">
        <v>2025</v>
      </c>
      <c r="B1681" s="2">
        <v>8</v>
      </c>
      <c r="D1681" s="2" t="s">
        <v>744</v>
      </c>
      <c r="E1681" s="2" t="s">
        <v>108</v>
      </c>
      <c r="F1681" s="2" t="s">
        <v>39</v>
      </c>
      <c r="G1681" s="2">
        <v>509181163</v>
      </c>
      <c r="H1681" s="2" t="s">
        <v>40</v>
      </c>
      <c r="I1681" s="2" t="s">
        <v>745</v>
      </c>
      <c r="J1681" s="2" t="s">
        <v>746</v>
      </c>
      <c r="K1681" s="2">
        <v>962372760</v>
      </c>
      <c r="L1681" s="2" t="s">
        <v>201</v>
      </c>
      <c r="M1681" s="2" t="s">
        <v>40</v>
      </c>
      <c r="P1681" s="2" t="s">
        <v>187</v>
      </c>
      <c r="Q1681" s="2" t="s">
        <v>188</v>
      </c>
      <c r="R1681" s="2" t="s">
        <v>189</v>
      </c>
      <c r="S1681" s="2">
        <v>2</v>
      </c>
      <c r="T1681" s="2">
        <v>132.75</v>
      </c>
      <c r="U1681" s="2">
        <v>30.532499999999999</v>
      </c>
      <c r="V1681" s="2">
        <v>163.2825</v>
      </c>
      <c r="W1681" s="2">
        <f>T1681*40%</f>
        <v>53.1</v>
      </c>
      <c r="X1681" s="5">
        <f t="shared" si="233"/>
        <v>0.60000000000000009</v>
      </c>
      <c r="Z1681" s="2" t="s">
        <v>117</v>
      </c>
      <c r="AA1681" s="2" t="s">
        <v>190</v>
      </c>
      <c r="AB1681" s="2" t="s">
        <v>189</v>
      </c>
      <c r="AC1681" s="2" t="s">
        <v>40</v>
      </c>
      <c r="AF1681" s="2">
        <f t="shared" si="235"/>
        <v>0</v>
      </c>
      <c r="AJ1681" s="2">
        <f t="shared" si="236"/>
        <v>0</v>
      </c>
      <c r="AK1681" s="2">
        <f t="shared" si="237"/>
        <v>79.650000000000006</v>
      </c>
      <c r="AL1681" s="5">
        <f t="shared" si="234"/>
        <v>0.60000000000000009</v>
      </c>
    </row>
    <row r="1682" spans="1:38" x14ac:dyDescent="0.2">
      <c r="A1682" s="2">
        <v>2025</v>
      </c>
      <c r="B1682" s="2">
        <v>8</v>
      </c>
      <c r="D1682" s="2" t="s">
        <v>744</v>
      </c>
      <c r="E1682" s="2" t="s">
        <v>108</v>
      </c>
      <c r="F1682" s="2" t="s">
        <v>39</v>
      </c>
      <c r="G1682" s="2">
        <v>509181163</v>
      </c>
      <c r="H1682" s="2" t="s">
        <v>40</v>
      </c>
      <c r="I1682" s="2" t="s">
        <v>745</v>
      </c>
      <c r="J1682" s="2" t="s">
        <v>746</v>
      </c>
      <c r="K1682" s="2">
        <v>962372760</v>
      </c>
      <c r="L1682" s="2" t="s">
        <v>201</v>
      </c>
      <c r="M1682" s="2" t="s">
        <v>40</v>
      </c>
      <c r="P1682" s="2" t="s">
        <v>187</v>
      </c>
      <c r="Q1682" s="2" t="s">
        <v>191</v>
      </c>
      <c r="R1682" s="2" t="s">
        <v>190</v>
      </c>
      <c r="S1682" s="2">
        <v>2.75</v>
      </c>
      <c r="T1682" s="2">
        <v>132.5</v>
      </c>
      <c r="U1682" s="2">
        <v>30.475000000000001</v>
      </c>
      <c r="V1682" s="2">
        <v>162.97499999999999</v>
      </c>
      <c r="W1682" s="2">
        <f>T1682*50%</f>
        <v>66.25</v>
      </c>
      <c r="X1682" s="5">
        <f t="shared" si="233"/>
        <v>0.5</v>
      </c>
      <c r="Z1682" s="2" t="s">
        <v>117</v>
      </c>
      <c r="AA1682" s="2" t="s">
        <v>190</v>
      </c>
      <c r="AB1682" s="2" t="s">
        <v>190</v>
      </c>
      <c r="AC1682" s="2" t="s">
        <v>40</v>
      </c>
      <c r="AF1682" s="2">
        <f t="shared" si="235"/>
        <v>0</v>
      </c>
      <c r="AJ1682" s="2">
        <f t="shared" si="236"/>
        <v>0</v>
      </c>
      <c r="AK1682" s="2">
        <f t="shared" si="237"/>
        <v>66.25</v>
      </c>
      <c r="AL1682" s="5">
        <f t="shared" si="234"/>
        <v>0.5</v>
      </c>
    </row>
    <row r="1683" spans="1:38" x14ac:dyDescent="0.2">
      <c r="A1683" s="2">
        <v>2025</v>
      </c>
      <c r="B1683" s="2">
        <v>8</v>
      </c>
      <c r="D1683" s="2" t="s">
        <v>744</v>
      </c>
      <c r="E1683" s="2" t="s">
        <v>108</v>
      </c>
      <c r="F1683" s="2" t="s">
        <v>39</v>
      </c>
      <c r="G1683" s="2">
        <v>509181163</v>
      </c>
      <c r="H1683" s="2" t="s">
        <v>40</v>
      </c>
      <c r="I1683" s="2" t="s">
        <v>745</v>
      </c>
      <c r="J1683" s="2" t="s">
        <v>746</v>
      </c>
      <c r="K1683" s="2">
        <v>962372760</v>
      </c>
      <c r="L1683" s="2" t="s">
        <v>201</v>
      </c>
      <c r="P1683" s="2" t="s">
        <v>40</v>
      </c>
      <c r="Q1683" s="2" t="s">
        <v>363</v>
      </c>
      <c r="R1683" s="2" t="s">
        <v>364</v>
      </c>
      <c r="S1683" s="2">
        <v>1</v>
      </c>
      <c r="T1683" s="2">
        <v>99.75</v>
      </c>
      <c r="U1683" s="2">
        <v>22.942499999999999</v>
      </c>
      <c r="V1683" s="2">
        <v>122.6925</v>
      </c>
      <c r="X1683" s="5">
        <f t="shared" si="233"/>
        <v>1</v>
      </c>
      <c r="Z1683" s="2" t="s">
        <v>119</v>
      </c>
      <c r="AA1683" s="2" t="s">
        <v>3380</v>
      </c>
      <c r="AF1683" s="2">
        <f t="shared" si="235"/>
        <v>0</v>
      </c>
      <c r="AJ1683" s="2">
        <f t="shared" si="236"/>
        <v>0</v>
      </c>
      <c r="AK1683" s="2">
        <f t="shared" si="237"/>
        <v>99.75</v>
      </c>
      <c r="AL1683" s="5">
        <f t="shared" si="234"/>
        <v>1</v>
      </c>
    </row>
    <row r="1684" spans="1:38" x14ac:dyDescent="0.2">
      <c r="A1684" s="2">
        <v>2025</v>
      </c>
      <c r="B1684" s="2">
        <v>8</v>
      </c>
      <c r="D1684" s="2" t="s">
        <v>1774</v>
      </c>
      <c r="P1684" s="2" t="s">
        <v>101</v>
      </c>
      <c r="Q1684" s="2" t="s">
        <v>1775</v>
      </c>
      <c r="R1684" s="2" t="s">
        <v>1776</v>
      </c>
      <c r="S1684" s="2">
        <v>1</v>
      </c>
      <c r="T1684" s="2">
        <v>3600</v>
      </c>
      <c r="U1684" s="2">
        <v>828</v>
      </c>
      <c r="V1684" s="2">
        <v>4428</v>
      </c>
      <c r="X1684" s="5">
        <f t="shared" si="233"/>
        <v>1</v>
      </c>
      <c r="Z1684" s="2" t="s">
        <v>104</v>
      </c>
      <c r="AC1684" s="2" t="s">
        <v>101</v>
      </c>
      <c r="AF1684" s="2">
        <f t="shared" si="235"/>
        <v>0</v>
      </c>
      <c r="AJ1684" s="2">
        <f t="shared" si="236"/>
        <v>0</v>
      </c>
      <c r="AK1684" s="2">
        <f t="shared" si="237"/>
        <v>3600</v>
      </c>
      <c r="AL1684" s="5">
        <f t="shared" si="234"/>
        <v>1</v>
      </c>
    </row>
    <row r="1685" spans="1:38" x14ac:dyDescent="0.2">
      <c r="A1685" s="2">
        <v>2025</v>
      </c>
      <c r="B1685" s="2">
        <v>8</v>
      </c>
      <c r="D1685" s="2" t="s">
        <v>359</v>
      </c>
      <c r="E1685" s="2" t="s">
        <v>108</v>
      </c>
      <c r="F1685" s="2" t="s">
        <v>39</v>
      </c>
      <c r="G1685" s="2">
        <v>503413909</v>
      </c>
      <c r="H1685" s="2" t="s">
        <v>109</v>
      </c>
      <c r="I1685" s="2" t="s">
        <v>360</v>
      </c>
      <c r="J1685" s="2" t="s">
        <v>361</v>
      </c>
      <c r="L1685" s="2" t="s">
        <v>360</v>
      </c>
      <c r="M1685" s="2" t="s">
        <v>40</v>
      </c>
      <c r="O1685" s="2" t="s">
        <v>1777</v>
      </c>
      <c r="P1685" s="2" t="s">
        <v>187</v>
      </c>
      <c r="Q1685" s="2" t="s">
        <v>188</v>
      </c>
      <c r="R1685" s="2" t="s">
        <v>189</v>
      </c>
      <c r="S1685" s="2">
        <v>1</v>
      </c>
      <c r="T1685" s="2">
        <v>199</v>
      </c>
      <c r="U1685" s="2">
        <v>45.77</v>
      </c>
      <c r="V1685" s="2">
        <v>244.77</v>
      </c>
      <c r="W1685" s="2">
        <f>T1685*40%</f>
        <v>79.600000000000009</v>
      </c>
      <c r="X1685" s="5">
        <f t="shared" si="233"/>
        <v>0.6</v>
      </c>
      <c r="Z1685" s="2" t="s">
        <v>117</v>
      </c>
      <c r="AA1685" s="2" t="s">
        <v>190</v>
      </c>
      <c r="AB1685" s="2" t="s">
        <v>189</v>
      </c>
      <c r="AC1685" s="2" t="s">
        <v>40</v>
      </c>
      <c r="AF1685" s="2">
        <f t="shared" si="235"/>
        <v>0</v>
      </c>
      <c r="AJ1685" s="2">
        <f t="shared" si="236"/>
        <v>0</v>
      </c>
      <c r="AK1685" s="2">
        <f t="shared" si="237"/>
        <v>119.39999999999999</v>
      </c>
      <c r="AL1685" s="5">
        <f t="shared" si="234"/>
        <v>0.6</v>
      </c>
    </row>
    <row r="1686" spans="1:38" x14ac:dyDescent="0.2">
      <c r="A1686" s="2">
        <v>2025</v>
      </c>
      <c r="B1686" s="2">
        <v>8</v>
      </c>
      <c r="D1686" s="2" t="s">
        <v>359</v>
      </c>
      <c r="E1686" s="2" t="s">
        <v>108</v>
      </c>
      <c r="F1686" s="2" t="s">
        <v>39</v>
      </c>
      <c r="G1686" s="2">
        <v>503413909</v>
      </c>
      <c r="H1686" s="2" t="s">
        <v>109</v>
      </c>
      <c r="I1686" s="2" t="s">
        <v>360</v>
      </c>
      <c r="J1686" s="2" t="s">
        <v>361</v>
      </c>
      <c r="L1686" s="2" t="s">
        <v>360</v>
      </c>
      <c r="M1686" s="2" t="s">
        <v>40</v>
      </c>
      <c r="O1686" s="2" t="s">
        <v>1777</v>
      </c>
      <c r="P1686" s="2" t="s">
        <v>187</v>
      </c>
      <c r="Q1686" s="2" t="s">
        <v>191</v>
      </c>
      <c r="R1686" s="2" t="s">
        <v>190</v>
      </c>
      <c r="S1686" s="2">
        <v>1.5</v>
      </c>
      <c r="T1686" s="2">
        <v>75</v>
      </c>
      <c r="U1686" s="2">
        <v>17.25</v>
      </c>
      <c r="V1686" s="2">
        <v>92.25</v>
      </c>
      <c r="W1686" s="2">
        <f>T1686*50%</f>
        <v>37.5</v>
      </c>
      <c r="X1686" s="5">
        <f t="shared" si="233"/>
        <v>0.5</v>
      </c>
      <c r="Z1686" s="2" t="s">
        <v>117</v>
      </c>
      <c r="AA1686" s="2" t="s">
        <v>190</v>
      </c>
      <c r="AB1686" s="2" t="s">
        <v>190</v>
      </c>
      <c r="AC1686" s="2" t="s">
        <v>40</v>
      </c>
      <c r="AF1686" s="2">
        <f t="shared" si="235"/>
        <v>0</v>
      </c>
      <c r="AG1686" s="2">
        <v>37.5</v>
      </c>
      <c r="AJ1686" s="2">
        <f t="shared" si="236"/>
        <v>0</v>
      </c>
      <c r="AK1686" s="2">
        <f t="shared" si="237"/>
        <v>37.5</v>
      </c>
      <c r="AL1686" s="5">
        <f t="shared" si="234"/>
        <v>0.5</v>
      </c>
    </row>
    <row r="1687" spans="1:38" x14ac:dyDescent="0.2">
      <c r="A1687" s="2">
        <v>2025</v>
      </c>
      <c r="B1687" s="2">
        <v>8</v>
      </c>
      <c r="D1687" s="2" t="s">
        <v>1778</v>
      </c>
      <c r="P1687" s="2" t="s">
        <v>282</v>
      </c>
      <c r="Q1687" s="2" t="s">
        <v>1779</v>
      </c>
      <c r="R1687" s="2" t="s">
        <v>1780</v>
      </c>
      <c r="S1687" s="2">
        <v>1</v>
      </c>
      <c r="T1687" s="2">
        <v>2190</v>
      </c>
      <c r="U1687" s="2">
        <v>503.7</v>
      </c>
      <c r="V1687" s="2">
        <v>2693.7</v>
      </c>
      <c r="X1687" s="5">
        <f t="shared" ref="X1687:X1715" si="238">(T1687-W1687)/T1687</f>
        <v>1</v>
      </c>
      <c r="Z1687" s="2" t="s">
        <v>104</v>
      </c>
      <c r="AC1687" s="2" t="s">
        <v>1327</v>
      </c>
      <c r="AF1687" s="2">
        <f t="shared" si="235"/>
        <v>0</v>
      </c>
      <c r="AJ1687" s="2">
        <f t="shared" si="236"/>
        <v>0</v>
      </c>
      <c r="AK1687" s="2">
        <f t="shared" si="237"/>
        <v>2190</v>
      </c>
      <c r="AL1687" s="5">
        <f t="shared" ref="AL1687:AL1715" si="239">(T1687-W1687)/T1687</f>
        <v>1</v>
      </c>
    </row>
    <row r="1688" spans="1:38" x14ac:dyDescent="0.2">
      <c r="A1688" s="2">
        <v>2025</v>
      </c>
      <c r="B1688" s="2">
        <v>8</v>
      </c>
      <c r="D1688" s="2" t="s">
        <v>1778</v>
      </c>
      <c r="P1688" s="2" t="s">
        <v>282</v>
      </c>
      <c r="Q1688" s="2" t="s">
        <v>1781</v>
      </c>
      <c r="R1688" s="2" t="s">
        <v>1782</v>
      </c>
      <c r="S1688" s="2">
        <v>1</v>
      </c>
      <c r="T1688" s="2">
        <v>39</v>
      </c>
      <c r="U1688" s="2">
        <v>8.9700000000000006</v>
      </c>
      <c r="V1688" s="2">
        <v>47.97</v>
      </c>
      <c r="X1688" s="5">
        <f t="shared" si="238"/>
        <v>1</v>
      </c>
      <c r="Z1688" s="2" t="s">
        <v>3227</v>
      </c>
      <c r="AF1688" s="2">
        <f t="shared" si="235"/>
        <v>0</v>
      </c>
      <c r="AJ1688" s="2">
        <f t="shared" si="236"/>
        <v>0</v>
      </c>
      <c r="AK1688" s="2">
        <f t="shared" si="237"/>
        <v>39</v>
      </c>
      <c r="AL1688" s="5">
        <f t="shared" si="239"/>
        <v>1</v>
      </c>
    </row>
    <row r="1689" spans="1:38" x14ac:dyDescent="0.2">
      <c r="A1689" s="2">
        <v>2025</v>
      </c>
      <c r="B1689" s="2">
        <v>8</v>
      </c>
      <c r="D1689" s="2" t="s">
        <v>1778</v>
      </c>
      <c r="P1689" s="2" t="s">
        <v>282</v>
      </c>
      <c r="Q1689" s="2" t="s">
        <v>1783</v>
      </c>
      <c r="R1689" s="2" t="s">
        <v>1782</v>
      </c>
      <c r="S1689" s="2">
        <v>1</v>
      </c>
      <c r="T1689" s="2">
        <v>39</v>
      </c>
      <c r="U1689" s="2">
        <v>8.9700000000000006</v>
      </c>
      <c r="V1689" s="2">
        <v>47.97</v>
      </c>
      <c r="X1689" s="5">
        <f t="shared" si="238"/>
        <v>1</v>
      </c>
      <c r="Z1689" s="2" t="s">
        <v>3227</v>
      </c>
      <c r="AF1689" s="2">
        <f t="shared" si="235"/>
        <v>0</v>
      </c>
      <c r="AJ1689" s="2">
        <f t="shared" si="236"/>
        <v>0</v>
      </c>
      <c r="AK1689" s="2">
        <f t="shared" si="237"/>
        <v>39</v>
      </c>
      <c r="AL1689" s="5">
        <f t="shared" si="239"/>
        <v>1</v>
      </c>
    </row>
    <row r="1690" spans="1:38" x14ac:dyDescent="0.2">
      <c r="A1690" s="2">
        <v>2025</v>
      </c>
      <c r="B1690" s="2">
        <v>8</v>
      </c>
      <c r="D1690" s="2" t="s">
        <v>1778</v>
      </c>
      <c r="P1690" s="2" t="s">
        <v>169</v>
      </c>
      <c r="Q1690" s="2" t="s">
        <v>170</v>
      </c>
      <c r="R1690" s="2" t="s">
        <v>170</v>
      </c>
      <c r="S1690" s="2">
        <v>1</v>
      </c>
      <c r="T1690" s="2">
        <v>8.5</v>
      </c>
      <c r="U1690" s="2">
        <v>1.9550000000000001</v>
      </c>
      <c r="V1690" s="2">
        <v>10.455</v>
      </c>
      <c r="W1690" s="2">
        <v>6</v>
      </c>
      <c r="X1690" s="5">
        <f t="shared" si="238"/>
        <v>0.29411764705882354</v>
      </c>
      <c r="Z1690" s="2" t="s">
        <v>169</v>
      </c>
      <c r="AA1690" s="2" t="s">
        <v>169</v>
      </c>
      <c r="AF1690" s="2">
        <f t="shared" si="235"/>
        <v>0</v>
      </c>
      <c r="AJ1690" s="2">
        <f t="shared" si="236"/>
        <v>0</v>
      </c>
      <c r="AK1690" s="2">
        <f t="shared" si="237"/>
        <v>2.5</v>
      </c>
      <c r="AL1690" s="5">
        <f t="shared" si="239"/>
        <v>0.29411764705882354</v>
      </c>
    </row>
    <row r="1691" spans="1:38" x14ac:dyDescent="0.2">
      <c r="A1691" s="2">
        <v>2025</v>
      </c>
      <c r="B1691" s="2">
        <v>8</v>
      </c>
      <c r="C1691" s="2" t="s">
        <v>3493</v>
      </c>
      <c r="D1691" s="2" t="s">
        <v>370</v>
      </c>
      <c r="E1691" s="2" t="s">
        <v>38</v>
      </c>
      <c r="F1691" s="2" t="s">
        <v>39</v>
      </c>
      <c r="G1691" s="2">
        <v>504498886</v>
      </c>
      <c r="H1691" s="2" t="s">
        <v>41</v>
      </c>
      <c r="I1691" s="2" t="s">
        <v>371</v>
      </c>
      <c r="J1691" s="2" t="s">
        <v>372</v>
      </c>
      <c r="K1691" s="2">
        <v>966932738</v>
      </c>
      <c r="L1691" s="2" t="s">
        <v>177</v>
      </c>
      <c r="M1691" s="2" t="s">
        <v>41</v>
      </c>
      <c r="O1691" s="2" t="s">
        <v>1784</v>
      </c>
      <c r="P1691" s="2" t="s">
        <v>72</v>
      </c>
      <c r="Q1691" s="2" t="s">
        <v>681</v>
      </c>
      <c r="R1691" s="2" t="s">
        <v>74</v>
      </c>
      <c r="S1691" s="2">
        <v>1</v>
      </c>
      <c r="T1691" s="2">
        <v>190</v>
      </c>
      <c r="U1691" s="2">
        <v>43.7</v>
      </c>
      <c r="V1691" s="2">
        <v>233.7</v>
      </c>
      <c r="W1691" s="2">
        <v>104.49</v>
      </c>
      <c r="X1691" s="5">
        <f t="shared" si="238"/>
        <v>0.45005263157894737</v>
      </c>
      <c r="Z1691" s="2" t="s">
        <v>3227</v>
      </c>
      <c r="AA1691" s="2" t="s">
        <v>75</v>
      </c>
      <c r="AB1691" s="2" t="s">
        <v>76</v>
      </c>
      <c r="AC1691" s="2" t="s">
        <v>77</v>
      </c>
      <c r="AF1691" s="2">
        <f t="shared" si="235"/>
        <v>0</v>
      </c>
      <c r="AG1691" s="2">
        <v>104.49</v>
      </c>
      <c r="AH1691" s="2">
        <v>220</v>
      </c>
      <c r="AJ1691" s="2">
        <f t="shared" si="236"/>
        <v>0</v>
      </c>
      <c r="AK1691" s="2">
        <f t="shared" si="237"/>
        <v>85.51</v>
      </c>
      <c r="AL1691" s="5">
        <f t="shared" si="239"/>
        <v>0.45005263157894737</v>
      </c>
    </row>
    <row r="1692" spans="1:38" x14ac:dyDescent="0.2">
      <c r="A1692" s="2">
        <v>2025</v>
      </c>
      <c r="B1692" s="2">
        <v>8</v>
      </c>
      <c r="C1692" s="2" t="s">
        <v>3493</v>
      </c>
      <c r="D1692" s="2" t="s">
        <v>370</v>
      </c>
      <c r="E1692" s="2" t="s">
        <v>38</v>
      </c>
      <c r="F1692" s="2" t="s">
        <v>39</v>
      </c>
      <c r="G1692" s="2">
        <v>504498886</v>
      </c>
      <c r="H1692" s="2" t="s">
        <v>41</v>
      </c>
      <c r="I1692" s="2" t="s">
        <v>371</v>
      </c>
      <c r="J1692" s="2" t="s">
        <v>372</v>
      </c>
      <c r="K1692" s="2">
        <v>966932738</v>
      </c>
      <c r="L1692" s="2" t="s">
        <v>177</v>
      </c>
      <c r="M1692" s="2" t="s">
        <v>41</v>
      </c>
      <c r="P1692" s="2" t="s">
        <v>93</v>
      </c>
      <c r="Q1692" s="2" t="s">
        <v>94</v>
      </c>
      <c r="R1692" s="2" t="s">
        <v>95</v>
      </c>
      <c r="S1692" s="2">
        <v>1</v>
      </c>
      <c r="T1692" s="2">
        <v>1.1399999999999999</v>
      </c>
      <c r="U1692" s="2">
        <v>0.26219999999999999</v>
      </c>
      <c r="V1692" s="2">
        <v>1.4021999999999999</v>
      </c>
      <c r="W1692" s="2">
        <v>1.1399999999999999</v>
      </c>
      <c r="X1692" s="5">
        <f t="shared" si="238"/>
        <v>0</v>
      </c>
      <c r="Z1692" s="2" t="s">
        <v>3227</v>
      </c>
      <c r="AA1692" s="2" t="s">
        <v>96</v>
      </c>
      <c r="AB1692" s="2" t="s">
        <v>76</v>
      </c>
      <c r="AC1692" s="2" t="s">
        <v>93</v>
      </c>
      <c r="AF1692" s="2">
        <f t="shared" si="235"/>
        <v>0</v>
      </c>
      <c r="AJ1692" s="2">
        <f t="shared" si="236"/>
        <v>0</v>
      </c>
      <c r="AK1692" s="2">
        <f t="shared" si="237"/>
        <v>0</v>
      </c>
      <c r="AL1692" s="5">
        <f t="shared" si="239"/>
        <v>0</v>
      </c>
    </row>
    <row r="1693" spans="1:38" x14ac:dyDescent="0.2">
      <c r="A1693" s="2">
        <v>2025</v>
      </c>
      <c r="B1693" s="2">
        <v>8</v>
      </c>
      <c r="D1693" s="2" t="s">
        <v>1785</v>
      </c>
      <c r="P1693" s="2" t="s">
        <v>3230</v>
      </c>
      <c r="Q1693" s="2" t="s">
        <v>1786</v>
      </c>
      <c r="R1693" s="2" t="s">
        <v>1787</v>
      </c>
      <c r="S1693" s="2">
        <v>1</v>
      </c>
      <c r="T1693" s="2">
        <v>1785</v>
      </c>
      <c r="U1693" s="2">
        <v>410.55</v>
      </c>
      <c r="V1693" s="2">
        <v>2195.5500000000002</v>
      </c>
      <c r="W1693" s="2">
        <v>1036.96</v>
      </c>
      <c r="X1693" s="5">
        <f t="shared" si="238"/>
        <v>0.41907002801120447</v>
      </c>
      <c r="Z1693" s="2" t="s">
        <v>104</v>
      </c>
      <c r="AA1693" s="2" t="s">
        <v>105</v>
      </c>
      <c r="AB1693" s="2" t="s">
        <v>106</v>
      </c>
      <c r="AC1693" s="2" t="s">
        <v>3230</v>
      </c>
      <c r="AF1693" s="2">
        <f t="shared" si="235"/>
        <v>0</v>
      </c>
      <c r="AJ1693" s="2">
        <f t="shared" si="236"/>
        <v>0</v>
      </c>
      <c r="AK1693" s="2">
        <f t="shared" si="237"/>
        <v>748.04</v>
      </c>
      <c r="AL1693" s="5">
        <f t="shared" si="239"/>
        <v>0.41907002801120447</v>
      </c>
    </row>
    <row r="1694" spans="1:38" x14ac:dyDescent="0.2">
      <c r="A1694" s="2">
        <v>2025</v>
      </c>
      <c r="B1694" s="2">
        <v>8</v>
      </c>
      <c r="D1694" s="2" t="s">
        <v>1788</v>
      </c>
      <c r="P1694" s="2" t="s">
        <v>114</v>
      </c>
      <c r="Q1694" s="2" t="s">
        <v>412</v>
      </c>
      <c r="R1694" s="2" t="s">
        <v>413</v>
      </c>
      <c r="S1694" s="2">
        <v>1</v>
      </c>
      <c r="T1694" s="2">
        <v>15990</v>
      </c>
      <c r="U1694" s="2">
        <v>3677.7</v>
      </c>
      <c r="V1694" s="2">
        <v>19667.7</v>
      </c>
      <c r="W1694" s="2">
        <v>10669.4</v>
      </c>
      <c r="X1694" s="5">
        <f t="shared" si="238"/>
        <v>0.33274546591619764</v>
      </c>
      <c r="Z1694" s="2" t="s">
        <v>104</v>
      </c>
      <c r="AA1694" s="2" t="s">
        <v>414</v>
      </c>
      <c r="AB1694" s="2" t="s">
        <v>151</v>
      </c>
      <c r="AC1694" s="2" t="s">
        <v>114</v>
      </c>
      <c r="AF1694" s="2">
        <f t="shared" si="235"/>
        <v>0</v>
      </c>
      <c r="AJ1694" s="2">
        <f t="shared" si="236"/>
        <v>0</v>
      </c>
      <c r="AK1694" s="2">
        <f t="shared" si="237"/>
        <v>5320.6</v>
      </c>
      <c r="AL1694" s="5">
        <f t="shared" si="239"/>
        <v>0.33274546591619764</v>
      </c>
    </row>
    <row r="1695" spans="1:38" x14ac:dyDescent="0.2">
      <c r="A1695" s="2">
        <v>2025</v>
      </c>
      <c r="B1695" s="2">
        <v>8</v>
      </c>
      <c r="D1695" s="2" t="s">
        <v>382</v>
      </c>
      <c r="E1695" s="2" t="s">
        <v>38</v>
      </c>
      <c r="F1695" s="2" t="s">
        <v>39</v>
      </c>
      <c r="G1695" s="2">
        <v>212196260</v>
      </c>
      <c r="H1695" s="2" t="s">
        <v>109</v>
      </c>
      <c r="I1695" s="2" t="s">
        <v>383</v>
      </c>
      <c r="J1695" s="2" t="s">
        <v>384</v>
      </c>
      <c r="K1695" s="2">
        <v>926769894</v>
      </c>
      <c r="L1695" s="2" t="s">
        <v>112</v>
      </c>
      <c r="M1695" s="2" t="s">
        <v>40</v>
      </c>
      <c r="P1695" s="2" t="s">
        <v>187</v>
      </c>
      <c r="Q1695" s="2" t="s">
        <v>188</v>
      </c>
      <c r="R1695" s="2" t="s">
        <v>189</v>
      </c>
      <c r="S1695" s="2">
        <v>1</v>
      </c>
      <c r="T1695" s="2">
        <v>171</v>
      </c>
      <c r="U1695" s="2">
        <v>39.33</v>
      </c>
      <c r="V1695" s="2">
        <v>210.33</v>
      </c>
      <c r="W1695" s="2">
        <f>T1695*40%</f>
        <v>68.400000000000006</v>
      </c>
      <c r="X1695" s="5">
        <f t="shared" si="238"/>
        <v>0.6</v>
      </c>
      <c r="Z1695" s="2" t="s">
        <v>117</v>
      </c>
      <c r="AA1695" s="2" t="s">
        <v>190</v>
      </c>
      <c r="AB1695" s="2" t="s">
        <v>189</v>
      </c>
      <c r="AC1695" s="2" t="s">
        <v>40</v>
      </c>
      <c r="AF1695" s="2">
        <f t="shared" si="235"/>
        <v>0</v>
      </c>
      <c r="AJ1695" s="2">
        <f t="shared" si="236"/>
        <v>0</v>
      </c>
      <c r="AK1695" s="2">
        <f t="shared" si="237"/>
        <v>102.6</v>
      </c>
      <c r="AL1695" s="5">
        <f t="shared" si="239"/>
        <v>0.6</v>
      </c>
    </row>
    <row r="1696" spans="1:38" x14ac:dyDescent="0.2">
      <c r="A1696" s="2">
        <v>2025</v>
      </c>
      <c r="B1696" s="2">
        <v>8</v>
      </c>
      <c r="D1696" s="2" t="s">
        <v>382</v>
      </c>
      <c r="E1696" s="2" t="s">
        <v>38</v>
      </c>
      <c r="F1696" s="2" t="s">
        <v>39</v>
      </c>
      <c r="G1696" s="2">
        <v>212196260</v>
      </c>
      <c r="H1696" s="2" t="s">
        <v>109</v>
      </c>
      <c r="I1696" s="2" t="s">
        <v>383</v>
      </c>
      <c r="J1696" s="2" t="s">
        <v>384</v>
      </c>
      <c r="K1696" s="2">
        <v>926769894</v>
      </c>
      <c r="L1696" s="2" t="s">
        <v>112</v>
      </c>
      <c r="M1696" s="2" t="s">
        <v>40</v>
      </c>
      <c r="P1696" s="2" t="s">
        <v>187</v>
      </c>
      <c r="Q1696" s="2" t="s">
        <v>191</v>
      </c>
      <c r="R1696" s="2" t="s">
        <v>190</v>
      </c>
      <c r="S1696" s="2">
        <v>1</v>
      </c>
      <c r="T1696" s="2">
        <v>50</v>
      </c>
      <c r="U1696" s="2">
        <v>11.5</v>
      </c>
      <c r="V1696" s="2">
        <v>61.5</v>
      </c>
      <c r="W1696" s="2">
        <f>T1696*50%</f>
        <v>25</v>
      </c>
      <c r="X1696" s="5">
        <f t="shared" si="238"/>
        <v>0.5</v>
      </c>
      <c r="Z1696" s="2" t="s">
        <v>117</v>
      </c>
      <c r="AA1696" s="2" t="s">
        <v>190</v>
      </c>
      <c r="AB1696" s="2" t="s">
        <v>190</v>
      </c>
      <c r="AC1696" s="2" t="s">
        <v>40</v>
      </c>
      <c r="AF1696" s="2">
        <f t="shared" si="235"/>
        <v>0</v>
      </c>
      <c r="AJ1696" s="2">
        <f t="shared" si="236"/>
        <v>0</v>
      </c>
      <c r="AK1696" s="2">
        <f t="shared" si="237"/>
        <v>25</v>
      </c>
      <c r="AL1696" s="5">
        <f t="shared" si="239"/>
        <v>0.5</v>
      </c>
    </row>
    <row r="1697" spans="1:38" x14ac:dyDescent="0.2">
      <c r="A1697" s="2">
        <v>2025</v>
      </c>
      <c r="B1697" s="2">
        <v>8</v>
      </c>
      <c r="D1697" s="2" t="s">
        <v>382</v>
      </c>
      <c r="E1697" s="2" t="s">
        <v>38</v>
      </c>
      <c r="F1697" s="2" t="s">
        <v>39</v>
      </c>
      <c r="G1697" s="2">
        <v>212196260</v>
      </c>
      <c r="H1697" s="2" t="s">
        <v>109</v>
      </c>
      <c r="I1697" s="2" t="s">
        <v>383</v>
      </c>
      <c r="J1697" s="2" t="s">
        <v>384</v>
      </c>
      <c r="K1697" s="2">
        <v>926769894</v>
      </c>
      <c r="L1697" s="2" t="s">
        <v>112</v>
      </c>
      <c r="P1697" s="2" t="s">
        <v>40</v>
      </c>
      <c r="Q1697" s="2" t="s">
        <v>363</v>
      </c>
      <c r="R1697" s="2" t="s">
        <v>364</v>
      </c>
      <c r="S1697" s="2">
        <v>1</v>
      </c>
      <c r="T1697" s="2">
        <v>267.18</v>
      </c>
      <c r="U1697" s="2">
        <v>61.451400000000007</v>
      </c>
      <c r="V1697" s="2">
        <v>328.63139999999999</v>
      </c>
      <c r="X1697" s="5">
        <f t="shared" si="238"/>
        <v>1</v>
      </c>
      <c r="Z1697" s="2" t="s">
        <v>119</v>
      </c>
      <c r="AA1697" s="2" t="s">
        <v>3380</v>
      </c>
      <c r="AF1697" s="2">
        <f t="shared" si="235"/>
        <v>0</v>
      </c>
      <c r="AJ1697" s="2">
        <f t="shared" si="236"/>
        <v>0</v>
      </c>
      <c r="AK1697" s="2">
        <f t="shared" si="237"/>
        <v>267.18</v>
      </c>
      <c r="AL1697" s="5">
        <f t="shared" si="239"/>
        <v>1</v>
      </c>
    </row>
    <row r="1698" spans="1:38" x14ac:dyDescent="0.2">
      <c r="A1698" s="2">
        <v>2025</v>
      </c>
      <c r="B1698" s="2">
        <v>8</v>
      </c>
      <c r="D1698" s="2" t="s">
        <v>1789</v>
      </c>
      <c r="M1698" s="2" t="s">
        <v>40</v>
      </c>
      <c r="P1698" s="2" t="s">
        <v>187</v>
      </c>
      <c r="Q1698" s="2" t="s">
        <v>188</v>
      </c>
      <c r="R1698" s="2" t="s">
        <v>189</v>
      </c>
      <c r="S1698" s="2">
        <v>1</v>
      </c>
      <c r="T1698" s="2">
        <v>55</v>
      </c>
      <c r="U1698" s="2">
        <v>12.65</v>
      </c>
      <c r="V1698" s="2">
        <v>67.650000000000006</v>
      </c>
      <c r="W1698" s="2">
        <f>T1698*40%</f>
        <v>22</v>
      </c>
      <c r="X1698" s="5">
        <f t="shared" si="238"/>
        <v>0.6</v>
      </c>
      <c r="Z1698" s="2" t="s">
        <v>117</v>
      </c>
      <c r="AA1698" s="2" t="s">
        <v>190</v>
      </c>
      <c r="AB1698" s="2" t="s">
        <v>189</v>
      </c>
      <c r="AC1698" s="2" t="s">
        <v>40</v>
      </c>
      <c r="AF1698" s="2">
        <f t="shared" si="235"/>
        <v>0</v>
      </c>
      <c r="AJ1698" s="2">
        <f t="shared" si="236"/>
        <v>0</v>
      </c>
      <c r="AK1698" s="2">
        <f t="shared" si="237"/>
        <v>33</v>
      </c>
      <c r="AL1698" s="5">
        <f t="shared" si="239"/>
        <v>0.6</v>
      </c>
    </row>
    <row r="1699" spans="1:38" x14ac:dyDescent="0.2">
      <c r="A1699" s="2">
        <v>2025</v>
      </c>
      <c r="B1699" s="2">
        <v>8</v>
      </c>
      <c r="D1699" s="2" t="s">
        <v>1789</v>
      </c>
      <c r="M1699" s="2" t="s">
        <v>40</v>
      </c>
      <c r="P1699" s="2" t="s">
        <v>187</v>
      </c>
      <c r="Q1699" s="2" t="s">
        <v>191</v>
      </c>
      <c r="R1699" s="2" t="s">
        <v>190</v>
      </c>
      <c r="S1699" s="2">
        <v>1.5</v>
      </c>
      <c r="T1699" s="2">
        <v>75</v>
      </c>
      <c r="U1699" s="2">
        <v>17.25</v>
      </c>
      <c r="V1699" s="2">
        <v>92.25</v>
      </c>
      <c r="W1699" s="2">
        <f>T1699*50%</f>
        <v>37.5</v>
      </c>
      <c r="X1699" s="5">
        <f t="shared" si="238"/>
        <v>0.5</v>
      </c>
      <c r="Z1699" s="2" t="s">
        <v>117</v>
      </c>
      <c r="AA1699" s="2" t="s">
        <v>190</v>
      </c>
      <c r="AB1699" s="2" t="s">
        <v>190</v>
      </c>
      <c r="AC1699" s="2" t="s">
        <v>40</v>
      </c>
      <c r="AF1699" s="2">
        <f t="shared" si="235"/>
        <v>0</v>
      </c>
      <c r="AJ1699" s="2">
        <f t="shared" si="236"/>
        <v>0</v>
      </c>
      <c r="AK1699" s="2">
        <f t="shared" si="237"/>
        <v>37.5</v>
      </c>
      <c r="AL1699" s="5">
        <f t="shared" si="239"/>
        <v>0.5</v>
      </c>
    </row>
    <row r="1700" spans="1:38" x14ac:dyDescent="0.2">
      <c r="A1700" s="2">
        <v>2025</v>
      </c>
      <c r="B1700" s="2">
        <v>8</v>
      </c>
      <c r="D1700" s="2" t="s">
        <v>784</v>
      </c>
      <c r="P1700" s="2" t="s">
        <v>43</v>
      </c>
      <c r="Q1700" s="2" t="s">
        <v>48</v>
      </c>
      <c r="R1700" s="2" t="s">
        <v>49</v>
      </c>
      <c r="S1700" s="2">
        <v>2</v>
      </c>
      <c r="T1700" s="2">
        <v>24</v>
      </c>
      <c r="U1700" s="2">
        <v>5.52</v>
      </c>
      <c r="V1700" s="2">
        <v>29.52</v>
      </c>
      <c r="W1700" s="2">
        <f>6.6267*S1700</f>
        <v>13.253399999999999</v>
      </c>
      <c r="X1700" s="5">
        <f t="shared" si="238"/>
        <v>0.44777500000000003</v>
      </c>
      <c r="Z1700" s="2" t="s">
        <v>3227</v>
      </c>
      <c r="AA1700" s="2" t="s">
        <v>46</v>
      </c>
      <c r="AB1700" s="2" t="s">
        <v>47</v>
      </c>
      <c r="AC1700" s="2" t="s">
        <v>57</v>
      </c>
      <c r="AF1700" s="2">
        <f t="shared" si="235"/>
        <v>0</v>
      </c>
      <c r="AG1700" s="2">
        <v>6.6266999999999996</v>
      </c>
      <c r="AH1700" s="2">
        <v>12</v>
      </c>
      <c r="AJ1700" s="2">
        <f t="shared" si="236"/>
        <v>0</v>
      </c>
      <c r="AK1700" s="2">
        <f t="shared" ref="AK1700:AK1731" si="240">T1700-W1700</f>
        <v>10.746600000000001</v>
      </c>
      <c r="AL1700" s="5">
        <f t="shared" si="239"/>
        <v>0.44777500000000003</v>
      </c>
    </row>
    <row r="1701" spans="1:38" x14ac:dyDescent="0.2">
      <c r="A1701" s="2">
        <v>2025</v>
      </c>
      <c r="B1701" s="2">
        <v>8</v>
      </c>
      <c r="D1701" s="2" t="s">
        <v>784</v>
      </c>
      <c r="P1701" s="2" t="s">
        <v>43</v>
      </c>
      <c r="Q1701" s="2" t="s">
        <v>160</v>
      </c>
      <c r="R1701" s="2" t="s">
        <v>161</v>
      </c>
      <c r="S1701" s="2">
        <v>1</v>
      </c>
      <c r="T1701" s="2">
        <v>7.8</v>
      </c>
      <c r="U1701" s="2">
        <v>1.794</v>
      </c>
      <c r="V1701" s="2">
        <v>9.5939999999999994</v>
      </c>
      <c r="W1701" s="2">
        <f>3.7358*S1701</f>
        <v>3.7357999999999998</v>
      </c>
      <c r="X1701" s="5">
        <f t="shared" si="238"/>
        <v>0.52105128205128204</v>
      </c>
      <c r="Z1701" s="2" t="s">
        <v>3227</v>
      </c>
      <c r="AA1701" s="2" t="s">
        <v>46</v>
      </c>
      <c r="AB1701" s="2" t="s">
        <v>47</v>
      </c>
      <c r="AC1701" s="2" t="s">
        <v>57</v>
      </c>
      <c r="AF1701" s="2">
        <f t="shared" si="235"/>
        <v>0</v>
      </c>
      <c r="AG1701" s="2">
        <v>3.7357999999999998</v>
      </c>
      <c r="AH1701" s="2">
        <v>9</v>
      </c>
      <c r="AJ1701" s="2">
        <f t="shared" si="236"/>
        <v>0</v>
      </c>
      <c r="AK1701" s="2">
        <f t="shared" si="240"/>
        <v>4.0641999999999996</v>
      </c>
      <c r="AL1701" s="5">
        <f t="shared" si="239"/>
        <v>0.52105128205128204</v>
      </c>
    </row>
    <row r="1702" spans="1:38" x14ac:dyDescent="0.2">
      <c r="A1702" s="2">
        <v>2025</v>
      </c>
      <c r="B1702" s="2">
        <v>8</v>
      </c>
      <c r="C1702" s="2" t="s">
        <v>3410</v>
      </c>
      <c r="D1702" s="2" t="s">
        <v>3409</v>
      </c>
      <c r="E1702" s="2" t="s">
        <v>108</v>
      </c>
      <c r="F1702" s="2" t="s">
        <v>39</v>
      </c>
      <c r="L1702" s="2" t="s">
        <v>293</v>
      </c>
      <c r="M1702" s="2" t="s">
        <v>40</v>
      </c>
      <c r="O1702" s="2" t="s">
        <v>1790</v>
      </c>
      <c r="P1702" s="2" t="s">
        <v>114</v>
      </c>
      <c r="Q1702" s="2" t="s">
        <v>1791</v>
      </c>
      <c r="R1702" s="2" t="s">
        <v>1792</v>
      </c>
      <c r="S1702" s="2">
        <v>1</v>
      </c>
      <c r="T1702" s="2">
        <v>7500</v>
      </c>
      <c r="U1702" s="2">
        <v>1725</v>
      </c>
      <c r="V1702" s="2">
        <v>9225</v>
      </c>
      <c r="W1702" s="2">
        <v>6489.85</v>
      </c>
      <c r="X1702" s="5">
        <f t="shared" si="238"/>
        <v>0.13468666666666662</v>
      </c>
      <c r="Z1702" s="2" t="s">
        <v>104</v>
      </c>
      <c r="AA1702" s="2" t="s">
        <v>150</v>
      </c>
      <c r="AB1702" s="2" t="s">
        <v>151</v>
      </c>
      <c r="AC1702" s="2" t="s">
        <v>114</v>
      </c>
      <c r="AF1702" s="2">
        <f t="shared" si="235"/>
        <v>0</v>
      </c>
      <c r="AG1702" s="2">
        <f>6330+159.85</f>
        <v>6489.85</v>
      </c>
      <c r="AJ1702" s="2">
        <f t="shared" si="236"/>
        <v>0</v>
      </c>
      <c r="AK1702" s="2">
        <f t="shared" si="240"/>
        <v>1010.1499999999996</v>
      </c>
      <c r="AL1702" s="5">
        <f t="shared" si="239"/>
        <v>0.13468666666666662</v>
      </c>
    </row>
    <row r="1703" spans="1:38" x14ac:dyDescent="0.2">
      <c r="A1703" s="2">
        <v>2025</v>
      </c>
      <c r="B1703" s="2">
        <v>8</v>
      </c>
      <c r="D1703" s="2" t="s">
        <v>415</v>
      </c>
      <c r="E1703" s="2" t="s">
        <v>38</v>
      </c>
      <c r="F1703" s="2" t="s">
        <v>39</v>
      </c>
      <c r="G1703" s="2">
        <v>219908800</v>
      </c>
      <c r="H1703" s="2" t="s">
        <v>41</v>
      </c>
      <c r="I1703" s="2" t="s">
        <v>416</v>
      </c>
      <c r="J1703" s="2" t="s">
        <v>417</v>
      </c>
      <c r="L1703" s="2" t="s">
        <v>418</v>
      </c>
      <c r="M1703" s="2" t="s">
        <v>41</v>
      </c>
      <c r="P1703" s="2" t="s">
        <v>43</v>
      </c>
      <c r="Q1703" s="2" t="s">
        <v>54</v>
      </c>
      <c r="R1703" s="2" t="s">
        <v>55</v>
      </c>
      <c r="S1703" s="2">
        <v>4</v>
      </c>
      <c r="T1703" s="2">
        <v>72</v>
      </c>
      <c r="U1703" s="2">
        <v>16.559999999999999</v>
      </c>
      <c r="V1703" s="2">
        <v>88.56</v>
      </c>
      <c r="W1703" s="2">
        <f>10.6*S1703</f>
        <v>42.4</v>
      </c>
      <c r="X1703" s="5">
        <f t="shared" si="238"/>
        <v>0.41111111111111115</v>
      </c>
      <c r="Z1703" s="2" t="s">
        <v>3227</v>
      </c>
      <c r="AA1703" s="2" t="s">
        <v>46</v>
      </c>
      <c r="AB1703" s="2" t="s">
        <v>56</v>
      </c>
      <c r="AC1703" s="2" t="s">
        <v>57</v>
      </c>
      <c r="AF1703" s="2">
        <f t="shared" si="235"/>
        <v>0</v>
      </c>
      <c r="AG1703" s="2">
        <v>10.6</v>
      </c>
      <c r="AH1703" s="2">
        <v>18</v>
      </c>
      <c r="AJ1703" s="2">
        <f t="shared" si="236"/>
        <v>0</v>
      </c>
      <c r="AK1703" s="2">
        <f t="shared" si="240"/>
        <v>29.6</v>
      </c>
      <c r="AL1703" s="5">
        <f t="shared" si="239"/>
        <v>0.41111111111111115</v>
      </c>
    </row>
    <row r="1704" spans="1:38" x14ac:dyDescent="0.2">
      <c r="A1704" s="2">
        <v>2025</v>
      </c>
      <c r="B1704" s="2">
        <v>8</v>
      </c>
      <c r="D1704" s="2" t="s">
        <v>1015</v>
      </c>
      <c r="E1704" s="2" t="s">
        <v>108</v>
      </c>
      <c r="F1704" s="2" t="s">
        <v>477</v>
      </c>
      <c r="G1704" s="2">
        <v>503815284</v>
      </c>
      <c r="H1704" s="2" t="s">
        <v>40</v>
      </c>
      <c r="I1704" s="2" t="s">
        <v>156</v>
      </c>
      <c r="J1704" s="2" t="s">
        <v>2538</v>
      </c>
      <c r="L1704" s="2" t="s">
        <v>99</v>
      </c>
      <c r="M1704" s="2" t="s">
        <v>80</v>
      </c>
      <c r="P1704" s="2" t="s">
        <v>282</v>
      </c>
      <c r="Q1704" s="2" t="s">
        <v>1237</v>
      </c>
      <c r="R1704" s="2" t="s">
        <v>1238</v>
      </c>
      <c r="S1704" s="2">
        <v>2</v>
      </c>
      <c r="T1704" s="2">
        <v>140</v>
      </c>
      <c r="U1704" s="2">
        <v>32.200000000000003</v>
      </c>
      <c r="V1704" s="2">
        <v>172.2</v>
      </c>
      <c r="W1704" s="2">
        <v>50</v>
      </c>
      <c r="X1704" s="5">
        <f t="shared" si="238"/>
        <v>0.6428571428571429</v>
      </c>
      <c r="Z1704" s="2" t="s">
        <v>3227</v>
      </c>
      <c r="AA1704" s="2" t="s">
        <v>71</v>
      </c>
      <c r="AB1704" s="2" t="s">
        <v>119</v>
      </c>
      <c r="AC1704" s="2" t="s">
        <v>119</v>
      </c>
      <c r="AF1704" s="2">
        <f t="shared" si="235"/>
        <v>0</v>
      </c>
      <c r="AJ1704" s="2">
        <f t="shared" si="236"/>
        <v>0</v>
      </c>
      <c r="AK1704" s="2">
        <f t="shared" si="240"/>
        <v>90</v>
      </c>
      <c r="AL1704" s="5">
        <f t="shared" si="239"/>
        <v>0.6428571428571429</v>
      </c>
    </row>
    <row r="1705" spans="1:38" x14ac:dyDescent="0.2">
      <c r="A1705" s="2">
        <v>2025</v>
      </c>
      <c r="B1705" s="2">
        <v>8</v>
      </c>
      <c r="D1705" s="2" t="s">
        <v>1015</v>
      </c>
      <c r="E1705" s="2" t="s">
        <v>108</v>
      </c>
      <c r="F1705" s="2" t="s">
        <v>477</v>
      </c>
      <c r="G1705" s="2">
        <v>503815284</v>
      </c>
      <c r="H1705" s="2" t="s">
        <v>40</v>
      </c>
      <c r="I1705" s="2" t="s">
        <v>156</v>
      </c>
      <c r="J1705" s="2" t="s">
        <v>2538</v>
      </c>
      <c r="L1705" s="2" t="s">
        <v>99</v>
      </c>
      <c r="M1705" s="2" t="s">
        <v>80</v>
      </c>
      <c r="P1705" s="2" t="s">
        <v>282</v>
      </c>
      <c r="Q1705" s="2" t="s">
        <v>1532</v>
      </c>
      <c r="R1705" s="2" t="s">
        <v>1533</v>
      </c>
      <c r="S1705" s="2">
        <v>1</v>
      </c>
      <c r="T1705" s="2">
        <v>27</v>
      </c>
      <c r="U1705" s="2">
        <v>6.21</v>
      </c>
      <c r="V1705" s="2">
        <v>33.21</v>
      </c>
      <c r="W1705" s="2">
        <v>18.899999999999999</v>
      </c>
      <c r="X1705" s="5">
        <f t="shared" si="238"/>
        <v>0.30000000000000004</v>
      </c>
      <c r="Z1705" s="2" t="s">
        <v>3227</v>
      </c>
      <c r="AA1705" s="2" t="s">
        <v>155</v>
      </c>
      <c r="AB1705" s="2" t="s">
        <v>3403</v>
      </c>
      <c r="AC1705" s="2" t="s">
        <v>1327</v>
      </c>
      <c r="AF1705" s="2">
        <f t="shared" si="235"/>
        <v>0</v>
      </c>
      <c r="AJ1705" s="2">
        <f t="shared" si="236"/>
        <v>0</v>
      </c>
      <c r="AK1705" s="2">
        <f t="shared" si="240"/>
        <v>8.1000000000000014</v>
      </c>
      <c r="AL1705" s="5">
        <f t="shared" si="239"/>
        <v>0.30000000000000004</v>
      </c>
    </row>
    <row r="1706" spans="1:38" x14ac:dyDescent="0.2">
      <c r="A1706" s="2">
        <v>2025</v>
      </c>
      <c r="B1706" s="2">
        <v>8</v>
      </c>
      <c r="D1706" s="2" t="s">
        <v>1015</v>
      </c>
      <c r="E1706" s="2" t="s">
        <v>108</v>
      </c>
      <c r="F1706" s="2" t="s">
        <v>477</v>
      </c>
      <c r="G1706" s="2">
        <v>503815284</v>
      </c>
      <c r="H1706" s="2" t="s">
        <v>40</v>
      </c>
      <c r="I1706" s="2" t="s">
        <v>156</v>
      </c>
      <c r="J1706" s="2" t="s">
        <v>2538</v>
      </c>
      <c r="L1706" s="2" t="s">
        <v>99</v>
      </c>
      <c r="M1706" s="2" t="s">
        <v>80</v>
      </c>
      <c r="P1706" s="2" t="s">
        <v>43</v>
      </c>
      <c r="Q1706" s="2" t="s">
        <v>65</v>
      </c>
      <c r="R1706" s="2" t="s">
        <v>66</v>
      </c>
      <c r="S1706" s="2">
        <v>2</v>
      </c>
      <c r="T1706" s="2">
        <v>48</v>
      </c>
      <c r="U1706" s="2">
        <v>11.04</v>
      </c>
      <c r="V1706" s="2">
        <v>59.04</v>
      </c>
      <c r="W1706" s="2">
        <f>15.0203*S1706</f>
        <v>30.040600000000001</v>
      </c>
      <c r="X1706" s="5">
        <f t="shared" si="238"/>
        <v>0.37415416666666662</v>
      </c>
      <c r="Z1706" s="2" t="s">
        <v>3227</v>
      </c>
      <c r="AA1706" s="2" t="s">
        <v>46</v>
      </c>
      <c r="AB1706" s="2" t="s">
        <v>67</v>
      </c>
      <c r="AC1706" s="2" t="s">
        <v>57</v>
      </c>
      <c r="AF1706" s="2">
        <f t="shared" si="235"/>
        <v>0</v>
      </c>
      <c r="AG1706" s="2">
        <v>15.020300000000001</v>
      </c>
      <c r="AH1706" s="2">
        <v>27.6</v>
      </c>
      <c r="AJ1706" s="2">
        <f t="shared" si="236"/>
        <v>0</v>
      </c>
      <c r="AK1706" s="2">
        <f t="shared" si="240"/>
        <v>17.959399999999999</v>
      </c>
      <c r="AL1706" s="5">
        <f t="shared" si="239"/>
        <v>0.37415416666666662</v>
      </c>
    </row>
    <row r="1707" spans="1:38" x14ac:dyDescent="0.2">
      <c r="A1707" s="2">
        <v>2025</v>
      </c>
      <c r="B1707" s="2">
        <v>8</v>
      </c>
      <c r="D1707" s="2" t="s">
        <v>422</v>
      </c>
      <c r="E1707" s="2" t="s">
        <v>98</v>
      </c>
      <c r="F1707" s="2" t="s">
        <v>39</v>
      </c>
      <c r="G1707" s="2">
        <v>503523470</v>
      </c>
      <c r="H1707" s="2" t="s">
        <v>40</v>
      </c>
      <c r="I1707" s="2" t="s">
        <v>423</v>
      </c>
      <c r="J1707" s="2" t="s">
        <v>424</v>
      </c>
      <c r="L1707" s="2" t="s">
        <v>201</v>
      </c>
      <c r="M1707" s="2" t="s">
        <v>80</v>
      </c>
      <c r="P1707" s="2" t="s">
        <v>43</v>
      </c>
      <c r="Q1707" s="2" t="s">
        <v>234</v>
      </c>
      <c r="R1707" s="2" t="s">
        <v>235</v>
      </c>
      <c r="S1707" s="2">
        <v>1</v>
      </c>
      <c r="T1707" s="2">
        <v>13.2</v>
      </c>
      <c r="U1707" s="2">
        <v>3.036</v>
      </c>
      <c r="V1707" s="2">
        <v>16.236000000000001</v>
      </c>
      <c r="W1707" s="2">
        <v>7.2217000000000002</v>
      </c>
      <c r="X1707" s="5">
        <f t="shared" si="238"/>
        <v>0.45290151515151511</v>
      </c>
      <c r="Z1707" s="2" t="s">
        <v>3227</v>
      </c>
      <c r="AA1707" s="2" t="s">
        <v>46</v>
      </c>
      <c r="AB1707" s="2" t="s">
        <v>56</v>
      </c>
      <c r="AC1707" s="2" t="s">
        <v>57</v>
      </c>
      <c r="AF1707" s="2">
        <f t="shared" si="235"/>
        <v>0</v>
      </c>
      <c r="AG1707" s="2">
        <v>7.2217000000000002</v>
      </c>
      <c r="AH1707" s="2">
        <v>14.4</v>
      </c>
      <c r="AJ1707" s="2">
        <f t="shared" si="236"/>
        <v>0</v>
      </c>
      <c r="AK1707" s="2">
        <f t="shared" si="240"/>
        <v>5.9782999999999991</v>
      </c>
      <c r="AL1707" s="5">
        <f t="shared" si="239"/>
        <v>0.45290151515151511</v>
      </c>
    </row>
    <row r="1708" spans="1:38" x14ac:dyDescent="0.2">
      <c r="A1708" s="2">
        <v>2025</v>
      </c>
      <c r="B1708" s="2">
        <v>8</v>
      </c>
      <c r="D1708" s="2" t="s">
        <v>422</v>
      </c>
      <c r="E1708" s="2" t="s">
        <v>98</v>
      </c>
      <c r="F1708" s="2" t="s">
        <v>39</v>
      </c>
      <c r="G1708" s="2">
        <v>503523470</v>
      </c>
      <c r="H1708" s="2" t="s">
        <v>40</v>
      </c>
      <c r="I1708" s="2" t="s">
        <v>423</v>
      </c>
      <c r="J1708" s="2" t="s">
        <v>424</v>
      </c>
      <c r="L1708" s="2" t="s">
        <v>201</v>
      </c>
      <c r="M1708" s="2" t="s">
        <v>80</v>
      </c>
      <c r="P1708" s="2" t="s">
        <v>43</v>
      </c>
      <c r="Q1708" s="2" t="s">
        <v>236</v>
      </c>
      <c r="R1708" s="2" t="s">
        <v>237</v>
      </c>
      <c r="S1708" s="2">
        <v>1</v>
      </c>
      <c r="T1708" s="2">
        <v>16.2</v>
      </c>
      <c r="U1708" s="2">
        <v>3.726</v>
      </c>
      <c r="V1708" s="2">
        <v>19.925999999999998</v>
      </c>
      <c r="W1708" s="2">
        <f>9.075*S1708</f>
        <v>9.0749999999999993</v>
      </c>
      <c r="X1708" s="5">
        <f t="shared" si="238"/>
        <v>0.43981481481481483</v>
      </c>
      <c r="Z1708" s="2" t="s">
        <v>3227</v>
      </c>
      <c r="AA1708" s="2" t="s">
        <v>46</v>
      </c>
      <c r="AB1708" s="2" t="s">
        <v>56</v>
      </c>
      <c r="AC1708" s="2" t="s">
        <v>57</v>
      </c>
      <c r="AF1708" s="2">
        <f t="shared" si="235"/>
        <v>0</v>
      </c>
      <c r="AJ1708" s="2">
        <f t="shared" si="236"/>
        <v>0</v>
      </c>
      <c r="AK1708" s="2">
        <f t="shared" si="240"/>
        <v>7.125</v>
      </c>
      <c r="AL1708" s="5">
        <f t="shared" si="239"/>
        <v>0.43981481481481483</v>
      </c>
    </row>
    <row r="1709" spans="1:38" x14ac:dyDescent="0.2">
      <c r="A1709" s="2">
        <v>2025</v>
      </c>
      <c r="B1709" s="2">
        <v>8</v>
      </c>
      <c r="D1709" s="2" t="s">
        <v>422</v>
      </c>
      <c r="E1709" s="2" t="s">
        <v>98</v>
      </c>
      <c r="F1709" s="2" t="s">
        <v>39</v>
      </c>
      <c r="G1709" s="2">
        <v>503523470</v>
      </c>
      <c r="H1709" s="2" t="s">
        <v>40</v>
      </c>
      <c r="I1709" s="2" t="s">
        <v>423</v>
      </c>
      <c r="J1709" s="2" t="s">
        <v>424</v>
      </c>
      <c r="L1709" s="2" t="s">
        <v>201</v>
      </c>
      <c r="M1709" s="2" t="s">
        <v>80</v>
      </c>
      <c r="P1709" s="2" t="s">
        <v>43</v>
      </c>
      <c r="Q1709" s="2" t="s">
        <v>238</v>
      </c>
      <c r="R1709" s="2" t="s">
        <v>239</v>
      </c>
      <c r="S1709" s="2">
        <v>1</v>
      </c>
      <c r="T1709" s="2">
        <v>19.8</v>
      </c>
      <c r="U1709" s="2">
        <v>4.5540000000000003</v>
      </c>
      <c r="V1709" s="2">
        <v>24.353999999999999</v>
      </c>
      <c r="W1709" s="2">
        <f>11.045*S1709</f>
        <v>11.045</v>
      </c>
      <c r="X1709" s="5">
        <f t="shared" si="238"/>
        <v>0.44217171717171722</v>
      </c>
      <c r="Z1709" s="2" t="s">
        <v>3227</v>
      </c>
      <c r="AA1709" s="2" t="s">
        <v>46</v>
      </c>
      <c r="AB1709" s="2" t="s">
        <v>56</v>
      </c>
      <c r="AC1709" s="2" t="s">
        <v>57</v>
      </c>
      <c r="AF1709" s="2">
        <f t="shared" si="235"/>
        <v>0</v>
      </c>
      <c r="AJ1709" s="2">
        <f t="shared" si="236"/>
        <v>0</v>
      </c>
      <c r="AK1709" s="2">
        <f t="shared" si="240"/>
        <v>8.7550000000000008</v>
      </c>
      <c r="AL1709" s="5">
        <f t="shared" si="239"/>
        <v>0.44217171717171722</v>
      </c>
    </row>
    <row r="1710" spans="1:38" x14ac:dyDescent="0.2">
      <c r="A1710" s="2">
        <v>2025</v>
      </c>
      <c r="B1710" s="2">
        <v>8</v>
      </c>
      <c r="D1710" s="2" t="s">
        <v>422</v>
      </c>
      <c r="E1710" s="2" t="s">
        <v>98</v>
      </c>
      <c r="F1710" s="2" t="s">
        <v>39</v>
      </c>
      <c r="G1710" s="2">
        <v>503523470</v>
      </c>
      <c r="H1710" s="2" t="s">
        <v>40</v>
      </c>
      <c r="I1710" s="2" t="s">
        <v>423</v>
      </c>
      <c r="J1710" s="2" t="s">
        <v>424</v>
      </c>
      <c r="L1710" s="2" t="s">
        <v>201</v>
      </c>
      <c r="M1710" s="2" t="s">
        <v>80</v>
      </c>
      <c r="P1710" s="2" t="s">
        <v>43</v>
      </c>
      <c r="Q1710" s="2" t="s">
        <v>54</v>
      </c>
      <c r="R1710" s="2" t="s">
        <v>55</v>
      </c>
      <c r="S1710" s="2">
        <v>1</v>
      </c>
      <c r="T1710" s="2">
        <v>22.8</v>
      </c>
      <c r="U1710" s="2">
        <v>5.2440000000000007</v>
      </c>
      <c r="V1710" s="2">
        <v>28.044</v>
      </c>
      <c r="W1710" s="2">
        <f>10.6*S1710</f>
        <v>10.6</v>
      </c>
      <c r="X1710" s="5">
        <f t="shared" si="238"/>
        <v>0.53508771929824561</v>
      </c>
      <c r="Z1710" s="2" t="s">
        <v>3227</v>
      </c>
      <c r="AA1710" s="2" t="s">
        <v>46</v>
      </c>
      <c r="AB1710" s="2" t="s">
        <v>56</v>
      </c>
      <c r="AC1710" s="2" t="s">
        <v>57</v>
      </c>
      <c r="AF1710" s="2">
        <f t="shared" si="235"/>
        <v>0</v>
      </c>
      <c r="AG1710" s="2">
        <v>10.6</v>
      </c>
      <c r="AH1710" s="2">
        <v>18</v>
      </c>
      <c r="AJ1710" s="2">
        <f t="shared" si="236"/>
        <v>0</v>
      </c>
      <c r="AK1710" s="2">
        <f t="shared" si="240"/>
        <v>12.200000000000001</v>
      </c>
      <c r="AL1710" s="5">
        <f t="shared" si="239"/>
        <v>0.53508771929824561</v>
      </c>
    </row>
    <row r="1711" spans="1:38" x14ac:dyDescent="0.2">
      <c r="A1711" s="2">
        <v>2025</v>
      </c>
      <c r="B1711" s="2">
        <v>8</v>
      </c>
      <c r="D1711" s="2" t="s">
        <v>422</v>
      </c>
      <c r="E1711" s="2" t="s">
        <v>98</v>
      </c>
      <c r="F1711" s="2" t="s">
        <v>39</v>
      </c>
      <c r="G1711" s="2">
        <v>503523470</v>
      </c>
      <c r="H1711" s="2" t="s">
        <v>40</v>
      </c>
      <c r="I1711" s="2" t="s">
        <v>423</v>
      </c>
      <c r="J1711" s="2" t="s">
        <v>424</v>
      </c>
      <c r="L1711" s="2" t="s">
        <v>201</v>
      </c>
      <c r="M1711" s="2" t="s">
        <v>80</v>
      </c>
      <c r="P1711" s="2" t="s">
        <v>43</v>
      </c>
      <c r="Q1711" s="2" t="s">
        <v>61</v>
      </c>
      <c r="R1711" s="2" t="s">
        <v>62</v>
      </c>
      <c r="S1711" s="2">
        <v>100</v>
      </c>
      <c r="T1711" s="2">
        <v>13</v>
      </c>
      <c r="U1711" s="2">
        <v>2.99</v>
      </c>
      <c r="V1711" s="2">
        <v>15.99</v>
      </c>
      <c r="W1711" s="2">
        <f>0.082*S1711</f>
        <v>8.2000000000000011</v>
      </c>
      <c r="X1711" s="5">
        <f t="shared" si="238"/>
        <v>0.36923076923076914</v>
      </c>
      <c r="Z1711" s="2" t="s">
        <v>3227</v>
      </c>
      <c r="AA1711" s="2" t="s">
        <v>46</v>
      </c>
      <c r="AB1711" s="2" t="s">
        <v>60</v>
      </c>
      <c r="AC1711" s="2" t="s">
        <v>57</v>
      </c>
      <c r="AF1711" s="2">
        <f t="shared" si="235"/>
        <v>0</v>
      </c>
      <c r="AG1711" s="2">
        <v>8.1999999999999993</v>
      </c>
      <c r="AH1711" s="2">
        <v>13</v>
      </c>
      <c r="AJ1711" s="2">
        <f t="shared" si="236"/>
        <v>0</v>
      </c>
      <c r="AK1711" s="2">
        <f t="shared" si="240"/>
        <v>4.7999999999999989</v>
      </c>
      <c r="AL1711" s="5">
        <f t="shared" si="239"/>
        <v>0.36923076923076914</v>
      </c>
    </row>
    <row r="1712" spans="1:38" x14ac:dyDescent="0.2">
      <c r="A1712" s="2">
        <v>2025</v>
      </c>
      <c r="B1712" s="2">
        <v>8</v>
      </c>
      <c r="D1712" s="2" t="s">
        <v>422</v>
      </c>
      <c r="E1712" s="2" t="s">
        <v>98</v>
      </c>
      <c r="F1712" s="2" t="s">
        <v>39</v>
      </c>
      <c r="G1712" s="2">
        <v>503523470</v>
      </c>
      <c r="H1712" s="2" t="s">
        <v>40</v>
      </c>
      <c r="I1712" s="2" t="s">
        <v>423</v>
      </c>
      <c r="J1712" s="2" t="s">
        <v>424</v>
      </c>
      <c r="L1712" s="2" t="s">
        <v>201</v>
      </c>
      <c r="M1712" s="2" t="s">
        <v>80</v>
      </c>
      <c r="P1712" s="2" t="s">
        <v>43</v>
      </c>
      <c r="Q1712" s="2" t="s">
        <v>256</v>
      </c>
      <c r="R1712" s="2" t="s">
        <v>257</v>
      </c>
      <c r="S1712" s="2">
        <v>1</v>
      </c>
      <c r="T1712" s="2">
        <v>3</v>
      </c>
      <c r="U1712" s="2">
        <v>0.69000000000000006</v>
      </c>
      <c r="V1712" s="2">
        <v>3.69</v>
      </c>
      <c r="W1712" s="2">
        <v>0.98</v>
      </c>
      <c r="X1712" s="5">
        <f t="shared" si="238"/>
        <v>0.67333333333333334</v>
      </c>
      <c r="Z1712" s="2" t="s">
        <v>3227</v>
      </c>
      <c r="AA1712" s="2" t="s">
        <v>46</v>
      </c>
      <c r="AB1712" s="2" t="s">
        <v>90</v>
      </c>
      <c r="AC1712" s="2" t="s">
        <v>57</v>
      </c>
      <c r="AF1712" s="2">
        <f t="shared" si="235"/>
        <v>0</v>
      </c>
      <c r="AJ1712" s="2">
        <f t="shared" si="236"/>
        <v>0</v>
      </c>
      <c r="AK1712" s="2">
        <f t="shared" si="240"/>
        <v>2.02</v>
      </c>
      <c r="AL1712" s="5">
        <f t="shared" si="239"/>
        <v>0.67333333333333334</v>
      </c>
    </row>
    <row r="1713" spans="1:38" x14ac:dyDescent="0.2">
      <c r="A1713" s="2">
        <v>2025</v>
      </c>
      <c r="B1713" s="2">
        <v>8</v>
      </c>
      <c r="D1713" s="2" t="s">
        <v>422</v>
      </c>
      <c r="E1713" s="2" t="s">
        <v>98</v>
      </c>
      <c r="F1713" s="2" t="s">
        <v>39</v>
      </c>
      <c r="G1713" s="2">
        <v>503523470</v>
      </c>
      <c r="H1713" s="2" t="s">
        <v>40</v>
      </c>
      <c r="I1713" s="2" t="s">
        <v>423</v>
      </c>
      <c r="J1713" s="2" t="s">
        <v>424</v>
      </c>
      <c r="L1713" s="2" t="s">
        <v>201</v>
      </c>
      <c r="M1713" s="2" t="s">
        <v>80</v>
      </c>
      <c r="P1713" s="2" t="s">
        <v>84</v>
      </c>
      <c r="Q1713" s="2" t="s">
        <v>268</v>
      </c>
      <c r="R1713" s="2" t="s">
        <v>269</v>
      </c>
      <c r="S1713" s="2">
        <v>1</v>
      </c>
      <c r="T1713" s="2">
        <v>4.8</v>
      </c>
      <c r="U1713" s="2">
        <v>1.1040000000000001</v>
      </c>
      <c r="V1713" s="2">
        <v>5.9039999999999999</v>
      </c>
      <c r="W1713" s="2">
        <v>2.4154</v>
      </c>
      <c r="X1713" s="5">
        <f t="shared" si="238"/>
        <v>0.49679166666666663</v>
      </c>
      <c r="Z1713" s="2" t="s">
        <v>3227</v>
      </c>
      <c r="AA1713" s="2" t="s">
        <v>87</v>
      </c>
      <c r="AB1713" s="2" t="s">
        <v>90</v>
      </c>
      <c r="AC1713" s="2" t="s">
        <v>84</v>
      </c>
      <c r="AF1713" s="2">
        <f t="shared" si="235"/>
        <v>0</v>
      </c>
      <c r="AJ1713" s="2">
        <f t="shared" si="236"/>
        <v>0</v>
      </c>
      <c r="AK1713" s="2">
        <f t="shared" si="240"/>
        <v>2.3845999999999998</v>
      </c>
      <c r="AL1713" s="5">
        <f t="shared" si="239"/>
        <v>0.49679166666666663</v>
      </c>
    </row>
    <row r="1714" spans="1:38" x14ac:dyDescent="0.2">
      <c r="A1714" s="2">
        <v>2025</v>
      </c>
      <c r="B1714" s="2">
        <v>8</v>
      </c>
      <c r="D1714" s="2" t="s">
        <v>425</v>
      </c>
      <c r="E1714" s="2" t="s">
        <v>98</v>
      </c>
      <c r="F1714" s="2" t="s">
        <v>39</v>
      </c>
      <c r="G1714" s="2">
        <v>510613888</v>
      </c>
      <c r="H1714" s="2" t="s">
        <v>40</v>
      </c>
      <c r="I1714" s="2" t="s">
        <v>426</v>
      </c>
      <c r="J1714" s="2" t="s">
        <v>427</v>
      </c>
      <c r="L1714" s="2" t="s">
        <v>99</v>
      </c>
      <c r="M1714" s="2" t="s">
        <v>80</v>
      </c>
      <c r="P1714" s="2" t="s">
        <v>43</v>
      </c>
      <c r="Q1714" s="2" t="s">
        <v>61</v>
      </c>
      <c r="R1714" s="2" t="s">
        <v>62</v>
      </c>
      <c r="S1714" s="2">
        <v>100</v>
      </c>
      <c r="T1714" s="2">
        <v>13</v>
      </c>
      <c r="U1714" s="2">
        <v>2.99</v>
      </c>
      <c r="V1714" s="2">
        <v>15.99</v>
      </c>
      <c r="W1714" s="2">
        <f>0.082*S1714</f>
        <v>8.2000000000000011</v>
      </c>
      <c r="X1714" s="5">
        <f t="shared" si="238"/>
        <v>0.36923076923076914</v>
      </c>
      <c r="Z1714" s="2" t="s">
        <v>3227</v>
      </c>
      <c r="AA1714" s="2" t="s">
        <v>46</v>
      </c>
      <c r="AB1714" s="2" t="s">
        <v>60</v>
      </c>
      <c r="AC1714" s="2" t="s">
        <v>57</v>
      </c>
      <c r="AF1714" s="2">
        <f t="shared" si="235"/>
        <v>0</v>
      </c>
      <c r="AG1714" s="2">
        <v>8.1999999999999993</v>
      </c>
      <c r="AH1714" s="2">
        <v>13</v>
      </c>
      <c r="AJ1714" s="2">
        <f t="shared" si="236"/>
        <v>0</v>
      </c>
      <c r="AK1714" s="2">
        <f t="shared" si="240"/>
        <v>4.7999999999999989</v>
      </c>
      <c r="AL1714" s="5">
        <f t="shared" si="239"/>
        <v>0.36923076923076914</v>
      </c>
    </row>
    <row r="1715" spans="1:38" x14ac:dyDescent="0.2">
      <c r="A1715" s="2">
        <v>2025</v>
      </c>
      <c r="B1715" s="2">
        <v>8</v>
      </c>
      <c r="D1715" s="2" t="s">
        <v>425</v>
      </c>
      <c r="E1715" s="2" t="s">
        <v>98</v>
      </c>
      <c r="F1715" s="2" t="s">
        <v>39</v>
      </c>
      <c r="G1715" s="2">
        <v>510613888</v>
      </c>
      <c r="H1715" s="2" t="s">
        <v>40</v>
      </c>
      <c r="I1715" s="2" t="s">
        <v>426</v>
      </c>
      <c r="J1715" s="2" t="s">
        <v>427</v>
      </c>
      <c r="L1715" s="2" t="s">
        <v>99</v>
      </c>
      <c r="M1715" s="2" t="s">
        <v>80</v>
      </c>
      <c r="P1715" s="2" t="s">
        <v>43</v>
      </c>
      <c r="Q1715" s="2" t="s">
        <v>65</v>
      </c>
      <c r="R1715" s="2" t="s">
        <v>66</v>
      </c>
      <c r="S1715" s="2">
        <v>2</v>
      </c>
      <c r="T1715" s="2">
        <v>42</v>
      </c>
      <c r="U1715" s="2">
        <v>9.66</v>
      </c>
      <c r="V1715" s="2">
        <v>51.66</v>
      </c>
      <c r="W1715" s="2">
        <f>15.0203*S1715</f>
        <v>30.040600000000001</v>
      </c>
      <c r="X1715" s="5">
        <f t="shared" si="238"/>
        <v>0.28474761904761903</v>
      </c>
      <c r="Z1715" s="2" t="s">
        <v>3227</v>
      </c>
      <c r="AA1715" s="2" t="s">
        <v>46</v>
      </c>
      <c r="AB1715" s="2" t="s">
        <v>67</v>
      </c>
      <c r="AC1715" s="2" t="s">
        <v>57</v>
      </c>
      <c r="AF1715" s="2">
        <f t="shared" si="235"/>
        <v>0</v>
      </c>
      <c r="AG1715" s="2">
        <v>15.020300000000001</v>
      </c>
      <c r="AH1715" s="2">
        <v>27.6</v>
      </c>
      <c r="AJ1715" s="2">
        <f t="shared" si="236"/>
        <v>0</v>
      </c>
      <c r="AK1715" s="2">
        <f t="shared" si="240"/>
        <v>11.959399999999999</v>
      </c>
      <c r="AL1715" s="5">
        <f t="shared" si="239"/>
        <v>0.28474761904761903</v>
      </c>
    </row>
    <row r="1716" spans="1:38" x14ac:dyDescent="0.2">
      <c r="A1716" s="2">
        <v>2025</v>
      </c>
      <c r="B1716" s="2">
        <v>8</v>
      </c>
      <c r="D1716" s="2" t="s">
        <v>1553</v>
      </c>
      <c r="E1716" s="2" t="s">
        <v>108</v>
      </c>
      <c r="F1716" s="2" t="s">
        <v>717</v>
      </c>
      <c r="G1716" s="2">
        <v>500975914</v>
      </c>
      <c r="H1716" s="2" t="s">
        <v>41</v>
      </c>
      <c r="I1716" s="2" t="s">
        <v>1554</v>
      </c>
      <c r="J1716" s="2" t="s">
        <v>1555</v>
      </c>
      <c r="L1716" s="2" t="s">
        <v>99</v>
      </c>
      <c r="M1716" s="2" t="s">
        <v>41</v>
      </c>
      <c r="P1716" s="2" t="s">
        <v>282</v>
      </c>
      <c r="Q1716" s="2" t="s">
        <v>1547</v>
      </c>
      <c r="R1716" s="2" t="s">
        <v>1548</v>
      </c>
      <c r="S1716" s="2">
        <v>1</v>
      </c>
      <c r="T1716" s="2">
        <v>0</v>
      </c>
      <c r="U1716" s="2">
        <v>0</v>
      </c>
      <c r="V1716" s="2">
        <v>0</v>
      </c>
      <c r="W1716" s="2">
        <v>0</v>
      </c>
      <c r="X1716" s="5">
        <v>0</v>
      </c>
      <c r="Z1716" s="2" t="s">
        <v>104</v>
      </c>
      <c r="AA1716" s="2" t="s">
        <v>387</v>
      </c>
      <c r="AB1716" s="2" t="s">
        <v>388</v>
      </c>
      <c r="AC1716" s="2" t="s">
        <v>389</v>
      </c>
      <c r="AF1716" s="2">
        <f t="shared" si="235"/>
        <v>0</v>
      </c>
      <c r="AJ1716" s="2">
        <f t="shared" si="236"/>
        <v>0</v>
      </c>
      <c r="AK1716" s="2">
        <f t="shared" si="240"/>
        <v>0</v>
      </c>
      <c r="AL1716" s="20" t="s">
        <v>3401</v>
      </c>
    </row>
    <row r="1717" spans="1:38" x14ac:dyDescent="0.2">
      <c r="A1717" s="2">
        <v>2025</v>
      </c>
      <c r="B1717" s="2">
        <v>8</v>
      </c>
      <c r="D1717" s="2" t="s">
        <v>1553</v>
      </c>
      <c r="E1717" s="2" t="s">
        <v>108</v>
      </c>
      <c r="F1717" s="2" t="s">
        <v>717</v>
      </c>
      <c r="G1717" s="2">
        <v>500975914</v>
      </c>
      <c r="H1717" s="2" t="s">
        <v>41</v>
      </c>
      <c r="I1717" s="2" t="s">
        <v>1554</v>
      </c>
      <c r="J1717" s="2" t="s">
        <v>1555</v>
      </c>
      <c r="L1717" s="2" t="s">
        <v>99</v>
      </c>
      <c r="M1717" s="2" t="s">
        <v>41</v>
      </c>
      <c r="P1717" s="2" t="s">
        <v>282</v>
      </c>
      <c r="Q1717" s="2" t="s">
        <v>399</v>
      </c>
      <c r="R1717" s="2" t="s">
        <v>400</v>
      </c>
      <c r="S1717" s="2">
        <v>20</v>
      </c>
      <c r="T1717" s="2">
        <v>580</v>
      </c>
      <c r="U1717" s="2">
        <v>133.4</v>
      </c>
      <c r="V1717" s="2">
        <v>713.4</v>
      </c>
      <c r="W1717" s="2">
        <f>17.4*S1717</f>
        <v>348</v>
      </c>
      <c r="X1717" s="5">
        <f t="shared" ref="X1717:X1731" si="241">(T1717-W1717)/T1717</f>
        <v>0.4</v>
      </c>
      <c r="Z1717" s="2" t="s">
        <v>3227</v>
      </c>
      <c r="AA1717" s="2" t="s">
        <v>46</v>
      </c>
      <c r="AB1717" s="2" t="s">
        <v>60</v>
      </c>
      <c r="AC1717" s="2" t="s">
        <v>3332</v>
      </c>
      <c r="AF1717" s="2">
        <f t="shared" si="235"/>
        <v>0</v>
      </c>
      <c r="AJ1717" s="2">
        <f t="shared" si="236"/>
        <v>0</v>
      </c>
      <c r="AK1717" s="2">
        <f t="shared" si="240"/>
        <v>232</v>
      </c>
      <c r="AL1717" s="5">
        <f t="shared" ref="AL1717:AL1748" si="242">(T1717-W1717)/T1717</f>
        <v>0.4</v>
      </c>
    </row>
    <row r="1718" spans="1:38" x14ac:dyDescent="0.2">
      <c r="A1718" s="2">
        <v>2025</v>
      </c>
      <c r="B1718" s="2">
        <v>8</v>
      </c>
      <c r="D1718" s="2" t="s">
        <v>1553</v>
      </c>
      <c r="E1718" s="2" t="s">
        <v>108</v>
      </c>
      <c r="F1718" s="2" t="s">
        <v>717</v>
      </c>
      <c r="G1718" s="2">
        <v>500975914</v>
      </c>
      <c r="H1718" s="2" t="s">
        <v>41</v>
      </c>
      <c r="I1718" s="2" t="s">
        <v>1554</v>
      </c>
      <c r="J1718" s="2" t="s">
        <v>1555</v>
      </c>
      <c r="L1718" s="2" t="s">
        <v>99</v>
      </c>
      <c r="M1718" s="2" t="s">
        <v>41</v>
      </c>
      <c r="P1718" s="2" t="s">
        <v>282</v>
      </c>
      <c r="Q1718" s="2" t="s">
        <v>401</v>
      </c>
      <c r="R1718" s="2" t="s">
        <v>402</v>
      </c>
      <c r="S1718" s="2">
        <v>20</v>
      </c>
      <c r="T1718" s="2">
        <v>580</v>
      </c>
      <c r="U1718" s="2">
        <v>133.4</v>
      </c>
      <c r="V1718" s="2">
        <v>713.4</v>
      </c>
      <c r="W1718" s="2">
        <f>17.4*S1718</f>
        <v>348</v>
      </c>
      <c r="X1718" s="5">
        <f t="shared" si="241"/>
        <v>0.4</v>
      </c>
      <c r="Z1718" s="2" t="s">
        <v>3227</v>
      </c>
      <c r="AA1718" s="2" t="s">
        <v>46</v>
      </c>
      <c r="AB1718" s="2" t="s">
        <v>60</v>
      </c>
      <c r="AC1718" s="2" t="s">
        <v>3332</v>
      </c>
      <c r="AF1718" s="2">
        <f t="shared" si="235"/>
        <v>0</v>
      </c>
      <c r="AJ1718" s="2">
        <f t="shared" si="236"/>
        <v>0</v>
      </c>
      <c r="AK1718" s="2">
        <f t="shared" si="240"/>
        <v>232</v>
      </c>
      <c r="AL1718" s="5">
        <f t="shared" si="242"/>
        <v>0.4</v>
      </c>
    </row>
    <row r="1719" spans="1:38" x14ac:dyDescent="0.2">
      <c r="A1719" s="2">
        <v>2025</v>
      </c>
      <c r="B1719" s="2">
        <v>8</v>
      </c>
      <c r="D1719" s="2" t="s">
        <v>1553</v>
      </c>
      <c r="E1719" s="2" t="s">
        <v>108</v>
      </c>
      <c r="F1719" s="2" t="s">
        <v>717</v>
      </c>
      <c r="G1719" s="2">
        <v>500975914</v>
      </c>
      <c r="H1719" s="2" t="s">
        <v>41</v>
      </c>
      <c r="I1719" s="2" t="s">
        <v>1554</v>
      </c>
      <c r="J1719" s="2" t="s">
        <v>1555</v>
      </c>
      <c r="L1719" s="2" t="s">
        <v>99</v>
      </c>
      <c r="M1719" s="2" t="s">
        <v>41</v>
      </c>
      <c r="P1719" s="2" t="s">
        <v>43</v>
      </c>
      <c r="Q1719" s="2" t="s">
        <v>48</v>
      </c>
      <c r="R1719" s="2" t="s">
        <v>49</v>
      </c>
      <c r="S1719" s="2">
        <v>1</v>
      </c>
      <c r="T1719" s="2">
        <v>12</v>
      </c>
      <c r="U1719" s="2">
        <v>2.76</v>
      </c>
      <c r="V1719" s="2">
        <v>14.76</v>
      </c>
      <c r="W1719" s="2">
        <f>6.6267*S1719</f>
        <v>6.6266999999999996</v>
      </c>
      <c r="X1719" s="5">
        <f t="shared" si="241"/>
        <v>0.44777500000000003</v>
      </c>
      <c r="Z1719" s="2" t="s">
        <v>3227</v>
      </c>
      <c r="AA1719" s="2" t="s">
        <v>46</v>
      </c>
      <c r="AB1719" s="2" t="s">
        <v>47</v>
      </c>
      <c r="AC1719" s="2" t="s">
        <v>57</v>
      </c>
      <c r="AF1719" s="2">
        <f t="shared" si="235"/>
        <v>0</v>
      </c>
      <c r="AG1719" s="2">
        <v>6.6266999999999996</v>
      </c>
      <c r="AH1719" s="2">
        <v>12</v>
      </c>
      <c r="AJ1719" s="2">
        <f t="shared" si="236"/>
        <v>0</v>
      </c>
      <c r="AK1719" s="2">
        <f t="shared" si="240"/>
        <v>5.3733000000000004</v>
      </c>
      <c r="AL1719" s="5">
        <f t="shared" si="242"/>
        <v>0.44777500000000003</v>
      </c>
    </row>
    <row r="1720" spans="1:38" x14ac:dyDescent="0.2">
      <c r="A1720" s="2">
        <v>2025</v>
      </c>
      <c r="B1720" s="2">
        <v>8</v>
      </c>
      <c r="D1720" s="2" t="s">
        <v>1553</v>
      </c>
      <c r="E1720" s="2" t="s">
        <v>108</v>
      </c>
      <c r="F1720" s="2" t="s">
        <v>717</v>
      </c>
      <c r="G1720" s="2">
        <v>500975914</v>
      </c>
      <c r="H1720" s="2" t="s">
        <v>41</v>
      </c>
      <c r="I1720" s="2" t="s">
        <v>1554</v>
      </c>
      <c r="J1720" s="2" t="s">
        <v>1555</v>
      </c>
      <c r="L1720" s="2" t="s">
        <v>99</v>
      </c>
      <c r="M1720" s="2" t="s">
        <v>41</v>
      </c>
      <c r="P1720" s="2" t="s">
        <v>43</v>
      </c>
      <c r="Q1720" s="2" t="s">
        <v>160</v>
      </c>
      <c r="R1720" s="2" t="s">
        <v>161</v>
      </c>
      <c r="S1720" s="2">
        <v>1</v>
      </c>
      <c r="T1720" s="2">
        <v>7.8</v>
      </c>
      <c r="U1720" s="2">
        <v>1.794</v>
      </c>
      <c r="V1720" s="2">
        <v>9.5939999999999994</v>
      </c>
      <c r="W1720" s="2">
        <f>3.7358*S1720</f>
        <v>3.7357999999999998</v>
      </c>
      <c r="X1720" s="5">
        <f t="shared" si="241"/>
        <v>0.52105128205128204</v>
      </c>
      <c r="Z1720" s="2" t="s">
        <v>3227</v>
      </c>
      <c r="AA1720" s="2" t="s">
        <v>46</v>
      </c>
      <c r="AB1720" s="2" t="s">
        <v>47</v>
      </c>
      <c r="AC1720" s="2" t="s">
        <v>57</v>
      </c>
      <c r="AF1720" s="2">
        <f t="shared" si="235"/>
        <v>0</v>
      </c>
      <c r="AG1720" s="2">
        <v>3.7357999999999998</v>
      </c>
      <c r="AH1720" s="2">
        <v>9</v>
      </c>
      <c r="AJ1720" s="2">
        <f t="shared" si="236"/>
        <v>0</v>
      </c>
      <c r="AK1720" s="2">
        <f t="shared" si="240"/>
        <v>4.0641999999999996</v>
      </c>
      <c r="AL1720" s="5">
        <f t="shared" si="242"/>
        <v>0.52105128205128204</v>
      </c>
    </row>
    <row r="1721" spans="1:38" x14ac:dyDescent="0.2">
      <c r="A1721" s="2">
        <v>2025</v>
      </c>
      <c r="B1721" s="2">
        <v>8</v>
      </c>
      <c r="D1721" s="2" t="s">
        <v>1553</v>
      </c>
      <c r="E1721" s="2" t="s">
        <v>108</v>
      </c>
      <c r="F1721" s="2" t="s">
        <v>717</v>
      </c>
      <c r="G1721" s="2">
        <v>500975914</v>
      </c>
      <c r="H1721" s="2" t="s">
        <v>41</v>
      </c>
      <c r="I1721" s="2" t="s">
        <v>1554</v>
      </c>
      <c r="J1721" s="2" t="s">
        <v>1555</v>
      </c>
      <c r="L1721" s="2" t="s">
        <v>99</v>
      </c>
      <c r="M1721" s="2" t="s">
        <v>41</v>
      </c>
      <c r="P1721" s="2" t="s">
        <v>84</v>
      </c>
      <c r="Q1721" s="2" t="s">
        <v>1793</v>
      </c>
      <c r="R1721" s="2" t="s">
        <v>1794</v>
      </c>
      <c r="S1721" s="2">
        <v>6</v>
      </c>
      <c r="T1721" s="2">
        <v>18</v>
      </c>
      <c r="U1721" s="2">
        <v>4.1400000000000006</v>
      </c>
      <c r="V1721" s="2">
        <v>22.14</v>
      </c>
      <c r="W1721" s="2">
        <v>0.35799999999999998</v>
      </c>
      <c r="X1721" s="5">
        <f t="shared" si="241"/>
        <v>0.98011111111111104</v>
      </c>
      <c r="Z1721" s="2" t="s">
        <v>3227</v>
      </c>
      <c r="AA1721" s="2" t="s">
        <v>87</v>
      </c>
      <c r="AB1721" s="2" t="s">
        <v>90</v>
      </c>
      <c r="AC1721" s="2" t="s">
        <v>84</v>
      </c>
      <c r="AF1721" s="2">
        <f t="shared" si="235"/>
        <v>0</v>
      </c>
      <c r="AJ1721" s="2">
        <f t="shared" si="236"/>
        <v>0</v>
      </c>
      <c r="AK1721" s="2">
        <f t="shared" si="240"/>
        <v>17.641999999999999</v>
      </c>
      <c r="AL1721" s="5">
        <f t="shared" si="242"/>
        <v>0.98011111111111104</v>
      </c>
    </row>
    <row r="1722" spans="1:38" x14ac:dyDescent="0.2">
      <c r="A1722" s="2">
        <v>2025</v>
      </c>
      <c r="B1722" s="2">
        <v>8</v>
      </c>
      <c r="D1722" s="2" t="s">
        <v>1553</v>
      </c>
      <c r="E1722" s="2" t="s">
        <v>108</v>
      </c>
      <c r="F1722" s="2" t="s">
        <v>717</v>
      </c>
      <c r="G1722" s="2">
        <v>500975914</v>
      </c>
      <c r="H1722" s="2" t="s">
        <v>41</v>
      </c>
      <c r="I1722" s="2" t="s">
        <v>1554</v>
      </c>
      <c r="J1722" s="2" t="s">
        <v>1555</v>
      </c>
      <c r="L1722" s="2" t="s">
        <v>99</v>
      </c>
      <c r="M1722" s="2" t="s">
        <v>41</v>
      </c>
      <c r="P1722" s="2" t="s">
        <v>84</v>
      </c>
      <c r="Q1722" s="2" t="s">
        <v>274</v>
      </c>
      <c r="R1722" s="2" t="s">
        <v>275</v>
      </c>
      <c r="S1722" s="2">
        <v>1</v>
      </c>
      <c r="T1722" s="2">
        <v>6</v>
      </c>
      <c r="U1722" s="2">
        <v>1.38</v>
      </c>
      <c r="V1722" s="2">
        <v>7.38</v>
      </c>
      <c r="W1722" s="2">
        <v>2.94</v>
      </c>
      <c r="X1722" s="5">
        <f t="shared" si="241"/>
        <v>0.51</v>
      </c>
      <c r="Z1722" s="2" t="s">
        <v>3227</v>
      </c>
      <c r="AA1722" s="2" t="s">
        <v>87</v>
      </c>
      <c r="AB1722" s="2" t="s">
        <v>90</v>
      </c>
      <c r="AC1722" s="2" t="s">
        <v>84</v>
      </c>
      <c r="AF1722" s="2">
        <f t="shared" si="235"/>
        <v>0</v>
      </c>
      <c r="AJ1722" s="2">
        <f t="shared" si="236"/>
        <v>0</v>
      </c>
      <c r="AK1722" s="2">
        <f t="shared" si="240"/>
        <v>3.06</v>
      </c>
      <c r="AL1722" s="5">
        <f t="shared" si="242"/>
        <v>0.51</v>
      </c>
    </row>
    <row r="1723" spans="1:38" x14ac:dyDescent="0.2">
      <c r="A1723" s="2">
        <v>2025</v>
      </c>
      <c r="B1723" s="2">
        <v>8</v>
      </c>
      <c r="D1723" s="2" t="s">
        <v>1553</v>
      </c>
      <c r="E1723" s="2" t="s">
        <v>108</v>
      </c>
      <c r="F1723" s="2" t="s">
        <v>717</v>
      </c>
      <c r="G1723" s="2">
        <v>500975914</v>
      </c>
      <c r="H1723" s="2" t="s">
        <v>41</v>
      </c>
      <c r="I1723" s="2" t="s">
        <v>1554</v>
      </c>
      <c r="J1723" s="2" t="s">
        <v>1555</v>
      </c>
      <c r="L1723" s="2" t="s">
        <v>99</v>
      </c>
      <c r="M1723" s="2" t="s">
        <v>41</v>
      </c>
      <c r="P1723" s="2" t="s">
        <v>84</v>
      </c>
      <c r="Q1723" s="2" t="s">
        <v>276</v>
      </c>
      <c r="R1723" s="2" t="s">
        <v>277</v>
      </c>
      <c r="S1723" s="2">
        <v>1</v>
      </c>
      <c r="T1723" s="2">
        <v>6</v>
      </c>
      <c r="U1723" s="2">
        <v>1.38</v>
      </c>
      <c r="V1723" s="2">
        <v>7.38</v>
      </c>
      <c r="W1723" s="2">
        <v>2.5051000000000001</v>
      </c>
      <c r="X1723" s="5">
        <f t="shared" si="241"/>
        <v>0.58248333333333335</v>
      </c>
      <c r="Z1723" s="2" t="s">
        <v>3227</v>
      </c>
      <c r="AA1723" s="2" t="s">
        <v>87</v>
      </c>
      <c r="AB1723" s="2" t="s">
        <v>90</v>
      </c>
      <c r="AC1723" s="2" t="s">
        <v>84</v>
      </c>
      <c r="AF1723" s="2">
        <f t="shared" si="235"/>
        <v>0</v>
      </c>
      <c r="AJ1723" s="2">
        <f t="shared" si="236"/>
        <v>0</v>
      </c>
      <c r="AK1723" s="2">
        <f t="shared" si="240"/>
        <v>3.4948999999999999</v>
      </c>
      <c r="AL1723" s="5">
        <f t="shared" si="242"/>
        <v>0.58248333333333335</v>
      </c>
    </row>
    <row r="1724" spans="1:38" x14ac:dyDescent="0.2">
      <c r="A1724" s="2">
        <v>2025</v>
      </c>
      <c r="B1724" s="2">
        <v>8</v>
      </c>
      <c r="D1724" s="2" t="s">
        <v>1795</v>
      </c>
      <c r="P1724" s="2" t="s">
        <v>3230</v>
      </c>
      <c r="Q1724" s="2" t="s">
        <v>1786</v>
      </c>
      <c r="R1724" s="2" t="s">
        <v>1787</v>
      </c>
      <c r="S1724" s="2">
        <v>1</v>
      </c>
      <c r="T1724" s="2">
        <v>1800</v>
      </c>
      <c r="U1724" s="2">
        <v>414</v>
      </c>
      <c r="V1724" s="2">
        <v>2214</v>
      </c>
      <c r="W1724" s="2">
        <v>1036.96</v>
      </c>
      <c r="X1724" s="5">
        <f t="shared" si="241"/>
        <v>0.42391111111111107</v>
      </c>
      <c r="Z1724" s="2" t="s">
        <v>104</v>
      </c>
      <c r="AA1724" s="2" t="s">
        <v>105</v>
      </c>
      <c r="AB1724" s="2" t="s">
        <v>106</v>
      </c>
      <c r="AC1724" s="2" t="s">
        <v>3230</v>
      </c>
      <c r="AF1724" s="2">
        <f t="shared" si="235"/>
        <v>0</v>
      </c>
      <c r="AJ1724" s="2">
        <f t="shared" si="236"/>
        <v>0</v>
      </c>
      <c r="AK1724" s="2">
        <f t="shared" si="240"/>
        <v>763.04</v>
      </c>
      <c r="AL1724" s="5">
        <f t="shared" si="242"/>
        <v>0.42391111111111107</v>
      </c>
    </row>
    <row r="1725" spans="1:38" x14ac:dyDescent="0.2">
      <c r="A1725" s="2">
        <v>2025</v>
      </c>
      <c r="B1725" s="2">
        <v>8</v>
      </c>
      <c r="D1725" s="2" t="s">
        <v>433</v>
      </c>
      <c r="E1725" s="2" t="s">
        <v>38</v>
      </c>
      <c r="F1725" s="2" t="s">
        <v>39</v>
      </c>
      <c r="L1725" s="2" t="s">
        <v>99</v>
      </c>
      <c r="M1725" s="2" t="s">
        <v>41</v>
      </c>
      <c r="P1725" s="2" t="s">
        <v>282</v>
      </c>
      <c r="Q1725" s="2" t="s">
        <v>399</v>
      </c>
      <c r="R1725" s="2" t="s">
        <v>400</v>
      </c>
      <c r="S1725" s="2">
        <v>4</v>
      </c>
      <c r="T1725" s="2">
        <v>116</v>
      </c>
      <c r="U1725" s="2">
        <v>26.68</v>
      </c>
      <c r="V1725" s="2">
        <v>142.68</v>
      </c>
      <c r="W1725" s="2">
        <f>17.4*S1725</f>
        <v>69.599999999999994</v>
      </c>
      <c r="X1725" s="5">
        <f t="shared" si="241"/>
        <v>0.4</v>
      </c>
      <c r="Z1725" s="2" t="s">
        <v>3227</v>
      </c>
      <c r="AA1725" s="2" t="s">
        <v>46</v>
      </c>
      <c r="AB1725" s="2" t="s">
        <v>60</v>
      </c>
      <c r="AC1725" s="2" t="s">
        <v>3332</v>
      </c>
      <c r="AF1725" s="2">
        <f t="shared" si="235"/>
        <v>0</v>
      </c>
      <c r="AJ1725" s="2">
        <f t="shared" si="236"/>
        <v>0</v>
      </c>
      <c r="AK1725" s="2">
        <f t="shared" si="240"/>
        <v>46.400000000000006</v>
      </c>
      <c r="AL1725" s="5">
        <f t="shared" si="242"/>
        <v>0.4</v>
      </c>
    </row>
    <row r="1726" spans="1:38" x14ac:dyDescent="0.2">
      <c r="A1726" s="2">
        <v>2025</v>
      </c>
      <c r="B1726" s="2">
        <v>8</v>
      </c>
      <c r="D1726" s="2" t="s">
        <v>1240</v>
      </c>
      <c r="E1726" s="2" t="s">
        <v>108</v>
      </c>
      <c r="F1726" s="2" t="s">
        <v>531</v>
      </c>
      <c r="G1726" s="2">
        <v>502421584</v>
      </c>
      <c r="H1726" s="2" t="s">
        <v>40</v>
      </c>
      <c r="I1726" s="2" t="s">
        <v>3220</v>
      </c>
      <c r="J1726" s="2" t="s">
        <v>3221</v>
      </c>
      <c r="L1726" s="2" t="s">
        <v>339</v>
      </c>
      <c r="M1726" s="2" t="s">
        <v>80</v>
      </c>
      <c r="O1726" s="2" t="s">
        <v>3223</v>
      </c>
      <c r="P1726" s="2" t="s">
        <v>72</v>
      </c>
      <c r="Q1726" s="2" t="s">
        <v>73</v>
      </c>
      <c r="R1726" s="2" t="s">
        <v>74</v>
      </c>
      <c r="S1726" s="2">
        <v>1</v>
      </c>
      <c r="T1726" s="2">
        <v>210</v>
      </c>
      <c r="U1726" s="2">
        <v>48.3</v>
      </c>
      <c r="V1726" s="2">
        <v>258.3</v>
      </c>
      <c r="W1726" s="2">
        <v>117.453</v>
      </c>
      <c r="X1726" s="5">
        <f t="shared" si="241"/>
        <v>0.44069999999999998</v>
      </c>
      <c r="Z1726" s="2" t="s">
        <v>3227</v>
      </c>
      <c r="AA1726" s="2" t="s">
        <v>75</v>
      </c>
      <c r="AB1726" s="2" t="s">
        <v>76</v>
      </c>
      <c r="AC1726" s="2" t="s">
        <v>77</v>
      </c>
      <c r="AF1726" s="2">
        <f t="shared" si="235"/>
        <v>0</v>
      </c>
      <c r="AG1726" s="2">
        <v>117.453</v>
      </c>
      <c r="AH1726" s="2">
        <v>220</v>
      </c>
      <c r="AJ1726" s="2">
        <f t="shared" si="236"/>
        <v>0</v>
      </c>
      <c r="AK1726" s="2">
        <f t="shared" si="240"/>
        <v>92.546999999999997</v>
      </c>
      <c r="AL1726" s="5">
        <f t="shared" si="242"/>
        <v>0.44069999999999998</v>
      </c>
    </row>
    <row r="1727" spans="1:38" x14ac:dyDescent="0.2">
      <c r="A1727" s="2">
        <v>2025</v>
      </c>
      <c r="B1727" s="2">
        <v>8</v>
      </c>
      <c r="D1727" s="2" t="s">
        <v>1240</v>
      </c>
      <c r="E1727" s="2" t="s">
        <v>108</v>
      </c>
      <c r="F1727" s="2" t="s">
        <v>531</v>
      </c>
      <c r="G1727" s="2">
        <v>502421584</v>
      </c>
      <c r="H1727" s="2" t="s">
        <v>40</v>
      </c>
      <c r="I1727" s="2" t="s">
        <v>3220</v>
      </c>
      <c r="J1727" s="2" t="s">
        <v>3221</v>
      </c>
      <c r="L1727" s="2" t="s">
        <v>339</v>
      </c>
      <c r="M1727" s="2" t="s">
        <v>80</v>
      </c>
      <c r="O1727" s="2" t="s">
        <v>3223</v>
      </c>
      <c r="P1727" s="2" t="s">
        <v>93</v>
      </c>
      <c r="Q1727" s="2" t="s">
        <v>94</v>
      </c>
      <c r="R1727" s="2" t="s">
        <v>95</v>
      </c>
      <c r="S1727" s="2">
        <v>1</v>
      </c>
      <c r="T1727" s="2">
        <v>1.1399999999999999</v>
      </c>
      <c r="U1727" s="2">
        <v>0.26219999999999999</v>
      </c>
      <c r="V1727" s="2">
        <v>1.4021999999999999</v>
      </c>
      <c r="W1727" s="2">
        <v>1.1399999999999999</v>
      </c>
      <c r="X1727" s="5">
        <f t="shared" si="241"/>
        <v>0</v>
      </c>
      <c r="Z1727" s="2" t="s">
        <v>3227</v>
      </c>
      <c r="AA1727" s="2" t="s">
        <v>96</v>
      </c>
      <c r="AB1727" s="2" t="s">
        <v>76</v>
      </c>
      <c r="AC1727" s="2" t="s">
        <v>93</v>
      </c>
      <c r="AF1727" s="2">
        <f t="shared" si="235"/>
        <v>0</v>
      </c>
      <c r="AG1727" s="2">
        <v>1.1399999999999999</v>
      </c>
      <c r="AH1727" s="2">
        <v>1.1399999999999999</v>
      </c>
      <c r="AJ1727" s="2">
        <f t="shared" si="236"/>
        <v>0</v>
      </c>
      <c r="AK1727" s="2">
        <f t="shared" si="240"/>
        <v>0</v>
      </c>
      <c r="AL1727" s="5">
        <f t="shared" si="242"/>
        <v>0</v>
      </c>
    </row>
    <row r="1728" spans="1:38" x14ac:dyDescent="0.2">
      <c r="A1728" s="2">
        <v>2025</v>
      </c>
      <c r="B1728" s="2">
        <v>8</v>
      </c>
      <c r="D1728" s="2" t="s">
        <v>1796</v>
      </c>
      <c r="P1728" s="2" t="s">
        <v>43</v>
      </c>
      <c r="Q1728" s="2" t="s">
        <v>54</v>
      </c>
      <c r="R1728" s="2" t="s">
        <v>55</v>
      </c>
      <c r="S1728" s="2">
        <v>1</v>
      </c>
      <c r="T1728" s="2">
        <v>18</v>
      </c>
      <c r="U1728" s="2">
        <v>4.1400000000000006</v>
      </c>
      <c r="V1728" s="2">
        <v>22.14</v>
      </c>
      <c r="W1728" s="2">
        <f>10.6*S1728</f>
        <v>10.6</v>
      </c>
      <c r="X1728" s="5">
        <f t="shared" si="241"/>
        <v>0.41111111111111115</v>
      </c>
      <c r="Z1728" s="2" t="s">
        <v>3227</v>
      </c>
      <c r="AA1728" s="2" t="s">
        <v>46</v>
      </c>
      <c r="AB1728" s="2" t="s">
        <v>56</v>
      </c>
      <c r="AC1728" s="2" t="s">
        <v>57</v>
      </c>
      <c r="AF1728" s="2">
        <f t="shared" si="235"/>
        <v>0</v>
      </c>
      <c r="AG1728" s="2">
        <v>10.6</v>
      </c>
      <c r="AH1728" s="2">
        <v>18</v>
      </c>
      <c r="AJ1728" s="2">
        <f t="shared" si="236"/>
        <v>0</v>
      </c>
      <c r="AK1728" s="2">
        <f t="shared" si="240"/>
        <v>7.4</v>
      </c>
      <c r="AL1728" s="5">
        <f t="shared" si="242"/>
        <v>0.41111111111111115</v>
      </c>
    </row>
    <row r="1729" spans="1:38" x14ac:dyDescent="0.2">
      <c r="A1729" s="2">
        <v>2025</v>
      </c>
      <c r="B1729" s="2">
        <v>8</v>
      </c>
      <c r="D1729" s="2" t="s">
        <v>1796</v>
      </c>
      <c r="P1729" s="2" t="s">
        <v>43</v>
      </c>
      <c r="Q1729" s="2" t="s">
        <v>58</v>
      </c>
      <c r="R1729" s="2" t="s">
        <v>59</v>
      </c>
      <c r="S1729" s="2">
        <v>100</v>
      </c>
      <c r="T1729" s="2">
        <v>14</v>
      </c>
      <c r="U1729" s="2">
        <v>3.22</v>
      </c>
      <c r="V1729" s="2">
        <v>17.22</v>
      </c>
      <c r="W1729" s="2">
        <f>0.0914*S1729</f>
        <v>9.1399999999999988</v>
      </c>
      <c r="X1729" s="5">
        <f t="shared" si="241"/>
        <v>0.34714285714285725</v>
      </c>
      <c r="Z1729" s="2" t="s">
        <v>3227</v>
      </c>
      <c r="AA1729" s="2" t="s">
        <v>46</v>
      </c>
      <c r="AB1729" s="2" t="s">
        <v>60</v>
      </c>
      <c r="AC1729" s="2" t="s">
        <v>57</v>
      </c>
      <c r="AF1729" s="2">
        <f t="shared" si="235"/>
        <v>0</v>
      </c>
      <c r="AG1729" s="2">
        <v>9.14</v>
      </c>
      <c r="AH1729" s="2">
        <v>16</v>
      </c>
      <c r="AJ1729" s="2">
        <f t="shared" si="236"/>
        <v>0</v>
      </c>
      <c r="AK1729" s="2">
        <f t="shared" si="240"/>
        <v>4.8600000000000012</v>
      </c>
      <c r="AL1729" s="5">
        <f t="shared" si="242"/>
        <v>0.34714285714285725</v>
      </c>
    </row>
    <row r="1730" spans="1:38" x14ac:dyDescent="0.2">
      <c r="A1730" s="2">
        <v>2025</v>
      </c>
      <c r="B1730" s="2">
        <v>8</v>
      </c>
      <c r="D1730" s="2" t="s">
        <v>1796</v>
      </c>
      <c r="P1730" s="2" t="s">
        <v>84</v>
      </c>
      <c r="Q1730" s="2" t="s">
        <v>270</v>
      </c>
      <c r="R1730" s="2" t="s">
        <v>271</v>
      </c>
      <c r="S1730" s="2">
        <v>1</v>
      </c>
      <c r="T1730" s="2">
        <v>10.199999999999999</v>
      </c>
      <c r="U1730" s="2">
        <v>2.3460000000000001</v>
      </c>
      <c r="V1730" s="2">
        <v>12.545999999999999</v>
      </c>
      <c r="W1730" s="2">
        <v>6.86</v>
      </c>
      <c r="X1730" s="5">
        <f t="shared" si="241"/>
        <v>0.32745098039215681</v>
      </c>
      <c r="Z1730" s="2" t="s">
        <v>3227</v>
      </c>
      <c r="AA1730" s="2" t="s">
        <v>87</v>
      </c>
      <c r="AB1730" s="2" t="s">
        <v>90</v>
      </c>
      <c r="AC1730" s="2" t="s">
        <v>84</v>
      </c>
      <c r="AF1730" s="2">
        <f t="shared" ref="AF1730:AF1793" si="243">AJ1730</f>
        <v>0</v>
      </c>
      <c r="AJ1730" s="2">
        <f t="shared" ref="AJ1730:AJ1793" si="244">AI1730*T1730</f>
        <v>0</v>
      </c>
      <c r="AK1730" s="2">
        <f t="shared" si="240"/>
        <v>3.339999999999999</v>
      </c>
      <c r="AL1730" s="5">
        <f t="shared" si="242"/>
        <v>0.32745098039215681</v>
      </c>
    </row>
    <row r="1731" spans="1:38" x14ac:dyDescent="0.2">
      <c r="A1731" s="2">
        <v>2025</v>
      </c>
      <c r="B1731" s="2">
        <v>8</v>
      </c>
      <c r="D1731" s="2" t="s">
        <v>816</v>
      </c>
      <c r="E1731" s="2" t="s">
        <v>38</v>
      </c>
      <c r="F1731" s="2" t="s">
        <v>39</v>
      </c>
      <c r="L1731" s="2" t="s">
        <v>480</v>
      </c>
      <c r="P1731" s="2" t="s">
        <v>282</v>
      </c>
      <c r="Q1731" s="2" t="s">
        <v>1797</v>
      </c>
      <c r="R1731" s="2" t="s">
        <v>1798</v>
      </c>
      <c r="S1731" s="2">
        <v>4</v>
      </c>
      <c r="T1731" s="2">
        <v>156</v>
      </c>
      <c r="U1731" s="2">
        <v>35.880000000000003</v>
      </c>
      <c r="V1731" s="2">
        <v>191.88</v>
      </c>
      <c r="W1731" s="2">
        <f>23.4*S1731</f>
        <v>93.6</v>
      </c>
      <c r="X1731" s="5">
        <f t="shared" si="241"/>
        <v>0.4</v>
      </c>
      <c r="Z1731" s="2" t="s">
        <v>3227</v>
      </c>
      <c r="AA1731" s="2" t="s">
        <v>46</v>
      </c>
      <c r="AB1731" s="2" t="s">
        <v>60</v>
      </c>
      <c r="AC1731" s="2" t="s">
        <v>3405</v>
      </c>
      <c r="AF1731" s="2">
        <f t="shared" si="243"/>
        <v>0</v>
      </c>
      <c r="AJ1731" s="2">
        <f t="shared" si="244"/>
        <v>0</v>
      </c>
      <c r="AK1731" s="2">
        <f t="shared" si="240"/>
        <v>62.400000000000006</v>
      </c>
      <c r="AL1731" s="5">
        <f t="shared" si="242"/>
        <v>0.4</v>
      </c>
    </row>
    <row r="1732" spans="1:38" x14ac:dyDescent="0.2">
      <c r="A1732" s="2">
        <v>2025</v>
      </c>
      <c r="B1732" s="2">
        <v>8</v>
      </c>
      <c r="D1732" s="2" t="s">
        <v>1563</v>
      </c>
      <c r="M1732" s="2" t="s">
        <v>40</v>
      </c>
      <c r="P1732" s="2" t="s">
        <v>187</v>
      </c>
      <c r="Q1732" s="2" t="s">
        <v>188</v>
      </c>
      <c r="R1732" s="2" t="s">
        <v>189</v>
      </c>
      <c r="S1732" s="2">
        <v>-1</v>
      </c>
      <c r="T1732" s="2">
        <v>-55</v>
      </c>
      <c r="U1732" s="2">
        <v>-12.65</v>
      </c>
      <c r="V1732" s="2">
        <v>-67.650000000000006</v>
      </c>
      <c r="W1732" s="2">
        <f>T1732*40%</f>
        <v>-22</v>
      </c>
      <c r="Z1732" s="2" t="s">
        <v>117</v>
      </c>
      <c r="AA1732" s="2" t="s">
        <v>190</v>
      </c>
      <c r="AB1732" s="2" t="s">
        <v>189</v>
      </c>
      <c r="AC1732" s="2" t="s">
        <v>40</v>
      </c>
      <c r="AF1732" s="2">
        <f t="shared" si="243"/>
        <v>0</v>
      </c>
      <c r="AJ1732" s="2">
        <f t="shared" si="244"/>
        <v>0</v>
      </c>
      <c r="AK1732" s="2">
        <f t="shared" ref="AK1732:AK1763" si="245">T1732-W1732</f>
        <v>-33</v>
      </c>
      <c r="AL1732" s="5">
        <f t="shared" si="242"/>
        <v>0.6</v>
      </c>
    </row>
    <row r="1733" spans="1:38" x14ac:dyDescent="0.2">
      <c r="A1733" s="2">
        <v>2025</v>
      </c>
      <c r="B1733" s="2">
        <v>8</v>
      </c>
      <c r="D1733" s="2" t="s">
        <v>1563</v>
      </c>
      <c r="M1733" s="2" t="s">
        <v>40</v>
      </c>
      <c r="P1733" s="2" t="s">
        <v>187</v>
      </c>
      <c r="Q1733" s="2" t="s">
        <v>191</v>
      </c>
      <c r="R1733" s="2" t="s">
        <v>190</v>
      </c>
      <c r="S1733" s="2">
        <v>-1.5</v>
      </c>
      <c r="T1733" s="2">
        <v>-75</v>
      </c>
      <c r="U1733" s="2">
        <v>-17.25</v>
      </c>
      <c r="V1733" s="2">
        <v>-92.25</v>
      </c>
      <c r="Z1733" s="2" t="s">
        <v>117</v>
      </c>
      <c r="AA1733" s="2" t="s">
        <v>190</v>
      </c>
      <c r="AB1733" s="2" t="s">
        <v>190</v>
      </c>
      <c r="AC1733" s="2" t="s">
        <v>40</v>
      </c>
      <c r="AF1733" s="2">
        <f t="shared" si="243"/>
        <v>0</v>
      </c>
      <c r="AJ1733" s="2">
        <f t="shared" si="244"/>
        <v>0</v>
      </c>
      <c r="AK1733" s="2">
        <f t="shared" si="245"/>
        <v>-75</v>
      </c>
      <c r="AL1733" s="5">
        <f t="shared" si="242"/>
        <v>1</v>
      </c>
    </row>
    <row r="1734" spans="1:38" x14ac:dyDescent="0.2">
      <c r="A1734" s="2">
        <v>2025</v>
      </c>
      <c r="B1734" s="2">
        <v>8</v>
      </c>
      <c r="D1734" s="2" t="s">
        <v>1388</v>
      </c>
      <c r="P1734" s="2" t="s">
        <v>114</v>
      </c>
      <c r="Q1734" s="2" t="s">
        <v>926</v>
      </c>
      <c r="R1734" s="2" t="s">
        <v>927</v>
      </c>
      <c r="S1734" s="2">
        <v>1</v>
      </c>
      <c r="T1734" s="2">
        <v>420</v>
      </c>
      <c r="U1734" s="2">
        <v>96.600000000000009</v>
      </c>
      <c r="V1734" s="2">
        <v>516.6</v>
      </c>
      <c r="X1734" s="5">
        <f t="shared" ref="X1734:X1765" si="246">(T1734-W1734)/T1734</f>
        <v>1</v>
      </c>
      <c r="Z1734" s="2" t="s">
        <v>104</v>
      </c>
      <c r="AF1734" s="2">
        <f t="shared" si="243"/>
        <v>0</v>
      </c>
      <c r="AJ1734" s="2">
        <f t="shared" si="244"/>
        <v>0</v>
      </c>
      <c r="AK1734" s="2">
        <f t="shared" si="245"/>
        <v>420</v>
      </c>
      <c r="AL1734" s="5">
        <f t="shared" si="242"/>
        <v>1</v>
      </c>
    </row>
    <row r="1735" spans="1:38" x14ac:dyDescent="0.2">
      <c r="A1735" s="2">
        <v>2025</v>
      </c>
      <c r="B1735" s="2">
        <v>8</v>
      </c>
      <c r="D1735" s="2" t="s">
        <v>1388</v>
      </c>
      <c r="P1735" s="2" t="s">
        <v>114</v>
      </c>
      <c r="Q1735" s="16" t="s">
        <v>709</v>
      </c>
      <c r="R1735" s="2" t="s">
        <v>710</v>
      </c>
      <c r="S1735" s="2">
        <v>1</v>
      </c>
      <c r="T1735" s="2">
        <v>1690</v>
      </c>
      <c r="U1735" s="2">
        <v>388.7</v>
      </c>
      <c r="V1735" s="2">
        <v>2078.6999999999998</v>
      </c>
      <c r="W1735" s="2">
        <f>1244.2445</f>
        <v>1244.2445</v>
      </c>
      <c r="X1735" s="5">
        <f t="shared" si="246"/>
        <v>0.26376065088757394</v>
      </c>
      <c r="Z1735" s="2" t="s">
        <v>104</v>
      </c>
      <c r="AA1735" s="2" t="s">
        <v>578</v>
      </c>
      <c r="AB1735" s="2" t="s">
        <v>701</v>
      </c>
      <c r="AC1735" s="2" t="s">
        <v>114</v>
      </c>
      <c r="AF1735" s="2">
        <f t="shared" si="243"/>
        <v>0</v>
      </c>
      <c r="AJ1735" s="2">
        <f t="shared" si="244"/>
        <v>0</v>
      </c>
      <c r="AK1735" s="2">
        <f t="shared" si="245"/>
        <v>445.75549999999998</v>
      </c>
      <c r="AL1735" s="5">
        <f t="shared" si="242"/>
        <v>0.26376065088757394</v>
      </c>
    </row>
    <row r="1736" spans="1:38" x14ac:dyDescent="0.2">
      <c r="A1736" s="2">
        <v>2025</v>
      </c>
      <c r="B1736" s="2">
        <v>8</v>
      </c>
      <c r="D1736" s="2" t="s">
        <v>1388</v>
      </c>
      <c r="P1736" s="2" t="s">
        <v>114</v>
      </c>
      <c r="Q1736" s="2" t="s">
        <v>1799</v>
      </c>
      <c r="R1736" s="2" t="s">
        <v>1800</v>
      </c>
      <c r="S1736" s="2">
        <v>1</v>
      </c>
      <c r="T1736" s="2">
        <v>4350</v>
      </c>
      <c r="U1736" s="2">
        <v>1000.5</v>
      </c>
      <c r="V1736" s="2">
        <v>5350.5</v>
      </c>
      <c r="X1736" s="5">
        <f t="shared" si="246"/>
        <v>1</v>
      </c>
      <c r="Z1736" s="2" t="s">
        <v>104</v>
      </c>
      <c r="AF1736" s="2">
        <f t="shared" si="243"/>
        <v>0</v>
      </c>
      <c r="AJ1736" s="2">
        <f t="shared" si="244"/>
        <v>0</v>
      </c>
      <c r="AK1736" s="2">
        <f t="shared" si="245"/>
        <v>4350</v>
      </c>
      <c r="AL1736" s="5">
        <f t="shared" si="242"/>
        <v>1</v>
      </c>
    </row>
    <row r="1737" spans="1:38" x14ac:dyDescent="0.2">
      <c r="A1737" s="2">
        <v>2025</v>
      </c>
      <c r="B1737" s="2">
        <v>8</v>
      </c>
      <c r="D1737" s="2" t="s">
        <v>1388</v>
      </c>
      <c r="P1737" s="2" t="s">
        <v>114</v>
      </c>
      <c r="Q1737" s="2" t="s">
        <v>1801</v>
      </c>
      <c r="R1737" s="2" t="s">
        <v>1802</v>
      </c>
      <c r="S1737" s="2">
        <v>1</v>
      </c>
      <c r="T1737" s="2">
        <v>3990</v>
      </c>
      <c r="U1737" s="2">
        <v>917.7</v>
      </c>
      <c r="V1737" s="2">
        <v>4907.7</v>
      </c>
      <c r="X1737" s="5">
        <f t="shared" si="246"/>
        <v>1</v>
      </c>
      <c r="Z1737" s="2" t="s">
        <v>104</v>
      </c>
      <c r="AF1737" s="2">
        <f t="shared" si="243"/>
        <v>0</v>
      </c>
      <c r="AJ1737" s="2">
        <f t="shared" si="244"/>
        <v>0</v>
      </c>
      <c r="AK1737" s="2">
        <f t="shared" si="245"/>
        <v>3990</v>
      </c>
      <c r="AL1737" s="5">
        <f t="shared" si="242"/>
        <v>1</v>
      </c>
    </row>
    <row r="1738" spans="1:38" x14ac:dyDescent="0.2">
      <c r="A1738" s="2">
        <v>2025</v>
      </c>
      <c r="B1738" s="2">
        <v>8</v>
      </c>
      <c r="D1738" s="2" t="s">
        <v>454</v>
      </c>
      <c r="E1738" s="2" t="s">
        <v>38</v>
      </c>
      <c r="F1738" s="2" t="s">
        <v>39</v>
      </c>
      <c r="G1738" s="2">
        <v>515440620</v>
      </c>
      <c r="H1738" s="2" t="s">
        <v>41</v>
      </c>
      <c r="I1738" s="2" t="s">
        <v>455</v>
      </c>
      <c r="J1738" s="2" t="s">
        <v>456</v>
      </c>
      <c r="K1738" s="2">
        <v>963829351</v>
      </c>
      <c r="L1738" s="2" t="s">
        <v>133</v>
      </c>
      <c r="M1738" s="2" t="s">
        <v>40</v>
      </c>
      <c r="O1738" s="2" t="s">
        <v>1803</v>
      </c>
      <c r="P1738" s="2" t="s">
        <v>114</v>
      </c>
      <c r="Q1738" s="2" t="s">
        <v>1804</v>
      </c>
      <c r="R1738" s="2" t="s">
        <v>1805</v>
      </c>
      <c r="S1738" s="2">
        <v>1</v>
      </c>
      <c r="T1738" s="2">
        <v>55.59</v>
      </c>
      <c r="U1738" s="2">
        <v>12.7857</v>
      </c>
      <c r="V1738" s="2">
        <v>68.375700000000009</v>
      </c>
      <c r="W1738" s="2">
        <v>34.119999999999997</v>
      </c>
      <c r="X1738" s="5">
        <f t="shared" si="246"/>
        <v>0.3862205432631769</v>
      </c>
      <c r="Z1738" s="2" t="s">
        <v>117</v>
      </c>
      <c r="AA1738" s="2" t="s">
        <v>118</v>
      </c>
      <c r="AB1738" s="2" t="s">
        <v>119</v>
      </c>
      <c r="AC1738" s="2" t="s">
        <v>114</v>
      </c>
      <c r="AF1738" s="2">
        <f t="shared" si="243"/>
        <v>0</v>
      </c>
      <c r="AG1738" s="2">
        <v>34.119999999999997</v>
      </c>
      <c r="AJ1738" s="2">
        <f t="shared" si="244"/>
        <v>0</v>
      </c>
      <c r="AK1738" s="2">
        <f t="shared" si="245"/>
        <v>21.470000000000006</v>
      </c>
      <c r="AL1738" s="5">
        <f t="shared" si="242"/>
        <v>0.3862205432631769</v>
      </c>
    </row>
    <row r="1739" spans="1:38" x14ac:dyDescent="0.2">
      <c r="A1739" s="2">
        <v>2025</v>
      </c>
      <c r="B1739" s="2">
        <v>8</v>
      </c>
      <c r="D1739" s="2" t="s">
        <v>1806</v>
      </c>
      <c r="P1739" s="2" t="s">
        <v>282</v>
      </c>
      <c r="Q1739" s="2" t="s">
        <v>1807</v>
      </c>
      <c r="R1739" s="2" t="s">
        <v>1808</v>
      </c>
      <c r="S1739" s="2">
        <v>1</v>
      </c>
      <c r="T1739" s="2">
        <v>199</v>
      </c>
      <c r="U1739" s="2">
        <v>45.77</v>
      </c>
      <c r="V1739" s="2">
        <v>244.77</v>
      </c>
      <c r="X1739" s="5">
        <f t="shared" si="246"/>
        <v>1</v>
      </c>
      <c r="Z1739" s="2" t="s">
        <v>3227</v>
      </c>
      <c r="AF1739" s="2">
        <f t="shared" si="243"/>
        <v>0</v>
      </c>
      <c r="AJ1739" s="2">
        <f t="shared" si="244"/>
        <v>0</v>
      </c>
      <c r="AK1739" s="2">
        <f t="shared" si="245"/>
        <v>199</v>
      </c>
      <c r="AL1739" s="5">
        <f t="shared" si="242"/>
        <v>1</v>
      </c>
    </row>
    <row r="1740" spans="1:38" x14ac:dyDescent="0.2">
      <c r="A1740" s="2">
        <v>2025</v>
      </c>
      <c r="B1740" s="2">
        <v>8</v>
      </c>
      <c r="D1740" s="2" t="s">
        <v>1806</v>
      </c>
      <c r="P1740" s="2" t="s">
        <v>282</v>
      </c>
      <c r="Q1740" s="2" t="s">
        <v>1444</v>
      </c>
      <c r="R1740" s="2" t="s">
        <v>1445</v>
      </c>
      <c r="S1740" s="2">
        <v>1</v>
      </c>
      <c r="T1740" s="2">
        <v>98</v>
      </c>
      <c r="U1740" s="2">
        <v>22.54</v>
      </c>
      <c r="V1740" s="2">
        <v>120.54</v>
      </c>
      <c r="X1740" s="5">
        <f t="shared" si="246"/>
        <v>1</v>
      </c>
      <c r="Z1740" s="2" t="s">
        <v>3227</v>
      </c>
      <c r="AF1740" s="2">
        <f t="shared" si="243"/>
        <v>0</v>
      </c>
      <c r="AJ1740" s="2">
        <f t="shared" si="244"/>
        <v>0</v>
      </c>
      <c r="AK1740" s="2">
        <f t="shared" si="245"/>
        <v>98</v>
      </c>
      <c r="AL1740" s="5">
        <f t="shared" si="242"/>
        <v>1</v>
      </c>
    </row>
    <row r="1741" spans="1:38" x14ac:dyDescent="0.2">
      <c r="A1741" s="2">
        <v>2025</v>
      </c>
      <c r="B1741" s="2">
        <v>8</v>
      </c>
      <c r="C1741" s="2" t="s">
        <v>3318</v>
      </c>
      <c r="D1741" s="2" t="s">
        <v>3317</v>
      </c>
      <c r="E1741" s="2" t="s">
        <v>38</v>
      </c>
      <c r="F1741" s="2" t="s">
        <v>39</v>
      </c>
      <c r="L1741" s="2" t="s">
        <v>461</v>
      </c>
      <c r="M1741" s="2" t="s">
        <v>109</v>
      </c>
      <c r="P1741" s="2" t="s">
        <v>114</v>
      </c>
      <c r="Q1741" s="2" t="s">
        <v>412</v>
      </c>
      <c r="R1741" s="2" t="s">
        <v>413</v>
      </c>
      <c r="S1741" s="2">
        <v>1</v>
      </c>
      <c r="T1741" s="2">
        <v>15527.99</v>
      </c>
      <c r="U1741" s="2">
        <v>3571.4376999999999</v>
      </c>
      <c r="V1741" s="2">
        <v>19099.4277</v>
      </c>
      <c r="W1741" s="2">
        <v>10669.4</v>
      </c>
      <c r="X1741" s="5">
        <f t="shared" si="246"/>
        <v>0.31289239624703519</v>
      </c>
      <c r="Z1741" s="2" t="s">
        <v>104</v>
      </c>
      <c r="AA1741" s="2" t="s">
        <v>414</v>
      </c>
      <c r="AB1741" s="2" t="s">
        <v>151</v>
      </c>
      <c r="AC1741" s="2" t="s">
        <v>114</v>
      </c>
      <c r="AF1741" s="2">
        <f t="shared" si="243"/>
        <v>0</v>
      </c>
      <c r="AJ1741" s="2">
        <f t="shared" si="244"/>
        <v>0</v>
      </c>
      <c r="AK1741" s="2">
        <f t="shared" si="245"/>
        <v>4858.59</v>
      </c>
      <c r="AL1741" s="5">
        <f t="shared" si="242"/>
        <v>0.31289239624703519</v>
      </c>
    </row>
    <row r="1742" spans="1:38" x14ac:dyDescent="0.2">
      <c r="A1742" s="2">
        <v>2025</v>
      </c>
      <c r="B1742" s="2">
        <v>8</v>
      </c>
      <c r="D1742" s="2" t="s">
        <v>476</v>
      </c>
      <c r="E1742" s="2" t="s">
        <v>108</v>
      </c>
      <c r="F1742" s="2" t="s">
        <v>477</v>
      </c>
      <c r="G1742" s="2">
        <v>500864365</v>
      </c>
      <c r="H1742" s="2" t="s">
        <v>41</v>
      </c>
      <c r="I1742" s="2" t="s">
        <v>478</v>
      </c>
      <c r="J1742" s="2" t="s">
        <v>479</v>
      </c>
      <c r="L1742" s="2" t="s">
        <v>480</v>
      </c>
      <c r="M1742" s="2" t="s">
        <v>41</v>
      </c>
      <c r="P1742" s="2" t="s">
        <v>72</v>
      </c>
      <c r="Q1742" s="2" t="s">
        <v>73</v>
      </c>
      <c r="R1742" s="2" t="s">
        <v>74</v>
      </c>
      <c r="S1742" s="2">
        <v>2</v>
      </c>
      <c r="T1742" s="2">
        <v>420</v>
      </c>
      <c r="U1742" s="2">
        <v>96.600000000000009</v>
      </c>
      <c r="V1742" s="2">
        <v>516.6</v>
      </c>
      <c r="W1742" s="2">
        <v>234.90600000000001</v>
      </c>
      <c r="X1742" s="5">
        <f t="shared" si="246"/>
        <v>0.44069999999999998</v>
      </c>
      <c r="Z1742" s="2" t="s">
        <v>3227</v>
      </c>
      <c r="AA1742" s="2" t="s">
        <v>75</v>
      </c>
      <c r="AB1742" s="2" t="s">
        <v>76</v>
      </c>
      <c r="AC1742" s="2" t="s">
        <v>77</v>
      </c>
      <c r="AF1742" s="2">
        <f t="shared" si="243"/>
        <v>0</v>
      </c>
      <c r="AG1742" s="2">
        <v>117.453</v>
      </c>
      <c r="AH1742" s="2">
        <v>220</v>
      </c>
      <c r="AJ1742" s="2">
        <f t="shared" si="244"/>
        <v>0</v>
      </c>
      <c r="AK1742" s="2">
        <f t="shared" si="245"/>
        <v>185.09399999999999</v>
      </c>
      <c r="AL1742" s="5">
        <f t="shared" si="242"/>
        <v>0.44069999999999998</v>
      </c>
    </row>
    <row r="1743" spans="1:38" x14ac:dyDescent="0.2">
      <c r="A1743" s="2">
        <v>2025</v>
      </c>
      <c r="B1743" s="2">
        <v>8</v>
      </c>
      <c r="D1743" s="2" t="s">
        <v>476</v>
      </c>
      <c r="E1743" s="2" t="s">
        <v>108</v>
      </c>
      <c r="F1743" s="2" t="s">
        <v>477</v>
      </c>
      <c r="G1743" s="2">
        <v>500864365</v>
      </c>
      <c r="H1743" s="2" t="s">
        <v>41</v>
      </c>
      <c r="I1743" s="2" t="s">
        <v>478</v>
      </c>
      <c r="J1743" s="2" t="s">
        <v>479</v>
      </c>
      <c r="L1743" s="2" t="s">
        <v>480</v>
      </c>
      <c r="P1743" s="2" t="s">
        <v>93</v>
      </c>
      <c r="Q1743" s="2" t="s">
        <v>94</v>
      </c>
      <c r="R1743" s="2" t="s">
        <v>95</v>
      </c>
      <c r="S1743" s="2">
        <v>2</v>
      </c>
      <c r="T1743" s="2">
        <v>2.2799999999999998</v>
      </c>
      <c r="U1743" s="2">
        <v>0.52439999999999998</v>
      </c>
      <c r="V1743" s="2">
        <v>2.8043999999999998</v>
      </c>
      <c r="W1743" s="2">
        <v>2.2799999999999998</v>
      </c>
      <c r="X1743" s="5">
        <f t="shared" si="246"/>
        <v>0</v>
      </c>
      <c r="Z1743" s="2" t="s">
        <v>3227</v>
      </c>
      <c r="AA1743" s="2" t="s">
        <v>96</v>
      </c>
      <c r="AB1743" s="2" t="s">
        <v>76</v>
      </c>
      <c r="AC1743" s="2" t="s">
        <v>93</v>
      </c>
      <c r="AF1743" s="2">
        <f t="shared" si="243"/>
        <v>0</v>
      </c>
      <c r="AJ1743" s="2">
        <f t="shared" si="244"/>
        <v>0</v>
      </c>
      <c r="AK1743" s="2">
        <f t="shared" si="245"/>
        <v>0</v>
      </c>
      <c r="AL1743" s="5">
        <f t="shared" si="242"/>
        <v>0</v>
      </c>
    </row>
    <row r="1744" spans="1:38" x14ac:dyDescent="0.2">
      <c r="A1744" s="2">
        <v>2025</v>
      </c>
      <c r="B1744" s="2">
        <v>8</v>
      </c>
      <c r="D1744" s="2" t="s">
        <v>843</v>
      </c>
      <c r="E1744" s="2" t="s">
        <v>38</v>
      </c>
      <c r="F1744" s="2" t="s">
        <v>39</v>
      </c>
      <c r="G1744" s="2">
        <v>161685080</v>
      </c>
      <c r="H1744" s="2" t="s">
        <v>41</v>
      </c>
      <c r="I1744" s="2" t="s">
        <v>418</v>
      </c>
      <c r="K1744" s="2" t="s">
        <v>844</v>
      </c>
      <c r="L1744" s="2" t="s">
        <v>418</v>
      </c>
      <c r="M1744" s="2" t="s">
        <v>41</v>
      </c>
      <c r="O1744" s="2" t="s">
        <v>1809</v>
      </c>
      <c r="P1744" s="2" t="s">
        <v>43</v>
      </c>
      <c r="Q1744" s="2" t="s">
        <v>48</v>
      </c>
      <c r="R1744" s="2" t="s">
        <v>49</v>
      </c>
      <c r="S1744" s="2">
        <v>1</v>
      </c>
      <c r="T1744" s="2">
        <v>12</v>
      </c>
      <c r="U1744" s="2">
        <v>2.76</v>
      </c>
      <c r="V1744" s="2">
        <v>14.76</v>
      </c>
      <c r="W1744" s="2">
        <f>6.6267*S1744</f>
        <v>6.6266999999999996</v>
      </c>
      <c r="X1744" s="5">
        <f t="shared" si="246"/>
        <v>0.44777500000000003</v>
      </c>
      <c r="Z1744" s="2" t="s">
        <v>3227</v>
      </c>
      <c r="AA1744" s="2" t="s">
        <v>46</v>
      </c>
      <c r="AB1744" s="2" t="s">
        <v>47</v>
      </c>
      <c r="AC1744" s="2" t="s">
        <v>57</v>
      </c>
      <c r="AF1744" s="2">
        <f t="shared" si="243"/>
        <v>0</v>
      </c>
      <c r="AG1744" s="2">
        <v>6.6266999999999996</v>
      </c>
      <c r="AH1744" s="2">
        <v>12</v>
      </c>
      <c r="AJ1744" s="2">
        <f t="shared" si="244"/>
        <v>0</v>
      </c>
      <c r="AK1744" s="2">
        <f t="shared" si="245"/>
        <v>5.3733000000000004</v>
      </c>
      <c r="AL1744" s="5">
        <f t="shared" si="242"/>
        <v>0.44777500000000003</v>
      </c>
    </row>
    <row r="1745" spans="1:38" x14ac:dyDescent="0.2">
      <c r="A1745" s="2">
        <v>2025</v>
      </c>
      <c r="B1745" s="2">
        <v>8</v>
      </c>
      <c r="D1745" s="2" t="s">
        <v>843</v>
      </c>
      <c r="E1745" s="2" t="s">
        <v>38</v>
      </c>
      <c r="F1745" s="2" t="s">
        <v>39</v>
      </c>
      <c r="G1745" s="2">
        <v>161685080</v>
      </c>
      <c r="H1745" s="2" t="s">
        <v>41</v>
      </c>
      <c r="I1745" s="2" t="s">
        <v>418</v>
      </c>
      <c r="K1745" s="2" t="s">
        <v>844</v>
      </c>
      <c r="L1745" s="2" t="s">
        <v>418</v>
      </c>
      <c r="M1745" s="2" t="s">
        <v>41</v>
      </c>
      <c r="O1745" s="2" t="s">
        <v>1809</v>
      </c>
      <c r="P1745" s="2" t="s">
        <v>43</v>
      </c>
      <c r="Q1745" s="2" t="s">
        <v>54</v>
      </c>
      <c r="R1745" s="2" t="s">
        <v>55</v>
      </c>
      <c r="S1745" s="2">
        <v>2</v>
      </c>
      <c r="T1745" s="2">
        <v>36</v>
      </c>
      <c r="U1745" s="2">
        <v>8.2800000000000011</v>
      </c>
      <c r="V1745" s="2">
        <v>44.28</v>
      </c>
      <c r="W1745" s="2">
        <f>10.6*S1745</f>
        <v>21.2</v>
      </c>
      <c r="X1745" s="5">
        <f t="shared" si="246"/>
        <v>0.41111111111111115</v>
      </c>
      <c r="Z1745" s="2" t="s">
        <v>3227</v>
      </c>
      <c r="AA1745" s="2" t="s">
        <v>46</v>
      </c>
      <c r="AB1745" s="2" t="s">
        <v>56</v>
      </c>
      <c r="AC1745" s="2" t="s">
        <v>57</v>
      </c>
      <c r="AF1745" s="2">
        <f t="shared" si="243"/>
        <v>0</v>
      </c>
      <c r="AG1745" s="2">
        <v>10.6</v>
      </c>
      <c r="AH1745" s="2">
        <v>18</v>
      </c>
      <c r="AJ1745" s="2">
        <f t="shared" si="244"/>
        <v>0</v>
      </c>
      <c r="AK1745" s="2">
        <f t="shared" si="245"/>
        <v>14.8</v>
      </c>
      <c r="AL1745" s="5">
        <f t="shared" si="242"/>
        <v>0.41111111111111115</v>
      </c>
    </row>
    <row r="1746" spans="1:38" x14ac:dyDescent="0.2">
      <c r="A1746" s="2">
        <v>2025</v>
      </c>
      <c r="B1746" s="2">
        <v>8</v>
      </c>
      <c r="D1746" s="2" t="s">
        <v>488</v>
      </c>
      <c r="E1746" s="2" t="s">
        <v>38</v>
      </c>
      <c r="F1746" s="2" t="s">
        <v>39</v>
      </c>
      <c r="G1746" s="2">
        <v>507380312</v>
      </c>
      <c r="H1746" s="2" t="s">
        <v>40</v>
      </c>
      <c r="I1746" s="2" t="s">
        <v>489</v>
      </c>
      <c r="J1746" s="2" t="s">
        <v>490</v>
      </c>
      <c r="K1746" s="2">
        <v>912293443</v>
      </c>
      <c r="L1746" s="2" t="s">
        <v>99</v>
      </c>
      <c r="M1746" s="2" t="s">
        <v>40</v>
      </c>
      <c r="P1746" s="2" t="s">
        <v>40</v>
      </c>
      <c r="Q1746" s="2" t="s">
        <v>491</v>
      </c>
      <c r="R1746" s="2" t="s">
        <v>492</v>
      </c>
      <c r="S1746" s="2">
        <v>1</v>
      </c>
      <c r="T1746" s="2">
        <v>664.04</v>
      </c>
      <c r="U1746" s="2">
        <v>152.72919999999999</v>
      </c>
      <c r="V1746" s="2">
        <v>816.76919999999996</v>
      </c>
      <c r="X1746" s="5">
        <f t="shared" si="246"/>
        <v>1</v>
      </c>
      <c r="Z1746" s="2" t="s">
        <v>119</v>
      </c>
      <c r="AA1746" s="2" t="s">
        <v>492</v>
      </c>
      <c r="AF1746" s="2">
        <f t="shared" si="243"/>
        <v>0</v>
      </c>
      <c r="AJ1746" s="2">
        <f t="shared" si="244"/>
        <v>0</v>
      </c>
      <c r="AK1746" s="2">
        <f t="shared" si="245"/>
        <v>664.04</v>
      </c>
      <c r="AL1746" s="5">
        <f t="shared" si="242"/>
        <v>1</v>
      </c>
    </row>
    <row r="1747" spans="1:38" x14ac:dyDescent="0.2">
      <c r="A1747" s="2">
        <v>2025</v>
      </c>
      <c r="B1747" s="2">
        <v>8</v>
      </c>
      <c r="D1747" s="2" t="s">
        <v>1256</v>
      </c>
      <c r="P1747" s="2" t="s">
        <v>72</v>
      </c>
      <c r="Q1747" s="2" t="s">
        <v>202</v>
      </c>
      <c r="R1747" s="2" t="s">
        <v>197</v>
      </c>
      <c r="S1747" s="8">
        <v>1</v>
      </c>
      <c r="T1747" s="2">
        <v>260</v>
      </c>
      <c r="U1747" s="2">
        <v>59.8</v>
      </c>
      <c r="V1747" s="2">
        <v>319.8</v>
      </c>
      <c r="W1747" s="2">
        <v>152.85</v>
      </c>
      <c r="X1747" s="5">
        <f t="shared" si="246"/>
        <v>0.41211538461538466</v>
      </c>
      <c r="Z1747" s="2" t="s">
        <v>3227</v>
      </c>
      <c r="AA1747" s="2" t="s">
        <v>75</v>
      </c>
      <c r="AB1747" s="2" t="s">
        <v>76</v>
      </c>
      <c r="AC1747" s="2" t="s">
        <v>77</v>
      </c>
      <c r="AF1747" s="2">
        <f t="shared" si="243"/>
        <v>0</v>
      </c>
      <c r="AG1747" s="2">
        <v>152.85</v>
      </c>
      <c r="AH1747" s="2">
        <v>260</v>
      </c>
      <c r="AJ1747" s="2">
        <f t="shared" si="244"/>
        <v>0</v>
      </c>
      <c r="AK1747" s="2">
        <f t="shared" si="245"/>
        <v>107.15</v>
      </c>
      <c r="AL1747" s="5">
        <f t="shared" si="242"/>
        <v>0.41211538461538466</v>
      </c>
    </row>
    <row r="1748" spans="1:38" x14ac:dyDescent="0.2">
      <c r="A1748" s="2">
        <v>2025</v>
      </c>
      <c r="B1748" s="2">
        <v>8</v>
      </c>
      <c r="D1748" s="2" t="s">
        <v>1256</v>
      </c>
      <c r="P1748" s="2" t="s">
        <v>93</v>
      </c>
      <c r="Q1748" s="2" t="s">
        <v>94</v>
      </c>
      <c r="R1748" s="2" t="s">
        <v>95</v>
      </c>
      <c r="S1748" s="2">
        <v>1</v>
      </c>
      <c r="T1748" s="2">
        <v>1.1399999999999999</v>
      </c>
      <c r="U1748" s="2">
        <v>0.26219999999999999</v>
      </c>
      <c r="V1748" s="2">
        <v>1.4021999999999999</v>
      </c>
      <c r="W1748" s="2">
        <v>1.1399999999999999</v>
      </c>
      <c r="X1748" s="5">
        <f t="shared" si="246"/>
        <v>0</v>
      </c>
      <c r="Z1748" s="2" t="s">
        <v>3227</v>
      </c>
      <c r="AA1748" s="2" t="s">
        <v>96</v>
      </c>
      <c r="AB1748" s="2" t="s">
        <v>76</v>
      </c>
      <c r="AC1748" s="2" t="s">
        <v>93</v>
      </c>
      <c r="AF1748" s="2">
        <f t="shared" si="243"/>
        <v>0</v>
      </c>
      <c r="AJ1748" s="2">
        <f t="shared" si="244"/>
        <v>0</v>
      </c>
      <c r="AK1748" s="2">
        <f t="shared" si="245"/>
        <v>0</v>
      </c>
      <c r="AL1748" s="5">
        <f t="shared" si="242"/>
        <v>0</v>
      </c>
    </row>
    <row r="1749" spans="1:38" x14ac:dyDescent="0.2">
      <c r="A1749" s="2">
        <v>2025</v>
      </c>
      <c r="B1749" s="2">
        <v>8</v>
      </c>
      <c r="D1749" s="2" t="s">
        <v>850</v>
      </c>
      <c r="P1749" s="2" t="s">
        <v>72</v>
      </c>
      <c r="Q1749" s="2" t="s">
        <v>556</v>
      </c>
      <c r="R1749" s="2" t="s">
        <v>381</v>
      </c>
      <c r="S1749" s="2">
        <v>1</v>
      </c>
      <c r="T1749" s="2">
        <v>230</v>
      </c>
      <c r="U1749" s="2">
        <v>52.900000000000013</v>
      </c>
      <c r="V1749" s="2">
        <v>282.89999999999998</v>
      </c>
      <c r="W1749" s="2">
        <v>143.91999999999999</v>
      </c>
      <c r="X1749" s="5">
        <f t="shared" si="246"/>
        <v>0.37426086956521742</v>
      </c>
      <c r="Z1749" s="2" t="s">
        <v>3227</v>
      </c>
      <c r="AA1749" s="2" t="s">
        <v>75</v>
      </c>
      <c r="AB1749" s="2" t="s">
        <v>76</v>
      </c>
      <c r="AC1749" s="2" t="s">
        <v>77</v>
      </c>
      <c r="AF1749" s="2">
        <f t="shared" si="243"/>
        <v>0</v>
      </c>
      <c r="AJ1749" s="2">
        <f t="shared" si="244"/>
        <v>0</v>
      </c>
      <c r="AK1749" s="2">
        <f t="shared" si="245"/>
        <v>86.080000000000013</v>
      </c>
      <c r="AL1749" s="5">
        <f t="shared" ref="AL1749:AL1780" si="247">(T1749-W1749)/T1749</f>
        <v>0.37426086956521742</v>
      </c>
    </row>
    <row r="1750" spans="1:38" x14ac:dyDescent="0.2">
      <c r="A1750" s="2">
        <v>2025</v>
      </c>
      <c r="B1750" s="2">
        <v>8</v>
      </c>
      <c r="D1750" s="2" t="s">
        <v>850</v>
      </c>
      <c r="M1750" s="2" t="s">
        <v>40</v>
      </c>
      <c r="P1750" s="2" t="s">
        <v>187</v>
      </c>
      <c r="Q1750" s="2" t="s">
        <v>1308</v>
      </c>
      <c r="R1750" s="2" t="s">
        <v>1309</v>
      </c>
      <c r="S1750" s="2">
        <v>1</v>
      </c>
      <c r="T1750" s="2">
        <v>0</v>
      </c>
      <c r="U1750" s="2">
        <v>0</v>
      </c>
      <c r="V1750" s="2">
        <v>0</v>
      </c>
      <c r="X1750" s="5" t="e">
        <f t="shared" si="246"/>
        <v>#DIV/0!</v>
      </c>
      <c r="Z1750" s="2" t="s">
        <v>117</v>
      </c>
      <c r="AA1750" s="2" t="s">
        <v>1310</v>
      </c>
      <c r="AF1750" s="2">
        <f t="shared" si="243"/>
        <v>0</v>
      </c>
      <c r="AJ1750" s="2">
        <f t="shared" si="244"/>
        <v>0</v>
      </c>
      <c r="AK1750" s="2">
        <f t="shared" si="245"/>
        <v>0</v>
      </c>
      <c r="AL1750" s="5" t="e">
        <f t="shared" si="247"/>
        <v>#DIV/0!</v>
      </c>
    </row>
    <row r="1751" spans="1:38" x14ac:dyDescent="0.2">
      <c r="A1751" s="2">
        <v>2025</v>
      </c>
      <c r="B1751" s="2">
        <v>8</v>
      </c>
      <c r="D1751" s="2" t="s">
        <v>850</v>
      </c>
      <c r="P1751" s="2" t="s">
        <v>93</v>
      </c>
      <c r="Q1751" s="2" t="s">
        <v>94</v>
      </c>
      <c r="R1751" s="2" t="s">
        <v>95</v>
      </c>
      <c r="S1751" s="2">
        <v>1</v>
      </c>
      <c r="T1751" s="2">
        <v>1.1399999999999999</v>
      </c>
      <c r="U1751" s="2">
        <v>0.26219999999999999</v>
      </c>
      <c r="V1751" s="2">
        <v>1.4021999999999999</v>
      </c>
      <c r="W1751" s="2">
        <v>1.1399999999999999</v>
      </c>
      <c r="X1751" s="5">
        <f t="shared" si="246"/>
        <v>0</v>
      </c>
      <c r="Z1751" s="2" t="s">
        <v>3227</v>
      </c>
      <c r="AA1751" s="2" t="s">
        <v>96</v>
      </c>
      <c r="AB1751" s="2" t="s">
        <v>76</v>
      </c>
      <c r="AC1751" s="2" t="s">
        <v>93</v>
      </c>
      <c r="AF1751" s="2">
        <f t="shared" si="243"/>
        <v>0</v>
      </c>
      <c r="AJ1751" s="2">
        <f t="shared" si="244"/>
        <v>0</v>
      </c>
      <c r="AK1751" s="2">
        <f t="shared" si="245"/>
        <v>0</v>
      </c>
      <c r="AL1751" s="5">
        <f t="shared" si="247"/>
        <v>0</v>
      </c>
    </row>
    <row r="1752" spans="1:38" x14ac:dyDescent="0.2">
      <c r="A1752" s="2">
        <v>2025</v>
      </c>
      <c r="B1752" s="2">
        <v>8</v>
      </c>
      <c r="D1752" s="2" t="s">
        <v>853</v>
      </c>
      <c r="E1752" s="2" t="s">
        <v>108</v>
      </c>
      <c r="F1752" s="2" t="s">
        <v>39</v>
      </c>
      <c r="G1752" s="2">
        <v>505128128</v>
      </c>
      <c r="H1752" s="2" t="s">
        <v>41</v>
      </c>
      <c r="I1752" s="2" t="s">
        <v>854</v>
      </c>
      <c r="J1752" s="2" t="s">
        <v>855</v>
      </c>
      <c r="K1752" s="2">
        <v>917665950</v>
      </c>
      <c r="L1752" s="2" t="s">
        <v>99</v>
      </c>
      <c r="M1752" s="2" t="s">
        <v>41</v>
      </c>
      <c r="O1752" s="2" t="s">
        <v>1810</v>
      </c>
      <c r="P1752" s="2" t="s">
        <v>43</v>
      </c>
      <c r="Q1752" s="2" t="s">
        <v>160</v>
      </c>
      <c r="R1752" s="2" t="s">
        <v>161</v>
      </c>
      <c r="S1752" s="2">
        <v>1</v>
      </c>
      <c r="T1752" s="2">
        <v>7.8</v>
      </c>
      <c r="U1752" s="2">
        <v>1.794</v>
      </c>
      <c r="V1752" s="2">
        <v>9.5939999999999994</v>
      </c>
      <c r="W1752" s="2">
        <f>3.7358*S1752</f>
        <v>3.7357999999999998</v>
      </c>
      <c r="X1752" s="5">
        <f t="shared" si="246"/>
        <v>0.52105128205128204</v>
      </c>
      <c r="Z1752" s="2" t="s">
        <v>3227</v>
      </c>
      <c r="AA1752" s="2" t="s">
        <v>46</v>
      </c>
      <c r="AB1752" s="2" t="s">
        <v>47</v>
      </c>
      <c r="AC1752" s="2" t="s">
        <v>57</v>
      </c>
      <c r="AF1752" s="2">
        <f t="shared" si="243"/>
        <v>0</v>
      </c>
      <c r="AG1752" s="2">
        <v>3.7357999999999998</v>
      </c>
      <c r="AH1752" s="2">
        <v>9</v>
      </c>
      <c r="AJ1752" s="2">
        <f t="shared" si="244"/>
        <v>0</v>
      </c>
      <c r="AK1752" s="2">
        <f t="shared" si="245"/>
        <v>4.0641999999999996</v>
      </c>
      <c r="AL1752" s="5">
        <f t="shared" si="247"/>
        <v>0.52105128205128204</v>
      </c>
    </row>
    <row r="1753" spans="1:38" x14ac:dyDescent="0.2">
      <c r="A1753" s="2">
        <v>2025</v>
      </c>
      <c r="B1753" s="2">
        <v>8</v>
      </c>
      <c r="D1753" s="2" t="s">
        <v>861</v>
      </c>
      <c r="P1753" s="2" t="s">
        <v>282</v>
      </c>
      <c r="Q1753" s="2" t="s">
        <v>1811</v>
      </c>
      <c r="R1753" s="2" t="s">
        <v>1812</v>
      </c>
      <c r="S1753" s="2">
        <v>1</v>
      </c>
      <c r="T1753" s="2">
        <v>1190</v>
      </c>
      <c r="U1753" s="2">
        <v>273.7</v>
      </c>
      <c r="V1753" s="2">
        <v>1463.7</v>
      </c>
      <c r="X1753" s="5">
        <f t="shared" si="246"/>
        <v>1</v>
      </c>
      <c r="Z1753" s="2" t="s">
        <v>3227</v>
      </c>
      <c r="AA1753" s="2" t="s">
        <v>71</v>
      </c>
      <c r="AB1753" s="2" t="s">
        <v>1600</v>
      </c>
      <c r="AC1753" s="2" t="s">
        <v>1600</v>
      </c>
      <c r="AF1753" s="2">
        <f t="shared" si="243"/>
        <v>0</v>
      </c>
      <c r="AJ1753" s="2">
        <f t="shared" si="244"/>
        <v>0</v>
      </c>
      <c r="AK1753" s="2">
        <f t="shared" si="245"/>
        <v>1190</v>
      </c>
      <c r="AL1753" s="5">
        <f t="shared" si="247"/>
        <v>1</v>
      </c>
    </row>
    <row r="1754" spans="1:38" x14ac:dyDescent="0.2">
      <c r="A1754" s="2">
        <v>2025</v>
      </c>
      <c r="B1754" s="2">
        <v>8</v>
      </c>
      <c r="D1754" s="2" t="s">
        <v>500</v>
      </c>
      <c r="E1754" s="2" t="s">
        <v>38</v>
      </c>
      <c r="F1754" s="2" t="s">
        <v>39</v>
      </c>
      <c r="G1754" s="2">
        <v>513244468</v>
      </c>
      <c r="H1754" s="2" t="s">
        <v>41</v>
      </c>
      <c r="I1754" s="2" t="s">
        <v>501</v>
      </c>
      <c r="J1754" s="2" t="s">
        <v>502</v>
      </c>
      <c r="K1754" s="2">
        <v>918010109</v>
      </c>
      <c r="L1754" s="2" t="s">
        <v>99</v>
      </c>
      <c r="M1754" s="2" t="s">
        <v>41</v>
      </c>
      <c r="P1754" s="2" t="s">
        <v>282</v>
      </c>
      <c r="Q1754" s="2" t="s">
        <v>1813</v>
      </c>
      <c r="R1754" s="2" t="s">
        <v>1814</v>
      </c>
      <c r="S1754" s="2">
        <v>1</v>
      </c>
      <c r="T1754" s="2">
        <v>21.9</v>
      </c>
      <c r="U1754" s="2">
        <v>5.0369999999999999</v>
      </c>
      <c r="V1754" s="2">
        <v>26.937000000000001</v>
      </c>
      <c r="X1754" s="5">
        <f t="shared" si="246"/>
        <v>1</v>
      </c>
      <c r="Z1754" s="2" t="s">
        <v>3227</v>
      </c>
      <c r="AA1754" s="2" t="s">
        <v>71</v>
      </c>
      <c r="AB1754" s="2" t="s">
        <v>1600</v>
      </c>
      <c r="AC1754" s="2" t="s">
        <v>1600</v>
      </c>
      <c r="AF1754" s="2">
        <f t="shared" si="243"/>
        <v>0</v>
      </c>
      <c r="AJ1754" s="2">
        <f t="shared" si="244"/>
        <v>0</v>
      </c>
      <c r="AK1754" s="2">
        <f t="shared" si="245"/>
        <v>21.9</v>
      </c>
      <c r="AL1754" s="5">
        <f t="shared" si="247"/>
        <v>1</v>
      </c>
    </row>
    <row r="1755" spans="1:38" x14ac:dyDescent="0.2">
      <c r="A1755" s="2">
        <v>2025</v>
      </c>
      <c r="B1755" s="2">
        <v>8</v>
      </c>
      <c r="D1755" s="2" t="s">
        <v>500</v>
      </c>
      <c r="E1755" s="2" t="s">
        <v>38</v>
      </c>
      <c r="F1755" s="2" t="s">
        <v>39</v>
      </c>
      <c r="G1755" s="2">
        <v>513244468</v>
      </c>
      <c r="H1755" s="2" t="s">
        <v>41</v>
      </c>
      <c r="I1755" s="2" t="s">
        <v>501</v>
      </c>
      <c r="J1755" s="2" t="s">
        <v>502</v>
      </c>
      <c r="K1755" s="2">
        <v>918010109</v>
      </c>
      <c r="L1755" s="2" t="s">
        <v>99</v>
      </c>
      <c r="M1755" s="2" t="s">
        <v>41</v>
      </c>
      <c r="P1755" s="2" t="s">
        <v>282</v>
      </c>
      <c r="Q1755" s="2" t="s">
        <v>1815</v>
      </c>
      <c r="R1755" s="2" t="s">
        <v>1816</v>
      </c>
      <c r="S1755" s="2">
        <v>1</v>
      </c>
      <c r="T1755" s="2">
        <v>36.9</v>
      </c>
      <c r="U1755" s="2">
        <v>8.4870000000000001</v>
      </c>
      <c r="V1755" s="2">
        <v>45.387</v>
      </c>
      <c r="X1755" s="5">
        <f t="shared" si="246"/>
        <v>1</v>
      </c>
      <c r="Z1755" s="2" t="s">
        <v>3227</v>
      </c>
      <c r="AA1755" s="2" t="s">
        <v>71</v>
      </c>
      <c r="AB1755" s="2" t="s">
        <v>1600</v>
      </c>
      <c r="AC1755" s="2" t="s">
        <v>1600</v>
      </c>
      <c r="AF1755" s="2">
        <f t="shared" si="243"/>
        <v>0</v>
      </c>
      <c r="AJ1755" s="2">
        <f t="shared" si="244"/>
        <v>0</v>
      </c>
      <c r="AK1755" s="2">
        <f t="shared" si="245"/>
        <v>36.9</v>
      </c>
      <c r="AL1755" s="5">
        <f t="shared" si="247"/>
        <v>1</v>
      </c>
    </row>
    <row r="1756" spans="1:38" x14ac:dyDescent="0.2">
      <c r="A1756" s="2">
        <v>2025</v>
      </c>
      <c r="B1756" s="2">
        <v>8</v>
      </c>
      <c r="D1756" s="2" t="s">
        <v>500</v>
      </c>
      <c r="E1756" s="2" t="s">
        <v>38</v>
      </c>
      <c r="F1756" s="2" t="s">
        <v>39</v>
      </c>
      <c r="G1756" s="2">
        <v>513244468</v>
      </c>
      <c r="H1756" s="2" t="s">
        <v>41</v>
      </c>
      <c r="I1756" s="2" t="s">
        <v>501</v>
      </c>
      <c r="J1756" s="2" t="s">
        <v>502</v>
      </c>
      <c r="K1756" s="2">
        <v>918010109</v>
      </c>
      <c r="L1756" s="2" t="s">
        <v>99</v>
      </c>
      <c r="M1756" s="2" t="s">
        <v>41</v>
      </c>
      <c r="P1756" s="2" t="s">
        <v>282</v>
      </c>
      <c r="Q1756" s="2" t="s">
        <v>1817</v>
      </c>
      <c r="R1756" s="2" t="s">
        <v>1818</v>
      </c>
      <c r="S1756" s="2">
        <v>1</v>
      </c>
      <c r="T1756" s="2">
        <v>8.1999999999999993</v>
      </c>
      <c r="U1756" s="2">
        <v>1.8859999999999999</v>
      </c>
      <c r="V1756" s="2">
        <v>10.086</v>
      </c>
      <c r="X1756" s="5">
        <f t="shared" si="246"/>
        <v>1</v>
      </c>
      <c r="Z1756" s="2" t="s">
        <v>3227</v>
      </c>
      <c r="AF1756" s="2">
        <f t="shared" si="243"/>
        <v>0</v>
      </c>
      <c r="AJ1756" s="2">
        <f t="shared" si="244"/>
        <v>0</v>
      </c>
      <c r="AK1756" s="2">
        <f t="shared" si="245"/>
        <v>8.1999999999999993</v>
      </c>
      <c r="AL1756" s="5">
        <f t="shared" si="247"/>
        <v>1</v>
      </c>
    </row>
    <row r="1757" spans="1:38" x14ac:dyDescent="0.2">
      <c r="A1757" s="2">
        <v>2025</v>
      </c>
      <c r="B1757" s="2">
        <v>8</v>
      </c>
      <c r="D1757" s="2" t="s">
        <v>500</v>
      </c>
      <c r="E1757" s="2" t="s">
        <v>38</v>
      </c>
      <c r="F1757" s="2" t="s">
        <v>39</v>
      </c>
      <c r="G1757" s="2">
        <v>513244468</v>
      </c>
      <c r="H1757" s="2" t="s">
        <v>41</v>
      </c>
      <c r="I1757" s="2" t="s">
        <v>501</v>
      </c>
      <c r="J1757" s="2" t="s">
        <v>502</v>
      </c>
      <c r="K1757" s="2">
        <v>918010109</v>
      </c>
      <c r="L1757" s="2" t="s">
        <v>99</v>
      </c>
      <c r="M1757" s="2" t="s">
        <v>41</v>
      </c>
      <c r="P1757" s="2" t="s">
        <v>282</v>
      </c>
      <c r="Q1757" s="2" t="s">
        <v>1819</v>
      </c>
      <c r="R1757" s="2" t="s">
        <v>1820</v>
      </c>
      <c r="S1757" s="2">
        <v>1</v>
      </c>
      <c r="T1757" s="2">
        <v>7.2</v>
      </c>
      <c r="U1757" s="2">
        <v>1.6559999999999999</v>
      </c>
      <c r="V1757" s="2">
        <v>8.8559999999999999</v>
      </c>
      <c r="X1757" s="5">
        <f t="shared" si="246"/>
        <v>1</v>
      </c>
      <c r="Z1757" s="2" t="s">
        <v>3227</v>
      </c>
      <c r="AF1757" s="2">
        <f t="shared" si="243"/>
        <v>0</v>
      </c>
      <c r="AJ1757" s="2">
        <f t="shared" si="244"/>
        <v>0</v>
      </c>
      <c r="AK1757" s="2">
        <f t="shared" si="245"/>
        <v>7.2</v>
      </c>
      <c r="AL1757" s="5">
        <f t="shared" si="247"/>
        <v>1</v>
      </c>
    </row>
    <row r="1758" spans="1:38" x14ac:dyDescent="0.2">
      <c r="A1758" s="2">
        <v>2025</v>
      </c>
      <c r="B1758" s="2">
        <v>8</v>
      </c>
      <c r="D1758" s="2" t="s">
        <v>500</v>
      </c>
      <c r="E1758" s="2" t="s">
        <v>38</v>
      </c>
      <c r="F1758" s="2" t="s">
        <v>39</v>
      </c>
      <c r="G1758" s="2">
        <v>513244468</v>
      </c>
      <c r="H1758" s="2" t="s">
        <v>41</v>
      </c>
      <c r="I1758" s="2" t="s">
        <v>501</v>
      </c>
      <c r="J1758" s="2" t="s">
        <v>502</v>
      </c>
      <c r="K1758" s="2">
        <v>918010109</v>
      </c>
      <c r="L1758" s="2" t="s">
        <v>99</v>
      </c>
      <c r="M1758" s="2" t="s">
        <v>41</v>
      </c>
      <c r="P1758" s="2" t="s">
        <v>282</v>
      </c>
      <c r="Q1758" s="2" t="s">
        <v>1063</v>
      </c>
      <c r="R1758" s="2" t="s">
        <v>1064</v>
      </c>
      <c r="S1758" s="2">
        <v>1</v>
      </c>
      <c r="T1758" s="2">
        <v>28.9</v>
      </c>
      <c r="U1758" s="2">
        <v>6.6470000000000002</v>
      </c>
      <c r="V1758" s="2">
        <v>35.546999999999997</v>
      </c>
      <c r="X1758" s="5">
        <f t="shared" si="246"/>
        <v>1</v>
      </c>
      <c r="Z1758" s="2" t="s">
        <v>3227</v>
      </c>
      <c r="AF1758" s="2">
        <f t="shared" si="243"/>
        <v>0</v>
      </c>
      <c r="AJ1758" s="2">
        <f t="shared" si="244"/>
        <v>0</v>
      </c>
      <c r="AK1758" s="2">
        <f t="shared" si="245"/>
        <v>28.9</v>
      </c>
      <c r="AL1758" s="5">
        <f t="shared" si="247"/>
        <v>1</v>
      </c>
    </row>
    <row r="1759" spans="1:38" x14ac:dyDescent="0.2">
      <c r="A1759" s="2">
        <v>2025</v>
      </c>
      <c r="B1759" s="2">
        <v>8</v>
      </c>
      <c r="D1759" s="2" t="s">
        <v>1065</v>
      </c>
      <c r="E1759" s="2" t="s">
        <v>108</v>
      </c>
      <c r="F1759" s="2" t="s">
        <v>39</v>
      </c>
      <c r="L1759" s="2" t="s">
        <v>99</v>
      </c>
      <c r="M1759" s="2" t="s">
        <v>41</v>
      </c>
      <c r="P1759" s="2" t="s">
        <v>43</v>
      </c>
      <c r="Q1759" s="2" t="s">
        <v>61</v>
      </c>
      <c r="R1759" s="2" t="s">
        <v>62</v>
      </c>
      <c r="S1759" s="2">
        <v>1000</v>
      </c>
      <c r="T1759" s="2">
        <v>105</v>
      </c>
      <c r="U1759" s="2">
        <v>24.15</v>
      </c>
      <c r="V1759" s="2">
        <v>129.15</v>
      </c>
      <c r="W1759" s="2">
        <f>0.082*S1759</f>
        <v>82</v>
      </c>
      <c r="X1759" s="5">
        <f t="shared" si="246"/>
        <v>0.21904761904761905</v>
      </c>
      <c r="Z1759" s="2" t="s">
        <v>3227</v>
      </c>
      <c r="AA1759" s="2" t="s">
        <v>46</v>
      </c>
      <c r="AB1759" s="2" t="s">
        <v>60</v>
      </c>
      <c r="AC1759" s="2" t="s">
        <v>57</v>
      </c>
      <c r="AF1759" s="2">
        <f t="shared" si="243"/>
        <v>0</v>
      </c>
      <c r="AG1759" s="2">
        <v>8.1999999999999993</v>
      </c>
      <c r="AH1759" s="2">
        <v>13</v>
      </c>
      <c r="AJ1759" s="2">
        <f t="shared" si="244"/>
        <v>0</v>
      </c>
      <c r="AK1759" s="2">
        <f t="shared" si="245"/>
        <v>23</v>
      </c>
      <c r="AL1759" s="5">
        <f t="shared" si="247"/>
        <v>0.21904761904761905</v>
      </c>
    </row>
    <row r="1760" spans="1:38" x14ac:dyDescent="0.2">
      <c r="A1760" s="2">
        <v>2025</v>
      </c>
      <c r="B1760" s="2">
        <v>8</v>
      </c>
      <c r="D1760" s="2" t="s">
        <v>1065</v>
      </c>
      <c r="E1760" s="2" t="s">
        <v>108</v>
      </c>
      <c r="F1760" s="2" t="s">
        <v>39</v>
      </c>
      <c r="L1760" s="2" t="s">
        <v>99</v>
      </c>
      <c r="M1760" s="2" t="s">
        <v>41</v>
      </c>
      <c r="P1760" s="2" t="s">
        <v>43</v>
      </c>
      <c r="Q1760" s="2" t="s">
        <v>65</v>
      </c>
      <c r="R1760" s="2" t="s">
        <v>66</v>
      </c>
      <c r="S1760" s="2">
        <v>6</v>
      </c>
      <c r="T1760" s="2">
        <v>126</v>
      </c>
      <c r="U1760" s="2">
        <v>28.98</v>
      </c>
      <c r="V1760" s="2">
        <v>154.97999999999999</v>
      </c>
      <c r="W1760" s="2">
        <f>15.0203*S1760</f>
        <v>90.121800000000007</v>
      </c>
      <c r="X1760" s="5">
        <f t="shared" si="246"/>
        <v>0.28474761904761897</v>
      </c>
      <c r="Z1760" s="2" t="s">
        <v>3227</v>
      </c>
      <c r="AA1760" s="2" t="s">
        <v>46</v>
      </c>
      <c r="AB1760" s="2" t="s">
        <v>67</v>
      </c>
      <c r="AC1760" s="2" t="s">
        <v>57</v>
      </c>
      <c r="AF1760" s="2">
        <f t="shared" si="243"/>
        <v>0</v>
      </c>
      <c r="AG1760" s="2">
        <v>15.020300000000001</v>
      </c>
      <c r="AH1760" s="2">
        <v>27.6</v>
      </c>
      <c r="AJ1760" s="2">
        <f t="shared" si="244"/>
        <v>0</v>
      </c>
      <c r="AK1760" s="2">
        <f t="shared" si="245"/>
        <v>35.878199999999993</v>
      </c>
      <c r="AL1760" s="5">
        <f t="shared" si="247"/>
        <v>0.28474761904761897</v>
      </c>
    </row>
    <row r="1761" spans="1:38" x14ac:dyDescent="0.2">
      <c r="A1761" s="2">
        <v>2025</v>
      </c>
      <c r="B1761" s="2">
        <v>8</v>
      </c>
      <c r="D1761" s="2" t="s">
        <v>1821</v>
      </c>
      <c r="M1761" s="2" t="s">
        <v>40</v>
      </c>
      <c r="P1761" s="2" t="s">
        <v>187</v>
      </c>
      <c r="Q1761" s="2" t="s">
        <v>188</v>
      </c>
      <c r="R1761" s="2" t="s">
        <v>189</v>
      </c>
      <c r="S1761" s="2">
        <v>1</v>
      </c>
      <c r="T1761" s="2">
        <v>50</v>
      </c>
      <c r="U1761" s="2">
        <v>11.5</v>
      </c>
      <c r="V1761" s="2">
        <v>61.5</v>
      </c>
      <c r="W1761" s="2">
        <f>T1761*40%</f>
        <v>20</v>
      </c>
      <c r="X1761" s="5">
        <f t="shared" si="246"/>
        <v>0.6</v>
      </c>
      <c r="Z1761" s="2" t="s">
        <v>117</v>
      </c>
      <c r="AA1761" s="2" t="s">
        <v>190</v>
      </c>
      <c r="AB1761" s="2" t="s">
        <v>189</v>
      </c>
      <c r="AC1761" s="2" t="s">
        <v>40</v>
      </c>
      <c r="AF1761" s="2">
        <f t="shared" si="243"/>
        <v>0</v>
      </c>
      <c r="AJ1761" s="2">
        <f t="shared" si="244"/>
        <v>0</v>
      </c>
      <c r="AK1761" s="2">
        <f t="shared" si="245"/>
        <v>30</v>
      </c>
      <c r="AL1761" s="5">
        <f t="shared" si="247"/>
        <v>0.6</v>
      </c>
    </row>
    <row r="1762" spans="1:38" x14ac:dyDescent="0.2">
      <c r="A1762" s="2">
        <v>2025</v>
      </c>
      <c r="B1762" s="2">
        <v>8</v>
      </c>
      <c r="D1762" s="2" t="s">
        <v>1821</v>
      </c>
      <c r="M1762" s="2" t="s">
        <v>40</v>
      </c>
      <c r="P1762" s="2" t="s">
        <v>187</v>
      </c>
      <c r="Q1762" s="2" t="s">
        <v>191</v>
      </c>
      <c r="R1762" s="2" t="s">
        <v>190</v>
      </c>
      <c r="S1762" s="2">
        <v>1</v>
      </c>
      <c r="T1762" s="2">
        <v>50</v>
      </c>
      <c r="U1762" s="2">
        <v>11.5</v>
      </c>
      <c r="V1762" s="2">
        <v>61.5</v>
      </c>
      <c r="W1762" s="2">
        <f>T1762*50%</f>
        <v>25</v>
      </c>
      <c r="X1762" s="5">
        <f t="shared" si="246"/>
        <v>0.5</v>
      </c>
      <c r="Z1762" s="2" t="s">
        <v>117</v>
      </c>
      <c r="AA1762" s="2" t="s">
        <v>190</v>
      </c>
      <c r="AB1762" s="2" t="s">
        <v>190</v>
      </c>
      <c r="AC1762" s="2" t="s">
        <v>40</v>
      </c>
      <c r="AF1762" s="2">
        <f t="shared" si="243"/>
        <v>0</v>
      </c>
      <c r="AJ1762" s="2">
        <f t="shared" si="244"/>
        <v>0</v>
      </c>
      <c r="AK1762" s="2">
        <f t="shared" si="245"/>
        <v>25</v>
      </c>
      <c r="AL1762" s="5">
        <f t="shared" si="247"/>
        <v>0.5</v>
      </c>
    </row>
    <row r="1763" spans="1:38" x14ac:dyDescent="0.2">
      <c r="A1763" s="2">
        <v>2025</v>
      </c>
      <c r="B1763" s="2">
        <v>8</v>
      </c>
      <c r="D1763" s="2" t="s">
        <v>509</v>
      </c>
      <c r="E1763" s="2" t="s">
        <v>38</v>
      </c>
      <c r="F1763" s="2" t="s">
        <v>39</v>
      </c>
      <c r="G1763" s="2">
        <v>513405020</v>
      </c>
      <c r="H1763" s="2" t="s">
        <v>40</v>
      </c>
      <c r="I1763" s="2" t="s">
        <v>156</v>
      </c>
      <c r="J1763" s="2" t="s">
        <v>510</v>
      </c>
      <c r="K1763" s="2">
        <v>919770433</v>
      </c>
      <c r="L1763" s="2" t="s">
        <v>99</v>
      </c>
      <c r="P1763" s="2" t="s">
        <v>43</v>
      </c>
      <c r="Q1763" s="2" t="s">
        <v>232</v>
      </c>
      <c r="R1763" s="2" t="s">
        <v>233</v>
      </c>
      <c r="S1763" s="2">
        <v>1</v>
      </c>
      <c r="T1763" s="2">
        <v>12</v>
      </c>
      <c r="U1763" s="2">
        <v>2.76</v>
      </c>
      <c r="V1763" s="2">
        <v>14.76</v>
      </c>
      <c r="W1763" s="2">
        <v>5.9066999999999998</v>
      </c>
      <c r="X1763" s="5">
        <f t="shared" si="246"/>
        <v>0.50777499999999998</v>
      </c>
      <c r="Z1763" s="2" t="s">
        <v>3227</v>
      </c>
      <c r="AA1763" s="2" t="s">
        <v>46</v>
      </c>
      <c r="AB1763" s="2" t="s">
        <v>56</v>
      </c>
      <c r="AC1763" s="2" t="s">
        <v>57</v>
      </c>
      <c r="AF1763" s="2">
        <f t="shared" si="243"/>
        <v>0</v>
      </c>
      <c r="AG1763" s="2">
        <v>5.9066999999999998</v>
      </c>
      <c r="AH1763" s="2">
        <v>12.6</v>
      </c>
      <c r="AJ1763" s="2">
        <f t="shared" si="244"/>
        <v>0</v>
      </c>
      <c r="AK1763" s="2">
        <f t="shared" si="245"/>
        <v>6.0933000000000002</v>
      </c>
      <c r="AL1763" s="5">
        <f t="shared" si="247"/>
        <v>0.50777499999999998</v>
      </c>
    </row>
    <row r="1764" spans="1:38" x14ac:dyDescent="0.2">
      <c r="A1764" s="2">
        <v>2025</v>
      </c>
      <c r="B1764" s="2">
        <v>8</v>
      </c>
      <c r="C1764" s="2" t="s">
        <v>3471</v>
      </c>
      <c r="D1764" s="2" t="s">
        <v>509</v>
      </c>
      <c r="E1764" s="2" t="s">
        <v>38</v>
      </c>
      <c r="F1764" s="2" t="s">
        <v>39</v>
      </c>
      <c r="G1764" s="2">
        <v>513405020</v>
      </c>
      <c r="H1764" s="2" t="s">
        <v>40</v>
      </c>
      <c r="I1764" s="2" t="s">
        <v>156</v>
      </c>
      <c r="J1764" s="2" t="s">
        <v>510</v>
      </c>
      <c r="K1764" s="2">
        <v>919770433</v>
      </c>
      <c r="L1764" s="2" t="s">
        <v>99</v>
      </c>
      <c r="M1764" s="2" t="s">
        <v>80</v>
      </c>
      <c r="P1764" s="2" t="s">
        <v>43</v>
      </c>
      <c r="Q1764" s="2" t="s">
        <v>234</v>
      </c>
      <c r="R1764" s="2" t="s">
        <v>235</v>
      </c>
      <c r="S1764" s="2">
        <v>1</v>
      </c>
      <c r="T1764" s="2">
        <v>13.2</v>
      </c>
      <c r="U1764" s="2">
        <v>3.036</v>
      </c>
      <c r="V1764" s="2">
        <v>16.236000000000001</v>
      </c>
      <c r="W1764" s="2">
        <v>7.2217000000000002</v>
      </c>
      <c r="X1764" s="5">
        <f t="shared" si="246"/>
        <v>0.45290151515151511</v>
      </c>
      <c r="Z1764" s="2" t="s">
        <v>3227</v>
      </c>
      <c r="AA1764" s="2" t="s">
        <v>46</v>
      </c>
      <c r="AB1764" s="2" t="s">
        <v>56</v>
      </c>
      <c r="AC1764" s="2" t="s">
        <v>57</v>
      </c>
      <c r="AF1764" s="2">
        <f t="shared" si="243"/>
        <v>0</v>
      </c>
      <c r="AG1764" s="2">
        <v>7.2217000000000002</v>
      </c>
      <c r="AH1764" s="2">
        <v>14.4</v>
      </c>
      <c r="AJ1764" s="2">
        <f t="shared" si="244"/>
        <v>0</v>
      </c>
      <c r="AK1764" s="2">
        <f t="shared" ref="AK1764:AK1792" si="248">T1764-W1764</f>
        <v>5.9782999999999991</v>
      </c>
      <c r="AL1764" s="5">
        <f t="shared" si="247"/>
        <v>0.45290151515151511</v>
      </c>
    </row>
    <row r="1765" spans="1:38" x14ac:dyDescent="0.2">
      <c r="A1765" s="2">
        <v>2025</v>
      </c>
      <c r="B1765" s="2">
        <v>8</v>
      </c>
      <c r="D1765" s="2" t="s">
        <v>509</v>
      </c>
      <c r="E1765" s="2" t="s">
        <v>38</v>
      </c>
      <c r="F1765" s="2" t="s">
        <v>39</v>
      </c>
      <c r="G1765" s="2">
        <v>513405020</v>
      </c>
      <c r="H1765" s="2" t="s">
        <v>40</v>
      </c>
      <c r="I1765" s="2" t="s">
        <v>156</v>
      </c>
      <c r="J1765" s="2" t="s">
        <v>510</v>
      </c>
      <c r="K1765" s="2">
        <v>919770433</v>
      </c>
      <c r="L1765" s="2" t="s">
        <v>99</v>
      </c>
      <c r="P1765" s="2" t="s">
        <v>43</v>
      </c>
      <c r="Q1765" s="2" t="s">
        <v>65</v>
      </c>
      <c r="R1765" s="2" t="s">
        <v>66</v>
      </c>
      <c r="S1765" s="2">
        <v>1</v>
      </c>
      <c r="T1765" s="2">
        <v>26.4</v>
      </c>
      <c r="U1765" s="2">
        <v>6.0720000000000001</v>
      </c>
      <c r="V1765" s="2">
        <v>32.472000000000001</v>
      </c>
      <c r="W1765" s="2">
        <f>15.0203*S1765</f>
        <v>15.020300000000001</v>
      </c>
      <c r="X1765" s="5">
        <f t="shared" si="246"/>
        <v>0.43104924242424236</v>
      </c>
      <c r="Z1765" s="2" t="s">
        <v>3227</v>
      </c>
      <c r="AA1765" s="2" t="s">
        <v>46</v>
      </c>
      <c r="AB1765" s="2" t="s">
        <v>67</v>
      </c>
      <c r="AC1765" s="2" t="s">
        <v>57</v>
      </c>
      <c r="AF1765" s="2">
        <f t="shared" si="243"/>
        <v>0</v>
      </c>
      <c r="AG1765" s="2">
        <v>15.020300000000001</v>
      </c>
      <c r="AH1765" s="2">
        <v>27.6</v>
      </c>
      <c r="AJ1765" s="2">
        <f t="shared" si="244"/>
        <v>0</v>
      </c>
      <c r="AK1765" s="2">
        <f t="shared" si="248"/>
        <v>11.379699999999998</v>
      </c>
      <c r="AL1765" s="5">
        <f t="shared" si="247"/>
        <v>0.43104924242424236</v>
      </c>
    </row>
    <row r="1766" spans="1:38" x14ac:dyDescent="0.2">
      <c r="A1766" s="2">
        <v>2025</v>
      </c>
      <c r="B1766" s="2">
        <v>8</v>
      </c>
      <c r="D1766" s="2" t="s">
        <v>1590</v>
      </c>
      <c r="P1766" s="2" t="s">
        <v>114</v>
      </c>
      <c r="Q1766" s="2" t="s">
        <v>1591</v>
      </c>
      <c r="R1766" s="2" t="s">
        <v>1592</v>
      </c>
      <c r="S1766" s="2">
        <v>1</v>
      </c>
      <c r="T1766" s="2">
        <v>46.59</v>
      </c>
      <c r="U1766" s="2">
        <v>10.7157</v>
      </c>
      <c r="V1766" s="2">
        <v>57.305700000000002</v>
      </c>
      <c r="X1766" s="5">
        <f t="shared" ref="X1766:X1787" si="249">(T1766-W1766)/T1766</f>
        <v>1</v>
      </c>
      <c r="Z1766" s="2" t="s">
        <v>117</v>
      </c>
      <c r="AF1766" s="2">
        <f t="shared" si="243"/>
        <v>0</v>
      </c>
      <c r="AJ1766" s="2">
        <f t="shared" si="244"/>
        <v>0</v>
      </c>
      <c r="AK1766" s="2">
        <f t="shared" si="248"/>
        <v>46.59</v>
      </c>
      <c r="AL1766" s="5">
        <f t="shared" si="247"/>
        <v>1</v>
      </c>
    </row>
    <row r="1767" spans="1:38" x14ac:dyDescent="0.2">
      <c r="A1767" s="2">
        <v>2025</v>
      </c>
      <c r="B1767" s="2">
        <v>8</v>
      </c>
      <c r="D1767" s="2" t="s">
        <v>864</v>
      </c>
      <c r="P1767" s="2" t="s">
        <v>282</v>
      </c>
      <c r="Q1767" s="2" t="s">
        <v>1822</v>
      </c>
      <c r="R1767" s="2" t="s">
        <v>1823</v>
      </c>
      <c r="S1767" s="2">
        <v>1</v>
      </c>
      <c r="T1767" s="2">
        <v>100</v>
      </c>
      <c r="U1767" s="2">
        <v>23</v>
      </c>
      <c r="V1767" s="2">
        <v>123</v>
      </c>
      <c r="X1767" s="5">
        <f t="shared" si="249"/>
        <v>1</v>
      </c>
      <c r="Z1767" s="2" t="s">
        <v>3227</v>
      </c>
      <c r="AF1767" s="2">
        <f t="shared" si="243"/>
        <v>0</v>
      </c>
      <c r="AJ1767" s="2">
        <f t="shared" si="244"/>
        <v>0</v>
      </c>
      <c r="AK1767" s="2">
        <f t="shared" si="248"/>
        <v>100</v>
      </c>
      <c r="AL1767" s="5">
        <f t="shared" si="247"/>
        <v>1</v>
      </c>
    </row>
    <row r="1768" spans="1:38" x14ac:dyDescent="0.2">
      <c r="A1768" s="2">
        <v>2025</v>
      </c>
      <c r="B1768" s="2">
        <v>8</v>
      </c>
      <c r="D1768" s="2" t="s">
        <v>864</v>
      </c>
      <c r="P1768" s="2" t="s">
        <v>43</v>
      </c>
      <c r="Q1768" s="2" t="s">
        <v>48</v>
      </c>
      <c r="R1768" s="2" t="s">
        <v>49</v>
      </c>
      <c r="S1768" s="2">
        <v>1</v>
      </c>
      <c r="T1768" s="2">
        <v>12</v>
      </c>
      <c r="U1768" s="2">
        <v>2.76</v>
      </c>
      <c r="V1768" s="2">
        <v>14.76</v>
      </c>
      <c r="W1768" s="2">
        <f>6.6267*S1768</f>
        <v>6.6266999999999996</v>
      </c>
      <c r="X1768" s="5">
        <f t="shared" si="249"/>
        <v>0.44777500000000003</v>
      </c>
      <c r="Z1768" s="2" t="s">
        <v>3227</v>
      </c>
      <c r="AA1768" s="2" t="s">
        <v>46</v>
      </c>
      <c r="AB1768" s="2" t="s">
        <v>47</v>
      </c>
      <c r="AC1768" s="2" t="s">
        <v>57</v>
      </c>
      <c r="AF1768" s="2">
        <f t="shared" si="243"/>
        <v>0</v>
      </c>
      <c r="AG1768" s="2">
        <v>6.6266999999999996</v>
      </c>
      <c r="AH1768" s="2">
        <v>12</v>
      </c>
      <c r="AJ1768" s="2">
        <f t="shared" si="244"/>
        <v>0</v>
      </c>
      <c r="AK1768" s="2">
        <f t="shared" si="248"/>
        <v>5.3733000000000004</v>
      </c>
      <c r="AL1768" s="5">
        <f t="shared" si="247"/>
        <v>0.44777500000000003</v>
      </c>
    </row>
    <row r="1769" spans="1:38" x14ac:dyDescent="0.2">
      <c r="A1769" s="2">
        <v>2025</v>
      </c>
      <c r="B1769" s="2">
        <v>8</v>
      </c>
      <c r="D1769" s="2" t="s">
        <v>864</v>
      </c>
      <c r="P1769" s="2" t="s">
        <v>43</v>
      </c>
      <c r="Q1769" s="2" t="s">
        <v>54</v>
      </c>
      <c r="R1769" s="2" t="s">
        <v>55</v>
      </c>
      <c r="S1769" s="2">
        <v>1</v>
      </c>
      <c r="T1769" s="2">
        <v>18</v>
      </c>
      <c r="U1769" s="2">
        <v>4.1400000000000006</v>
      </c>
      <c r="V1769" s="2">
        <v>22.14</v>
      </c>
      <c r="W1769" s="2">
        <f>10.6*S1769</f>
        <v>10.6</v>
      </c>
      <c r="X1769" s="5">
        <f t="shared" si="249"/>
        <v>0.41111111111111115</v>
      </c>
      <c r="Z1769" s="2" t="s">
        <v>3227</v>
      </c>
      <c r="AA1769" s="2" t="s">
        <v>46</v>
      </c>
      <c r="AB1769" s="2" t="s">
        <v>56</v>
      </c>
      <c r="AC1769" s="2" t="s">
        <v>57</v>
      </c>
      <c r="AF1769" s="2">
        <f t="shared" si="243"/>
        <v>0</v>
      </c>
      <c r="AG1769" s="2">
        <v>10.6</v>
      </c>
      <c r="AH1769" s="2">
        <v>18</v>
      </c>
      <c r="AJ1769" s="2">
        <f t="shared" si="244"/>
        <v>0</v>
      </c>
      <c r="AK1769" s="2">
        <f t="shared" si="248"/>
        <v>7.4</v>
      </c>
      <c r="AL1769" s="5">
        <f t="shared" si="247"/>
        <v>0.41111111111111115</v>
      </c>
    </row>
    <row r="1770" spans="1:38" x14ac:dyDescent="0.2">
      <c r="A1770" s="2">
        <v>2025</v>
      </c>
      <c r="B1770" s="2">
        <v>8</v>
      </c>
      <c r="D1770" s="2" t="s">
        <v>1071</v>
      </c>
      <c r="E1770" s="2" t="s">
        <v>38</v>
      </c>
      <c r="F1770" s="2" t="s">
        <v>39</v>
      </c>
      <c r="G1770" s="2">
        <v>503843091</v>
      </c>
      <c r="H1770" s="2" t="s">
        <v>41</v>
      </c>
      <c r="I1770" s="2" t="s">
        <v>1554</v>
      </c>
      <c r="J1770" s="2" t="s">
        <v>1824</v>
      </c>
      <c r="L1770" s="2" t="s">
        <v>177</v>
      </c>
      <c r="P1770" s="2" t="s">
        <v>282</v>
      </c>
      <c r="Q1770" s="2" t="s">
        <v>1328</v>
      </c>
      <c r="R1770" s="2" t="s">
        <v>1329</v>
      </c>
      <c r="S1770" s="2">
        <v>1</v>
      </c>
      <c r="T1770" s="2">
        <v>2390</v>
      </c>
      <c r="U1770" s="2">
        <v>549.70000000000005</v>
      </c>
      <c r="V1770" s="2">
        <v>2939.7</v>
      </c>
      <c r="W1770" s="2">
        <v>1578</v>
      </c>
      <c r="X1770" s="5">
        <f t="shared" si="249"/>
        <v>0.33974895397489541</v>
      </c>
      <c r="Z1770" s="2" t="s">
        <v>104</v>
      </c>
      <c r="AA1770" s="2" t="s">
        <v>387</v>
      </c>
      <c r="AB1770" s="2" t="s">
        <v>1330</v>
      </c>
      <c r="AC1770" s="2" t="s">
        <v>1327</v>
      </c>
      <c r="AF1770" s="2">
        <f t="shared" si="243"/>
        <v>0</v>
      </c>
      <c r="AJ1770" s="2">
        <f t="shared" si="244"/>
        <v>0</v>
      </c>
      <c r="AK1770" s="2">
        <f t="shared" si="248"/>
        <v>812</v>
      </c>
      <c r="AL1770" s="5">
        <f t="shared" si="247"/>
        <v>0.33974895397489541</v>
      </c>
    </row>
    <row r="1771" spans="1:38" x14ac:dyDescent="0.2">
      <c r="A1771" s="2">
        <v>2025</v>
      </c>
      <c r="B1771" s="2">
        <v>8</v>
      </c>
      <c r="D1771" s="2" t="s">
        <v>1071</v>
      </c>
      <c r="E1771" s="2" t="s">
        <v>38</v>
      </c>
      <c r="F1771" s="2" t="s">
        <v>39</v>
      </c>
      <c r="G1771" s="2">
        <v>503843091</v>
      </c>
      <c r="H1771" s="2" t="s">
        <v>41</v>
      </c>
      <c r="I1771" s="2" t="s">
        <v>1554</v>
      </c>
      <c r="J1771" s="2" t="s">
        <v>1824</v>
      </c>
      <c r="L1771" s="2" t="s">
        <v>177</v>
      </c>
      <c r="M1771" s="2" t="s">
        <v>41</v>
      </c>
      <c r="O1771" s="2" t="s">
        <v>1825</v>
      </c>
      <c r="P1771" s="2" t="s">
        <v>43</v>
      </c>
      <c r="Q1771" s="2" t="s">
        <v>669</v>
      </c>
      <c r="R1771" s="2" t="s">
        <v>670</v>
      </c>
      <c r="S1771" s="2">
        <v>1</v>
      </c>
      <c r="T1771" s="2">
        <v>40</v>
      </c>
      <c r="U1771" s="2">
        <v>9.2000000000000011</v>
      </c>
      <c r="V1771" s="2">
        <v>49.2</v>
      </c>
      <c r="W1771" s="2">
        <v>29.27</v>
      </c>
      <c r="X1771" s="5">
        <f t="shared" si="249"/>
        <v>0.26824999999999999</v>
      </c>
      <c r="Z1771" s="2" t="s">
        <v>3227</v>
      </c>
      <c r="AA1771" s="2" t="s">
        <v>46</v>
      </c>
      <c r="AB1771" s="2" t="s">
        <v>56</v>
      </c>
      <c r="AC1771" s="2" t="s">
        <v>57</v>
      </c>
      <c r="AF1771" s="2">
        <f t="shared" si="243"/>
        <v>0</v>
      </c>
      <c r="AG1771" s="2">
        <v>29.27</v>
      </c>
      <c r="AH1771" s="2">
        <v>60</v>
      </c>
      <c r="AJ1771" s="2">
        <f t="shared" si="244"/>
        <v>0</v>
      </c>
      <c r="AK1771" s="2">
        <f t="shared" si="248"/>
        <v>10.73</v>
      </c>
      <c r="AL1771" s="5">
        <f t="shared" si="247"/>
        <v>0.26824999999999999</v>
      </c>
    </row>
    <row r="1772" spans="1:38" x14ac:dyDescent="0.2">
      <c r="A1772" s="2">
        <v>2025</v>
      </c>
      <c r="B1772" s="2">
        <v>8</v>
      </c>
      <c r="D1772" s="2" t="s">
        <v>1071</v>
      </c>
      <c r="E1772" s="2" t="s">
        <v>38</v>
      </c>
      <c r="F1772" s="2" t="s">
        <v>39</v>
      </c>
      <c r="G1772" s="2">
        <v>503843091</v>
      </c>
      <c r="H1772" s="2" t="s">
        <v>41</v>
      </c>
      <c r="I1772" s="2" t="s">
        <v>1554</v>
      </c>
      <c r="J1772" s="2" t="s">
        <v>1824</v>
      </c>
      <c r="L1772" s="2" t="s">
        <v>177</v>
      </c>
      <c r="M1772" s="2" t="s">
        <v>41</v>
      </c>
      <c r="P1772" s="2" t="s">
        <v>43</v>
      </c>
      <c r="Q1772" s="2" t="s">
        <v>61</v>
      </c>
      <c r="R1772" s="2" t="s">
        <v>62</v>
      </c>
      <c r="S1772" s="2">
        <v>100</v>
      </c>
      <c r="T1772" s="2">
        <v>13</v>
      </c>
      <c r="U1772" s="2">
        <v>2.99</v>
      </c>
      <c r="V1772" s="2">
        <v>15.99</v>
      </c>
      <c r="W1772" s="2">
        <f>0.082*S1772</f>
        <v>8.2000000000000011</v>
      </c>
      <c r="X1772" s="5">
        <f t="shared" si="249"/>
        <v>0.36923076923076914</v>
      </c>
      <c r="Z1772" s="2" t="s">
        <v>3227</v>
      </c>
      <c r="AA1772" s="2" t="s">
        <v>46</v>
      </c>
      <c r="AB1772" s="2" t="s">
        <v>60</v>
      </c>
      <c r="AC1772" s="2" t="s">
        <v>57</v>
      </c>
      <c r="AF1772" s="2">
        <f t="shared" si="243"/>
        <v>0</v>
      </c>
      <c r="AG1772" s="2">
        <v>8.1999999999999993</v>
      </c>
      <c r="AH1772" s="2">
        <v>13</v>
      </c>
      <c r="AJ1772" s="2">
        <f t="shared" si="244"/>
        <v>0</v>
      </c>
      <c r="AK1772" s="2">
        <f t="shared" si="248"/>
        <v>4.7999999999999989</v>
      </c>
      <c r="AL1772" s="5">
        <f t="shared" si="247"/>
        <v>0.36923076923076914</v>
      </c>
    </row>
    <row r="1773" spans="1:38" x14ac:dyDescent="0.2">
      <c r="A1773" s="2">
        <v>2025</v>
      </c>
      <c r="B1773" s="2">
        <v>8</v>
      </c>
      <c r="D1773" s="2" t="s">
        <v>1071</v>
      </c>
      <c r="E1773" s="2" t="s">
        <v>38</v>
      </c>
      <c r="F1773" s="2" t="s">
        <v>39</v>
      </c>
      <c r="G1773" s="2">
        <v>503843091</v>
      </c>
      <c r="H1773" s="2" t="s">
        <v>41</v>
      </c>
      <c r="I1773" s="2" t="s">
        <v>1554</v>
      </c>
      <c r="J1773" s="2" t="s">
        <v>1824</v>
      </c>
      <c r="L1773" s="2" t="s">
        <v>177</v>
      </c>
      <c r="M1773" s="2" t="s">
        <v>41</v>
      </c>
      <c r="P1773" s="2" t="s">
        <v>43</v>
      </c>
      <c r="Q1773" s="2" t="s">
        <v>65</v>
      </c>
      <c r="R1773" s="2" t="s">
        <v>66</v>
      </c>
      <c r="S1773" s="2">
        <v>1</v>
      </c>
      <c r="T1773" s="2">
        <v>22</v>
      </c>
      <c r="U1773" s="2">
        <v>5.0599999999999996</v>
      </c>
      <c r="V1773" s="2">
        <v>27.06</v>
      </c>
      <c r="W1773" s="2">
        <f>15.0203*S1773</f>
        <v>15.020300000000001</v>
      </c>
      <c r="X1773" s="5">
        <f t="shared" si="249"/>
        <v>0.31725909090909088</v>
      </c>
      <c r="Z1773" s="2" t="s">
        <v>3227</v>
      </c>
      <c r="AA1773" s="2" t="s">
        <v>46</v>
      </c>
      <c r="AB1773" s="2" t="s">
        <v>67</v>
      </c>
      <c r="AC1773" s="2" t="s">
        <v>57</v>
      </c>
      <c r="AF1773" s="2">
        <f t="shared" si="243"/>
        <v>0</v>
      </c>
      <c r="AG1773" s="2">
        <v>15.020300000000001</v>
      </c>
      <c r="AH1773" s="2">
        <v>27.6</v>
      </c>
      <c r="AJ1773" s="2">
        <f t="shared" si="244"/>
        <v>0</v>
      </c>
      <c r="AK1773" s="2">
        <f t="shared" si="248"/>
        <v>6.9796999999999993</v>
      </c>
      <c r="AL1773" s="5">
        <f t="shared" si="247"/>
        <v>0.31725909090909088</v>
      </c>
    </row>
    <row r="1774" spans="1:38" x14ac:dyDescent="0.2">
      <c r="A1774" s="2">
        <v>2025</v>
      </c>
      <c r="B1774" s="2">
        <v>8</v>
      </c>
      <c r="D1774" s="2" t="s">
        <v>530</v>
      </c>
      <c r="E1774" s="2" t="s">
        <v>108</v>
      </c>
      <c r="F1774" s="2" t="s">
        <v>531</v>
      </c>
      <c r="G1774" s="2">
        <v>502139552</v>
      </c>
      <c r="H1774" s="2" t="s">
        <v>40</v>
      </c>
      <c r="I1774" s="2" t="s">
        <v>339</v>
      </c>
      <c r="J1774" s="2" t="s">
        <v>532</v>
      </c>
      <c r="L1774" s="2" t="s">
        <v>339</v>
      </c>
      <c r="M1774" s="2" t="s">
        <v>80</v>
      </c>
      <c r="P1774" s="2" t="s">
        <v>72</v>
      </c>
      <c r="Q1774" s="2" t="s">
        <v>73</v>
      </c>
      <c r="R1774" s="2" t="s">
        <v>74</v>
      </c>
      <c r="S1774" s="2">
        <v>1</v>
      </c>
      <c r="T1774" s="2">
        <v>219.88</v>
      </c>
      <c r="U1774" s="2">
        <v>50.572400000000002</v>
      </c>
      <c r="V1774" s="2">
        <v>270.45240000000001</v>
      </c>
      <c r="W1774" s="2">
        <v>117.453</v>
      </c>
      <c r="X1774" s="5">
        <f t="shared" si="249"/>
        <v>0.46583136256139712</v>
      </c>
      <c r="Z1774" s="2" t="s">
        <v>3227</v>
      </c>
      <c r="AA1774" s="2" t="s">
        <v>75</v>
      </c>
      <c r="AB1774" s="2" t="s">
        <v>76</v>
      </c>
      <c r="AC1774" s="2" t="s">
        <v>77</v>
      </c>
      <c r="AF1774" s="2">
        <f t="shared" si="243"/>
        <v>0</v>
      </c>
      <c r="AG1774" s="2">
        <v>117.453</v>
      </c>
      <c r="AH1774" s="2">
        <v>220</v>
      </c>
      <c r="AJ1774" s="2">
        <f t="shared" si="244"/>
        <v>0</v>
      </c>
      <c r="AK1774" s="2">
        <f t="shared" si="248"/>
        <v>102.42699999999999</v>
      </c>
      <c r="AL1774" s="5">
        <f t="shared" si="247"/>
        <v>0.46583136256139712</v>
      </c>
    </row>
    <row r="1775" spans="1:38" x14ac:dyDescent="0.2">
      <c r="A1775" s="2">
        <v>2025</v>
      </c>
      <c r="B1775" s="2">
        <v>8</v>
      </c>
      <c r="D1775" s="2" t="s">
        <v>530</v>
      </c>
      <c r="E1775" s="2" t="s">
        <v>108</v>
      </c>
      <c r="F1775" s="2" t="s">
        <v>531</v>
      </c>
      <c r="G1775" s="2">
        <v>502139552</v>
      </c>
      <c r="H1775" s="2" t="s">
        <v>40</v>
      </c>
      <c r="I1775" s="2" t="s">
        <v>339</v>
      </c>
      <c r="J1775" s="2" t="s">
        <v>532</v>
      </c>
      <c r="L1775" s="2" t="s">
        <v>339</v>
      </c>
      <c r="M1775" s="2" t="s">
        <v>80</v>
      </c>
      <c r="O1775" s="2" t="s">
        <v>3206</v>
      </c>
      <c r="P1775" s="2" t="s">
        <v>72</v>
      </c>
      <c r="Q1775" s="2" t="s">
        <v>78</v>
      </c>
      <c r="R1775" s="2" t="s">
        <v>79</v>
      </c>
      <c r="S1775" s="2">
        <v>1</v>
      </c>
      <c r="T1775" s="2">
        <v>204.24</v>
      </c>
      <c r="U1775" s="2">
        <v>46.975200000000001</v>
      </c>
      <c r="V1775" s="2">
        <v>251.21520000000001</v>
      </c>
      <c r="W1775" s="2">
        <v>111.98</v>
      </c>
      <c r="X1775" s="5">
        <f t="shared" si="249"/>
        <v>0.45172346259302781</v>
      </c>
      <c r="Z1775" s="2" t="s">
        <v>3227</v>
      </c>
      <c r="AA1775" s="2" t="s">
        <v>75</v>
      </c>
      <c r="AB1775" s="2" t="s">
        <v>76</v>
      </c>
      <c r="AC1775" s="2" t="s">
        <v>77</v>
      </c>
      <c r="AF1775" s="2">
        <f t="shared" si="243"/>
        <v>0</v>
      </c>
      <c r="AG1775" s="2">
        <v>111.98</v>
      </c>
      <c r="AH1775" s="2">
        <v>210</v>
      </c>
      <c r="AJ1775" s="2">
        <f t="shared" si="244"/>
        <v>0</v>
      </c>
      <c r="AK1775" s="2">
        <f t="shared" si="248"/>
        <v>92.26</v>
      </c>
      <c r="AL1775" s="5">
        <f t="shared" si="247"/>
        <v>0.45172346259302781</v>
      </c>
    </row>
    <row r="1776" spans="1:38" x14ac:dyDescent="0.2">
      <c r="A1776" s="2">
        <v>2025</v>
      </c>
      <c r="B1776" s="2">
        <v>8</v>
      </c>
      <c r="D1776" s="2" t="s">
        <v>530</v>
      </c>
      <c r="E1776" s="2" t="s">
        <v>108</v>
      </c>
      <c r="F1776" s="2" t="s">
        <v>531</v>
      </c>
      <c r="G1776" s="2">
        <v>502139552</v>
      </c>
      <c r="H1776" s="2" t="s">
        <v>40</v>
      </c>
      <c r="I1776" s="2" t="s">
        <v>339</v>
      </c>
      <c r="J1776" s="2" t="s">
        <v>532</v>
      </c>
      <c r="L1776" s="2" t="s">
        <v>339</v>
      </c>
      <c r="M1776" s="2" t="s">
        <v>80</v>
      </c>
      <c r="O1776" s="2" t="s">
        <v>3194</v>
      </c>
      <c r="P1776" s="2" t="s">
        <v>72</v>
      </c>
      <c r="Q1776" s="2" t="s">
        <v>533</v>
      </c>
      <c r="R1776" s="2" t="s">
        <v>534</v>
      </c>
      <c r="S1776" s="2">
        <v>1</v>
      </c>
      <c r="T1776" s="2">
        <v>205</v>
      </c>
      <c r="U1776" s="2">
        <v>47.15</v>
      </c>
      <c r="V1776" s="2">
        <v>252.15</v>
      </c>
      <c r="W1776" s="2">
        <f>110.125+11.77</f>
        <v>121.895</v>
      </c>
      <c r="X1776" s="5">
        <f t="shared" si="249"/>
        <v>0.40539024390243905</v>
      </c>
      <c r="Z1776" s="2" t="s">
        <v>3227</v>
      </c>
      <c r="AA1776" s="2" t="s">
        <v>75</v>
      </c>
      <c r="AB1776" s="2" t="s">
        <v>76</v>
      </c>
      <c r="AC1776" s="2" t="s">
        <v>77</v>
      </c>
      <c r="AF1776" s="2">
        <f t="shared" si="243"/>
        <v>0</v>
      </c>
      <c r="AG1776" s="2">
        <f>110.125+11.77</f>
        <v>121.895</v>
      </c>
      <c r="AJ1776" s="2">
        <f t="shared" si="244"/>
        <v>0</v>
      </c>
      <c r="AK1776" s="2">
        <f t="shared" si="248"/>
        <v>83.105000000000004</v>
      </c>
      <c r="AL1776" s="5">
        <f t="shared" si="247"/>
        <v>0.40539024390243905</v>
      </c>
    </row>
    <row r="1777" spans="1:38" x14ac:dyDescent="0.2">
      <c r="A1777" s="2">
        <v>2025</v>
      </c>
      <c r="B1777" s="2">
        <v>8</v>
      </c>
      <c r="D1777" s="2" t="s">
        <v>530</v>
      </c>
      <c r="E1777" s="2" t="s">
        <v>108</v>
      </c>
      <c r="F1777" s="2" t="s">
        <v>531</v>
      </c>
      <c r="G1777" s="2">
        <v>502139552</v>
      </c>
      <c r="H1777" s="2" t="s">
        <v>40</v>
      </c>
      <c r="I1777" s="2" t="s">
        <v>339</v>
      </c>
      <c r="J1777" s="2" t="s">
        <v>532</v>
      </c>
      <c r="L1777" s="2" t="s">
        <v>339</v>
      </c>
      <c r="M1777" s="2" t="s">
        <v>80</v>
      </c>
      <c r="P1777" s="2" t="s">
        <v>93</v>
      </c>
      <c r="Q1777" s="2" t="s">
        <v>94</v>
      </c>
      <c r="R1777" s="2" t="s">
        <v>95</v>
      </c>
      <c r="S1777" s="2">
        <v>3</v>
      </c>
      <c r="T1777" s="2">
        <v>3.42</v>
      </c>
      <c r="U1777" s="2">
        <v>0.78659999999999997</v>
      </c>
      <c r="V1777" s="2">
        <v>4.2065999999999999</v>
      </c>
      <c r="W1777" s="2">
        <v>3.42</v>
      </c>
      <c r="X1777" s="5">
        <f t="shared" si="249"/>
        <v>0</v>
      </c>
      <c r="Z1777" s="2" t="s">
        <v>3227</v>
      </c>
      <c r="AA1777" s="2" t="s">
        <v>96</v>
      </c>
      <c r="AB1777" s="2" t="s">
        <v>76</v>
      </c>
      <c r="AC1777" s="2" t="s">
        <v>93</v>
      </c>
      <c r="AF1777" s="2">
        <f t="shared" si="243"/>
        <v>0</v>
      </c>
      <c r="AJ1777" s="2">
        <f t="shared" si="244"/>
        <v>0</v>
      </c>
      <c r="AK1777" s="2">
        <f t="shared" si="248"/>
        <v>0</v>
      </c>
      <c r="AL1777" s="5">
        <f t="shared" si="247"/>
        <v>0</v>
      </c>
    </row>
    <row r="1778" spans="1:38" x14ac:dyDescent="0.2">
      <c r="A1778" s="2">
        <v>2025</v>
      </c>
      <c r="B1778" s="2">
        <v>8</v>
      </c>
      <c r="D1778" s="2" t="s">
        <v>549</v>
      </c>
      <c r="E1778" s="2" t="s">
        <v>108</v>
      </c>
      <c r="F1778" s="2" t="s">
        <v>395</v>
      </c>
      <c r="G1778" s="2">
        <v>503641790</v>
      </c>
      <c r="H1778" s="2" t="s">
        <v>40</v>
      </c>
      <c r="I1778" s="2" t="s">
        <v>550</v>
      </c>
      <c r="J1778" s="2" t="s">
        <v>551</v>
      </c>
      <c r="K1778" s="2">
        <v>917753665</v>
      </c>
      <c r="L1778" s="2" t="s">
        <v>99</v>
      </c>
      <c r="M1778" s="2" t="s">
        <v>40</v>
      </c>
      <c r="O1778" s="2" t="s">
        <v>1826</v>
      </c>
      <c r="P1778" s="2" t="s">
        <v>114</v>
      </c>
      <c r="Q1778" s="2" t="s">
        <v>373</v>
      </c>
      <c r="R1778" s="2" t="s">
        <v>374</v>
      </c>
      <c r="S1778" s="2">
        <v>1</v>
      </c>
      <c r="T1778" s="2">
        <v>38.630000000000003</v>
      </c>
      <c r="U1778" s="2">
        <v>8.8849000000000018</v>
      </c>
      <c r="V1778" s="2">
        <v>47.514899999999997</v>
      </c>
      <c r="W1778" s="2">
        <f>23.042*S1778</f>
        <v>23.042000000000002</v>
      </c>
      <c r="X1778" s="5">
        <f t="shared" si="249"/>
        <v>0.40352057986021228</v>
      </c>
      <c r="Z1778" s="2" t="s">
        <v>117</v>
      </c>
      <c r="AA1778" s="2" t="s">
        <v>118</v>
      </c>
      <c r="AB1778" s="2" t="s">
        <v>119</v>
      </c>
      <c r="AC1778" s="2" t="s">
        <v>114</v>
      </c>
      <c r="AF1778" s="2">
        <f t="shared" si="243"/>
        <v>0</v>
      </c>
      <c r="AG1778" s="2">
        <v>22.2</v>
      </c>
      <c r="AJ1778" s="2">
        <f t="shared" si="244"/>
        <v>0</v>
      </c>
      <c r="AK1778" s="2">
        <f t="shared" si="248"/>
        <v>15.588000000000001</v>
      </c>
      <c r="AL1778" s="5">
        <f t="shared" si="247"/>
        <v>0.40352057986021228</v>
      </c>
    </row>
    <row r="1779" spans="1:38" x14ac:dyDescent="0.2">
      <c r="A1779" s="2">
        <v>2025</v>
      </c>
      <c r="B1779" s="2">
        <v>8</v>
      </c>
      <c r="D1779" s="2" t="s">
        <v>1827</v>
      </c>
      <c r="E1779" s="2" t="s">
        <v>108</v>
      </c>
      <c r="F1779" s="2" t="s">
        <v>477</v>
      </c>
      <c r="G1779" s="2">
        <v>509194850</v>
      </c>
      <c r="H1779" s="2" t="s">
        <v>109</v>
      </c>
      <c r="I1779" s="2" t="s">
        <v>1126</v>
      </c>
      <c r="J1779" s="2" t="s">
        <v>3232</v>
      </c>
      <c r="L1779" s="2" t="s">
        <v>461</v>
      </c>
      <c r="M1779" s="2" t="s">
        <v>41</v>
      </c>
      <c r="O1779" s="2" t="s">
        <v>3233</v>
      </c>
      <c r="P1779" s="2" t="s">
        <v>114</v>
      </c>
      <c r="Q1779" s="2" t="s">
        <v>287</v>
      </c>
      <c r="R1779" s="2" t="s">
        <v>288</v>
      </c>
      <c r="S1779" s="2">
        <v>1</v>
      </c>
      <c r="T1779" s="2">
        <v>5350</v>
      </c>
      <c r="U1779" s="2">
        <v>1230.5</v>
      </c>
      <c r="V1779" s="2">
        <v>6580.5</v>
      </c>
      <c r="W1779" s="2">
        <f>4131.6+144.38</f>
        <v>4275.9800000000005</v>
      </c>
      <c r="X1779" s="5">
        <f t="shared" si="249"/>
        <v>0.2007514018691588</v>
      </c>
      <c r="Z1779" s="2" t="s">
        <v>104</v>
      </c>
      <c r="AA1779" s="2" t="s">
        <v>616</v>
      </c>
      <c r="AB1779" s="2" t="s">
        <v>3173</v>
      </c>
      <c r="AC1779" s="2" t="s">
        <v>114</v>
      </c>
      <c r="AF1779" s="2">
        <f t="shared" si="243"/>
        <v>0</v>
      </c>
      <c r="AJ1779" s="2">
        <f t="shared" si="244"/>
        <v>0</v>
      </c>
      <c r="AK1779" s="2">
        <f t="shared" si="248"/>
        <v>1074.0199999999995</v>
      </c>
      <c r="AL1779" s="5">
        <f t="shared" si="247"/>
        <v>0.2007514018691588</v>
      </c>
    </row>
    <row r="1780" spans="1:38" x14ac:dyDescent="0.2">
      <c r="A1780" s="2">
        <v>2025</v>
      </c>
      <c r="B1780" s="2">
        <v>8</v>
      </c>
      <c r="D1780" s="2" t="s">
        <v>1621</v>
      </c>
      <c r="E1780" s="2" t="s">
        <v>108</v>
      </c>
      <c r="F1780" s="2" t="s">
        <v>39</v>
      </c>
      <c r="L1780" s="2" t="s">
        <v>112</v>
      </c>
      <c r="M1780" s="2" t="s">
        <v>109</v>
      </c>
      <c r="P1780" s="2" t="s">
        <v>43</v>
      </c>
      <c r="Q1780" s="2" t="s">
        <v>232</v>
      </c>
      <c r="R1780" s="2" t="s">
        <v>233</v>
      </c>
      <c r="S1780" s="2">
        <v>1</v>
      </c>
      <c r="T1780" s="2">
        <v>12</v>
      </c>
      <c r="U1780" s="2">
        <v>2.76</v>
      </c>
      <c r="V1780" s="2">
        <v>14.76</v>
      </c>
      <c r="W1780" s="2">
        <v>5.9066999999999998</v>
      </c>
      <c r="X1780" s="5">
        <f t="shared" si="249"/>
        <v>0.50777499999999998</v>
      </c>
      <c r="Z1780" s="2" t="s">
        <v>3227</v>
      </c>
      <c r="AA1780" s="2" t="s">
        <v>46</v>
      </c>
      <c r="AB1780" s="2" t="s">
        <v>56</v>
      </c>
      <c r="AC1780" s="2" t="s">
        <v>57</v>
      </c>
      <c r="AF1780" s="2">
        <f t="shared" si="243"/>
        <v>0</v>
      </c>
      <c r="AG1780" s="2">
        <v>5.9066999999999998</v>
      </c>
      <c r="AH1780" s="2">
        <v>12.6</v>
      </c>
      <c r="AJ1780" s="2">
        <f t="shared" si="244"/>
        <v>0</v>
      </c>
      <c r="AK1780" s="2">
        <f t="shared" si="248"/>
        <v>6.0933000000000002</v>
      </c>
      <c r="AL1780" s="5">
        <f t="shared" si="247"/>
        <v>0.50777499999999998</v>
      </c>
    </row>
    <row r="1781" spans="1:38" x14ac:dyDescent="0.2">
      <c r="A1781" s="2">
        <v>2025</v>
      </c>
      <c r="B1781" s="2">
        <v>8</v>
      </c>
      <c r="C1781" s="2" t="s">
        <v>3471</v>
      </c>
      <c r="D1781" s="2" t="s">
        <v>1621</v>
      </c>
      <c r="E1781" s="2" t="s">
        <v>108</v>
      </c>
      <c r="F1781" s="2" t="s">
        <v>39</v>
      </c>
      <c r="L1781" s="2" t="s">
        <v>112</v>
      </c>
      <c r="M1781" s="2" t="s">
        <v>109</v>
      </c>
      <c r="P1781" s="2" t="s">
        <v>43</v>
      </c>
      <c r="Q1781" s="2" t="s">
        <v>234</v>
      </c>
      <c r="R1781" s="2" t="s">
        <v>235</v>
      </c>
      <c r="S1781" s="2">
        <v>2</v>
      </c>
      <c r="T1781" s="2">
        <v>26.4</v>
      </c>
      <c r="U1781" s="2">
        <v>6.0720000000000001</v>
      </c>
      <c r="V1781" s="2">
        <v>32.472000000000001</v>
      </c>
      <c r="W1781" s="2">
        <f>7.2217*S1781</f>
        <v>14.4434</v>
      </c>
      <c r="X1781" s="5">
        <f t="shared" si="249"/>
        <v>0.45290151515151511</v>
      </c>
      <c r="Z1781" s="2" t="s">
        <v>3227</v>
      </c>
      <c r="AA1781" s="2" t="s">
        <v>46</v>
      </c>
      <c r="AB1781" s="2" t="s">
        <v>56</v>
      </c>
      <c r="AC1781" s="2" t="s">
        <v>57</v>
      </c>
      <c r="AF1781" s="2">
        <f t="shared" si="243"/>
        <v>0</v>
      </c>
      <c r="AG1781" s="2">
        <v>7.2217000000000002</v>
      </c>
      <c r="AH1781" s="2">
        <v>14.4</v>
      </c>
      <c r="AJ1781" s="2">
        <f t="shared" si="244"/>
        <v>0</v>
      </c>
      <c r="AK1781" s="2">
        <f t="shared" si="248"/>
        <v>11.956599999999998</v>
      </c>
      <c r="AL1781" s="5">
        <f t="shared" ref="AL1781:AL1787" si="250">(T1781-W1781)/T1781</f>
        <v>0.45290151515151511</v>
      </c>
    </row>
    <row r="1782" spans="1:38" x14ac:dyDescent="0.2">
      <c r="A1782" s="2">
        <v>2025</v>
      </c>
      <c r="B1782" s="2">
        <v>8</v>
      </c>
      <c r="D1782" s="2" t="s">
        <v>574</v>
      </c>
      <c r="E1782" s="2" t="s">
        <v>38</v>
      </c>
      <c r="F1782" s="2" t="s">
        <v>39</v>
      </c>
      <c r="G1782" s="2">
        <v>504811029</v>
      </c>
      <c r="H1782" s="2" t="s">
        <v>41</v>
      </c>
      <c r="I1782" s="2" t="s">
        <v>177</v>
      </c>
      <c r="J1782" s="2" t="s">
        <v>575</v>
      </c>
      <c r="L1782" s="2" t="s">
        <v>177</v>
      </c>
      <c r="M1782" s="2" t="s">
        <v>41</v>
      </c>
      <c r="P1782" s="2" t="s">
        <v>114</v>
      </c>
      <c r="Q1782" s="2" t="s">
        <v>576</v>
      </c>
      <c r="R1782" s="2" t="s">
        <v>577</v>
      </c>
      <c r="S1782" s="2">
        <v>1</v>
      </c>
      <c r="T1782" s="2">
        <v>68.12</v>
      </c>
      <c r="U1782" s="2">
        <v>15.6676</v>
      </c>
      <c r="V1782" s="2">
        <v>83.787600000000012</v>
      </c>
      <c r="X1782" s="5">
        <f t="shared" si="249"/>
        <v>1</v>
      </c>
      <c r="Z1782" s="2" t="s">
        <v>117</v>
      </c>
      <c r="AA1782" s="2" t="s">
        <v>118</v>
      </c>
      <c r="AB1782" s="2" t="s">
        <v>119</v>
      </c>
      <c r="AC1782" s="2" t="s">
        <v>114</v>
      </c>
      <c r="AF1782" s="2">
        <f t="shared" si="243"/>
        <v>0</v>
      </c>
      <c r="AJ1782" s="2">
        <f t="shared" si="244"/>
        <v>0</v>
      </c>
      <c r="AK1782" s="2">
        <f t="shared" si="248"/>
        <v>68.12</v>
      </c>
      <c r="AL1782" s="5">
        <f t="shared" si="250"/>
        <v>1</v>
      </c>
    </row>
    <row r="1783" spans="1:38" x14ac:dyDescent="0.2">
      <c r="A1783" s="2">
        <v>2025</v>
      </c>
      <c r="B1783" s="2">
        <v>8</v>
      </c>
      <c r="D1783" s="2" t="s">
        <v>574</v>
      </c>
      <c r="E1783" s="2" t="s">
        <v>38</v>
      </c>
      <c r="F1783" s="2" t="s">
        <v>39</v>
      </c>
      <c r="G1783" s="2">
        <v>504811029</v>
      </c>
      <c r="H1783" s="2" t="s">
        <v>41</v>
      </c>
      <c r="I1783" s="2" t="s">
        <v>177</v>
      </c>
      <c r="J1783" s="2" t="s">
        <v>575</v>
      </c>
      <c r="L1783" s="2" t="s">
        <v>177</v>
      </c>
      <c r="M1783" s="2" t="s">
        <v>41</v>
      </c>
      <c r="P1783" s="2" t="s">
        <v>282</v>
      </c>
      <c r="Q1783" s="2" t="s">
        <v>1828</v>
      </c>
      <c r="R1783" s="2" t="s">
        <v>1829</v>
      </c>
      <c r="S1783" s="2">
        <v>1</v>
      </c>
      <c r="T1783" s="2">
        <v>125</v>
      </c>
      <c r="U1783" s="2">
        <v>28.75</v>
      </c>
      <c r="V1783" s="2">
        <v>153.75</v>
      </c>
      <c r="W1783" s="2">
        <f>101.5+16.49</f>
        <v>117.99</v>
      </c>
      <c r="X1783" s="5">
        <f t="shared" si="249"/>
        <v>5.608000000000004E-2</v>
      </c>
      <c r="Z1783" s="2" t="s">
        <v>3227</v>
      </c>
      <c r="AA1783" s="2" t="s">
        <v>71</v>
      </c>
      <c r="AB1783" s="2" t="s">
        <v>1600</v>
      </c>
      <c r="AC1783" s="2" t="s">
        <v>1600</v>
      </c>
      <c r="AF1783" s="2">
        <f t="shared" si="243"/>
        <v>0</v>
      </c>
      <c r="AJ1783" s="2">
        <f t="shared" si="244"/>
        <v>0</v>
      </c>
      <c r="AK1783" s="2">
        <f t="shared" si="248"/>
        <v>7.0100000000000051</v>
      </c>
      <c r="AL1783" s="5">
        <f t="shared" si="250"/>
        <v>5.608000000000004E-2</v>
      </c>
    </row>
    <row r="1784" spans="1:38" x14ac:dyDescent="0.2">
      <c r="A1784" s="2">
        <v>2025</v>
      </c>
      <c r="B1784" s="2">
        <v>8</v>
      </c>
      <c r="D1784" s="2" t="s">
        <v>574</v>
      </c>
      <c r="E1784" s="2" t="s">
        <v>38</v>
      </c>
      <c r="F1784" s="2" t="s">
        <v>39</v>
      </c>
      <c r="G1784" s="2">
        <v>504811029</v>
      </c>
      <c r="H1784" s="2" t="s">
        <v>41</v>
      </c>
      <c r="I1784" s="2" t="s">
        <v>177</v>
      </c>
      <c r="J1784" s="2" t="s">
        <v>575</v>
      </c>
      <c r="L1784" s="2" t="s">
        <v>177</v>
      </c>
      <c r="M1784" s="2" t="s">
        <v>41</v>
      </c>
      <c r="P1784" s="2" t="s">
        <v>282</v>
      </c>
      <c r="Q1784" s="2" t="s">
        <v>1830</v>
      </c>
      <c r="R1784" s="2" t="s">
        <v>1831</v>
      </c>
      <c r="S1784" s="2">
        <v>1</v>
      </c>
      <c r="T1784" s="2">
        <v>52.9</v>
      </c>
      <c r="U1784" s="2">
        <v>12.167</v>
      </c>
      <c r="V1784" s="2">
        <v>65.066999999999993</v>
      </c>
      <c r="W1784" s="2">
        <f>37.03+6.01</f>
        <v>43.04</v>
      </c>
      <c r="X1784" s="5">
        <f t="shared" si="249"/>
        <v>0.18638941398865783</v>
      </c>
      <c r="Z1784" s="2" t="s">
        <v>3227</v>
      </c>
      <c r="AA1784" s="2" t="s">
        <v>71</v>
      </c>
      <c r="AB1784" s="2" t="s">
        <v>1600</v>
      </c>
      <c r="AC1784" s="2" t="s">
        <v>1600</v>
      </c>
      <c r="AF1784" s="2">
        <f t="shared" si="243"/>
        <v>0</v>
      </c>
      <c r="AJ1784" s="2">
        <f t="shared" si="244"/>
        <v>0</v>
      </c>
      <c r="AK1784" s="2">
        <f t="shared" si="248"/>
        <v>9.86</v>
      </c>
      <c r="AL1784" s="5">
        <f t="shared" si="250"/>
        <v>0.18638941398865783</v>
      </c>
    </row>
    <row r="1785" spans="1:38" x14ac:dyDescent="0.2">
      <c r="A1785" s="2">
        <v>2025</v>
      </c>
      <c r="B1785" s="2">
        <v>8</v>
      </c>
      <c r="D1785" s="2" t="s">
        <v>574</v>
      </c>
      <c r="E1785" s="2" t="s">
        <v>38</v>
      </c>
      <c r="F1785" s="2" t="s">
        <v>39</v>
      </c>
      <c r="G1785" s="2">
        <v>504811029</v>
      </c>
      <c r="H1785" s="2" t="s">
        <v>41</v>
      </c>
      <c r="I1785" s="2" t="s">
        <v>177</v>
      </c>
      <c r="J1785" s="2" t="s">
        <v>575</v>
      </c>
      <c r="L1785" s="2" t="s">
        <v>177</v>
      </c>
      <c r="M1785" s="2" t="s">
        <v>41</v>
      </c>
      <c r="P1785" s="2" t="s">
        <v>43</v>
      </c>
      <c r="Q1785" s="2" t="s">
        <v>63</v>
      </c>
      <c r="R1785" s="2" t="s">
        <v>64</v>
      </c>
      <c r="S1785" s="2">
        <v>20</v>
      </c>
      <c r="T1785" s="2">
        <v>36</v>
      </c>
      <c r="U1785" s="2">
        <v>8.2800000000000011</v>
      </c>
      <c r="V1785" s="2">
        <v>44.28</v>
      </c>
      <c r="W1785" s="2">
        <f>0.8561*S1785</f>
        <v>17.122</v>
      </c>
      <c r="X1785" s="5">
        <f t="shared" si="249"/>
        <v>0.5243888888888889</v>
      </c>
      <c r="Z1785" s="2" t="s">
        <v>3227</v>
      </c>
      <c r="AA1785" s="2" t="s">
        <v>46</v>
      </c>
      <c r="AB1785" s="2" t="s">
        <v>60</v>
      </c>
      <c r="AC1785" s="2" t="s">
        <v>57</v>
      </c>
      <c r="AF1785" s="2">
        <f t="shared" si="243"/>
        <v>0</v>
      </c>
      <c r="AG1785" s="2">
        <v>0.85609999999999997</v>
      </c>
      <c r="AH1785" s="2">
        <v>1.8</v>
      </c>
      <c r="AJ1785" s="2">
        <f t="shared" si="244"/>
        <v>0</v>
      </c>
      <c r="AK1785" s="2">
        <f t="shared" si="248"/>
        <v>18.878</v>
      </c>
      <c r="AL1785" s="5">
        <f t="shared" si="250"/>
        <v>0.5243888888888889</v>
      </c>
    </row>
    <row r="1786" spans="1:38" x14ac:dyDescent="0.2">
      <c r="A1786" s="2">
        <v>2025</v>
      </c>
      <c r="B1786" s="2">
        <v>8</v>
      </c>
      <c r="D1786" s="2" t="s">
        <v>582</v>
      </c>
      <c r="E1786" s="2" t="s">
        <v>108</v>
      </c>
      <c r="G1786" s="2">
        <v>503850276</v>
      </c>
      <c r="H1786" s="2" t="s">
        <v>40</v>
      </c>
      <c r="I1786" s="2" t="s">
        <v>583</v>
      </c>
      <c r="J1786" s="2" t="s">
        <v>584</v>
      </c>
      <c r="L1786" s="2" t="s">
        <v>201</v>
      </c>
      <c r="M1786" s="2" t="s">
        <v>80</v>
      </c>
      <c r="P1786" s="2" t="s">
        <v>43</v>
      </c>
      <c r="Q1786" s="2" t="s">
        <v>65</v>
      </c>
      <c r="R1786" s="2" t="s">
        <v>66</v>
      </c>
      <c r="S1786" s="2">
        <v>20</v>
      </c>
      <c r="T1786" s="2">
        <v>400</v>
      </c>
      <c r="U1786" s="2">
        <v>92</v>
      </c>
      <c r="V1786" s="2">
        <v>492</v>
      </c>
      <c r="W1786" s="2">
        <f>15.0203*S1786</f>
        <v>300.40600000000001</v>
      </c>
      <c r="X1786" s="5">
        <f t="shared" si="249"/>
        <v>0.24898499999999998</v>
      </c>
      <c r="Z1786" s="2" t="s">
        <v>3227</v>
      </c>
      <c r="AA1786" s="2" t="s">
        <v>46</v>
      </c>
      <c r="AB1786" s="2" t="s">
        <v>67</v>
      </c>
      <c r="AC1786" s="2" t="s">
        <v>57</v>
      </c>
      <c r="AF1786" s="2">
        <f t="shared" si="243"/>
        <v>0</v>
      </c>
      <c r="AG1786" s="2">
        <v>15.020300000000001</v>
      </c>
      <c r="AH1786" s="2">
        <v>27.6</v>
      </c>
      <c r="AJ1786" s="2">
        <f t="shared" si="244"/>
        <v>0</v>
      </c>
      <c r="AK1786" s="2">
        <f t="shared" si="248"/>
        <v>99.593999999999994</v>
      </c>
      <c r="AL1786" s="5">
        <f t="shared" si="250"/>
        <v>0.24898499999999998</v>
      </c>
    </row>
    <row r="1787" spans="1:38" x14ac:dyDescent="0.2">
      <c r="A1787" s="2">
        <v>2025</v>
      </c>
      <c r="B1787" s="2">
        <v>8</v>
      </c>
      <c r="D1787" s="2" t="s">
        <v>588</v>
      </c>
      <c r="E1787" s="2" t="s">
        <v>38</v>
      </c>
      <c r="F1787" s="2" t="s">
        <v>39</v>
      </c>
      <c r="G1787" s="2">
        <v>510339298</v>
      </c>
      <c r="H1787" s="2" t="s">
        <v>41</v>
      </c>
      <c r="I1787" s="2" t="s">
        <v>177</v>
      </c>
      <c r="J1787" s="2" t="s">
        <v>589</v>
      </c>
      <c r="L1787" s="2" t="s">
        <v>177</v>
      </c>
      <c r="P1787" s="2" t="s">
        <v>43</v>
      </c>
      <c r="Q1787" s="2" t="s">
        <v>54</v>
      </c>
      <c r="R1787" s="2" t="s">
        <v>55</v>
      </c>
      <c r="S1787" s="2">
        <v>10</v>
      </c>
      <c r="T1787" s="2">
        <v>140</v>
      </c>
      <c r="U1787" s="2">
        <v>32.200000000000003</v>
      </c>
      <c r="V1787" s="2">
        <v>172.2</v>
      </c>
      <c r="W1787" s="2">
        <f>10.6*S1787</f>
        <v>106</v>
      </c>
      <c r="X1787" s="5">
        <f t="shared" si="249"/>
        <v>0.24285714285714285</v>
      </c>
      <c r="Z1787" s="2" t="s">
        <v>3227</v>
      </c>
      <c r="AA1787" s="2" t="s">
        <v>46</v>
      </c>
      <c r="AB1787" s="2" t="s">
        <v>56</v>
      </c>
      <c r="AC1787" s="2" t="s">
        <v>57</v>
      </c>
      <c r="AF1787" s="2">
        <f t="shared" si="243"/>
        <v>0</v>
      </c>
      <c r="AG1787" s="2">
        <v>10.6</v>
      </c>
      <c r="AH1787" s="2">
        <v>18</v>
      </c>
      <c r="AJ1787" s="2">
        <f t="shared" si="244"/>
        <v>0</v>
      </c>
      <c r="AK1787" s="2">
        <f t="shared" si="248"/>
        <v>34</v>
      </c>
      <c r="AL1787" s="5">
        <f t="shared" si="250"/>
        <v>0.24285714285714285</v>
      </c>
    </row>
    <row r="1788" spans="1:38" x14ac:dyDescent="0.2">
      <c r="A1788" s="2">
        <v>2025</v>
      </c>
      <c r="B1788" s="2">
        <v>8</v>
      </c>
      <c r="D1788" s="2" t="s">
        <v>597</v>
      </c>
      <c r="E1788" s="2" t="s">
        <v>38</v>
      </c>
      <c r="F1788" s="2" t="s">
        <v>39</v>
      </c>
      <c r="G1788" s="2">
        <v>509680364</v>
      </c>
      <c r="H1788" s="2" t="s">
        <v>41</v>
      </c>
      <c r="I1788" s="2" t="s">
        <v>598</v>
      </c>
      <c r="J1788" s="2" t="s">
        <v>599</v>
      </c>
      <c r="K1788" s="2">
        <v>919603867</v>
      </c>
      <c r="L1788" s="2" t="s">
        <v>600</v>
      </c>
      <c r="M1788" s="2" t="s">
        <v>41</v>
      </c>
      <c r="O1788" s="2" t="s">
        <v>1832</v>
      </c>
      <c r="P1788" s="2" t="s">
        <v>43</v>
      </c>
      <c r="Q1788" s="2" t="s">
        <v>48</v>
      </c>
      <c r="R1788" s="2" t="s">
        <v>49</v>
      </c>
      <c r="S1788" s="2">
        <v>2</v>
      </c>
      <c r="T1788" s="2">
        <v>0</v>
      </c>
      <c r="U1788" s="2">
        <v>0</v>
      </c>
      <c r="V1788" s="2">
        <v>0</v>
      </c>
      <c r="W1788" s="2">
        <f>6.6267*S1788</f>
        <v>13.253399999999999</v>
      </c>
      <c r="X1788" s="18">
        <f>IF(T1788=0,IF(W1788&gt;0,-100%,0%),(T1788-W1788)/T1788)</f>
        <v>-1</v>
      </c>
      <c r="Z1788" s="2" t="s">
        <v>3227</v>
      </c>
      <c r="AA1788" s="2" t="s">
        <v>46</v>
      </c>
      <c r="AB1788" s="2" t="s">
        <v>47</v>
      </c>
      <c r="AC1788" s="2" t="s">
        <v>57</v>
      </c>
      <c r="AF1788" s="2">
        <f t="shared" si="243"/>
        <v>0</v>
      </c>
      <c r="AG1788" s="2">
        <v>6.6266999999999996</v>
      </c>
      <c r="AH1788" s="2">
        <v>12</v>
      </c>
      <c r="AJ1788" s="2">
        <f t="shared" si="244"/>
        <v>0</v>
      </c>
      <c r="AK1788" s="2">
        <f t="shared" si="248"/>
        <v>-13.253399999999999</v>
      </c>
      <c r="AL1788" s="18">
        <v>-1</v>
      </c>
    </row>
    <row r="1789" spans="1:38" x14ac:dyDescent="0.2">
      <c r="A1789" s="2">
        <v>2025</v>
      </c>
      <c r="B1789" s="2">
        <v>8</v>
      </c>
      <c r="D1789" s="2" t="s">
        <v>597</v>
      </c>
      <c r="E1789" s="2" t="s">
        <v>38</v>
      </c>
      <c r="F1789" s="2" t="s">
        <v>39</v>
      </c>
      <c r="G1789" s="2">
        <v>509680364</v>
      </c>
      <c r="H1789" s="2" t="s">
        <v>41</v>
      </c>
      <c r="I1789" s="2" t="s">
        <v>598</v>
      </c>
      <c r="J1789" s="2" t="s">
        <v>599</v>
      </c>
      <c r="K1789" s="2">
        <v>919603867</v>
      </c>
      <c r="L1789" s="2" t="s">
        <v>600</v>
      </c>
      <c r="M1789" s="2" t="s">
        <v>41</v>
      </c>
      <c r="O1789" s="2" t="s">
        <v>1832</v>
      </c>
      <c r="P1789" s="2" t="s">
        <v>43</v>
      </c>
      <c r="Q1789" s="2" t="s">
        <v>50</v>
      </c>
      <c r="R1789" s="2" t="s">
        <v>51</v>
      </c>
      <c r="S1789" s="2">
        <v>1</v>
      </c>
      <c r="T1789" s="2">
        <v>0</v>
      </c>
      <c r="U1789" s="2">
        <v>0</v>
      </c>
      <c r="V1789" s="2">
        <v>0</v>
      </c>
      <c r="W1789" s="2">
        <f>14.4*S1789</f>
        <v>14.4</v>
      </c>
      <c r="X1789" s="18">
        <f>IF(T1789=0,IF(W1789&gt;0,-100%,0%),(T1789-W1789)/T1789)</f>
        <v>-1</v>
      </c>
      <c r="Z1789" s="2" t="s">
        <v>3227</v>
      </c>
      <c r="AA1789" s="2" t="s">
        <v>46</v>
      </c>
      <c r="AB1789" s="2" t="s">
        <v>47</v>
      </c>
      <c r="AC1789" s="2" t="s">
        <v>57</v>
      </c>
      <c r="AF1789" s="2">
        <f t="shared" si="243"/>
        <v>0</v>
      </c>
      <c r="AG1789" s="2">
        <v>10.2346</v>
      </c>
      <c r="AH1789" s="2">
        <v>18</v>
      </c>
      <c r="AJ1789" s="2">
        <f t="shared" si="244"/>
        <v>0</v>
      </c>
      <c r="AK1789" s="2">
        <f t="shared" si="248"/>
        <v>-14.4</v>
      </c>
      <c r="AL1789" s="5">
        <v>-1</v>
      </c>
    </row>
    <row r="1790" spans="1:38" x14ac:dyDescent="0.2">
      <c r="A1790" s="2">
        <v>2025</v>
      </c>
      <c r="B1790" s="2">
        <v>8</v>
      </c>
      <c r="D1790" s="2" t="s">
        <v>597</v>
      </c>
      <c r="E1790" s="2" t="s">
        <v>38</v>
      </c>
      <c r="F1790" s="2" t="s">
        <v>39</v>
      </c>
      <c r="G1790" s="2">
        <v>509680364</v>
      </c>
      <c r="H1790" s="2" t="s">
        <v>41</v>
      </c>
      <c r="I1790" s="2" t="s">
        <v>598</v>
      </c>
      <c r="J1790" s="2" t="s">
        <v>599</v>
      </c>
      <c r="K1790" s="2">
        <v>919603867</v>
      </c>
      <c r="L1790" s="2" t="s">
        <v>600</v>
      </c>
      <c r="M1790" s="2" t="s">
        <v>41</v>
      </c>
      <c r="O1790" s="2" t="s">
        <v>1832</v>
      </c>
      <c r="P1790" s="2" t="s">
        <v>43</v>
      </c>
      <c r="Q1790" s="2" t="s">
        <v>160</v>
      </c>
      <c r="R1790" s="2" t="s">
        <v>161</v>
      </c>
      <c r="S1790" s="2">
        <v>2</v>
      </c>
      <c r="T1790" s="2">
        <v>0</v>
      </c>
      <c r="U1790" s="2">
        <v>0</v>
      </c>
      <c r="V1790" s="2">
        <v>0</v>
      </c>
      <c r="W1790" s="2">
        <f>3.7358*S1790</f>
        <v>7.4715999999999996</v>
      </c>
      <c r="X1790" s="18">
        <f>IF(T1790=0,IF(W1790&gt;0,-100%,0%),(T1790-W1790)/T1790)</f>
        <v>-1</v>
      </c>
      <c r="Z1790" s="2" t="s">
        <v>3227</v>
      </c>
      <c r="AA1790" s="2" t="s">
        <v>46</v>
      </c>
      <c r="AB1790" s="2" t="s">
        <v>47</v>
      </c>
      <c r="AC1790" s="2" t="s">
        <v>57</v>
      </c>
      <c r="AF1790" s="2">
        <f t="shared" si="243"/>
        <v>0</v>
      </c>
      <c r="AG1790" s="2">
        <v>3.7357999999999998</v>
      </c>
      <c r="AH1790" s="2">
        <v>9</v>
      </c>
      <c r="AJ1790" s="2">
        <f t="shared" si="244"/>
        <v>0</v>
      </c>
      <c r="AK1790" s="2">
        <f t="shared" si="248"/>
        <v>-7.4715999999999996</v>
      </c>
      <c r="AL1790" s="18">
        <v>-1</v>
      </c>
    </row>
    <row r="1791" spans="1:38" x14ac:dyDescent="0.2">
      <c r="A1791" s="2">
        <v>2025</v>
      </c>
      <c r="B1791" s="2">
        <v>8</v>
      </c>
      <c r="D1791" s="2" t="s">
        <v>597</v>
      </c>
      <c r="E1791" s="2" t="s">
        <v>38</v>
      </c>
      <c r="F1791" s="2" t="s">
        <v>39</v>
      </c>
      <c r="G1791" s="2">
        <v>509680364</v>
      </c>
      <c r="H1791" s="2" t="s">
        <v>41</v>
      </c>
      <c r="I1791" s="2" t="s">
        <v>598</v>
      </c>
      <c r="J1791" s="2" t="s">
        <v>599</v>
      </c>
      <c r="K1791" s="2">
        <v>919603867</v>
      </c>
      <c r="L1791" s="2" t="s">
        <v>600</v>
      </c>
      <c r="M1791" s="2" t="s">
        <v>41</v>
      </c>
      <c r="O1791" s="2" t="s">
        <v>1832</v>
      </c>
      <c r="P1791" s="2" t="s">
        <v>43</v>
      </c>
      <c r="Q1791" s="2" t="s">
        <v>52</v>
      </c>
      <c r="R1791" s="2" t="s">
        <v>53</v>
      </c>
      <c r="S1791" s="2">
        <v>2</v>
      </c>
      <c r="T1791" s="2">
        <v>0</v>
      </c>
      <c r="U1791" s="2">
        <v>0</v>
      </c>
      <c r="V1791" s="2">
        <v>0</v>
      </c>
      <c r="W1791" s="2">
        <f>5.2973*S1791</f>
        <v>10.5946</v>
      </c>
      <c r="X1791" s="18">
        <f>IF(T1791=0,IF(W1791&gt;0,-100%,0%),(T1791-W1791)/T1791)</f>
        <v>-1</v>
      </c>
      <c r="Z1791" s="2" t="s">
        <v>3227</v>
      </c>
      <c r="AA1791" s="2" t="s">
        <v>46</v>
      </c>
      <c r="AB1791" s="2" t="s">
        <v>47</v>
      </c>
      <c r="AC1791" s="2" t="s">
        <v>57</v>
      </c>
      <c r="AF1791" s="2">
        <f t="shared" si="243"/>
        <v>0</v>
      </c>
      <c r="AG1791" s="2">
        <v>5.2972999999999999</v>
      </c>
      <c r="AH1791" s="2">
        <v>10.8</v>
      </c>
      <c r="AJ1791" s="2">
        <f t="shared" si="244"/>
        <v>0</v>
      </c>
      <c r="AK1791" s="2">
        <f t="shared" si="248"/>
        <v>-10.5946</v>
      </c>
      <c r="AL1791" s="18">
        <v>-1</v>
      </c>
    </row>
    <row r="1792" spans="1:38" x14ac:dyDescent="0.2">
      <c r="A1792" s="2">
        <v>2025</v>
      </c>
      <c r="B1792" s="2">
        <v>8</v>
      </c>
      <c r="D1792" s="2" t="s">
        <v>597</v>
      </c>
      <c r="E1792" s="2" t="s">
        <v>38</v>
      </c>
      <c r="F1792" s="2" t="s">
        <v>39</v>
      </c>
      <c r="G1792" s="2">
        <v>509680364</v>
      </c>
      <c r="H1792" s="2" t="s">
        <v>41</v>
      </c>
      <c r="I1792" s="2" t="s">
        <v>598</v>
      </c>
      <c r="J1792" s="2" t="s">
        <v>599</v>
      </c>
      <c r="K1792" s="2">
        <v>919603867</v>
      </c>
      <c r="L1792" s="2" t="s">
        <v>600</v>
      </c>
      <c r="M1792" s="2" t="s">
        <v>41</v>
      </c>
      <c r="O1792" s="2" t="s">
        <v>1832</v>
      </c>
      <c r="P1792" s="2" t="s">
        <v>84</v>
      </c>
      <c r="Q1792" s="2" t="s">
        <v>274</v>
      </c>
      <c r="R1792" s="2" t="s">
        <v>275</v>
      </c>
      <c r="S1792" s="2">
        <v>1</v>
      </c>
      <c r="T1792" s="2">
        <v>0</v>
      </c>
      <c r="U1792" s="2">
        <v>0</v>
      </c>
      <c r="V1792" s="2">
        <v>0</v>
      </c>
      <c r="W1792" s="2">
        <v>2.94</v>
      </c>
      <c r="X1792" s="18">
        <v>-1</v>
      </c>
      <c r="Z1792" s="2" t="s">
        <v>3227</v>
      </c>
      <c r="AA1792" s="2" t="s">
        <v>87</v>
      </c>
      <c r="AB1792" s="2" t="s">
        <v>90</v>
      </c>
      <c r="AC1792" s="2" t="s">
        <v>84</v>
      </c>
      <c r="AF1792" s="2">
        <f t="shared" si="243"/>
        <v>0</v>
      </c>
      <c r="AJ1792" s="2">
        <f t="shared" si="244"/>
        <v>0</v>
      </c>
      <c r="AK1792" s="2">
        <f t="shared" si="248"/>
        <v>-2.94</v>
      </c>
      <c r="AL1792" s="5">
        <v>-1</v>
      </c>
    </row>
    <row r="1793" spans="1:38" x14ac:dyDescent="0.2">
      <c r="A1793" s="2">
        <v>2025</v>
      </c>
      <c r="B1793" s="2">
        <v>8</v>
      </c>
      <c r="C1793" s="2" t="s">
        <v>3318</v>
      </c>
      <c r="D1793" s="2" t="s">
        <v>1635</v>
      </c>
      <c r="E1793" s="2" t="s">
        <v>2446</v>
      </c>
      <c r="F1793" s="2" t="s">
        <v>39</v>
      </c>
      <c r="L1793" s="2" t="s">
        <v>398</v>
      </c>
      <c r="M1793" s="2" t="s">
        <v>109</v>
      </c>
      <c r="P1793" s="2" t="s">
        <v>282</v>
      </c>
      <c r="Q1793" s="2" t="s">
        <v>1636</v>
      </c>
      <c r="R1793" s="2" t="s">
        <v>1637</v>
      </c>
      <c r="S1793" s="2">
        <v>-1</v>
      </c>
      <c r="T1793" s="2">
        <v>-66.900000000000006</v>
      </c>
      <c r="U1793" s="2">
        <v>-15.387</v>
      </c>
      <c r="V1793" s="2">
        <v>-82.287000000000006</v>
      </c>
      <c r="W1793" s="2">
        <v>46.04</v>
      </c>
      <c r="X1793" s="18">
        <f>SIGN(T1793)*((ABS(T1793)-W1793)/ABS(T1793))</f>
        <v>-0.31180866965620335</v>
      </c>
      <c r="Z1793" s="2" t="s">
        <v>3227</v>
      </c>
      <c r="AA1793" s="2" t="s">
        <v>71</v>
      </c>
      <c r="AB1793" s="2" t="s">
        <v>1600</v>
      </c>
      <c r="AC1793" s="2" t="s">
        <v>1600</v>
      </c>
      <c r="AF1793" s="2">
        <f t="shared" si="243"/>
        <v>0</v>
      </c>
      <c r="AJ1793" s="2">
        <f t="shared" si="244"/>
        <v>0</v>
      </c>
      <c r="AK1793" s="2">
        <f>T1793+(W1793)</f>
        <v>-20.860000000000007</v>
      </c>
      <c r="AL1793" s="18">
        <f>SIGN(T1793)*((ABS(T1793)-W1793)/ABS(T1793))</f>
        <v>-0.31180866965620335</v>
      </c>
    </row>
    <row r="1794" spans="1:38" x14ac:dyDescent="0.2">
      <c r="A1794" s="2">
        <v>2025</v>
      </c>
      <c r="B1794" s="2">
        <v>8</v>
      </c>
      <c r="D1794" s="2" t="s">
        <v>613</v>
      </c>
      <c r="G1794" s="2">
        <v>518447626</v>
      </c>
      <c r="I1794" s="2" t="s">
        <v>3153</v>
      </c>
      <c r="M1794" s="2" t="s">
        <v>41</v>
      </c>
      <c r="O1794" s="2" t="s">
        <v>3152</v>
      </c>
      <c r="P1794" s="2" t="s">
        <v>1038</v>
      </c>
      <c r="Q1794" s="2" t="s">
        <v>1833</v>
      </c>
      <c r="R1794" s="2" t="s">
        <v>1834</v>
      </c>
      <c r="S1794" s="2">
        <v>1</v>
      </c>
      <c r="T1794" s="2">
        <v>260</v>
      </c>
      <c r="U1794" s="2">
        <v>59.8</v>
      </c>
      <c r="V1794" s="2">
        <v>319.8</v>
      </c>
      <c r="W1794" s="2">
        <v>157.85</v>
      </c>
      <c r="X1794" s="5">
        <f t="shared" ref="X1794:X1802" si="251">(T1794-W1794)/T1794</f>
        <v>0.39288461538461539</v>
      </c>
      <c r="Z1794" s="2" t="s">
        <v>3227</v>
      </c>
      <c r="AA1794" s="2" t="s">
        <v>75</v>
      </c>
      <c r="AB1794" s="2" t="s">
        <v>76</v>
      </c>
      <c r="AC1794" s="2" t="s">
        <v>1038</v>
      </c>
      <c r="AF1794" s="2">
        <f t="shared" ref="AF1794:AF1857" si="252">AJ1794</f>
        <v>0</v>
      </c>
      <c r="AG1794" s="2">
        <v>157.85</v>
      </c>
      <c r="AJ1794" s="2">
        <f t="shared" ref="AJ1794:AJ1857" si="253">AI1794*T1794</f>
        <v>0</v>
      </c>
      <c r="AK1794" s="2">
        <f t="shared" ref="AK1794:AK1807" si="254">T1794-W1794</f>
        <v>102.15</v>
      </c>
      <c r="AL1794" s="5">
        <f t="shared" ref="AL1794:AL1802" si="255">(T1794-W1794)/T1794</f>
        <v>0.39288461538461539</v>
      </c>
    </row>
    <row r="1795" spans="1:38" x14ac:dyDescent="0.2">
      <c r="A1795" s="2">
        <v>2025</v>
      </c>
      <c r="B1795" s="2">
        <v>8</v>
      </c>
      <c r="D1795" s="2" t="s">
        <v>613</v>
      </c>
      <c r="P1795" s="2" t="s">
        <v>93</v>
      </c>
      <c r="Q1795" s="2" t="s">
        <v>94</v>
      </c>
      <c r="R1795" s="2" t="s">
        <v>95</v>
      </c>
      <c r="S1795" s="2">
        <v>1</v>
      </c>
      <c r="T1795" s="2">
        <v>1.1399999999999999</v>
      </c>
      <c r="U1795" s="2">
        <v>0.26219999999999999</v>
      </c>
      <c r="V1795" s="2">
        <v>1.4021999999999999</v>
      </c>
      <c r="W1795" s="2">
        <v>1.1399999999999999</v>
      </c>
      <c r="X1795" s="5">
        <f t="shared" si="251"/>
        <v>0</v>
      </c>
      <c r="Z1795" s="2" t="s">
        <v>3227</v>
      </c>
      <c r="AA1795" s="2" t="s">
        <v>96</v>
      </c>
      <c r="AB1795" s="2" t="s">
        <v>76</v>
      </c>
      <c r="AC1795" s="2" t="s">
        <v>93</v>
      </c>
      <c r="AF1795" s="2">
        <f t="shared" si="252"/>
        <v>0</v>
      </c>
      <c r="AJ1795" s="2">
        <f t="shared" si="253"/>
        <v>0</v>
      </c>
      <c r="AK1795" s="2">
        <f t="shared" si="254"/>
        <v>0</v>
      </c>
      <c r="AL1795" s="5">
        <f t="shared" si="255"/>
        <v>0</v>
      </c>
    </row>
    <row r="1796" spans="1:38" x14ac:dyDescent="0.2">
      <c r="A1796" s="2">
        <v>2025</v>
      </c>
      <c r="B1796" s="2">
        <v>8</v>
      </c>
      <c r="D1796" s="2" t="s">
        <v>1295</v>
      </c>
      <c r="E1796" s="2" t="s">
        <v>183</v>
      </c>
      <c r="F1796" s="2" t="s">
        <v>366</v>
      </c>
      <c r="G1796" s="2">
        <v>500625654</v>
      </c>
      <c r="H1796" s="2" t="s">
        <v>290</v>
      </c>
      <c r="I1796" s="2" t="s">
        <v>339</v>
      </c>
      <c r="J1796" s="2" t="s">
        <v>1296</v>
      </c>
      <c r="L1796" s="2" t="s">
        <v>339</v>
      </c>
      <c r="M1796" s="2" t="s">
        <v>80</v>
      </c>
      <c r="P1796" s="2" t="s">
        <v>40</v>
      </c>
      <c r="Q1796" s="2" t="s">
        <v>1835</v>
      </c>
      <c r="R1796" s="2" t="s">
        <v>1836</v>
      </c>
      <c r="S1796" s="2">
        <v>1</v>
      </c>
      <c r="T1796" s="2">
        <v>210</v>
      </c>
      <c r="U1796" s="2">
        <v>48.3</v>
      </c>
      <c r="V1796" s="2">
        <v>258.3</v>
      </c>
      <c r="W1796" s="2">
        <v>110</v>
      </c>
      <c r="X1796" s="5">
        <f t="shared" si="251"/>
        <v>0.47619047619047616</v>
      </c>
      <c r="Z1796" s="2" t="s">
        <v>3227</v>
      </c>
      <c r="AA1796" s="2" t="s">
        <v>75</v>
      </c>
      <c r="AB1796" s="2" t="s">
        <v>76</v>
      </c>
      <c r="AC1796" s="2" t="s">
        <v>40</v>
      </c>
      <c r="AF1796" s="2">
        <f t="shared" si="252"/>
        <v>0</v>
      </c>
      <c r="AJ1796" s="2">
        <f t="shared" si="253"/>
        <v>0</v>
      </c>
      <c r="AK1796" s="2">
        <f t="shared" si="254"/>
        <v>100</v>
      </c>
      <c r="AL1796" s="5">
        <f t="shared" si="255"/>
        <v>0.47619047619047616</v>
      </c>
    </row>
    <row r="1797" spans="1:38" x14ac:dyDescent="0.2">
      <c r="A1797" s="2">
        <v>2025</v>
      </c>
      <c r="B1797" s="2">
        <v>8</v>
      </c>
      <c r="D1797" s="2" t="s">
        <v>1295</v>
      </c>
      <c r="E1797" s="2" t="s">
        <v>183</v>
      </c>
      <c r="F1797" s="2" t="s">
        <v>366</v>
      </c>
      <c r="G1797" s="2">
        <v>500625654</v>
      </c>
      <c r="H1797" s="2" t="s">
        <v>290</v>
      </c>
      <c r="I1797" s="2" t="s">
        <v>339</v>
      </c>
      <c r="J1797" s="2" t="s">
        <v>1296</v>
      </c>
      <c r="L1797" s="2" t="s">
        <v>339</v>
      </c>
      <c r="M1797" s="2" t="s">
        <v>290</v>
      </c>
      <c r="O1797" s="2" t="s">
        <v>3205</v>
      </c>
      <c r="P1797" s="2" t="s">
        <v>72</v>
      </c>
      <c r="Q1797" s="2" t="s">
        <v>78</v>
      </c>
      <c r="R1797" s="2" t="s">
        <v>79</v>
      </c>
      <c r="S1797" s="2">
        <v>1</v>
      </c>
      <c r="T1797" s="2">
        <v>205</v>
      </c>
      <c r="U1797" s="2">
        <v>47.15</v>
      </c>
      <c r="V1797" s="2">
        <v>252.15</v>
      </c>
      <c r="W1797" s="2">
        <v>111.98</v>
      </c>
      <c r="X1797" s="5">
        <f t="shared" si="251"/>
        <v>0.45375609756097557</v>
      </c>
      <c r="Z1797" s="2" t="s">
        <v>3227</v>
      </c>
      <c r="AA1797" s="2" t="s">
        <v>75</v>
      </c>
      <c r="AB1797" s="2" t="s">
        <v>76</v>
      </c>
      <c r="AC1797" s="2" t="s">
        <v>77</v>
      </c>
      <c r="AF1797" s="2">
        <f t="shared" si="252"/>
        <v>0</v>
      </c>
      <c r="AG1797" s="2">
        <v>111.98</v>
      </c>
      <c r="AH1797" s="2">
        <v>210</v>
      </c>
      <c r="AJ1797" s="2">
        <f t="shared" si="253"/>
        <v>0</v>
      </c>
      <c r="AK1797" s="2">
        <f t="shared" si="254"/>
        <v>93.02</v>
      </c>
      <c r="AL1797" s="5">
        <f t="shared" si="255"/>
        <v>0.45375609756097557</v>
      </c>
    </row>
    <row r="1798" spans="1:38" x14ac:dyDescent="0.2">
      <c r="A1798" s="2">
        <v>2025</v>
      </c>
      <c r="B1798" s="2">
        <v>8</v>
      </c>
      <c r="D1798" s="2" t="s">
        <v>1295</v>
      </c>
      <c r="E1798" s="2" t="s">
        <v>183</v>
      </c>
      <c r="F1798" s="2" t="s">
        <v>366</v>
      </c>
      <c r="G1798" s="2">
        <v>500625654</v>
      </c>
      <c r="H1798" s="2" t="s">
        <v>290</v>
      </c>
      <c r="I1798" s="2" t="s">
        <v>339</v>
      </c>
      <c r="J1798" s="2" t="s">
        <v>1296</v>
      </c>
      <c r="L1798" s="2" t="s">
        <v>339</v>
      </c>
      <c r="M1798" s="2" t="s">
        <v>290</v>
      </c>
      <c r="P1798" s="2" t="s">
        <v>93</v>
      </c>
      <c r="Q1798" s="2" t="s">
        <v>94</v>
      </c>
      <c r="R1798" s="2" t="s">
        <v>95</v>
      </c>
      <c r="S1798" s="2">
        <v>2</v>
      </c>
      <c r="T1798" s="2">
        <v>2.2799999999999998</v>
      </c>
      <c r="U1798" s="2">
        <v>0.52439999999999998</v>
      </c>
      <c r="V1798" s="2">
        <v>2.8043999999999998</v>
      </c>
      <c r="W1798" s="2">
        <v>2.2799999999999998</v>
      </c>
      <c r="X1798" s="5">
        <f t="shared" si="251"/>
        <v>0</v>
      </c>
      <c r="Z1798" s="2" t="s">
        <v>3227</v>
      </c>
      <c r="AA1798" s="2" t="s">
        <v>96</v>
      </c>
      <c r="AB1798" s="2" t="s">
        <v>76</v>
      </c>
      <c r="AC1798" s="2" t="s">
        <v>93</v>
      </c>
      <c r="AF1798" s="2">
        <f t="shared" si="252"/>
        <v>0</v>
      </c>
      <c r="AJ1798" s="2">
        <f t="shared" si="253"/>
        <v>0</v>
      </c>
      <c r="AK1798" s="2">
        <f t="shared" si="254"/>
        <v>0</v>
      </c>
      <c r="AL1798" s="5">
        <f t="shared" si="255"/>
        <v>0</v>
      </c>
    </row>
    <row r="1799" spans="1:38" x14ac:dyDescent="0.2">
      <c r="A1799" s="2">
        <v>2025</v>
      </c>
      <c r="B1799" s="2">
        <v>8</v>
      </c>
      <c r="D1799" s="2" t="s">
        <v>617</v>
      </c>
      <c r="E1799" s="2" t="s">
        <v>38</v>
      </c>
      <c r="F1799" s="2" t="s">
        <v>39</v>
      </c>
      <c r="G1799" s="2">
        <v>513759654</v>
      </c>
      <c r="H1799" s="2" t="s">
        <v>41</v>
      </c>
      <c r="I1799" s="2" t="s">
        <v>618</v>
      </c>
      <c r="J1799" s="2" t="s">
        <v>619</v>
      </c>
      <c r="L1799" s="2" t="s">
        <v>418</v>
      </c>
      <c r="M1799" s="2" t="s">
        <v>41</v>
      </c>
      <c r="O1799" s="2" t="s">
        <v>1837</v>
      </c>
      <c r="P1799" s="2" t="s">
        <v>43</v>
      </c>
      <c r="Q1799" s="2" t="s">
        <v>158</v>
      </c>
      <c r="R1799" s="2" t="s">
        <v>159</v>
      </c>
      <c r="S1799" s="2">
        <v>1</v>
      </c>
      <c r="T1799" s="2">
        <v>18.600000000000001</v>
      </c>
      <c r="U1799" s="2">
        <v>4.2779999999999996</v>
      </c>
      <c r="V1799" s="2">
        <v>22.878</v>
      </c>
      <c r="W1799" s="2">
        <f>9.3*S1799</f>
        <v>9.3000000000000007</v>
      </c>
      <c r="X1799" s="5">
        <f t="shared" si="251"/>
        <v>0.5</v>
      </c>
      <c r="Z1799" s="2" t="s">
        <v>3227</v>
      </c>
      <c r="AA1799" s="2" t="s">
        <v>46</v>
      </c>
      <c r="AB1799" s="2" t="s">
        <v>47</v>
      </c>
      <c r="AC1799" s="2" t="s">
        <v>57</v>
      </c>
      <c r="AF1799" s="2">
        <f t="shared" si="252"/>
        <v>0</v>
      </c>
      <c r="AG1799" s="2">
        <v>9.3000000000000007</v>
      </c>
      <c r="AH1799" s="2">
        <v>21</v>
      </c>
      <c r="AJ1799" s="2">
        <f t="shared" si="253"/>
        <v>0</v>
      </c>
      <c r="AK1799" s="2">
        <f t="shared" si="254"/>
        <v>9.3000000000000007</v>
      </c>
      <c r="AL1799" s="5">
        <f t="shared" si="255"/>
        <v>0.5</v>
      </c>
    </row>
    <row r="1800" spans="1:38" x14ac:dyDescent="0.2">
      <c r="A1800" s="2">
        <v>2025</v>
      </c>
      <c r="B1800" s="2">
        <v>8</v>
      </c>
      <c r="D1800" s="2" t="s">
        <v>617</v>
      </c>
      <c r="E1800" s="2" t="s">
        <v>38</v>
      </c>
      <c r="F1800" s="2" t="s">
        <v>39</v>
      </c>
      <c r="G1800" s="2">
        <v>513759654</v>
      </c>
      <c r="H1800" s="2" t="s">
        <v>41</v>
      </c>
      <c r="I1800" s="2" t="s">
        <v>618</v>
      </c>
      <c r="J1800" s="2" t="s">
        <v>619</v>
      </c>
      <c r="L1800" s="2" t="s">
        <v>418</v>
      </c>
      <c r="M1800" s="2" t="s">
        <v>41</v>
      </c>
      <c r="P1800" s="2" t="s">
        <v>43</v>
      </c>
      <c r="Q1800" s="2" t="s">
        <v>54</v>
      </c>
      <c r="R1800" s="2" t="s">
        <v>55</v>
      </c>
      <c r="S1800" s="2">
        <v>10</v>
      </c>
      <c r="T1800" s="2">
        <v>140</v>
      </c>
      <c r="U1800" s="2">
        <v>32.200000000000003</v>
      </c>
      <c r="V1800" s="2">
        <v>172.2</v>
      </c>
      <c r="W1800" s="2">
        <f>10.6*S1800</f>
        <v>106</v>
      </c>
      <c r="X1800" s="5">
        <f t="shared" si="251"/>
        <v>0.24285714285714285</v>
      </c>
      <c r="Z1800" s="2" t="s">
        <v>3227</v>
      </c>
      <c r="AA1800" s="2" t="s">
        <v>46</v>
      </c>
      <c r="AB1800" s="2" t="s">
        <v>56</v>
      </c>
      <c r="AC1800" s="2" t="s">
        <v>57</v>
      </c>
      <c r="AF1800" s="2">
        <f t="shared" si="252"/>
        <v>0</v>
      </c>
      <c r="AG1800" s="2">
        <v>10.6</v>
      </c>
      <c r="AH1800" s="2">
        <v>18</v>
      </c>
      <c r="AJ1800" s="2">
        <f t="shared" si="253"/>
        <v>0</v>
      </c>
      <c r="AK1800" s="2">
        <f t="shared" si="254"/>
        <v>34</v>
      </c>
      <c r="AL1800" s="5">
        <f t="shared" si="255"/>
        <v>0.24285714285714285</v>
      </c>
    </row>
    <row r="1801" spans="1:38" x14ac:dyDescent="0.2">
      <c r="A1801" s="2">
        <v>2025</v>
      </c>
      <c r="B1801" s="2">
        <v>8</v>
      </c>
      <c r="D1801" s="2" t="s">
        <v>617</v>
      </c>
      <c r="E1801" s="2" t="s">
        <v>38</v>
      </c>
      <c r="F1801" s="2" t="s">
        <v>39</v>
      </c>
      <c r="G1801" s="2">
        <v>513759654</v>
      </c>
      <c r="H1801" s="2" t="s">
        <v>41</v>
      </c>
      <c r="I1801" s="2" t="s">
        <v>618</v>
      </c>
      <c r="J1801" s="2" t="s">
        <v>619</v>
      </c>
      <c r="L1801" s="2" t="s">
        <v>418</v>
      </c>
      <c r="M1801" s="2" t="s">
        <v>41</v>
      </c>
      <c r="P1801" s="2" t="s">
        <v>43</v>
      </c>
      <c r="Q1801" s="2" t="s">
        <v>58</v>
      </c>
      <c r="R1801" s="2" t="s">
        <v>59</v>
      </c>
      <c r="S1801" s="2">
        <v>300</v>
      </c>
      <c r="T1801" s="2">
        <v>39</v>
      </c>
      <c r="U1801" s="2">
        <v>8.9700000000000006</v>
      </c>
      <c r="V1801" s="2">
        <v>47.97</v>
      </c>
      <c r="W1801" s="2">
        <f>0.0914*S1801</f>
        <v>27.419999999999998</v>
      </c>
      <c r="X1801" s="5">
        <f t="shared" si="251"/>
        <v>0.29692307692307696</v>
      </c>
      <c r="Z1801" s="2" t="s">
        <v>3227</v>
      </c>
      <c r="AA1801" s="2" t="s">
        <v>46</v>
      </c>
      <c r="AB1801" s="2" t="s">
        <v>60</v>
      </c>
      <c r="AC1801" s="2" t="s">
        <v>57</v>
      </c>
      <c r="AF1801" s="2">
        <f t="shared" si="252"/>
        <v>0</v>
      </c>
      <c r="AG1801" s="2">
        <v>9.14</v>
      </c>
      <c r="AH1801" s="2">
        <v>16</v>
      </c>
      <c r="AJ1801" s="2">
        <f t="shared" si="253"/>
        <v>0</v>
      </c>
      <c r="AK1801" s="2">
        <f t="shared" si="254"/>
        <v>11.580000000000002</v>
      </c>
      <c r="AL1801" s="5">
        <f t="shared" si="255"/>
        <v>0.29692307692307696</v>
      </c>
    </row>
    <row r="1802" spans="1:38" x14ac:dyDescent="0.2">
      <c r="A1802" s="2">
        <v>2025</v>
      </c>
      <c r="B1802" s="2">
        <v>8</v>
      </c>
      <c r="D1802" s="2" t="s">
        <v>617</v>
      </c>
      <c r="E1802" s="2" t="s">
        <v>38</v>
      </c>
      <c r="F1802" s="2" t="s">
        <v>39</v>
      </c>
      <c r="G1802" s="2">
        <v>513759654</v>
      </c>
      <c r="H1802" s="2" t="s">
        <v>41</v>
      </c>
      <c r="I1802" s="2" t="s">
        <v>618</v>
      </c>
      <c r="J1802" s="2" t="s">
        <v>619</v>
      </c>
      <c r="L1802" s="2" t="s">
        <v>418</v>
      </c>
      <c r="M1802" s="2" t="s">
        <v>41</v>
      </c>
      <c r="P1802" s="2" t="s">
        <v>43</v>
      </c>
      <c r="Q1802" s="2" t="s">
        <v>61</v>
      </c>
      <c r="R1802" s="2" t="s">
        <v>62</v>
      </c>
      <c r="S1802" s="2">
        <v>300</v>
      </c>
      <c r="T1802" s="2">
        <v>36</v>
      </c>
      <c r="U1802" s="2">
        <v>8.2800000000000011</v>
      </c>
      <c r="V1802" s="2">
        <v>44.28</v>
      </c>
      <c r="W1802" s="2">
        <f>0.082*S1802</f>
        <v>24.6</v>
      </c>
      <c r="X1802" s="5">
        <f t="shared" si="251"/>
        <v>0.31666666666666665</v>
      </c>
      <c r="Z1802" s="2" t="s">
        <v>3227</v>
      </c>
      <c r="AA1802" s="2" t="s">
        <v>46</v>
      </c>
      <c r="AB1802" s="2" t="s">
        <v>60</v>
      </c>
      <c r="AC1802" s="2" t="s">
        <v>57</v>
      </c>
      <c r="AF1802" s="2">
        <f t="shared" si="252"/>
        <v>0</v>
      </c>
      <c r="AG1802" s="2">
        <v>8.1999999999999993</v>
      </c>
      <c r="AH1802" s="2">
        <v>13</v>
      </c>
      <c r="AJ1802" s="2">
        <f t="shared" si="253"/>
        <v>0</v>
      </c>
      <c r="AK1802" s="2">
        <f t="shared" si="254"/>
        <v>11.399999999999999</v>
      </c>
      <c r="AL1802" s="5">
        <f t="shared" si="255"/>
        <v>0.31666666666666665</v>
      </c>
    </row>
    <row r="1803" spans="1:38" x14ac:dyDescent="0.2">
      <c r="A1803" s="2">
        <v>2025</v>
      </c>
      <c r="B1803" s="2">
        <v>8</v>
      </c>
      <c r="D1803" s="2" t="s">
        <v>1838</v>
      </c>
      <c r="M1803" s="2" t="s">
        <v>40</v>
      </c>
      <c r="P1803" s="2" t="s">
        <v>187</v>
      </c>
      <c r="Q1803" s="2" t="s">
        <v>188</v>
      </c>
      <c r="R1803" s="2" t="s">
        <v>189</v>
      </c>
      <c r="S1803" s="2">
        <v>1</v>
      </c>
      <c r="T1803" s="2">
        <v>0</v>
      </c>
      <c r="U1803" s="2">
        <v>0</v>
      </c>
      <c r="V1803" s="2">
        <v>0</v>
      </c>
      <c r="W1803" s="2">
        <f>T1803*40%</f>
        <v>0</v>
      </c>
      <c r="X1803" s="5">
        <v>0</v>
      </c>
      <c r="Z1803" s="2" t="s">
        <v>117</v>
      </c>
      <c r="AA1803" s="2" t="s">
        <v>190</v>
      </c>
      <c r="AB1803" s="2" t="s">
        <v>189</v>
      </c>
      <c r="AC1803" s="2" t="s">
        <v>40</v>
      </c>
      <c r="AF1803" s="2">
        <f t="shared" si="252"/>
        <v>0</v>
      </c>
      <c r="AJ1803" s="2">
        <f t="shared" si="253"/>
        <v>0</v>
      </c>
      <c r="AK1803" s="2">
        <f t="shared" si="254"/>
        <v>0</v>
      </c>
      <c r="AL1803" s="5">
        <v>0</v>
      </c>
    </row>
    <row r="1804" spans="1:38" x14ac:dyDescent="0.2">
      <c r="A1804" s="2">
        <v>2025</v>
      </c>
      <c r="B1804" s="2">
        <v>8</v>
      </c>
      <c r="D1804" s="2" t="s">
        <v>1838</v>
      </c>
      <c r="M1804" s="2" t="s">
        <v>40</v>
      </c>
      <c r="P1804" s="2" t="s">
        <v>187</v>
      </c>
      <c r="Q1804" s="2" t="s">
        <v>191</v>
      </c>
      <c r="R1804" s="2" t="s">
        <v>190</v>
      </c>
      <c r="S1804" s="2">
        <v>0.5</v>
      </c>
      <c r="T1804" s="2">
        <v>25</v>
      </c>
      <c r="U1804" s="2">
        <v>5.75</v>
      </c>
      <c r="V1804" s="2">
        <v>30.75</v>
      </c>
      <c r="W1804" s="2">
        <f>T1804*50%</f>
        <v>12.5</v>
      </c>
      <c r="X1804" s="5">
        <f>(T1804-W1804)/T1804</f>
        <v>0.5</v>
      </c>
      <c r="Z1804" s="2" t="s">
        <v>117</v>
      </c>
      <c r="AA1804" s="2" t="s">
        <v>190</v>
      </c>
      <c r="AB1804" s="2" t="s">
        <v>190</v>
      </c>
      <c r="AC1804" s="2" t="s">
        <v>40</v>
      </c>
      <c r="AF1804" s="2">
        <f t="shared" si="252"/>
        <v>0</v>
      </c>
      <c r="AJ1804" s="2">
        <f t="shared" si="253"/>
        <v>0</v>
      </c>
      <c r="AK1804" s="2">
        <f t="shared" si="254"/>
        <v>12.5</v>
      </c>
      <c r="AL1804" s="5">
        <f>(T1804-W1804)/T1804</f>
        <v>0.5</v>
      </c>
    </row>
    <row r="1805" spans="1:38" x14ac:dyDescent="0.2">
      <c r="A1805" s="2">
        <v>2025</v>
      </c>
      <c r="B1805" s="2">
        <v>8</v>
      </c>
      <c r="D1805" s="2" t="s">
        <v>1113</v>
      </c>
      <c r="E1805" s="2" t="s">
        <v>38</v>
      </c>
      <c r="F1805" s="2" t="s">
        <v>39</v>
      </c>
      <c r="G1805" s="2">
        <v>210420588</v>
      </c>
      <c r="H1805" s="2" t="s">
        <v>40</v>
      </c>
      <c r="I1805" s="2" t="s">
        <v>1114</v>
      </c>
      <c r="J1805" s="2" t="s">
        <v>1115</v>
      </c>
      <c r="K1805" s="2">
        <v>914550474</v>
      </c>
      <c r="L1805" s="2" t="s">
        <v>99</v>
      </c>
      <c r="M1805" s="2" t="s">
        <v>80</v>
      </c>
      <c r="O1805" s="2" t="s">
        <v>1839</v>
      </c>
      <c r="P1805" s="2" t="s">
        <v>43</v>
      </c>
      <c r="Q1805" s="2" t="s">
        <v>160</v>
      </c>
      <c r="R1805" s="2" t="s">
        <v>161</v>
      </c>
      <c r="S1805" s="2">
        <v>6</v>
      </c>
      <c r="T1805" s="2">
        <v>46.8</v>
      </c>
      <c r="U1805" s="2">
        <v>10.763999999999999</v>
      </c>
      <c r="V1805" s="2">
        <v>57.563999999999993</v>
      </c>
      <c r="W1805" s="2">
        <f>3.7358*S1805</f>
        <v>22.4148</v>
      </c>
      <c r="X1805" s="5">
        <f>(T1805-W1805)/T1805</f>
        <v>0.52105128205128204</v>
      </c>
      <c r="Z1805" s="2" t="s">
        <v>3227</v>
      </c>
      <c r="AA1805" s="2" t="s">
        <v>46</v>
      </c>
      <c r="AB1805" s="2" t="s">
        <v>47</v>
      </c>
      <c r="AC1805" s="2" t="s">
        <v>57</v>
      </c>
      <c r="AF1805" s="2">
        <f t="shared" si="252"/>
        <v>0</v>
      </c>
      <c r="AG1805" s="2">
        <v>3.7357999999999998</v>
      </c>
      <c r="AH1805" s="2">
        <v>9</v>
      </c>
      <c r="AJ1805" s="2">
        <f t="shared" si="253"/>
        <v>0</v>
      </c>
      <c r="AK1805" s="2">
        <f t="shared" si="254"/>
        <v>24.385199999999998</v>
      </c>
      <c r="AL1805" s="5">
        <f>(T1805-W1805)/T1805</f>
        <v>0.52105128205128204</v>
      </c>
    </row>
    <row r="1806" spans="1:38" x14ac:dyDescent="0.2">
      <c r="A1806" s="2">
        <v>2025</v>
      </c>
      <c r="B1806" s="2">
        <v>8</v>
      </c>
      <c r="D1806" s="2" t="s">
        <v>1651</v>
      </c>
      <c r="E1806" s="2" t="s">
        <v>38</v>
      </c>
      <c r="F1806" s="2" t="s">
        <v>39</v>
      </c>
      <c r="H1806" s="2" t="s">
        <v>41</v>
      </c>
      <c r="I1806" s="2" t="s">
        <v>1652</v>
      </c>
      <c r="J1806" s="2" t="s">
        <v>1653</v>
      </c>
      <c r="L1806" s="2" t="s">
        <v>112</v>
      </c>
      <c r="M1806" s="2" t="s">
        <v>40</v>
      </c>
      <c r="O1806" s="2" t="s">
        <v>1840</v>
      </c>
      <c r="P1806" s="2" t="s">
        <v>187</v>
      </c>
      <c r="Q1806" s="2" t="s">
        <v>188</v>
      </c>
      <c r="R1806" s="2" t="s">
        <v>189</v>
      </c>
      <c r="S1806" s="2">
        <v>-1</v>
      </c>
      <c r="T1806" s="2">
        <v>-121</v>
      </c>
      <c r="U1806" s="2">
        <v>-27.83</v>
      </c>
      <c r="V1806" s="2">
        <v>-148.83000000000001</v>
      </c>
      <c r="W1806" s="2">
        <f>T1806*40%</f>
        <v>-48.400000000000006</v>
      </c>
      <c r="Z1806" s="2" t="s">
        <v>117</v>
      </c>
      <c r="AA1806" s="2" t="s">
        <v>190</v>
      </c>
      <c r="AB1806" s="2" t="s">
        <v>189</v>
      </c>
      <c r="AC1806" s="2" t="s">
        <v>40</v>
      </c>
      <c r="AF1806" s="2">
        <f t="shared" si="252"/>
        <v>0</v>
      </c>
      <c r="AJ1806" s="2">
        <f t="shared" si="253"/>
        <v>0</v>
      </c>
      <c r="AK1806" s="2">
        <f t="shared" si="254"/>
        <v>-72.599999999999994</v>
      </c>
    </row>
    <row r="1807" spans="1:38" x14ac:dyDescent="0.2">
      <c r="A1807" s="2">
        <v>2025</v>
      </c>
      <c r="B1807" s="2">
        <v>8</v>
      </c>
      <c r="D1807" s="2" t="s">
        <v>1651</v>
      </c>
      <c r="E1807" s="2" t="s">
        <v>38</v>
      </c>
      <c r="F1807" s="2" t="s">
        <v>39</v>
      </c>
      <c r="H1807" s="2" t="s">
        <v>41</v>
      </c>
      <c r="I1807" s="2" t="s">
        <v>1652</v>
      </c>
      <c r="J1807" s="2" t="s">
        <v>1653</v>
      </c>
      <c r="L1807" s="2" t="s">
        <v>112</v>
      </c>
      <c r="M1807" s="2" t="s">
        <v>40</v>
      </c>
      <c r="O1807" s="2" t="s">
        <v>1840</v>
      </c>
      <c r="P1807" s="2" t="s">
        <v>187</v>
      </c>
      <c r="Q1807" s="2" t="s">
        <v>191</v>
      </c>
      <c r="R1807" s="2" t="s">
        <v>190</v>
      </c>
      <c r="S1807" s="2">
        <v>-2</v>
      </c>
      <c r="T1807" s="2">
        <v>-100</v>
      </c>
      <c r="U1807" s="2">
        <v>-23</v>
      </c>
      <c r="V1807" s="2">
        <v>-123</v>
      </c>
      <c r="Z1807" s="2" t="s">
        <v>117</v>
      </c>
      <c r="AA1807" s="2" t="s">
        <v>190</v>
      </c>
      <c r="AB1807" s="2" t="s">
        <v>190</v>
      </c>
      <c r="AC1807" s="2" t="s">
        <v>40</v>
      </c>
      <c r="AF1807" s="2">
        <f t="shared" si="252"/>
        <v>0</v>
      </c>
      <c r="AJ1807" s="2">
        <f t="shared" si="253"/>
        <v>0</v>
      </c>
      <c r="AK1807" s="2">
        <f t="shared" si="254"/>
        <v>-100</v>
      </c>
    </row>
    <row r="1808" spans="1:38" x14ac:dyDescent="0.2">
      <c r="A1808" s="2">
        <v>2025</v>
      </c>
      <c r="B1808" s="2">
        <v>8</v>
      </c>
      <c r="D1808" s="2" t="s">
        <v>1651</v>
      </c>
      <c r="E1808" s="2" t="s">
        <v>38</v>
      </c>
      <c r="F1808" s="2" t="s">
        <v>39</v>
      </c>
      <c r="H1808" s="2" t="s">
        <v>41</v>
      </c>
      <c r="I1808" s="2" t="s">
        <v>1652</v>
      </c>
      <c r="J1808" s="2" t="s">
        <v>1653</v>
      </c>
      <c r="L1808" s="2" t="s">
        <v>112</v>
      </c>
      <c r="M1808" s="2" t="s">
        <v>40</v>
      </c>
      <c r="O1808" s="2" t="s">
        <v>1840</v>
      </c>
      <c r="P1808" s="2" t="s">
        <v>40</v>
      </c>
      <c r="Q1808" s="2" t="s">
        <v>140</v>
      </c>
      <c r="R1808" s="2" t="s">
        <v>141</v>
      </c>
      <c r="S1808" s="2">
        <v>-1</v>
      </c>
      <c r="T1808" s="2">
        <v>-790.67</v>
      </c>
      <c r="U1808" s="2">
        <v>-181.85409999999999</v>
      </c>
      <c r="V1808" s="2">
        <v>-972.52409999999998</v>
      </c>
      <c r="Z1808" s="2" t="s">
        <v>119</v>
      </c>
      <c r="AA1808" s="2" t="s">
        <v>142</v>
      </c>
      <c r="AF1808" s="2">
        <f t="shared" si="252"/>
        <v>0</v>
      </c>
      <c r="AJ1808" s="2">
        <f t="shared" si="253"/>
        <v>0</v>
      </c>
    </row>
    <row r="1809" spans="1:38" x14ac:dyDescent="0.2">
      <c r="A1809" s="2">
        <v>2025</v>
      </c>
      <c r="B1809" s="2">
        <v>8</v>
      </c>
      <c r="D1809" s="2" t="s">
        <v>1659</v>
      </c>
      <c r="P1809" s="2" t="s">
        <v>114</v>
      </c>
      <c r="Q1809" s="2" t="s">
        <v>561</v>
      </c>
      <c r="R1809" s="2" t="s">
        <v>562</v>
      </c>
      <c r="S1809" s="2">
        <v>1</v>
      </c>
      <c r="T1809" s="2">
        <v>14.29</v>
      </c>
      <c r="U1809" s="2">
        <v>3.2867000000000002</v>
      </c>
      <c r="V1809" s="2">
        <v>17.576699999999999</v>
      </c>
      <c r="X1809" s="5">
        <f t="shared" ref="X1809:X1839" si="256">(T1809-W1809)/T1809</f>
        <v>1</v>
      </c>
      <c r="AF1809" s="2">
        <f t="shared" si="252"/>
        <v>0</v>
      </c>
      <c r="AJ1809" s="2">
        <f t="shared" si="253"/>
        <v>0</v>
      </c>
      <c r="AK1809" s="2">
        <f t="shared" ref="AK1809:AK1840" si="257">T1809-W1809</f>
        <v>14.29</v>
      </c>
      <c r="AL1809" s="5">
        <f t="shared" ref="AL1809:AL1839" si="258">(T1809-W1809)/T1809</f>
        <v>1</v>
      </c>
    </row>
    <row r="1810" spans="1:38" x14ac:dyDescent="0.2">
      <c r="A1810" s="2">
        <v>2025</v>
      </c>
      <c r="B1810" s="2">
        <v>8</v>
      </c>
      <c r="D1810" s="2" t="s">
        <v>1659</v>
      </c>
      <c r="P1810" s="2" t="s">
        <v>169</v>
      </c>
      <c r="Q1810" s="2" t="s">
        <v>170</v>
      </c>
      <c r="R1810" s="2" t="s">
        <v>170</v>
      </c>
      <c r="S1810" s="2">
        <v>1</v>
      </c>
      <c r="T1810" s="2">
        <v>8</v>
      </c>
      <c r="U1810" s="2">
        <v>1.84</v>
      </c>
      <c r="V1810" s="2">
        <v>9.84</v>
      </c>
      <c r="W1810" s="2">
        <v>6</v>
      </c>
      <c r="X1810" s="5">
        <f t="shared" si="256"/>
        <v>0.25</v>
      </c>
      <c r="Z1810" s="2" t="s">
        <v>169</v>
      </c>
      <c r="AA1810" s="2" t="s">
        <v>169</v>
      </c>
      <c r="AF1810" s="2">
        <f t="shared" si="252"/>
        <v>0</v>
      </c>
      <c r="AJ1810" s="2">
        <f t="shared" si="253"/>
        <v>0</v>
      </c>
      <c r="AK1810" s="2">
        <f t="shared" si="257"/>
        <v>2</v>
      </c>
      <c r="AL1810" s="5">
        <f t="shared" si="258"/>
        <v>0.25</v>
      </c>
    </row>
    <row r="1811" spans="1:38" x14ac:dyDescent="0.2">
      <c r="A1811" s="2">
        <v>2025</v>
      </c>
      <c r="B1811" s="2">
        <v>8</v>
      </c>
      <c r="D1811" s="2" t="s">
        <v>917</v>
      </c>
      <c r="E1811" s="2" t="s">
        <v>752</v>
      </c>
      <c r="F1811" s="2" t="s">
        <v>918</v>
      </c>
      <c r="G1811" s="2">
        <v>505973960</v>
      </c>
      <c r="H1811" s="2" t="s">
        <v>40</v>
      </c>
      <c r="I1811" s="2" t="s">
        <v>156</v>
      </c>
      <c r="J1811" s="2" t="s">
        <v>919</v>
      </c>
      <c r="L1811" s="2" t="s">
        <v>99</v>
      </c>
      <c r="M1811" s="2" t="s">
        <v>80</v>
      </c>
      <c r="O1811" s="2" t="s">
        <v>1841</v>
      </c>
      <c r="P1811" s="2" t="s">
        <v>43</v>
      </c>
      <c r="Q1811" s="2" t="s">
        <v>54</v>
      </c>
      <c r="R1811" s="2" t="s">
        <v>55</v>
      </c>
      <c r="S1811" s="2">
        <v>1</v>
      </c>
      <c r="T1811" s="2">
        <v>22.8</v>
      </c>
      <c r="U1811" s="2">
        <v>5.2440000000000007</v>
      </c>
      <c r="V1811" s="2">
        <v>28.044</v>
      </c>
      <c r="W1811" s="2">
        <f>10.6*S1811</f>
        <v>10.6</v>
      </c>
      <c r="X1811" s="5">
        <f t="shared" si="256"/>
        <v>0.53508771929824561</v>
      </c>
      <c r="Z1811" s="2" t="s">
        <v>3227</v>
      </c>
      <c r="AA1811" s="2" t="s">
        <v>46</v>
      </c>
      <c r="AB1811" s="2" t="s">
        <v>56</v>
      </c>
      <c r="AC1811" s="2" t="s">
        <v>57</v>
      </c>
      <c r="AF1811" s="2">
        <f t="shared" si="252"/>
        <v>0</v>
      </c>
      <c r="AG1811" s="2">
        <v>10.6</v>
      </c>
      <c r="AH1811" s="2">
        <v>18</v>
      </c>
      <c r="AJ1811" s="2">
        <f t="shared" si="253"/>
        <v>0</v>
      </c>
      <c r="AK1811" s="2">
        <f t="shared" si="257"/>
        <v>12.200000000000001</v>
      </c>
      <c r="AL1811" s="5">
        <f t="shared" si="258"/>
        <v>0.53508771929824561</v>
      </c>
    </row>
    <row r="1812" spans="1:38" x14ac:dyDescent="0.2">
      <c r="A1812" s="2">
        <v>2025</v>
      </c>
      <c r="B1812" s="2">
        <v>8</v>
      </c>
      <c r="D1812" s="2" t="s">
        <v>1842</v>
      </c>
      <c r="P1812" s="2" t="s">
        <v>282</v>
      </c>
      <c r="Q1812" s="2" t="s">
        <v>1843</v>
      </c>
      <c r="R1812" s="2" t="s">
        <v>1844</v>
      </c>
      <c r="S1812" s="2">
        <v>2</v>
      </c>
      <c r="T1812" s="2">
        <v>698</v>
      </c>
      <c r="U1812" s="2">
        <v>160.54</v>
      </c>
      <c r="V1812" s="2">
        <v>858.54</v>
      </c>
      <c r="X1812" s="5">
        <f t="shared" si="256"/>
        <v>1</v>
      </c>
      <c r="Z1812" s="2" t="s">
        <v>3227</v>
      </c>
      <c r="AF1812" s="2">
        <f t="shared" si="252"/>
        <v>0</v>
      </c>
      <c r="AJ1812" s="2">
        <f t="shared" si="253"/>
        <v>0</v>
      </c>
      <c r="AK1812" s="2">
        <f t="shared" si="257"/>
        <v>698</v>
      </c>
      <c r="AL1812" s="5">
        <f t="shared" si="258"/>
        <v>1</v>
      </c>
    </row>
    <row r="1813" spans="1:38" x14ac:dyDescent="0.2">
      <c r="A1813" s="2">
        <v>2025</v>
      </c>
      <c r="B1813" s="2">
        <v>8</v>
      </c>
      <c r="D1813" s="2" t="s">
        <v>1312</v>
      </c>
      <c r="E1813" s="2" t="s">
        <v>38</v>
      </c>
      <c r="F1813" s="2" t="s">
        <v>39</v>
      </c>
      <c r="G1813" s="2">
        <v>509512739</v>
      </c>
      <c r="H1813" s="2" t="s">
        <v>41</v>
      </c>
      <c r="I1813" s="2" t="s">
        <v>177</v>
      </c>
      <c r="J1813" s="2" t="s">
        <v>1313</v>
      </c>
      <c r="L1813" s="2" t="s">
        <v>177</v>
      </c>
      <c r="M1813" s="2" t="s">
        <v>41</v>
      </c>
      <c r="O1813" s="2" t="s">
        <v>1845</v>
      </c>
      <c r="P1813" s="2" t="s">
        <v>43</v>
      </c>
      <c r="Q1813" s="2" t="s">
        <v>54</v>
      </c>
      <c r="R1813" s="2" t="s">
        <v>55</v>
      </c>
      <c r="S1813" s="2">
        <v>3</v>
      </c>
      <c r="T1813" s="2">
        <v>48</v>
      </c>
      <c r="U1813" s="2">
        <v>11.04</v>
      </c>
      <c r="V1813" s="2">
        <v>59.04</v>
      </c>
      <c r="W1813" s="2">
        <f>10.6*S1813</f>
        <v>31.799999999999997</v>
      </c>
      <c r="X1813" s="5">
        <f t="shared" si="256"/>
        <v>0.33750000000000008</v>
      </c>
      <c r="Z1813" s="2" t="s">
        <v>3227</v>
      </c>
      <c r="AA1813" s="2" t="s">
        <v>46</v>
      </c>
      <c r="AB1813" s="2" t="s">
        <v>56</v>
      </c>
      <c r="AC1813" s="2" t="s">
        <v>57</v>
      </c>
      <c r="AF1813" s="2">
        <f t="shared" si="252"/>
        <v>0</v>
      </c>
      <c r="AG1813" s="2">
        <v>10.6</v>
      </c>
      <c r="AH1813" s="2">
        <v>18</v>
      </c>
      <c r="AJ1813" s="2">
        <f t="shared" si="253"/>
        <v>0</v>
      </c>
      <c r="AK1813" s="2">
        <f t="shared" si="257"/>
        <v>16.200000000000003</v>
      </c>
      <c r="AL1813" s="5">
        <f t="shared" si="258"/>
        <v>0.33750000000000008</v>
      </c>
    </row>
    <row r="1814" spans="1:38" x14ac:dyDescent="0.2">
      <c r="A1814" s="2">
        <v>2025</v>
      </c>
      <c r="B1814" s="2">
        <v>8</v>
      </c>
      <c r="D1814" s="2" t="s">
        <v>1312</v>
      </c>
      <c r="E1814" s="2" t="s">
        <v>38</v>
      </c>
      <c r="F1814" s="2" t="s">
        <v>39</v>
      </c>
      <c r="G1814" s="2">
        <v>509512739</v>
      </c>
      <c r="H1814" s="2" t="s">
        <v>41</v>
      </c>
      <c r="I1814" s="2" t="s">
        <v>177</v>
      </c>
      <c r="J1814" s="2" t="s">
        <v>1313</v>
      </c>
      <c r="L1814" s="2" t="s">
        <v>177</v>
      </c>
      <c r="M1814" s="2" t="s">
        <v>41</v>
      </c>
      <c r="O1814" s="2" t="s">
        <v>1845</v>
      </c>
      <c r="P1814" s="2" t="s">
        <v>43</v>
      </c>
      <c r="Q1814" s="2" t="s">
        <v>61</v>
      </c>
      <c r="R1814" s="2" t="s">
        <v>62</v>
      </c>
      <c r="S1814" s="2">
        <v>200</v>
      </c>
      <c r="T1814" s="2">
        <v>24</v>
      </c>
      <c r="U1814" s="2">
        <v>5.52</v>
      </c>
      <c r="V1814" s="2">
        <v>29.52</v>
      </c>
      <c r="W1814" s="2">
        <f>0.082*S1814</f>
        <v>16.400000000000002</v>
      </c>
      <c r="X1814" s="5">
        <f t="shared" si="256"/>
        <v>0.3166666666666666</v>
      </c>
      <c r="Z1814" s="2" t="s">
        <v>3227</v>
      </c>
      <c r="AA1814" s="2" t="s">
        <v>46</v>
      </c>
      <c r="AB1814" s="2" t="s">
        <v>60</v>
      </c>
      <c r="AC1814" s="2" t="s">
        <v>57</v>
      </c>
      <c r="AF1814" s="2">
        <f t="shared" si="252"/>
        <v>0</v>
      </c>
      <c r="AG1814" s="2">
        <v>8.1999999999999993</v>
      </c>
      <c r="AH1814" s="2">
        <v>13</v>
      </c>
      <c r="AJ1814" s="2">
        <f t="shared" si="253"/>
        <v>0</v>
      </c>
      <c r="AK1814" s="2">
        <f t="shared" si="257"/>
        <v>7.5999999999999979</v>
      </c>
      <c r="AL1814" s="5">
        <f t="shared" si="258"/>
        <v>0.3166666666666666</v>
      </c>
    </row>
    <row r="1815" spans="1:38" x14ac:dyDescent="0.2">
      <c r="A1815" s="2">
        <v>2025</v>
      </c>
      <c r="B1815" s="2">
        <v>8</v>
      </c>
      <c r="D1815" s="2" t="s">
        <v>1312</v>
      </c>
      <c r="E1815" s="2" t="s">
        <v>38</v>
      </c>
      <c r="F1815" s="2" t="s">
        <v>39</v>
      </c>
      <c r="G1815" s="2">
        <v>509512739</v>
      </c>
      <c r="H1815" s="2" t="s">
        <v>41</v>
      </c>
      <c r="I1815" s="2" t="s">
        <v>177</v>
      </c>
      <c r="J1815" s="2" t="s">
        <v>1313</v>
      </c>
      <c r="L1815" s="2" t="s">
        <v>177</v>
      </c>
      <c r="M1815" s="2" t="s">
        <v>41</v>
      </c>
      <c r="O1815" s="2" t="s">
        <v>1845</v>
      </c>
      <c r="P1815" s="2" t="s">
        <v>43</v>
      </c>
      <c r="Q1815" s="2" t="s">
        <v>254</v>
      </c>
      <c r="R1815" s="2" t="s">
        <v>255</v>
      </c>
      <c r="S1815" s="2">
        <v>100</v>
      </c>
      <c r="T1815" s="2">
        <v>14</v>
      </c>
      <c r="U1815" s="2">
        <v>3.22</v>
      </c>
      <c r="V1815" s="2">
        <v>17.22</v>
      </c>
      <c r="W1815" s="2">
        <f>0.0914*S1815</f>
        <v>9.1399999999999988</v>
      </c>
      <c r="X1815" s="5">
        <f t="shared" si="256"/>
        <v>0.34714285714285725</v>
      </c>
      <c r="Z1815" s="2" t="s">
        <v>3227</v>
      </c>
      <c r="AA1815" s="2" t="s">
        <v>46</v>
      </c>
      <c r="AB1815" s="2" t="s">
        <v>60</v>
      </c>
      <c r="AC1815" s="2" t="s">
        <v>57</v>
      </c>
      <c r="AF1815" s="2">
        <f t="shared" si="252"/>
        <v>0</v>
      </c>
      <c r="AJ1815" s="2">
        <f t="shared" si="253"/>
        <v>0</v>
      </c>
      <c r="AK1815" s="2">
        <f t="shared" si="257"/>
        <v>4.8600000000000012</v>
      </c>
      <c r="AL1815" s="5">
        <f t="shared" si="258"/>
        <v>0.34714285714285725</v>
      </c>
    </row>
    <row r="1816" spans="1:38" x14ac:dyDescent="0.2">
      <c r="A1816" s="2">
        <v>2025</v>
      </c>
      <c r="B1816" s="2">
        <v>10</v>
      </c>
      <c r="C1816" s="2" t="s">
        <v>3411</v>
      </c>
      <c r="D1816" s="2" t="s">
        <v>37</v>
      </c>
      <c r="E1816" s="2" t="s">
        <v>38</v>
      </c>
      <c r="F1816" s="2" t="s">
        <v>39</v>
      </c>
      <c r="L1816" s="2" t="s">
        <v>99</v>
      </c>
      <c r="M1816" s="2" t="s">
        <v>40</v>
      </c>
      <c r="P1816" s="2" t="s">
        <v>152</v>
      </c>
      <c r="Q1816" s="2" t="s">
        <v>153</v>
      </c>
      <c r="R1816" s="2" t="s">
        <v>154</v>
      </c>
      <c r="S1816" s="2">
        <v>14</v>
      </c>
      <c r="T1816" s="2">
        <v>35</v>
      </c>
      <c r="U1816" s="2">
        <v>8.0500000000000007</v>
      </c>
      <c r="V1816" s="2">
        <v>43.05</v>
      </c>
      <c r="W1816" s="2">
        <f>0.7*S1816</f>
        <v>9.7999999999999989</v>
      </c>
      <c r="X1816" s="5">
        <f t="shared" si="256"/>
        <v>0.72000000000000008</v>
      </c>
      <c r="Z1816" s="2" t="s">
        <v>3227</v>
      </c>
      <c r="AA1816" s="2" t="s">
        <v>155</v>
      </c>
      <c r="AB1816" s="2" t="s">
        <v>154</v>
      </c>
      <c r="AC1816" s="2" t="s">
        <v>152</v>
      </c>
      <c r="AF1816" s="2">
        <f t="shared" si="252"/>
        <v>0</v>
      </c>
      <c r="AJ1816" s="2">
        <f t="shared" si="253"/>
        <v>0</v>
      </c>
      <c r="AK1816" s="2">
        <f t="shared" si="257"/>
        <v>25.200000000000003</v>
      </c>
      <c r="AL1816" s="5">
        <f t="shared" si="258"/>
        <v>0.72000000000000008</v>
      </c>
    </row>
    <row r="1817" spans="1:38" x14ac:dyDescent="0.2">
      <c r="A1817" s="2">
        <v>2025</v>
      </c>
      <c r="B1817" s="2">
        <v>10</v>
      </c>
      <c r="D1817" s="2" t="s">
        <v>37</v>
      </c>
      <c r="E1817" s="2" t="s">
        <v>38</v>
      </c>
      <c r="F1817" s="2" t="s">
        <v>39</v>
      </c>
      <c r="H1817" s="2" t="s">
        <v>40</v>
      </c>
      <c r="P1817" s="2" t="s">
        <v>282</v>
      </c>
      <c r="Q1817" s="2" t="s">
        <v>1846</v>
      </c>
      <c r="R1817" s="2" t="s">
        <v>1847</v>
      </c>
      <c r="S1817" s="2">
        <v>1</v>
      </c>
      <c r="T1817" s="2">
        <v>36.9</v>
      </c>
      <c r="U1817" s="2">
        <v>8.4870000000000001</v>
      </c>
      <c r="V1817" s="2">
        <v>45.387</v>
      </c>
      <c r="X1817" s="5">
        <f t="shared" si="256"/>
        <v>1</v>
      </c>
      <c r="Z1817" s="2" t="s">
        <v>3227</v>
      </c>
      <c r="AF1817" s="2">
        <f t="shared" si="252"/>
        <v>0</v>
      </c>
      <c r="AJ1817" s="2">
        <f t="shared" si="253"/>
        <v>0</v>
      </c>
      <c r="AK1817" s="2">
        <f t="shared" si="257"/>
        <v>36.9</v>
      </c>
      <c r="AL1817" s="5">
        <f t="shared" si="258"/>
        <v>1</v>
      </c>
    </row>
    <row r="1818" spans="1:38" x14ac:dyDescent="0.2">
      <c r="A1818" s="2">
        <v>2025</v>
      </c>
      <c r="B1818" s="2">
        <v>10</v>
      </c>
      <c r="D1818" s="2" t="s">
        <v>37</v>
      </c>
      <c r="E1818" s="2" t="s">
        <v>38</v>
      </c>
      <c r="F1818" s="2" t="s">
        <v>39</v>
      </c>
      <c r="H1818" s="2" t="s">
        <v>40</v>
      </c>
      <c r="P1818" s="2" t="s">
        <v>282</v>
      </c>
      <c r="Q1818" s="2" t="s">
        <v>1588</v>
      </c>
      <c r="R1818" s="2" t="s">
        <v>1589</v>
      </c>
      <c r="S1818" s="2">
        <v>1</v>
      </c>
      <c r="T1818" s="2">
        <v>7</v>
      </c>
      <c r="U1818" s="2">
        <v>1.61</v>
      </c>
      <c r="V1818" s="2">
        <v>8.61</v>
      </c>
      <c r="W1818" s="2">
        <f>5.135*S1818</f>
        <v>5.1349999999999998</v>
      </c>
      <c r="X1818" s="5">
        <f t="shared" si="256"/>
        <v>0.26642857142857146</v>
      </c>
      <c r="Z1818" s="2" t="s">
        <v>3227</v>
      </c>
      <c r="AA1818" s="2" t="s">
        <v>71</v>
      </c>
      <c r="AB1818" s="2" t="s">
        <v>119</v>
      </c>
      <c r="AC1818" s="2" t="s">
        <v>119</v>
      </c>
      <c r="AF1818" s="2">
        <f t="shared" si="252"/>
        <v>0</v>
      </c>
      <c r="AJ1818" s="2">
        <f t="shared" si="253"/>
        <v>0</v>
      </c>
      <c r="AK1818" s="2">
        <f t="shared" si="257"/>
        <v>1.8650000000000002</v>
      </c>
      <c r="AL1818" s="5">
        <f t="shared" si="258"/>
        <v>0.26642857142857146</v>
      </c>
    </row>
    <row r="1819" spans="1:38" x14ac:dyDescent="0.2">
      <c r="A1819" s="2">
        <v>2025</v>
      </c>
      <c r="B1819" s="2">
        <v>10</v>
      </c>
      <c r="D1819" s="2" t="s">
        <v>37</v>
      </c>
      <c r="E1819" s="2" t="s">
        <v>38</v>
      </c>
      <c r="F1819" s="2" t="s">
        <v>39</v>
      </c>
      <c r="H1819" s="2" t="s">
        <v>40</v>
      </c>
      <c r="P1819" s="2" t="s">
        <v>282</v>
      </c>
      <c r="Q1819" s="2" t="s">
        <v>1848</v>
      </c>
      <c r="R1819" s="2" t="s">
        <v>1849</v>
      </c>
      <c r="S1819" s="2">
        <v>1</v>
      </c>
      <c r="T1819" s="2">
        <v>10.9</v>
      </c>
      <c r="U1819" s="2">
        <v>2.5070000000000001</v>
      </c>
      <c r="V1819" s="2">
        <v>13.407</v>
      </c>
      <c r="X1819" s="5">
        <f t="shared" si="256"/>
        <v>1</v>
      </c>
      <c r="Z1819" s="2" t="s">
        <v>3227</v>
      </c>
      <c r="AF1819" s="2">
        <f t="shared" si="252"/>
        <v>0</v>
      </c>
      <c r="AJ1819" s="2">
        <f t="shared" si="253"/>
        <v>0</v>
      </c>
      <c r="AK1819" s="2">
        <f t="shared" si="257"/>
        <v>10.9</v>
      </c>
      <c r="AL1819" s="5">
        <f t="shared" si="258"/>
        <v>1</v>
      </c>
    </row>
    <row r="1820" spans="1:38" x14ac:dyDescent="0.2">
      <c r="A1820" s="2">
        <v>2025</v>
      </c>
      <c r="B1820" s="2">
        <v>10</v>
      </c>
      <c r="D1820" s="2" t="s">
        <v>37</v>
      </c>
      <c r="E1820" s="2" t="s">
        <v>38</v>
      </c>
      <c r="F1820" s="2" t="s">
        <v>39</v>
      </c>
      <c r="H1820" s="2" t="s">
        <v>40</v>
      </c>
      <c r="P1820" s="2" t="s">
        <v>282</v>
      </c>
      <c r="Q1820" s="2" t="s">
        <v>1850</v>
      </c>
      <c r="R1820" s="2" t="s">
        <v>1851</v>
      </c>
      <c r="S1820" s="2">
        <v>2</v>
      </c>
      <c r="T1820" s="2">
        <v>56.91</v>
      </c>
      <c r="U1820" s="2">
        <v>13.0893</v>
      </c>
      <c r="V1820" s="2">
        <v>69.999299999999991</v>
      </c>
      <c r="X1820" s="5">
        <f t="shared" si="256"/>
        <v>1</v>
      </c>
      <c r="Z1820" s="2" t="s">
        <v>3227</v>
      </c>
      <c r="AF1820" s="2">
        <f t="shared" si="252"/>
        <v>0</v>
      </c>
      <c r="AJ1820" s="2">
        <f t="shared" si="253"/>
        <v>0</v>
      </c>
      <c r="AK1820" s="2">
        <f t="shared" si="257"/>
        <v>56.91</v>
      </c>
      <c r="AL1820" s="5">
        <f t="shared" si="258"/>
        <v>1</v>
      </c>
    </row>
    <row r="1821" spans="1:38" x14ac:dyDescent="0.2">
      <c r="A1821" s="2">
        <v>2025</v>
      </c>
      <c r="B1821" s="2">
        <v>10</v>
      </c>
      <c r="D1821" s="2" t="s">
        <v>37</v>
      </c>
      <c r="E1821" s="2" t="s">
        <v>38</v>
      </c>
      <c r="F1821" s="2" t="s">
        <v>39</v>
      </c>
      <c r="H1821" s="2" t="s">
        <v>40</v>
      </c>
      <c r="P1821" s="2" t="s">
        <v>282</v>
      </c>
      <c r="Q1821" s="2" t="s">
        <v>1444</v>
      </c>
      <c r="R1821" s="2" t="s">
        <v>1445</v>
      </c>
      <c r="S1821" s="2">
        <v>1</v>
      </c>
      <c r="T1821" s="2">
        <v>80</v>
      </c>
      <c r="U1821" s="2">
        <v>18.399999999999999</v>
      </c>
      <c r="V1821" s="2">
        <v>98.4</v>
      </c>
      <c r="X1821" s="5">
        <f t="shared" si="256"/>
        <v>1</v>
      </c>
      <c r="Z1821" s="2" t="s">
        <v>3227</v>
      </c>
      <c r="AF1821" s="2">
        <f t="shared" si="252"/>
        <v>0</v>
      </c>
      <c r="AJ1821" s="2">
        <f t="shared" si="253"/>
        <v>0</v>
      </c>
      <c r="AK1821" s="2">
        <f t="shared" si="257"/>
        <v>80</v>
      </c>
      <c r="AL1821" s="5">
        <f t="shared" si="258"/>
        <v>1</v>
      </c>
    </row>
    <row r="1822" spans="1:38" x14ac:dyDescent="0.2">
      <c r="A1822" s="2">
        <v>2025</v>
      </c>
      <c r="B1822" s="2">
        <v>10</v>
      </c>
      <c r="D1822" s="2" t="s">
        <v>37</v>
      </c>
      <c r="E1822" s="2" t="s">
        <v>38</v>
      </c>
      <c r="F1822" s="2" t="s">
        <v>39</v>
      </c>
      <c r="H1822" s="2" t="s">
        <v>40</v>
      </c>
      <c r="P1822" s="2" t="s">
        <v>43</v>
      </c>
      <c r="Q1822" s="2" t="s">
        <v>54</v>
      </c>
      <c r="R1822" s="2" t="s">
        <v>55</v>
      </c>
      <c r="S1822" s="2">
        <v>3</v>
      </c>
      <c r="T1822" s="2">
        <v>54</v>
      </c>
      <c r="U1822" s="2">
        <v>12.42</v>
      </c>
      <c r="V1822" s="2">
        <v>66.42</v>
      </c>
      <c r="W1822" s="2">
        <f>10.6*S1822</f>
        <v>31.799999999999997</v>
      </c>
      <c r="X1822" s="5">
        <f t="shared" si="256"/>
        <v>0.41111111111111115</v>
      </c>
      <c r="Z1822" s="2" t="s">
        <v>3227</v>
      </c>
      <c r="AA1822" s="2" t="s">
        <v>46</v>
      </c>
      <c r="AB1822" s="2" t="s">
        <v>56</v>
      </c>
      <c r="AC1822" s="2" t="s">
        <v>57</v>
      </c>
      <c r="AF1822" s="2">
        <f t="shared" si="252"/>
        <v>0</v>
      </c>
      <c r="AG1822" s="2">
        <v>10.6</v>
      </c>
      <c r="AH1822" s="2">
        <v>18</v>
      </c>
      <c r="AJ1822" s="2">
        <f t="shared" si="253"/>
        <v>0</v>
      </c>
      <c r="AK1822" s="2">
        <f t="shared" si="257"/>
        <v>22.200000000000003</v>
      </c>
      <c r="AL1822" s="5">
        <f t="shared" si="258"/>
        <v>0.41111111111111115</v>
      </c>
    </row>
    <row r="1823" spans="1:38" x14ac:dyDescent="0.2">
      <c r="A1823" s="2">
        <v>2025</v>
      </c>
      <c r="B1823" s="2">
        <v>10</v>
      </c>
      <c r="D1823" s="2" t="s">
        <v>37</v>
      </c>
      <c r="E1823" s="2" t="s">
        <v>38</v>
      </c>
      <c r="F1823" s="2" t="s">
        <v>39</v>
      </c>
      <c r="H1823" s="2" t="s">
        <v>40</v>
      </c>
      <c r="I1823" s="2" t="s">
        <v>1852</v>
      </c>
      <c r="L1823" s="2" t="s">
        <v>99</v>
      </c>
      <c r="M1823" s="2" t="s">
        <v>80</v>
      </c>
      <c r="O1823" s="2" t="s">
        <v>1853</v>
      </c>
      <c r="P1823" s="2" t="s">
        <v>43</v>
      </c>
      <c r="Q1823" s="2" t="s">
        <v>669</v>
      </c>
      <c r="R1823" s="2" t="s">
        <v>670</v>
      </c>
      <c r="S1823" s="2">
        <v>1</v>
      </c>
      <c r="T1823" s="2">
        <v>70</v>
      </c>
      <c r="U1823" s="2">
        <v>16.100000000000001</v>
      </c>
      <c r="V1823" s="2">
        <v>86.1</v>
      </c>
      <c r="W1823" s="2">
        <v>29.27</v>
      </c>
      <c r="X1823" s="5">
        <f t="shared" si="256"/>
        <v>0.58185714285714296</v>
      </c>
      <c r="Z1823" s="2" t="s">
        <v>3227</v>
      </c>
      <c r="AA1823" s="2" t="s">
        <v>46</v>
      </c>
      <c r="AB1823" s="2" t="s">
        <v>56</v>
      </c>
      <c r="AC1823" s="2" t="s">
        <v>57</v>
      </c>
      <c r="AF1823" s="2">
        <f t="shared" si="252"/>
        <v>0</v>
      </c>
      <c r="AG1823" s="2">
        <v>29.27</v>
      </c>
      <c r="AH1823" s="2">
        <v>60</v>
      </c>
      <c r="AJ1823" s="2">
        <f t="shared" si="253"/>
        <v>0</v>
      </c>
      <c r="AK1823" s="2">
        <f t="shared" si="257"/>
        <v>40.730000000000004</v>
      </c>
      <c r="AL1823" s="5">
        <f t="shared" si="258"/>
        <v>0.58185714285714296</v>
      </c>
    </row>
    <row r="1824" spans="1:38" x14ac:dyDescent="0.2">
      <c r="A1824" s="2">
        <v>2025</v>
      </c>
      <c r="B1824" s="2">
        <v>10</v>
      </c>
      <c r="D1824" s="2" t="s">
        <v>37</v>
      </c>
      <c r="E1824" s="2" t="s">
        <v>38</v>
      </c>
      <c r="F1824" s="2" t="s">
        <v>39</v>
      </c>
      <c r="H1824" s="2" t="s">
        <v>40</v>
      </c>
      <c r="P1824" s="2" t="s">
        <v>43</v>
      </c>
      <c r="Q1824" s="2" t="s">
        <v>63</v>
      </c>
      <c r="R1824" s="2" t="s">
        <v>64</v>
      </c>
      <c r="S1824" s="2">
        <v>20</v>
      </c>
      <c r="T1824" s="2">
        <v>36</v>
      </c>
      <c r="U1824" s="2">
        <v>8.2800000000000011</v>
      </c>
      <c r="V1824" s="2">
        <v>44.28</v>
      </c>
      <c r="W1824" s="2">
        <f>0.8561*S1824</f>
        <v>17.122</v>
      </c>
      <c r="X1824" s="5">
        <f t="shared" si="256"/>
        <v>0.5243888888888889</v>
      </c>
      <c r="Z1824" s="2" t="s">
        <v>3227</v>
      </c>
      <c r="AA1824" s="2" t="s">
        <v>46</v>
      </c>
      <c r="AB1824" s="2" t="s">
        <v>60</v>
      </c>
      <c r="AC1824" s="2" t="s">
        <v>57</v>
      </c>
      <c r="AF1824" s="2">
        <f t="shared" si="252"/>
        <v>0</v>
      </c>
      <c r="AG1824" s="2">
        <v>0.85609999999999997</v>
      </c>
      <c r="AH1824" s="2">
        <v>1.8</v>
      </c>
      <c r="AJ1824" s="2">
        <f t="shared" si="253"/>
        <v>0</v>
      </c>
      <c r="AK1824" s="2">
        <f t="shared" si="257"/>
        <v>18.878</v>
      </c>
      <c r="AL1824" s="5">
        <f t="shared" si="258"/>
        <v>0.5243888888888889</v>
      </c>
    </row>
    <row r="1825" spans="1:38" x14ac:dyDescent="0.2">
      <c r="A1825" s="2">
        <v>2025</v>
      </c>
      <c r="B1825" s="2">
        <v>10</v>
      </c>
      <c r="D1825" s="2" t="s">
        <v>37</v>
      </c>
      <c r="E1825" s="2" t="s">
        <v>38</v>
      </c>
      <c r="F1825" s="2" t="s">
        <v>39</v>
      </c>
      <c r="H1825" s="2" t="s">
        <v>40</v>
      </c>
      <c r="P1825" s="2" t="s">
        <v>43</v>
      </c>
      <c r="Q1825" s="2" t="s">
        <v>164</v>
      </c>
      <c r="R1825" s="2" t="s">
        <v>165</v>
      </c>
      <c r="S1825" s="2">
        <v>1</v>
      </c>
      <c r="T1825" s="2">
        <v>15</v>
      </c>
      <c r="U1825" s="2">
        <v>3.45</v>
      </c>
      <c r="V1825" s="2">
        <v>18.45</v>
      </c>
      <c r="W1825" s="2">
        <f>7.9612*S1825</f>
        <v>7.9611999999999998</v>
      </c>
      <c r="X1825" s="5">
        <f t="shared" si="256"/>
        <v>0.46925333333333336</v>
      </c>
      <c r="Z1825" s="2" t="s">
        <v>3227</v>
      </c>
      <c r="AA1825" s="2" t="s">
        <v>46</v>
      </c>
      <c r="AB1825" s="2" t="s">
        <v>67</v>
      </c>
      <c r="AC1825" s="2" t="s">
        <v>57</v>
      </c>
      <c r="AF1825" s="2">
        <f t="shared" si="252"/>
        <v>0</v>
      </c>
      <c r="AG1825" s="2">
        <v>7.9611999999999998</v>
      </c>
      <c r="AH1825" s="2">
        <v>14.4</v>
      </c>
      <c r="AJ1825" s="2">
        <f t="shared" si="253"/>
        <v>0</v>
      </c>
      <c r="AK1825" s="2">
        <f t="shared" si="257"/>
        <v>7.0388000000000002</v>
      </c>
      <c r="AL1825" s="5">
        <f t="shared" si="258"/>
        <v>0.46925333333333336</v>
      </c>
    </row>
    <row r="1826" spans="1:38" x14ac:dyDescent="0.2">
      <c r="A1826" s="2">
        <v>2025</v>
      </c>
      <c r="B1826" s="2">
        <v>10</v>
      </c>
      <c r="D1826" s="2" t="s">
        <v>37</v>
      </c>
      <c r="E1826" s="2" t="s">
        <v>38</v>
      </c>
      <c r="F1826" s="2" t="s">
        <v>39</v>
      </c>
      <c r="H1826" s="2" t="s">
        <v>40</v>
      </c>
      <c r="P1826" s="2" t="s">
        <v>43</v>
      </c>
      <c r="Q1826" s="2" t="s">
        <v>260</v>
      </c>
      <c r="R1826" s="2" t="s">
        <v>261</v>
      </c>
      <c r="S1826" s="2">
        <v>2</v>
      </c>
      <c r="T1826" s="2">
        <v>24</v>
      </c>
      <c r="U1826" s="2">
        <v>5.52</v>
      </c>
      <c r="V1826" s="2">
        <v>29.52</v>
      </c>
      <c r="W1826" s="2">
        <f>8.3145*S1826</f>
        <v>16.629000000000001</v>
      </c>
      <c r="X1826" s="5">
        <f t="shared" si="256"/>
        <v>0.30712499999999993</v>
      </c>
      <c r="Z1826" s="2" t="s">
        <v>3227</v>
      </c>
      <c r="AA1826" s="2" t="s">
        <v>46</v>
      </c>
      <c r="AB1826" s="2" t="s">
        <v>67</v>
      </c>
      <c r="AC1826" s="2" t="s">
        <v>57</v>
      </c>
      <c r="AF1826" s="2">
        <f t="shared" si="252"/>
        <v>0</v>
      </c>
      <c r="AG1826" s="2">
        <v>8.3145000000000007</v>
      </c>
      <c r="AH1826" s="2">
        <v>15</v>
      </c>
      <c r="AJ1826" s="2">
        <f t="shared" si="253"/>
        <v>0</v>
      </c>
      <c r="AK1826" s="2">
        <f t="shared" si="257"/>
        <v>7.3709999999999987</v>
      </c>
      <c r="AL1826" s="5">
        <f t="shared" si="258"/>
        <v>0.30712499999999993</v>
      </c>
    </row>
    <row r="1827" spans="1:38" x14ac:dyDescent="0.2">
      <c r="A1827" s="2">
        <v>2025</v>
      </c>
      <c r="B1827" s="2">
        <v>10</v>
      </c>
      <c r="D1827" s="2" t="s">
        <v>37</v>
      </c>
      <c r="E1827" s="2" t="s">
        <v>38</v>
      </c>
      <c r="F1827" s="2" t="s">
        <v>39</v>
      </c>
      <c r="H1827" s="2" t="s">
        <v>40</v>
      </c>
      <c r="P1827" s="2" t="s">
        <v>72</v>
      </c>
      <c r="Q1827" s="2" t="s">
        <v>912</v>
      </c>
      <c r="R1827" s="2" t="s">
        <v>74</v>
      </c>
      <c r="S1827" s="2">
        <v>1</v>
      </c>
      <c r="T1827" s="2">
        <v>255</v>
      </c>
      <c r="U1827" s="2">
        <v>58.650000000000013</v>
      </c>
      <c r="V1827" s="2">
        <v>313.64999999999998</v>
      </c>
      <c r="W1827" s="2">
        <f>115.92+6.06</f>
        <v>121.98</v>
      </c>
      <c r="X1827" s="5">
        <f t="shared" si="256"/>
        <v>0.52164705882352935</v>
      </c>
      <c r="Z1827" s="2" t="s">
        <v>3227</v>
      </c>
      <c r="AA1827" s="2" t="s">
        <v>75</v>
      </c>
      <c r="AB1827" s="2" t="s">
        <v>76</v>
      </c>
      <c r="AC1827" s="2" t="s">
        <v>77</v>
      </c>
      <c r="AF1827" s="2">
        <f t="shared" si="252"/>
        <v>0</v>
      </c>
      <c r="AJ1827" s="2">
        <f t="shared" si="253"/>
        <v>0</v>
      </c>
      <c r="AK1827" s="2">
        <f t="shared" si="257"/>
        <v>133.01999999999998</v>
      </c>
      <c r="AL1827" s="5">
        <f t="shared" si="258"/>
        <v>0.52164705882352935</v>
      </c>
    </row>
    <row r="1828" spans="1:38" x14ac:dyDescent="0.2">
      <c r="A1828" s="2">
        <v>2025</v>
      </c>
      <c r="B1828" s="2">
        <v>10</v>
      </c>
      <c r="D1828" s="2" t="s">
        <v>37</v>
      </c>
      <c r="E1828" s="2" t="s">
        <v>38</v>
      </c>
      <c r="F1828" s="2" t="s">
        <v>39</v>
      </c>
      <c r="H1828" s="2" t="s">
        <v>40</v>
      </c>
      <c r="P1828" s="2" t="s">
        <v>1038</v>
      </c>
      <c r="Q1828" s="2" t="s">
        <v>1854</v>
      </c>
      <c r="R1828" s="2" t="s">
        <v>1855</v>
      </c>
      <c r="S1828" s="2">
        <v>1</v>
      </c>
      <c r="T1828" s="2">
        <v>405.36</v>
      </c>
      <c r="U1828" s="2">
        <v>93.232800000000012</v>
      </c>
      <c r="V1828" s="2">
        <v>498.59280000000001</v>
      </c>
      <c r="W1828" s="2">
        <v>232.26</v>
      </c>
      <c r="X1828" s="5">
        <f t="shared" si="256"/>
        <v>0.42702782711663712</v>
      </c>
      <c r="Z1828" s="2" t="s">
        <v>3227</v>
      </c>
      <c r="AA1828" s="2" t="s">
        <v>75</v>
      </c>
      <c r="AB1828" s="2" t="s">
        <v>76</v>
      </c>
      <c r="AC1828" s="2" t="s">
        <v>1038</v>
      </c>
      <c r="AF1828" s="2">
        <f t="shared" si="252"/>
        <v>0</v>
      </c>
      <c r="AJ1828" s="2">
        <f t="shared" si="253"/>
        <v>0</v>
      </c>
      <c r="AK1828" s="2">
        <f t="shared" si="257"/>
        <v>173.10000000000002</v>
      </c>
      <c r="AL1828" s="5">
        <f t="shared" si="258"/>
        <v>0.42702782711663712</v>
      </c>
    </row>
    <row r="1829" spans="1:38" x14ac:dyDescent="0.2">
      <c r="A1829" s="2">
        <v>2025</v>
      </c>
      <c r="B1829" s="2">
        <v>10</v>
      </c>
      <c r="D1829" s="2" t="s">
        <v>37</v>
      </c>
      <c r="E1829" s="2" t="s">
        <v>38</v>
      </c>
      <c r="F1829" s="2" t="s">
        <v>39</v>
      </c>
      <c r="H1829" s="2" t="s">
        <v>40</v>
      </c>
      <c r="P1829" s="2" t="s">
        <v>1038</v>
      </c>
      <c r="Q1829" s="2" t="s">
        <v>1856</v>
      </c>
      <c r="R1829" s="2" t="s">
        <v>1857</v>
      </c>
      <c r="S1829" s="2">
        <v>4</v>
      </c>
      <c r="T1829" s="2">
        <v>691.06</v>
      </c>
      <c r="U1829" s="2">
        <v>158.94380000000001</v>
      </c>
      <c r="V1829" s="2">
        <v>850.00379999999996</v>
      </c>
      <c r="W1829" s="2">
        <f>115.76*4</f>
        <v>463.04</v>
      </c>
      <c r="X1829" s="5">
        <f t="shared" si="256"/>
        <v>0.32995687783984018</v>
      </c>
      <c r="Z1829" s="2" t="s">
        <v>3227</v>
      </c>
      <c r="AA1829" s="2" t="s">
        <v>1041</v>
      </c>
      <c r="AB1829" s="2" t="s">
        <v>1318</v>
      </c>
      <c r="AC1829" s="2" t="s">
        <v>1038</v>
      </c>
      <c r="AF1829" s="2">
        <f t="shared" si="252"/>
        <v>0</v>
      </c>
      <c r="AJ1829" s="2">
        <f t="shared" si="253"/>
        <v>0</v>
      </c>
      <c r="AK1829" s="2">
        <f t="shared" si="257"/>
        <v>228.01999999999992</v>
      </c>
      <c r="AL1829" s="5">
        <f t="shared" si="258"/>
        <v>0.32995687783984018</v>
      </c>
    </row>
    <row r="1830" spans="1:38" x14ac:dyDescent="0.2">
      <c r="A1830" s="2">
        <v>2025</v>
      </c>
      <c r="B1830" s="2">
        <v>10</v>
      </c>
      <c r="D1830" s="2" t="s">
        <v>37</v>
      </c>
      <c r="E1830" s="2" t="s">
        <v>38</v>
      </c>
      <c r="F1830" s="2" t="s">
        <v>39</v>
      </c>
      <c r="H1830" s="2" t="s">
        <v>40</v>
      </c>
      <c r="P1830" s="2" t="s">
        <v>93</v>
      </c>
      <c r="Q1830" s="2" t="s">
        <v>94</v>
      </c>
      <c r="R1830" s="2" t="s">
        <v>95</v>
      </c>
      <c r="S1830" s="2">
        <v>2</v>
      </c>
      <c r="T1830" s="2">
        <v>2.2799999999999998</v>
      </c>
      <c r="U1830" s="2">
        <v>0.52439999999999998</v>
      </c>
      <c r="V1830" s="2">
        <v>2.8043999999999998</v>
      </c>
      <c r="W1830" s="2">
        <v>2.2799999999999998</v>
      </c>
      <c r="X1830" s="5">
        <f t="shared" si="256"/>
        <v>0</v>
      </c>
      <c r="Z1830" s="2" t="s">
        <v>3227</v>
      </c>
      <c r="AA1830" s="2" t="s">
        <v>96</v>
      </c>
      <c r="AB1830" s="2" t="s">
        <v>76</v>
      </c>
      <c r="AC1830" s="2" t="s">
        <v>93</v>
      </c>
      <c r="AF1830" s="2">
        <f t="shared" si="252"/>
        <v>0</v>
      </c>
      <c r="AJ1830" s="2">
        <f t="shared" si="253"/>
        <v>0</v>
      </c>
      <c r="AK1830" s="2">
        <f t="shared" si="257"/>
        <v>0</v>
      </c>
      <c r="AL1830" s="5">
        <f t="shared" si="258"/>
        <v>0</v>
      </c>
    </row>
    <row r="1831" spans="1:38" x14ac:dyDescent="0.2">
      <c r="A1831" s="2">
        <v>2025</v>
      </c>
      <c r="B1831" s="2">
        <v>10</v>
      </c>
      <c r="D1831" s="2" t="s">
        <v>1858</v>
      </c>
      <c r="E1831" s="2" t="s">
        <v>108</v>
      </c>
      <c r="G1831" s="2">
        <v>515549134</v>
      </c>
      <c r="H1831" s="2" t="s">
        <v>41</v>
      </c>
      <c r="I1831" s="2" t="s">
        <v>1859</v>
      </c>
      <c r="J1831" s="2" t="s">
        <v>1860</v>
      </c>
      <c r="L1831" s="2" t="s">
        <v>177</v>
      </c>
      <c r="M1831" s="2" t="s">
        <v>41</v>
      </c>
      <c r="O1831" s="2" t="s">
        <v>1861</v>
      </c>
      <c r="P1831" s="2" t="s">
        <v>43</v>
      </c>
      <c r="Q1831" s="2" t="s">
        <v>214</v>
      </c>
      <c r="R1831" s="2" t="s">
        <v>215</v>
      </c>
      <c r="S1831" s="2">
        <v>1</v>
      </c>
      <c r="T1831" s="2">
        <v>13.8</v>
      </c>
      <c r="U1831" s="2">
        <v>3.1739999999999999</v>
      </c>
      <c r="V1831" s="2">
        <v>16.974</v>
      </c>
      <c r="W1831" s="2">
        <f>7.915*S1831</f>
        <v>7.915</v>
      </c>
      <c r="X1831" s="5">
        <f t="shared" si="256"/>
        <v>0.42644927536231886</v>
      </c>
      <c r="Z1831" s="2" t="s">
        <v>3227</v>
      </c>
      <c r="AA1831" s="2" t="s">
        <v>46</v>
      </c>
      <c r="AB1831" s="2" t="s">
        <v>56</v>
      </c>
      <c r="AC1831" s="2" t="s">
        <v>57</v>
      </c>
      <c r="AF1831" s="2">
        <f t="shared" si="252"/>
        <v>0</v>
      </c>
      <c r="AG1831" s="2">
        <v>7.915</v>
      </c>
      <c r="AJ1831" s="2">
        <f t="shared" si="253"/>
        <v>0</v>
      </c>
      <c r="AK1831" s="2">
        <f t="shared" si="257"/>
        <v>5.8850000000000007</v>
      </c>
      <c r="AL1831" s="5">
        <f t="shared" si="258"/>
        <v>0.42644927536231886</v>
      </c>
    </row>
    <row r="1832" spans="1:38" x14ac:dyDescent="0.2">
      <c r="A1832" s="2">
        <v>2025</v>
      </c>
      <c r="B1832" s="2">
        <v>10</v>
      </c>
      <c r="D1832" s="2" t="s">
        <v>1858</v>
      </c>
      <c r="E1832" s="2" t="s">
        <v>108</v>
      </c>
      <c r="G1832" s="2">
        <v>515549134</v>
      </c>
      <c r="H1832" s="2" t="s">
        <v>41</v>
      </c>
      <c r="I1832" s="2" t="s">
        <v>1859</v>
      </c>
      <c r="J1832" s="2" t="s">
        <v>1860</v>
      </c>
      <c r="L1832" s="2" t="s">
        <v>177</v>
      </c>
      <c r="M1832" s="2" t="s">
        <v>41</v>
      </c>
      <c r="O1832" s="2" t="s">
        <v>1861</v>
      </c>
      <c r="P1832" s="2" t="s">
        <v>43</v>
      </c>
      <c r="Q1832" s="2" t="s">
        <v>216</v>
      </c>
      <c r="R1832" s="2" t="s">
        <v>217</v>
      </c>
      <c r="S1832" s="2">
        <v>1</v>
      </c>
      <c r="T1832" s="2">
        <v>17.399999999999999</v>
      </c>
      <c r="U1832" s="2">
        <v>4.0019999999999998</v>
      </c>
      <c r="V1832" s="2">
        <v>21.402000000000001</v>
      </c>
      <c r="W1832" s="2">
        <v>10.035</v>
      </c>
      <c r="X1832" s="5">
        <f t="shared" si="256"/>
        <v>0.42327586206896545</v>
      </c>
      <c r="Z1832" s="2" t="s">
        <v>3227</v>
      </c>
      <c r="AA1832" s="2" t="s">
        <v>46</v>
      </c>
      <c r="AB1832" s="2" t="s">
        <v>56</v>
      </c>
      <c r="AC1832" s="2" t="s">
        <v>57</v>
      </c>
      <c r="AF1832" s="2">
        <f t="shared" si="252"/>
        <v>0</v>
      </c>
      <c r="AG1832" s="2">
        <v>10.035</v>
      </c>
      <c r="AJ1832" s="2">
        <f t="shared" si="253"/>
        <v>0</v>
      </c>
      <c r="AK1832" s="2">
        <f t="shared" si="257"/>
        <v>7.3649999999999984</v>
      </c>
      <c r="AL1832" s="5">
        <f t="shared" si="258"/>
        <v>0.42327586206896545</v>
      </c>
    </row>
    <row r="1833" spans="1:38" x14ac:dyDescent="0.2">
      <c r="A1833" s="2">
        <v>2025</v>
      </c>
      <c r="B1833" s="2">
        <v>10</v>
      </c>
      <c r="D1833" s="2" t="s">
        <v>1858</v>
      </c>
      <c r="E1833" s="2" t="s">
        <v>108</v>
      </c>
      <c r="G1833" s="2">
        <v>515549134</v>
      </c>
      <c r="H1833" s="2" t="s">
        <v>41</v>
      </c>
      <c r="I1833" s="2" t="s">
        <v>1859</v>
      </c>
      <c r="J1833" s="2" t="s">
        <v>1860</v>
      </c>
      <c r="L1833" s="2" t="s">
        <v>177</v>
      </c>
      <c r="M1833" s="2" t="s">
        <v>41</v>
      </c>
      <c r="O1833" s="2" t="s">
        <v>1861</v>
      </c>
      <c r="P1833" s="2" t="s">
        <v>43</v>
      </c>
      <c r="Q1833" s="2" t="s">
        <v>218</v>
      </c>
      <c r="R1833" s="2" t="s">
        <v>219</v>
      </c>
      <c r="S1833" s="2">
        <v>1</v>
      </c>
      <c r="T1833" s="2">
        <v>21</v>
      </c>
      <c r="U1833" s="2">
        <v>4.83</v>
      </c>
      <c r="V1833" s="2">
        <v>25.83</v>
      </c>
      <c r="W1833" s="2">
        <v>12.4434</v>
      </c>
      <c r="X1833" s="5">
        <f t="shared" si="256"/>
        <v>0.40745714285714285</v>
      </c>
      <c r="Z1833" s="2" t="s">
        <v>3227</v>
      </c>
      <c r="AA1833" s="2" t="s">
        <v>46</v>
      </c>
      <c r="AB1833" s="2" t="s">
        <v>56</v>
      </c>
      <c r="AC1833" s="2" t="s">
        <v>57</v>
      </c>
      <c r="AF1833" s="2">
        <f t="shared" si="252"/>
        <v>0</v>
      </c>
      <c r="AG1833" s="2">
        <v>12.4434</v>
      </c>
      <c r="AJ1833" s="2">
        <f t="shared" si="253"/>
        <v>0</v>
      </c>
      <c r="AK1833" s="2">
        <f t="shared" si="257"/>
        <v>8.5565999999999995</v>
      </c>
      <c r="AL1833" s="5">
        <f t="shared" si="258"/>
        <v>0.40745714285714285</v>
      </c>
    </row>
    <row r="1834" spans="1:38" x14ac:dyDescent="0.2">
      <c r="A1834" s="2">
        <v>2025</v>
      </c>
      <c r="B1834" s="2">
        <v>10</v>
      </c>
      <c r="D1834" s="2" t="s">
        <v>1858</v>
      </c>
      <c r="E1834" s="2" t="s">
        <v>108</v>
      </c>
      <c r="G1834" s="2">
        <v>515549134</v>
      </c>
      <c r="H1834" s="2" t="s">
        <v>41</v>
      </c>
      <c r="I1834" s="2" t="s">
        <v>1859</v>
      </c>
      <c r="J1834" s="2" t="s">
        <v>1860</v>
      </c>
      <c r="L1834" s="2" t="s">
        <v>177</v>
      </c>
      <c r="M1834" s="2" t="s">
        <v>41</v>
      </c>
      <c r="O1834" s="2" t="s">
        <v>1861</v>
      </c>
      <c r="P1834" s="2" t="s">
        <v>43</v>
      </c>
      <c r="Q1834" s="2" t="s">
        <v>238</v>
      </c>
      <c r="R1834" s="2" t="s">
        <v>239</v>
      </c>
      <c r="S1834" s="2">
        <v>1</v>
      </c>
      <c r="T1834" s="2">
        <v>19.8</v>
      </c>
      <c r="U1834" s="2">
        <v>4.5540000000000003</v>
      </c>
      <c r="V1834" s="2">
        <v>24.353999999999999</v>
      </c>
      <c r="W1834" s="2">
        <f>11.045*S1834</f>
        <v>11.045</v>
      </c>
      <c r="X1834" s="5">
        <f t="shared" si="256"/>
        <v>0.44217171717171722</v>
      </c>
      <c r="Z1834" s="2" t="s">
        <v>3227</v>
      </c>
      <c r="AA1834" s="2" t="s">
        <v>46</v>
      </c>
      <c r="AB1834" s="2" t="s">
        <v>56</v>
      </c>
      <c r="AC1834" s="2" t="s">
        <v>57</v>
      </c>
      <c r="AF1834" s="2">
        <f t="shared" si="252"/>
        <v>0</v>
      </c>
      <c r="AG1834" s="2">
        <v>11.087999999999999</v>
      </c>
      <c r="AJ1834" s="2">
        <f t="shared" si="253"/>
        <v>0</v>
      </c>
      <c r="AK1834" s="2">
        <f t="shared" si="257"/>
        <v>8.7550000000000008</v>
      </c>
      <c r="AL1834" s="5">
        <f t="shared" si="258"/>
        <v>0.44217171717171722</v>
      </c>
    </row>
    <row r="1835" spans="1:38" x14ac:dyDescent="0.2">
      <c r="A1835" s="2">
        <v>2025</v>
      </c>
      <c r="B1835" s="2">
        <v>10</v>
      </c>
      <c r="D1835" s="2" t="s">
        <v>1858</v>
      </c>
      <c r="E1835" s="2" t="s">
        <v>108</v>
      </c>
      <c r="G1835" s="2">
        <v>515549134</v>
      </c>
      <c r="H1835" s="2" t="s">
        <v>41</v>
      </c>
      <c r="I1835" s="2" t="s">
        <v>1859</v>
      </c>
      <c r="J1835" s="2" t="s">
        <v>1860</v>
      </c>
      <c r="L1835" s="2" t="s">
        <v>177</v>
      </c>
      <c r="M1835" s="2" t="s">
        <v>41</v>
      </c>
      <c r="O1835" s="2" t="s">
        <v>1861</v>
      </c>
      <c r="P1835" s="2" t="s">
        <v>43</v>
      </c>
      <c r="Q1835" s="2" t="s">
        <v>65</v>
      </c>
      <c r="R1835" s="2" t="s">
        <v>66</v>
      </c>
      <c r="S1835" s="2">
        <v>4</v>
      </c>
      <c r="T1835" s="2">
        <v>84</v>
      </c>
      <c r="U1835" s="2">
        <v>19.32</v>
      </c>
      <c r="V1835" s="2">
        <v>103.32</v>
      </c>
      <c r="W1835" s="2">
        <f>15.0203*S1835</f>
        <v>60.081200000000003</v>
      </c>
      <c r="X1835" s="5">
        <f t="shared" si="256"/>
        <v>0.28474761904761903</v>
      </c>
      <c r="Z1835" s="2" t="s">
        <v>3227</v>
      </c>
      <c r="AA1835" s="2" t="s">
        <v>46</v>
      </c>
      <c r="AB1835" s="2" t="s">
        <v>67</v>
      </c>
      <c r="AC1835" s="2" t="s">
        <v>57</v>
      </c>
      <c r="AF1835" s="2">
        <f t="shared" si="252"/>
        <v>0</v>
      </c>
      <c r="AG1835" s="2">
        <v>15.020300000000001</v>
      </c>
      <c r="AH1835" s="2">
        <v>27.6</v>
      </c>
      <c r="AJ1835" s="2">
        <f t="shared" si="253"/>
        <v>0</v>
      </c>
      <c r="AK1835" s="2">
        <f t="shared" si="257"/>
        <v>23.918799999999997</v>
      </c>
      <c r="AL1835" s="5">
        <f t="shared" si="258"/>
        <v>0.28474761904761903</v>
      </c>
    </row>
    <row r="1836" spans="1:38" x14ac:dyDescent="0.2">
      <c r="A1836" s="2">
        <v>2025</v>
      </c>
      <c r="B1836" s="2">
        <v>10</v>
      </c>
      <c r="C1836" s="2" t="s">
        <v>3413</v>
      </c>
      <c r="D1836" s="2" t="s">
        <v>1450</v>
      </c>
      <c r="E1836" s="2" t="s">
        <v>108</v>
      </c>
      <c r="F1836" s="2" t="s">
        <v>477</v>
      </c>
      <c r="L1836" s="2" t="s">
        <v>112</v>
      </c>
      <c r="M1836" s="2" t="s">
        <v>40</v>
      </c>
      <c r="P1836" s="2" t="s">
        <v>114</v>
      </c>
      <c r="Q1836" s="2" t="s">
        <v>412</v>
      </c>
      <c r="R1836" s="2" t="s">
        <v>413</v>
      </c>
      <c r="S1836" s="2">
        <v>1</v>
      </c>
      <c r="T1836" s="2">
        <v>14000</v>
      </c>
      <c r="U1836" s="2">
        <v>3220</v>
      </c>
      <c r="V1836" s="2">
        <v>17220</v>
      </c>
      <c r="W1836" s="2">
        <v>10669.4</v>
      </c>
      <c r="X1836" s="5">
        <f t="shared" si="256"/>
        <v>0.23790000000000003</v>
      </c>
      <c r="Z1836" s="2" t="s">
        <v>104</v>
      </c>
      <c r="AA1836" s="2" t="s">
        <v>414</v>
      </c>
      <c r="AB1836" s="2" t="s">
        <v>151</v>
      </c>
      <c r="AC1836" s="2" t="s">
        <v>114</v>
      </c>
      <c r="AF1836" s="2">
        <f t="shared" si="252"/>
        <v>0</v>
      </c>
      <c r="AJ1836" s="2">
        <f t="shared" si="253"/>
        <v>0</v>
      </c>
      <c r="AK1836" s="2">
        <f t="shared" si="257"/>
        <v>3330.6000000000004</v>
      </c>
      <c r="AL1836" s="5">
        <f t="shared" si="258"/>
        <v>0.23790000000000003</v>
      </c>
    </row>
    <row r="1837" spans="1:38" x14ac:dyDescent="0.2">
      <c r="A1837" s="2">
        <v>2025</v>
      </c>
      <c r="B1837" s="2">
        <v>10</v>
      </c>
      <c r="D1837" s="2" t="s">
        <v>1862</v>
      </c>
      <c r="P1837" s="2" t="s">
        <v>72</v>
      </c>
      <c r="Q1837" s="2" t="s">
        <v>1035</v>
      </c>
      <c r="R1837" s="2" t="s">
        <v>79</v>
      </c>
      <c r="S1837" s="2">
        <v>1</v>
      </c>
      <c r="T1837" s="2">
        <v>210</v>
      </c>
      <c r="U1837" s="2">
        <v>48.3</v>
      </c>
      <c r="V1837" s="2">
        <v>258.3</v>
      </c>
      <c r="W1837" s="2">
        <v>113.33</v>
      </c>
      <c r="X1837" s="5">
        <f t="shared" si="256"/>
        <v>0.46033333333333332</v>
      </c>
      <c r="Z1837" s="2" t="s">
        <v>3227</v>
      </c>
      <c r="AA1837" s="2" t="s">
        <v>75</v>
      </c>
      <c r="AB1837" s="2" t="s">
        <v>76</v>
      </c>
      <c r="AC1837" s="2" t="s">
        <v>77</v>
      </c>
      <c r="AF1837" s="2">
        <f t="shared" si="252"/>
        <v>0</v>
      </c>
      <c r="AG1837" s="2">
        <v>113.33</v>
      </c>
      <c r="AH1837" s="2">
        <v>220</v>
      </c>
      <c r="AJ1837" s="2">
        <f t="shared" si="253"/>
        <v>0</v>
      </c>
      <c r="AK1837" s="2">
        <f t="shared" si="257"/>
        <v>96.67</v>
      </c>
      <c r="AL1837" s="5">
        <f t="shared" si="258"/>
        <v>0.46033333333333332</v>
      </c>
    </row>
    <row r="1838" spans="1:38" x14ac:dyDescent="0.2">
      <c r="A1838" s="2">
        <v>2025</v>
      </c>
      <c r="B1838" s="2">
        <v>10</v>
      </c>
      <c r="D1838" s="2" t="s">
        <v>1862</v>
      </c>
      <c r="P1838" s="2" t="s">
        <v>93</v>
      </c>
      <c r="Q1838" s="2" t="s">
        <v>94</v>
      </c>
      <c r="R1838" s="2" t="s">
        <v>95</v>
      </c>
      <c r="S1838" s="2">
        <v>1</v>
      </c>
      <c r="T1838" s="2">
        <v>1.1399999999999999</v>
      </c>
      <c r="U1838" s="2">
        <v>0.26219999999999999</v>
      </c>
      <c r="V1838" s="2">
        <v>1.4021999999999999</v>
      </c>
      <c r="W1838" s="2">
        <v>1.1399999999999999</v>
      </c>
      <c r="X1838" s="5">
        <f t="shared" si="256"/>
        <v>0</v>
      </c>
      <c r="Z1838" s="2" t="s">
        <v>3227</v>
      </c>
      <c r="AA1838" s="2" t="s">
        <v>96</v>
      </c>
      <c r="AB1838" s="2" t="s">
        <v>76</v>
      </c>
      <c r="AC1838" s="2" t="s">
        <v>93</v>
      </c>
      <c r="AF1838" s="2">
        <f t="shared" si="252"/>
        <v>0</v>
      </c>
      <c r="AJ1838" s="2">
        <f t="shared" si="253"/>
        <v>0</v>
      </c>
      <c r="AK1838" s="2">
        <f t="shared" si="257"/>
        <v>0</v>
      </c>
      <c r="AL1838" s="5">
        <f t="shared" si="258"/>
        <v>0</v>
      </c>
    </row>
    <row r="1839" spans="1:38" x14ac:dyDescent="0.2">
      <c r="A1839" s="2">
        <v>2025</v>
      </c>
      <c r="B1839" s="2">
        <v>10</v>
      </c>
      <c r="C1839" s="2" t="s">
        <v>3411</v>
      </c>
      <c r="D1839" s="2" t="s">
        <v>1458</v>
      </c>
      <c r="E1839" s="2" t="s">
        <v>38</v>
      </c>
      <c r="F1839" s="2" t="s">
        <v>39</v>
      </c>
      <c r="L1839" s="2" t="s">
        <v>339</v>
      </c>
      <c r="M1839" s="2" t="s">
        <v>80</v>
      </c>
      <c r="P1839" s="2" t="s">
        <v>282</v>
      </c>
      <c r="Q1839" s="2" t="s">
        <v>1547</v>
      </c>
      <c r="R1839" s="2" t="s">
        <v>1548</v>
      </c>
      <c r="S1839" s="2">
        <v>1</v>
      </c>
      <c r="T1839" s="2">
        <v>595</v>
      </c>
      <c r="U1839" s="2">
        <v>136.85</v>
      </c>
      <c r="V1839" s="2">
        <v>731.85</v>
      </c>
      <c r="W1839" s="2">
        <v>297</v>
      </c>
      <c r="X1839" s="5">
        <f t="shared" si="256"/>
        <v>0.50084033613445378</v>
      </c>
      <c r="Z1839" s="2" t="s">
        <v>104</v>
      </c>
      <c r="AA1839" s="2" t="s">
        <v>387</v>
      </c>
      <c r="AB1839" s="2" t="s">
        <v>388</v>
      </c>
      <c r="AC1839" s="2" t="s">
        <v>389</v>
      </c>
      <c r="AF1839" s="2">
        <f t="shared" si="252"/>
        <v>0</v>
      </c>
      <c r="AJ1839" s="2">
        <f t="shared" si="253"/>
        <v>0</v>
      </c>
      <c r="AK1839" s="2">
        <f t="shared" si="257"/>
        <v>298</v>
      </c>
      <c r="AL1839" s="5">
        <f t="shared" si="258"/>
        <v>0.50084033613445378</v>
      </c>
    </row>
    <row r="1840" spans="1:38" x14ac:dyDescent="0.2">
      <c r="A1840" s="2">
        <v>2025</v>
      </c>
      <c r="B1840" s="2">
        <v>10</v>
      </c>
      <c r="C1840" s="2" t="s">
        <v>3411</v>
      </c>
      <c r="D1840" s="2" t="s">
        <v>1458</v>
      </c>
      <c r="E1840" s="2" t="s">
        <v>38</v>
      </c>
      <c r="F1840" s="2" t="s">
        <v>39</v>
      </c>
      <c r="L1840" s="2" t="s">
        <v>339</v>
      </c>
      <c r="M1840" s="2" t="s">
        <v>80</v>
      </c>
      <c r="P1840" s="2" t="s">
        <v>282</v>
      </c>
      <c r="Q1840" s="2" t="s">
        <v>401</v>
      </c>
      <c r="R1840" s="2" t="s">
        <v>402</v>
      </c>
      <c r="S1840" s="2">
        <v>4</v>
      </c>
      <c r="T1840" s="2">
        <v>0</v>
      </c>
      <c r="U1840" s="2">
        <v>0</v>
      </c>
      <c r="V1840" s="2">
        <v>0</v>
      </c>
      <c r="W1840" s="2">
        <f>17.089*6</f>
        <v>102.53399999999999</v>
      </c>
      <c r="X1840" s="18">
        <v>-1</v>
      </c>
      <c r="Z1840" s="2" t="s">
        <v>3227</v>
      </c>
      <c r="AA1840" s="2" t="s">
        <v>46</v>
      </c>
      <c r="AB1840" s="2" t="s">
        <v>60</v>
      </c>
      <c r="AC1840" s="2" t="s">
        <v>3332</v>
      </c>
      <c r="AF1840" s="2">
        <f t="shared" si="252"/>
        <v>0</v>
      </c>
      <c r="AJ1840" s="2">
        <f t="shared" si="253"/>
        <v>0</v>
      </c>
      <c r="AK1840" s="2">
        <f t="shared" si="257"/>
        <v>-102.53399999999999</v>
      </c>
      <c r="AL1840" s="18">
        <v>-1</v>
      </c>
    </row>
    <row r="1841" spans="1:38" x14ac:dyDescent="0.2">
      <c r="A1841" s="2">
        <v>2025</v>
      </c>
      <c r="B1841" s="2">
        <v>10</v>
      </c>
      <c r="C1841" s="2" t="s">
        <v>3411</v>
      </c>
      <c r="D1841" s="2" t="s">
        <v>1458</v>
      </c>
      <c r="E1841" s="2" t="s">
        <v>38</v>
      </c>
      <c r="F1841" s="2" t="s">
        <v>39</v>
      </c>
      <c r="L1841" s="2" t="s">
        <v>339</v>
      </c>
      <c r="M1841" s="2" t="s">
        <v>80</v>
      </c>
      <c r="P1841" s="2" t="s">
        <v>43</v>
      </c>
      <c r="Q1841" s="2" t="s">
        <v>969</v>
      </c>
      <c r="R1841" s="2" t="s">
        <v>970</v>
      </c>
      <c r="S1841" s="2">
        <v>-6</v>
      </c>
      <c r="T1841" s="2">
        <v>-174</v>
      </c>
      <c r="U1841" s="2">
        <v>-40.020000000000003</v>
      </c>
      <c r="V1841" s="2">
        <v>-214.02</v>
      </c>
      <c r="W1841" s="2">
        <v>110.23139999999999</v>
      </c>
      <c r="X1841" s="18">
        <f>SIGN(T1841)*((ABS(T1841)-W1841)/ABS(T1841))</f>
        <v>-0.36648620689655176</v>
      </c>
      <c r="Z1841" s="2" t="s">
        <v>3227</v>
      </c>
      <c r="AA1841" s="2" t="s">
        <v>46</v>
      </c>
      <c r="AB1841" s="2" t="s">
        <v>60</v>
      </c>
      <c r="AC1841" s="2" t="s">
        <v>57</v>
      </c>
      <c r="AF1841" s="2">
        <f t="shared" si="252"/>
        <v>0</v>
      </c>
      <c r="AJ1841" s="2">
        <f t="shared" si="253"/>
        <v>0</v>
      </c>
      <c r="AK1841" s="2">
        <f>T1841+(W1841)</f>
        <v>-63.768600000000006</v>
      </c>
      <c r="AL1841" s="18">
        <f>SIGN(T1841)*((ABS(T1841)-W1841)/ABS(T1841))</f>
        <v>-0.36648620689655176</v>
      </c>
    </row>
    <row r="1842" spans="1:38" x14ac:dyDescent="0.2">
      <c r="A1842" s="2">
        <v>2025</v>
      </c>
      <c r="B1842" s="2">
        <v>10</v>
      </c>
      <c r="C1842" s="2" t="s">
        <v>3411</v>
      </c>
      <c r="D1842" s="2" t="s">
        <v>1458</v>
      </c>
      <c r="E1842" s="2" t="s">
        <v>38</v>
      </c>
      <c r="F1842" s="2" t="s">
        <v>39</v>
      </c>
      <c r="L1842" s="2" t="s">
        <v>339</v>
      </c>
      <c r="M1842" s="2" t="s">
        <v>80</v>
      </c>
      <c r="P1842" s="2" t="s">
        <v>43</v>
      </c>
      <c r="Q1842" s="2" t="s">
        <v>971</v>
      </c>
      <c r="R1842" s="2" t="s">
        <v>972</v>
      </c>
      <c r="S1842" s="2">
        <v>-6</v>
      </c>
      <c r="T1842" s="2">
        <v>-174</v>
      </c>
      <c r="U1842" s="2">
        <v>-40.020000000000003</v>
      </c>
      <c r="V1842" s="2">
        <v>-214.02</v>
      </c>
      <c r="W1842" s="2">
        <f>18.9342*6</f>
        <v>113.6052</v>
      </c>
      <c r="X1842" s="18">
        <f>SIGN(T1842)*((ABS(T1842)-W1842)/ABS(T1842))</f>
        <v>-0.34709655172413795</v>
      </c>
      <c r="Z1842" s="2" t="s">
        <v>3227</v>
      </c>
      <c r="AA1842" s="2" t="s">
        <v>46</v>
      </c>
      <c r="AB1842" s="2" t="s">
        <v>60</v>
      </c>
      <c r="AC1842" s="2" t="s">
        <v>57</v>
      </c>
      <c r="AF1842" s="2">
        <f t="shared" si="252"/>
        <v>0</v>
      </c>
      <c r="AJ1842" s="2">
        <f t="shared" si="253"/>
        <v>0</v>
      </c>
      <c r="AK1842" s="2">
        <f>T1842+(W1842)</f>
        <v>-60.394800000000004</v>
      </c>
      <c r="AL1842" s="18">
        <f>SIGN(T1842)*((ABS(T1842)-W1842)/ABS(T1842))</f>
        <v>-0.34709655172413795</v>
      </c>
    </row>
    <row r="1843" spans="1:38" x14ac:dyDescent="0.2">
      <c r="A1843" s="2">
        <v>2025</v>
      </c>
      <c r="B1843" s="2">
        <v>10</v>
      </c>
      <c r="D1843" s="2" t="s">
        <v>941</v>
      </c>
      <c r="E1843" s="2" t="s">
        <v>38</v>
      </c>
      <c r="F1843" s="2" t="s">
        <v>39</v>
      </c>
      <c r="L1843" s="2" t="s">
        <v>177</v>
      </c>
      <c r="M1843" s="2" t="s">
        <v>41</v>
      </c>
      <c r="P1843" s="2" t="s">
        <v>43</v>
      </c>
      <c r="Q1843" s="2" t="s">
        <v>160</v>
      </c>
      <c r="R1843" s="2" t="s">
        <v>161</v>
      </c>
      <c r="S1843" s="2">
        <v>1</v>
      </c>
      <c r="T1843" s="2">
        <v>7.8</v>
      </c>
      <c r="U1843" s="2">
        <v>1.794</v>
      </c>
      <c r="V1843" s="2">
        <v>9.5939999999999994</v>
      </c>
      <c r="W1843" s="2">
        <f>3.7358*S1843</f>
        <v>3.7357999999999998</v>
      </c>
      <c r="X1843" s="5">
        <f t="shared" ref="X1843:X1848" si="259">(T1843-W1843)/T1843</f>
        <v>0.52105128205128204</v>
      </c>
      <c r="Z1843" s="2" t="s">
        <v>3227</v>
      </c>
      <c r="AA1843" s="2" t="s">
        <v>46</v>
      </c>
      <c r="AB1843" s="2" t="s">
        <v>47</v>
      </c>
      <c r="AC1843" s="2" t="s">
        <v>57</v>
      </c>
      <c r="AF1843" s="2">
        <f t="shared" si="252"/>
        <v>0</v>
      </c>
      <c r="AG1843" s="2">
        <v>3.7357999999999998</v>
      </c>
      <c r="AH1843" s="2">
        <v>9</v>
      </c>
      <c r="AJ1843" s="2">
        <f t="shared" si="253"/>
        <v>0</v>
      </c>
      <c r="AK1843" s="2">
        <f t="shared" ref="AK1843:AK1874" si="260">T1843-W1843</f>
        <v>4.0641999999999996</v>
      </c>
      <c r="AL1843" s="5">
        <f t="shared" ref="AL1843:AL1848" si="261">(T1843-W1843)/T1843</f>
        <v>0.52105128205128204</v>
      </c>
    </row>
    <row r="1844" spans="1:38" x14ac:dyDescent="0.2">
      <c r="A1844" s="2">
        <v>2025</v>
      </c>
      <c r="B1844" s="2">
        <v>10</v>
      </c>
      <c r="D1844" s="2" t="s">
        <v>941</v>
      </c>
      <c r="E1844" s="2" t="s">
        <v>38</v>
      </c>
      <c r="F1844" s="2" t="s">
        <v>39</v>
      </c>
      <c r="L1844" s="2" t="s">
        <v>177</v>
      </c>
      <c r="M1844" s="2" t="s">
        <v>41</v>
      </c>
      <c r="P1844" s="2" t="s">
        <v>43</v>
      </c>
      <c r="Q1844" s="2" t="s">
        <v>234</v>
      </c>
      <c r="R1844" s="2" t="s">
        <v>235</v>
      </c>
      <c r="S1844" s="2">
        <v>1</v>
      </c>
      <c r="T1844" s="2">
        <v>13.2</v>
      </c>
      <c r="U1844" s="2">
        <v>3.036</v>
      </c>
      <c r="V1844" s="2">
        <v>16.236000000000001</v>
      </c>
      <c r="W1844" s="2">
        <v>7.2217000000000002</v>
      </c>
      <c r="X1844" s="5">
        <f t="shared" si="259"/>
        <v>0.45290151515151511</v>
      </c>
      <c r="Z1844" s="2" t="s">
        <v>3227</v>
      </c>
      <c r="AA1844" s="2" t="s">
        <v>46</v>
      </c>
      <c r="AB1844" s="2" t="s">
        <v>56</v>
      </c>
      <c r="AC1844" s="2" t="s">
        <v>57</v>
      </c>
      <c r="AF1844" s="2">
        <f t="shared" si="252"/>
        <v>0</v>
      </c>
      <c r="AG1844" s="2">
        <v>7.2217000000000002</v>
      </c>
      <c r="AH1844" s="2">
        <v>14.4</v>
      </c>
      <c r="AJ1844" s="2">
        <f t="shared" si="253"/>
        <v>0</v>
      </c>
      <c r="AK1844" s="2">
        <f t="shared" si="260"/>
        <v>5.9782999999999991</v>
      </c>
      <c r="AL1844" s="5">
        <f t="shared" si="261"/>
        <v>0.45290151515151511</v>
      </c>
    </row>
    <row r="1845" spans="1:38" x14ac:dyDescent="0.2">
      <c r="A1845" s="2">
        <v>2025</v>
      </c>
      <c r="B1845" s="2">
        <v>10</v>
      </c>
      <c r="D1845" s="2" t="s">
        <v>941</v>
      </c>
      <c r="E1845" s="2" t="s">
        <v>38</v>
      </c>
      <c r="F1845" s="2" t="s">
        <v>39</v>
      </c>
      <c r="L1845" s="2" t="s">
        <v>177</v>
      </c>
      <c r="M1845" s="2" t="s">
        <v>41</v>
      </c>
      <c r="P1845" s="2" t="s">
        <v>43</v>
      </c>
      <c r="Q1845" s="2" t="s">
        <v>54</v>
      </c>
      <c r="R1845" s="2" t="s">
        <v>55</v>
      </c>
      <c r="S1845" s="2">
        <v>1</v>
      </c>
      <c r="T1845" s="2">
        <v>18</v>
      </c>
      <c r="U1845" s="2">
        <v>4.1400000000000006</v>
      </c>
      <c r="V1845" s="2">
        <v>22.14</v>
      </c>
      <c r="W1845" s="2">
        <f>10.6*S1845</f>
        <v>10.6</v>
      </c>
      <c r="X1845" s="5">
        <f t="shared" si="259"/>
        <v>0.41111111111111115</v>
      </c>
      <c r="Z1845" s="2" t="s">
        <v>3227</v>
      </c>
      <c r="AA1845" s="2" t="s">
        <v>46</v>
      </c>
      <c r="AB1845" s="2" t="s">
        <v>56</v>
      </c>
      <c r="AC1845" s="2" t="s">
        <v>57</v>
      </c>
      <c r="AF1845" s="2">
        <f t="shared" si="252"/>
        <v>0</v>
      </c>
      <c r="AG1845" s="2">
        <v>10.6</v>
      </c>
      <c r="AH1845" s="2">
        <v>18</v>
      </c>
      <c r="AJ1845" s="2">
        <f t="shared" si="253"/>
        <v>0</v>
      </c>
      <c r="AK1845" s="2">
        <f t="shared" si="260"/>
        <v>7.4</v>
      </c>
      <c r="AL1845" s="5">
        <f t="shared" si="261"/>
        <v>0.41111111111111115</v>
      </c>
    </row>
    <row r="1846" spans="1:38" x14ac:dyDescent="0.2">
      <c r="A1846" s="2">
        <v>2025</v>
      </c>
      <c r="B1846" s="2">
        <v>10</v>
      </c>
      <c r="D1846" s="2" t="s">
        <v>941</v>
      </c>
      <c r="E1846" s="2" t="s">
        <v>38</v>
      </c>
      <c r="F1846" s="2" t="s">
        <v>39</v>
      </c>
      <c r="L1846" s="2" t="s">
        <v>177</v>
      </c>
      <c r="M1846" s="2" t="s">
        <v>41</v>
      </c>
      <c r="P1846" s="2" t="s">
        <v>43</v>
      </c>
      <c r="Q1846" s="2" t="s">
        <v>61</v>
      </c>
      <c r="R1846" s="2" t="s">
        <v>62</v>
      </c>
      <c r="S1846" s="2">
        <v>100</v>
      </c>
      <c r="T1846" s="2">
        <v>13</v>
      </c>
      <c r="U1846" s="2">
        <v>2.99</v>
      </c>
      <c r="V1846" s="2">
        <v>15.99</v>
      </c>
      <c r="W1846" s="2">
        <f>0.082*S1846</f>
        <v>8.2000000000000011</v>
      </c>
      <c r="X1846" s="5">
        <f t="shared" si="259"/>
        <v>0.36923076923076914</v>
      </c>
      <c r="Z1846" s="2" t="s">
        <v>3227</v>
      </c>
      <c r="AA1846" s="2" t="s">
        <v>46</v>
      </c>
      <c r="AB1846" s="2" t="s">
        <v>60</v>
      </c>
      <c r="AC1846" s="2" t="s">
        <v>57</v>
      </c>
      <c r="AF1846" s="2">
        <f t="shared" si="252"/>
        <v>0</v>
      </c>
      <c r="AG1846" s="2">
        <v>8.1999999999999993</v>
      </c>
      <c r="AH1846" s="2">
        <v>13</v>
      </c>
      <c r="AJ1846" s="2">
        <f t="shared" si="253"/>
        <v>0</v>
      </c>
      <c r="AK1846" s="2">
        <f t="shared" si="260"/>
        <v>4.7999999999999989</v>
      </c>
      <c r="AL1846" s="5">
        <f t="shared" si="261"/>
        <v>0.36923076923076914</v>
      </c>
    </row>
    <row r="1847" spans="1:38" x14ac:dyDescent="0.2">
      <c r="A1847" s="2">
        <v>2025</v>
      </c>
      <c r="B1847" s="2">
        <v>10</v>
      </c>
      <c r="D1847" s="2" t="s">
        <v>1863</v>
      </c>
      <c r="M1847" s="2" t="s">
        <v>40</v>
      </c>
      <c r="P1847" s="2" t="s">
        <v>114</v>
      </c>
      <c r="Q1847" s="2" t="s">
        <v>179</v>
      </c>
      <c r="R1847" s="2" t="s">
        <v>180</v>
      </c>
      <c r="S1847" s="2">
        <v>1</v>
      </c>
      <c r="T1847" s="2">
        <v>699.3</v>
      </c>
      <c r="U1847" s="2">
        <v>160.839</v>
      </c>
      <c r="V1847" s="2">
        <v>860.1389999999999</v>
      </c>
      <c r="W1847" s="2">
        <v>346.57</v>
      </c>
      <c r="X1847" s="5">
        <f t="shared" si="259"/>
        <v>0.50440440440440437</v>
      </c>
      <c r="Z1847" s="2" t="s">
        <v>117</v>
      </c>
      <c r="AA1847" s="2" t="s">
        <v>181</v>
      </c>
      <c r="AB1847" s="2" t="s">
        <v>119</v>
      </c>
      <c r="AC1847" s="2" t="s">
        <v>114</v>
      </c>
      <c r="AF1847" s="2">
        <f t="shared" si="252"/>
        <v>0</v>
      </c>
      <c r="AJ1847" s="2">
        <f t="shared" si="253"/>
        <v>0</v>
      </c>
      <c r="AK1847" s="2">
        <f t="shared" si="260"/>
        <v>352.72999999999996</v>
      </c>
      <c r="AL1847" s="5">
        <f t="shared" si="261"/>
        <v>0.50440440440440437</v>
      </c>
    </row>
    <row r="1848" spans="1:38" x14ac:dyDescent="0.2">
      <c r="A1848" s="2">
        <v>2025</v>
      </c>
      <c r="B1848" s="2">
        <v>10</v>
      </c>
      <c r="D1848" s="2" t="s">
        <v>1863</v>
      </c>
      <c r="M1848" s="2" t="s">
        <v>40</v>
      </c>
      <c r="P1848" s="2" t="s">
        <v>187</v>
      </c>
      <c r="Q1848" s="2" t="s">
        <v>188</v>
      </c>
      <c r="R1848" s="2" t="s">
        <v>189</v>
      </c>
      <c r="S1848" s="2">
        <v>1</v>
      </c>
      <c r="T1848" s="2">
        <v>107</v>
      </c>
      <c r="U1848" s="2">
        <v>24.61</v>
      </c>
      <c r="V1848" s="2">
        <v>131.61000000000001</v>
      </c>
      <c r="W1848" s="2">
        <f>T1848*40%</f>
        <v>42.800000000000004</v>
      </c>
      <c r="X1848" s="5">
        <f t="shared" si="259"/>
        <v>0.59999999999999987</v>
      </c>
      <c r="Z1848" s="2" t="s">
        <v>117</v>
      </c>
      <c r="AA1848" s="2" t="s">
        <v>190</v>
      </c>
      <c r="AB1848" s="2" t="s">
        <v>189</v>
      </c>
      <c r="AC1848" s="2" t="s">
        <v>40</v>
      </c>
      <c r="AF1848" s="2">
        <f t="shared" si="252"/>
        <v>0</v>
      </c>
      <c r="AJ1848" s="2">
        <f t="shared" si="253"/>
        <v>0</v>
      </c>
      <c r="AK1848" s="2">
        <f t="shared" si="260"/>
        <v>64.199999999999989</v>
      </c>
      <c r="AL1848" s="5">
        <f t="shared" si="261"/>
        <v>0.59999999999999987</v>
      </c>
    </row>
    <row r="1849" spans="1:38" x14ac:dyDescent="0.2">
      <c r="A1849" s="2">
        <v>2025</v>
      </c>
      <c r="B1849" s="2">
        <v>10</v>
      </c>
      <c r="D1849" s="2" t="s">
        <v>1863</v>
      </c>
      <c r="M1849" s="2" t="s">
        <v>40</v>
      </c>
      <c r="P1849" s="2" t="s">
        <v>187</v>
      </c>
      <c r="Q1849" s="2" t="s">
        <v>191</v>
      </c>
      <c r="R1849" s="2" t="s">
        <v>190</v>
      </c>
      <c r="S1849" s="2">
        <v>1</v>
      </c>
      <c r="T1849" s="2">
        <v>0</v>
      </c>
      <c r="U1849" s="2">
        <v>0</v>
      </c>
      <c r="V1849" s="2">
        <v>0</v>
      </c>
      <c r="W1849" s="2">
        <f>T1849*50%</f>
        <v>0</v>
      </c>
      <c r="X1849" s="5">
        <v>0</v>
      </c>
      <c r="Z1849" s="2" t="s">
        <v>117</v>
      </c>
      <c r="AA1849" s="2" t="s">
        <v>190</v>
      </c>
      <c r="AB1849" s="2" t="s">
        <v>190</v>
      </c>
      <c r="AC1849" s="2" t="s">
        <v>40</v>
      </c>
      <c r="AF1849" s="2">
        <f t="shared" si="252"/>
        <v>0</v>
      </c>
      <c r="AJ1849" s="2">
        <f t="shared" si="253"/>
        <v>0</v>
      </c>
      <c r="AK1849" s="2">
        <f t="shared" si="260"/>
        <v>0</v>
      </c>
      <c r="AL1849" s="5">
        <v>0</v>
      </c>
    </row>
    <row r="1850" spans="1:38" x14ac:dyDescent="0.2">
      <c r="A1850" s="2">
        <v>2025</v>
      </c>
      <c r="B1850" s="2">
        <v>10</v>
      </c>
      <c r="D1850" s="2" t="s">
        <v>1864</v>
      </c>
      <c r="P1850" s="2" t="s">
        <v>68</v>
      </c>
      <c r="Q1850" s="2" t="s">
        <v>1160</v>
      </c>
      <c r="R1850" s="2" t="s">
        <v>1161</v>
      </c>
      <c r="S1850" s="2">
        <v>1</v>
      </c>
      <c r="T1850" s="2">
        <v>64</v>
      </c>
      <c r="U1850" s="2">
        <v>14.72</v>
      </c>
      <c r="V1850" s="2">
        <v>78.72</v>
      </c>
      <c r="W1850" s="2">
        <v>47.4</v>
      </c>
      <c r="X1850" s="5">
        <f t="shared" ref="X1850:X1861" si="262">(T1850-W1850)/T1850</f>
        <v>0.25937500000000002</v>
      </c>
      <c r="Z1850" s="2" t="s">
        <v>3227</v>
      </c>
      <c r="AA1850" s="2" t="s">
        <v>71</v>
      </c>
      <c r="AB1850" s="2" t="s">
        <v>68</v>
      </c>
      <c r="AC1850" s="2" t="s">
        <v>3231</v>
      </c>
      <c r="AF1850" s="2">
        <f t="shared" si="252"/>
        <v>0</v>
      </c>
      <c r="AJ1850" s="2">
        <f t="shared" si="253"/>
        <v>0</v>
      </c>
      <c r="AK1850" s="2">
        <f t="shared" si="260"/>
        <v>16.600000000000001</v>
      </c>
      <c r="AL1850" s="5">
        <f t="shared" ref="AL1850:AL1881" si="263">(T1850-W1850)/T1850</f>
        <v>0.25937500000000002</v>
      </c>
    </row>
    <row r="1851" spans="1:38" x14ac:dyDescent="0.2">
      <c r="A1851" s="2">
        <v>2025</v>
      </c>
      <c r="B1851" s="2">
        <v>10</v>
      </c>
      <c r="D1851" s="2" t="s">
        <v>1864</v>
      </c>
      <c r="P1851" s="2" t="s">
        <v>169</v>
      </c>
      <c r="Q1851" s="2" t="s">
        <v>170</v>
      </c>
      <c r="R1851" s="2" t="s">
        <v>170</v>
      </c>
      <c r="S1851" s="2">
        <v>1</v>
      </c>
      <c r="T1851" s="2">
        <v>8</v>
      </c>
      <c r="U1851" s="2">
        <v>1.84</v>
      </c>
      <c r="V1851" s="2">
        <v>9.84</v>
      </c>
      <c r="W1851" s="2">
        <v>6</v>
      </c>
      <c r="X1851" s="5">
        <f t="shared" si="262"/>
        <v>0.25</v>
      </c>
      <c r="Z1851" s="2" t="s">
        <v>169</v>
      </c>
      <c r="AA1851" s="2" t="s">
        <v>169</v>
      </c>
      <c r="AF1851" s="2">
        <f t="shared" si="252"/>
        <v>0</v>
      </c>
      <c r="AJ1851" s="2">
        <f t="shared" si="253"/>
        <v>0</v>
      </c>
      <c r="AK1851" s="2">
        <f t="shared" si="260"/>
        <v>2</v>
      </c>
      <c r="AL1851" s="5">
        <f t="shared" si="263"/>
        <v>0.25</v>
      </c>
    </row>
    <row r="1852" spans="1:38" x14ac:dyDescent="0.2">
      <c r="A1852" s="2">
        <v>2025</v>
      </c>
      <c r="B1852" s="2">
        <v>10</v>
      </c>
      <c r="D1852" s="2" t="s">
        <v>289</v>
      </c>
      <c r="E1852" s="2" t="s">
        <v>108</v>
      </c>
      <c r="F1852" s="2" t="s">
        <v>39</v>
      </c>
      <c r="G1852" s="2">
        <v>508428300</v>
      </c>
      <c r="H1852" s="2" t="s">
        <v>290</v>
      </c>
      <c r="I1852" s="2" t="s">
        <v>291</v>
      </c>
      <c r="J1852" s="2" t="s">
        <v>292</v>
      </c>
      <c r="K1852" s="2">
        <v>917165642</v>
      </c>
      <c r="L1852" s="2" t="s">
        <v>293</v>
      </c>
      <c r="M1852" s="2" t="s">
        <v>40</v>
      </c>
      <c r="O1852" s="2" t="s">
        <v>1865</v>
      </c>
      <c r="P1852" s="2" t="s">
        <v>114</v>
      </c>
      <c r="Q1852" s="2" t="s">
        <v>808</v>
      </c>
      <c r="R1852" s="2" t="s">
        <v>809</v>
      </c>
      <c r="S1852" s="2">
        <v>1</v>
      </c>
      <c r="T1852" s="2">
        <v>71.819999999999993</v>
      </c>
      <c r="U1852" s="2">
        <v>16.518599999999999</v>
      </c>
      <c r="V1852" s="2">
        <v>88.338599999999985</v>
      </c>
      <c r="W1852" s="2">
        <v>40.357500000000002</v>
      </c>
      <c r="X1852" s="5">
        <f t="shared" si="262"/>
        <v>0.43807435254803667</v>
      </c>
      <c r="Z1852" s="2" t="s">
        <v>117</v>
      </c>
      <c r="AA1852" s="2" t="s">
        <v>118</v>
      </c>
      <c r="AB1852" s="2" t="s">
        <v>119</v>
      </c>
      <c r="AC1852" s="2" t="s">
        <v>114</v>
      </c>
      <c r="AF1852" s="2">
        <f t="shared" si="252"/>
        <v>0</v>
      </c>
      <c r="AG1852" s="2">
        <v>40.357500000000002</v>
      </c>
      <c r="AJ1852" s="2">
        <f t="shared" si="253"/>
        <v>0</v>
      </c>
      <c r="AK1852" s="2">
        <f t="shared" si="260"/>
        <v>31.462499999999991</v>
      </c>
      <c r="AL1852" s="5">
        <f t="shared" si="263"/>
        <v>0.43807435254803667</v>
      </c>
    </row>
    <row r="1853" spans="1:38" x14ac:dyDescent="0.2">
      <c r="A1853" s="2">
        <v>2025</v>
      </c>
      <c r="B1853" s="2">
        <v>10</v>
      </c>
      <c r="D1853" s="2" t="s">
        <v>289</v>
      </c>
      <c r="E1853" s="2" t="s">
        <v>108</v>
      </c>
      <c r="F1853" s="2" t="s">
        <v>39</v>
      </c>
      <c r="G1853" s="2">
        <v>508428300</v>
      </c>
      <c r="H1853" s="2" t="s">
        <v>290</v>
      </c>
      <c r="I1853" s="2" t="s">
        <v>291</v>
      </c>
      <c r="J1853" s="2" t="s">
        <v>292</v>
      </c>
      <c r="K1853" s="2">
        <v>917165642</v>
      </c>
      <c r="L1853" s="2" t="s">
        <v>293</v>
      </c>
      <c r="M1853" s="2" t="s">
        <v>40</v>
      </c>
      <c r="O1853" s="2" t="s">
        <v>1866</v>
      </c>
      <c r="P1853" s="2" t="s">
        <v>114</v>
      </c>
      <c r="Q1853" s="2" t="s">
        <v>953</v>
      </c>
      <c r="R1853" s="2" t="s">
        <v>954</v>
      </c>
      <c r="S1853" s="2">
        <v>1</v>
      </c>
      <c r="T1853" s="2">
        <v>20.88</v>
      </c>
      <c r="U1853" s="2">
        <v>4.8023999999999996</v>
      </c>
      <c r="V1853" s="2">
        <v>25.682400000000001</v>
      </c>
      <c r="W1853" s="2">
        <v>14.4</v>
      </c>
      <c r="X1853" s="5">
        <f t="shared" si="262"/>
        <v>0.31034482758620685</v>
      </c>
      <c r="Z1853" s="2" t="s">
        <v>117</v>
      </c>
      <c r="AA1853" s="2" t="s">
        <v>578</v>
      </c>
      <c r="AB1853" s="2" t="s">
        <v>119</v>
      </c>
      <c r="AC1853" s="2" t="s">
        <v>114</v>
      </c>
      <c r="AF1853" s="2">
        <f t="shared" si="252"/>
        <v>0</v>
      </c>
      <c r="AG1853" s="2">
        <v>14.4</v>
      </c>
      <c r="AJ1853" s="2">
        <f t="shared" si="253"/>
        <v>0</v>
      </c>
      <c r="AK1853" s="2">
        <f t="shared" si="260"/>
        <v>6.4799999999999986</v>
      </c>
      <c r="AL1853" s="5">
        <f t="shared" si="263"/>
        <v>0.31034482758620685</v>
      </c>
    </row>
    <row r="1854" spans="1:38" x14ac:dyDescent="0.2">
      <c r="A1854" s="2">
        <v>2025</v>
      </c>
      <c r="B1854" s="2">
        <v>10</v>
      </c>
      <c r="D1854" s="2" t="s">
        <v>289</v>
      </c>
      <c r="E1854" s="2" t="s">
        <v>108</v>
      </c>
      <c r="F1854" s="2" t="s">
        <v>39</v>
      </c>
      <c r="G1854" s="2">
        <v>508428300</v>
      </c>
      <c r="H1854" s="2" t="s">
        <v>290</v>
      </c>
      <c r="I1854" s="2" t="s">
        <v>291</v>
      </c>
      <c r="J1854" s="2" t="s">
        <v>292</v>
      </c>
      <c r="K1854" s="2">
        <v>917165642</v>
      </c>
      <c r="L1854" s="2" t="s">
        <v>293</v>
      </c>
      <c r="M1854" s="2" t="s">
        <v>40</v>
      </c>
      <c r="O1854" s="2" t="s">
        <v>1866</v>
      </c>
      <c r="P1854" s="2" t="s">
        <v>114</v>
      </c>
      <c r="Q1854" s="2" t="s">
        <v>373</v>
      </c>
      <c r="R1854" s="2" t="s">
        <v>374</v>
      </c>
      <c r="S1854" s="2">
        <v>1</v>
      </c>
      <c r="T1854" s="2">
        <v>41.96</v>
      </c>
      <c r="U1854" s="2">
        <v>9.6508000000000003</v>
      </c>
      <c r="V1854" s="2">
        <v>51.610799999999998</v>
      </c>
      <c r="W1854" s="2">
        <f>23.042*S1854</f>
        <v>23.042000000000002</v>
      </c>
      <c r="X1854" s="5">
        <f t="shared" si="262"/>
        <v>0.45085795996186839</v>
      </c>
      <c r="Z1854" s="2" t="s">
        <v>117</v>
      </c>
      <c r="AA1854" s="2" t="s">
        <v>118</v>
      </c>
      <c r="AB1854" s="2" t="s">
        <v>119</v>
      </c>
      <c r="AC1854" s="2" t="s">
        <v>114</v>
      </c>
      <c r="AF1854" s="2">
        <f t="shared" si="252"/>
        <v>0</v>
      </c>
      <c r="AG1854" s="2">
        <v>22.2</v>
      </c>
      <c r="AJ1854" s="2">
        <f t="shared" si="253"/>
        <v>0</v>
      </c>
      <c r="AK1854" s="2">
        <f t="shared" si="260"/>
        <v>18.917999999999999</v>
      </c>
      <c r="AL1854" s="5">
        <f t="shared" si="263"/>
        <v>0.45085795996186839</v>
      </c>
    </row>
    <row r="1855" spans="1:38" x14ac:dyDescent="0.2">
      <c r="A1855" s="2">
        <v>2025</v>
      </c>
      <c r="B1855" s="2">
        <v>10</v>
      </c>
      <c r="D1855" s="2" t="s">
        <v>289</v>
      </c>
      <c r="E1855" s="2" t="s">
        <v>108</v>
      </c>
      <c r="F1855" s="2" t="s">
        <v>39</v>
      </c>
      <c r="G1855" s="2">
        <v>508428300</v>
      </c>
      <c r="H1855" s="2" t="s">
        <v>290</v>
      </c>
      <c r="I1855" s="2" t="s">
        <v>291</v>
      </c>
      <c r="J1855" s="2" t="s">
        <v>292</v>
      </c>
      <c r="K1855" s="2">
        <v>917165642</v>
      </c>
      <c r="L1855" s="2" t="s">
        <v>293</v>
      </c>
      <c r="M1855" s="2" t="s">
        <v>40</v>
      </c>
      <c r="O1855" s="2" t="s">
        <v>1865</v>
      </c>
      <c r="P1855" s="2" t="s">
        <v>187</v>
      </c>
      <c r="Q1855" s="2" t="s">
        <v>191</v>
      </c>
      <c r="R1855" s="2" t="s">
        <v>190</v>
      </c>
      <c r="S1855" s="2">
        <v>1</v>
      </c>
      <c r="T1855" s="2">
        <v>45</v>
      </c>
      <c r="U1855" s="2">
        <v>10.35</v>
      </c>
      <c r="V1855" s="2">
        <v>55.35</v>
      </c>
      <c r="W1855" s="2">
        <f>T1855*50%</f>
        <v>22.5</v>
      </c>
      <c r="X1855" s="5">
        <f t="shared" si="262"/>
        <v>0.5</v>
      </c>
      <c r="Z1855" s="2" t="s">
        <v>117</v>
      </c>
      <c r="AA1855" s="2" t="s">
        <v>190</v>
      </c>
      <c r="AB1855" s="2" t="s">
        <v>190</v>
      </c>
      <c r="AC1855" s="2" t="s">
        <v>40</v>
      </c>
      <c r="AF1855" s="2">
        <f t="shared" si="252"/>
        <v>0</v>
      </c>
      <c r="AG1855" s="2">
        <v>11.246700000000001</v>
      </c>
      <c r="AJ1855" s="2">
        <f t="shared" si="253"/>
        <v>0</v>
      </c>
      <c r="AK1855" s="2">
        <f t="shared" si="260"/>
        <v>22.5</v>
      </c>
      <c r="AL1855" s="5">
        <f t="shared" si="263"/>
        <v>0.5</v>
      </c>
    </row>
    <row r="1856" spans="1:38" x14ac:dyDescent="0.2">
      <c r="A1856" s="2">
        <v>2025</v>
      </c>
      <c r="B1856" s="2">
        <v>10</v>
      </c>
      <c r="D1856" s="2" t="s">
        <v>198</v>
      </c>
      <c r="E1856" s="2" t="s">
        <v>108</v>
      </c>
      <c r="G1856" s="2">
        <v>507541120</v>
      </c>
      <c r="H1856" s="2" t="s">
        <v>40</v>
      </c>
      <c r="I1856" s="2" t="s">
        <v>199</v>
      </c>
      <c r="J1856" s="2" t="s">
        <v>200</v>
      </c>
      <c r="L1856" s="2" t="s">
        <v>201</v>
      </c>
      <c r="M1856" s="2" t="s">
        <v>41</v>
      </c>
      <c r="P1856" s="2" t="s">
        <v>72</v>
      </c>
      <c r="Q1856" s="2" t="s">
        <v>73</v>
      </c>
      <c r="R1856" s="2" t="s">
        <v>74</v>
      </c>
      <c r="S1856" s="2">
        <v>1</v>
      </c>
      <c r="T1856" s="2">
        <v>220</v>
      </c>
      <c r="U1856" s="2">
        <v>50.6</v>
      </c>
      <c r="V1856" s="2">
        <v>270.60000000000002</v>
      </c>
      <c r="W1856" s="2">
        <v>117.453</v>
      </c>
      <c r="X1856" s="5">
        <f t="shared" si="262"/>
        <v>0.46612272727272724</v>
      </c>
      <c r="Z1856" s="2" t="s">
        <v>3227</v>
      </c>
      <c r="AA1856" s="2" t="s">
        <v>75</v>
      </c>
      <c r="AB1856" s="2" t="s">
        <v>76</v>
      </c>
      <c r="AC1856" s="2" t="s">
        <v>77</v>
      </c>
      <c r="AF1856" s="2">
        <f t="shared" si="252"/>
        <v>0</v>
      </c>
      <c r="AG1856" s="2">
        <v>117.453</v>
      </c>
      <c r="AH1856" s="2">
        <v>220</v>
      </c>
      <c r="AJ1856" s="2">
        <f t="shared" si="253"/>
        <v>0</v>
      </c>
      <c r="AK1856" s="2">
        <f t="shared" si="260"/>
        <v>102.547</v>
      </c>
      <c r="AL1856" s="5">
        <f t="shared" si="263"/>
        <v>0.46612272727272724</v>
      </c>
    </row>
    <row r="1857" spans="1:38" x14ac:dyDescent="0.2">
      <c r="A1857" s="2">
        <v>2025</v>
      </c>
      <c r="B1857" s="2">
        <v>10</v>
      </c>
      <c r="D1857" s="2" t="s">
        <v>198</v>
      </c>
      <c r="E1857" s="2" t="s">
        <v>108</v>
      </c>
      <c r="G1857" s="2">
        <v>507541120</v>
      </c>
      <c r="H1857" s="2" t="s">
        <v>40</v>
      </c>
      <c r="I1857" s="2" t="s">
        <v>199</v>
      </c>
      <c r="J1857" s="2" t="s">
        <v>200</v>
      </c>
      <c r="L1857" s="2" t="s">
        <v>201</v>
      </c>
      <c r="P1857" s="2" t="s">
        <v>93</v>
      </c>
      <c r="Q1857" s="2" t="s">
        <v>94</v>
      </c>
      <c r="R1857" s="2" t="s">
        <v>95</v>
      </c>
      <c r="S1857" s="2">
        <v>1</v>
      </c>
      <c r="T1857" s="2">
        <v>1.1399999999999999</v>
      </c>
      <c r="U1857" s="2">
        <v>0.26219999999999999</v>
      </c>
      <c r="V1857" s="2">
        <v>1.4021999999999999</v>
      </c>
      <c r="W1857" s="2">
        <v>1.1399999999999999</v>
      </c>
      <c r="X1857" s="5">
        <f t="shared" si="262"/>
        <v>0</v>
      </c>
      <c r="Z1857" s="2" t="s">
        <v>3227</v>
      </c>
      <c r="AA1857" s="2" t="s">
        <v>96</v>
      </c>
      <c r="AB1857" s="2" t="s">
        <v>76</v>
      </c>
      <c r="AC1857" s="2" t="s">
        <v>93</v>
      </c>
      <c r="AF1857" s="2">
        <f t="shared" si="252"/>
        <v>0</v>
      </c>
      <c r="AJ1857" s="2">
        <f t="shared" si="253"/>
        <v>0</v>
      </c>
      <c r="AK1857" s="2">
        <f t="shared" si="260"/>
        <v>0</v>
      </c>
      <c r="AL1857" s="5">
        <f t="shared" si="263"/>
        <v>0</v>
      </c>
    </row>
    <row r="1858" spans="1:38" x14ac:dyDescent="0.2">
      <c r="A1858" s="2">
        <v>2025</v>
      </c>
      <c r="B1858" s="2">
        <v>10</v>
      </c>
      <c r="D1858" s="2" t="s">
        <v>311</v>
      </c>
      <c r="P1858" s="2" t="s">
        <v>43</v>
      </c>
      <c r="Q1858" s="2" t="s">
        <v>164</v>
      </c>
      <c r="R1858" s="2" t="s">
        <v>165</v>
      </c>
      <c r="S1858" s="2">
        <v>1</v>
      </c>
      <c r="T1858" s="2">
        <v>15</v>
      </c>
      <c r="U1858" s="2">
        <v>3.45</v>
      </c>
      <c r="V1858" s="2">
        <v>18.45</v>
      </c>
      <c r="W1858" s="2">
        <f>7.9612*S1858</f>
        <v>7.9611999999999998</v>
      </c>
      <c r="X1858" s="5">
        <f t="shared" si="262"/>
        <v>0.46925333333333336</v>
      </c>
      <c r="Z1858" s="2" t="s">
        <v>3227</v>
      </c>
      <c r="AA1858" s="2" t="s">
        <v>46</v>
      </c>
      <c r="AB1858" s="2" t="s">
        <v>67</v>
      </c>
      <c r="AC1858" s="2" t="s">
        <v>57</v>
      </c>
      <c r="AF1858" s="2">
        <f t="shared" ref="AF1858:AF1921" si="264">AJ1858</f>
        <v>0</v>
      </c>
      <c r="AG1858" s="2">
        <v>7.9611999999999998</v>
      </c>
      <c r="AH1858" s="2">
        <v>14.4</v>
      </c>
      <c r="AJ1858" s="2">
        <f t="shared" ref="AJ1858:AJ1921" si="265">AI1858*T1858</f>
        <v>0</v>
      </c>
      <c r="AK1858" s="2">
        <f t="shared" si="260"/>
        <v>7.0388000000000002</v>
      </c>
      <c r="AL1858" s="5">
        <f t="shared" si="263"/>
        <v>0.46925333333333336</v>
      </c>
    </row>
    <row r="1859" spans="1:38" x14ac:dyDescent="0.2">
      <c r="A1859" s="2">
        <v>2025</v>
      </c>
      <c r="B1859" s="2">
        <v>10</v>
      </c>
      <c r="D1859" s="2" t="s">
        <v>311</v>
      </c>
      <c r="P1859" s="2" t="s">
        <v>169</v>
      </c>
      <c r="Q1859" s="2" t="s">
        <v>170</v>
      </c>
      <c r="R1859" s="2" t="s">
        <v>170</v>
      </c>
      <c r="S1859" s="2">
        <v>1</v>
      </c>
      <c r="T1859" s="2">
        <v>8</v>
      </c>
      <c r="U1859" s="2">
        <v>1.84</v>
      </c>
      <c r="V1859" s="2">
        <v>9.84</v>
      </c>
      <c r="W1859" s="2">
        <v>6</v>
      </c>
      <c r="X1859" s="5">
        <f t="shared" si="262"/>
        <v>0.25</v>
      </c>
      <c r="Z1859" s="2" t="s">
        <v>169</v>
      </c>
      <c r="AA1859" s="2" t="s">
        <v>169</v>
      </c>
      <c r="AF1859" s="2">
        <f t="shared" si="264"/>
        <v>0</v>
      </c>
      <c r="AJ1859" s="2">
        <f t="shared" si="265"/>
        <v>0</v>
      </c>
      <c r="AK1859" s="2">
        <f t="shared" si="260"/>
        <v>2</v>
      </c>
      <c r="AL1859" s="5">
        <f t="shared" si="263"/>
        <v>0.25</v>
      </c>
    </row>
    <row r="1860" spans="1:38" x14ac:dyDescent="0.2">
      <c r="A1860" s="2">
        <v>2025</v>
      </c>
      <c r="B1860" s="2">
        <v>10</v>
      </c>
      <c r="D1860" s="2" t="s">
        <v>693</v>
      </c>
      <c r="E1860" s="2" t="s">
        <v>38</v>
      </c>
      <c r="F1860" s="2" t="s">
        <v>39</v>
      </c>
      <c r="G1860" s="2">
        <v>508574358</v>
      </c>
      <c r="H1860" s="2" t="s">
        <v>41</v>
      </c>
      <c r="I1860" s="2" t="s">
        <v>694</v>
      </c>
      <c r="J1860" s="2" t="s">
        <v>695</v>
      </c>
      <c r="K1860" s="2">
        <v>917295518</v>
      </c>
      <c r="L1860" s="2" t="s">
        <v>177</v>
      </c>
      <c r="M1860" s="2" t="s">
        <v>41</v>
      </c>
      <c r="P1860" s="2" t="s">
        <v>43</v>
      </c>
      <c r="Q1860" s="2" t="s">
        <v>334</v>
      </c>
      <c r="R1860" s="2" t="s">
        <v>335</v>
      </c>
      <c r="S1860" s="2">
        <v>20</v>
      </c>
      <c r="T1860" s="2">
        <v>60</v>
      </c>
      <c r="U1860" s="2">
        <v>13.8</v>
      </c>
      <c r="V1860" s="2">
        <v>73.8</v>
      </c>
      <c r="W1860" s="2">
        <f>1.1122*S1860</f>
        <v>22.244</v>
      </c>
      <c r="X1860" s="5">
        <f t="shared" si="262"/>
        <v>0.62926666666666664</v>
      </c>
      <c r="Z1860" s="2" t="s">
        <v>3227</v>
      </c>
      <c r="AA1860" s="2" t="s">
        <v>46</v>
      </c>
      <c r="AB1860" s="2" t="s">
        <v>60</v>
      </c>
      <c r="AC1860" s="2" t="s">
        <v>57</v>
      </c>
      <c r="AF1860" s="2">
        <f t="shared" si="264"/>
        <v>0</v>
      </c>
      <c r="AG1860" s="2">
        <v>1.1122000000000001</v>
      </c>
      <c r="AH1860" s="2">
        <v>3</v>
      </c>
      <c r="AJ1860" s="2">
        <f t="shared" si="265"/>
        <v>0</v>
      </c>
      <c r="AK1860" s="2">
        <f t="shared" si="260"/>
        <v>37.756</v>
      </c>
      <c r="AL1860" s="5">
        <f t="shared" si="263"/>
        <v>0.62926666666666664</v>
      </c>
    </row>
    <row r="1861" spans="1:38" x14ac:dyDescent="0.2">
      <c r="A1861" s="2">
        <v>2025</v>
      </c>
      <c r="B1861" s="2">
        <v>10</v>
      </c>
      <c r="D1861" s="2" t="s">
        <v>1486</v>
      </c>
      <c r="P1861" s="2" t="s">
        <v>40</v>
      </c>
      <c r="Q1861" s="2" t="s">
        <v>363</v>
      </c>
      <c r="R1861" s="2" t="s">
        <v>364</v>
      </c>
      <c r="S1861" s="2">
        <v>1</v>
      </c>
      <c r="T1861" s="2">
        <v>8000</v>
      </c>
      <c r="U1861" s="2">
        <v>1840</v>
      </c>
      <c r="V1861" s="2">
        <v>9840</v>
      </c>
      <c r="X1861" s="5">
        <f t="shared" si="262"/>
        <v>1</v>
      </c>
      <c r="Z1861" s="2" t="s">
        <v>119</v>
      </c>
      <c r="AA1861" s="2" t="s">
        <v>3380</v>
      </c>
      <c r="AF1861" s="2">
        <f t="shared" si="264"/>
        <v>0</v>
      </c>
      <c r="AJ1861" s="2">
        <f t="shared" si="265"/>
        <v>0</v>
      </c>
      <c r="AK1861" s="2">
        <f t="shared" si="260"/>
        <v>8000</v>
      </c>
      <c r="AL1861" s="5">
        <f t="shared" si="263"/>
        <v>1</v>
      </c>
    </row>
    <row r="1862" spans="1:38" x14ac:dyDescent="0.2">
      <c r="A1862" s="2">
        <v>2025</v>
      </c>
      <c r="B1862" s="2">
        <v>10</v>
      </c>
      <c r="C1862" s="2" t="s">
        <v>3489</v>
      </c>
      <c r="D1862" s="2" t="s">
        <v>3487</v>
      </c>
      <c r="E1862" s="2" t="s">
        <v>108</v>
      </c>
      <c r="F1862" s="2" t="s">
        <v>39</v>
      </c>
      <c r="L1862" s="2" t="s">
        <v>99</v>
      </c>
      <c r="M1862" s="2" t="s">
        <v>41</v>
      </c>
      <c r="P1862" s="2" t="s">
        <v>114</v>
      </c>
      <c r="Q1862" s="2" t="s">
        <v>1578</v>
      </c>
      <c r="R1862" s="2" t="s">
        <v>1579</v>
      </c>
      <c r="S1862" s="2">
        <v>-1</v>
      </c>
      <c r="T1862" s="2">
        <v>-6680</v>
      </c>
      <c r="U1862" s="2">
        <v>-1536.4</v>
      </c>
      <c r="V1862" s="2">
        <v>-8216.4</v>
      </c>
      <c r="W1862" s="2">
        <f>4893.23+171</f>
        <v>5064.2299999999996</v>
      </c>
      <c r="Z1862" s="2" t="s">
        <v>104</v>
      </c>
      <c r="AA1862" s="2" t="s">
        <v>3486</v>
      </c>
      <c r="AB1862" s="2" t="s">
        <v>151</v>
      </c>
      <c r="AC1862" s="2" t="s">
        <v>114</v>
      </c>
      <c r="AF1862" s="2">
        <f t="shared" si="264"/>
        <v>0</v>
      </c>
      <c r="AJ1862" s="2">
        <f t="shared" si="265"/>
        <v>0</v>
      </c>
      <c r="AK1862" s="2">
        <f t="shared" si="260"/>
        <v>-11744.23</v>
      </c>
      <c r="AL1862" s="5">
        <v>0</v>
      </c>
    </row>
    <row r="1863" spans="1:38" x14ac:dyDescent="0.2">
      <c r="A1863" s="2">
        <v>2025</v>
      </c>
      <c r="B1863" s="2">
        <v>10</v>
      </c>
      <c r="C1863" s="2" t="s">
        <v>3489</v>
      </c>
      <c r="D1863" s="2" t="s">
        <v>3487</v>
      </c>
      <c r="E1863" s="2" t="s">
        <v>108</v>
      </c>
      <c r="F1863" s="2" t="s">
        <v>39</v>
      </c>
      <c r="L1863" s="2" t="s">
        <v>99</v>
      </c>
      <c r="M1863" s="2" t="s">
        <v>41</v>
      </c>
      <c r="P1863" s="2" t="s">
        <v>187</v>
      </c>
      <c r="Q1863" s="2" t="s">
        <v>1308</v>
      </c>
      <c r="R1863" s="2" t="s">
        <v>1309</v>
      </c>
      <c r="S1863" s="2">
        <v>-1</v>
      </c>
      <c r="T1863" s="2">
        <v>0</v>
      </c>
      <c r="U1863" s="2">
        <v>0</v>
      </c>
      <c r="V1863" s="2">
        <v>0</v>
      </c>
      <c r="W1863" s="2">
        <v>0</v>
      </c>
      <c r="Z1863" s="2" t="s">
        <v>104</v>
      </c>
      <c r="AA1863" s="2" t="s">
        <v>578</v>
      </c>
      <c r="AB1863" s="2" t="s">
        <v>701</v>
      </c>
      <c r="AC1863" s="2" t="s">
        <v>114</v>
      </c>
      <c r="AF1863" s="2">
        <f t="shared" si="264"/>
        <v>0</v>
      </c>
      <c r="AJ1863" s="2">
        <f t="shared" si="265"/>
        <v>0</v>
      </c>
      <c r="AK1863" s="2">
        <f t="shared" si="260"/>
        <v>0</v>
      </c>
      <c r="AL1863" s="5">
        <v>0</v>
      </c>
    </row>
    <row r="1864" spans="1:38" x14ac:dyDescent="0.2">
      <c r="A1864" s="2">
        <v>2025</v>
      </c>
      <c r="B1864" s="2">
        <v>10</v>
      </c>
      <c r="D1864" s="2" t="s">
        <v>297</v>
      </c>
      <c r="E1864" s="2" t="s">
        <v>38</v>
      </c>
      <c r="F1864" s="2" t="s">
        <v>39</v>
      </c>
      <c r="G1864" s="2">
        <v>510939570</v>
      </c>
      <c r="H1864" s="2" t="s">
        <v>41</v>
      </c>
      <c r="I1864" s="2" t="s">
        <v>298</v>
      </c>
      <c r="J1864" s="2" t="s">
        <v>299</v>
      </c>
      <c r="K1864" s="2">
        <v>962678129</v>
      </c>
      <c r="L1864" s="2" t="s">
        <v>177</v>
      </c>
      <c r="O1864" s="2" t="s">
        <v>1867</v>
      </c>
      <c r="P1864" s="2" t="s">
        <v>114</v>
      </c>
      <c r="Q1864" s="2" t="s">
        <v>1868</v>
      </c>
      <c r="R1864" s="2" t="s">
        <v>1869</v>
      </c>
      <c r="S1864" s="2">
        <v>1</v>
      </c>
      <c r="T1864" s="2">
        <v>1495.7</v>
      </c>
      <c r="U1864" s="2">
        <v>344.01100000000002</v>
      </c>
      <c r="V1864" s="2">
        <v>1839.711</v>
      </c>
      <c r="X1864" s="5">
        <f t="shared" ref="X1864:X1898" si="266">(T1864-W1864)/T1864</f>
        <v>1</v>
      </c>
      <c r="AF1864" s="2">
        <f t="shared" si="264"/>
        <v>0</v>
      </c>
      <c r="AJ1864" s="2">
        <f t="shared" si="265"/>
        <v>0</v>
      </c>
      <c r="AK1864" s="2">
        <f t="shared" si="260"/>
        <v>1495.7</v>
      </c>
      <c r="AL1864" s="5">
        <f t="shared" si="263"/>
        <v>1</v>
      </c>
    </row>
    <row r="1865" spans="1:38" x14ac:dyDescent="0.2">
      <c r="A1865" s="2">
        <v>2025</v>
      </c>
      <c r="B1865" s="2">
        <v>10</v>
      </c>
      <c r="D1865" s="2" t="s">
        <v>297</v>
      </c>
      <c r="E1865" s="2" t="s">
        <v>38</v>
      </c>
      <c r="F1865" s="2" t="s">
        <v>39</v>
      </c>
      <c r="G1865" s="2">
        <v>510939570</v>
      </c>
      <c r="H1865" s="2" t="s">
        <v>41</v>
      </c>
      <c r="I1865" s="2" t="s">
        <v>298</v>
      </c>
      <c r="J1865" s="2" t="s">
        <v>299</v>
      </c>
      <c r="K1865" s="2">
        <v>962678129</v>
      </c>
      <c r="L1865" s="2" t="s">
        <v>177</v>
      </c>
      <c r="M1865" s="2" t="s">
        <v>40</v>
      </c>
      <c r="O1865" s="2" t="s">
        <v>1867</v>
      </c>
      <c r="P1865" s="2" t="s">
        <v>187</v>
      </c>
      <c r="Q1865" s="2" t="s">
        <v>188</v>
      </c>
      <c r="R1865" s="2" t="s">
        <v>189</v>
      </c>
      <c r="S1865" s="2">
        <v>2</v>
      </c>
      <c r="T1865" s="2">
        <v>158</v>
      </c>
      <c r="U1865" s="2">
        <v>36.340000000000003</v>
      </c>
      <c r="V1865" s="2">
        <v>194.34</v>
      </c>
      <c r="W1865" s="2">
        <f>T1865*40%</f>
        <v>63.2</v>
      </c>
      <c r="X1865" s="5">
        <f t="shared" si="266"/>
        <v>0.6</v>
      </c>
      <c r="Z1865" s="2" t="s">
        <v>117</v>
      </c>
      <c r="AA1865" s="2" t="s">
        <v>190</v>
      </c>
      <c r="AB1865" s="2" t="s">
        <v>189</v>
      </c>
      <c r="AC1865" s="2" t="s">
        <v>40</v>
      </c>
      <c r="AF1865" s="2">
        <f t="shared" si="264"/>
        <v>0</v>
      </c>
      <c r="AJ1865" s="2">
        <f t="shared" si="265"/>
        <v>0</v>
      </c>
      <c r="AK1865" s="2">
        <f t="shared" si="260"/>
        <v>94.8</v>
      </c>
      <c r="AL1865" s="5">
        <f t="shared" si="263"/>
        <v>0.6</v>
      </c>
    </row>
    <row r="1866" spans="1:38" x14ac:dyDescent="0.2">
      <c r="A1866" s="2">
        <v>2025</v>
      </c>
      <c r="B1866" s="2">
        <v>10</v>
      </c>
      <c r="D1866" s="2" t="s">
        <v>297</v>
      </c>
      <c r="E1866" s="2" t="s">
        <v>38</v>
      </c>
      <c r="F1866" s="2" t="s">
        <v>39</v>
      </c>
      <c r="G1866" s="2">
        <v>510939570</v>
      </c>
      <c r="H1866" s="2" t="s">
        <v>41</v>
      </c>
      <c r="I1866" s="2" t="s">
        <v>298</v>
      </c>
      <c r="J1866" s="2" t="s">
        <v>299</v>
      </c>
      <c r="K1866" s="2">
        <v>962678129</v>
      </c>
      <c r="L1866" s="2" t="s">
        <v>177</v>
      </c>
      <c r="M1866" s="2" t="s">
        <v>40</v>
      </c>
      <c r="O1866" s="2" t="s">
        <v>1867</v>
      </c>
      <c r="P1866" s="2" t="s">
        <v>187</v>
      </c>
      <c r="Q1866" s="2" t="s">
        <v>191</v>
      </c>
      <c r="R1866" s="2" t="s">
        <v>190</v>
      </c>
      <c r="S1866" s="2">
        <v>4</v>
      </c>
      <c r="T1866" s="2">
        <v>200</v>
      </c>
      <c r="U1866" s="2">
        <v>46</v>
      </c>
      <c r="V1866" s="2">
        <v>246</v>
      </c>
      <c r="W1866" s="2">
        <f>T1866*50%</f>
        <v>100</v>
      </c>
      <c r="X1866" s="5">
        <f t="shared" si="266"/>
        <v>0.5</v>
      </c>
      <c r="Z1866" s="2" t="s">
        <v>117</v>
      </c>
      <c r="AA1866" s="2" t="s">
        <v>190</v>
      </c>
      <c r="AB1866" s="2" t="s">
        <v>190</v>
      </c>
      <c r="AC1866" s="2" t="s">
        <v>40</v>
      </c>
      <c r="AF1866" s="2">
        <f t="shared" si="264"/>
        <v>0</v>
      </c>
      <c r="AJ1866" s="2">
        <f t="shared" si="265"/>
        <v>0</v>
      </c>
      <c r="AK1866" s="2">
        <f t="shared" si="260"/>
        <v>100</v>
      </c>
      <c r="AL1866" s="5">
        <f t="shared" si="263"/>
        <v>0.5</v>
      </c>
    </row>
    <row r="1867" spans="1:38" x14ac:dyDescent="0.2">
      <c r="A1867" s="2">
        <v>2025</v>
      </c>
      <c r="B1867" s="2">
        <v>10</v>
      </c>
      <c r="D1867" s="2" t="s">
        <v>297</v>
      </c>
      <c r="E1867" s="2" t="s">
        <v>38</v>
      </c>
      <c r="F1867" s="2" t="s">
        <v>39</v>
      </c>
      <c r="G1867" s="2">
        <v>510939570</v>
      </c>
      <c r="H1867" s="2" t="s">
        <v>41</v>
      </c>
      <c r="I1867" s="2" t="s">
        <v>298</v>
      </c>
      <c r="J1867" s="2" t="s">
        <v>299</v>
      </c>
      <c r="K1867" s="2">
        <v>962678129</v>
      </c>
      <c r="L1867" s="2" t="s">
        <v>177</v>
      </c>
      <c r="O1867" s="2" t="s">
        <v>1867</v>
      </c>
      <c r="P1867" s="2" t="s">
        <v>40</v>
      </c>
      <c r="Q1867" s="2" t="s">
        <v>363</v>
      </c>
      <c r="R1867" s="2" t="s">
        <v>364</v>
      </c>
      <c r="S1867" s="2">
        <v>1</v>
      </c>
      <c r="T1867" s="2">
        <v>698.32</v>
      </c>
      <c r="U1867" s="2">
        <v>160.61359999999999</v>
      </c>
      <c r="V1867" s="2">
        <v>858.93360000000007</v>
      </c>
      <c r="X1867" s="5">
        <f t="shared" si="266"/>
        <v>1</v>
      </c>
      <c r="Z1867" s="2" t="s">
        <v>117</v>
      </c>
      <c r="AA1867" s="2" t="s">
        <v>118</v>
      </c>
      <c r="AB1867" s="2" t="s">
        <v>119</v>
      </c>
      <c r="AC1867" s="2" t="s">
        <v>114</v>
      </c>
      <c r="AF1867" s="2">
        <f t="shared" si="264"/>
        <v>0</v>
      </c>
      <c r="AJ1867" s="2">
        <f t="shared" si="265"/>
        <v>0</v>
      </c>
      <c r="AK1867" s="2">
        <f t="shared" si="260"/>
        <v>698.32</v>
      </c>
      <c r="AL1867" s="5">
        <f t="shared" si="263"/>
        <v>1</v>
      </c>
    </row>
    <row r="1868" spans="1:38" x14ac:dyDescent="0.2">
      <c r="A1868" s="2">
        <v>2025</v>
      </c>
      <c r="B1868" s="2">
        <v>10</v>
      </c>
      <c r="D1868" s="2" t="s">
        <v>319</v>
      </c>
      <c r="E1868" s="2" t="s">
        <v>38</v>
      </c>
      <c r="F1868" s="2" t="s">
        <v>39</v>
      </c>
      <c r="G1868" s="2">
        <v>500883262</v>
      </c>
      <c r="H1868" s="2" t="s">
        <v>40</v>
      </c>
      <c r="I1868" s="2" t="s">
        <v>99</v>
      </c>
      <c r="J1868" s="2" t="s">
        <v>320</v>
      </c>
      <c r="L1868" s="2" t="s">
        <v>99</v>
      </c>
      <c r="M1868" s="2" t="s">
        <v>80</v>
      </c>
      <c r="O1868" s="2" t="s">
        <v>1870</v>
      </c>
      <c r="P1868" s="2" t="s">
        <v>43</v>
      </c>
      <c r="Q1868" s="2" t="s">
        <v>969</v>
      </c>
      <c r="R1868" s="2" t="s">
        <v>970</v>
      </c>
      <c r="S1868" s="2">
        <v>18</v>
      </c>
      <c r="T1868" s="2">
        <v>498</v>
      </c>
      <c r="U1868" s="2">
        <v>114.54</v>
      </c>
      <c r="V1868" s="2">
        <v>612.54</v>
      </c>
      <c r="W1868" s="2">
        <f>18.3719*S1868</f>
        <v>330.69420000000002</v>
      </c>
      <c r="X1868" s="5">
        <f t="shared" si="266"/>
        <v>0.33595542168674691</v>
      </c>
      <c r="Z1868" s="2" t="s">
        <v>3227</v>
      </c>
      <c r="AA1868" s="2" t="s">
        <v>46</v>
      </c>
      <c r="AB1868" s="2" t="s">
        <v>60</v>
      </c>
      <c r="AC1868" s="2" t="s">
        <v>57</v>
      </c>
      <c r="AF1868" s="2">
        <f t="shared" si="264"/>
        <v>0</v>
      </c>
      <c r="AJ1868" s="2">
        <f t="shared" si="265"/>
        <v>0</v>
      </c>
      <c r="AK1868" s="2">
        <f t="shared" si="260"/>
        <v>167.30579999999998</v>
      </c>
      <c r="AL1868" s="5">
        <f t="shared" si="263"/>
        <v>0.33595542168674691</v>
      </c>
    </row>
    <row r="1869" spans="1:38" x14ac:dyDescent="0.2">
      <c r="A1869" s="2">
        <v>2025</v>
      </c>
      <c r="B1869" s="2">
        <v>10</v>
      </c>
      <c r="D1869" s="2" t="s">
        <v>319</v>
      </c>
      <c r="E1869" s="2" t="s">
        <v>38</v>
      </c>
      <c r="F1869" s="2" t="s">
        <v>39</v>
      </c>
      <c r="G1869" s="2">
        <v>500883262</v>
      </c>
      <c r="H1869" s="2" t="s">
        <v>40</v>
      </c>
      <c r="I1869" s="2" t="s">
        <v>99</v>
      </c>
      <c r="J1869" s="2" t="s">
        <v>320</v>
      </c>
      <c r="L1869" s="2" t="s">
        <v>99</v>
      </c>
      <c r="M1869" s="2" t="s">
        <v>80</v>
      </c>
      <c r="O1869" s="2" t="s">
        <v>1870</v>
      </c>
      <c r="P1869" s="2" t="s">
        <v>43</v>
      </c>
      <c r="Q1869" s="2" t="s">
        <v>971</v>
      </c>
      <c r="R1869" s="2" t="s">
        <v>972</v>
      </c>
      <c r="S1869" s="2">
        <v>18</v>
      </c>
      <c r="T1869" s="2">
        <v>498</v>
      </c>
      <c r="U1869" s="2">
        <v>114.54</v>
      </c>
      <c r="V1869" s="2">
        <v>612.54</v>
      </c>
      <c r="W1869" s="2">
        <f>18.9342*S1869</f>
        <v>340.81560000000002</v>
      </c>
      <c r="X1869" s="5">
        <f t="shared" si="266"/>
        <v>0.3156313253012048</v>
      </c>
      <c r="Z1869" s="2" t="s">
        <v>3227</v>
      </c>
      <c r="AA1869" s="2" t="s">
        <v>46</v>
      </c>
      <c r="AB1869" s="2" t="s">
        <v>60</v>
      </c>
      <c r="AC1869" s="2" t="s">
        <v>57</v>
      </c>
      <c r="AF1869" s="2">
        <f t="shared" si="264"/>
        <v>0</v>
      </c>
      <c r="AJ1869" s="2">
        <f t="shared" si="265"/>
        <v>0</v>
      </c>
      <c r="AK1869" s="2">
        <f t="shared" si="260"/>
        <v>157.18439999999998</v>
      </c>
      <c r="AL1869" s="5">
        <f t="shared" si="263"/>
        <v>0.3156313253012048</v>
      </c>
    </row>
    <row r="1870" spans="1:38" x14ac:dyDescent="0.2">
      <c r="A1870" s="2">
        <v>2025</v>
      </c>
      <c r="B1870" s="2">
        <v>10</v>
      </c>
      <c r="D1870" s="2" t="s">
        <v>322</v>
      </c>
      <c r="E1870" s="2" t="s">
        <v>183</v>
      </c>
      <c r="G1870" s="2">
        <v>500048894</v>
      </c>
      <c r="H1870" s="2" t="s">
        <v>40</v>
      </c>
      <c r="I1870" s="2" t="s">
        <v>99</v>
      </c>
      <c r="J1870" s="2" t="s">
        <v>323</v>
      </c>
      <c r="L1870" s="2" t="s">
        <v>99</v>
      </c>
      <c r="M1870" s="2" t="s">
        <v>80</v>
      </c>
      <c r="O1870" s="2" t="s">
        <v>1871</v>
      </c>
      <c r="P1870" s="2" t="s">
        <v>72</v>
      </c>
      <c r="Q1870" s="2" t="s">
        <v>912</v>
      </c>
      <c r="R1870" s="2" t="s">
        <v>74</v>
      </c>
      <c r="S1870" s="2">
        <v>1</v>
      </c>
      <c r="T1870" s="2">
        <v>220</v>
      </c>
      <c r="U1870" s="2">
        <v>50.6</v>
      </c>
      <c r="V1870" s="2">
        <v>270.60000000000002</v>
      </c>
      <c r="W1870" s="2">
        <f>115.92+6.06</f>
        <v>121.98</v>
      </c>
      <c r="X1870" s="5">
        <f t="shared" si="266"/>
        <v>0.44554545454545452</v>
      </c>
      <c r="Z1870" s="2" t="s">
        <v>3227</v>
      </c>
      <c r="AA1870" s="2" t="s">
        <v>75</v>
      </c>
      <c r="AB1870" s="2" t="s">
        <v>76</v>
      </c>
      <c r="AC1870" s="2" t="s">
        <v>77</v>
      </c>
      <c r="AF1870" s="2">
        <f t="shared" si="264"/>
        <v>0</v>
      </c>
      <c r="AG1870" s="2">
        <v>121.0733</v>
      </c>
      <c r="AH1870" s="2">
        <v>220</v>
      </c>
      <c r="AJ1870" s="2">
        <f t="shared" si="265"/>
        <v>0</v>
      </c>
      <c r="AK1870" s="2">
        <f t="shared" si="260"/>
        <v>98.02</v>
      </c>
      <c r="AL1870" s="5">
        <f t="shared" si="263"/>
        <v>0.44554545454545452</v>
      </c>
    </row>
    <row r="1871" spans="1:38" x14ac:dyDescent="0.2">
      <c r="A1871" s="2">
        <v>2025</v>
      </c>
      <c r="B1871" s="2">
        <v>10</v>
      </c>
      <c r="D1871" s="2" t="s">
        <v>322</v>
      </c>
      <c r="E1871" s="2" t="s">
        <v>183</v>
      </c>
      <c r="G1871" s="2">
        <v>500048894</v>
      </c>
      <c r="H1871" s="2" t="s">
        <v>40</v>
      </c>
      <c r="I1871" s="2" t="s">
        <v>99</v>
      </c>
      <c r="J1871" s="2" t="s">
        <v>323</v>
      </c>
      <c r="L1871" s="2" t="s">
        <v>99</v>
      </c>
      <c r="M1871" s="2" t="s">
        <v>80</v>
      </c>
      <c r="O1871" s="2" t="s">
        <v>1872</v>
      </c>
      <c r="P1871" s="2" t="s">
        <v>72</v>
      </c>
      <c r="Q1871" s="2" t="s">
        <v>1449</v>
      </c>
      <c r="R1871" s="2" t="s">
        <v>307</v>
      </c>
      <c r="S1871" s="2">
        <v>1</v>
      </c>
      <c r="T1871" s="2">
        <v>220</v>
      </c>
      <c r="U1871" s="2">
        <v>50.6</v>
      </c>
      <c r="V1871" s="2">
        <v>270.60000000000002</v>
      </c>
      <c r="W1871" s="2">
        <v>122.446</v>
      </c>
      <c r="X1871" s="5">
        <f t="shared" si="266"/>
        <v>0.44342727272727273</v>
      </c>
      <c r="Z1871" s="2" t="s">
        <v>3227</v>
      </c>
      <c r="AA1871" s="2" t="s">
        <v>75</v>
      </c>
      <c r="AB1871" s="2" t="s">
        <v>76</v>
      </c>
      <c r="AC1871" s="2" t="s">
        <v>77</v>
      </c>
      <c r="AF1871" s="2">
        <f t="shared" si="264"/>
        <v>0</v>
      </c>
      <c r="AG1871" s="2">
        <v>122.446</v>
      </c>
      <c r="AH1871" s="2">
        <v>230</v>
      </c>
      <c r="AJ1871" s="2">
        <f t="shared" si="265"/>
        <v>0</v>
      </c>
      <c r="AK1871" s="2">
        <f t="shared" si="260"/>
        <v>97.554000000000002</v>
      </c>
      <c r="AL1871" s="5">
        <f t="shared" si="263"/>
        <v>0.44342727272727273</v>
      </c>
    </row>
    <row r="1872" spans="1:38" x14ac:dyDescent="0.2">
      <c r="A1872" s="2">
        <v>2025</v>
      </c>
      <c r="B1872" s="2">
        <v>10</v>
      </c>
      <c r="D1872" s="2" t="s">
        <v>322</v>
      </c>
      <c r="E1872" s="2" t="s">
        <v>183</v>
      </c>
      <c r="G1872" s="2">
        <v>500048894</v>
      </c>
      <c r="H1872" s="2" t="s">
        <v>40</v>
      </c>
      <c r="I1872" s="2" t="s">
        <v>99</v>
      </c>
      <c r="J1872" s="2" t="s">
        <v>323</v>
      </c>
      <c r="L1872" s="2" t="s">
        <v>99</v>
      </c>
      <c r="M1872" s="2" t="s">
        <v>80</v>
      </c>
      <c r="O1872" s="2" t="s">
        <v>1873</v>
      </c>
      <c r="P1872" s="2" t="s">
        <v>72</v>
      </c>
      <c r="Q1872" s="2" t="s">
        <v>325</v>
      </c>
      <c r="R1872" s="2" t="s">
        <v>79</v>
      </c>
      <c r="S1872" s="2">
        <v>1</v>
      </c>
      <c r="T1872" s="2">
        <v>200</v>
      </c>
      <c r="U1872" s="2">
        <v>46</v>
      </c>
      <c r="V1872" s="2">
        <v>246</v>
      </c>
      <c r="W1872" s="2">
        <f>110.68*S1872</f>
        <v>110.68</v>
      </c>
      <c r="X1872" s="5">
        <f t="shared" si="266"/>
        <v>0.44659999999999994</v>
      </c>
      <c r="Z1872" s="2" t="s">
        <v>3227</v>
      </c>
      <c r="AA1872" s="2" t="s">
        <v>75</v>
      </c>
      <c r="AB1872" s="2" t="s">
        <v>76</v>
      </c>
      <c r="AC1872" s="2" t="s">
        <v>77</v>
      </c>
      <c r="AF1872" s="2">
        <f t="shared" si="264"/>
        <v>0</v>
      </c>
      <c r="AG1872" s="2">
        <v>110.68</v>
      </c>
      <c r="AH1872" s="2">
        <v>210</v>
      </c>
      <c r="AJ1872" s="2">
        <f t="shared" si="265"/>
        <v>0</v>
      </c>
      <c r="AK1872" s="2">
        <f t="shared" si="260"/>
        <v>89.32</v>
      </c>
      <c r="AL1872" s="5">
        <f t="shared" si="263"/>
        <v>0.44659999999999994</v>
      </c>
    </row>
    <row r="1873" spans="1:38" x14ac:dyDescent="0.2">
      <c r="A1873" s="2">
        <v>2025</v>
      </c>
      <c r="B1873" s="2">
        <v>10</v>
      </c>
      <c r="D1873" s="2" t="s">
        <v>322</v>
      </c>
      <c r="E1873" s="2" t="s">
        <v>183</v>
      </c>
      <c r="G1873" s="2">
        <v>500048894</v>
      </c>
      <c r="H1873" s="2" t="s">
        <v>40</v>
      </c>
      <c r="I1873" s="2" t="s">
        <v>99</v>
      </c>
      <c r="J1873" s="2" t="s">
        <v>323</v>
      </c>
      <c r="L1873" s="2" t="s">
        <v>99</v>
      </c>
      <c r="M1873" s="2" t="s">
        <v>80</v>
      </c>
      <c r="O1873" s="2" t="s">
        <v>1871</v>
      </c>
      <c r="P1873" s="2" t="s">
        <v>93</v>
      </c>
      <c r="Q1873" s="2" t="s">
        <v>94</v>
      </c>
      <c r="R1873" s="2" t="s">
        <v>95</v>
      </c>
      <c r="S1873" s="2">
        <v>3</v>
      </c>
      <c r="T1873" s="2">
        <v>3.42</v>
      </c>
      <c r="U1873" s="2">
        <v>0.78659999999999997</v>
      </c>
      <c r="V1873" s="2">
        <v>4.2065999999999999</v>
      </c>
      <c r="W1873" s="2">
        <v>3.42</v>
      </c>
      <c r="X1873" s="5">
        <f t="shared" si="266"/>
        <v>0</v>
      </c>
      <c r="Z1873" s="2" t="s">
        <v>3227</v>
      </c>
      <c r="AA1873" s="2" t="s">
        <v>96</v>
      </c>
      <c r="AB1873" s="2" t="s">
        <v>76</v>
      </c>
      <c r="AC1873" s="2" t="s">
        <v>93</v>
      </c>
      <c r="AF1873" s="2">
        <f t="shared" si="264"/>
        <v>0</v>
      </c>
      <c r="AG1873" s="2">
        <v>1.1399999999999999</v>
      </c>
      <c r="AH1873" s="2">
        <v>1.1399999999999999</v>
      </c>
      <c r="AJ1873" s="2">
        <f t="shared" si="265"/>
        <v>0</v>
      </c>
      <c r="AK1873" s="2">
        <f t="shared" si="260"/>
        <v>0</v>
      </c>
      <c r="AL1873" s="5">
        <f t="shared" si="263"/>
        <v>0</v>
      </c>
    </row>
    <row r="1874" spans="1:38" x14ac:dyDescent="0.2">
      <c r="A1874" s="2">
        <v>2025</v>
      </c>
      <c r="B1874" s="2">
        <v>10</v>
      </c>
      <c r="D1874" s="2" t="s">
        <v>1874</v>
      </c>
      <c r="M1874" s="2" t="s">
        <v>40</v>
      </c>
      <c r="P1874" s="2" t="s">
        <v>187</v>
      </c>
      <c r="Q1874" s="2" t="s">
        <v>188</v>
      </c>
      <c r="R1874" s="2" t="s">
        <v>189</v>
      </c>
      <c r="S1874" s="2">
        <v>1</v>
      </c>
      <c r="T1874" s="2">
        <v>54</v>
      </c>
      <c r="U1874" s="2">
        <v>12.42</v>
      </c>
      <c r="V1874" s="2">
        <v>66.42</v>
      </c>
      <c r="W1874" s="2">
        <f>T1874*40%</f>
        <v>21.6</v>
      </c>
      <c r="X1874" s="5">
        <f t="shared" si="266"/>
        <v>0.6</v>
      </c>
      <c r="Z1874" s="2" t="s">
        <v>117</v>
      </c>
      <c r="AA1874" s="2" t="s">
        <v>190</v>
      </c>
      <c r="AB1874" s="2" t="s">
        <v>189</v>
      </c>
      <c r="AC1874" s="2" t="s">
        <v>40</v>
      </c>
      <c r="AF1874" s="2">
        <f t="shared" si="264"/>
        <v>0</v>
      </c>
      <c r="AJ1874" s="2">
        <f t="shared" si="265"/>
        <v>0</v>
      </c>
      <c r="AK1874" s="2">
        <f t="shared" si="260"/>
        <v>32.4</v>
      </c>
      <c r="AL1874" s="5">
        <f t="shared" si="263"/>
        <v>0.6</v>
      </c>
    </row>
    <row r="1875" spans="1:38" x14ac:dyDescent="0.2">
      <c r="A1875" s="2">
        <v>2025</v>
      </c>
      <c r="B1875" s="2">
        <v>10</v>
      </c>
      <c r="D1875" s="2" t="s">
        <v>1874</v>
      </c>
      <c r="M1875" s="2" t="s">
        <v>40</v>
      </c>
      <c r="P1875" s="2" t="s">
        <v>187</v>
      </c>
      <c r="Q1875" s="2" t="s">
        <v>191</v>
      </c>
      <c r="R1875" s="2" t="s">
        <v>190</v>
      </c>
      <c r="S1875" s="2">
        <v>1.5</v>
      </c>
      <c r="T1875" s="2">
        <v>75</v>
      </c>
      <c r="U1875" s="2">
        <v>17.25</v>
      </c>
      <c r="V1875" s="2">
        <v>92.25</v>
      </c>
      <c r="W1875" s="2">
        <f>T1875*50%</f>
        <v>37.5</v>
      </c>
      <c r="X1875" s="5">
        <f t="shared" si="266"/>
        <v>0.5</v>
      </c>
      <c r="Z1875" s="2" t="s">
        <v>117</v>
      </c>
      <c r="AA1875" s="2" t="s">
        <v>190</v>
      </c>
      <c r="AB1875" s="2" t="s">
        <v>190</v>
      </c>
      <c r="AC1875" s="2" t="s">
        <v>40</v>
      </c>
      <c r="AF1875" s="2">
        <f t="shared" si="264"/>
        <v>0</v>
      </c>
      <c r="AJ1875" s="2">
        <f t="shared" si="265"/>
        <v>0</v>
      </c>
      <c r="AK1875" s="2">
        <f t="shared" ref="AK1875:AK1898" si="267">T1875-W1875</f>
        <v>37.5</v>
      </c>
      <c r="AL1875" s="5">
        <f t="shared" si="263"/>
        <v>0.5</v>
      </c>
    </row>
    <row r="1876" spans="1:38" x14ac:dyDescent="0.2">
      <c r="A1876" s="2">
        <v>2025</v>
      </c>
      <c r="B1876" s="2">
        <v>10</v>
      </c>
      <c r="D1876" s="2" t="s">
        <v>332</v>
      </c>
      <c r="E1876" s="2" t="s">
        <v>108</v>
      </c>
      <c r="F1876" s="2" t="s">
        <v>39</v>
      </c>
      <c r="G1876" s="2">
        <v>513493557</v>
      </c>
      <c r="H1876" s="2" t="s">
        <v>41</v>
      </c>
      <c r="I1876" s="2" t="s">
        <v>279</v>
      </c>
      <c r="J1876" s="2" t="s">
        <v>333</v>
      </c>
      <c r="L1876" s="2" t="s">
        <v>177</v>
      </c>
      <c r="M1876" s="2" t="s">
        <v>41</v>
      </c>
      <c r="P1876" s="2" t="s">
        <v>43</v>
      </c>
      <c r="Q1876" s="2" t="s">
        <v>579</v>
      </c>
      <c r="R1876" s="2" t="s">
        <v>580</v>
      </c>
      <c r="S1876" s="2">
        <v>4</v>
      </c>
      <c r="T1876" s="2">
        <v>9.6</v>
      </c>
      <c r="U1876" s="2">
        <v>2.2080000000000002</v>
      </c>
      <c r="V1876" s="2">
        <v>11.808</v>
      </c>
      <c r="W1876" s="2">
        <f>1.4114*S1876</f>
        <v>5.6456</v>
      </c>
      <c r="X1876" s="5">
        <f t="shared" si="266"/>
        <v>0.41191666666666665</v>
      </c>
      <c r="Z1876" s="2" t="s">
        <v>3227</v>
      </c>
      <c r="AA1876" s="2" t="s">
        <v>46</v>
      </c>
      <c r="AB1876" s="2" t="s">
        <v>60</v>
      </c>
      <c r="AC1876" s="2" t="s">
        <v>57</v>
      </c>
      <c r="AF1876" s="2">
        <f t="shared" si="264"/>
        <v>0</v>
      </c>
      <c r="AG1876" s="2">
        <v>1.4114</v>
      </c>
      <c r="AH1876" s="2">
        <v>3</v>
      </c>
      <c r="AJ1876" s="2">
        <f t="shared" si="265"/>
        <v>0</v>
      </c>
      <c r="AK1876" s="2">
        <f t="shared" si="267"/>
        <v>3.9543999999999997</v>
      </c>
      <c r="AL1876" s="5">
        <f t="shared" si="263"/>
        <v>0.41191666666666665</v>
      </c>
    </row>
    <row r="1877" spans="1:38" x14ac:dyDescent="0.2">
      <c r="A1877" s="2">
        <v>2025</v>
      </c>
      <c r="B1877" s="2">
        <v>10</v>
      </c>
      <c r="D1877" s="2" t="s">
        <v>332</v>
      </c>
      <c r="E1877" s="2" t="s">
        <v>108</v>
      </c>
      <c r="F1877" s="2" t="s">
        <v>39</v>
      </c>
      <c r="G1877" s="2">
        <v>513493557</v>
      </c>
      <c r="H1877" s="2" t="s">
        <v>41</v>
      </c>
      <c r="I1877" s="2" t="s">
        <v>279</v>
      </c>
      <c r="J1877" s="2" t="s">
        <v>333</v>
      </c>
      <c r="L1877" s="2" t="s">
        <v>177</v>
      </c>
      <c r="M1877" s="2" t="s">
        <v>41</v>
      </c>
      <c r="P1877" s="2" t="s">
        <v>43</v>
      </c>
      <c r="Q1877" s="2" t="s">
        <v>503</v>
      </c>
      <c r="R1877" s="2" t="s">
        <v>504</v>
      </c>
      <c r="S1877" s="2">
        <v>20</v>
      </c>
      <c r="T1877" s="2">
        <v>18</v>
      </c>
      <c r="U1877" s="2">
        <v>4.1400000000000006</v>
      </c>
      <c r="V1877" s="2">
        <v>22.14</v>
      </c>
      <c r="W1877" s="2">
        <f>0.4795*S1877</f>
        <v>9.59</v>
      </c>
      <c r="X1877" s="5">
        <f t="shared" si="266"/>
        <v>0.46722222222222221</v>
      </c>
      <c r="Z1877" s="2" t="s">
        <v>3227</v>
      </c>
      <c r="AA1877" s="2" t="s">
        <v>46</v>
      </c>
      <c r="AB1877" s="2" t="s">
        <v>60</v>
      </c>
      <c r="AC1877" s="2" t="s">
        <v>57</v>
      </c>
      <c r="AF1877" s="2">
        <f t="shared" si="264"/>
        <v>0</v>
      </c>
      <c r="AJ1877" s="2">
        <f t="shared" si="265"/>
        <v>0</v>
      </c>
      <c r="AK1877" s="2">
        <f t="shared" si="267"/>
        <v>8.41</v>
      </c>
      <c r="AL1877" s="5">
        <f t="shared" si="263"/>
        <v>0.46722222222222221</v>
      </c>
    </row>
    <row r="1878" spans="1:38" x14ac:dyDescent="0.2">
      <c r="A1878" s="2">
        <v>2025</v>
      </c>
      <c r="B1878" s="2">
        <v>10</v>
      </c>
      <c r="D1878" s="2" t="s">
        <v>731</v>
      </c>
      <c r="E1878" s="2" t="s">
        <v>108</v>
      </c>
      <c r="G1878" s="2">
        <v>502757396</v>
      </c>
      <c r="H1878" s="2" t="s">
        <v>40</v>
      </c>
      <c r="I1878" s="2" t="s">
        <v>99</v>
      </c>
      <c r="J1878" s="2" t="s">
        <v>732</v>
      </c>
      <c r="L1878" s="2" t="s">
        <v>99</v>
      </c>
      <c r="M1878" s="2" t="s">
        <v>80</v>
      </c>
      <c r="P1878" s="2" t="s">
        <v>72</v>
      </c>
      <c r="Q1878" s="2" t="s">
        <v>73</v>
      </c>
      <c r="R1878" s="2" t="s">
        <v>74</v>
      </c>
      <c r="S1878" s="2">
        <v>1</v>
      </c>
      <c r="T1878" s="2">
        <v>220</v>
      </c>
      <c r="U1878" s="2">
        <v>50.6</v>
      </c>
      <c r="V1878" s="2">
        <v>270.60000000000002</v>
      </c>
      <c r="W1878" s="2">
        <v>117.453</v>
      </c>
      <c r="X1878" s="5">
        <f t="shared" si="266"/>
        <v>0.46612272727272724</v>
      </c>
      <c r="Z1878" s="2" t="s">
        <v>3227</v>
      </c>
      <c r="AA1878" s="2" t="s">
        <v>75</v>
      </c>
      <c r="AB1878" s="2" t="s">
        <v>76</v>
      </c>
      <c r="AC1878" s="2" t="s">
        <v>77</v>
      </c>
      <c r="AF1878" s="2">
        <f t="shared" si="264"/>
        <v>0</v>
      </c>
      <c r="AG1878" s="2">
        <v>117.453</v>
      </c>
      <c r="AH1878" s="2">
        <v>220</v>
      </c>
      <c r="AJ1878" s="2">
        <f t="shared" si="265"/>
        <v>0</v>
      </c>
      <c r="AK1878" s="2">
        <f t="shared" si="267"/>
        <v>102.547</v>
      </c>
      <c r="AL1878" s="5">
        <f t="shared" si="263"/>
        <v>0.46612272727272724</v>
      </c>
    </row>
    <row r="1879" spans="1:38" x14ac:dyDescent="0.2">
      <c r="A1879" s="2">
        <v>2025</v>
      </c>
      <c r="B1879" s="2">
        <v>10</v>
      </c>
      <c r="D1879" s="2" t="s">
        <v>731</v>
      </c>
      <c r="E1879" s="2" t="s">
        <v>108</v>
      </c>
      <c r="G1879" s="2">
        <v>502757396</v>
      </c>
      <c r="H1879" s="2" t="s">
        <v>40</v>
      </c>
      <c r="I1879" s="2" t="s">
        <v>99</v>
      </c>
      <c r="J1879" s="2" t="s">
        <v>732</v>
      </c>
      <c r="L1879" s="2" t="s">
        <v>99</v>
      </c>
      <c r="M1879" s="2" t="s">
        <v>80</v>
      </c>
      <c r="P1879" s="2" t="s">
        <v>93</v>
      </c>
      <c r="Q1879" s="2" t="s">
        <v>94</v>
      </c>
      <c r="R1879" s="2" t="s">
        <v>95</v>
      </c>
      <c r="S1879" s="2">
        <v>1</v>
      </c>
      <c r="T1879" s="2">
        <v>1.1399999999999999</v>
      </c>
      <c r="U1879" s="2">
        <v>0.26219999999999999</v>
      </c>
      <c r="V1879" s="2">
        <v>1.4021999999999999</v>
      </c>
      <c r="W1879" s="2">
        <v>1.1399999999999999</v>
      </c>
      <c r="X1879" s="5">
        <f t="shared" si="266"/>
        <v>0</v>
      </c>
      <c r="Z1879" s="2" t="s">
        <v>3227</v>
      </c>
      <c r="AA1879" s="2" t="s">
        <v>96</v>
      </c>
      <c r="AB1879" s="2" t="s">
        <v>76</v>
      </c>
      <c r="AC1879" s="2" t="s">
        <v>93</v>
      </c>
      <c r="AF1879" s="2">
        <f t="shared" si="264"/>
        <v>0</v>
      </c>
      <c r="AG1879" s="2">
        <v>1.1399999999999999</v>
      </c>
      <c r="AH1879" s="2">
        <v>1.1399999999999999</v>
      </c>
      <c r="AJ1879" s="2">
        <f t="shared" si="265"/>
        <v>0</v>
      </c>
      <c r="AK1879" s="2">
        <f t="shared" si="267"/>
        <v>0</v>
      </c>
      <c r="AL1879" s="5">
        <f t="shared" si="263"/>
        <v>0</v>
      </c>
    </row>
    <row r="1880" spans="1:38" x14ac:dyDescent="0.2">
      <c r="A1880" s="2">
        <v>2025</v>
      </c>
      <c r="B1880" s="2">
        <v>10</v>
      </c>
      <c r="C1880" s="2" t="s">
        <v>3404</v>
      </c>
      <c r="D1880" s="2" t="s">
        <v>1350</v>
      </c>
      <c r="E1880" s="2" t="s">
        <v>38</v>
      </c>
      <c r="F1880" s="2" t="s">
        <v>39</v>
      </c>
      <c r="L1880" s="2" t="s">
        <v>99</v>
      </c>
      <c r="M1880" s="2" t="s">
        <v>40</v>
      </c>
      <c r="P1880" s="2" t="s">
        <v>114</v>
      </c>
      <c r="Q1880" s="2" t="s">
        <v>1875</v>
      </c>
      <c r="R1880" s="2" t="s">
        <v>1876</v>
      </c>
      <c r="S1880" s="2">
        <v>2</v>
      </c>
      <c r="T1880" s="2">
        <v>438.9</v>
      </c>
      <c r="U1880" s="2">
        <v>100.947</v>
      </c>
      <c r="V1880" s="2">
        <v>539.84699999999998</v>
      </c>
      <c r="W1880" s="2">
        <f>104.0758*S1880</f>
        <v>208.1516</v>
      </c>
      <c r="X1880" s="5">
        <f t="shared" si="266"/>
        <v>0.52574253816359073</v>
      </c>
      <c r="Z1880" s="2" t="s">
        <v>117</v>
      </c>
      <c r="AA1880" s="2" t="s">
        <v>118</v>
      </c>
      <c r="AB1880" s="2" t="s">
        <v>119</v>
      </c>
      <c r="AC1880" s="2" t="s">
        <v>114</v>
      </c>
      <c r="AF1880" s="2">
        <f t="shared" si="264"/>
        <v>0</v>
      </c>
      <c r="AJ1880" s="2">
        <f t="shared" si="265"/>
        <v>0</v>
      </c>
      <c r="AK1880" s="2">
        <f t="shared" si="267"/>
        <v>230.74839999999998</v>
      </c>
      <c r="AL1880" s="5">
        <f t="shared" si="263"/>
        <v>0.52574253816359073</v>
      </c>
    </row>
    <row r="1881" spans="1:38" x14ac:dyDescent="0.2">
      <c r="A1881" s="2">
        <v>2025</v>
      </c>
      <c r="B1881" s="2">
        <v>10</v>
      </c>
      <c r="C1881" s="2" t="s">
        <v>3404</v>
      </c>
      <c r="D1881" s="2" t="s">
        <v>1350</v>
      </c>
      <c r="E1881" s="2" t="s">
        <v>38</v>
      </c>
      <c r="F1881" s="2" t="s">
        <v>39</v>
      </c>
      <c r="L1881" s="2" t="s">
        <v>99</v>
      </c>
      <c r="M1881" s="2" t="s">
        <v>40</v>
      </c>
      <c r="P1881" s="2" t="s">
        <v>114</v>
      </c>
      <c r="Q1881" s="2" t="s">
        <v>779</v>
      </c>
      <c r="R1881" s="2" t="s">
        <v>780</v>
      </c>
      <c r="S1881" s="2">
        <v>2</v>
      </c>
      <c r="T1881" s="2">
        <v>153.34</v>
      </c>
      <c r="U1881" s="2">
        <v>35.2682</v>
      </c>
      <c r="V1881" s="2">
        <v>188.60820000000001</v>
      </c>
      <c r="W1881" s="2">
        <f>36.2258*S1881</f>
        <v>72.451599999999999</v>
      </c>
      <c r="X1881" s="5">
        <f t="shared" si="266"/>
        <v>0.52751010825616285</v>
      </c>
      <c r="Z1881" s="2" t="s">
        <v>117</v>
      </c>
      <c r="AA1881" s="2" t="s">
        <v>118</v>
      </c>
      <c r="AB1881" s="2" t="s">
        <v>119</v>
      </c>
      <c r="AC1881" s="2" t="s">
        <v>114</v>
      </c>
      <c r="AF1881" s="2">
        <f t="shared" si="264"/>
        <v>0</v>
      </c>
      <c r="AJ1881" s="2">
        <f t="shared" si="265"/>
        <v>0</v>
      </c>
      <c r="AK1881" s="2">
        <f t="shared" si="267"/>
        <v>80.888400000000004</v>
      </c>
      <c r="AL1881" s="5">
        <f t="shared" si="263"/>
        <v>0.52751010825616285</v>
      </c>
    </row>
    <row r="1882" spans="1:38" x14ac:dyDescent="0.2">
      <c r="A1882" s="2">
        <v>2025</v>
      </c>
      <c r="B1882" s="2">
        <v>10</v>
      </c>
      <c r="C1882" s="2" t="s">
        <v>3489</v>
      </c>
      <c r="D1882" s="2" t="s">
        <v>1350</v>
      </c>
      <c r="E1882" s="2" t="s">
        <v>38</v>
      </c>
      <c r="F1882" s="2" t="s">
        <v>39</v>
      </c>
      <c r="L1882" s="2" t="s">
        <v>99</v>
      </c>
      <c r="M1882" s="2" t="s">
        <v>40</v>
      </c>
      <c r="P1882" s="2" t="s">
        <v>114</v>
      </c>
      <c r="Q1882" s="2" t="s">
        <v>561</v>
      </c>
      <c r="R1882" s="2" t="s">
        <v>562</v>
      </c>
      <c r="S1882" s="2">
        <v>4</v>
      </c>
      <c r="T1882" s="2">
        <v>57.15</v>
      </c>
      <c r="U1882" s="2">
        <v>13.144500000000001</v>
      </c>
      <c r="V1882" s="2">
        <v>70.294499999999999</v>
      </c>
      <c r="W1882" s="2">
        <f>5.3525*S1882</f>
        <v>21.41</v>
      </c>
      <c r="X1882" s="5">
        <f t="shared" si="266"/>
        <v>0.62537182852143469</v>
      </c>
      <c r="Z1882" s="2" t="s">
        <v>117</v>
      </c>
      <c r="AA1882" s="2" t="s">
        <v>118</v>
      </c>
      <c r="AB1882" s="2" t="s">
        <v>119</v>
      </c>
      <c r="AC1882" s="2" t="s">
        <v>114</v>
      </c>
      <c r="AF1882" s="2">
        <f t="shared" si="264"/>
        <v>0</v>
      </c>
      <c r="AJ1882" s="2">
        <f t="shared" si="265"/>
        <v>0</v>
      </c>
      <c r="AK1882" s="2">
        <f t="shared" si="267"/>
        <v>35.739999999999995</v>
      </c>
      <c r="AL1882" s="5">
        <f t="shared" ref="AL1882:AL1898" si="268">(T1882-W1882)/T1882</f>
        <v>0.62537182852143469</v>
      </c>
    </row>
    <row r="1883" spans="1:38" x14ac:dyDescent="0.2">
      <c r="A1883" s="2">
        <v>2025</v>
      </c>
      <c r="B1883" s="2">
        <v>10</v>
      </c>
      <c r="C1883" s="2" t="s">
        <v>3404</v>
      </c>
      <c r="D1883" s="2" t="s">
        <v>1350</v>
      </c>
      <c r="E1883" s="2" t="s">
        <v>38</v>
      </c>
      <c r="F1883" s="2" t="s">
        <v>39</v>
      </c>
      <c r="L1883" s="2" t="s">
        <v>99</v>
      </c>
      <c r="M1883" s="2" t="s">
        <v>40</v>
      </c>
      <c r="P1883" s="2" t="s">
        <v>114</v>
      </c>
      <c r="Q1883" s="2" t="s">
        <v>904</v>
      </c>
      <c r="R1883" s="2" t="s">
        <v>905</v>
      </c>
      <c r="S1883" s="2">
        <v>1</v>
      </c>
      <c r="T1883" s="2">
        <v>699.3</v>
      </c>
      <c r="U1883" s="2">
        <v>160.839</v>
      </c>
      <c r="V1883" s="2">
        <v>860.1389999999999</v>
      </c>
      <c r="W1883" s="2">
        <v>345.20339999999999</v>
      </c>
      <c r="X1883" s="5">
        <f t="shared" si="266"/>
        <v>0.50635864435864431</v>
      </c>
      <c r="Z1883" s="2" t="s">
        <v>117</v>
      </c>
      <c r="AA1883" s="2" t="s">
        <v>181</v>
      </c>
      <c r="AB1883" s="2" t="s">
        <v>119</v>
      </c>
      <c r="AC1883" s="2" t="s">
        <v>114</v>
      </c>
      <c r="AF1883" s="2">
        <f t="shared" si="264"/>
        <v>0</v>
      </c>
      <c r="AJ1883" s="2">
        <f t="shared" si="265"/>
        <v>0</v>
      </c>
      <c r="AK1883" s="2">
        <f t="shared" si="267"/>
        <v>354.09659999999997</v>
      </c>
      <c r="AL1883" s="5">
        <f t="shared" si="268"/>
        <v>0.50635864435864431</v>
      </c>
    </row>
    <row r="1884" spans="1:38" x14ac:dyDescent="0.2">
      <c r="A1884" s="2">
        <v>2025</v>
      </c>
      <c r="B1884" s="2">
        <v>10</v>
      </c>
      <c r="C1884" s="2" t="s">
        <v>3404</v>
      </c>
      <c r="D1884" s="2" t="s">
        <v>1350</v>
      </c>
      <c r="E1884" s="2" t="s">
        <v>38</v>
      </c>
      <c r="F1884" s="2" t="s">
        <v>39</v>
      </c>
      <c r="L1884" s="2" t="s">
        <v>99</v>
      </c>
      <c r="M1884" s="2" t="s">
        <v>40</v>
      </c>
      <c r="P1884" s="2" t="s">
        <v>187</v>
      </c>
      <c r="Q1884" s="2" t="s">
        <v>188</v>
      </c>
      <c r="R1884" s="2" t="s">
        <v>189</v>
      </c>
      <c r="S1884" s="2">
        <v>1</v>
      </c>
      <c r="T1884" s="2">
        <v>55</v>
      </c>
      <c r="U1884" s="2">
        <v>12.65</v>
      </c>
      <c r="V1884" s="2">
        <v>67.650000000000006</v>
      </c>
      <c r="W1884" s="2">
        <f>T1884*40%</f>
        <v>22</v>
      </c>
      <c r="X1884" s="5">
        <f t="shared" si="266"/>
        <v>0.6</v>
      </c>
      <c r="Z1884" s="2" t="s">
        <v>117</v>
      </c>
      <c r="AA1884" s="2" t="s">
        <v>190</v>
      </c>
      <c r="AB1884" s="2" t="s">
        <v>189</v>
      </c>
      <c r="AC1884" s="2" t="s">
        <v>40</v>
      </c>
      <c r="AF1884" s="2">
        <f t="shared" si="264"/>
        <v>0</v>
      </c>
      <c r="AJ1884" s="2">
        <f t="shared" si="265"/>
        <v>0</v>
      </c>
      <c r="AK1884" s="2">
        <f t="shared" si="267"/>
        <v>33</v>
      </c>
      <c r="AL1884" s="5">
        <f t="shared" si="268"/>
        <v>0.6</v>
      </c>
    </row>
    <row r="1885" spans="1:38" x14ac:dyDescent="0.2">
      <c r="A1885" s="2">
        <v>2025</v>
      </c>
      <c r="B1885" s="2">
        <v>10</v>
      </c>
      <c r="C1885" s="2" t="s">
        <v>3404</v>
      </c>
      <c r="D1885" s="2" t="s">
        <v>1350</v>
      </c>
      <c r="E1885" s="2" t="s">
        <v>38</v>
      </c>
      <c r="F1885" s="2" t="s">
        <v>39</v>
      </c>
      <c r="L1885" s="2" t="s">
        <v>99</v>
      </c>
      <c r="M1885" s="2" t="s">
        <v>40</v>
      </c>
      <c r="P1885" s="2" t="s">
        <v>187</v>
      </c>
      <c r="Q1885" s="2" t="s">
        <v>191</v>
      </c>
      <c r="R1885" s="2" t="s">
        <v>190</v>
      </c>
      <c r="S1885" s="2">
        <v>1</v>
      </c>
      <c r="T1885" s="2">
        <v>50</v>
      </c>
      <c r="U1885" s="2">
        <v>11.5</v>
      </c>
      <c r="V1885" s="2">
        <v>61.5</v>
      </c>
      <c r="W1885" s="2">
        <f>T1885*50%</f>
        <v>25</v>
      </c>
      <c r="X1885" s="5">
        <f t="shared" si="266"/>
        <v>0.5</v>
      </c>
      <c r="Z1885" s="2" t="s">
        <v>117</v>
      </c>
      <c r="AA1885" s="2" t="s">
        <v>190</v>
      </c>
      <c r="AB1885" s="2" t="s">
        <v>190</v>
      </c>
      <c r="AC1885" s="2" t="s">
        <v>40</v>
      </c>
      <c r="AF1885" s="2">
        <f t="shared" si="264"/>
        <v>0</v>
      </c>
      <c r="AJ1885" s="2">
        <f t="shared" si="265"/>
        <v>0</v>
      </c>
      <c r="AK1885" s="2">
        <f t="shared" si="267"/>
        <v>25</v>
      </c>
      <c r="AL1885" s="5">
        <f t="shared" si="268"/>
        <v>0.5</v>
      </c>
    </row>
    <row r="1886" spans="1:38" x14ac:dyDescent="0.2">
      <c r="A1886" s="2">
        <v>2025</v>
      </c>
      <c r="B1886" s="2">
        <v>10</v>
      </c>
      <c r="D1886" s="2" t="s">
        <v>1877</v>
      </c>
      <c r="P1886" s="2" t="s">
        <v>114</v>
      </c>
      <c r="Q1886" s="2" t="s">
        <v>779</v>
      </c>
      <c r="R1886" s="2" t="s">
        <v>780</v>
      </c>
      <c r="S1886" s="2">
        <v>2</v>
      </c>
      <c r="T1886" s="2">
        <v>153.34</v>
      </c>
      <c r="U1886" s="2">
        <v>35.2682</v>
      </c>
      <c r="V1886" s="2">
        <v>188.60820000000001</v>
      </c>
      <c r="X1886" s="5">
        <f t="shared" si="266"/>
        <v>1</v>
      </c>
      <c r="Z1886" s="2" t="s">
        <v>117</v>
      </c>
      <c r="AF1886" s="2">
        <f t="shared" si="264"/>
        <v>0</v>
      </c>
      <c r="AJ1886" s="2">
        <f t="shared" si="265"/>
        <v>0</v>
      </c>
      <c r="AK1886" s="2">
        <f t="shared" si="267"/>
        <v>153.34</v>
      </c>
      <c r="AL1886" s="5">
        <f t="shared" si="268"/>
        <v>1</v>
      </c>
    </row>
    <row r="1887" spans="1:38" x14ac:dyDescent="0.2">
      <c r="A1887" s="2">
        <v>2025</v>
      </c>
      <c r="B1887" s="2">
        <v>10</v>
      </c>
      <c r="D1887" s="2" t="s">
        <v>1502</v>
      </c>
      <c r="E1887" s="2" t="s">
        <v>38</v>
      </c>
      <c r="F1887" s="2" t="s">
        <v>39</v>
      </c>
      <c r="G1887" s="2">
        <v>505483335</v>
      </c>
      <c r="H1887" s="2" t="s">
        <v>40</v>
      </c>
      <c r="I1887" s="2" t="s">
        <v>1503</v>
      </c>
      <c r="J1887" s="2" t="s">
        <v>1504</v>
      </c>
      <c r="K1887" s="2">
        <v>961386655</v>
      </c>
      <c r="L1887" s="2" t="s">
        <v>133</v>
      </c>
      <c r="M1887" s="2" t="s">
        <v>40</v>
      </c>
      <c r="O1887" s="2" t="s">
        <v>1878</v>
      </c>
      <c r="P1887" s="2" t="s">
        <v>84</v>
      </c>
      <c r="Q1887" s="2" t="s">
        <v>268</v>
      </c>
      <c r="R1887" s="2" t="s">
        <v>269</v>
      </c>
      <c r="S1887" s="2">
        <v>1</v>
      </c>
      <c r="T1887" s="2">
        <v>4.8</v>
      </c>
      <c r="U1887" s="2">
        <v>1.1040000000000001</v>
      </c>
      <c r="V1887" s="2">
        <v>5.9039999999999999</v>
      </c>
      <c r="W1887" s="2">
        <v>2.4154</v>
      </c>
      <c r="X1887" s="5">
        <f t="shared" si="266"/>
        <v>0.49679166666666663</v>
      </c>
      <c r="Z1887" s="2" t="s">
        <v>3227</v>
      </c>
      <c r="AA1887" s="2" t="s">
        <v>87</v>
      </c>
      <c r="AB1887" s="2" t="s">
        <v>90</v>
      </c>
      <c r="AC1887" s="2" t="s">
        <v>84</v>
      </c>
      <c r="AF1887" s="2">
        <f t="shared" si="264"/>
        <v>0</v>
      </c>
      <c r="AJ1887" s="2">
        <f t="shared" si="265"/>
        <v>0</v>
      </c>
      <c r="AK1887" s="2">
        <f t="shared" si="267"/>
        <v>2.3845999999999998</v>
      </c>
      <c r="AL1887" s="5">
        <f t="shared" si="268"/>
        <v>0.49679166666666663</v>
      </c>
    </row>
    <row r="1888" spans="1:38" x14ac:dyDescent="0.2">
      <c r="A1888" s="2">
        <v>2025</v>
      </c>
      <c r="B1888" s="2">
        <v>10</v>
      </c>
      <c r="D1888" s="2" t="s">
        <v>744</v>
      </c>
      <c r="E1888" s="2" t="s">
        <v>108</v>
      </c>
      <c r="F1888" s="2" t="s">
        <v>39</v>
      </c>
      <c r="G1888" s="2">
        <v>509181163</v>
      </c>
      <c r="H1888" s="2" t="s">
        <v>40</v>
      </c>
      <c r="I1888" s="2" t="s">
        <v>745</v>
      </c>
      <c r="J1888" s="2" t="s">
        <v>746</v>
      </c>
      <c r="K1888" s="2">
        <v>962372760</v>
      </c>
      <c r="L1888" s="2" t="s">
        <v>201</v>
      </c>
      <c r="P1888" s="2" t="s">
        <v>114</v>
      </c>
      <c r="Q1888" s="2" t="s">
        <v>1879</v>
      </c>
      <c r="R1888" s="2" t="s">
        <v>1880</v>
      </c>
      <c r="S1888" s="2">
        <v>1</v>
      </c>
      <c r="T1888" s="2">
        <v>913.93</v>
      </c>
      <c r="U1888" s="2">
        <v>210.2039</v>
      </c>
      <c r="V1888" s="2">
        <v>1124.1339</v>
      </c>
      <c r="X1888" s="5">
        <f t="shared" si="266"/>
        <v>1</v>
      </c>
      <c r="Z1888" s="2" t="s">
        <v>3227</v>
      </c>
      <c r="AF1888" s="2">
        <f t="shared" si="264"/>
        <v>0</v>
      </c>
      <c r="AJ1888" s="2">
        <f t="shared" si="265"/>
        <v>0</v>
      </c>
      <c r="AK1888" s="2">
        <f t="shared" si="267"/>
        <v>913.93</v>
      </c>
      <c r="AL1888" s="5">
        <f t="shared" si="268"/>
        <v>1</v>
      </c>
    </row>
    <row r="1889" spans="1:38" x14ac:dyDescent="0.2">
      <c r="A1889" s="2">
        <v>2025</v>
      </c>
      <c r="B1889" s="2">
        <v>10</v>
      </c>
      <c r="D1889" s="2" t="s">
        <v>990</v>
      </c>
      <c r="E1889" s="2" t="s">
        <v>38</v>
      </c>
      <c r="F1889" s="2" t="s">
        <v>39</v>
      </c>
      <c r="G1889" s="2">
        <v>513796878</v>
      </c>
      <c r="H1889" s="2" t="s">
        <v>40</v>
      </c>
      <c r="I1889" s="2" t="s">
        <v>991</v>
      </c>
      <c r="J1889" s="2" t="s">
        <v>992</v>
      </c>
      <c r="K1889" s="2">
        <v>964159861</v>
      </c>
      <c r="L1889" s="2" t="s">
        <v>201</v>
      </c>
      <c r="M1889" s="2" t="s">
        <v>80</v>
      </c>
      <c r="O1889" s="2" t="s">
        <v>1881</v>
      </c>
      <c r="P1889" s="2" t="s">
        <v>43</v>
      </c>
      <c r="Q1889" s="2" t="s">
        <v>48</v>
      </c>
      <c r="R1889" s="2" t="s">
        <v>49</v>
      </c>
      <c r="S1889" s="2">
        <v>3</v>
      </c>
      <c r="T1889" s="2">
        <v>36</v>
      </c>
      <c r="U1889" s="2">
        <v>8.2800000000000011</v>
      </c>
      <c r="V1889" s="2">
        <v>44.28</v>
      </c>
      <c r="W1889" s="2">
        <f>6.6267*S1889</f>
        <v>19.880099999999999</v>
      </c>
      <c r="X1889" s="5">
        <f t="shared" si="266"/>
        <v>0.44777500000000003</v>
      </c>
      <c r="Z1889" s="2" t="s">
        <v>3227</v>
      </c>
      <c r="AA1889" s="2" t="s">
        <v>46</v>
      </c>
      <c r="AB1889" s="2" t="s">
        <v>47</v>
      </c>
      <c r="AC1889" s="2" t="s">
        <v>57</v>
      </c>
      <c r="AF1889" s="2">
        <f t="shared" si="264"/>
        <v>0</v>
      </c>
      <c r="AG1889" s="2">
        <v>6.6266999999999996</v>
      </c>
      <c r="AH1889" s="2">
        <v>12</v>
      </c>
      <c r="AJ1889" s="2">
        <f t="shared" si="265"/>
        <v>0</v>
      </c>
      <c r="AK1889" s="2">
        <f t="shared" si="267"/>
        <v>16.119900000000001</v>
      </c>
      <c r="AL1889" s="5">
        <f t="shared" si="268"/>
        <v>0.44777500000000003</v>
      </c>
    </row>
    <row r="1890" spans="1:38" x14ac:dyDescent="0.2">
      <c r="A1890" s="2">
        <v>2025</v>
      </c>
      <c r="B1890" s="2">
        <v>10</v>
      </c>
      <c r="D1890" s="2" t="s">
        <v>990</v>
      </c>
      <c r="E1890" s="2" t="s">
        <v>38</v>
      </c>
      <c r="F1890" s="2" t="s">
        <v>39</v>
      </c>
      <c r="G1890" s="2">
        <v>513796878</v>
      </c>
      <c r="H1890" s="2" t="s">
        <v>40</v>
      </c>
      <c r="I1890" s="2" t="s">
        <v>991</v>
      </c>
      <c r="J1890" s="2" t="s">
        <v>992</v>
      </c>
      <c r="K1890" s="2">
        <v>964159861</v>
      </c>
      <c r="L1890" s="2" t="s">
        <v>201</v>
      </c>
      <c r="M1890" s="2" t="s">
        <v>80</v>
      </c>
      <c r="O1890" s="2" t="s">
        <v>1881</v>
      </c>
      <c r="P1890" s="2" t="s">
        <v>43</v>
      </c>
      <c r="Q1890" s="2" t="s">
        <v>160</v>
      </c>
      <c r="R1890" s="2" t="s">
        <v>161</v>
      </c>
      <c r="S1890" s="2">
        <v>1</v>
      </c>
      <c r="T1890" s="2">
        <v>7.8</v>
      </c>
      <c r="U1890" s="2">
        <v>1.794</v>
      </c>
      <c r="V1890" s="2">
        <v>9.5939999999999994</v>
      </c>
      <c r="W1890" s="2">
        <f>3.7358*S1890</f>
        <v>3.7357999999999998</v>
      </c>
      <c r="X1890" s="5">
        <f t="shared" si="266"/>
        <v>0.52105128205128204</v>
      </c>
      <c r="Z1890" s="2" t="s">
        <v>3227</v>
      </c>
      <c r="AA1890" s="2" t="s">
        <v>46</v>
      </c>
      <c r="AB1890" s="2" t="s">
        <v>47</v>
      </c>
      <c r="AC1890" s="2" t="s">
        <v>57</v>
      </c>
      <c r="AF1890" s="2">
        <f t="shared" si="264"/>
        <v>0</v>
      </c>
      <c r="AG1890" s="2">
        <v>3.7357999999999998</v>
      </c>
      <c r="AH1890" s="2">
        <v>9</v>
      </c>
      <c r="AJ1890" s="2">
        <f t="shared" si="265"/>
        <v>0</v>
      </c>
      <c r="AK1890" s="2">
        <f t="shared" si="267"/>
        <v>4.0641999999999996</v>
      </c>
      <c r="AL1890" s="5">
        <f t="shared" si="268"/>
        <v>0.52105128205128204</v>
      </c>
    </row>
    <row r="1891" spans="1:38" x14ac:dyDescent="0.2">
      <c r="A1891" s="2">
        <v>2025</v>
      </c>
      <c r="B1891" s="2">
        <v>10</v>
      </c>
      <c r="D1891" s="2" t="s">
        <v>990</v>
      </c>
      <c r="E1891" s="2" t="s">
        <v>38</v>
      </c>
      <c r="F1891" s="2" t="s">
        <v>39</v>
      </c>
      <c r="G1891" s="2">
        <v>513796878</v>
      </c>
      <c r="H1891" s="2" t="s">
        <v>40</v>
      </c>
      <c r="I1891" s="2" t="s">
        <v>991</v>
      </c>
      <c r="J1891" s="2" t="s">
        <v>992</v>
      </c>
      <c r="K1891" s="2">
        <v>964159861</v>
      </c>
      <c r="L1891" s="2" t="s">
        <v>201</v>
      </c>
      <c r="M1891" s="2" t="s">
        <v>80</v>
      </c>
      <c r="O1891" s="2" t="s">
        <v>1881</v>
      </c>
      <c r="P1891" s="2" t="s">
        <v>43</v>
      </c>
      <c r="Q1891" s="2" t="s">
        <v>54</v>
      </c>
      <c r="R1891" s="2" t="s">
        <v>55</v>
      </c>
      <c r="S1891" s="2">
        <v>2</v>
      </c>
      <c r="T1891" s="2">
        <v>36</v>
      </c>
      <c r="U1891" s="2">
        <v>8.2800000000000011</v>
      </c>
      <c r="V1891" s="2">
        <v>44.28</v>
      </c>
      <c r="W1891" s="2">
        <f>10.6*S1891</f>
        <v>21.2</v>
      </c>
      <c r="X1891" s="5">
        <f t="shared" si="266"/>
        <v>0.41111111111111115</v>
      </c>
      <c r="Z1891" s="2" t="s">
        <v>3227</v>
      </c>
      <c r="AA1891" s="2" t="s">
        <v>46</v>
      </c>
      <c r="AB1891" s="2" t="s">
        <v>56</v>
      </c>
      <c r="AC1891" s="2" t="s">
        <v>57</v>
      </c>
      <c r="AF1891" s="2">
        <f t="shared" si="264"/>
        <v>0</v>
      </c>
      <c r="AG1891" s="2">
        <v>10.6</v>
      </c>
      <c r="AH1891" s="2">
        <v>18</v>
      </c>
      <c r="AJ1891" s="2">
        <f t="shared" si="265"/>
        <v>0</v>
      </c>
      <c r="AK1891" s="2">
        <f t="shared" si="267"/>
        <v>14.8</v>
      </c>
      <c r="AL1891" s="5">
        <f t="shared" si="268"/>
        <v>0.41111111111111115</v>
      </c>
    </row>
    <row r="1892" spans="1:38" x14ac:dyDescent="0.2">
      <c r="A1892" s="2">
        <v>2025</v>
      </c>
      <c r="B1892" s="2">
        <v>10</v>
      </c>
      <c r="D1892" s="2" t="s">
        <v>990</v>
      </c>
      <c r="E1892" s="2" t="s">
        <v>38</v>
      </c>
      <c r="F1892" s="2" t="s">
        <v>39</v>
      </c>
      <c r="G1892" s="2">
        <v>513796878</v>
      </c>
      <c r="H1892" s="2" t="s">
        <v>40</v>
      </c>
      <c r="I1892" s="2" t="s">
        <v>991</v>
      </c>
      <c r="J1892" s="2" t="s">
        <v>992</v>
      </c>
      <c r="K1892" s="2">
        <v>964159861</v>
      </c>
      <c r="L1892" s="2" t="s">
        <v>201</v>
      </c>
      <c r="M1892" s="2" t="s">
        <v>80</v>
      </c>
      <c r="O1892" s="2" t="s">
        <v>1881</v>
      </c>
      <c r="P1892" s="2" t="s">
        <v>43</v>
      </c>
      <c r="Q1892" s="2" t="s">
        <v>164</v>
      </c>
      <c r="R1892" s="2" t="s">
        <v>165</v>
      </c>
      <c r="S1892" s="2">
        <v>1</v>
      </c>
      <c r="T1892" s="2">
        <v>15</v>
      </c>
      <c r="U1892" s="2">
        <v>3.45</v>
      </c>
      <c r="V1892" s="2">
        <v>18.45</v>
      </c>
      <c r="W1892" s="2">
        <f>7.9612*S1892</f>
        <v>7.9611999999999998</v>
      </c>
      <c r="X1892" s="5">
        <f t="shared" si="266"/>
        <v>0.46925333333333336</v>
      </c>
      <c r="Z1892" s="2" t="s">
        <v>3227</v>
      </c>
      <c r="AA1892" s="2" t="s">
        <v>46</v>
      </c>
      <c r="AB1892" s="2" t="s">
        <v>67</v>
      </c>
      <c r="AC1892" s="2" t="s">
        <v>57</v>
      </c>
      <c r="AF1892" s="2">
        <f t="shared" si="264"/>
        <v>0</v>
      </c>
      <c r="AG1892" s="2">
        <v>7.9611999999999998</v>
      </c>
      <c r="AH1892" s="2">
        <v>14.4</v>
      </c>
      <c r="AJ1892" s="2">
        <f t="shared" si="265"/>
        <v>0</v>
      </c>
      <c r="AK1892" s="2">
        <f t="shared" si="267"/>
        <v>7.0388000000000002</v>
      </c>
      <c r="AL1892" s="5">
        <f t="shared" si="268"/>
        <v>0.46925333333333336</v>
      </c>
    </row>
    <row r="1893" spans="1:38" x14ac:dyDescent="0.2">
      <c r="A1893" s="2">
        <v>2025</v>
      </c>
      <c r="B1893" s="2">
        <v>10</v>
      </c>
      <c r="D1893" s="2" t="s">
        <v>990</v>
      </c>
      <c r="E1893" s="2" t="s">
        <v>38</v>
      </c>
      <c r="F1893" s="2" t="s">
        <v>39</v>
      </c>
      <c r="G1893" s="2">
        <v>513796878</v>
      </c>
      <c r="H1893" s="2" t="s">
        <v>40</v>
      </c>
      <c r="I1893" s="2" t="s">
        <v>991</v>
      </c>
      <c r="J1893" s="2" t="s">
        <v>992</v>
      </c>
      <c r="K1893" s="2">
        <v>964159861</v>
      </c>
      <c r="L1893" s="2" t="s">
        <v>201</v>
      </c>
      <c r="M1893" s="2" t="s">
        <v>80</v>
      </c>
      <c r="O1893" s="2" t="s">
        <v>1881</v>
      </c>
      <c r="P1893" s="2" t="s">
        <v>84</v>
      </c>
      <c r="Q1893" s="2" t="s">
        <v>274</v>
      </c>
      <c r="R1893" s="2" t="s">
        <v>275</v>
      </c>
      <c r="S1893" s="2">
        <v>1</v>
      </c>
      <c r="T1893" s="2">
        <v>9</v>
      </c>
      <c r="U1893" s="2">
        <v>2.0699999999999998</v>
      </c>
      <c r="V1893" s="2">
        <v>11.07</v>
      </c>
      <c r="W1893" s="2">
        <v>2.94</v>
      </c>
      <c r="X1893" s="5">
        <f t="shared" si="266"/>
        <v>0.67333333333333334</v>
      </c>
      <c r="Z1893" s="2" t="s">
        <v>3227</v>
      </c>
      <c r="AA1893" s="2" t="s">
        <v>87</v>
      </c>
      <c r="AB1893" s="2" t="s">
        <v>90</v>
      </c>
      <c r="AC1893" s="2" t="s">
        <v>84</v>
      </c>
      <c r="AF1893" s="2">
        <f t="shared" si="264"/>
        <v>0</v>
      </c>
      <c r="AJ1893" s="2">
        <f t="shared" si="265"/>
        <v>0</v>
      </c>
      <c r="AK1893" s="2">
        <f t="shared" si="267"/>
        <v>6.0600000000000005</v>
      </c>
      <c r="AL1893" s="5">
        <f t="shared" si="268"/>
        <v>0.67333333333333334</v>
      </c>
    </row>
    <row r="1894" spans="1:38" x14ac:dyDescent="0.2">
      <c r="A1894" s="2">
        <v>2025</v>
      </c>
      <c r="B1894" s="2">
        <v>10</v>
      </c>
      <c r="D1894" s="2" t="s">
        <v>990</v>
      </c>
      <c r="E1894" s="2" t="s">
        <v>38</v>
      </c>
      <c r="F1894" s="2" t="s">
        <v>39</v>
      </c>
      <c r="G1894" s="2">
        <v>513796878</v>
      </c>
      <c r="H1894" s="2" t="s">
        <v>40</v>
      </c>
      <c r="I1894" s="2" t="s">
        <v>991</v>
      </c>
      <c r="J1894" s="2" t="s">
        <v>992</v>
      </c>
      <c r="K1894" s="2">
        <v>964159861</v>
      </c>
      <c r="L1894" s="2" t="s">
        <v>201</v>
      </c>
      <c r="M1894" s="2" t="s">
        <v>80</v>
      </c>
      <c r="O1894" s="2" t="s">
        <v>1881</v>
      </c>
      <c r="P1894" s="2" t="s">
        <v>84</v>
      </c>
      <c r="Q1894" s="2" t="s">
        <v>276</v>
      </c>
      <c r="R1894" s="2" t="s">
        <v>277</v>
      </c>
      <c r="S1894" s="2">
        <v>1</v>
      </c>
      <c r="T1894" s="2">
        <v>9</v>
      </c>
      <c r="U1894" s="2">
        <v>2.0699999999999998</v>
      </c>
      <c r="V1894" s="2">
        <v>11.07</v>
      </c>
      <c r="W1894" s="2">
        <v>2.5051000000000001</v>
      </c>
      <c r="X1894" s="5">
        <f t="shared" si="266"/>
        <v>0.72165555555555549</v>
      </c>
      <c r="Z1894" s="2" t="s">
        <v>3227</v>
      </c>
      <c r="AA1894" s="2" t="s">
        <v>87</v>
      </c>
      <c r="AB1894" s="2" t="s">
        <v>90</v>
      </c>
      <c r="AC1894" s="2" t="s">
        <v>84</v>
      </c>
      <c r="AF1894" s="2">
        <f t="shared" si="264"/>
        <v>0</v>
      </c>
      <c r="AJ1894" s="2">
        <f t="shared" si="265"/>
        <v>0</v>
      </c>
      <c r="AK1894" s="2">
        <f t="shared" si="267"/>
        <v>6.4948999999999995</v>
      </c>
      <c r="AL1894" s="5">
        <f t="shared" si="268"/>
        <v>0.72165555555555549</v>
      </c>
    </row>
    <row r="1895" spans="1:38" x14ac:dyDescent="0.2">
      <c r="A1895" s="2">
        <v>2025</v>
      </c>
      <c r="B1895" s="2">
        <v>10</v>
      </c>
      <c r="C1895" s="2" t="s">
        <v>3404</v>
      </c>
      <c r="D1895" s="2" t="s">
        <v>749</v>
      </c>
      <c r="E1895" s="2" t="s">
        <v>108</v>
      </c>
      <c r="F1895" s="2" t="s">
        <v>39</v>
      </c>
      <c r="G1895" s="2">
        <v>510039537</v>
      </c>
      <c r="H1895" s="2" t="s">
        <v>40</v>
      </c>
      <c r="I1895" s="2" t="s">
        <v>571</v>
      </c>
      <c r="J1895" s="2" t="s">
        <v>750</v>
      </c>
      <c r="K1895" s="2">
        <v>969042927</v>
      </c>
      <c r="L1895" s="2" t="s">
        <v>571</v>
      </c>
      <c r="M1895" s="2" t="s">
        <v>40</v>
      </c>
      <c r="P1895" s="2" t="s">
        <v>282</v>
      </c>
      <c r="Q1895" s="2" t="s">
        <v>800</v>
      </c>
      <c r="R1895" s="2" t="s">
        <v>801</v>
      </c>
      <c r="S1895" s="2">
        <v>60</v>
      </c>
      <c r="T1895" s="2">
        <v>5400</v>
      </c>
      <c r="U1895" s="2">
        <v>1242</v>
      </c>
      <c r="V1895" s="2">
        <v>6642</v>
      </c>
      <c r="W1895" s="2">
        <f>73.27*S1895</f>
        <v>4396.2</v>
      </c>
      <c r="X1895" s="5">
        <f t="shared" si="266"/>
        <v>0.18588888888888891</v>
      </c>
      <c r="Z1895" s="2" t="s">
        <v>3227</v>
      </c>
      <c r="AA1895" s="2" t="s">
        <v>71</v>
      </c>
      <c r="AB1895" s="2" t="s">
        <v>119</v>
      </c>
      <c r="AC1895" s="2" t="s">
        <v>119</v>
      </c>
      <c r="AF1895" s="2">
        <f t="shared" si="264"/>
        <v>0</v>
      </c>
      <c r="AJ1895" s="2">
        <f t="shared" si="265"/>
        <v>0</v>
      </c>
      <c r="AK1895" s="2">
        <f t="shared" si="267"/>
        <v>1003.8000000000002</v>
      </c>
      <c r="AL1895" s="5">
        <f t="shared" si="268"/>
        <v>0.18588888888888891</v>
      </c>
    </row>
    <row r="1896" spans="1:38" x14ac:dyDescent="0.2">
      <c r="A1896" s="2">
        <v>2025</v>
      </c>
      <c r="B1896" s="2">
        <v>10</v>
      </c>
      <c r="D1896" s="2" t="s">
        <v>1774</v>
      </c>
      <c r="P1896" s="2" t="s">
        <v>3230</v>
      </c>
      <c r="Q1896" s="2" t="s">
        <v>1882</v>
      </c>
      <c r="R1896" s="2" t="s">
        <v>1883</v>
      </c>
      <c r="S1896" s="2">
        <v>1</v>
      </c>
      <c r="T1896" s="2">
        <v>2900</v>
      </c>
      <c r="U1896" s="2">
        <v>667</v>
      </c>
      <c r="V1896" s="2">
        <v>3567</v>
      </c>
      <c r="W1896" s="2">
        <v>987.72270000000003</v>
      </c>
      <c r="X1896" s="5">
        <f t="shared" si="266"/>
        <v>0.6594059655172414</v>
      </c>
      <c r="Z1896" s="2" t="s">
        <v>104</v>
      </c>
      <c r="AA1896" s="2" t="s">
        <v>105</v>
      </c>
      <c r="AB1896" s="2" t="s">
        <v>106</v>
      </c>
      <c r="AC1896" s="2" t="s">
        <v>3230</v>
      </c>
      <c r="AF1896" s="2">
        <f t="shared" si="264"/>
        <v>0</v>
      </c>
      <c r="AJ1896" s="2">
        <f t="shared" si="265"/>
        <v>0</v>
      </c>
      <c r="AK1896" s="2">
        <f t="shared" si="267"/>
        <v>1912.2773</v>
      </c>
      <c r="AL1896" s="5">
        <f t="shared" si="268"/>
        <v>0.6594059655172414</v>
      </c>
    </row>
    <row r="1897" spans="1:38" x14ac:dyDescent="0.2">
      <c r="A1897" s="2">
        <v>2025</v>
      </c>
      <c r="B1897" s="2">
        <v>10</v>
      </c>
      <c r="D1897" s="2" t="s">
        <v>996</v>
      </c>
      <c r="P1897" s="2" t="s">
        <v>72</v>
      </c>
      <c r="Q1897" s="2" t="s">
        <v>73</v>
      </c>
      <c r="R1897" s="2" t="s">
        <v>74</v>
      </c>
      <c r="S1897" s="2">
        <v>1</v>
      </c>
      <c r="T1897" s="2">
        <v>210</v>
      </c>
      <c r="U1897" s="2">
        <v>48.3</v>
      </c>
      <c r="V1897" s="2">
        <v>258.3</v>
      </c>
      <c r="W1897" s="2">
        <v>117.453</v>
      </c>
      <c r="X1897" s="5">
        <f t="shared" si="266"/>
        <v>0.44069999999999998</v>
      </c>
      <c r="Z1897" s="2" t="s">
        <v>3227</v>
      </c>
      <c r="AA1897" s="2" t="s">
        <v>75</v>
      </c>
      <c r="AB1897" s="2" t="s">
        <v>76</v>
      </c>
      <c r="AC1897" s="2" t="s">
        <v>77</v>
      </c>
      <c r="AF1897" s="2">
        <f t="shared" si="264"/>
        <v>0</v>
      </c>
      <c r="AG1897" s="2">
        <v>117.453</v>
      </c>
      <c r="AH1897" s="2">
        <v>220</v>
      </c>
      <c r="AJ1897" s="2">
        <f t="shared" si="265"/>
        <v>0</v>
      </c>
      <c r="AK1897" s="2">
        <f t="shared" si="267"/>
        <v>92.546999999999997</v>
      </c>
      <c r="AL1897" s="5">
        <f t="shared" si="268"/>
        <v>0.44069999999999998</v>
      </c>
    </row>
    <row r="1898" spans="1:38" x14ac:dyDescent="0.2">
      <c r="A1898" s="2">
        <v>2025</v>
      </c>
      <c r="B1898" s="2">
        <v>10</v>
      </c>
      <c r="D1898" s="2" t="s">
        <v>996</v>
      </c>
      <c r="P1898" s="2" t="s">
        <v>93</v>
      </c>
      <c r="Q1898" s="2" t="s">
        <v>94</v>
      </c>
      <c r="R1898" s="2" t="s">
        <v>95</v>
      </c>
      <c r="S1898" s="2">
        <v>1</v>
      </c>
      <c r="T1898" s="2">
        <v>1.1399999999999999</v>
      </c>
      <c r="U1898" s="2">
        <v>0.26219999999999999</v>
      </c>
      <c r="V1898" s="2">
        <v>1.4021999999999999</v>
      </c>
      <c r="W1898" s="2">
        <v>1.1399999999999999</v>
      </c>
      <c r="X1898" s="5">
        <f t="shared" si="266"/>
        <v>0</v>
      </c>
      <c r="Z1898" s="2" t="s">
        <v>3227</v>
      </c>
      <c r="AA1898" s="2" t="s">
        <v>96</v>
      </c>
      <c r="AB1898" s="2" t="s">
        <v>76</v>
      </c>
      <c r="AC1898" s="2" t="s">
        <v>93</v>
      </c>
      <c r="AF1898" s="2">
        <f t="shared" si="264"/>
        <v>0</v>
      </c>
      <c r="AJ1898" s="2">
        <f t="shared" si="265"/>
        <v>0</v>
      </c>
      <c r="AK1898" s="2">
        <f t="shared" si="267"/>
        <v>0</v>
      </c>
      <c r="AL1898" s="5">
        <f t="shared" si="268"/>
        <v>0</v>
      </c>
    </row>
    <row r="1899" spans="1:38" x14ac:dyDescent="0.2">
      <c r="A1899" s="2">
        <v>2025</v>
      </c>
      <c r="B1899" s="2">
        <v>10</v>
      </c>
      <c r="D1899" s="2" t="s">
        <v>1884</v>
      </c>
      <c r="M1899" s="2" t="s">
        <v>40</v>
      </c>
      <c r="P1899" s="2" t="s">
        <v>114</v>
      </c>
      <c r="Q1899" s="2" t="s">
        <v>904</v>
      </c>
      <c r="R1899" s="2" t="s">
        <v>905</v>
      </c>
      <c r="S1899" s="2">
        <v>1</v>
      </c>
      <c r="T1899" s="2">
        <v>0</v>
      </c>
      <c r="U1899" s="2">
        <v>0</v>
      </c>
      <c r="V1899" s="2">
        <v>0</v>
      </c>
      <c r="W1899" s="2">
        <v>0</v>
      </c>
      <c r="X1899" s="5">
        <v>0</v>
      </c>
      <c r="Z1899" s="2" t="s">
        <v>117</v>
      </c>
      <c r="AA1899" s="2" t="s">
        <v>181</v>
      </c>
      <c r="AB1899" s="2" t="s">
        <v>119</v>
      </c>
      <c r="AC1899" s="2" t="s">
        <v>114</v>
      </c>
      <c r="AF1899" s="2">
        <f t="shared" si="264"/>
        <v>0</v>
      </c>
      <c r="AJ1899" s="2">
        <f t="shared" si="265"/>
        <v>0</v>
      </c>
      <c r="AK1899" s="2">
        <v>0</v>
      </c>
      <c r="AL1899" s="5">
        <v>0</v>
      </c>
    </row>
    <row r="1900" spans="1:38" x14ac:dyDescent="0.2">
      <c r="A1900" s="2">
        <v>2025</v>
      </c>
      <c r="B1900" s="2">
        <v>10</v>
      </c>
      <c r="D1900" s="2" t="s">
        <v>1884</v>
      </c>
      <c r="P1900" s="2" t="s">
        <v>114</v>
      </c>
      <c r="Q1900" s="2" t="s">
        <v>1885</v>
      </c>
      <c r="R1900" s="2" t="s">
        <v>1886</v>
      </c>
      <c r="S1900" s="2">
        <v>1</v>
      </c>
      <c r="T1900" s="2">
        <v>6770</v>
      </c>
      <c r="U1900" s="2">
        <v>1557.1</v>
      </c>
      <c r="V1900" s="2">
        <v>8327.1</v>
      </c>
      <c r="X1900" s="5">
        <f t="shared" ref="X1900:X1932" si="269">(T1900-W1900)/T1900</f>
        <v>1</v>
      </c>
      <c r="Z1900" s="2" t="s">
        <v>104</v>
      </c>
      <c r="AF1900" s="2">
        <f t="shared" si="264"/>
        <v>0</v>
      </c>
      <c r="AJ1900" s="2">
        <f t="shared" si="265"/>
        <v>0</v>
      </c>
      <c r="AK1900" s="2">
        <f t="shared" ref="AK1900:AK1931" si="270">T1900-W1900</f>
        <v>6770</v>
      </c>
      <c r="AL1900" s="5">
        <f t="shared" ref="AL1900:AL1932" si="271">(T1900-W1900)/T1900</f>
        <v>1</v>
      </c>
    </row>
    <row r="1901" spans="1:38" x14ac:dyDescent="0.2">
      <c r="A1901" s="2">
        <v>2025</v>
      </c>
      <c r="B1901" s="2">
        <v>10</v>
      </c>
      <c r="C1901" s="2" t="s">
        <v>3404</v>
      </c>
      <c r="D1901" s="2" t="s">
        <v>1887</v>
      </c>
      <c r="E1901" s="2" t="s">
        <v>38</v>
      </c>
      <c r="F1901" s="2" t="s">
        <v>39</v>
      </c>
      <c r="L1901" s="2" t="s">
        <v>461</v>
      </c>
      <c r="M1901" s="2" t="s">
        <v>40</v>
      </c>
      <c r="P1901" s="2" t="s">
        <v>114</v>
      </c>
      <c r="Q1901" s="2" t="s">
        <v>1888</v>
      </c>
      <c r="R1901" s="2" t="s">
        <v>1889</v>
      </c>
      <c r="S1901" s="2">
        <v>1</v>
      </c>
      <c r="T1901" s="2">
        <v>97.81</v>
      </c>
      <c r="U1901" s="2">
        <v>22.496300000000002</v>
      </c>
      <c r="V1901" s="2">
        <v>120.30629999999999</v>
      </c>
      <c r="W1901" s="2">
        <v>54.34</v>
      </c>
      <c r="X1901" s="5">
        <f t="shared" si="269"/>
        <v>0.44443308455168179</v>
      </c>
      <c r="Z1901" s="2" t="s">
        <v>117</v>
      </c>
      <c r="AA1901" s="2" t="s">
        <v>118</v>
      </c>
      <c r="AB1901" s="2" t="s">
        <v>119</v>
      </c>
      <c r="AC1901" s="2" t="s">
        <v>114</v>
      </c>
      <c r="AF1901" s="2">
        <f t="shared" si="264"/>
        <v>0</v>
      </c>
      <c r="AJ1901" s="2">
        <f t="shared" si="265"/>
        <v>0</v>
      </c>
      <c r="AK1901" s="2">
        <f t="shared" si="270"/>
        <v>43.47</v>
      </c>
      <c r="AL1901" s="5">
        <f t="shared" si="271"/>
        <v>0.44443308455168179</v>
      </c>
    </row>
    <row r="1902" spans="1:38" x14ac:dyDescent="0.2">
      <c r="A1902" s="2">
        <v>2025</v>
      </c>
      <c r="B1902" s="2">
        <v>10</v>
      </c>
      <c r="C1902" s="2" t="s">
        <v>3404</v>
      </c>
      <c r="D1902" s="2" t="s">
        <v>1887</v>
      </c>
      <c r="E1902" s="2" t="s">
        <v>38</v>
      </c>
      <c r="F1902" s="2" t="s">
        <v>39</v>
      </c>
      <c r="L1902" s="2" t="s">
        <v>461</v>
      </c>
      <c r="M1902" s="2" t="s">
        <v>40</v>
      </c>
      <c r="P1902" s="2" t="s">
        <v>187</v>
      </c>
      <c r="Q1902" s="2" t="s">
        <v>188</v>
      </c>
      <c r="R1902" s="2" t="s">
        <v>189</v>
      </c>
      <c r="S1902" s="2">
        <v>1</v>
      </c>
      <c r="T1902" s="2">
        <v>60.75</v>
      </c>
      <c r="U1902" s="2">
        <v>13.9725</v>
      </c>
      <c r="V1902" s="2">
        <v>74.722499999999997</v>
      </c>
      <c r="W1902" s="2">
        <f>T1902*40%</f>
        <v>24.3</v>
      </c>
      <c r="X1902" s="5">
        <f t="shared" si="269"/>
        <v>0.60000000000000009</v>
      </c>
      <c r="Z1902" s="2" t="s">
        <v>117</v>
      </c>
      <c r="AA1902" s="2" t="s">
        <v>190</v>
      </c>
      <c r="AB1902" s="2" t="s">
        <v>189</v>
      </c>
      <c r="AC1902" s="2" t="s">
        <v>40</v>
      </c>
      <c r="AF1902" s="2">
        <f t="shared" si="264"/>
        <v>0</v>
      </c>
      <c r="AJ1902" s="2">
        <f t="shared" si="265"/>
        <v>0</v>
      </c>
      <c r="AK1902" s="2">
        <f t="shared" si="270"/>
        <v>36.450000000000003</v>
      </c>
      <c r="AL1902" s="5">
        <f t="shared" si="271"/>
        <v>0.60000000000000009</v>
      </c>
    </row>
    <row r="1903" spans="1:38" x14ac:dyDescent="0.2">
      <c r="A1903" s="2">
        <v>2025</v>
      </c>
      <c r="B1903" s="2">
        <v>10</v>
      </c>
      <c r="C1903" s="2" t="s">
        <v>3404</v>
      </c>
      <c r="D1903" s="2" t="s">
        <v>1887</v>
      </c>
      <c r="E1903" s="2" t="s">
        <v>38</v>
      </c>
      <c r="F1903" s="2" t="s">
        <v>39</v>
      </c>
      <c r="L1903" s="2" t="s">
        <v>461</v>
      </c>
      <c r="M1903" s="2" t="s">
        <v>40</v>
      </c>
      <c r="P1903" s="2" t="s">
        <v>187</v>
      </c>
      <c r="Q1903" s="2" t="s">
        <v>191</v>
      </c>
      <c r="R1903" s="2" t="s">
        <v>190</v>
      </c>
      <c r="S1903" s="2">
        <v>1</v>
      </c>
      <c r="T1903" s="2">
        <v>45</v>
      </c>
      <c r="U1903" s="2">
        <v>10.35</v>
      </c>
      <c r="V1903" s="2">
        <v>55.35</v>
      </c>
      <c r="W1903" s="2">
        <f>T1903*50%</f>
        <v>22.5</v>
      </c>
      <c r="X1903" s="5">
        <f t="shared" si="269"/>
        <v>0.5</v>
      </c>
      <c r="Z1903" s="2" t="s">
        <v>117</v>
      </c>
      <c r="AA1903" s="2" t="s">
        <v>190</v>
      </c>
      <c r="AB1903" s="2" t="s">
        <v>190</v>
      </c>
      <c r="AC1903" s="2" t="s">
        <v>40</v>
      </c>
      <c r="AF1903" s="2">
        <f t="shared" si="264"/>
        <v>0</v>
      </c>
      <c r="AJ1903" s="2">
        <f t="shared" si="265"/>
        <v>0</v>
      </c>
      <c r="AK1903" s="2">
        <f t="shared" si="270"/>
        <v>22.5</v>
      </c>
      <c r="AL1903" s="5">
        <f t="shared" si="271"/>
        <v>0.5</v>
      </c>
    </row>
    <row r="1904" spans="1:38" x14ac:dyDescent="0.2">
      <c r="A1904" s="2">
        <v>2025</v>
      </c>
      <c r="B1904" s="2">
        <v>10</v>
      </c>
      <c r="D1904" s="2" t="s">
        <v>390</v>
      </c>
      <c r="M1904" s="2" t="s">
        <v>80</v>
      </c>
      <c r="P1904" s="2" t="s">
        <v>72</v>
      </c>
      <c r="Q1904" s="2" t="s">
        <v>1345</v>
      </c>
      <c r="R1904" s="2" t="s">
        <v>79</v>
      </c>
      <c r="S1904" s="2">
        <v>1</v>
      </c>
      <c r="T1904" s="2">
        <v>200</v>
      </c>
      <c r="U1904" s="2">
        <v>46</v>
      </c>
      <c r="V1904" s="2">
        <v>246</v>
      </c>
      <c r="W1904" s="2">
        <v>96.15</v>
      </c>
      <c r="X1904" s="5">
        <f t="shared" si="269"/>
        <v>0.51924999999999999</v>
      </c>
      <c r="Z1904" s="2" t="s">
        <v>3227</v>
      </c>
      <c r="AA1904" s="2" t="s">
        <v>75</v>
      </c>
      <c r="AB1904" s="2" t="s">
        <v>76</v>
      </c>
      <c r="AC1904" s="2" t="s">
        <v>77</v>
      </c>
      <c r="AF1904" s="2">
        <f t="shared" si="264"/>
        <v>0</v>
      </c>
      <c r="AJ1904" s="2">
        <f t="shared" si="265"/>
        <v>0</v>
      </c>
      <c r="AK1904" s="2">
        <f t="shared" si="270"/>
        <v>103.85</v>
      </c>
      <c r="AL1904" s="5">
        <f t="shared" si="271"/>
        <v>0.51924999999999999</v>
      </c>
    </row>
    <row r="1905" spans="1:38" x14ac:dyDescent="0.2">
      <c r="A1905" s="2">
        <v>2025</v>
      </c>
      <c r="B1905" s="2">
        <v>10</v>
      </c>
      <c r="D1905" s="2" t="s">
        <v>390</v>
      </c>
      <c r="M1905" s="2" t="s">
        <v>80</v>
      </c>
      <c r="P1905" s="2" t="s">
        <v>93</v>
      </c>
      <c r="Q1905" s="2" t="s">
        <v>94</v>
      </c>
      <c r="R1905" s="2" t="s">
        <v>95</v>
      </c>
      <c r="S1905" s="2">
        <v>1</v>
      </c>
      <c r="T1905" s="2">
        <v>1.1399999999999999</v>
      </c>
      <c r="U1905" s="2">
        <v>0.26219999999999999</v>
      </c>
      <c r="V1905" s="2">
        <v>1.4021999999999999</v>
      </c>
      <c r="W1905" s="2">
        <v>1.1399999999999999</v>
      </c>
      <c r="X1905" s="5">
        <f t="shared" si="269"/>
        <v>0</v>
      </c>
      <c r="Z1905" s="2" t="s">
        <v>3227</v>
      </c>
      <c r="AA1905" s="2" t="s">
        <v>96</v>
      </c>
      <c r="AB1905" s="2" t="s">
        <v>76</v>
      </c>
      <c r="AC1905" s="2" t="s">
        <v>93</v>
      </c>
      <c r="AF1905" s="2">
        <f t="shared" si="264"/>
        <v>0</v>
      </c>
      <c r="AJ1905" s="2">
        <f t="shared" si="265"/>
        <v>0</v>
      </c>
      <c r="AK1905" s="2">
        <f t="shared" si="270"/>
        <v>0</v>
      </c>
      <c r="AL1905" s="5">
        <f t="shared" si="271"/>
        <v>0</v>
      </c>
    </row>
    <row r="1906" spans="1:38" x14ac:dyDescent="0.2">
      <c r="A1906" s="2">
        <v>2025</v>
      </c>
      <c r="B1906" s="2">
        <v>10</v>
      </c>
      <c r="D1906" s="2" t="s">
        <v>1008</v>
      </c>
      <c r="E1906" s="2" t="s">
        <v>108</v>
      </c>
      <c r="F1906" s="2" t="s">
        <v>39</v>
      </c>
      <c r="L1906" s="2" t="s">
        <v>418</v>
      </c>
      <c r="M1906" s="2" t="s">
        <v>41</v>
      </c>
      <c r="P1906" s="2" t="s">
        <v>43</v>
      </c>
      <c r="Q1906" s="2" t="s">
        <v>54</v>
      </c>
      <c r="R1906" s="2" t="s">
        <v>55</v>
      </c>
      <c r="S1906" s="2">
        <v>2</v>
      </c>
      <c r="T1906" s="2">
        <v>36</v>
      </c>
      <c r="U1906" s="2">
        <v>8.2800000000000011</v>
      </c>
      <c r="V1906" s="2">
        <v>44.28</v>
      </c>
      <c r="W1906" s="2">
        <f>10.6*S1906</f>
        <v>21.2</v>
      </c>
      <c r="X1906" s="5">
        <f t="shared" si="269"/>
        <v>0.41111111111111115</v>
      </c>
      <c r="Z1906" s="2" t="s">
        <v>3227</v>
      </c>
      <c r="AA1906" s="2" t="s">
        <v>46</v>
      </c>
      <c r="AB1906" s="2" t="s">
        <v>56</v>
      </c>
      <c r="AC1906" s="2" t="s">
        <v>57</v>
      </c>
      <c r="AF1906" s="2">
        <f t="shared" si="264"/>
        <v>0</v>
      </c>
      <c r="AG1906" s="2">
        <v>10.6</v>
      </c>
      <c r="AH1906" s="2">
        <v>18</v>
      </c>
      <c r="AJ1906" s="2">
        <f t="shared" si="265"/>
        <v>0</v>
      </c>
      <c r="AK1906" s="2">
        <f t="shared" si="270"/>
        <v>14.8</v>
      </c>
      <c r="AL1906" s="5">
        <f t="shared" si="271"/>
        <v>0.41111111111111115</v>
      </c>
    </row>
    <row r="1907" spans="1:38" x14ac:dyDescent="0.2">
      <c r="A1907" s="2">
        <v>2025</v>
      </c>
      <c r="B1907" s="2">
        <v>10</v>
      </c>
      <c r="D1907" s="2" t="s">
        <v>1008</v>
      </c>
      <c r="E1907" s="2" t="s">
        <v>108</v>
      </c>
      <c r="F1907" s="2" t="s">
        <v>39</v>
      </c>
      <c r="L1907" s="2" t="s">
        <v>418</v>
      </c>
      <c r="M1907" s="2" t="s">
        <v>41</v>
      </c>
      <c r="P1907" s="2" t="s">
        <v>43</v>
      </c>
      <c r="Q1907" s="2" t="s">
        <v>61</v>
      </c>
      <c r="R1907" s="2" t="s">
        <v>62</v>
      </c>
      <c r="S1907" s="2">
        <v>200</v>
      </c>
      <c r="T1907" s="2">
        <v>26</v>
      </c>
      <c r="U1907" s="2">
        <v>5.98</v>
      </c>
      <c r="V1907" s="2">
        <v>31.98</v>
      </c>
      <c r="W1907" s="2">
        <f>0.082*S1907</f>
        <v>16.400000000000002</v>
      </c>
      <c r="X1907" s="5">
        <f t="shared" si="269"/>
        <v>0.36923076923076914</v>
      </c>
      <c r="Z1907" s="2" t="s">
        <v>3227</v>
      </c>
      <c r="AA1907" s="2" t="s">
        <v>46</v>
      </c>
      <c r="AB1907" s="2" t="s">
        <v>60</v>
      </c>
      <c r="AC1907" s="2" t="s">
        <v>57</v>
      </c>
      <c r="AF1907" s="2">
        <f t="shared" si="264"/>
        <v>0</v>
      </c>
      <c r="AG1907" s="2">
        <v>8.1999999999999993</v>
      </c>
      <c r="AH1907" s="2">
        <v>13</v>
      </c>
      <c r="AJ1907" s="2">
        <f t="shared" si="265"/>
        <v>0</v>
      </c>
      <c r="AK1907" s="2">
        <f t="shared" si="270"/>
        <v>9.5999999999999979</v>
      </c>
      <c r="AL1907" s="5">
        <f t="shared" si="271"/>
        <v>0.36923076923076914</v>
      </c>
    </row>
    <row r="1908" spans="1:38" x14ac:dyDescent="0.2">
      <c r="A1908" s="2">
        <v>2025</v>
      </c>
      <c r="B1908" s="2">
        <v>10</v>
      </c>
      <c r="C1908" s="2" t="s">
        <v>3413</v>
      </c>
      <c r="D1908" s="2" t="s">
        <v>1008</v>
      </c>
      <c r="E1908" s="2" t="s">
        <v>108</v>
      </c>
      <c r="F1908" s="2" t="s">
        <v>39</v>
      </c>
      <c r="L1908" s="2" t="s">
        <v>418</v>
      </c>
      <c r="M1908" s="2" t="s">
        <v>41</v>
      </c>
      <c r="P1908" s="2" t="s">
        <v>68</v>
      </c>
      <c r="Q1908" s="2" t="s">
        <v>266</v>
      </c>
      <c r="R1908" s="2" t="s">
        <v>267</v>
      </c>
      <c r="S1908" s="2">
        <v>2</v>
      </c>
      <c r="T1908" s="2">
        <v>36</v>
      </c>
      <c r="U1908" s="2">
        <v>8.2800000000000011</v>
      </c>
      <c r="V1908" s="2">
        <v>44.28</v>
      </c>
      <c r="W1908" s="2">
        <f>11.94*S1908</f>
        <v>23.88</v>
      </c>
      <c r="X1908" s="5">
        <f t="shared" si="269"/>
        <v>0.33666666666666667</v>
      </c>
      <c r="Z1908" s="2" t="s">
        <v>3227</v>
      </c>
      <c r="AA1908" s="2" t="s">
        <v>71</v>
      </c>
      <c r="AB1908" s="2" t="s">
        <v>68</v>
      </c>
      <c r="AC1908" s="2" t="s">
        <v>3231</v>
      </c>
      <c r="AF1908" s="2">
        <f t="shared" si="264"/>
        <v>0</v>
      </c>
      <c r="AJ1908" s="2">
        <f t="shared" si="265"/>
        <v>0</v>
      </c>
      <c r="AK1908" s="2">
        <f t="shared" si="270"/>
        <v>12.120000000000001</v>
      </c>
      <c r="AL1908" s="5">
        <f t="shared" si="271"/>
        <v>0.33666666666666667</v>
      </c>
    </row>
    <row r="1909" spans="1:38" x14ac:dyDescent="0.2">
      <c r="A1909" s="2">
        <v>2025</v>
      </c>
      <c r="B1909" s="2">
        <v>10</v>
      </c>
      <c r="D1909" s="2" t="s">
        <v>781</v>
      </c>
      <c r="E1909" s="2" t="s">
        <v>38</v>
      </c>
      <c r="F1909" s="2" t="s">
        <v>39</v>
      </c>
      <c r="G1909" s="2">
        <v>510219675</v>
      </c>
      <c r="H1909" s="2" t="s">
        <v>40</v>
      </c>
      <c r="I1909" s="2" t="s">
        <v>782</v>
      </c>
      <c r="J1909" s="2" t="s">
        <v>783</v>
      </c>
      <c r="K1909" s="2">
        <v>917341136</v>
      </c>
      <c r="L1909" s="2" t="s">
        <v>99</v>
      </c>
      <c r="M1909" s="2" t="s">
        <v>40</v>
      </c>
      <c r="P1909" s="2" t="s">
        <v>282</v>
      </c>
      <c r="Q1909" s="2" t="s">
        <v>1154</v>
      </c>
      <c r="R1909" s="2" t="s">
        <v>1155</v>
      </c>
      <c r="S1909" s="2">
        <v>1</v>
      </c>
      <c r="T1909" s="2">
        <v>2190</v>
      </c>
      <c r="U1909" s="2">
        <v>503.7</v>
      </c>
      <c r="V1909" s="2">
        <v>2693.7</v>
      </c>
      <c r="W1909" s="2">
        <v>2190</v>
      </c>
      <c r="X1909" s="5">
        <f t="shared" si="269"/>
        <v>0</v>
      </c>
      <c r="Z1909" s="2" t="s">
        <v>104</v>
      </c>
      <c r="AA1909" s="2" t="s">
        <v>1574</v>
      </c>
      <c r="AB1909" s="2" t="s">
        <v>388</v>
      </c>
      <c r="AC1909" s="2" t="s">
        <v>1327</v>
      </c>
      <c r="AF1909" s="2">
        <f t="shared" si="264"/>
        <v>0</v>
      </c>
      <c r="AJ1909" s="2">
        <f t="shared" si="265"/>
        <v>0</v>
      </c>
      <c r="AK1909" s="2">
        <f t="shared" si="270"/>
        <v>0</v>
      </c>
      <c r="AL1909" s="5">
        <f t="shared" si="271"/>
        <v>0</v>
      </c>
    </row>
    <row r="1910" spans="1:38" x14ac:dyDescent="0.2">
      <c r="A1910" s="2">
        <v>2025</v>
      </c>
      <c r="B1910" s="2">
        <v>10</v>
      </c>
      <c r="D1910" s="2" t="s">
        <v>781</v>
      </c>
      <c r="E1910" s="2" t="s">
        <v>38</v>
      </c>
      <c r="F1910" s="2" t="s">
        <v>39</v>
      </c>
      <c r="G1910" s="2">
        <v>510219675</v>
      </c>
      <c r="H1910" s="2" t="s">
        <v>40</v>
      </c>
      <c r="I1910" s="2" t="s">
        <v>782</v>
      </c>
      <c r="J1910" s="2" t="s">
        <v>783</v>
      </c>
      <c r="K1910" s="2">
        <v>917341136</v>
      </c>
      <c r="L1910" s="2" t="s">
        <v>99</v>
      </c>
      <c r="P1910" s="2" t="s">
        <v>282</v>
      </c>
      <c r="Q1910" s="2" t="s">
        <v>1158</v>
      </c>
      <c r="R1910" s="2" t="s">
        <v>1159</v>
      </c>
      <c r="S1910" s="2">
        <v>1</v>
      </c>
      <c r="T1910" s="2">
        <v>330</v>
      </c>
      <c r="U1910" s="2">
        <v>75.900000000000006</v>
      </c>
      <c r="V1910" s="2">
        <v>405.9</v>
      </c>
      <c r="X1910" s="5">
        <f t="shared" si="269"/>
        <v>1</v>
      </c>
      <c r="AF1910" s="2">
        <f t="shared" si="264"/>
        <v>0</v>
      </c>
      <c r="AJ1910" s="2">
        <f t="shared" si="265"/>
        <v>0</v>
      </c>
      <c r="AK1910" s="2">
        <f t="shared" si="270"/>
        <v>330</v>
      </c>
      <c r="AL1910" s="5">
        <f t="shared" si="271"/>
        <v>1</v>
      </c>
    </row>
    <row r="1911" spans="1:38" x14ac:dyDescent="0.2">
      <c r="A1911" s="2">
        <v>2025</v>
      </c>
      <c r="B1911" s="2">
        <v>10</v>
      </c>
      <c r="D1911" s="2" t="s">
        <v>403</v>
      </c>
      <c r="E1911" s="2" t="s">
        <v>38</v>
      </c>
      <c r="F1911" s="2" t="s">
        <v>39</v>
      </c>
      <c r="G1911" s="2">
        <v>109095197</v>
      </c>
      <c r="H1911" s="2" t="s">
        <v>40</v>
      </c>
      <c r="I1911" s="2" t="s">
        <v>2476</v>
      </c>
      <c r="J1911" s="2" t="s">
        <v>3123</v>
      </c>
      <c r="K1911" s="2">
        <v>965864665</v>
      </c>
      <c r="L1911" s="2" t="s">
        <v>344</v>
      </c>
      <c r="M1911" s="2" t="s">
        <v>80</v>
      </c>
      <c r="O1911" s="2" t="s">
        <v>3126</v>
      </c>
      <c r="P1911" s="2" t="s">
        <v>72</v>
      </c>
      <c r="Q1911" s="2" t="s">
        <v>73</v>
      </c>
      <c r="R1911" s="2" t="s">
        <v>74</v>
      </c>
      <c r="S1911" s="2">
        <v>1</v>
      </c>
      <c r="T1911" s="2">
        <v>220</v>
      </c>
      <c r="U1911" s="2">
        <v>50.6</v>
      </c>
      <c r="V1911" s="2">
        <v>270.60000000000002</v>
      </c>
      <c r="W1911" s="2">
        <v>117.453</v>
      </c>
      <c r="X1911" s="5">
        <f t="shared" si="269"/>
        <v>0.46612272727272724</v>
      </c>
      <c r="Z1911" s="2" t="s">
        <v>3227</v>
      </c>
      <c r="AA1911" s="2" t="s">
        <v>75</v>
      </c>
      <c r="AB1911" s="2" t="s">
        <v>76</v>
      </c>
      <c r="AC1911" s="2" t="s">
        <v>77</v>
      </c>
      <c r="AF1911" s="2">
        <f t="shared" si="264"/>
        <v>0</v>
      </c>
      <c r="AG1911" s="2">
        <v>117.453</v>
      </c>
      <c r="AH1911" s="2">
        <v>220</v>
      </c>
      <c r="AJ1911" s="2">
        <f t="shared" si="265"/>
        <v>0</v>
      </c>
      <c r="AK1911" s="2">
        <f t="shared" si="270"/>
        <v>102.547</v>
      </c>
      <c r="AL1911" s="5">
        <f t="shared" si="271"/>
        <v>0.46612272727272724</v>
      </c>
    </row>
    <row r="1912" spans="1:38" x14ac:dyDescent="0.2">
      <c r="A1912" s="2">
        <v>2025</v>
      </c>
      <c r="B1912" s="2">
        <v>10</v>
      </c>
      <c r="D1912" s="2" t="s">
        <v>403</v>
      </c>
      <c r="E1912" s="2" t="s">
        <v>38</v>
      </c>
      <c r="F1912" s="2" t="s">
        <v>39</v>
      </c>
      <c r="G1912" s="2">
        <v>109095197</v>
      </c>
      <c r="H1912" s="2" t="s">
        <v>40</v>
      </c>
      <c r="I1912" s="2" t="s">
        <v>2476</v>
      </c>
      <c r="J1912" s="2" t="s">
        <v>3123</v>
      </c>
      <c r="K1912" s="2">
        <v>965864665</v>
      </c>
      <c r="L1912" s="2" t="s">
        <v>344</v>
      </c>
      <c r="M1912" s="2" t="s">
        <v>80</v>
      </c>
      <c r="O1912" s="2" t="s">
        <v>3126</v>
      </c>
      <c r="P1912" s="2" t="s">
        <v>93</v>
      </c>
      <c r="Q1912" s="2" t="s">
        <v>94</v>
      </c>
      <c r="R1912" s="2" t="s">
        <v>95</v>
      </c>
      <c r="S1912" s="2">
        <v>1</v>
      </c>
      <c r="T1912" s="2">
        <v>1.1399999999999999</v>
      </c>
      <c r="U1912" s="2">
        <v>0.26219999999999999</v>
      </c>
      <c r="V1912" s="2">
        <v>1.4021999999999999</v>
      </c>
      <c r="W1912" s="2">
        <v>1.1399999999999999</v>
      </c>
      <c r="X1912" s="5">
        <f t="shared" si="269"/>
        <v>0</v>
      </c>
      <c r="Z1912" s="2" t="s">
        <v>3227</v>
      </c>
      <c r="AA1912" s="2" t="s">
        <v>96</v>
      </c>
      <c r="AB1912" s="2" t="s">
        <v>76</v>
      </c>
      <c r="AC1912" s="2" t="s">
        <v>93</v>
      </c>
      <c r="AF1912" s="2">
        <f t="shared" si="264"/>
        <v>0</v>
      </c>
      <c r="AJ1912" s="2">
        <f t="shared" si="265"/>
        <v>0</v>
      </c>
      <c r="AK1912" s="2">
        <f t="shared" si="270"/>
        <v>0</v>
      </c>
      <c r="AL1912" s="5">
        <f t="shared" si="271"/>
        <v>0</v>
      </c>
    </row>
    <row r="1913" spans="1:38" x14ac:dyDescent="0.2">
      <c r="A1913" s="2">
        <v>2025</v>
      </c>
      <c r="B1913" s="2">
        <v>10</v>
      </c>
      <c r="D1913" s="2" t="s">
        <v>415</v>
      </c>
      <c r="E1913" s="2" t="s">
        <v>38</v>
      </c>
      <c r="F1913" s="2" t="s">
        <v>39</v>
      </c>
      <c r="G1913" s="2">
        <v>219908800</v>
      </c>
      <c r="H1913" s="2" t="s">
        <v>41</v>
      </c>
      <c r="I1913" s="2" t="s">
        <v>416</v>
      </c>
      <c r="J1913" s="2" t="s">
        <v>417</v>
      </c>
      <c r="L1913" s="2" t="s">
        <v>418</v>
      </c>
      <c r="M1913" s="2" t="s">
        <v>41</v>
      </c>
      <c r="P1913" s="2" t="s">
        <v>43</v>
      </c>
      <c r="Q1913" s="2" t="s">
        <v>61</v>
      </c>
      <c r="R1913" s="2" t="s">
        <v>62</v>
      </c>
      <c r="S1913" s="2">
        <v>200</v>
      </c>
      <c r="T1913" s="2">
        <v>26</v>
      </c>
      <c r="U1913" s="2">
        <v>5.98</v>
      </c>
      <c r="V1913" s="2">
        <v>31.98</v>
      </c>
      <c r="W1913" s="2">
        <f>0.082*S1913</f>
        <v>16.400000000000002</v>
      </c>
      <c r="X1913" s="5">
        <f t="shared" si="269"/>
        <v>0.36923076923076914</v>
      </c>
      <c r="Z1913" s="2" t="s">
        <v>3227</v>
      </c>
      <c r="AA1913" s="2" t="s">
        <v>46</v>
      </c>
      <c r="AB1913" s="2" t="s">
        <v>60</v>
      </c>
      <c r="AC1913" s="2" t="s">
        <v>57</v>
      </c>
      <c r="AF1913" s="2">
        <f t="shared" si="264"/>
        <v>0</v>
      </c>
      <c r="AG1913" s="2">
        <v>8.1999999999999993</v>
      </c>
      <c r="AH1913" s="2">
        <v>13</v>
      </c>
      <c r="AJ1913" s="2">
        <f t="shared" si="265"/>
        <v>0</v>
      </c>
      <c r="AK1913" s="2">
        <f t="shared" si="270"/>
        <v>9.5999999999999979</v>
      </c>
      <c r="AL1913" s="5">
        <f t="shared" si="271"/>
        <v>0.36923076923076914</v>
      </c>
    </row>
    <row r="1914" spans="1:38" x14ac:dyDescent="0.2">
      <c r="A1914" s="2">
        <v>2025</v>
      </c>
      <c r="B1914" s="2">
        <v>10</v>
      </c>
      <c r="D1914" s="2" t="s">
        <v>415</v>
      </c>
      <c r="E1914" s="2" t="s">
        <v>38</v>
      </c>
      <c r="F1914" s="2" t="s">
        <v>39</v>
      </c>
      <c r="G1914" s="2">
        <v>219908800</v>
      </c>
      <c r="H1914" s="2" t="s">
        <v>41</v>
      </c>
      <c r="I1914" s="2" t="s">
        <v>416</v>
      </c>
      <c r="J1914" s="2" t="s">
        <v>417</v>
      </c>
      <c r="L1914" s="2" t="s">
        <v>418</v>
      </c>
      <c r="M1914" s="2" t="s">
        <v>41</v>
      </c>
      <c r="P1914" s="2" t="s">
        <v>43</v>
      </c>
      <c r="Q1914" s="2" t="s">
        <v>164</v>
      </c>
      <c r="R1914" s="2" t="s">
        <v>165</v>
      </c>
      <c r="S1914" s="2">
        <v>1</v>
      </c>
      <c r="T1914" s="2">
        <v>14.5</v>
      </c>
      <c r="U1914" s="2">
        <v>3.335</v>
      </c>
      <c r="V1914" s="2">
        <v>17.835000000000001</v>
      </c>
      <c r="W1914" s="2">
        <f>7.9612*S1914</f>
        <v>7.9611999999999998</v>
      </c>
      <c r="X1914" s="5">
        <f t="shared" si="269"/>
        <v>0.45095172413793105</v>
      </c>
      <c r="Z1914" s="2" t="s">
        <v>3227</v>
      </c>
      <c r="AA1914" s="2" t="s">
        <v>46</v>
      </c>
      <c r="AB1914" s="2" t="s">
        <v>67</v>
      </c>
      <c r="AC1914" s="2" t="s">
        <v>57</v>
      </c>
      <c r="AF1914" s="2">
        <f t="shared" si="264"/>
        <v>0</v>
      </c>
      <c r="AG1914" s="2">
        <v>7.9611999999999998</v>
      </c>
      <c r="AH1914" s="2">
        <v>14.4</v>
      </c>
      <c r="AJ1914" s="2">
        <f t="shared" si="265"/>
        <v>0</v>
      </c>
      <c r="AK1914" s="2">
        <f t="shared" si="270"/>
        <v>6.5388000000000002</v>
      </c>
      <c r="AL1914" s="5">
        <f t="shared" si="271"/>
        <v>0.45095172413793105</v>
      </c>
    </row>
    <row r="1915" spans="1:38" x14ac:dyDescent="0.2">
      <c r="A1915" s="2">
        <v>2025</v>
      </c>
      <c r="B1915" s="2">
        <v>10</v>
      </c>
      <c r="D1915" s="2" t="s">
        <v>422</v>
      </c>
      <c r="E1915" s="2" t="s">
        <v>98</v>
      </c>
      <c r="F1915" s="2" t="s">
        <v>39</v>
      </c>
      <c r="G1915" s="2">
        <v>503523470</v>
      </c>
      <c r="H1915" s="2" t="s">
        <v>40</v>
      </c>
      <c r="I1915" s="2" t="s">
        <v>423</v>
      </c>
      <c r="J1915" s="2" t="s">
        <v>424</v>
      </c>
      <c r="L1915" s="2" t="s">
        <v>201</v>
      </c>
      <c r="M1915" s="2" t="s">
        <v>80</v>
      </c>
      <c r="P1915" s="2" t="s">
        <v>43</v>
      </c>
      <c r="Q1915" s="2" t="s">
        <v>54</v>
      </c>
      <c r="R1915" s="2" t="s">
        <v>55</v>
      </c>
      <c r="S1915" s="2">
        <v>3</v>
      </c>
      <c r="T1915" s="2">
        <v>54</v>
      </c>
      <c r="U1915" s="2">
        <v>12.42</v>
      </c>
      <c r="V1915" s="2">
        <v>66.42</v>
      </c>
      <c r="W1915" s="2">
        <f>10.6*S1915</f>
        <v>31.799999999999997</v>
      </c>
      <c r="X1915" s="5">
        <f t="shared" si="269"/>
        <v>0.41111111111111115</v>
      </c>
      <c r="Z1915" s="2" t="s">
        <v>3227</v>
      </c>
      <c r="AA1915" s="2" t="s">
        <v>46</v>
      </c>
      <c r="AB1915" s="2" t="s">
        <v>56</v>
      </c>
      <c r="AC1915" s="2" t="s">
        <v>57</v>
      </c>
      <c r="AF1915" s="2">
        <f t="shared" si="264"/>
        <v>0</v>
      </c>
      <c r="AG1915" s="2">
        <v>10.6</v>
      </c>
      <c r="AH1915" s="2">
        <v>18</v>
      </c>
      <c r="AJ1915" s="2">
        <f t="shared" si="265"/>
        <v>0</v>
      </c>
      <c r="AK1915" s="2">
        <f t="shared" si="270"/>
        <v>22.200000000000003</v>
      </c>
      <c r="AL1915" s="5">
        <f t="shared" si="271"/>
        <v>0.41111111111111115</v>
      </c>
    </row>
    <row r="1916" spans="1:38" x14ac:dyDescent="0.2">
      <c r="A1916" s="2">
        <v>2025</v>
      </c>
      <c r="B1916" s="2">
        <v>10</v>
      </c>
      <c r="D1916" s="2" t="s">
        <v>422</v>
      </c>
      <c r="E1916" s="2" t="s">
        <v>98</v>
      </c>
      <c r="F1916" s="2" t="s">
        <v>39</v>
      </c>
      <c r="G1916" s="2">
        <v>503523470</v>
      </c>
      <c r="H1916" s="2" t="s">
        <v>40</v>
      </c>
      <c r="I1916" s="2" t="s">
        <v>423</v>
      </c>
      <c r="J1916" s="2" t="s">
        <v>424</v>
      </c>
      <c r="L1916" s="2" t="s">
        <v>201</v>
      </c>
      <c r="M1916" s="2" t="s">
        <v>80</v>
      </c>
      <c r="P1916" s="2" t="s">
        <v>43</v>
      </c>
      <c r="Q1916" s="2" t="s">
        <v>61</v>
      </c>
      <c r="R1916" s="2" t="s">
        <v>62</v>
      </c>
      <c r="S1916" s="2">
        <v>100</v>
      </c>
      <c r="T1916" s="2">
        <v>13</v>
      </c>
      <c r="U1916" s="2">
        <v>2.99</v>
      </c>
      <c r="V1916" s="2">
        <v>15.99</v>
      </c>
      <c r="W1916" s="2">
        <f>0.082*S1916</f>
        <v>8.2000000000000011</v>
      </c>
      <c r="X1916" s="5">
        <f t="shared" si="269"/>
        <v>0.36923076923076914</v>
      </c>
      <c r="Z1916" s="2" t="s">
        <v>3227</v>
      </c>
      <c r="AA1916" s="2" t="s">
        <v>46</v>
      </c>
      <c r="AB1916" s="2" t="s">
        <v>60</v>
      </c>
      <c r="AC1916" s="2" t="s">
        <v>57</v>
      </c>
      <c r="AF1916" s="2">
        <f t="shared" si="264"/>
        <v>0</v>
      </c>
      <c r="AG1916" s="2">
        <v>8.1999999999999993</v>
      </c>
      <c r="AH1916" s="2">
        <v>13</v>
      </c>
      <c r="AJ1916" s="2">
        <f t="shared" si="265"/>
        <v>0</v>
      </c>
      <c r="AK1916" s="2">
        <f t="shared" si="270"/>
        <v>4.7999999999999989</v>
      </c>
      <c r="AL1916" s="5">
        <f t="shared" si="271"/>
        <v>0.36923076923076914</v>
      </c>
    </row>
    <row r="1917" spans="1:38" x14ac:dyDescent="0.2">
      <c r="A1917" s="2">
        <v>2025</v>
      </c>
      <c r="B1917" s="2">
        <v>10</v>
      </c>
      <c r="D1917" s="2" t="s">
        <v>422</v>
      </c>
      <c r="E1917" s="2" t="s">
        <v>98</v>
      </c>
      <c r="F1917" s="2" t="s">
        <v>39</v>
      </c>
      <c r="G1917" s="2">
        <v>503523470</v>
      </c>
      <c r="H1917" s="2" t="s">
        <v>40</v>
      </c>
      <c r="I1917" s="2" t="s">
        <v>423</v>
      </c>
      <c r="J1917" s="2" t="s">
        <v>424</v>
      </c>
      <c r="L1917" s="2" t="s">
        <v>201</v>
      </c>
      <c r="M1917" s="2" t="s">
        <v>80</v>
      </c>
      <c r="P1917" s="2" t="s">
        <v>43</v>
      </c>
      <c r="Q1917" s="2" t="s">
        <v>254</v>
      </c>
      <c r="R1917" s="2" t="s">
        <v>255</v>
      </c>
      <c r="S1917" s="2">
        <v>100</v>
      </c>
      <c r="T1917" s="2">
        <v>16</v>
      </c>
      <c r="U1917" s="2">
        <v>3.68</v>
      </c>
      <c r="V1917" s="2">
        <v>19.68</v>
      </c>
      <c r="W1917" s="2">
        <f>0.0914*S1917</f>
        <v>9.1399999999999988</v>
      </c>
      <c r="X1917" s="5">
        <f t="shared" si="269"/>
        <v>0.42875000000000008</v>
      </c>
      <c r="Z1917" s="2" t="s">
        <v>3227</v>
      </c>
      <c r="AA1917" s="2" t="s">
        <v>46</v>
      </c>
      <c r="AB1917" s="2" t="s">
        <v>60</v>
      </c>
      <c r="AC1917" s="2" t="s">
        <v>57</v>
      </c>
      <c r="AF1917" s="2">
        <f t="shared" si="264"/>
        <v>0</v>
      </c>
      <c r="AJ1917" s="2">
        <f t="shared" si="265"/>
        <v>0</v>
      </c>
      <c r="AK1917" s="2">
        <f t="shared" si="270"/>
        <v>6.8600000000000012</v>
      </c>
      <c r="AL1917" s="5">
        <f t="shared" si="271"/>
        <v>0.42875000000000008</v>
      </c>
    </row>
    <row r="1918" spans="1:38" x14ac:dyDescent="0.2">
      <c r="A1918" s="2">
        <v>2025</v>
      </c>
      <c r="B1918" s="2">
        <v>10</v>
      </c>
      <c r="D1918" s="2" t="s">
        <v>425</v>
      </c>
      <c r="E1918" s="2" t="s">
        <v>98</v>
      </c>
      <c r="F1918" s="2" t="s">
        <v>39</v>
      </c>
      <c r="G1918" s="2">
        <v>510613888</v>
      </c>
      <c r="H1918" s="2" t="s">
        <v>40</v>
      </c>
      <c r="I1918" s="2" t="s">
        <v>426</v>
      </c>
      <c r="J1918" s="2" t="s">
        <v>427</v>
      </c>
      <c r="L1918" s="2" t="s">
        <v>99</v>
      </c>
      <c r="M1918" s="2" t="s">
        <v>80</v>
      </c>
      <c r="P1918" s="2" t="s">
        <v>43</v>
      </c>
      <c r="Q1918" s="2" t="s">
        <v>54</v>
      </c>
      <c r="R1918" s="2" t="s">
        <v>55</v>
      </c>
      <c r="S1918" s="2">
        <v>1</v>
      </c>
      <c r="T1918" s="2">
        <v>18</v>
      </c>
      <c r="U1918" s="2">
        <v>4.1400000000000006</v>
      </c>
      <c r="V1918" s="2">
        <v>22.14</v>
      </c>
      <c r="W1918" s="2">
        <f>10.6*S1918</f>
        <v>10.6</v>
      </c>
      <c r="X1918" s="5">
        <f t="shared" si="269"/>
        <v>0.41111111111111115</v>
      </c>
      <c r="Z1918" s="2" t="s">
        <v>3227</v>
      </c>
      <c r="AA1918" s="2" t="s">
        <v>46</v>
      </c>
      <c r="AB1918" s="2" t="s">
        <v>56</v>
      </c>
      <c r="AC1918" s="2" t="s">
        <v>57</v>
      </c>
      <c r="AF1918" s="2">
        <f t="shared" si="264"/>
        <v>0</v>
      </c>
      <c r="AG1918" s="2">
        <v>10.6</v>
      </c>
      <c r="AH1918" s="2">
        <v>18</v>
      </c>
      <c r="AJ1918" s="2">
        <f t="shared" si="265"/>
        <v>0</v>
      </c>
      <c r="AK1918" s="2">
        <f t="shared" si="270"/>
        <v>7.4</v>
      </c>
      <c r="AL1918" s="5">
        <f t="shared" si="271"/>
        <v>0.41111111111111115</v>
      </c>
    </row>
    <row r="1919" spans="1:38" x14ac:dyDescent="0.2">
      <c r="A1919" s="2">
        <v>2025</v>
      </c>
      <c r="B1919" s="2">
        <v>10</v>
      </c>
      <c r="D1919" s="2" t="s">
        <v>1373</v>
      </c>
      <c r="P1919" s="2" t="s">
        <v>114</v>
      </c>
      <c r="Q1919" s="2" t="s">
        <v>672</v>
      </c>
      <c r="R1919" s="2" t="s">
        <v>673</v>
      </c>
      <c r="S1919" s="2">
        <v>1</v>
      </c>
      <c r="T1919" s="2">
        <v>12.81</v>
      </c>
      <c r="U1919" s="2">
        <v>2.9462999999999999</v>
      </c>
      <c r="V1919" s="2">
        <v>15.7563</v>
      </c>
      <c r="X1919" s="5">
        <f t="shared" si="269"/>
        <v>1</v>
      </c>
      <c r="AF1919" s="2">
        <f t="shared" si="264"/>
        <v>0</v>
      </c>
      <c r="AJ1919" s="2">
        <f t="shared" si="265"/>
        <v>0</v>
      </c>
      <c r="AK1919" s="2">
        <f t="shared" si="270"/>
        <v>12.81</v>
      </c>
      <c r="AL1919" s="5">
        <f t="shared" si="271"/>
        <v>1</v>
      </c>
    </row>
    <row r="1920" spans="1:38" x14ac:dyDescent="0.2">
      <c r="A1920" s="2">
        <v>2025</v>
      </c>
      <c r="B1920" s="2">
        <v>10</v>
      </c>
      <c r="D1920" s="2" t="s">
        <v>1373</v>
      </c>
      <c r="P1920" s="2" t="s">
        <v>114</v>
      </c>
      <c r="Q1920" s="2" t="s">
        <v>978</v>
      </c>
      <c r="R1920" s="2" t="s">
        <v>979</v>
      </c>
      <c r="S1920" s="2">
        <v>1</v>
      </c>
      <c r="T1920" s="2">
        <v>68.42</v>
      </c>
      <c r="U1920" s="2">
        <v>15.736599999999999</v>
      </c>
      <c r="V1920" s="2">
        <v>84.156599999999997</v>
      </c>
      <c r="X1920" s="5">
        <f t="shared" si="269"/>
        <v>1</v>
      </c>
      <c r="AF1920" s="2">
        <f t="shared" si="264"/>
        <v>0</v>
      </c>
      <c r="AJ1920" s="2">
        <f t="shared" si="265"/>
        <v>0</v>
      </c>
      <c r="AK1920" s="2">
        <f t="shared" si="270"/>
        <v>68.42</v>
      </c>
      <c r="AL1920" s="5">
        <f t="shared" si="271"/>
        <v>1</v>
      </c>
    </row>
    <row r="1921" spans="1:38" x14ac:dyDescent="0.2">
      <c r="A1921" s="2">
        <v>2025</v>
      </c>
      <c r="B1921" s="2">
        <v>10</v>
      </c>
      <c r="D1921" s="2" t="s">
        <v>1890</v>
      </c>
      <c r="P1921" s="2" t="s">
        <v>72</v>
      </c>
      <c r="Q1921" s="2" t="s">
        <v>1891</v>
      </c>
      <c r="R1921" s="2" t="s">
        <v>995</v>
      </c>
      <c r="S1921" s="2">
        <v>1</v>
      </c>
      <c r="T1921" s="2">
        <v>365</v>
      </c>
      <c r="U1921" s="2">
        <v>83.95</v>
      </c>
      <c r="V1921" s="2">
        <v>448.95</v>
      </c>
      <c r="W1921" s="2">
        <v>203.29</v>
      </c>
      <c r="X1921" s="5">
        <f t="shared" si="269"/>
        <v>0.44304109589041096</v>
      </c>
      <c r="Z1921" s="2" t="s">
        <v>3227</v>
      </c>
      <c r="AA1921" s="2" t="s">
        <v>75</v>
      </c>
      <c r="AB1921" s="2" t="s">
        <v>76</v>
      </c>
      <c r="AC1921" s="2" t="s">
        <v>77</v>
      </c>
      <c r="AF1921" s="2">
        <f t="shared" si="264"/>
        <v>0</v>
      </c>
      <c r="AJ1921" s="2">
        <f t="shared" si="265"/>
        <v>0</v>
      </c>
      <c r="AK1921" s="2">
        <f t="shared" si="270"/>
        <v>161.71</v>
      </c>
      <c r="AL1921" s="5">
        <f t="shared" si="271"/>
        <v>0.44304109589041096</v>
      </c>
    </row>
    <row r="1922" spans="1:38" x14ac:dyDescent="0.2">
      <c r="A1922" s="2">
        <v>2025</v>
      </c>
      <c r="B1922" s="2">
        <v>10</v>
      </c>
      <c r="D1922" s="2" t="s">
        <v>1890</v>
      </c>
      <c r="P1922" s="2" t="s">
        <v>93</v>
      </c>
      <c r="Q1922" s="2" t="s">
        <v>94</v>
      </c>
      <c r="R1922" s="2" t="s">
        <v>95</v>
      </c>
      <c r="S1922" s="2">
        <v>1</v>
      </c>
      <c r="T1922" s="2">
        <v>1.1399999999999999</v>
      </c>
      <c r="U1922" s="2">
        <v>0.26219999999999999</v>
      </c>
      <c r="V1922" s="2">
        <v>1.4021999999999999</v>
      </c>
      <c r="W1922" s="2">
        <v>1.1399999999999999</v>
      </c>
      <c r="X1922" s="5">
        <f t="shared" si="269"/>
        <v>0</v>
      </c>
      <c r="Z1922" s="2" t="s">
        <v>3227</v>
      </c>
      <c r="AA1922" s="2" t="s">
        <v>96</v>
      </c>
      <c r="AB1922" s="2" t="s">
        <v>76</v>
      </c>
      <c r="AC1922" s="2" t="s">
        <v>93</v>
      </c>
      <c r="AF1922" s="2">
        <f t="shared" ref="AF1922:AF1985" si="272">AJ1922</f>
        <v>0</v>
      </c>
      <c r="AJ1922" s="2">
        <f t="shared" ref="AJ1922:AJ1985" si="273">AI1922*T1922</f>
        <v>0</v>
      </c>
      <c r="AK1922" s="2">
        <f t="shared" si="270"/>
        <v>0</v>
      </c>
      <c r="AL1922" s="5">
        <f t="shared" si="271"/>
        <v>0</v>
      </c>
    </row>
    <row r="1923" spans="1:38" x14ac:dyDescent="0.2">
      <c r="A1923" s="2">
        <v>2025</v>
      </c>
      <c r="B1923" s="2">
        <v>10</v>
      </c>
      <c r="D1923" s="2" t="s">
        <v>428</v>
      </c>
      <c r="E1923" s="2" t="s">
        <v>38</v>
      </c>
      <c r="G1923" s="2">
        <v>500820384</v>
      </c>
      <c r="H1923" s="2" t="s">
        <v>40</v>
      </c>
      <c r="I1923" s="2" t="s">
        <v>429</v>
      </c>
      <c r="J1923" s="2" t="s">
        <v>430</v>
      </c>
      <c r="L1923" s="2" t="s">
        <v>99</v>
      </c>
      <c r="M1923" s="2" t="s">
        <v>80</v>
      </c>
      <c r="O1923" s="2" t="s">
        <v>1892</v>
      </c>
      <c r="P1923" s="2" t="s">
        <v>72</v>
      </c>
      <c r="Q1923" s="2" t="s">
        <v>78</v>
      </c>
      <c r="R1923" s="2" t="s">
        <v>79</v>
      </c>
      <c r="S1923" s="2">
        <v>2</v>
      </c>
      <c r="T1923" s="2">
        <v>378.3</v>
      </c>
      <c r="U1923" s="2">
        <v>87.009</v>
      </c>
      <c r="V1923" s="2">
        <v>465.30900000000003</v>
      </c>
      <c r="W1923" s="2">
        <f>111.98*S1923</f>
        <v>223.96</v>
      </c>
      <c r="X1923" s="5">
        <f t="shared" si="269"/>
        <v>0.40798308220988633</v>
      </c>
      <c r="Z1923" s="2" t="s">
        <v>3227</v>
      </c>
      <c r="AA1923" s="2" t="s">
        <v>75</v>
      </c>
      <c r="AB1923" s="2" t="s">
        <v>76</v>
      </c>
      <c r="AC1923" s="2" t="s">
        <v>77</v>
      </c>
      <c r="AF1923" s="2">
        <f t="shared" si="272"/>
        <v>0</v>
      </c>
      <c r="AG1923" s="2">
        <v>111.98</v>
      </c>
      <c r="AH1923" s="2">
        <v>210</v>
      </c>
      <c r="AJ1923" s="2">
        <f t="shared" si="273"/>
        <v>0</v>
      </c>
      <c r="AK1923" s="2">
        <f t="shared" si="270"/>
        <v>154.34</v>
      </c>
      <c r="AL1923" s="5">
        <f t="shared" si="271"/>
        <v>0.40798308220988633</v>
      </c>
    </row>
    <row r="1924" spans="1:38" x14ac:dyDescent="0.2">
      <c r="A1924" s="2">
        <v>2025</v>
      </c>
      <c r="B1924" s="2">
        <v>10</v>
      </c>
      <c r="D1924" s="2" t="s">
        <v>428</v>
      </c>
      <c r="E1924" s="2" t="s">
        <v>38</v>
      </c>
      <c r="G1924" s="2">
        <v>500820384</v>
      </c>
      <c r="H1924" s="2" t="s">
        <v>40</v>
      </c>
      <c r="I1924" s="2" t="s">
        <v>429</v>
      </c>
      <c r="J1924" s="2" t="s">
        <v>430</v>
      </c>
      <c r="L1924" s="2" t="s">
        <v>99</v>
      </c>
      <c r="M1924" s="2" t="s">
        <v>80</v>
      </c>
      <c r="O1924" s="2" t="s">
        <v>1893</v>
      </c>
      <c r="P1924" s="2" t="s">
        <v>72</v>
      </c>
      <c r="Q1924" s="2" t="s">
        <v>533</v>
      </c>
      <c r="R1924" s="2" t="s">
        <v>534</v>
      </c>
      <c r="S1924" s="2">
        <v>1</v>
      </c>
      <c r="T1924" s="2">
        <v>271.60000000000002</v>
      </c>
      <c r="U1924" s="2">
        <v>62.468000000000011</v>
      </c>
      <c r="V1924" s="2">
        <v>334.06799999999998</v>
      </c>
      <c r="W1924" s="2">
        <f>110.125+11.77</f>
        <v>121.895</v>
      </c>
      <c r="X1924" s="5">
        <f t="shared" si="269"/>
        <v>0.55119661266568498</v>
      </c>
      <c r="Z1924" s="2" t="s">
        <v>3227</v>
      </c>
      <c r="AA1924" s="2" t="s">
        <v>75</v>
      </c>
      <c r="AB1924" s="2" t="s">
        <v>76</v>
      </c>
      <c r="AC1924" s="2" t="s">
        <v>77</v>
      </c>
      <c r="AF1924" s="2">
        <f t="shared" si="272"/>
        <v>0</v>
      </c>
      <c r="AG1924" s="2">
        <f>110.125+11.77</f>
        <v>121.895</v>
      </c>
      <c r="AJ1924" s="2">
        <f t="shared" si="273"/>
        <v>0</v>
      </c>
      <c r="AK1924" s="2">
        <f t="shared" si="270"/>
        <v>149.70500000000004</v>
      </c>
      <c r="AL1924" s="5">
        <f t="shared" si="271"/>
        <v>0.55119661266568498</v>
      </c>
    </row>
    <row r="1925" spans="1:38" x14ac:dyDescent="0.2">
      <c r="A1925" s="2">
        <v>2025</v>
      </c>
      <c r="B1925" s="2">
        <v>10</v>
      </c>
      <c r="D1925" s="2" t="s">
        <v>428</v>
      </c>
      <c r="E1925" s="2" t="s">
        <v>38</v>
      </c>
      <c r="G1925" s="2">
        <v>500820384</v>
      </c>
      <c r="H1925" s="2" t="s">
        <v>40</v>
      </c>
      <c r="I1925" s="2" t="s">
        <v>429</v>
      </c>
      <c r="J1925" s="2" t="s">
        <v>430</v>
      </c>
      <c r="L1925" s="2" t="s">
        <v>99</v>
      </c>
      <c r="M1925" s="2" t="s">
        <v>80</v>
      </c>
      <c r="O1925" s="2" t="s">
        <v>1893</v>
      </c>
      <c r="P1925" s="2" t="s">
        <v>169</v>
      </c>
      <c r="Q1925" s="2" t="s">
        <v>170</v>
      </c>
      <c r="R1925" s="2" t="s">
        <v>170</v>
      </c>
      <c r="S1925" s="2">
        <v>1</v>
      </c>
      <c r="T1925" s="2">
        <v>120</v>
      </c>
      <c r="U1925" s="2">
        <v>27.6</v>
      </c>
      <c r="V1925" s="2">
        <v>147.6</v>
      </c>
      <c r="W1925" s="2">
        <v>120</v>
      </c>
      <c r="X1925" s="5">
        <f t="shared" si="269"/>
        <v>0</v>
      </c>
      <c r="Z1925" s="2" t="s">
        <v>169</v>
      </c>
      <c r="AA1925" s="2" t="s">
        <v>169</v>
      </c>
      <c r="AF1925" s="2">
        <f t="shared" si="272"/>
        <v>0</v>
      </c>
      <c r="AJ1925" s="2">
        <f t="shared" si="273"/>
        <v>0</v>
      </c>
      <c r="AK1925" s="2">
        <f t="shared" si="270"/>
        <v>0</v>
      </c>
      <c r="AL1925" s="5">
        <f t="shared" si="271"/>
        <v>0</v>
      </c>
    </row>
    <row r="1926" spans="1:38" x14ac:dyDescent="0.2">
      <c r="A1926" s="2">
        <v>2025</v>
      </c>
      <c r="B1926" s="2">
        <v>10</v>
      </c>
      <c r="D1926" s="2" t="s">
        <v>428</v>
      </c>
      <c r="E1926" s="2" t="s">
        <v>38</v>
      </c>
      <c r="G1926" s="2">
        <v>500820384</v>
      </c>
      <c r="H1926" s="2" t="s">
        <v>40</v>
      </c>
      <c r="I1926" s="2" t="s">
        <v>429</v>
      </c>
      <c r="J1926" s="2" t="s">
        <v>430</v>
      </c>
      <c r="L1926" s="2" t="s">
        <v>99</v>
      </c>
      <c r="M1926" s="2" t="s">
        <v>80</v>
      </c>
      <c r="O1926" s="2" t="s">
        <v>1894</v>
      </c>
      <c r="P1926" s="2" t="s">
        <v>93</v>
      </c>
      <c r="Q1926" s="2" t="s">
        <v>94</v>
      </c>
      <c r="R1926" s="2" t="s">
        <v>95</v>
      </c>
      <c r="S1926" s="2">
        <v>3</v>
      </c>
      <c r="T1926" s="2">
        <v>3.42</v>
      </c>
      <c r="U1926" s="2">
        <v>0.78659999999999997</v>
      </c>
      <c r="V1926" s="2">
        <v>4.2065999999999999</v>
      </c>
      <c r="W1926" s="2">
        <v>3.42</v>
      </c>
      <c r="X1926" s="5">
        <f t="shared" si="269"/>
        <v>0</v>
      </c>
      <c r="Z1926" s="2" t="s">
        <v>3227</v>
      </c>
      <c r="AA1926" s="2" t="s">
        <v>96</v>
      </c>
      <c r="AB1926" s="2" t="s">
        <v>76</v>
      </c>
      <c r="AC1926" s="2" t="s">
        <v>93</v>
      </c>
      <c r="AF1926" s="2">
        <f t="shared" si="272"/>
        <v>0</v>
      </c>
      <c r="AJ1926" s="2">
        <f t="shared" si="273"/>
        <v>0</v>
      </c>
      <c r="AK1926" s="2">
        <f t="shared" si="270"/>
        <v>0</v>
      </c>
      <c r="AL1926" s="5">
        <f t="shared" si="271"/>
        <v>0</v>
      </c>
    </row>
    <row r="1927" spans="1:38" x14ac:dyDescent="0.2">
      <c r="A1927" s="2">
        <v>2025</v>
      </c>
      <c r="B1927" s="2">
        <v>10</v>
      </c>
      <c r="D1927" s="2" t="s">
        <v>1553</v>
      </c>
      <c r="E1927" s="2" t="s">
        <v>108</v>
      </c>
      <c r="F1927" s="2" t="s">
        <v>717</v>
      </c>
      <c r="G1927" s="2">
        <v>500975914</v>
      </c>
      <c r="H1927" s="2" t="s">
        <v>41</v>
      </c>
      <c r="I1927" s="2" t="s">
        <v>1554</v>
      </c>
      <c r="J1927" s="2" t="s">
        <v>1555</v>
      </c>
      <c r="L1927" s="2" t="s">
        <v>99</v>
      </c>
      <c r="M1927" s="2" t="s">
        <v>41</v>
      </c>
      <c r="P1927" s="2" t="s">
        <v>282</v>
      </c>
      <c r="Q1927" s="2" t="s">
        <v>399</v>
      </c>
      <c r="R1927" s="2" t="s">
        <v>400</v>
      </c>
      <c r="S1927" s="2">
        <v>20</v>
      </c>
      <c r="T1927" s="2">
        <v>400</v>
      </c>
      <c r="U1927" s="2">
        <v>92</v>
      </c>
      <c r="V1927" s="2">
        <v>492</v>
      </c>
      <c r="W1927" s="2">
        <f>17.4*S1927</f>
        <v>348</v>
      </c>
      <c r="X1927" s="5">
        <f t="shared" si="269"/>
        <v>0.13</v>
      </c>
      <c r="Z1927" s="2" t="s">
        <v>3227</v>
      </c>
      <c r="AA1927" s="2" t="s">
        <v>46</v>
      </c>
      <c r="AB1927" s="2" t="s">
        <v>60</v>
      </c>
      <c r="AC1927" s="2" t="s">
        <v>3332</v>
      </c>
      <c r="AF1927" s="2">
        <f t="shared" si="272"/>
        <v>0</v>
      </c>
      <c r="AJ1927" s="2">
        <f t="shared" si="273"/>
        <v>0</v>
      </c>
      <c r="AK1927" s="2">
        <f t="shared" si="270"/>
        <v>52</v>
      </c>
      <c r="AL1927" s="5">
        <f t="shared" si="271"/>
        <v>0.13</v>
      </c>
    </row>
    <row r="1928" spans="1:38" x14ac:dyDescent="0.2">
      <c r="A1928" s="2">
        <v>2025</v>
      </c>
      <c r="B1928" s="2">
        <v>10</v>
      </c>
      <c r="D1928" s="2" t="s">
        <v>1553</v>
      </c>
      <c r="E1928" s="2" t="s">
        <v>108</v>
      </c>
      <c r="F1928" s="2" t="s">
        <v>717</v>
      </c>
      <c r="G1928" s="2">
        <v>500975914</v>
      </c>
      <c r="H1928" s="2" t="s">
        <v>41</v>
      </c>
      <c r="I1928" s="2" t="s">
        <v>1554</v>
      </c>
      <c r="J1928" s="2" t="s">
        <v>1555</v>
      </c>
      <c r="L1928" s="2" t="s">
        <v>99</v>
      </c>
      <c r="M1928" s="2" t="s">
        <v>41</v>
      </c>
      <c r="P1928" s="2" t="s">
        <v>282</v>
      </c>
      <c r="Q1928" s="2" t="s">
        <v>401</v>
      </c>
      <c r="R1928" s="2" t="s">
        <v>402</v>
      </c>
      <c r="S1928" s="2">
        <v>20</v>
      </c>
      <c r="T1928" s="2">
        <v>400</v>
      </c>
      <c r="U1928" s="2">
        <v>92</v>
      </c>
      <c r="V1928" s="2">
        <v>492</v>
      </c>
      <c r="W1928" s="2">
        <f>17.4*S1928</f>
        <v>348</v>
      </c>
      <c r="X1928" s="5">
        <f t="shared" si="269"/>
        <v>0.13</v>
      </c>
      <c r="Z1928" s="2" t="s">
        <v>3227</v>
      </c>
      <c r="AA1928" s="2" t="s">
        <v>46</v>
      </c>
      <c r="AB1928" s="2" t="s">
        <v>60</v>
      </c>
      <c r="AC1928" s="2" t="s">
        <v>3332</v>
      </c>
      <c r="AF1928" s="2">
        <f t="shared" si="272"/>
        <v>0</v>
      </c>
      <c r="AJ1928" s="2">
        <f t="shared" si="273"/>
        <v>0</v>
      </c>
      <c r="AK1928" s="2">
        <f t="shared" si="270"/>
        <v>52</v>
      </c>
      <c r="AL1928" s="5">
        <f t="shared" si="271"/>
        <v>0.13</v>
      </c>
    </row>
    <row r="1929" spans="1:38" x14ac:dyDescent="0.2">
      <c r="A1929" s="2">
        <v>2025</v>
      </c>
      <c r="B1929" s="2">
        <v>10</v>
      </c>
      <c r="D1929" s="2" t="s">
        <v>1895</v>
      </c>
      <c r="P1929" s="2" t="s">
        <v>3230</v>
      </c>
      <c r="Q1929" s="2" t="s">
        <v>1896</v>
      </c>
      <c r="R1929" s="2" t="s">
        <v>1897</v>
      </c>
      <c r="S1929" s="2">
        <v>1</v>
      </c>
      <c r="T1929" s="2">
        <v>2800</v>
      </c>
      <c r="U1929" s="2">
        <v>644</v>
      </c>
      <c r="V1929" s="2">
        <v>3444</v>
      </c>
      <c r="W1929" s="2">
        <v>1901.597</v>
      </c>
      <c r="X1929" s="5">
        <f t="shared" si="269"/>
        <v>0.32085821428571432</v>
      </c>
      <c r="Z1929" s="2" t="s">
        <v>104</v>
      </c>
      <c r="AA1929" s="2" t="s">
        <v>264</v>
      </c>
      <c r="AB1929" s="2" t="s">
        <v>1898</v>
      </c>
      <c r="AC1929" s="2" t="s">
        <v>3230</v>
      </c>
      <c r="AF1929" s="2">
        <f t="shared" si="272"/>
        <v>0</v>
      </c>
      <c r="AJ1929" s="2">
        <f t="shared" si="273"/>
        <v>0</v>
      </c>
      <c r="AK1929" s="2">
        <f t="shared" si="270"/>
        <v>898.40300000000002</v>
      </c>
      <c r="AL1929" s="5">
        <f t="shared" si="271"/>
        <v>0.32085821428571432</v>
      </c>
    </row>
    <row r="1930" spans="1:38" x14ac:dyDescent="0.2">
      <c r="A1930" s="2">
        <v>2025</v>
      </c>
      <c r="B1930" s="2">
        <v>10</v>
      </c>
      <c r="D1930" s="2" t="s">
        <v>1895</v>
      </c>
      <c r="P1930" s="2" t="s">
        <v>68</v>
      </c>
      <c r="Q1930" s="2" t="s">
        <v>1899</v>
      </c>
      <c r="R1930" s="2" t="s">
        <v>1900</v>
      </c>
      <c r="S1930" s="2">
        <v>1</v>
      </c>
      <c r="T1930" s="2">
        <v>3800</v>
      </c>
      <c r="U1930" s="2">
        <v>874</v>
      </c>
      <c r="V1930" s="2">
        <v>4674</v>
      </c>
      <c r="X1930" s="5">
        <f t="shared" si="269"/>
        <v>1</v>
      </c>
      <c r="Z1930" s="2" t="s">
        <v>104</v>
      </c>
      <c r="AC1930" s="2" t="s">
        <v>3231</v>
      </c>
      <c r="AF1930" s="2">
        <f t="shared" si="272"/>
        <v>0</v>
      </c>
      <c r="AJ1930" s="2">
        <f t="shared" si="273"/>
        <v>0</v>
      </c>
      <c r="AK1930" s="2">
        <f t="shared" si="270"/>
        <v>3800</v>
      </c>
      <c r="AL1930" s="5">
        <f t="shared" si="271"/>
        <v>1</v>
      </c>
    </row>
    <row r="1931" spans="1:38" x14ac:dyDescent="0.2">
      <c r="A1931" s="2">
        <v>2025</v>
      </c>
      <c r="B1931" s="2">
        <v>10</v>
      </c>
      <c r="D1931" s="2" t="s">
        <v>1901</v>
      </c>
      <c r="P1931" s="2" t="s">
        <v>114</v>
      </c>
      <c r="Q1931" s="2" t="s">
        <v>1902</v>
      </c>
      <c r="R1931" s="2" t="s">
        <v>1903</v>
      </c>
      <c r="S1931" s="2">
        <v>1</v>
      </c>
      <c r="T1931" s="2">
        <v>1031.94</v>
      </c>
      <c r="U1931" s="2">
        <v>237.34620000000001</v>
      </c>
      <c r="V1931" s="2">
        <v>1269.2862</v>
      </c>
      <c r="X1931" s="5">
        <f t="shared" si="269"/>
        <v>1</v>
      </c>
      <c r="AF1931" s="2">
        <f t="shared" si="272"/>
        <v>0</v>
      </c>
      <c r="AJ1931" s="2">
        <f t="shared" si="273"/>
        <v>0</v>
      </c>
      <c r="AK1931" s="2">
        <f t="shared" si="270"/>
        <v>1031.94</v>
      </c>
      <c r="AL1931" s="5">
        <f t="shared" si="271"/>
        <v>1</v>
      </c>
    </row>
    <row r="1932" spans="1:38" x14ac:dyDescent="0.2">
      <c r="A1932" s="2">
        <v>2025</v>
      </c>
      <c r="B1932" s="2">
        <v>10</v>
      </c>
      <c r="D1932" s="2" t="s">
        <v>1901</v>
      </c>
      <c r="M1932" s="2" t="s">
        <v>40</v>
      </c>
      <c r="P1932" s="2" t="s">
        <v>187</v>
      </c>
      <c r="Q1932" s="2" t="s">
        <v>188</v>
      </c>
      <c r="R1932" s="2" t="s">
        <v>189</v>
      </c>
      <c r="S1932" s="2">
        <v>1</v>
      </c>
      <c r="T1932" s="2">
        <v>65</v>
      </c>
      <c r="U1932" s="2">
        <v>14.95</v>
      </c>
      <c r="V1932" s="2">
        <v>79.95</v>
      </c>
      <c r="W1932" s="2">
        <f>T1932*40%</f>
        <v>26</v>
      </c>
      <c r="X1932" s="5">
        <f t="shared" si="269"/>
        <v>0.6</v>
      </c>
      <c r="Z1932" s="2" t="s">
        <v>117</v>
      </c>
      <c r="AA1932" s="2" t="s">
        <v>190</v>
      </c>
      <c r="AB1932" s="2" t="s">
        <v>189</v>
      </c>
      <c r="AC1932" s="2" t="s">
        <v>40</v>
      </c>
      <c r="AF1932" s="2">
        <f t="shared" si="272"/>
        <v>0</v>
      </c>
      <c r="AJ1932" s="2">
        <f t="shared" si="273"/>
        <v>0</v>
      </c>
      <c r="AK1932" s="2">
        <f t="shared" ref="AK1932:AK1960" si="274">T1932-W1932</f>
        <v>39</v>
      </c>
      <c r="AL1932" s="5">
        <f t="shared" si="271"/>
        <v>0.6</v>
      </c>
    </row>
    <row r="1933" spans="1:38" x14ac:dyDescent="0.2">
      <c r="A1933" s="2">
        <v>2025</v>
      </c>
      <c r="B1933" s="2">
        <v>10</v>
      </c>
      <c r="D1933" s="2" t="s">
        <v>1901</v>
      </c>
      <c r="M1933" s="2" t="s">
        <v>40</v>
      </c>
      <c r="P1933" s="2" t="s">
        <v>187</v>
      </c>
      <c r="Q1933" s="2" t="s">
        <v>191</v>
      </c>
      <c r="R1933" s="2" t="s">
        <v>190</v>
      </c>
      <c r="S1933" s="2">
        <v>1</v>
      </c>
      <c r="T1933" s="2">
        <v>0</v>
      </c>
      <c r="U1933" s="2">
        <v>0</v>
      </c>
      <c r="V1933" s="2">
        <v>0</v>
      </c>
      <c r="W1933" s="2">
        <f>T1933*50%</f>
        <v>0</v>
      </c>
      <c r="X1933" s="5">
        <v>0</v>
      </c>
      <c r="Z1933" s="2" t="s">
        <v>117</v>
      </c>
      <c r="AA1933" s="2" t="s">
        <v>190</v>
      </c>
      <c r="AB1933" s="2" t="s">
        <v>190</v>
      </c>
      <c r="AC1933" s="2" t="s">
        <v>40</v>
      </c>
      <c r="AF1933" s="2">
        <f t="shared" si="272"/>
        <v>0</v>
      </c>
      <c r="AJ1933" s="2">
        <f t="shared" si="273"/>
        <v>0</v>
      </c>
      <c r="AK1933" s="2">
        <f t="shared" si="274"/>
        <v>0</v>
      </c>
      <c r="AL1933" s="5">
        <v>0</v>
      </c>
    </row>
    <row r="1934" spans="1:38" x14ac:dyDescent="0.2">
      <c r="A1934" s="2">
        <v>2025</v>
      </c>
      <c r="B1934" s="2">
        <v>10</v>
      </c>
      <c r="C1934" s="2" t="s">
        <v>3404</v>
      </c>
      <c r="D1934" s="2" t="s">
        <v>3462</v>
      </c>
      <c r="E1934" s="2" t="s">
        <v>108</v>
      </c>
      <c r="F1934" s="2" t="s">
        <v>39</v>
      </c>
      <c r="L1934" s="2" t="s">
        <v>177</v>
      </c>
      <c r="M1934" s="2" t="s">
        <v>41</v>
      </c>
      <c r="P1934" s="2" t="s">
        <v>114</v>
      </c>
      <c r="Q1934" s="16" t="s">
        <v>709</v>
      </c>
      <c r="R1934" s="2" t="s">
        <v>710</v>
      </c>
      <c r="S1934" s="2">
        <v>1</v>
      </c>
      <c r="T1934" s="2">
        <v>1452</v>
      </c>
      <c r="U1934" s="2">
        <v>333.96</v>
      </c>
      <c r="V1934" s="2">
        <v>1785.96</v>
      </c>
      <c r="W1934" s="2">
        <f>1244.2445</f>
        <v>1244.2445</v>
      </c>
      <c r="X1934" s="5">
        <f t="shared" ref="X1934:X1943" si="275">(T1934-W1934)/T1934</f>
        <v>0.14308230027548208</v>
      </c>
      <c r="Z1934" s="2" t="s">
        <v>104</v>
      </c>
      <c r="AA1934" s="2" t="s">
        <v>578</v>
      </c>
      <c r="AB1934" s="2" t="s">
        <v>701</v>
      </c>
      <c r="AC1934" s="2" t="s">
        <v>114</v>
      </c>
      <c r="AF1934" s="2">
        <f t="shared" si="272"/>
        <v>0</v>
      </c>
      <c r="AJ1934" s="2">
        <f t="shared" si="273"/>
        <v>0</v>
      </c>
      <c r="AK1934" s="2">
        <f t="shared" si="274"/>
        <v>207.75549999999998</v>
      </c>
      <c r="AL1934" s="5">
        <f t="shared" ref="AL1934:AL1960" si="276">(T1934-W1934)/T1934</f>
        <v>0.14308230027548208</v>
      </c>
    </row>
    <row r="1935" spans="1:38" x14ac:dyDescent="0.2">
      <c r="A1935" s="2">
        <v>2025</v>
      </c>
      <c r="B1935" s="2">
        <v>10</v>
      </c>
      <c r="C1935" s="2" t="s">
        <v>3404</v>
      </c>
      <c r="D1935" s="2" t="s">
        <v>3462</v>
      </c>
      <c r="E1935" s="2" t="s">
        <v>108</v>
      </c>
      <c r="F1935" s="2" t="s">
        <v>39</v>
      </c>
      <c r="L1935" s="2" t="s">
        <v>177</v>
      </c>
      <c r="M1935" s="2" t="s">
        <v>41</v>
      </c>
      <c r="P1935" s="2" t="s">
        <v>114</v>
      </c>
      <c r="Q1935" s="2" t="s">
        <v>1904</v>
      </c>
      <c r="R1935" s="2" t="s">
        <v>1905</v>
      </c>
      <c r="S1935" s="2">
        <v>1</v>
      </c>
      <c r="T1935" s="2">
        <v>19863</v>
      </c>
      <c r="U1935" s="2">
        <v>4568.49</v>
      </c>
      <c r="V1935" s="2">
        <v>24431.49</v>
      </c>
      <c r="W1935" s="2">
        <v>17000.97</v>
      </c>
      <c r="X1935" s="5">
        <f t="shared" si="275"/>
        <v>0.14408850626793529</v>
      </c>
      <c r="Z1935" s="2" t="s">
        <v>104</v>
      </c>
      <c r="AA1935" s="2" t="s">
        <v>414</v>
      </c>
      <c r="AB1935" s="2" t="s">
        <v>151</v>
      </c>
      <c r="AC1935" s="2" t="s">
        <v>114</v>
      </c>
      <c r="AF1935" s="2">
        <f t="shared" si="272"/>
        <v>0</v>
      </c>
      <c r="AJ1935" s="2">
        <f t="shared" si="273"/>
        <v>0</v>
      </c>
      <c r="AK1935" s="2">
        <f t="shared" si="274"/>
        <v>2862.0299999999988</v>
      </c>
      <c r="AL1935" s="5">
        <f t="shared" si="276"/>
        <v>0.14408850626793529</v>
      </c>
    </row>
    <row r="1936" spans="1:38" x14ac:dyDescent="0.2">
      <c r="A1936" s="2">
        <v>2025</v>
      </c>
      <c r="B1936" s="2">
        <v>10</v>
      </c>
      <c r="C1936" s="2" t="s">
        <v>3404</v>
      </c>
      <c r="D1936" s="2" t="s">
        <v>3462</v>
      </c>
      <c r="E1936" s="2" t="s">
        <v>108</v>
      </c>
      <c r="F1936" s="2" t="s">
        <v>39</v>
      </c>
      <c r="L1936" s="2" t="s">
        <v>177</v>
      </c>
      <c r="M1936" s="2" t="s">
        <v>41</v>
      </c>
      <c r="P1936" s="2" t="s">
        <v>114</v>
      </c>
      <c r="Q1936" s="2" t="s">
        <v>838</v>
      </c>
      <c r="R1936" s="2" t="s">
        <v>839</v>
      </c>
      <c r="S1936" s="2">
        <v>1</v>
      </c>
      <c r="T1936" s="2">
        <v>3685</v>
      </c>
      <c r="U1936" s="2">
        <v>847.55000000000007</v>
      </c>
      <c r="V1936" s="2">
        <v>4532.55</v>
      </c>
      <c r="X1936" s="5">
        <f t="shared" si="275"/>
        <v>1</v>
      </c>
      <c r="Z1936" s="2" t="s">
        <v>104</v>
      </c>
      <c r="AF1936" s="2">
        <f t="shared" si="272"/>
        <v>0</v>
      </c>
      <c r="AJ1936" s="2">
        <f t="shared" si="273"/>
        <v>0</v>
      </c>
      <c r="AK1936" s="2">
        <f t="shared" si="274"/>
        <v>3685</v>
      </c>
      <c r="AL1936" s="5">
        <f t="shared" si="276"/>
        <v>1</v>
      </c>
    </row>
    <row r="1937" spans="1:38" x14ac:dyDescent="0.2">
      <c r="A1937" s="2">
        <v>2025</v>
      </c>
      <c r="B1937" s="2">
        <v>10</v>
      </c>
      <c r="D1937" s="2" t="s">
        <v>476</v>
      </c>
      <c r="E1937" s="2" t="s">
        <v>108</v>
      </c>
      <c r="F1937" s="2" t="s">
        <v>477</v>
      </c>
      <c r="G1937" s="2">
        <v>500864365</v>
      </c>
      <c r="H1937" s="2" t="s">
        <v>41</v>
      </c>
      <c r="I1937" s="2" t="s">
        <v>478</v>
      </c>
      <c r="J1937" s="2" t="s">
        <v>479</v>
      </c>
      <c r="L1937" s="2" t="s">
        <v>480</v>
      </c>
      <c r="M1937" s="2" t="s">
        <v>41</v>
      </c>
      <c r="P1937" s="2" t="s">
        <v>72</v>
      </c>
      <c r="Q1937" s="2" t="s">
        <v>73</v>
      </c>
      <c r="R1937" s="2" t="s">
        <v>74</v>
      </c>
      <c r="S1937" s="2">
        <v>1</v>
      </c>
      <c r="T1937" s="2">
        <v>220</v>
      </c>
      <c r="U1937" s="2">
        <v>50.6</v>
      </c>
      <c r="V1937" s="2">
        <v>270.60000000000002</v>
      </c>
      <c r="W1937" s="2">
        <v>117.453</v>
      </c>
      <c r="X1937" s="5">
        <f t="shared" si="275"/>
        <v>0.46612272727272724</v>
      </c>
      <c r="Z1937" s="2" t="s">
        <v>3227</v>
      </c>
      <c r="AA1937" s="2" t="s">
        <v>75</v>
      </c>
      <c r="AB1937" s="2" t="s">
        <v>76</v>
      </c>
      <c r="AC1937" s="2" t="s">
        <v>77</v>
      </c>
      <c r="AF1937" s="2">
        <f t="shared" si="272"/>
        <v>0</v>
      </c>
      <c r="AG1937" s="2">
        <v>117.453</v>
      </c>
      <c r="AH1937" s="2">
        <v>220</v>
      </c>
      <c r="AJ1937" s="2">
        <f t="shared" si="273"/>
        <v>0</v>
      </c>
      <c r="AK1937" s="2">
        <f t="shared" si="274"/>
        <v>102.547</v>
      </c>
      <c r="AL1937" s="5">
        <f t="shared" si="276"/>
        <v>0.46612272727272724</v>
      </c>
    </row>
    <row r="1938" spans="1:38" x14ac:dyDescent="0.2">
      <c r="A1938" s="2">
        <v>2025</v>
      </c>
      <c r="B1938" s="2">
        <v>10</v>
      </c>
      <c r="D1938" s="2" t="s">
        <v>476</v>
      </c>
      <c r="E1938" s="2" t="s">
        <v>108</v>
      </c>
      <c r="F1938" s="2" t="s">
        <v>477</v>
      </c>
      <c r="G1938" s="2">
        <v>500864365</v>
      </c>
      <c r="H1938" s="2" t="s">
        <v>41</v>
      </c>
      <c r="I1938" s="2" t="s">
        <v>478</v>
      </c>
      <c r="J1938" s="2" t="s">
        <v>479</v>
      </c>
      <c r="L1938" s="2" t="s">
        <v>480</v>
      </c>
      <c r="P1938" s="2" t="s">
        <v>93</v>
      </c>
      <c r="Q1938" s="2" t="s">
        <v>94</v>
      </c>
      <c r="R1938" s="2" t="s">
        <v>95</v>
      </c>
      <c r="S1938" s="2">
        <v>1</v>
      </c>
      <c r="T1938" s="2">
        <v>1.1399999999999999</v>
      </c>
      <c r="U1938" s="2">
        <v>0.26219999999999999</v>
      </c>
      <c r="V1938" s="2">
        <v>1.4021999999999999</v>
      </c>
      <c r="W1938" s="2">
        <v>1.1399999999999999</v>
      </c>
      <c r="X1938" s="5">
        <f t="shared" si="275"/>
        <v>0</v>
      </c>
      <c r="Z1938" s="2" t="s">
        <v>3227</v>
      </c>
      <c r="AA1938" s="2" t="s">
        <v>96</v>
      </c>
      <c r="AB1938" s="2" t="s">
        <v>76</v>
      </c>
      <c r="AC1938" s="2" t="s">
        <v>93</v>
      </c>
      <c r="AF1938" s="2">
        <f t="shared" si="272"/>
        <v>0</v>
      </c>
      <c r="AJ1938" s="2">
        <f t="shared" si="273"/>
        <v>0</v>
      </c>
      <c r="AK1938" s="2">
        <f t="shared" si="274"/>
        <v>0</v>
      </c>
      <c r="AL1938" s="5">
        <f t="shared" si="276"/>
        <v>0</v>
      </c>
    </row>
    <row r="1939" spans="1:38" x14ac:dyDescent="0.2">
      <c r="A1939" s="2">
        <v>2025</v>
      </c>
      <c r="B1939" s="2">
        <v>10</v>
      </c>
      <c r="D1939" s="2" t="s">
        <v>843</v>
      </c>
      <c r="E1939" s="2" t="s">
        <v>38</v>
      </c>
      <c r="F1939" s="2" t="s">
        <v>39</v>
      </c>
      <c r="G1939" s="2">
        <v>161685080</v>
      </c>
      <c r="H1939" s="2" t="s">
        <v>41</v>
      </c>
      <c r="I1939" s="2" t="s">
        <v>418</v>
      </c>
      <c r="K1939" s="2" t="s">
        <v>844</v>
      </c>
      <c r="L1939" s="2" t="s">
        <v>418</v>
      </c>
      <c r="M1939" s="2" t="s">
        <v>41</v>
      </c>
      <c r="O1939" s="2" t="s">
        <v>1906</v>
      </c>
      <c r="P1939" s="2" t="s">
        <v>43</v>
      </c>
      <c r="Q1939" s="2" t="s">
        <v>48</v>
      </c>
      <c r="R1939" s="2" t="s">
        <v>49</v>
      </c>
      <c r="S1939" s="2">
        <v>1</v>
      </c>
      <c r="T1939" s="2">
        <v>12</v>
      </c>
      <c r="U1939" s="2">
        <v>2.76</v>
      </c>
      <c r="V1939" s="2">
        <v>14.76</v>
      </c>
      <c r="W1939" s="2">
        <f>6.6267*S1939</f>
        <v>6.6266999999999996</v>
      </c>
      <c r="X1939" s="5">
        <f t="shared" si="275"/>
        <v>0.44777500000000003</v>
      </c>
      <c r="Z1939" s="2" t="s">
        <v>3227</v>
      </c>
      <c r="AA1939" s="2" t="s">
        <v>46</v>
      </c>
      <c r="AB1939" s="2" t="s">
        <v>47</v>
      </c>
      <c r="AC1939" s="2" t="s">
        <v>57</v>
      </c>
      <c r="AF1939" s="2">
        <f t="shared" si="272"/>
        <v>0</v>
      </c>
      <c r="AG1939" s="2">
        <v>6.6266999999999996</v>
      </c>
      <c r="AH1939" s="2">
        <v>12</v>
      </c>
      <c r="AJ1939" s="2">
        <f t="shared" si="273"/>
        <v>0</v>
      </c>
      <c r="AK1939" s="2">
        <f t="shared" si="274"/>
        <v>5.3733000000000004</v>
      </c>
      <c r="AL1939" s="5">
        <f t="shared" si="276"/>
        <v>0.44777500000000003</v>
      </c>
    </row>
    <row r="1940" spans="1:38" x14ac:dyDescent="0.2">
      <c r="A1940" s="2">
        <v>2025</v>
      </c>
      <c r="B1940" s="2">
        <v>10</v>
      </c>
      <c r="D1940" s="2" t="s">
        <v>843</v>
      </c>
      <c r="E1940" s="2" t="s">
        <v>38</v>
      </c>
      <c r="F1940" s="2" t="s">
        <v>39</v>
      </c>
      <c r="G1940" s="2">
        <v>161685080</v>
      </c>
      <c r="H1940" s="2" t="s">
        <v>41</v>
      </c>
      <c r="I1940" s="2" t="s">
        <v>418</v>
      </c>
      <c r="K1940" s="2" t="s">
        <v>844</v>
      </c>
      <c r="L1940" s="2" t="s">
        <v>418</v>
      </c>
      <c r="M1940" s="2" t="s">
        <v>41</v>
      </c>
      <c r="O1940" s="2" t="s">
        <v>1906</v>
      </c>
      <c r="P1940" s="2" t="s">
        <v>43</v>
      </c>
      <c r="Q1940" s="2" t="s">
        <v>54</v>
      </c>
      <c r="R1940" s="2" t="s">
        <v>55</v>
      </c>
      <c r="S1940" s="2">
        <v>2</v>
      </c>
      <c r="T1940" s="2">
        <v>36</v>
      </c>
      <c r="U1940" s="2">
        <v>8.2800000000000011</v>
      </c>
      <c r="V1940" s="2">
        <v>44.28</v>
      </c>
      <c r="W1940" s="2">
        <f>10.6*S1940</f>
        <v>21.2</v>
      </c>
      <c r="X1940" s="5">
        <f t="shared" si="275"/>
        <v>0.41111111111111115</v>
      </c>
      <c r="Z1940" s="2" t="s">
        <v>3227</v>
      </c>
      <c r="AA1940" s="2" t="s">
        <v>46</v>
      </c>
      <c r="AB1940" s="2" t="s">
        <v>56</v>
      </c>
      <c r="AC1940" s="2" t="s">
        <v>57</v>
      </c>
      <c r="AF1940" s="2">
        <f t="shared" si="272"/>
        <v>0</v>
      </c>
      <c r="AG1940" s="2">
        <v>10.6</v>
      </c>
      <c r="AH1940" s="2">
        <v>18</v>
      </c>
      <c r="AJ1940" s="2">
        <f t="shared" si="273"/>
        <v>0</v>
      </c>
      <c r="AK1940" s="2">
        <f t="shared" si="274"/>
        <v>14.8</v>
      </c>
      <c r="AL1940" s="5">
        <f t="shared" si="276"/>
        <v>0.41111111111111115</v>
      </c>
    </row>
    <row r="1941" spans="1:38" x14ac:dyDescent="0.2">
      <c r="A1941" s="2">
        <v>2025</v>
      </c>
      <c r="B1941" s="2">
        <v>10</v>
      </c>
      <c r="D1941" s="2" t="s">
        <v>843</v>
      </c>
      <c r="E1941" s="2" t="s">
        <v>38</v>
      </c>
      <c r="F1941" s="2" t="s">
        <v>39</v>
      </c>
      <c r="G1941" s="2">
        <v>161685080</v>
      </c>
      <c r="H1941" s="2" t="s">
        <v>41</v>
      </c>
      <c r="I1941" s="2" t="s">
        <v>418</v>
      </c>
      <c r="K1941" s="2" t="s">
        <v>844</v>
      </c>
      <c r="L1941" s="2" t="s">
        <v>418</v>
      </c>
      <c r="M1941" s="2" t="s">
        <v>41</v>
      </c>
      <c r="O1941" s="2" t="s">
        <v>1906</v>
      </c>
      <c r="P1941" s="2" t="s">
        <v>169</v>
      </c>
      <c r="Q1941" s="2" t="s">
        <v>170</v>
      </c>
      <c r="R1941" s="2" t="s">
        <v>170</v>
      </c>
      <c r="S1941" s="2">
        <v>1</v>
      </c>
      <c r="T1941" s="2">
        <v>8</v>
      </c>
      <c r="U1941" s="2">
        <v>1.84</v>
      </c>
      <c r="V1941" s="2">
        <v>9.84</v>
      </c>
      <c r="W1941" s="2">
        <v>6</v>
      </c>
      <c r="X1941" s="5">
        <f t="shared" si="275"/>
        <v>0.25</v>
      </c>
      <c r="Z1941" s="2" t="s">
        <v>169</v>
      </c>
      <c r="AA1941" s="2" t="s">
        <v>169</v>
      </c>
      <c r="AF1941" s="2">
        <f t="shared" si="272"/>
        <v>0</v>
      </c>
      <c r="AJ1941" s="2">
        <f t="shared" si="273"/>
        <v>0</v>
      </c>
      <c r="AK1941" s="2">
        <f t="shared" si="274"/>
        <v>2</v>
      </c>
      <c r="AL1941" s="5">
        <f t="shared" si="276"/>
        <v>0.25</v>
      </c>
    </row>
    <row r="1942" spans="1:38" x14ac:dyDescent="0.2">
      <c r="A1942" s="2">
        <v>2025</v>
      </c>
      <c r="B1942" s="2">
        <v>10</v>
      </c>
      <c r="D1942" s="2" t="s">
        <v>485</v>
      </c>
      <c r="E1942" s="2" t="s">
        <v>108</v>
      </c>
      <c r="F1942" s="2" t="s">
        <v>39</v>
      </c>
      <c r="G1942" s="2">
        <v>506834689</v>
      </c>
      <c r="H1942" s="2" t="s">
        <v>41</v>
      </c>
      <c r="I1942" s="2" t="s">
        <v>486</v>
      </c>
      <c r="J1942" s="2" t="s">
        <v>487</v>
      </c>
      <c r="K1942" s="2">
        <v>919866237</v>
      </c>
      <c r="L1942" s="2" t="s">
        <v>461</v>
      </c>
      <c r="M1942" s="2" t="s">
        <v>41</v>
      </c>
      <c r="P1942" s="2" t="s">
        <v>43</v>
      </c>
      <c r="Q1942" s="2" t="s">
        <v>61</v>
      </c>
      <c r="R1942" s="2" t="s">
        <v>62</v>
      </c>
      <c r="S1942" s="2">
        <v>2000</v>
      </c>
      <c r="T1942" s="2">
        <v>210</v>
      </c>
      <c r="U1942" s="2">
        <v>48.3</v>
      </c>
      <c r="V1942" s="2">
        <v>258.3</v>
      </c>
      <c r="W1942" s="2">
        <f>0.082*S1942</f>
        <v>164</v>
      </c>
      <c r="X1942" s="5">
        <f t="shared" si="275"/>
        <v>0.21904761904761905</v>
      </c>
      <c r="Z1942" s="2" t="s">
        <v>3227</v>
      </c>
      <c r="AA1942" s="2" t="s">
        <v>46</v>
      </c>
      <c r="AB1942" s="2" t="s">
        <v>60</v>
      </c>
      <c r="AC1942" s="2" t="s">
        <v>57</v>
      </c>
      <c r="AF1942" s="2">
        <f t="shared" si="272"/>
        <v>0</v>
      </c>
      <c r="AG1942" s="2">
        <v>8.1999999999999993</v>
      </c>
      <c r="AH1942" s="2">
        <v>13</v>
      </c>
      <c r="AJ1942" s="2">
        <f t="shared" si="273"/>
        <v>0</v>
      </c>
      <c r="AK1942" s="2">
        <f t="shared" si="274"/>
        <v>46</v>
      </c>
      <c r="AL1942" s="5">
        <f t="shared" si="276"/>
        <v>0.21904761904761905</v>
      </c>
    </row>
    <row r="1943" spans="1:38" x14ac:dyDescent="0.2">
      <c r="A1943" s="2">
        <v>2025</v>
      </c>
      <c r="B1943" s="2">
        <v>10</v>
      </c>
      <c r="D1943" s="2" t="s">
        <v>485</v>
      </c>
      <c r="E1943" s="2" t="s">
        <v>108</v>
      </c>
      <c r="F1943" s="2" t="s">
        <v>39</v>
      </c>
      <c r="G1943" s="2">
        <v>506834689</v>
      </c>
      <c r="H1943" s="2" t="s">
        <v>41</v>
      </c>
      <c r="I1943" s="2" t="s">
        <v>486</v>
      </c>
      <c r="J1943" s="2" t="s">
        <v>487</v>
      </c>
      <c r="K1943" s="2">
        <v>919866237</v>
      </c>
      <c r="L1943" s="2" t="s">
        <v>461</v>
      </c>
      <c r="M1943" s="2" t="s">
        <v>41</v>
      </c>
      <c r="P1943" s="2" t="s">
        <v>43</v>
      </c>
      <c r="Q1943" s="2" t="s">
        <v>65</v>
      </c>
      <c r="R1943" s="2" t="s">
        <v>66</v>
      </c>
      <c r="S1943" s="2">
        <v>4</v>
      </c>
      <c r="T1943" s="2">
        <v>88</v>
      </c>
      <c r="U1943" s="2">
        <v>20.239999999999998</v>
      </c>
      <c r="V1943" s="2">
        <v>108.24</v>
      </c>
      <c r="W1943" s="2">
        <f>15.0203*S1943</f>
        <v>60.081200000000003</v>
      </c>
      <c r="X1943" s="5">
        <f t="shared" si="275"/>
        <v>0.31725909090909088</v>
      </c>
      <c r="Z1943" s="2" t="s">
        <v>3227</v>
      </c>
      <c r="AA1943" s="2" t="s">
        <v>46</v>
      </c>
      <c r="AB1943" s="2" t="s">
        <v>67</v>
      </c>
      <c r="AC1943" s="2" t="s">
        <v>57</v>
      </c>
      <c r="AF1943" s="2">
        <f t="shared" si="272"/>
        <v>0</v>
      </c>
      <c r="AG1943" s="2">
        <v>15.020300000000001</v>
      </c>
      <c r="AH1943" s="2">
        <v>27.6</v>
      </c>
      <c r="AJ1943" s="2">
        <f t="shared" si="273"/>
        <v>0</v>
      </c>
      <c r="AK1943" s="2">
        <f t="shared" si="274"/>
        <v>27.918799999999997</v>
      </c>
      <c r="AL1943" s="5">
        <f t="shared" si="276"/>
        <v>0.31725909090909088</v>
      </c>
    </row>
    <row r="1944" spans="1:38" x14ac:dyDescent="0.2">
      <c r="A1944" s="2">
        <v>2025</v>
      </c>
      <c r="B1944" s="2">
        <v>10</v>
      </c>
      <c r="D1944" s="2" t="s">
        <v>1907</v>
      </c>
      <c r="P1944" s="2" t="s">
        <v>114</v>
      </c>
      <c r="Q1944" s="2" t="s">
        <v>834</v>
      </c>
      <c r="R1944" s="2" t="s">
        <v>835</v>
      </c>
      <c r="S1944" s="2">
        <v>1</v>
      </c>
      <c r="T1944" s="2">
        <v>0</v>
      </c>
      <c r="U1944" s="2">
        <v>0</v>
      </c>
      <c r="V1944" s="2">
        <v>0</v>
      </c>
      <c r="X1944" s="5">
        <v>0</v>
      </c>
      <c r="Z1944" s="2" t="s">
        <v>117</v>
      </c>
      <c r="AF1944" s="2">
        <f t="shared" si="272"/>
        <v>0</v>
      </c>
      <c r="AJ1944" s="2">
        <f t="shared" si="273"/>
        <v>0</v>
      </c>
      <c r="AK1944" s="2">
        <f t="shared" si="274"/>
        <v>0</v>
      </c>
      <c r="AL1944" s="5" t="e">
        <f t="shared" si="276"/>
        <v>#DIV/0!</v>
      </c>
    </row>
    <row r="1945" spans="1:38" x14ac:dyDescent="0.2">
      <c r="A1945" s="2">
        <v>2025</v>
      </c>
      <c r="B1945" s="2">
        <v>10</v>
      </c>
      <c r="D1945" s="2" t="s">
        <v>1907</v>
      </c>
      <c r="P1945" s="2" t="s">
        <v>114</v>
      </c>
      <c r="Q1945" s="2" t="s">
        <v>836</v>
      </c>
      <c r="R1945" s="2" t="s">
        <v>837</v>
      </c>
      <c r="S1945" s="2">
        <v>1</v>
      </c>
      <c r="T1945" s="2">
        <v>13990</v>
      </c>
      <c r="U1945" s="2">
        <v>3217.7</v>
      </c>
      <c r="V1945" s="2">
        <v>17207.7</v>
      </c>
      <c r="X1945" s="5">
        <f t="shared" ref="X1945:X1960" si="277">(T1945-W1945)/T1945</f>
        <v>1</v>
      </c>
      <c r="Z1945" s="2" t="s">
        <v>104</v>
      </c>
      <c r="AF1945" s="2">
        <f t="shared" si="272"/>
        <v>0</v>
      </c>
      <c r="AJ1945" s="2">
        <f t="shared" si="273"/>
        <v>0</v>
      </c>
      <c r="AK1945" s="2">
        <f t="shared" si="274"/>
        <v>13990</v>
      </c>
      <c r="AL1945" s="5">
        <f t="shared" si="276"/>
        <v>1</v>
      </c>
    </row>
    <row r="1946" spans="1:38" x14ac:dyDescent="0.2">
      <c r="A1946" s="2">
        <v>2025</v>
      </c>
      <c r="B1946" s="2">
        <v>10</v>
      </c>
      <c r="D1946" s="2" t="s">
        <v>1907</v>
      </c>
      <c r="P1946" s="2" t="s">
        <v>68</v>
      </c>
      <c r="Q1946" s="2" t="s">
        <v>1908</v>
      </c>
      <c r="R1946" s="2" t="s">
        <v>1909</v>
      </c>
      <c r="S1946" s="2">
        <v>2</v>
      </c>
      <c r="T1946" s="2">
        <v>1450</v>
      </c>
      <c r="U1946" s="2">
        <v>333.5</v>
      </c>
      <c r="V1946" s="2">
        <v>1783.5</v>
      </c>
      <c r="X1946" s="5">
        <f t="shared" si="277"/>
        <v>1</v>
      </c>
      <c r="Z1946" s="2" t="s">
        <v>3227</v>
      </c>
      <c r="AC1946" s="2" t="s">
        <v>3231</v>
      </c>
      <c r="AF1946" s="2">
        <f t="shared" si="272"/>
        <v>0</v>
      </c>
      <c r="AJ1946" s="2">
        <f t="shared" si="273"/>
        <v>0</v>
      </c>
      <c r="AK1946" s="2">
        <f t="shared" si="274"/>
        <v>1450</v>
      </c>
      <c r="AL1946" s="5">
        <f t="shared" si="276"/>
        <v>1</v>
      </c>
    </row>
    <row r="1947" spans="1:38" x14ac:dyDescent="0.2">
      <c r="A1947" s="2">
        <v>2025</v>
      </c>
      <c r="B1947" s="2">
        <v>10</v>
      </c>
      <c r="D1947" s="2" t="s">
        <v>488</v>
      </c>
      <c r="E1947" s="2" t="s">
        <v>38</v>
      </c>
      <c r="F1947" s="2" t="s">
        <v>39</v>
      </c>
      <c r="G1947" s="2">
        <v>507380312</v>
      </c>
      <c r="H1947" s="2" t="s">
        <v>40</v>
      </c>
      <c r="I1947" s="2" t="s">
        <v>489</v>
      </c>
      <c r="J1947" s="2" t="s">
        <v>490</v>
      </c>
      <c r="K1947" s="2">
        <v>912293443</v>
      </c>
      <c r="L1947" s="2" t="s">
        <v>99</v>
      </c>
      <c r="M1947" s="2" t="s">
        <v>40</v>
      </c>
      <c r="P1947" s="2" t="s">
        <v>40</v>
      </c>
      <c r="Q1947" s="2" t="s">
        <v>491</v>
      </c>
      <c r="R1947" s="2" t="s">
        <v>492</v>
      </c>
      <c r="S1947" s="2">
        <v>1</v>
      </c>
      <c r="T1947" s="2">
        <v>664.04</v>
      </c>
      <c r="U1947" s="2">
        <v>152.72919999999999</v>
      </c>
      <c r="V1947" s="2">
        <v>816.76919999999996</v>
      </c>
      <c r="X1947" s="5">
        <f t="shared" si="277"/>
        <v>1</v>
      </c>
      <c r="Z1947" s="2" t="s">
        <v>119</v>
      </c>
      <c r="AA1947" s="2" t="s">
        <v>492</v>
      </c>
      <c r="AF1947" s="2">
        <f t="shared" si="272"/>
        <v>0</v>
      </c>
      <c r="AJ1947" s="2">
        <f t="shared" si="273"/>
        <v>0</v>
      </c>
      <c r="AK1947" s="2">
        <f t="shared" si="274"/>
        <v>664.04</v>
      </c>
      <c r="AL1947" s="5">
        <f t="shared" si="276"/>
        <v>1</v>
      </c>
    </row>
    <row r="1948" spans="1:38" x14ac:dyDescent="0.2">
      <c r="A1948" s="2">
        <v>2025</v>
      </c>
      <c r="B1948" s="2">
        <v>10</v>
      </c>
      <c r="D1948" s="2" t="s">
        <v>1053</v>
      </c>
      <c r="E1948" s="2" t="s">
        <v>183</v>
      </c>
      <c r="F1948" s="2" t="s">
        <v>1054</v>
      </c>
      <c r="G1948" s="2">
        <v>500199523</v>
      </c>
      <c r="H1948" s="2" t="s">
        <v>290</v>
      </c>
      <c r="I1948" s="2" t="s">
        <v>293</v>
      </c>
      <c r="J1948" s="2" t="s">
        <v>1055</v>
      </c>
      <c r="L1948" s="2" t="s">
        <v>293</v>
      </c>
      <c r="M1948" s="2" t="s">
        <v>80</v>
      </c>
      <c r="O1948" s="2" t="s">
        <v>1910</v>
      </c>
      <c r="P1948" s="2" t="s">
        <v>72</v>
      </c>
      <c r="Q1948" s="2" t="s">
        <v>773</v>
      </c>
      <c r="R1948" s="2" t="s">
        <v>483</v>
      </c>
      <c r="S1948" s="2">
        <v>1</v>
      </c>
      <c r="T1948" s="2">
        <v>200</v>
      </c>
      <c r="U1948" s="2">
        <v>46</v>
      </c>
      <c r="V1948" s="2">
        <v>246</v>
      </c>
      <c r="W1948" s="2">
        <v>106.1</v>
      </c>
      <c r="X1948" s="5">
        <f t="shared" si="277"/>
        <v>0.46950000000000003</v>
      </c>
      <c r="Z1948" s="2" t="s">
        <v>3227</v>
      </c>
      <c r="AA1948" s="2" t="s">
        <v>75</v>
      </c>
      <c r="AB1948" s="2" t="s">
        <v>76</v>
      </c>
      <c r="AC1948" s="2" t="s">
        <v>77</v>
      </c>
      <c r="AF1948" s="2">
        <f t="shared" si="272"/>
        <v>0</v>
      </c>
      <c r="AG1948" s="2">
        <f>98.28+7.82</f>
        <v>106.1</v>
      </c>
      <c r="AJ1948" s="2">
        <f t="shared" si="273"/>
        <v>0</v>
      </c>
      <c r="AK1948" s="2">
        <f t="shared" si="274"/>
        <v>93.9</v>
      </c>
      <c r="AL1948" s="5">
        <f t="shared" si="276"/>
        <v>0.46950000000000003</v>
      </c>
    </row>
    <row r="1949" spans="1:38" x14ac:dyDescent="0.2">
      <c r="A1949" s="2">
        <v>2025</v>
      </c>
      <c r="B1949" s="2">
        <v>10</v>
      </c>
      <c r="D1949" s="2" t="s">
        <v>1053</v>
      </c>
      <c r="E1949" s="2" t="s">
        <v>183</v>
      </c>
      <c r="F1949" s="2" t="s">
        <v>1054</v>
      </c>
      <c r="G1949" s="2">
        <v>500199523</v>
      </c>
      <c r="H1949" s="2" t="s">
        <v>290</v>
      </c>
      <c r="I1949" s="2" t="s">
        <v>293</v>
      </c>
      <c r="J1949" s="2" t="s">
        <v>1055</v>
      </c>
      <c r="L1949" s="2" t="s">
        <v>293</v>
      </c>
      <c r="M1949" s="2" t="s">
        <v>80</v>
      </c>
      <c r="O1949" s="2" t="s">
        <v>1911</v>
      </c>
      <c r="P1949" s="2" t="s">
        <v>72</v>
      </c>
      <c r="Q1949" s="2" t="s">
        <v>1449</v>
      </c>
      <c r="R1949" s="2" t="s">
        <v>307</v>
      </c>
      <c r="S1949" s="2">
        <v>1</v>
      </c>
      <c r="T1949" s="2">
        <v>230</v>
      </c>
      <c r="U1949" s="2">
        <v>52.900000000000013</v>
      </c>
      <c r="V1949" s="2">
        <v>282.89999999999998</v>
      </c>
      <c r="W1949" s="2">
        <v>122.446</v>
      </c>
      <c r="X1949" s="5">
        <f t="shared" si="277"/>
        <v>0.46762608695652175</v>
      </c>
      <c r="Z1949" s="2" t="s">
        <v>3227</v>
      </c>
      <c r="AA1949" s="2" t="s">
        <v>75</v>
      </c>
      <c r="AB1949" s="2" t="s">
        <v>76</v>
      </c>
      <c r="AC1949" s="2" t="s">
        <v>77</v>
      </c>
      <c r="AF1949" s="2">
        <f t="shared" si="272"/>
        <v>0</v>
      </c>
      <c r="AG1949" s="2">
        <v>122.446</v>
      </c>
      <c r="AH1949" s="2">
        <v>230</v>
      </c>
      <c r="AJ1949" s="2">
        <f t="shared" si="273"/>
        <v>0</v>
      </c>
      <c r="AK1949" s="2">
        <f t="shared" si="274"/>
        <v>107.554</v>
      </c>
      <c r="AL1949" s="5">
        <f t="shared" si="276"/>
        <v>0.46762608695652175</v>
      </c>
    </row>
    <row r="1950" spans="1:38" x14ac:dyDescent="0.2">
      <c r="A1950" s="2">
        <v>2025</v>
      </c>
      <c r="B1950" s="2">
        <v>10</v>
      </c>
      <c r="D1950" s="2" t="s">
        <v>1053</v>
      </c>
      <c r="E1950" s="2" t="s">
        <v>183</v>
      </c>
      <c r="F1950" s="2" t="s">
        <v>1054</v>
      </c>
      <c r="G1950" s="2">
        <v>500199523</v>
      </c>
      <c r="H1950" s="2" t="s">
        <v>290</v>
      </c>
      <c r="I1950" s="2" t="s">
        <v>293</v>
      </c>
      <c r="J1950" s="2" t="s">
        <v>1055</v>
      </c>
      <c r="L1950" s="2" t="s">
        <v>293</v>
      </c>
      <c r="M1950" s="2" t="s">
        <v>80</v>
      </c>
      <c r="O1950" s="2" t="s">
        <v>1911</v>
      </c>
      <c r="P1950" s="2" t="s">
        <v>169</v>
      </c>
      <c r="Q1950" s="2" t="s">
        <v>170</v>
      </c>
      <c r="R1950" s="2" t="s">
        <v>170</v>
      </c>
      <c r="S1950" s="2">
        <v>1</v>
      </c>
      <c r="T1950" s="2">
        <v>30</v>
      </c>
      <c r="U1950" s="2">
        <v>6.9</v>
      </c>
      <c r="V1950" s="2">
        <v>36.9</v>
      </c>
      <c r="W1950" s="2">
        <v>23</v>
      </c>
      <c r="X1950" s="5">
        <f t="shared" si="277"/>
        <v>0.23333333333333334</v>
      </c>
      <c r="Z1950" s="2" t="s">
        <v>169</v>
      </c>
      <c r="AA1950" s="2" t="s">
        <v>169</v>
      </c>
      <c r="AF1950" s="2">
        <f t="shared" si="272"/>
        <v>0</v>
      </c>
      <c r="AJ1950" s="2">
        <f t="shared" si="273"/>
        <v>0</v>
      </c>
      <c r="AK1950" s="2">
        <f t="shared" si="274"/>
        <v>7</v>
      </c>
      <c r="AL1950" s="5">
        <f t="shared" si="276"/>
        <v>0.23333333333333334</v>
      </c>
    </row>
    <row r="1951" spans="1:38" x14ac:dyDescent="0.2">
      <c r="A1951" s="2">
        <v>2025</v>
      </c>
      <c r="B1951" s="2">
        <v>10</v>
      </c>
      <c r="D1951" s="2" t="s">
        <v>1053</v>
      </c>
      <c r="E1951" s="2" t="s">
        <v>183</v>
      </c>
      <c r="F1951" s="2" t="s">
        <v>1054</v>
      </c>
      <c r="G1951" s="2">
        <v>500199523</v>
      </c>
      <c r="H1951" s="2" t="s">
        <v>290</v>
      </c>
      <c r="I1951" s="2" t="s">
        <v>293</v>
      </c>
      <c r="J1951" s="2" t="s">
        <v>1055</v>
      </c>
      <c r="L1951" s="2" t="s">
        <v>293</v>
      </c>
      <c r="M1951" s="2" t="s">
        <v>80</v>
      </c>
      <c r="O1951" s="2" t="s">
        <v>1912</v>
      </c>
      <c r="P1951" s="2" t="s">
        <v>93</v>
      </c>
      <c r="Q1951" s="2" t="s">
        <v>94</v>
      </c>
      <c r="R1951" s="2" t="s">
        <v>95</v>
      </c>
      <c r="S1951" s="2">
        <v>2</v>
      </c>
      <c r="T1951" s="2">
        <v>2.2799999999999998</v>
      </c>
      <c r="U1951" s="2">
        <v>0.52439999999999998</v>
      </c>
      <c r="V1951" s="2">
        <v>2.8043999999999998</v>
      </c>
      <c r="W1951" s="2">
        <v>2.2799999999999998</v>
      </c>
      <c r="X1951" s="5">
        <f t="shared" si="277"/>
        <v>0</v>
      </c>
      <c r="Z1951" s="2" t="s">
        <v>3227</v>
      </c>
      <c r="AA1951" s="2" t="s">
        <v>96</v>
      </c>
      <c r="AB1951" s="2" t="s">
        <v>76</v>
      </c>
      <c r="AC1951" s="2" t="s">
        <v>93</v>
      </c>
      <c r="AF1951" s="2">
        <f t="shared" si="272"/>
        <v>0</v>
      </c>
      <c r="AJ1951" s="2">
        <f t="shared" si="273"/>
        <v>0</v>
      </c>
      <c r="AK1951" s="2">
        <f t="shared" si="274"/>
        <v>0</v>
      </c>
      <c r="AL1951" s="5">
        <f t="shared" si="276"/>
        <v>0</v>
      </c>
    </row>
    <row r="1952" spans="1:38" x14ac:dyDescent="0.2">
      <c r="A1952" s="2">
        <v>2025</v>
      </c>
      <c r="B1952" s="2">
        <v>10</v>
      </c>
      <c r="D1952" s="2" t="s">
        <v>1065</v>
      </c>
      <c r="E1952" s="2" t="s">
        <v>108</v>
      </c>
      <c r="F1952" s="2" t="s">
        <v>39</v>
      </c>
      <c r="L1952" s="2" t="s">
        <v>99</v>
      </c>
      <c r="M1952" s="2" t="s">
        <v>41</v>
      </c>
      <c r="P1952" s="2" t="s">
        <v>43</v>
      </c>
      <c r="Q1952" s="2" t="s">
        <v>65</v>
      </c>
      <c r="R1952" s="2" t="s">
        <v>66</v>
      </c>
      <c r="S1952" s="2">
        <v>2</v>
      </c>
      <c r="T1952" s="2">
        <v>44</v>
      </c>
      <c r="U1952" s="2">
        <v>10.119999999999999</v>
      </c>
      <c r="V1952" s="2">
        <v>54.12</v>
      </c>
      <c r="W1952" s="2">
        <f>15.0203*S1952</f>
        <v>30.040600000000001</v>
      </c>
      <c r="X1952" s="5">
        <f t="shared" si="277"/>
        <v>0.31725909090909088</v>
      </c>
      <c r="Z1952" s="2" t="s">
        <v>3227</v>
      </c>
      <c r="AA1952" s="2" t="s">
        <v>46</v>
      </c>
      <c r="AB1952" s="2" t="s">
        <v>67</v>
      </c>
      <c r="AC1952" s="2" t="s">
        <v>57</v>
      </c>
      <c r="AF1952" s="2">
        <f t="shared" si="272"/>
        <v>0</v>
      </c>
      <c r="AG1952" s="2">
        <v>15.020300000000001</v>
      </c>
      <c r="AH1952" s="2">
        <v>27.6</v>
      </c>
      <c r="AJ1952" s="2">
        <f t="shared" si="273"/>
        <v>0</v>
      </c>
      <c r="AK1952" s="2">
        <f t="shared" si="274"/>
        <v>13.959399999999999</v>
      </c>
      <c r="AL1952" s="5">
        <f t="shared" si="276"/>
        <v>0.31725909090909088</v>
      </c>
    </row>
    <row r="1953" spans="1:38" x14ac:dyDescent="0.2">
      <c r="A1953" s="2">
        <v>2025</v>
      </c>
      <c r="B1953" s="2">
        <v>10</v>
      </c>
      <c r="D1953" s="2" t="s">
        <v>507</v>
      </c>
      <c r="E1953" s="2" t="s">
        <v>38</v>
      </c>
      <c r="F1953" s="2" t="s">
        <v>39</v>
      </c>
      <c r="G1953" s="2">
        <v>514446170</v>
      </c>
      <c r="H1953" s="2" t="s">
        <v>41</v>
      </c>
      <c r="I1953" s="2" t="s">
        <v>177</v>
      </c>
      <c r="J1953" s="2" t="s">
        <v>3134</v>
      </c>
      <c r="L1953" s="2" t="s">
        <v>177</v>
      </c>
      <c r="M1953" s="2" t="s">
        <v>41</v>
      </c>
      <c r="O1953" s="2" t="s">
        <v>3140</v>
      </c>
      <c r="P1953" s="2" t="s">
        <v>43</v>
      </c>
      <c r="Q1953" s="2" t="s">
        <v>48</v>
      </c>
      <c r="R1953" s="2" t="s">
        <v>49</v>
      </c>
      <c r="S1953" s="2">
        <v>1</v>
      </c>
      <c r="T1953" s="2">
        <v>12</v>
      </c>
      <c r="U1953" s="2">
        <v>2.76</v>
      </c>
      <c r="V1953" s="2">
        <v>14.76</v>
      </c>
      <c r="W1953" s="2">
        <f>6.6267*S1953</f>
        <v>6.6266999999999996</v>
      </c>
      <c r="X1953" s="5">
        <f t="shared" si="277"/>
        <v>0.44777500000000003</v>
      </c>
      <c r="Z1953" s="2" t="s">
        <v>3227</v>
      </c>
      <c r="AA1953" s="2" t="s">
        <v>46</v>
      </c>
      <c r="AB1953" s="2" t="s">
        <v>47</v>
      </c>
      <c r="AC1953" s="2" t="s">
        <v>57</v>
      </c>
      <c r="AF1953" s="2">
        <f t="shared" si="272"/>
        <v>0</v>
      </c>
      <c r="AG1953" s="2">
        <v>6.6266999999999996</v>
      </c>
      <c r="AH1953" s="2">
        <v>12</v>
      </c>
      <c r="AJ1953" s="2">
        <f t="shared" si="273"/>
        <v>0</v>
      </c>
      <c r="AK1953" s="2">
        <f t="shared" si="274"/>
        <v>5.3733000000000004</v>
      </c>
      <c r="AL1953" s="5">
        <f t="shared" si="276"/>
        <v>0.44777500000000003</v>
      </c>
    </row>
    <row r="1954" spans="1:38" x14ac:dyDescent="0.2">
      <c r="A1954" s="2">
        <v>2025</v>
      </c>
      <c r="B1954" s="2">
        <v>10</v>
      </c>
      <c r="D1954" s="2" t="s">
        <v>507</v>
      </c>
      <c r="E1954" s="2" t="s">
        <v>38</v>
      </c>
      <c r="F1954" s="2" t="s">
        <v>39</v>
      </c>
      <c r="G1954" s="2">
        <v>514446170</v>
      </c>
      <c r="H1954" s="2" t="s">
        <v>41</v>
      </c>
      <c r="I1954" s="2" t="s">
        <v>177</v>
      </c>
      <c r="J1954" s="2" t="s">
        <v>3134</v>
      </c>
      <c r="L1954" s="2" t="s">
        <v>177</v>
      </c>
      <c r="M1954" s="2" t="s">
        <v>41</v>
      </c>
      <c r="O1954" s="2" t="s">
        <v>3140</v>
      </c>
      <c r="P1954" s="2" t="s">
        <v>43</v>
      </c>
      <c r="Q1954" s="2" t="s">
        <v>52</v>
      </c>
      <c r="R1954" s="2" t="s">
        <v>53</v>
      </c>
      <c r="S1954" s="2">
        <v>2</v>
      </c>
      <c r="T1954" s="2">
        <v>19.2</v>
      </c>
      <c r="U1954" s="2">
        <v>4.4160000000000004</v>
      </c>
      <c r="V1954" s="2">
        <v>23.616</v>
      </c>
      <c r="W1954" s="2">
        <f>5.2973*S1954</f>
        <v>10.5946</v>
      </c>
      <c r="X1954" s="5">
        <f t="shared" si="277"/>
        <v>0.44819791666666664</v>
      </c>
      <c r="Z1954" s="2" t="s">
        <v>3227</v>
      </c>
      <c r="AA1954" s="2" t="s">
        <v>46</v>
      </c>
      <c r="AB1954" s="2" t="s">
        <v>47</v>
      </c>
      <c r="AC1954" s="2" t="s">
        <v>57</v>
      </c>
      <c r="AF1954" s="2">
        <f t="shared" si="272"/>
        <v>0</v>
      </c>
      <c r="AG1954" s="2">
        <v>5.2972999999999999</v>
      </c>
      <c r="AH1954" s="2">
        <v>10.8</v>
      </c>
      <c r="AJ1954" s="2">
        <f t="shared" si="273"/>
        <v>0</v>
      </c>
      <c r="AK1954" s="2">
        <f t="shared" si="274"/>
        <v>8.6053999999999995</v>
      </c>
      <c r="AL1954" s="5">
        <f t="shared" si="276"/>
        <v>0.44819791666666664</v>
      </c>
    </row>
    <row r="1955" spans="1:38" x14ac:dyDescent="0.2">
      <c r="A1955" s="2">
        <v>2025</v>
      </c>
      <c r="B1955" s="2">
        <v>10</v>
      </c>
      <c r="D1955" s="2" t="s">
        <v>1913</v>
      </c>
      <c r="P1955" s="2" t="s">
        <v>114</v>
      </c>
      <c r="Q1955" s="16" t="s">
        <v>709</v>
      </c>
      <c r="R1955" s="2" t="s">
        <v>710</v>
      </c>
      <c r="S1955" s="2">
        <v>1</v>
      </c>
      <c r="T1955" s="2">
        <v>1870</v>
      </c>
      <c r="U1955" s="2">
        <v>430.1</v>
      </c>
      <c r="V1955" s="2">
        <v>2300.1</v>
      </c>
      <c r="W1955" s="2">
        <f>1244.2445</f>
        <v>1244.2445</v>
      </c>
      <c r="X1955" s="5">
        <f t="shared" si="277"/>
        <v>0.33462860962566843</v>
      </c>
      <c r="Z1955" s="2" t="s">
        <v>104</v>
      </c>
      <c r="AA1955" s="2" t="s">
        <v>578</v>
      </c>
      <c r="AB1955" s="2" t="s">
        <v>701</v>
      </c>
      <c r="AC1955" s="2" t="s">
        <v>114</v>
      </c>
      <c r="AF1955" s="2">
        <f t="shared" si="272"/>
        <v>0</v>
      </c>
      <c r="AJ1955" s="2">
        <f t="shared" si="273"/>
        <v>0</v>
      </c>
      <c r="AK1955" s="2">
        <f t="shared" si="274"/>
        <v>625.75549999999998</v>
      </c>
      <c r="AL1955" s="5">
        <f t="shared" si="276"/>
        <v>0.33462860962566843</v>
      </c>
    </row>
    <row r="1956" spans="1:38" x14ac:dyDescent="0.2">
      <c r="A1956" s="2">
        <v>2025</v>
      </c>
      <c r="B1956" s="2">
        <v>10</v>
      </c>
      <c r="D1956" s="2" t="s">
        <v>1914</v>
      </c>
      <c r="P1956" s="2" t="s">
        <v>114</v>
      </c>
      <c r="Q1956" s="2" t="s">
        <v>1915</v>
      </c>
      <c r="R1956" s="2" t="s">
        <v>1916</v>
      </c>
      <c r="S1956" s="2">
        <v>1</v>
      </c>
      <c r="T1956" s="2">
        <v>523.41999999999996</v>
      </c>
      <c r="U1956" s="2">
        <v>120.3866</v>
      </c>
      <c r="V1956" s="2">
        <v>643.8066</v>
      </c>
      <c r="X1956" s="5">
        <f t="shared" si="277"/>
        <v>1</v>
      </c>
      <c r="Z1956" s="2" t="s">
        <v>117</v>
      </c>
      <c r="AF1956" s="2">
        <f t="shared" si="272"/>
        <v>0</v>
      </c>
      <c r="AJ1956" s="2">
        <f t="shared" si="273"/>
        <v>0</v>
      </c>
      <c r="AK1956" s="2">
        <f t="shared" si="274"/>
        <v>523.41999999999996</v>
      </c>
      <c r="AL1956" s="5">
        <f t="shared" si="276"/>
        <v>1</v>
      </c>
    </row>
    <row r="1957" spans="1:38" x14ac:dyDescent="0.2">
      <c r="A1957" s="2">
        <v>2025</v>
      </c>
      <c r="B1957" s="2">
        <v>10</v>
      </c>
      <c r="D1957" s="2" t="s">
        <v>1593</v>
      </c>
      <c r="E1957" s="2" t="s">
        <v>108</v>
      </c>
      <c r="F1957" s="2" t="s">
        <v>395</v>
      </c>
      <c r="G1957" s="2">
        <v>500314594</v>
      </c>
      <c r="H1957" s="2" t="s">
        <v>40</v>
      </c>
      <c r="I1957" s="2" t="s">
        <v>1594</v>
      </c>
      <c r="J1957" s="2" t="s">
        <v>1595</v>
      </c>
      <c r="L1957" s="2" t="s">
        <v>201</v>
      </c>
      <c r="M1957" s="2" t="s">
        <v>41</v>
      </c>
      <c r="O1957" s="2" t="s">
        <v>1917</v>
      </c>
      <c r="P1957" s="2" t="s">
        <v>282</v>
      </c>
      <c r="Q1957" s="2" t="s">
        <v>399</v>
      </c>
      <c r="R1957" s="2" t="s">
        <v>400</v>
      </c>
      <c r="S1957" s="2">
        <v>12</v>
      </c>
      <c r="T1957" s="2">
        <v>240</v>
      </c>
      <c r="U1957" s="2">
        <v>55.2</v>
      </c>
      <c r="V1957" s="2">
        <v>295.2</v>
      </c>
      <c r="W1957" s="2">
        <f>17.4*S1957</f>
        <v>208.79999999999998</v>
      </c>
      <c r="X1957" s="5">
        <f t="shared" si="277"/>
        <v>0.13000000000000006</v>
      </c>
      <c r="Z1957" s="2" t="s">
        <v>3227</v>
      </c>
      <c r="AA1957" s="2" t="s">
        <v>46</v>
      </c>
      <c r="AB1957" s="2" t="s">
        <v>60</v>
      </c>
      <c r="AC1957" s="2" t="s">
        <v>3332</v>
      </c>
      <c r="AF1957" s="2">
        <f t="shared" si="272"/>
        <v>0</v>
      </c>
      <c r="AJ1957" s="2">
        <f t="shared" si="273"/>
        <v>0</v>
      </c>
      <c r="AK1957" s="2">
        <f t="shared" si="274"/>
        <v>31.200000000000017</v>
      </c>
      <c r="AL1957" s="5">
        <f t="shared" si="276"/>
        <v>0.13000000000000006</v>
      </c>
    </row>
    <row r="1958" spans="1:38" x14ac:dyDescent="0.2">
      <c r="A1958" s="2">
        <v>2025</v>
      </c>
      <c r="B1958" s="2">
        <v>10</v>
      </c>
      <c r="D1958" s="2" t="s">
        <v>1593</v>
      </c>
      <c r="E1958" s="2" t="s">
        <v>108</v>
      </c>
      <c r="F1958" s="2" t="s">
        <v>395</v>
      </c>
      <c r="G1958" s="2">
        <v>500314594</v>
      </c>
      <c r="H1958" s="2" t="s">
        <v>40</v>
      </c>
      <c r="I1958" s="2" t="s">
        <v>1594</v>
      </c>
      <c r="J1958" s="2" t="s">
        <v>1595</v>
      </c>
      <c r="L1958" s="2" t="s">
        <v>201</v>
      </c>
      <c r="M1958" s="2" t="s">
        <v>41</v>
      </c>
      <c r="O1958" s="2" t="s">
        <v>1917</v>
      </c>
      <c r="P1958" s="2" t="s">
        <v>282</v>
      </c>
      <c r="Q1958" s="2" t="s">
        <v>401</v>
      </c>
      <c r="R1958" s="2" t="s">
        <v>402</v>
      </c>
      <c r="S1958" s="2">
        <v>8</v>
      </c>
      <c r="T1958" s="2">
        <v>160</v>
      </c>
      <c r="U1958" s="2">
        <v>36.799999999999997</v>
      </c>
      <c r="V1958" s="2">
        <v>196.8</v>
      </c>
      <c r="W1958" s="2">
        <f>17.4*S1958</f>
        <v>139.19999999999999</v>
      </c>
      <c r="X1958" s="5">
        <f t="shared" si="277"/>
        <v>0.13000000000000006</v>
      </c>
      <c r="Z1958" s="2" t="s">
        <v>3227</v>
      </c>
      <c r="AA1958" s="2" t="s">
        <v>46</v>
      </c>
      <c r="AB1958" s="2" t="s">
        <v>60</v>
      </c>
      <c r="AC1958" s="2" t="s">
        <v>3332</v>
      </c>
      <c r="AF1958" s="2">
        <f t="shared" si="272"/>
        <v>0</v>
      </c>
      <c r="AJ1958" s="2">
        <f t="shared" si="273"/>
        <v>0</v>
      </c>
      <c r="AK1958" s="2">
        <f t="shared" si="274"/>
        <v>20.800000000000011</v>
      </c>
      <c r="AL1958" s="5">
        <f t="shared" si="276"/>
        <v>0.13000000000000006</v>
      </c>
    </row>
    <row r="1959" spans="1:38" x14ac:dyDescent="0.2">
      <c r="A1959" s="2">
        <v>2025</v>
      </c>
      <c r="B1959" s="2">
        <v>10</v>
      </c>
      <c r="D1959" s="2" t="s">
        <v>867</v>
      </c>
      <c r="E1959" s="2" t="s">
        <v>38</v>
      </c>
      <c r="F1959" s="2" t="s">
        <v>39</v>
      </c>
      <c r="G1959" s="2">
        <v>226546594</v>
      </c>
      <c r="H1959" s="2" t="s">
        <v>41</v>
      </c>
      <c r="I1959" s="2" t="s">
        <v>868</v>
      </c>
      <c r="J1959" s="2" t="s">
        <v>869</v>
      </c>
      <c r="K1959" s="2">
        <v>933599817</v>
      </c>
      <c r="L1959" s="2" t="s">
        <v>99</v>
      </c>
      <c r="P1959" s="2" t="s">
        <v>43</v>
      </c>
      <c r="Q1959" s="2" t="s">
        <v>61</v>
      </c>
      <c r="R1959" s="2" t="s">
        <v>62</v>
      </c>
      <c r="S1959" s="2">
        <v>1000</v>
      </c>
      <c r="T1959" s="2">
        <v>105</v>
      </c>
      <c r="U1959" s="2">
        <v>24.15</v>
      </c>
      <c r="V1959" s="2">
        <v>129.15</v>
      </c>
      <c r="W1959" s="2">
        <f>0.082*S1959</f>
        <v>82</v>
      </c>
      <c r="X1959" s="5">
        <f t="shared" si="277"/>
        <v>0.21904761904761905</v>
      </c>
      <c r="Z1959" s="2" t="s">
        <v>3227</v>
      </c>
      <c r="AA1959" s="2" t="s">
        <v>46</v>
      </c>
      <c r="AB1959" s="2" t="s">
        <v>60</v>
      </c>
      <c r="AC1959" s="2" t="s">
        <v>57</v>
      </c>
      <c r="AF1959" s="2">
        <f t="shared" si="272"/>
        <v>0</v>
      </c>
      <c r="AG1959" s="2">
        <v>8.1999999999999993</v>
      </c>
      <c r="AH1959" s="2">
        <v>13</v>
      </c>
      <c r="AJ1959" s="2">
        <f t="shared" si="273"/>
        <v>0</v>
      </c>
      <c r="AK1959" s="2">
        <f t="shared" si="274"/>
        <v>23</v>
      </c>
      <c r="AL1959" s="5">
        <f t="shared" si="276"/>
        <v>0.21904761904761905</v>
      </c>
    </row>
    <row r="1960" spans="1:38" x14ac:dyDescent="0.2">
      <c r="A1960" s="2">
        <v>2025</v>
      </c>
      <c r="B1960" s="2">
        <v>10</v>
      </c>
      <c r="D1960" s="2" t="s">
        <v>530</v>
      </c>
      <c r="E1960" s="2" t="s">
        <v>108</v>
      </c>
      <c r="F1960" s="2" t="s">
        <v>531</v>
      </c>
      <c r="G1960" s="2">
        <v>502139552</v>
      </c>
      <c r="H1960" s="2" t="s">
        <v>40</v>
      </c>
      <c r="I1960" s="2" t="s">
        <v>339</v>
      </c>
      <c r="J1960" s="2" t="s">
        <v>532</v>
      </c>
      <c r="L1960" s="2" t="s">
        <v>339</v>
      </c>
      <c r="M1960" s="2" t="s">
        <v>80</v>
      </c>
      <c r="P1960" s="2" t="s">
        <v>72</v>
      </c>
      <c r="Q1960" s="2" t="s">
        <v>832</v>
      </c>
      <c r="R1960" s="2" t="s">
        <v>74</v>
      </c>
      <c r="S1960" s="2">
        <v>1</v>
      </c>
      <c r="T1960" s="2">
        <v>219.88</v>
      </c>
      <c r="U1960" s="2">
        <v>50.572400000000002</v>
      </c>
      <c r="V1960" s="2">
        <v>270.45240000000001</v>
      </c>
      <c r="W1960" s="2">
        <v>120.636</v>
      </c>
      <c r="X1960" s="5">
        <f t="shared" si="277"/>
        <v>0.45135528470074587</v>
      </c>
      <c r="Z1960" s="2" t="s">
        <v>3227</v>
      </c>
      <c r="AA1960" s="2" t="s">
        <v>75</v>
      </c>
      <c r="AB1960" s="2" t="s">
        <v>76</v>
      </c>
      <c r="AC1960" s="2" t="s">
        <v>77</v>
      </c>
      <c r="AF1960" s="2">
        <f t="shared" si="272"/>
        <v>0</v>
      </c>
      <c r="AG1960" s="2">
        <v>120.636</v>
      </c>
      <c r="AH1960" s="2">
        <v>220</v>
      </c>
      <c r="AJ1960" s="2">
        <f t="shared" si="273"/>
        <v>0</v>
      </c>
      <c r="AK1960" s="2">
        <f t="shared" si="274"/>
        <v>99.244</v>
      </c>
      <c r="AL1960" s="5">
        <f t="shared" si="276"/>
        <v>0.45135528470074587</v>
      </c>
    </row>
    <row r="1961" spans="1:38" x14ac:dyDescent="0.2">
      <c r="A1961" s="2">
        <v>2025</v>
      </c>
      <c r="B1961" s="2">
        <v>10</v>
      </c>
      <c r="D1961" s="2" t="s">
        <v>530</v>
      </c>
      <c r="E1961" s="2" t="s">
        <v>108</v>
      </c>
      <c r="F1961" s="2" t="s">
        <v>531</v>
      </c>
      <c r="G1961" s="2">
        <v>502139552</v>
      </c>
      <c r="H1961" s="2" t="s">
        <v>40</v>
      </c>
      <c r="I1961" s="2" t="s">
        <v>339</v>
      </c>
      <c r="J1961" s="2" t="s">
        <v>532</v>
      </c>
      <c r="L1961" s="2" t="s">
        <v>339</v>
      </c>
      <c r="M1961" s="2" t="s">
        <v>40</v>
      </c>
      <c r="P1961" s="2" t="s">
        <v>40</v>
      </c>
      <c r="Q1961" s="2" t="s">
        <v>140</v>
      </c>
      <c r="R1961" s="2" t="s">
        <v>141</v>
      </c>
      <c r="S1961" s="2">
        <v>-4</v>
      </c>
      <c r="T1961" s="2">
        <v>-39.68</v>
      </c>
      <c r="U1961" s="2">
        <v>-9.1264000000000003</v>
      </c>
      <c r="V1961" s="2">
        <v>-48.806399999999996</v>
      </c>
      <c r="Z1961" s="2" t="s">
        <v>119</v>
      </c>
      <c r="AA1961" s="2" t="s">
        <v>142</v>
      </c>
      <c r="AF1961" s="2">
        <f t="shared" si="272"/>
        <v>0</v>
      </c>
      <c r="AJ1961" s="2">
        <f t="shared" si="273"/>
        <v>0</v>
      </c>
    </row>
    <row r="1962" spans="1:38" x14ac:dyDescent="0.2">
      <c r="A1962" s="2">
        <v>2025</v>
      </c>
      <c r="B1962" s="2">
        <v>10</v>
      </c>
      <c r="D1962" s="2" t="s">
        <v>530</v>
      </c>
      <c r="E1962" s="2" t="s">
        <v>108</v>
      </c>
      <c r="F1962" s="2" t="s">
        <v>531</v>
      </c>
      <c r="G1962" s="2">
        <v>502139552</v>
      </c>
      <c r="H1962" s="2" t="s">
        <v>40</v>
      </c>
      <c r="I1962" s="2" t="s">
        <v>339</v>
      </c>
      <c r="J1962" s="2" t="s">
        <v>532</v>
      </c>
      <c r="L1962" s="2" t="s">
        <v>339</v>
      </c>
      <c r="M1962" s="2" t="s">
        <v>80</v>
      </c>
      <c r="P1962" s="2" t="s">
        <v>93</v>
      </c>
      <c r="Q1962" s="2" t="s">
        <v>94</v>
      </c>
      <c r="R1962" s="2" t="s">
        <v>95</v>
      </c>
      <c r="S1962" s="2">
        <v>1</v>
      </c>
      <c r="T1962" s="2">
        <v>1.1399999999999999</v>
      </c>
      <c r="U1962" s="2">
        <v>0.26219999999999999</v>
      </c>
      <c r="V1962" s="2">
        <v>1.4021999999999999</v>
      </c>
      <c r="W1962" s="2">
        <v>1.1399999999999999</v>
      </c>
      <c r="X1962" s="5">
        <f t="shared" ref="X1962:X2001" si="278">(T1962-W1962)/T1962</f>
        <v>0</v>
      </c>
      <c r="Z1962" s="2" t="s">
        <v>3227</v>
      </c>
      <c r="AA1962" s="2" t="s">
        <v>96</v>
      </c>
      <c r="AB1962" s="2" t="s">
        <v>76</v>
      </c>
      <c r="AC1962" s="2" t="s">
        <v>93</v>
      </c>
      <c r="AF1962" s="2">
        <f t="shared" si="272"/>
        <v>0</v>
      </c>
      <c r="AJ1962" s="2">
        <f t="shared" si="273"/>
        <v>0</v>
      </c>
      <c r="AK1962" s="2">
        <f t="shared" ref="AK1962:AK2001" si="279">T1962-W1962</f>
        <v>0</v>
      </c>
      <c r="AL1962" s="5">
        <f t="shared" ref="AL1962:AL2001" si="280">(T1962-W1962)/T1962</f>
        <v>0</v>
      </c>
    </row>
    <row r="1963" spans="1:38" x14ac:dyDescent="0.2">
      <c r="A1963" s="2">
        <v>2025</v>
      </c>
      <c r="B1963" s="2">
        <v>10</v>
      </c>
      <c r="D1963" s="2" t="s">
        <v>1418</v>
      </c>
      <c r="E1963" s="2" t="s">
        <v>108</v>
      </c>
      <c r="F1963" s="2" t="s">
        <v>39</v>
      </c>
      <c r="G1963" s="2">
        <v>502696338</v>
      </c>
      <c r="H1963" s="2" t="s">
        <v>40</v>
      </c>
      <c r="I1963" s="2" t="s">
        <v>2411</v>
      </c>
      <c r="J1963" s="2" t="s">
        <v>2412</v>
      </c>
      <c r="L1963" s="2" t="s">
        <v>201</v>
      </c>
      <c r="M1963" s="2" t="s">
        <v>80</v>
      </c>
      <c r="P1963" s="2" t="s">
        <v>1038</v>
      </c>
      <c r="Q1963" s="2" t="s">
        <v>1918</v>
      </c>
      <c r="R1963" s="2" t="s">
        <v>1919</v>
      </c>
      <c r="S1963" s="2">
        <v>4</v>
      </c>
      <c r="T1963" s="2">
        <v>691.06</v>
      </c>
      <c r="U1963" s="2">
        <v>158.94380000000001</v>
      </c>
      <c r="V1963" s="2">
        <v>850.00379999999996</v>
      </c>
      <c r="W1963" s="2">
        <f>108.6*4</f>
        <v>434.4</v>
      </c>
      <c r="X1963" s="5">
        <f t="shared" si="278"/>
        <v>0.37140045726854398</v>
      </c>
      <c r="Z1963" s="2" t="s">
        <v>3227</v>
      </c>
      <c r="AA1963" s="2" t="s">
        <v>1041</v>
      </c>
      <c r="AB1963" s="2" t="s">
        <v>1318</v>
      </c>
      <c r="AC1963" s="2" t="s">
        <v>1038</v>
      </c>
      <c r="AF1963" s="2">
        <f t="shared" si="272"/>
        <v>0</v>
      </c>
      <c r="AJ1963" s="2">
        <f t="shared" si="273"/>
        <v>0</v>
      </c>
      <c r="AK1963" s="2">
        <f t="shared" si="279"/>
        <v>256.65999999999997</v>
      </c>
      <c r="AL1963" s="5">
        <f t="shared" si="280"/>
        <v>0.37140045726854398</v>
      </c>
    </row>
    <row r="1964" spans="1:38" x14ac:dyDescent="0.2">
      <c r="A1964" s="2">
        <v>2025</v>
      </c>
      <c r="B1964" s="2">
        <v>10</v>
      </c>
      <c r="D1964" s="2" t="s">
        <v>1418</v>
      </c>
      <c r="E1964" s="2" t="s">
        <v>108</v>
      </c>
      <c r="F1964" s="2" t="s">
        <v>39</v>
      </c>
      <c r="G1964" s="2">
        <v>502696338</v>
      </c>
      <c r="H1964" s="2" t="s">
        <v>40</v>
      </c>
      <c r="I1964" s="2" t="s">
        <v>2411</v>
      </c>
      <c r="J1964" s="2" t="s">
        <v>2412</v>
      </c>
      <c r="L1964" s="2" t="s">
        <v>201</v>
      </c>
      <c r="M1964" s="2" t="s">
        <v>80</v>
      </c>
      <c r="P1964" s="2" t="s">
        <v>169</v>
      </c>
      <c r="Q1964" s="2" t="s">
        <v>170</v>
      </c>
      <c r="R1964" s="2" t="s">
        <v>170</v>
      </c>
      <c r="S1964" s="2">
        <v>1</v>
      </c>
      <c r="T1964" s="2">
        <v>25</v>
      </c>
      <c r="U1964" s="2">
        <v>5.75</v>
      </c>
      <c r="V1964" s="2">
        <v>30.75</v>
      </c>
      <c r="W1964" s="2">
        <v>23</v>
      </c>
      <c r="X1964" s="5">
        <f t="shared" si="278"/>
        <v>0.08</v>
      </c>
      <c r="Z1964" s="2" t="s">
        <v>169</v>
      </c>
      <c r="AA1964" s="2" t="s">
        <v>169</v>
      </c>
      <c r="AF1964" s="2">
        <f t="shared" si="272"/>
        <v>0</v>
      </c>
      <c r="AJ1964" s="2">
        <f t="shared" si="273"/>
        <v>0</v>
      </c>
      <c r="AK1964" s="2">
        <f t="shared" si="279"/>
        <v>2</v>
      </c>
      <c r="AL1964" s="5">
        <f t="shared" si="280"/>
        <v>0.08</v>
      </c>
    </row>
    <row r="1965" spans="1:38" x14ac:dyDescent="0.2">
      <c r="A1965" s="2">
        <v>2025</v>
      </c>
      <c r="B1965" s="2">
        <v>10</v>
      </c>
      <c r="D1965" s="2" t="s">
        <v>558</v>
      </c>
      <c r="E1965" s="2" t="s">
        <v>108</v>
      </c>
      <c r="F1965" s="2" t="s">
        <v>39</v>
      </c>
      <c r="G1965" s="2">
        <v>506517233</v>
      </c>
      <c r="H1965" s="2" t="s">
        <v>80</v>
      </c>
      <c r="I1965" s="2" t="s">
        <v>559</v>
      </c>
      <c r="J1965" s="2" t="s">
        <v>560</v>
      </c>
      <c r="L1965" s="2" t="s">
        <v>133</v>
      </c>
      <c r="P1965" s="2" t="s">
        <v>114</v>
      </c>
      <c r="Q1965" s="2" t="s">
        <v>1904</v>
      </c>
      <c r="R1965" s="2" t="s">
        <v>1905</v>
      </c>
      <c r="S1965" s="2">
        <v>1</v>
      </c>
      <c r="T1965" s="2">
        <v>19650</v>
      </c>
      <c r="U1965" s="2">
        <v>4519.5</v>
      </c>
      <c r="V1965" s="2">
        <v>24169.5</v>
      </c>
      <c r="W1965" s="2">
        <v>17000.97</v>
      </c>
      <c r="X1965" s="5">
        <f t="shared" si="278"/>
        <v>0.13481068702290069</v>
      </c>
      <c r="Z1965" s="2" t="s">
        <v>104</v>
      </c>
      <c r="AA1965" s="2" t="s">
        <v>414</v>
      </c>
      <c r="AB1965" s="2" t="s">
        <v>151</v>
      </c>
      <c r="AC1965" s="2" t="s">
        <v>114</v>
      </c>
      <c r="AF1965" s="2">
        <f t="shared" si="272"/>
        <v>0</v>
      </c>
      <c r="AJ1965" s="2">
        <f t="shared" si="273"/>
        <v>0</v>
      </c>
      <c r="AK1965" s="2">
        <f t="shared" si="279"/>
        <v>2649.0299999999988</v>
      </c>
      <c r="AL1965" s="5">
        <f t="shared" si="280"/>
        <v>0.13481068702290069</v>
      </c>
    </row>
    <row r="1966" spans="1:38" x14ac:dyDescent="0.2">
      <c r="A1966" s="2">
        <v>2025</v>
      </c>
      <c r="B1966" s="2">
        <v>10</v>
      </c>
      <c r="D1966" s="2" t="s">
        <v>558</v>
      </c>
      <c r="E1966" s="2" t="s">
        <v>108</v>
      </c>
      <c r="F1966" s="2" t="s">
        <v>39</v>
      </c>
      <c r="G1966" s="2">
        <v>506517233</v>
      </c>
      <c r="H1966" s="2" t="s">
        <v>80</v>
      </c>
      <c r="I1966" s="2" t="s">
        <v>559</v>
      </c>
      <c r="J1966" s="2" t="s">
        <v>560</v>
      </c>
      <c r="L1966" s="2" t="s">
        <v>133</v>
      </c>
      <c r="M1966" s="2" t="s">
        <v>40</v>
      </c>
      <c r="P1966" s="2" t="s">
        <v>114</v>
      </c>
      <c r="Q1966" s="2" t="s">
        <v>1920</v>
      </c>
      <c r="R1966" s="2" t="s">
        <v>1921</v>
      </c>
      <c r="S1966" s="2">
        <v>1</v>
      </c>
      <c r="T1966" s="2">
        <v>21000.41</v>
      </c>
      <c r="U1966" s="2">
        <v>4830.0942999999997</v>
      </c>
      <c r="V1966" s="2">
        <v>25830.504300000001</v>
      </c>
      <c r="W1966" s="2">
        <v>19993.59</v>
      </c>
      <c r="X1966" s="5">
        <f t="shared" si="278"/>
        <v>4.7942873496279348E-2</v>
      </c>
      <c r="Z1966" s="2" t="s">
        <v>104</v>
      </c>
      <c r="AA1966" s="2" t="s">
        <v>150</v>
      </c>
      <c r="AB1966" s="2" t="s">
        <v>151</v>
      </c>
      <c r="AC1966" s="2" t="s">
        <v>114</v>
      </c>
      <c r="AF1966" s="2">
        <f t="shared" si="272"/>
        <v>0</v>
      </c>
      <c r="AG1966" s="2">
        <f>19501.14+492.45</f>
        <v>19993.59</v>
      </c>
      <c r="AJ1966" s="2">
        <f t="shared" si="273"/>
        <v>0</v>
      </c>
      <c r="AK1966" s="2">
        <f t="shared" si="279"/>
        <v>1006.8199999999997</v>
      </c>
      <c r="AL1966" s="5">
        <f t="shared" si="280"/>
        <v>4.7942873496279348E-2</v>
      </c>
    </row>
    <row r="1967" spans="1:38" x14ac:dyDescent="0.2">
      <c r="A1967" s="2">
        <v>2025</v>
      </c>
      <c r="B1967" s="2">
        <v>10</v>
      </c>
      <c r="D1967" s="2" t="s">
        <v>558</v>
      </c>
      <c r="E1967" s="2" t="s">
        <v>108</v>
      </c>
      <c r="F1967" s="2" t="s">
        <v>39</v>
      </c>
      <c r="G1967" s="2">
        <v>506517233</v>
      </c>
      <c r="H1967" s="2" t="s">
        <v>80</v>
      </c>
      <c r="I1967" s="2" t="s">
        <v>559</v>
      </c>
      <c r="J1967" s="2" t="s">
        <v>560</v>
      </c>
      <c r="L1967" s="2" t="s">
        <v>133</v>
      </c>
      <c r="M1967" s="2" t="s">
        <v>40</v>
      </c>
      <c r="O1967" s="2" t="s">
        <v>3224</v>
      </c>
      <c r="P1967" s="2" t="s">
        <v>282</v>
      </c>
      <c r="Q1967" s="2" t="s">
        <v>1391</v>
      </c>
      <c r="R1967" s="2" t="s">
        <v>1392</v>
      </c>
      <c r="S1967" s="2">
        <v>1</v>
      </c>
      <c r="T1967" s="2">
        <v>2499</v>
      </c>
      <c r="U1967" s="2">
        <v>574.77</v>
      </c>
      <c r="V1967" s="2">
        <v>3073.77</v>
      </c>
      <c r="W1967" s="2">
        <v>1990</v>
      </c>
      <c r="X1967" s="5">
        <f t="shared" si="278"/>
        <v>0.20368147258903563</v>
      </c>
      <c r="Z1967" s="2" t="s">
        <v>3227</v>
      </c>
      <c r="AA1967" s="2" t="s">
        <v>71</v>
      </c>
      <c r="AB1967" s="2" t="s">
        <v>1600</v>
      </c>
      <c r="AC1967" s="2" t="s">
        <v>1600</v>
      </c>
      <c r="AF1967" s="2">
        <f t="shared" si="272"/>
        <v>0</v>
      </c>
      <c r="AG1967" s="2">
        <v>1990</v>
      </c>
      <c r="AJ1967" s="2">
        <f t="shared" si="273"/>
        <v>0</v>
      </c>
      <c r="AK1967" s="2">
        <f t="shared" si="279"/>
        <v>509</v>
      </c>
      <c r="AL1967" s="5">
        <f t="shared" si="280"/>
        <v>0.20368147258903563</v>
      </c>
    </row>
    <row r="1968" spans="1:38" x14ac:dyDescent="0.2">
      <c r="A1968" s="2">
        <v>2025</v>
      </c>
      <c r="B1968" s="2">
        <v>10</v>
      </c>
      <c r="D1968" s="2" t="s">
        <v>558</v>
      </c>
      <c r="E1968" s="2" t="s">
        <v>108</v>
      </c>
      <c r="F1968" s="2" t="s">
        <v>39</v>
      </c>
      <c r="G1968" s="2">
        <v>506517233</v>
      </c>
      <c r="H1968" s="2" t="s">
        <v>80</v>
      </c>
      <c r="I1968" s="2" t="s">
        <v>559</v>
      </c>
      <c r="J1968" s="2" t="s">
        <v>560</v>
      </c>
      <c r="L1968" s="2" t="s">
        <v>133</v>
      </c>
      <c r="M1968" s="2" t="s">
        <v>80</v>
      </c>
      <c r="O1968" s="2" t="s">
        <v>3225</v>
      </c>
      <c r="P1968" s="2" t="s">
        <v>282</v>
      </c>
      <c r="Q1968" s="2" t="s">
        <v>1444</v>
      </c>
      <c r="R1968" s="2" t="s">
        <v>1445</v>
      </c>
      <c r="S1968" s="2">
        <v>1</v>
      </c>
      <c r="T1968" s="2">
        <v>100</v>
      </c>
      <c r="U1968" s="2">
        <v>23</v>
      </c>
      <c r="V1968" s="2">
        <v>123</v>
      </c>
      <c r="W1968" s="2">
        <v>71.94</v>
      </c>
      <c r="X1968" s="5">
        <f t="shared" si="278"/>
        <v>0.28060000000000002</v>
      </c>
      <c r="Z1968" s="2" t="s">
        <v>3227</v>
      </c>
      <c r="AA1968" s="2" t="s">
        <v>71</v>
      </c>
      <c r="AB1968" s="2" t="s">
        <v>1600</v>
      </c>
      <c r="AC1968" s="2" t="s">
        <v>1600</v>
      </c>
      <c r="AF1968" s="2">
        <f t="shared" si="272"/>
        <v>0</v>
      </c>
      <c r="AG1968" s="2">
        <v>71.94</v>
      </c>
      <c r="AJ1968" s="2">
        <f t="shared" si="273"/>
        <v>0</v>
      </c>
      <c r="AK1968" s="2">
        <f t="shared" si="279"/>
        <v>28.060000000000002</v>
      </c>
      <c r="AL1968" s="5">
        <f t="shared" si="280"/>
        <v>0.28060000000000002</v>
      </c>
    </row>
    <row r="1969" spans="1:38" x14ac:dyDescent="0.2">
      <c r="A1969" s="2">
        <v>2025</v>
      </c>
      <c r="B1969" s="2">
        <v>10</v>
      </c>
      <c r="D1969" s="2" t="s">
        <v>558</v>
      </c>
      <c r="E1969" s="2" t="s">
        <v>108</v>
      </c>
      <c r="F1969" s="2" t="s">
        <v>39</v>
      </c>
      <c r="G1969" s="2">
        <v>506517233</v>
      </c>
      <c r="H1969" s="2" t="s">
        <v>80</v>
      </c>
      <c r="I1969" s="2" t="s">
        <v>559</v>
      </c>
      <c r="J1969" s="2" t="s">
        <v>560</v>
      </c>
      <c r="L1969" s="2" t="s">
        <v>133</v>
      </c>
      <c r="M1969" s="2" t="s">
        <v>80</v>
      </c>
      <c r="P1969" s="2" t="s">
        <v>1038</v>
      </c>
      <c r="Q1969" s="2" t="s">
        <v>1922</v>
      </c>
      <c r="R1969" s="2" t="s">
        <v>1923</v>
      </c>
      <c r="S1969" s="2">
        <v>4</v>
      </c>
      <c r="T1969" s="2">
        <v>486.6</v>
      </c>
      <c r="U1969" s="2">
        <v>111.91800000000001</v>
      </c>
      <c r="V1969" s="2">
        <v>598.51800000000003</v>
      </c>
      <c r="W1969" s="2">
        <f>95.917*4</f>
        <v>383.66800000000001</v>
      </c>
      <c r="X1969" s="5">
        <f t="shared" si="278"/>
        <v>0.21153308672420881</v>
      </c>
      <c r="Z1969" s="2" t="s">
        <v>3227</v>
      </c>
      <c r="AA1969" s="2" t="s">
        <v>1041</v>
      </c>
      <c r="AB1969" s="2" t="s">
        <v>1270</v>
      </c>
      <c r="AC1969" s="2" t="s">
        <v>1038</v>
      </c>
      <c r="AF1969" s="2">
        <f t="shared" si="272"/>
        <v>0</v>
      </c>
      <c r="AJ1969" s="2">
        <f t="shared" si="273"/>
        <v>0</v>
      </c>
      <c r="AK1969" s="2">
        <f t="shared" si="279"/>
        <v>102.93200000000002</v>
      </c>
      <c r="AL1969" s="5">
        <f t="shared" si="280"/>
        <v>0.21153308672420881</v>
      </c>
    </row>
    <row r="1970" spans="1:38" x14ac:dyDescent="0.2">
      <c r="A1970" s="2">
        <v>2025</v>
      </c>
      <c r="B1970" s="2">
        <v>10</v>
      </c>
      <c r="D1970" s="2" t="s">
        <v>558</v>
      </c>
      <c r="E1970" s="2" t="s">
        <v>108</v>
      </c>
      <c r="F1970" s="2" t="s">
        <v>39</v>
      </c>
      <c r="G1970" s="2">
        <v>506517233</v>
      </c>
      <c r="H1970" s="2" t="s">
        <v>80</v>
      </c>
      <c r="I1970" s="2" t="s">
        <v>559</v>
      </c>
      <c r="J1970" s="2" t="s">
        <v>560</v>
      </c>
      <c r="L1970" s="2" t="s">
        <v>133</v>
      </c>
      <c r="M1970" s="2" t="s">
        <v>80</v>
      </c>
      <c r="P1970" s="2" t="s">
        <v>1038</v>
      </c>
      <c r="Q1970" s="2" t="s">
        <v>1924</v>
      </c>
      <c r="R1970" s="2" t="s">
        <v>1925</v>
      </c>
      <c r="S1970" s="2">
        <v>4</v>
      </c>
      <c r="T1970" s="2">
        <v>486.6</v>
      </c>
      <c r="U1970" s="2">
        <v>111.91800000000001</v>
      </c>
      <c r="V1970" s="2">
        <v>598.51800000000003</v>
      </c>
      <c r="W1970" s="2">
        <f>94.88*4</f>
        <v>379.52</v>
      </c>
      <c r="X1970" s="5">
        <f t="shared" si="278"/>
        <v>0.22005754212905884</v>
      </c>
      <c r="Z1970" s="2" t="s">
        <v>3227</v>
      </c>
      <c r="AA1970" s="2" t="s">
        <v>1041</v>
      </c>
      <c r="AB1970" s="2" t="s">
        <v>1270</v>
      </c>
      <c r="AC1970" s="2" t="s">
        <v>1038</v>
      </c>
      <c r="AF1970" s="2">
        <f t="shared" si="272"/>
        <v>0</v>
      </c>
      <c r="AJ1970" s="2">
        <f t="shared" si="273"/>
        <v>0</v>
      </c>
      <c r="AK1970" s="2">
        <f t="shared" si="279"/>
        <v>107.08000000000004</v>
      </c>
      <c r="AL1970" s="5">
        <f t="shared" si="280"/>
        <v>0.22005754212905884</v>
      </c>
    </row>
    <row r="1971" spans="1:38" x14ac:dyDescent="0.2">
      <c r="A1971" s="2">
        <v>2025</v>
      </c>
      <c r="B1971" s="2">
        <v>10</v>
      </c>
      <c r="D1971" s="2" t="s">
        <v>558</v>
      </c>
      <c r="E1971" s="2" t="s">
        <v>108</v>
      </c>
      <c r="F1971" s="2" t="s">
        <v>39</v>
      </c>
      <c r="G1971" s="2">
        <v>506517233</v>
      </c>
      <c r="H1971" s="2" t="s">
        <v>80</v>
      </c>
      <c r="I1971" s="2" t="s">
        <v>559</v>
      </c>
      <c r="J1971" s="2" t="s">
        <v>560</v>
      </c>
      <c r="L1971" s="2" t="s">
        <v>133</v>
      </c>
      <c r="M1971" s="2" t="s">
        <v>80</v>
      </c>
      <c r="P1971" s="2" t="s">
        <v>1038</v>
      </c>
      <c r="Q1971" s="2" t="s">
        <v>1926</v>
      </c>
      <c r="R1971" s="2" t="s">
        <v>1927</v>
      </c>
      <c r="S1971" s="2">
        <v>4</v>
      </c>
      <c r="T1971" s="2">
        <v>519</v>
      </c>
      <c r="U1971" s="2">
        <v>119.37</v>
      </c>
      <c r="V1971" s="2">
        <v>638.37</v>
      </c>
      <c r="W1971" s="2">
        <f>108.8151*4</f>
        <v>435.2604</v>
      </c>
      <c r="X1971" s="5">
        <f t="shared" si="278"/>
        <v>0.16134797687861271</v>
      </c>
      <c r="Z1971" s="2" t="s">
        <v>3227</v>
      </c>
      <c r="AA1971" s="2" t="s">
        <v>1041</v>
      </c>
      <c r="AB1971" s="2" t="s">
        <v>1318</v>
      </c>
      <c r="AC1971" s="2" t="s">
        <v>1038</v>
      </c>
      <c r="AF1971" s="2">
        <f t="shared" si="272"/>
        <v>0</v>
      </c>
      <c r="AJ1971" s="2">
        <f t="shared" si="273"/>
        <v>0</v>
      </c>
      <c r="AK1971" s="2">
        <f t="shared" si="279"/>
        <v>83.739599999999996</v>
      </c>
      <c r="AL1971" s="5">
        <f t="shared" si="280"/>
        <v>0.16134797687861271</v>
      </c>
    </row>
    <row r="1972" spans="1:38" x14ac:dyDescent="0.2">
      <c r="A1972" s="2">
        <v>2025</v>
      </c>
      <c r="B1972" s="2">
        <v>10</v>
      </c>
      <c r="D1972" s="2" t="s">
        <v>558</v>
      </c>
      <c r="E1972" s="2" t="s">
        <v>108</v>
      </c>
      <c r="F1972" s="2" t="s">
        <v>39</v>
      </c>
      <c r="G1972" s="2">
        <v>506517233</v>
      </c>
      <c r="H1972" s="2" t="s">
        <v>80</v>
      </c>
      <c r="I1972" s="2" t="s">
        <v>559</v>
      </c>
      <c r="J1972" s="2" t="s">
        <v>560</v>
      </c>
      <c r="L1972" s="2" t="s">
        <v>133</v>
      </c>
      <c r="M1972" s="2" t="s">
        <v>80</v>
      </c>
      <c r="P1972" s="2" t="s">
        <v>1038</v>
      </c>
      <c r="Q1972" s="2" t="s">
        <v>1928</v>
      </c>
      <c r="R1972" s="2" t="s">
        <v>1929</v>
      </c>
      <c r="S1972" s="2">
        <v>4</v>
      </c>
      <c r="T1972" s="2">
        <v>519</v>
      </c>
      <c r="U1972" s="2">
        <v>119.37</v>
      </c>
      <c r="V1972" s="2">
        <v>638.37</v>
      </c>
      <c r="W1972" s="2">
        <f>115.76*4</f>
        <v>463.04</v>
      </c>
      <c r="X1972" s="5">
        <f t="shared" si="278"/>
        <v>0.10782273603082848</v>
      </c>
      <c r="Z1972" s="2" t="s">
        <v>3227</v>
      </c>
      <c r="AA1972" s="2" t="s">
        <v>1041</v>
      </c>
      <c r="AB1972" s="2" t="s">
        <v>1318</v>
      </c>
      <c r="AC1972" s="2" t="s">
        <v>1038</v>
      </c>
      <c r="AF1972" s="2">
        <f t="shared" si="272"/>
        <v>0</v>
      </c>
      <c r="AJ1972" s="2">
        <f t="shared" si="273"/>
        <v>0</v>
      </c>
      <c r="AK1972" s="2">
        <f t="shared" si="279"/>
        <v>55.95999999999998</v>
      </c>
      <c r="AL1972" s="5">
        <f t="shared" si="280"/>
        <v>0.10782273603082848</v>
      </c>
    </row>
    <row r="1973" spans="1:38" x14ac:dyDescent="0.2">
      <c r="A1973" s="2">
        <v>2025</v>
      </c>
      <c r="B1973" s="2">
        <v>10</v>
      </c>
      <c r="D1973" s="2" t="s">
        <v>558</v>
      </c>
      <c r="E1973" s="2" t="s">
        <v>108</v>
      </c>
      <c r="F1973" s="2" t="s">
        <v>39</v>
      </c>
      <c r="G1973" s="2">
        <v>506517233</v>
      </c>
      <c r="H1973" s="2" t="s">
        <v>80</v>
      </c>
      <c r="I1973" s="2" t="s">
        <v>559</v>
      </c>
      <c r="J1973" s="2" t="s">
        <v>560</v>
      </c>
      <c r="L1973" s="2" t="s">
        <v>133</v>
      </c>
      <c r="M1973" s="2" t="s">
        <v>80</v>
      </c>
      <c r="P1973" s="2" t="s">
        <v>1038</v>
      </c>
      <c r="Q1973" s="2" t="s">
        <v>1930</v>
      </c>
      <c r="R1973" s="2" t="s">
        <v>1931</v>
      </c>
      <c r="S1973" s="2">
        <v>4</v>
      </c>
      <c r="T1973" s="2">
        <v>519</v>
      </c>
      <c r="U1973" s="2">
        <v>119.37</v>
      </c>
      <c r="V1973" s="2">
        <v>638.37</v>
      </c>
      <c r="W1973" s="2">
        <f>115.76*4</f>
        <v>463.04</v>
      </c>
      <c r="X1973" s="5">
        <f t="shared" si="278"/>
        <v>0.10782273603082848</v>
      </c>
      <c r="Z1973" s="2" t="s">
        <v>3227</v>
      </c>
      <c r="AA1973" s="2" t="s">
        <v>1041</v>
      </c>
      <c r="AB1973" s="2" t="s">
        <v>1318</v>
      </c>
      <c r="AC1973" s="2" t="s">
        <v>1038</v>
      </c>
      <c r="AF1973" s="2">
        <f t="shared" si="272"/>
        <v>0</v>
      </c>
      <c r="AJ1973" s="2">
        <f t="shared" si="273"/>
        <v>0</v>
      </c>
      <c r="AK1973" s="2">
        <f t="shared" si="279"/>
        <v>55.95999999999998</v>
      </c>
      <c r="AL1973" s="5">
        <f t="shared" si="280"/>
        <v>0.10782273603082848</v>
      </c>
    </row>
    <row r="1974" spans="1:38" x14ac:dyDescent="0.2">
      <c r="A1974" s="2">
        <v>2025</v>
      </c>
      <c r="B1974" s="2">
        <v>10</v>
      </c>
      <c r="D1974" s="2" t="s">
        <v>558</v>
      </c>
      <c r="E1974" s="2" t="s">
        <v>108</v>
      </c>
      <c r="F1974" s="2" t="s">
        <v>39</v>
      </c>
      <c r="G1974" s="2">
        <v>506517233</v>
      </c>
      <c r="H1974" s="2" t="s">
        <v>80</v>
      </c>
      <c r="I1974" s="2" t="s">
        <v>559</v>
      </c>
      <c r="J1974" s="2" t="s">
        <v>560</v>
      </c>
      <c r="L1974" s="2" t="s">
        <v>133</v>
      </c>
      <c r="M1974" s="2" t="s">
        <v>80</v>
      </c>
      <c r="P1974" s="2" t="s">
        <v>1038</v>
      </c>
      <c r="Q1974" s="2" t="s">
        <v>1932</v>
      </c>
      <c r="R1974" s="2" t="s">
        <v>1933</v>
      </c>
      <c r="S1974" s="2">
        <v>4</v>
      </c>
      <c r="T1974" s="2">
        <v>519</v>
      </c>
      <c r="U1974" s="2">
        <v>119.37</v>
      </c>
      <c r="V1974" s="2">
        <v>638.37</v>
      </c>
      <c r="W1974" s="2">
        <f>115.76*4</f>
        <v>463.04</v>
      </c>
      <c r="X1974" s="5">
        <f t="shared" si="278"/>
        <v>0.10782273603082848</v>
      </c>
      <c r="Z1974" s="2" t="s">
        <v>3227</v>
      </c>
      <c r="AA1974" s="2" t="s">
        <v>1041</v>
      </c>
      <c r="AB1974" s="2" t="s">
        <v>1318</v>
      </c>
      <c r="AC1974" s="2" t="s">
        <v>1038</v>
      </c>
      <c r="AF1974" s="2">
        <f t="shared" si="272"/>
        <v>0</v>
      </c>
      <c r="AJ1974" s="2">
        <f t="shared" si="273"/>
        <v>0</v>
      </c>
      <c r="AK1974" s="2">
        <f t="shared" si="279"/>
        <v>55.95999999999998</v>
      </c>
      <c r="AL1974" s="5">
        <f t="shared" si="280"/>
        <v>0.10782273603082848</v>
      </c>
    </row>
    <row r="1975" spans="1:38" x14ac:dyDescent="0.2">
      <c r="A1975" s="2">
        <v>2025</v>
      </c>
      <c r="B1975" s="2">
        <v>10</v>
      </c>
      <c r="D1975" s="2" t="s">
        <v>558</v>
      </c>
      <c r="E1975" s="2" t="s">
        <v>108</v>
      </c>
      <c r="F1975" s="2" t="s">
        <v>39</v>
      </c>
      <c r="G1975" s="2">
        <v>506517233</v>
      </c>
      <c r="H1975" s="2" t="s">
        <v>80</v>
      </c>
      <c r="I1975" s="2" t="s">
        <v>559</v>
      </c>
      <c r="J1975" s="2" t="s">
        <v>560</v>
      </c>
      <c r="L1975" s="2" t="s">
        <v>133</v>
      </c>
      <c r="M1975" s="2" t="s">
        <v>80</v>
      </c>
      <c r="P1975" s="2" t="s">
        <v>169</v>
      </c>
      <c r="Q1975" s="2" t="s">
        <v>170</v>
      </c>
      <c r="R1975" s="2" t="s">
        <v>170</v>
      </c>
      <c r="S1975" s="2">
        <v>1</v>
      </c>
      <c r="T1975" s="2">
        <v>115</v>
      </c>
      <c r="U1975" s="2">
        <v>26.45</v>
      </c>
      <c r="V1975" s="2">
        <v>141.44999999999999</v>
      </c>
      <c r="W1975" s="2">
        <v>190</v>
      </c>
      <c r="X1975" s="5">
        <f t="shared" si="278"/>
        <v>-0.65217391304347827</v>
      </c>
      <c r="Z1975" s="2" t="s">
        <v>169</v>
      </c>
      <c r="AA1975" s="2" t="s">
        <v>169</v>
      </c>
      <c r="AF1975" s="2">
        <f t="shared" si="272"/>
        <v>0</v>
      </c>
      <c r="AJ1975" s="2">
        <f t="shared" si="273"/>
        <v>0</v>
      </c>
      <c r="AK1975" s="2">
        <f t="shared" si="279"/>
        <v>-75</v>
      </c>
      <c r="AL1975" s="5">
        <f t="shared" si="280"/>
        <v>-0.65217391304347827</v>
      </c>
    </row>
    <row r="1976" spans="1:38" x14ac:dyDescent="0.2">
      <c r="A1976" s="2">
        <v>2025</v>
      </c>
      <c r="B1976" s="2">
        <v>10</v>
      </c>
      <c r="D1976" s="2" t="s">
        <v>1088</v>
      </c>
      <c r="E1976" s="2" t="s">
        <v>108</v>
      </c>
      <c r="F1976" s="2" t="s">
        <v>39</v>
      </c>
      <c r="G1976" s="2">
        <v>505194147</v>
      </c>
      <c r="H1976" s="2" t="s">
        <v>109</v>
      </c>
      <c r="I1976" s="2" t="s">
        <v>1089</v>
      </c>
      <c r="J1976" s="2" t="s">
        <v>1090</v>
      </c>
      <c r="K1976" s="2">
        <v>917523997</v>
      </c>
      <c r="L1976" s="2" t="s">
        <v>112</v>
      </c>
      <c r="M1976" s="2" t="s">
        <v>40</v>
      </c>
      <c r="O1976" s="2" t="s">
        <v>1934</v>
      </c>
      <c r="P1976" s="2" t="s">
        <v>114</v>
      </c>
      <c r="Q1976" s="2" t="s">
        <v>1383</v>
      </c>
      <c r="R1976" s="2" t="s">
        <v>1384</v>
      </c>
      <c r="S1976" s="2">
        <v>1</v>
      </c>
      <c r="T1976" s="2">
        <v>152.41</v>
      </c>
      <c r="U1976" s="2">
        <v>35.054299999999998</v>
      </c>
      <c r="V1976" s="2">
        <v>187.46430000000001</v>
      </c>
      <c r="X1976" s="5">
        <f t="shared" si="278"/>
        <v>1</v>
      </c>
      <c r="Z1976" s="2" t="s">
        <v>117</v>
      </c>
      <c r="AA1976" s="2" t="s">
        <v>118</v>
      </c>
      <c r="AB1976" s="2" t="s">
        <v>119</v>
      </c>
      <c r="AC1976" s="2" t="s">
        <v>114</v>
      </c>
      <c r="AF1976" s="2">
        <f t="shared" si="272"/>
        <v>0</v>
      </c>
      <c r="AJ1976" s="2">
        <f t="shared" si="273"/>
        <v>0</v>
      </c>
      <c r="AK1976" s="2">
        <f t="shared" si="279"/>
        <v>152.41</v>
      </c>
      <c r="AL1976" s="5">
        <f t="shared" si="280"/>
        <v>1</v>
      </c>
    </row>
    <row r="1977" spans="1:38" x14ac:dyDescent="0.2">
      <c r="A1977" s="2">
        <v>2025</v>
      </c>
      <c r="B1977" s="2">
        <v>10</v>
      </c>
      <c r="D1977" s="2" t="s">
        <v>1935</v>
      </c>
      <c r="E1977" s="2" t="s">
        <v>108</v>
      </c>
      <c r="F1977" s="2" t="s">
        <v>717</v>
      </c>
      <c r="G1977" s="2">
        <v>500219877</v>
      </c>
      <c r="H1977" s="2" t="s">
        <v>290</v>
      </c>
      <c r="I1977" s="2" t="s">
        <v>480</v>
      </c>
      <c r="J1977" s="2" t="s">
        <v>3167</v>
      </c>
      <c r="L1977" s="2" t="s">
        <v>480</v>
      </c>
      <c r="O1977" s="2" t="s">
        <v>3168</v>
      </c>
      <c r="P1977" s="2" t="s">
        <v>1038</v>
      </c>
      <c r="Q1977" s="2" t="s">
        <v>1936</v>
      </c>
      <c r="R1977" s="2" t="s">
        <v>1937</v>
      </c>
      <c r="S1977" s="2">
        <v>2</v>
      </c>
      <c r="T1977" s="2">
        <v>447.16</v>
      </c>
      <c r="U1977" s="2">
        <v>102.8468</v>
      </c>
      <c r="V1977" s="2">
        <v>550.0068</v>
      </c>
      <c r="W1977" s="2">
        <f>130.08*S1977</f>
        <v>260.16000000000003</v>
      </c>
      <c r="X1977" s="5">
        <f t="shared" si="278"/>
        <v>0.41819482959119775</v>
      </c>
      <c r="Z1977" s="2" t="s">
        <v>3227</v>
      </c>
      <c r="AA1977" s="2" t="s">
        <v>1041</v>
      </c>
      <c r="AB1977" s="2" t="s">
        <v>1042</v>
      </c>
      <c r="AC1977" s="2" t="s">
        <v>1038</v>
      </c>
      <c r="AF1977" s="2">
        <f t="shared" si="272"/>
        <v>0</v>
      </c>
      <c r="AG1977" s="2">
        <v>130.08000000000001</v>
      </c>
      <c r="AJ1977" s="2">
        <f t="shared" si="273"/>
        <v>0</v>
      </c>
      <c r="AK1977" s="2">
        <f t="shared" si="279"/>
        <v>187</v>
      </c>
      <c r="AL1977" s="5">
        <f t="shared" si="280"/>
        <v>0.41819482959119775</v>
      </c>
    </row>
    <row r="1978" spans="1:38" x14ac:dyDescent="0.2">
      <c r="A1978" s="2">
        <v>2025</v>
      </c>
      <c r="B1978" s="2">
        <v>10</v>
      </c>
      <c r="D1978" s="2" t="s">
        <v>1935</v>
      </c>
      <c r="E1978" s="2" t="s">
        <v>108</v>
      </c>
      <c r="F1978" s="2" t="s">
        <v>717</v>
      </c>
      <c r="G1978" s="2">
        <v>500219877</v>
      </c>
      <c r="H1978" s="2" t="s">
        <v>290</v>
      </c>
      <c r="I1978" s="2" t="s">
        <v>480</v>
      </c>
      <c r="J1978" s="2" t="s">
        <v>3167</v>
      </c>
      <c r="L1978" s="2" t="s">
        <v>480</v>
      </c>
      <c r="O1978" s="2" t="s">
        <v>3168</v>
      </c>
      <c r="P1978" s="2" t="s">
        <v>1038</v>
      </c>
      <c r="Q1978" s="2" t="s">
        <v>1938</v>
      </c>
      <c r="R1978" s="2" t="s">
        <v>1939</v>
      </c>
      <c r="S1978" s="2">
        <v>2</v>
      </c>
      <c r="T1978" s="2">
        <v>447.15</v>
      </c>
      <c r="U1978" s="2">
        <v>102.8445</v>
      </c>
      <c r="V1978" s="2">
        <v>549.99450000000002</v>
      </c>
      <c r="W1978" s="2">
        <f>134.85*S1978</f>
        <v>269.7</v>
      </c>
      <c r="X1978" s="5">
        <f t="shared" si="278"/>
        <v>0.39684669573968467</v>
      </c>
      <c r="Z1978" s="2" t="s">
        <v>3227</v>
      </c>
      <c r="AA1978" s="2" t="s">
        <v>1041</v>
      </c>
      <c r="AB1978" s="2" t="s">
        <v>1042</v>
      </c>
      <c r="AC1978" s="2" t="s">
        <v>1038</v>
      </c>
      <c r="AF1978" s="2">
        <f t="shared" si="272"/>
        <v>0</v>
      </c>
      <c r="AG1978" s="2">
        <v>134.85</v>
      </c>
      <c r="AJ1978" s="2">
        <f t="shared" si="273"/>
        <v>0</v>
      </c>
      <c r="AK1978" s="2">
        <f t="shared" si="279"/>
        <v>177.45</v>
      </c>
      <c r="AL1978" s="5">
        <f t="shared" si="280"/>
        <v>0.39684669573968467</v>
      </c>
    </row>
    <row r="1979" spans="1:38" x14ac:dyDescent="0.2">
      <c r="A1979" s="2">
        <v>2025</v>
      </c>
      <c r="B1979" s="2">
        <v>10</v>
      </c>
      <c r="D1979" s="2" t="s">
        <v>1275</v>
      </c>
      <c r="P1979" s="2" t="s">
        <v>114</v>
      </c>
      <c r="Q1979" s="2" t="s">
        <v>641</v>
      </c>
      <c r="R1979" s="2" t="s">
        <v>642</v>
      </c>
      <c r="S1979" s="2">
        <v>1</v>
      </c>
      <c r="T1979" s="2">
        <v>91.11</v>
      </c>
      <c r="U1979" s="2">
        <v>20.955300000000001</v>
      </c>
      <c r="V1979" s="2">
        <v>112.06529999999999</v>
      </c>
      <c r="X1979" s="5">
        <f t="shared" si="278"/>
        <v>1</v>
      </c>
      <c r="Z1979" s="2" t="s">
        <v>117</v>
      </c>
      <c r="AF1979" s="2">
        <f t="shared" si="272"/>
        <v>0</v>
      </c>
      <c r="AJ1979" s="2">
        <f t="shared" si="273"/>
        <v>0</v>
      </c>
      <c r="AK1979" s="2">
        <f t="shared" si="279"/>
        <v>91.11</v>
      </c>
      <c r="AL1979" s="5">
        <f t="shared" si="280"/>
        <v>1</v>
      </c>
    </row>
    <row r="1980" spans="1:38" x14ac:dyDescent="0.2">
      <c r="A1980" s="2">
        <v>2025</v>
      </c>
      <c r="B1980" s="2">
        <v>10</v>
      </c>
      <c r="C1980" s="2" t="s">
        <v>3413</v>
      </c>
      <c r="D1980" s="2" t="s">
        <v>1737</v>
      </c>
      <c r="E1980" s="2" t="s">
        <v>38</v>
      </c>
      <c r="F1980" s="2" t="s">
        <v>39</v>
      </c>
      <c r="L1980" s="2" t="s">
        <v>133</v>
      </c>
      <c r="M1980" s="2" t="s">
        <v>109</v>
      </c>
      <c r="P1980" s="2" t="s">
        <v>152</v>
      </c>
      <c r="Q1980" s="2" t="s">
        <v>1940</v>
      </c>
      <c r="R1980" s="2" t="s">
        <v>1941</v>
      </c>
      <c r="S1980" s="2">
        <v>8</v>
      </c>
      <c r="T1980" s="2">
        <v>20</v>
      </c>
      <c r="U1980" s="2">
        <v>4.6000000000000014</v>
      </c>
      <c r="V1980" s="2">
        <v>24.6</v>
      </c>
      <c r="W1980" s="2">
        <f>2.9*S1980</f>
        <v>23.2</v>
      </c>
      <c r="X1980" s="5">
        <f t="shared" si="278"/>
        <v>-0.15999999999999998</v>
      </c>
      <c r="Z1980" s="2" t="s">
        <v>3227</v>
      </c>
      <c r="AA1980" s="2" t="s">
        <v>155</v>
      </c>
      <c r="AB1980" s="2" t="s">
        <v>1941</v>
      </c>
      <c r="AC1980" s="2" t="s">
        <v>152</v>
      </c>
      <c r="AF1980" s="2">
        <f t="shared" si="272"/>
        <v>0</v>
      </c>
      <c r="AJ1980" s="2">
        <f t="shared" si="273"/>
        <v>0</v>
      </c>
      <c r="AK1980" s="2">
        <f t="shared" si="279"/>
        <v>-3.1999999999999993</v>
      </c>
      <c r="AL1980" s="5">
        <f t="shared" si="280"/>
        <v>-0.15999999999999998</v>
      </c>
    </row>
    <row r="1981" spans="1:38" x14ac:dyDescent="0.2">
      <c r="A1981" s="2">
        <v>2025</v>
      </c>
      <c r="B1981" s="2">
        <v>10</v>
      </c>
      <c r="D1981" s="2" t="s">
        <v>1737</v>
      </c>
      <c r="M1981" s="2" t="s">
        <v>80</v>
      </c>
      <c r="P1981" s="2" t="s">
        <v>169</v>
      </c>
      <c r="Q1981" s="2" t="s">
        <v>170</v>
      </c>
      <c r="R1981" s="2" t="s">
        <v>170</v>
      </c>
      <c r="S1981" s="2">
        <v>1</v>
      </c>
      <c r="T1981" s="2">
        <v>8.5</v>
      </c>
      <c r="U1981" s="2">
        <v>1.9550000000000001</v>
      </c>
      <c r="V1981" s="2">
        <v>10.455</v>
      </c>
      <c r="W1981" s="2">
        <v>6</v>
      </c>
      <c r="X1981" s="5">
        <f t="shared" si="278"/>
        <v>0.29411764705882354</v>
      </c>
      <c r="Z1981" s="2" t="s">
        <v>169</v>
      </c>
      <c r="AA1981" s="2" t="s">
        <v>169</v>
      </c>
      <c r="AF1981" s="2">
        <f t="shared" si="272"/>
        <v>0</v>
      </c>
      <c r="AJ1981" s="2">
        <f t="shared" si="273"/>
        <v>0</v>
      </c>
      <c r="AK1981" s="2">
        <f t="shared" si="279"/>
        <v>2.5</v>
      </c>
      <c r="AL1981" s="5">
        <f t="shared" si="280"/>
        <v>0.29411764705882354</v>
      </c>
    </row>
    <row r="1982" spans="1:38" x14ac:dyDescent="0.2">
      <c r="A1982" s="2">
        <v>2025</v>
      </c>
      <c r="B1982" s="2">
        <v>10</v>
      </c>
      <c r="D1982" s="2" t="s">
        <v>1942</v>
      </c>
      <c r="P1982" s="2" t="s">
        <v>72</v>
      </c>
      <c r="Q1982" s="2" t="s">
        <v>73</v>
      </c>
      <c r="R1982" s="2" t="s">
        <v>74</v>
      </c>
      <c r="S1982" s="2">
        <v>1</v>
      </c>
      <c r="T1982" s="2">
        <v>220</v>
      </c>
      <c r="U1982" s="2">
        <v>50.6</v>
      </c>
      <c r="V1982" s="2">
        <v>270.60000000000002</v>
      </c>
      <c r="W1982" s="2">
        <v>117.453</v>
      </c>
      <c r="X1982" s="5">
        <f t="shared" si="278"/>
        <v>0.46612272727272724</v>
      </c>
      <c r="Z1982" s="2" t="s">
        <v>3227</v>
      </c>
      <c r="AA1982" s="2" t="s">
        <v>75</v>
      </c>
      <c r="AB1982" s="2" t="s">
        <v>76</v>
      </c>
      <c r="AC1982" s="2" t="s">
        <v>77</v>
      </c>
      <c r="AF1982" s="2">
        <f t="shared" si="272"/>
        <v>0</v>
      </c>
      <c r="AG1982" s="2">
        <v>117.453</v>
      </c>
      <c r="AH1982" s="2">
        <v>220</v>
      </c>
      <c r="AJ1982" s="2">
        <f t="shared" si="273"/>
        <v>0</v>
      </c>
      <c r="AK1982" s="2">
        <f t="shared" si="279"/>
        <v>102.547</v>
      </c>
      <c r="AL1982" s="5">
        <f t="shared" si="280"/>
        <v>0.46612272727272724</v>
      </c>
    </row>
    <row r="1983" spans="1:38" x14ac:dyDescent="0.2">
      <c r="A1983" s="2">
        <v>2025</v>
      </c>
      <c r="B1983" s="2">
        <v>10</v>
      </c>
      <c r="D1983" s="2" t="s">
        <v>1942</v>
      </c>
      <c r="P1983" s="2" t="s">
        <v>93</v>
      </c>
      <c r="Q1983" s="2" t="s">
        <v>94</v>
      </c>
      <c r="R1983" s="2" t="s">
        <v>95</v>
      </c>
      <c r="S1983" s="2">
        <v>1</v>
      </c>
      <c r="T1983" s="2">
        <v>1.1399999999999999</v>
      </c>
      <c r="U1983" s="2">
        <v>0.26219999999999999</v>
      </c>
      <c r="V1983" s="2">
        <v>1.4021999999999999</v>
      </c>
      <c r="W1983" s="2">
        <v>1.1399999999999999</v>
      </c>
      <c r="X1983" s="5">
        <f t="shared" si="278"/>
        <v>0</v>
      </c>
      <c r="Z1983" s="2" t="s">
        <v>3227</v>
      </c>
      <c r="AA1983" s="2" t="s">
        <v>96</v>
      </c>
      <c r="AB1983" s="2" t="s">
        <v>76</v>
      </c>
      <c r="AC1983" s="2" t="s">
        <v>93</v>
      </c>
      <c r="AF1983" s="2">
        <f t="shared" si="272"/>
        <v>0</v>
      </c>
      <c r="AJ1983" s="2">
        <f t="shared" si="273"/>
        <v>0</v>
      </c>
      <c r="AK1983" s="2">
        <f t="shared" si="279"/>
        <v>0</v>
      </c>
      <c r="AL1983" s="5">
        <f t="shared" si="280"/>
        <v>0</v>
      </c>
    </row>
    <row r="1984" spans="1:38" x14ac:dyDescent="0.2">
      <c r="A1984" s="2">
        <v>2025</v>
      </c>
      <c r="B1984" s="2">
        <v>10</v>
      </c>
      <c r="D1984" s="2" t="s">
        <v>1943</v>
      </c>
      <c r="P1984" s="2" t="s">
        <v>68</v>
      </c>
      <c r="Q1984" s="2" t="s">
        <v>1160</v>
      </c>
      <c r="R1984" s="2" t="s">
        <v>1161</v>
      </c>
      <c r="S1984" s="2">
        <v>1</v>
      </c>
      <c r="T1984" s="2">
        <v>75</v>
      </c>
      <c r="U1984" s="2">
        <v>17.25</v>
      </c>
      <c r="V1984" s="2">
        <v>92.25</v>
      </c>
      <c r="W1984" s="2">
        <v>47.4</v>
      </c>
      <c r="X1984" s="5">
        <f t="shared" si="278"/>
        <v>0.36799999999999999</v>
      </c>
      <c r="Z1984" s="2" t="s">
        <v>3227</v>
      </c>
      <c r="AA1984" s="2" t="s">
        <v>71</v>
      </c>
      <c r="AB1984" s="2" t="s">
        <v>68</v>
      </c>
      <c r="AC1984" s="2" t="s">
        <v>3231</v>
      </c>
      <c r="AF1984" s="2">
        <f t="shared" si="272"/>
        <v>0</v>
      </c>
      <c r="AJ1984" s="2">
        <f t="shared" si="273"/>
        <v>0</v>
      </c>
      <c r="AK1984" s="2">
        <f t="shared" si="279"/>
        <v>27.6</v>
      </c>
      <c r="AL1984" s="5">
        <f t="shared" si="280"/>
        <v>0.36799999999999999</v>
      </c>
    </row>
    <row r="1985" spans="1:38" x14ac:dyDescent="0.2">
      <c r="A1985" s="2">
        <v>2025</v>
      </c>
      <c r="B1985" s="2">
        <v>10</v>
      </c>
      <c r="D1985" s="2" t="s">
        <v>574</v>
      </c>
      <c r="E1985" s="2" t="s">
        <v>38</v>
      </c>
      <c r="F1985" s="2" t="s">
        <v>39</v>
      </c>
      <c r="G1985" s="2">
        <v>504811029</v>
      </c>
      <c r="H1985" s="2" t="s">
        <v>41</v>
      </c>
      <c r="I1985" s="2" t="s">
        <v>177</v>
      </c>
      <c r="J1985" s="2" t="s">
        <v>575</v>
      </c>
      <c r="L1985" s="2" t="s">
        <v>177</v>
      </c>
      <c r="M1985" s="2" t="s">
        <v>41</v>
      </c>
      <c r="P1985" s="2" t="s">
        <v>43</v>
      </c>
      <c r="Q1985" s="2" t="s">
        <v>420</v>
      </c>
      <c r="R1985" s="2" t="s">
        <v>421</v>
      </c>
      <c r="S1985" s="2">
        <v>20</v>
      </c>
      <c r="T1985" s="2">
        <v>132</v>
      </c>
      <c r="U1985" s="2">
        <v>30.36</v>
      </c>
      <c r="V1985" s="2">
        <v>162.36000000000001</v>
      </c>
      <c r="W1985" s="2">
        <f>3.7556*S1985</f>
        <v>75.111999999999995</v>
      </c>
      <c r="X1985" s="5">
        <f t="shared" si="278"/>
        <v>0.430969696969697</v>
      </c>
      <c r="Z1985" s="2" t="s">
        <v>3227</v>
      </c>
      <c r="AA1985" s="2" t="s">
        <v>46</v>
      </c>
      <c r="AB1985" s="2" t="s">
        <v>60</v>
      </c>
      <c r="AC1985" s="2" t="s">
        <v>57</v>
      </c>
      <c r="AF1985" s="2">
        <f t="shared" si="272"/>
        <v>0</v>
      </c>
      <c r="AG1985" s="2">
        <v>3.7555999999999998</v>
      </c>
      <c r="AH1985" s="2">
        <v>7.2</v>
      </c>
      <c r="AJ1985" s="2">
        <f t="shared" si="273"/>
        <v>0</v>
      </c>
      <c r="AK1985" s="2">
        <f t="shared" si="279"/>
        <v>56.888000000000005</v>
      </c>
      <c r="AL1985" s="5">
        <f t="shared" si="280"/>
        <v>0.430969696969697</v>
      </c>
    </row>
    <row r="1986" spans="1:38" x14ac:dyDescent="0.2">
      <c r="A1986" s="2">
        <v>2025</v>
      </c>
      <c r="B1986" s="2">
        <v>10</v>
      </c>
      <c r="D1986" s="2" t="s">
        <v>574</v>
      </c>
      <c r="E1986" s="2" t="s">
        <v>38</v>
      </c>
      <c r="F1986" s="2" t="s">
        <v>39</v>
      </c>
      <c r="G1986" s="2">
        <v>504811029</v>
      </c>
      <c r="H1986" s="2" t="s">
        <v>41</v>
      </c>
      <c r="I1986" s="2" t="s">
        <v>177</v>
      </c>
      <c r="J1986" s="2" t="s">
        <v>575</v>
      </c>
      <c r="L1986" s="2" t="s">
        <v>177</v>
      </c>
      <c r="M1986" s="2" t="s">
        <v>41</v>
      </c>
      <c r="P1986" s="2" t="s">
        <v>43</v>
      </c>
      <c r="Q1986" s="2" t="s">
        <v>63</v>
      </c>
      <c r="R1986" s="2" t="s">
        <v>64</v>
      </c>
      <c r="S1986" s="2">
        <v>40</v>
      </c>
      <c r="T1986" s="2">
        <v>72</v>
      </c>
      <c r="U1986" s="2">
        <v>16.559999999999999</v>
      </c>
      <c r="V1986" s="2">
        <v>88.56</v>
      </c>
      <c r="W1986" s="2">
        <f>0.8561*S1986</f>
        <v>34.244</v>
      </c>
      <c r="X1986" s="5">
        <f t="shared" si="278"/>
        <v>0.5243888888888889</v>
      </c>
      <c r="Z1986" s="2" t="s">
        <v>3227</v>
      </c>
      <c r="AA1986" s="2" t="s">
        <v>46</v>
      </c>
      <c r="AB1986" s="2" t="s">
        <v>60</v>
      </c>
      <c r="AC1986" s="2" t="s">
        <v>57</v>
      </c>
      <c r="AF1986" s="2">
        <f t="shared" ref="AF1986:AF2049" si="281">AJ1986</f>
        <v>0</v>
      </c>
      <c r="AG1986" s="2">
        <v>0.85609999999999997</v>
      </c>
      <c r="AH1986" s="2">
        <v>1.8</v>
      </c>
      <c r="AJ1986" s="2">
        <f t="shared" ref="AJ1986:AJ2049" si="282">AI1986*T1986</f>
        <v>0</v>
      </c>
      <c r="AK1986" s="2">
        <f t="shared" si="279"/>
        <v>37.756</v>
      </c>
      <c r="AL1986" s="5">
        <f t="shared" si="280"/>
        <v>0.5243888888888889</v>
      </c>
    </row>
    <row r="1987" spans="1:38" x14ac:dyDescent="0.2">
      <c r="A1987" s="2">
        <v>2025</v>
      </c>
      <c r="B1987" s="2">
        <v>10</v>
      </c>
      <c r="D1987" s="2" t="s">
        <v>574</v>
      </c>
      <c r="E1987" s="2" t="s">
        <v>38</v>
      </c>
      <c r="F1987" s="2" t="s">
        <v>39</v>
      </c>
      <c r="G1987" s="2">
        <v>504811029</v>
      </c>
      <c r="H1987" s="2" t="s">
        <v>41</v>
      </c>
      <c r="I1987" s="2" t="s">
        <v>177</v>
      </c>
      <c r="J1987" s="2" t="s">
        <v>575</v>
      </c>
      <c r="L1987" s="2" t="s">
        <v>177</v>
      </c>
      <c r="M1987" s="2" t="s">
        <v>41</v>
      </c>
      <c r="P1987" s="2" t="s">
        <v>43</v>
      </c>
      <c r="Q1987" s="2" t="s">
        <v>334</v>
      </c>
      <c r="R1987" s="2" t="s">
        <v>335</v>
      </c>
      <c r="S1987" s="2">
        <v>20</v>
      </c>
      <c r="T1987" s="2">
        <v>60</v>
      </c>
      <c r="U1987" s="2">
        <v>13.8</v>
      </c>
      <c r="V1987" s="2">
        <v>73.8</v>
      </c>
      <c r="W1987" s="2">
        <f>1.1122*S1987</f>
        <v>22.244</v>
      </c>
      <c r="X1987" s="5">
        <f t="shared" si="278"/>
        <v>0.62926666666666664</v>
      </c>
      <c r="Z1987" s="2" t="s">
        <v>3227</v>
      </c>
      <c r="AA1987" s="2" t="s">
        <v>46</v>
      </c>
      <c r="AB1987" s="2" t="s">
        <v>60</v>
      </c>
      <c r="AC1987" s="2" t="s">
        <v>57</v>
      </c>
      <c r="AF1987" s="2">
        <f t="shared" si="281"/>
        <v>0</v>
      </c>
      <c r="AG1987" s="2">
        <v>1.1122000000000001</v>
      </c>
      <c r="AH1987" s="2">
        <v>3</v>
      </c>
      <c r="AJ1987" s="2">
        <f t="shared" si="282"/>
        <v>0</v>
      </c>
      <c r="AK1987" s="2">
        <f t="shared" si="279"/>
        <v>37.756</v>
      </c>
      <c r="AL1987" s="5">
        <f t="shared" si="280"/>
        <v>0.62926666666666664</v>
      </c>
    </row>
    <row r="1988" spans="1:38" x14ac:dyDescent="0.2">
      <c r="A1988" s="2">
        <v>2025</v>
      </c>
      <c r="B1988" s="2">
        <v>10</v>
      </c>
      <c r="D1988" s="2" t="s">
        <v>574</v>
      </c>
      <c r="E1988" s="2" t="s">
        <v>38</v>
      </c>
      <c r="F1988" s="2" t="s">
        <v>39</v>
      </c>
      <c r="G1988" s="2">
        <v>504811029</v>
      </c>
      <c r="H1988" s="2" t="s">
        <v>41</v>
      </c>
      <c r="I1988" s="2" t="s">
        <v>177</v>
      </c>
      <c r="J1988" s="2" t="s">
        <v>575</v>
      </c>
      <c r="L1988" s="2" t="s">
        <v>177</v>
      </c>
      <c r="M1988" s="2" t="s">
        <v>41</v>
      </c>
      <c r="P1988" s="2" t="s">
        <v>43</v>
      </c>
      <c r="Q1988" s="2" t="s">
        <v>579</v>
      </c>
      <c r="R1988" s="2" t="s">
        <v>580</v>
      </c>
      <c r="S1988" s="2">
        <v>40</v>
      </c>
      <c r="T1988" s="2">
        <v>96</v>
      </c>
      <c r="U1988" s="2">
        <v>22.08</v>
      </c>
      <c r="V1988" s="2">
        <v>118.08</v>
      </c>
      <c r="W1988" s="2">
        <f>1.4114*S1988</f>
        <v>56.456000000000003</v>
      </c>
      <c r="X1988" s="5">
        <f t="shared" si="278"/>
        <v>0.41191666666666665</v>
      </c>
      <c r="Z1988" s="2" t="s">
        <v>3227</v>
      </c>
      <c r="AA1988" s="2" t="s">
        <v>46</v>
      </c>
      <c r="AB1988" s="2" t="s">
        <v>60</v>
      </c>
      <c r="AC1988" s="2" t="s">
        <v>57</v>
      </c>
      <c r="AF1988" s="2">
        <f t="shared" si="281"/>
        <v>0</v>
      </c>
      <c r="AG1988" s="2">
        <v>1.4114</v>
      </c>
      <c r="AH1988" s="2">
        <v>3</v>
      </c>
      <c r="AJ1988" s="2">
        <f t="shared" si="282"/>
        <v>0</v>
      </c>
      <c r="AK1988" s="2">
        <f t="shared" si="279"/>
        <v>39.543999999999997</v>
      </c>
      <c r="AL1988" s="5">
        <f t="shared" si="280"/>
        <v>0.41191666666666665</v>
      </c>
    </row>
    <row r="1989" spans="1:38" x14ac:dyDescent="0.2">
      <c r="A1989" s="2">
        <v>2025</v>
      </c>
      <c r="B1989" s="2">
        <v>10</v>
      </c>
      <c r="D1989" s="2" t="s">
        <v>574</v>
      </c>
      <c r="E1989" s="2" t="s">
        <v>38</v>
      </c>
      <c r="F1989" s="2" t="s">
        <v>39</v>
      </c>
      <c r="G1989" s="2">
        <v>504811029</v>
      </c>
      <c r="H1989" s="2" t="s">
        <v>41</v>
      </c>
      <c r="I1989" s="2" t="s">
        <v>177</v>
      </c>
      <c r="J1989" s="2" t="s">
        <v>575</v>
      </c>
      <c r="L1989" s="2" t="s">
        <v>177</v>
      </c>
      <c r="M1989" s="2" t="s">
        <v>41</v>
      </c>
      <c r="P1989" s="2" t="s">
        <v>43</v>
      </c>
      <c r="Q1989" s="2" t="s">
        <v>65</v>
      </c>
      <c r="R1989" s="2" t="s">
        <v>66</v>
      </c>
      <c r="S1989" s="2">
        <v>2</v>
      </c>
      <c r="T1989" s="2">
        <v>44</v>
      </c>
      <c r="U1989" s="2">
        <v>10.119999999999999</v>
      </c>
      <c r="V1989" s="2">
        <v>54.12</v>
      </c>
      <c r="W1989" s="2">
        <f>15.0203*S1989</f>
        <v>30.040600000000001</v>
      </c>
      <c r="X1989" s="5">
        <f t="shared" si="278"/>
        <v>0.31725909090909088</v>
      </c>
      <c r="Z1989" s="2" t="s">
        <v>3227</v>
      </c>
      <c r="AA1989" s="2" t="s">
        <v>46</v>
      </c>
      <c r="AB1989" s="2" t="s">
        <v>67</v>
      </c>
      <c r="AC1989" s="2" t="s">
        <v>57</v>
      </c>
      <c r="AF1989" s="2">
        <f t="shared" si="281"/>
        <v>0</v>
      </c>
      <c r="AG1989" s="2">
        <v>15.020300000000001</v>
      </c>
      <c r="AH1989" s="2">
        <v>27.6</v>
      </c>
      <c r="AJ1989" s="2">
        <f t="shared" si="282"/>
        <v>0</v>
      </c>
      <c r="AK1989" s="2">
        <f t="shared" si="279"/>
        <v>13.959399999999999</v>
      </c>
      <c r="AL1989" s="5">
        <f t="shared" si="280"/>
        <v>0.31725909090909088</v>
      </c>
    </row>
    <row r="1990" spans="1:38" x14ac:dyDescent="0.2">
      <c r="A1990" s="2">
        <v>2025</v>
      </c>
      <c r="B1990" s="2">
        <v>10</v>
      </c>
      <c r="D1990" s="2" t="s">
        <v>581</v>
      </c>
      <c r="E1990" s="2" t="s">
        <v>38</v>
      </c>
      <c r="F1990" s="2" t="s">
        <v>39</v>
      </c>
      <c r="G1990" s="2">
        <v>518281272</v>
      </c>
      <c r="H1990" s="2" t="s">
        <v>41</v>
      </c>
      <c r="I1990" s="2" t="s">
        <v>1101</v>
      </c>
      <c r="J1990" s="2" t="s">
        <v>1102</v>
      </c>
      <c r="L1990" s="2" t="s">
        <v>177</v>
      </c>
      <c r="M1990" s="2" t="s">
        <v>41</v>
      </c>
      <c r="P1990" s="2" t="s">
        <v>43</v>
      </c>
      <c r="Q1990" s="2" t="s">
        <v>592</v>
      </c>
      <c r="R1990" s="2" t="s">
        <v>593</v>
      </c>
      <c r="S1990" s="2">
        <v>1</v>
      </c>
      <c r="T1990" s="2">
        <v>30</v>
      </c>
      <c r="U1990" s="2">
        <v>6.9</v>
      </c>
      <c r="V1990" s="2">
        <v>36.9</v>
      </c>
      <c r="W1990" s="2">
        <f>11.295*S1990</f>
        <v>11.295</v>
      </c>
      <c r="X1990" s="5">
        <f t="shared" si="278"/>
        <v>0.62349999999999994</v>
      </c>
      <c r="Z1990" s="2" t="s">
        <v>3227</v>
      </c>
      <c r="AA1990" s="2" t="s">
        <v>46</v>
      </c>
      <c r="AB1990" s="2" t="s">
        <v>47</v>
      </c>
      <c r="AC1990" s="2" t="s">
        <v>57</v>
      </c>
      <c r="AF1990" s="2">
        <f t="shared" si="281"/>
        <v>0</v>
      </c>
      <c r="AJ1990" s="2">
        <f t="shared" si="282"/>
        <v>0</v>
      </c>
      <c r="AK1990" s="2">
        <f t="shared" si="279"/>
        <v>18.704999999999998</v>
      </c>
      <c r="AL1990" s="5">
        <f t="shared" si="280"/>
        <v>0.62349999999999994</v>
      </c>
    </row>
    <row r="1991" spans="1:38" x14ac:dyDescent="0.2">
      <c r="A1991" s="2">
        <v>2025</v>
      </c>
      <c r="B1991" s="2">
        <v>10</v>
      </c>
      <c r="D1991" s="2" t="s">
        <v>581</v>
      </c>
      <c r="E1991" s="2" t="s">
        <v>38</v>
      </c>
      <c r="F1991" s="2" t="s">
        <v>39</v>
      </c>
      <c r="G1991" s="2">
        <v>518281272</v>
      </c>
      <c r="H1991" s="2" t="s">
        <v>41</v>
      </c>
      <c r="I1991" s="2" t="s">
        <v>1101</v>
      </c>
      <c r="J1991" s="2" t="s">
        <v>1102</v>
      </c>
      <c r="L1991" s="2" t="s">
        <v>177</v>
      </c>
      <c r="M1991" s="2" t="s">
        <v>41</v>
      </c>
      <c r="P1991" s="2" t="s">
        <v>43</v>
      </c>
      <c r="Q1991" s="2" t="s">
        <v>50</v>
      </c>
      <c r="R1991" s="2" t="s">
        <v>51</v>
      </c>
      <c r="S1991" s="2">
        <v>1</v>
      </c>
      <c r="T1991" s="2">
        <v>19.2</v>
      </c>
      <c r="U1991" s="2">
        <v>4.4160000000000004</v>
      </c>
      <c r="V1991" s="2">
        <v>23.616</v>
      </c>
      <c r="W1991" s="2">
        <f>14.4*S1991</f>
        <v>14.4</v>
      </c>
      <c r="X1991" s="5">
        <f t="shared" si="278"/>
        <v>0.24999999999999994</v>
      </c>
      <c r="Z1991" s="2" t="s">
        <v>3227</v>
      </c>
      <c r="AA1991" s="2" t="s">
        <v>46</v>
      </c>
      <c r="AB1991" s="2" t="s">
        <v>47</v>
      </c>
      <c r="AC1991" s="2" t="s">
        <v>57</v>
      </c>
      <c r="AF1991" s="2">
        <f t="shared" si="281"/>
        <v>0</v>
      </c>
      <c r="AG1991" s="2">
        <v>10.2346</v>
      </c>
      <c r="AH1991" s="2">
        <v>18</v>
      </c>
      <c r="AJ1991" s="2">
        <f t="shared" si="282"/>
        <v>0</v>
      </c>
      <c r="AK1991" s="2">
        <f t="shared" si="279"/>
        <v>4.7999999999999989</v>
      </c>
      <c r="AL1991" s="5">
        <f t="shared" si="280"/>
        <v>0.24999999999999994</v>
      </c>
    </row>
    <row r="1992" spans="1:38" x14ac:dyDescent="0.2">
      <c r="A1992" s="2">
        <v>2025</v>
      </c>
      <c r="B1992" s="2">
        <v>10</v>
      </c>
      <c r="D1992" s="2" t="s">
        <v>581</v>
      </c>
      <c r="E1992" s="2" t="s">
        <v>38</v>
      </c>
      <c r="F1992" s="2" t="s">
        <v>39</v>
      </c>
      <c r="G1992" s="2">
        <v>518281272</v>
      </c>
      <c r="H1992" s="2" t="s">
        <v>41</v>
      </c>
      <c r="I1992" s="2" t="s">
        <v>1101</v>
      </c>
      <c r="J1992" s="2" t="s">
        <v>1102</v>
      </c>
      <c r="L1992" s="2" t="s">
        <v>177</v>
      </c>
      <c r="M1992" s="2" t="s">
        <v>41</v>
      </c>
      <c r="P1992" s="2" t="s">
        <v>43</v>
      </c>
      <c r="Q1992" s="2" t="s">
        <v>58</v>
      </c>
      <c r="R1992" s="2" t="s">
        <v>59</v>
      </c>
      <c r="S1992" s="2">
        <v>100</v>
      </c>
      <c r="T1992" s="2">
        <v>14</v>
      </c>
      <c r="U1992" s="2">
        <v>3.22</v>
      </c>
      <c r="V1992" s="2">
        <v>17.22</v>
      </c>
      <c r="W1992" s="2">
        <f>0.0914*S1992</f>
        <v>9.1399999999999988</v>
      </c>
      <c r="X1992" s="5">
        <f t="shared" si="278"/>
        <v>0.34714285714285725</v>
      </c>
      <c r="Z1992" s="2" t="s">
        <v>3227</v>
      </c>
      <c r="AA1992" s="2" t="s">
        <v>46</v>
      </c>
      <c r="AB1992" s="2" t="s">
        <v>60</v>
      </c>
      <c r="AC1992" s="2" t="s">
        <v>57</v>
      </c>
      <c r="AF1992" s="2">
        <f t="shared" si="281"/>
        <v>0</v>
      </c>
      <c r="AG1992" s="2">
        <v>9.14</v>
      </c>
      <c r="AH1992" s="2">
        <v>16</v>
      </c>
      <c r="AJ1992" s="2">
        <f t="shared" si="282"/>
        <v>0</v>
      </c>
      <c r="AK1992" s="2">
        <f t="shared" si="279"/>
        <v>4.8600000000000012</v>
      </c>
      <c r="AL1992" s="5">
        <f t="shared" si="280"/>
        <v>0.34714285714285725</v>
      </c>
    </row>
    <row r="1993" spans="1:38" x14ac:dyDescent="0.2">
      <c r="A1993" s="2">
        <v>2025</v>
      </c>
      <c r="B1993" s="2">
        <v>10</v>
      </c>
      <c r="D1993" s="2" t="s">
        <v>581</v>
      </c>
      <c r="E1993" s="2" t="s">
        <v>38</v>
      </c>
      <c r="F1993" s="2" t="s">
        <v>39</v>
      </c>
      <c r="G1993" s="2">
        <v>518281272</v>
      </c>
      <c r="H1993" s="2" t="s">
        <v>41</v>
      </c>
      <c r="I1993" s="2" t="s">
        <v>1101</v>
      </c>
      <c r="J1993" s="2" t="s">
        <v>1102</v>
      </c>
      <c r="L1993" s="2" t="s">
        <v>177</v>
      </c>
      <c r="M1993" s="2" t="s">
        <v>41</v>
      </c>
      <c r="P1993" s="2" t="s">
        <v>43</v>
      </c>
      <c r="Q1993" s="2" t="s">
        <v>61</v>
      </c>
      <c r="R1993" s="2" t="s">
        <v>62</v>
      </c>
      <c r="S1993" s="2">
        <v>1200</v>
      </c>
      <c r="T1993" s="2">
        <v>126</v>
      </c>
      <c r="U1993" s="2">
        <v>28.98</v>
      </c>
      <c r="V1993" s="2">
        <v>154.97999999999999</v>
      </c>
      <c r="W1993" s="2">
        <f>0.082*S1993</f>
        <v>98.4</v>
      </c>
      <c r="X1993" s="5">
        <f t="shared" si="278"/>
        <v>0.21904761904761899</v>
      </c>
      <c r="Z1993" s="2" t="s">
        <v>3227</v>
      </c>
      <c r="AA1993" s="2" t="s">
        <v>46</v>
      </c>
      <c r="AB1993" s="2" t="s">
        <v>60</v>
      </c>
      <c r="AC1993" s="2" t="s">
        <v>57</v>
      </c>
      <c r="AF1993" s="2">
        <f t="shared" si="281"/>
        <v>0</v>
      </c>
      <c r="AG1993" s="2">
        <v>8.1999999999999993</v>
      </c>
      <c r="AH1993" s="2">
        <v>13</v>
      </c>
      <c r="AJ1993" s="2">
        <f t="shared" si="282"/>
        <v>0</v>
      </c>
      <c r="AK1993" s="2">
        <f t="shared" si="279"/>
        <v>27.599999999999994</v>
      </c>
      <c r="AL1993" s="5">
        <f t="shared" si="280"/>
        <v>0.21904761904761899</v>
      </c>
    </row>
    <row r="1994" spans="1:38" x14ac:dyDescent="0.2">
      <c r="A1994" s="2">
        <v>2025</v>
      </c>
      <c r="B1994" s="2">
        <v>10</v>
      </c>
      <c r="D1994" s="2" t="s">
        <v>1944</v>
      </c>
      <c r="P1994" s="2" t="s">
        <v>3230</v>
      </c>
      <c r="Q1994" s="2" t="s">
        <v>1945</v>
      </c>
      <c r="R1994" s="2" t="s">
        <v>1946</v>
      </c>
      <c r="S1994" s="2">
        <v>1</v>
      </c>
      <c r="T1994" s="2">
        <v>8000</v>
      </c>
      <c r="U1994" s="2">
        <v>1840</v>
      </c>
      <c r="V1994" s="2">
        <v>9840</v>
      </c>
      <c r="W1994" s="2">
        <v>4152.3100000000004</v>
      </c>
      <c r="X1994" s="5">
        <f t="shared" si="278"/>
        <v>0.48096124999999995</v>
      </c>
      <c r="Z1994" s="2" t="s">
        <v>104</v>
      </c>
      <c r="AA1994" s="2" t="s">
        <v>264</v>
      </c>
      <c r="AB1994" s="2" t="s">
        <v>265</v>
      </c>
      <c r="AC1994" s="2" t="s">
        <v>3230</v>
      </c>
      <c r="AF1994" s="2">
        <f t="shared" si="281"/>
        <v>0</v>
      </c>
      <c r="AJ1994" s="2">
        <f t="shared" si="282"/>
        <v>0</v>
      </c>
      <c r="AK1994" s="2">
        <f t="shared" si="279"/>
        <v>3847.6899999999996</v>
      </c>
      <c r="AL1994" s="5">
        <f t="shared" si="280"/>
        <v>0.48096124999999995</v>
      </c>
    </row>
    <row r="1995" spans="1:38" x14ac:dyDescent="0.2">
      <c r="A1995" s="2">
        <v>2025</v>
      </c>
      <c r="B1995" s="2">
        <v>10</v>
      </c>
      <c r="D1995" s="2" t="s">
        <v>582</v>
      </c>
      <c r="E1995" s="2" t="s">
        <v>108</v>
      </c>
      <c r="G1995" s="2">
        <v>503850276</v>
      </c>
      <c r="H1995" s="2" t="s">
        <v>40</v>
      </c>
      <c r="I1995" s="2" t="s">
        <v>583</v>
      </c>
      <c r="J1995" s="2" t="s">
        <v>584</v>
      </c>
      <c r="L1995" s="2" t="s">
        <v>201</v>
      </c>
      <c r="M1995" s="2" t="s">
        <v>80</v>
      </c>
      <c r="P1995" s="2" t="s">
        <v>43</v>
      </c>
      <c r="Q1995" s="2" t="s">
        <v>65</v>
      </c>
      <c r="R1995" s="2" t="s">
        <v>66</v>
      </c>
      <c r="S1995" s="2">
        <v>8</v>
      </c>
      <c r="T1995" s="2">
        <v>176</v>
      </c>
      <c r="U1995" s="2">
        <v>40.479999999999997</v>
      </c>
      <c r="V1995" s="2">
        <v>216.48</v>
      </c>
      <c r="W1995" s="2">
        <f>15.0203*S1995</f>
        <v>120.16240000000001</v>
      </c>
      <c r="X1995" s="5">
        <f t="shared" si="278"/>
        <v>0.31725909090909088</v>
      </c>
      <c r="Z1995" s="2" t="s">
        <v>3227</v>
      </c>
      <c r="AA1995" s="2" t="s">
        <v>46</v>
      </c>
      <c r="AB1995" s="2" t="s">
        <v>67</v>
      </c>
      <c r="AC1995" s="2" t="s">
        <v>57</v>
      </c>
      <c r="AF1995" s="2">
        <f t="shared" si="281"/>
        <v>0</v>
      </c>
      <c r="AG1995" s="2">
        <v>15.020300000000001</v>
      </c>
      <c r="AH1995" s="2">
        <v>27.6</v>
      </c>
      <c r="AJ1995" s="2">
        <f t="shared" si="282"/>
        <v>0</v>
      </c>
      <c r="AK1995" s="2">
        <f t="shared" si="279"/>
        <v>55.837599999999995</v>
      </c>
      <c r="AL1995" s="5">
        <f t="shared" si="280"/>
        <v>0.31725909090909088</v>
      </c>
    </row>
    <row r="1996" spans="1:38" x14ac:dyDescent="0.2">
      <c r="A1996" s="2">
        <v>2025</v>
      </c>
      <c r="B1996" s="2">
        <v>10</v>
      </c>
      <c r="D1996" s="2" t="s">
        <v>609</v>
      </c>
      <c r="E1996" s="2" t="s">
        <v>38</v>
      </c>
      <c r="F1996" s="2" t="s">
        <v>39</v>
      </c>
      <c r="G1996" s="2">
        <v>509037054</v>
      </c>
      <c r="H1996" s="2" t="s">
        <v>41</v>
      </c>
      <c r="I1996" s="2" t="s">
        <v>610</v>
      </c>
      <c r="J1996" s="2" t="s">
        <v>611</v>
      </c>
      <c r="K1996" s="2">
        <v>962616315</v>
      </c>
      <c r="L1996" s="2" t="s">
        <v>177</v>
      </c>
      <c r="M1996" s="2" t="s">
        <v>41</v>
      </c>
      <c r="O1996" s="2" t="s">
        <v>1947</v>
      </c>
      <c r="P1996" s="2" t="s">
        <v>43</v>
      </c>
      <c r="Q1996" s="2" t="s">
        <v>234</v>
      </c>
      <c r="R1996" s="2" t="s">
        <v>235</v>
      </c>
      <c r="S1996" s="2">
        <v>1</v>
      </c>
      <c r="T1996" s="2">
        <v>13.2</v>
      </c>
      <c r="U1996" s="2">
        <v>3.036</v>
      </c>
      <c r="V1996" s="2">
        <v>16.236000000000001</v>
      </c>
      <c r="W1996" s="2">
        <v>7.2217000000000002</v>
      </c>
      <c r="X1996" s="5">
        <f t="shared" si="278"/>
        <v>0.45290151515151511</v>
      </c>
      <c r="Z1996" s="2" t="s">
        <v>3227</v>
      </c>
      <c r="AA1996" s="2" t="s">
        <v>46</v>
      </c>
      <c r="AB1996" s="2" t="s">
        <v>56</v>
      </c>
      <c r="AC1996" s="2" t="s">
        <v>57</v>
      </c>
      <c r="AF1996" s="2">
        <f t="shared" si="281"/>
        <v>0</v>
      </c>
      <c r="AG1996" s="2">
        <v>7.2217000000000002</v>
      </c>
      <c r="AH1996" s="2">
        <v>14.4</v>
      </c>
      <c r="AJ1996" s="2">
        <f t="shared" si="282"/>
        <v>0</v>
      </c>
      <c r="AK1996" s="2">
        <f t="shared" si="279"/>
        <v>5.9782999999999991</v>
      </c>
      <c r="AL1996" s="5">
        <f t="shared" si="280"/>
        <v>0.45290151515151511</v>
      </c>
    </row>
    <row r="1997" spans="1:38" x14ac:dyDescent="0.2">
      <c r="A1997" s="2">
        <v>2025</v>
      </c>
      <c r="B1997" s="2">
        <v>10</v>
      </c>
      <c r="D1997" s="2" t="s">
        <v>609</v>
      </c>
      <c r="E1997" s="2" t="s">
        <v>38</v>
      </c>
      <c r="F1997" s="2" t="s">
        <v>39</v>
      </c>
      <c r="G1997" s="2">
        <v>509037054</v>
      </c>
      <c r="H1997" s="2" t="s">
        <v>41</v>
      </c>
      <c r="I1997" s="2" t="s">
        <v>610</v>
      </c>
      <c r="J1997" s="2" t="s">
        <v>611</v>
      </c>
      <c r="K1997" s="2">
        <v>962616315</v>
      </c>
      <c r="L1997" s="2" t="s">
        <v>177</v>
      </c>
      <c r="M1997" s="2" t="s">
        <v>41</v>
      </c>
      <c r="O1997" s="2" t="s">
        <v>1947</v>
      </c>
      <c r="P1997" s="2" t="s">
        <v>43</v>
      </c>
      <c r="Q1997" s="2" t="s">
        <v>242</v>
      </c>
      <c r="R1997" s="2" t="s">
        <v>243</v>
      </c>
      <c r="S1997" s="2">
        <v>1</v>
      </c>
      <c r="T1997" s="2">
        <v>28.8</v>
      </c>
      <c r="U1997" s="2">
        <v>6.6240000000000014</v>
      </c>
      <c r="V1997" s="2">
        <v>35.423999999999999</v>
      </c>
      <c r="W1997" s="2">
        <f>16.2249*S1997</f>
        <v>16.224900000000002</v>
      </c>
      <c r="X1997" s="5">
        <f t="shared" si="278"/>
        <v>0.43663541666666661</v>
      </c>
      <c r="Z1997" s="2" t="s">
        <v>3227</v>
      </c>
      <c r="AA1997" s="2" t="s">
        <v>46</v>
      </c>
      <c r="AB1997" s="2" t="s">
        <v>56</v>
      </c>
      <c r="AC1997" s="2" t="s">
        <v>57</v>
      </c>
      <c r="AF1997" s="2">
        <f t="shared" si="281"/>
        <v>0</v>
      </c>
      <c r="AJ1997" s="2">
        <f t="shared" si="282"/>
        <v>0</v>
      </c>
      <c r="AK1997" s="2">
        <f t="shared" si="279"/>
        <v>12.575099999999999</v>
      </c>
      <c r="AL1997" s="5">
        <f t="shared" si="280"/>
        <v>0.43663541666666661</v>
      </c>
    </row>
    <row r="1998" spans="1:38" x14ac:dyDescent="0.2">
      <c r="A1998" s="2">
        <v>2025</v>
      </c>
      <c r="B1998" s="2">
        <v>10</v>
      </c>
      <c r="D1998" s="2" t="s">
        <v>609</v>
      </c>
      <c r="E1998" s="2" t="s">
        <v>38</v>
      </c>
      <c r="F1998" s="2" t="s">
        <v>39</v>
      </c>
      <c r="G1998" s="2">
        <v>509037054</v>
      </c>
      <c r="H1998" s="2" t="s">
        <v>41</v>
      </c>
      <c r="I1998" s="2" t="s">
        <v>610</v>
      </c>
      <c r="J1998" s="2" t="s">
        <v>611</v>
      </c>
      <c r="K1998" s="2">
        <v>962616315</v>
      </c>
      <c r="L1998" s="2" t="s">
        <v>177</v>
      </c>
      <c r="M1998" s="2" t="s">
        <v>41</v>
      </c>
      <c r="O1998" s="2" t="s">
        <v>1947</v>
      </c>
      <c r="P1998" s="2" t="s">
        <v>43</v>
      </c>
      <c r="Q1998" s="2" t="s">
        <v>54</v>
      </c>
      <c r="R1998" s="2" t="s">
        <v>55</v>
      </c>
      <c r="S1998" s="2">
        <v>1</v>
      </c>
      <c r="T1998" s="2">
        <v>18</v>
      </c>
      <c r="U1998" s="2">
        <v>4.1400000000000006</v>
      </c>
      <c r="V1998" s="2">
        <v>22.14</v>
      </c>
      <c r="W1998" s="2">
        <f>10.6*S1998</f>
        <v>10.6</v>
      </c>
      <c r="X1998" s="5">
        <f t="shared" si="278"/>
        <v>0.41111111111111115</v>
      </c>
      <c r="Z1998" s="2" t="s">
        <v>3227</v>
      </c>
      <c r="AA1998" s="2" t="s">
        <v>46</v>
      </c>
      <c r="AB1998" s="2" t="s">
        <v>56</v>
      </c>
      <c r="AC1998" s="2" t="s">
        <v>57</v>
      </c>
      <c r="AF1998" s="2">
        <f t="shared" si="281"/>
        <v>0</v>
      </c>
      <c r="AG1998" s="2">
        <v>10.6</v>
      </c>
      <c r="AH1998" s="2">
        <v>18</v>
      </c>
      <c r="AJ1998" s="2">
        <f t="shared" si="282"/>
        <v>0</v>
      </c>
      <c r="AK1998" s="2">
        <f t="shared" si="279"/>
        <v>7.4</v>
      </c>
      <c r="AL1998" s="5">
        <f t="shared" si="280"/>
        <v>0.41111111111111115</v>
      </c>
    </row>
    <row r="1999" spans="1:38" x14ac:dyDescent="0.2">
      <c r="A1999" s="2">
        <v>2025</v>
      </c>
      <c r="B1999" s="2">
        <v>10</v>
      </c>
      <c r="D1999" s="2" t="s">
        <v>609</v>
      </c>
      <c r="E1999" s="2" t="s">
        <v>38</v>
      </c>
      <c r="F1999" s="2" t="s">
        <v>39</v>
      </c>
      <c r="G1999" s="2">
        <v>509037054</v>
      </c>
      <c r="H1999" s="2" t="s">
        <v>41</v>
      </c>
      <c r="I1999" s="2" t="s">
        <v>610</v>
      </c>
      <c r="J1999" s="2" t="s">
        <v>611</v>
      </c>
      <c r="K1999" s="2">
        <v>962616315</v>
      </c>
      <c r="L1999" s="2" t="s">
        <v>177</v>
      </c>
      <c r="M1999" s="2" t="s">
        <v>41</v>
      </c>
      <c r="O1999" s="2" t="s">
        <v>1947</v>
      </c>
      <c r="P1999" s="2" t="s">
        <v>43</v>
      </c>
      <c r="Q1999" s="2" t="s">
        <v>61</v>
      </c>
      <c r="R1999" s="2" t="s">
        <v>62</v>
      </c>
      <c r="S1999" s="2">
        <v>100</v>
      </c>
      <c r="T1999" s="2">
        <v>13</v>
      </c>
      <c r="U1999" s="2">
        <v>2.99</v>
      </c>
      <c r="V1999" s="2">
        <v>15.99</v>
      </c>
      <c r="W1999" s="2">
        <f>0.082*S1999</f>
        <v>8.2000000000000011</v>
      </c>
      <c r="X1999" s="5">
        <f t="shared" si="278"/>
        <v>0.36923076923076914</v>
      </c>
      <c r="Z1999" s="2" t="s">
        <v>3227</v>
      </c>
      <c r="AA1999" s="2" t="s">
        <v>46</v>
      </c>
      <c r="AB1999" s="2" t="s">
        <v>60</v>
      </c>
      <c r="AC1999" s="2" t="s">
        <v>57</v>
      </c>
      <c r="AF1999" s="2">
        <f t="shared" si="281"/>
        <v>0</v>
      </c>
      <c r="AG1999" s="2">
        <v>8.1999999999999993</v>
      </c>
      <c r="AH1999" s="2">
        <v>13</v>
      </c>
      <c r="AJ1999" s="2">
        <f t="shared" si="282"/>
        <v>0</v>
      </c>
      <c r="AK1999" s="2">
        <f t="shared" si="279"/>
        <v>4.7999999999999989</v>
      </c>
      <c r="AL1999" s="5">
        <f t="shared" si="280"/>
        <v>0.36923076923076914</v>
      </c>
    </row>
    <row r="2000" spans="1:38" x14ac:dyDescent="0.2">
      <c r="A2000" s="2">
        <v>2025</v>
      </c>
      <c r="B2000" s="2">
        <v>10</v>
      </c>
      <c r="D2000" s="2" t="s">
        <v>898</v>
      </c>
      <c r="E2000" s="2" t="s">
        <v>108</v>
      </c>
      <c r="F2000" s="2" t="s">
        <v>39</v>
      </c>
      <c r="H2000" s="2" t="s">
        <v>40</v>
      </c>
      <c r="I2000" s="2" t="s">
        <v>156</v>
      </c>
      <c r="J2000" s="2" t="s">
        <v>899</v>
      </c>
      <c r="K2000" s="2">
        <v>912047019</v>
      </c>
      <c r="L2000" s="2" t="s">
        <v>99</v>
      </c>
      <c r="M2000" s="2" t="s">
        <v>40</v>
      </c>
      <c r="O2000" s="2" t="s">
        <v>1948</v>
      </c>
      <c r="P2000" s="2" t="s">
        <v>114</v>
      </c>
      <c r="Q2000" s="2" t="s">
        <v>823</v>
      </c>
      <c r="R2000" s="2" t="s">
        <v>824</v>
      </c>
      <c r="S2000" s="2">
        <v>1</v>
      </c>
      <c r="T2000" s="2">
        <v>273.13</v>
      </c>
      <c r="U2000" s="2">
        <v>62.819899999999997</v>
      </c>
      <c r="V2000" s="2">
        <v>335.94990000000001</v>
      </c>
      <c r="X2000" s="5">
        <f t="shared" si="278"/>
        <v>1</v>
      </c>
      <c r="Z2000" s="2" t="s">
        <v>117</v>
      </c>
      <c r="AA2000" s="2" t="s">
        <v>118</v>
      </c>
      <c r="AB2000" s="2" t="s">
        <v>119</v>
      </c>
      <c r="AC2000" s="2" t="s">
        <v>114</v>
      </c>
      <c r="AF2000" s="2">
        <f t="shared" si="281"/>
        <v>0</v>
      </c>
      <c r="AJ2000" s="2">
        <f t="shared" si="282"/>
        <v>0</v>
      </c>
      <c r="AK2000" s="2">
        <f t="shared" si="279"/>
        <v>273.13</v>
      </c>
      <c r="AL2000" s="5">
        <f t="shared" si="280"/>
        <v>1</v>
      </c>
    </row>
    <row r="2001" spans="1:38" x14ac:dyDescent="0.2">
      <c r="A2001" s="2">
        <v>2025</v>
      </c>
      <c r="B2001" s="2">
        <v>10</v>
      </c>
      <c r="D2001" s="2" t="s">
        <v>898</v>
      </c>
      <c r="E2001" s="2" t="s">
        <v>108</v>
      </c>
      <c r="F2001" s="2" t="s">
        <v>39</v>
      </c>
      <c r="H2001" s="2" t="s">
        <v>40</v>
      </c>
      <c r="I2001" s="2" t="s">
        <v>156</v>
      </c>
      <c r="J2001" s="2" t="s">
        <v>899</v>
      </c>
      <c r="K2001" s="2">
        <v>912047019</v>
      </c>
      <c r="L2001" s="2" t="s">
        <v>99</v>
      </c>
      <c r="M2001" s="2" t="s">
        <v>3301</v>
      </c>
      <c r="O2001" s="2" t="s">
        <v>1949</v>
      </c>
      <c r="P2001" s="2" t="s">
        <v>282</v>
      </c>
      <c r="Q2001" s="2" t="s">
        <v>1950</v>
      </c>
      <c r="R2001" s="2" t="s">
        <v>1951</v>
      </c>
      <c r="S2001" s="2">
        <v>1</v>
      </c>
      <c r="T2001" s="2">
        <v>270</v>
      </c>
      <c r="U2001" s="2">
        <v>62.1</v>
      </c>
      <c r="V2001" s="2">
        <v>332.1</v>
      </c>
      <c r="W2001" s="2">
        <v>144.28</v>
      </c>
      <c r="X2001" s="5">
        <f t="shared" si="278"/>
        <v>0.46562962962962962</v>
      </c>
      <c r="Z2001" s="2" t="s">
        <v>3227</v>
      </c>
      <c r="AA2001" s="2" t="s">
        <v>71</v>
      </c>
      <c r="AB2001" s="2" t="s">
        <v>119</v>
      </c>
      <c r="AC2001" s="2" t="s">
        <v>119</v>
      </c>
      <c r="AF2001" s="2">
        <f t="shared" si="281"/>
        <v>0</v>
      </c>
      <c r="AJ2001" s="2">
        <f t="shared" si="282"/>
        <v>0</v>
      </c>
      <c r="AK2001" s="2">
        <f t="shared" si="279"/>
        <v>125.72</v>
      </c>
      <c r="AL2001" s="5">
        <f t="shared" si="280"/>
        <v>0.46562962962962962</v>
      </c>
    </row>
    <row r="2002" spans="1:38" x14ac:dyDescent="0.2">
      <c r="A2002" s="2">
        <v>2025</v>
      </c>
      <c r="B2002" s="2">
        <v>10</v>
      </c>
      <c r="D2002" s="2" t="s">
        <v>898</v>
      </c>
      <c r="E2002" s="2" t="s">
        <v>108</v>
      </c>
      <c r="F2002" s="2" t="s">
        <v>39</v>
      </c>
      <c r="H2002" s="2" t="s">
        <v>40</v>
      </c>
      <c r="I2002" s="2" t="s">
        <v>156</v>
      </c>
      <c r="J2002" s="2" t="s">
        <v>899</v>
      </c>
      <c r="K2002" s="2">
        <v>912047019</v>
      </c>
      <c r="L2002" s="2" t="s">
        <v>99</v>
      </c>
      <c r="M2002" s="2" t="s">
        <v>3301</v>
      </c>
      <c r="O2002" s="2" t="s">
        <v>1952</v>
      </c>
      <c r="P2002" s="2" t="s">
        <v>282</v>
      </c>
      <c r="Q2002" s="2" t="s">
        <v>1640</v>
      </c>
      <c r="R2002" s="2" t="s">
        <v>1641</v>
      </c>
      <c r="S2002" s="2">
        <v>-1</v>
      </c>
      <c r="T2002" s="2">
        <v>-335</v>
      </c>
      <c r="U2002" s="2">
        <v>-77.05</v>
      </c>
      <c r="V2002" s="2">
        <v>-412.05</v>
      </c>
      <c r="X2002" s="18">
        <f>SIGN(T2002)*((ABS(T2002)-W2002)/ABS(T2002))</f>
        <v>-1</v>
      </c>
      <c r="Z2002" s="2" t="s">
        <v>3227</v>
      </c>
      <c r="AA2002" s="2" t="s">
        <v>71</v>
      </c>
      <c r="AB2002" s="2" t="s">
        <v>119</v>
      </c>
      <c r="AC2002" s="2" t="s">
        <v>119</v>
      </c>
      <c r="AF2002" s="2">
        <f t="shared" si="281"/>
        <v>0</v>
      </c>
      <c r="AJ2002" s="2">
        <f t="shared" si="282"/>
        <v>0</v>
      </c>
      <c r="AK2002" s="2">
        <f>T2002+(W2002)</f>
        <v>-335</v>
      </c>
      <c r="AL2002" s="18">
        <f>SIGN(T2002)*((ABS(T2002)-W2002)/ABS(T2002))</f>
        <v>-1</v>
      </c>
    </row>
    <row r="2003" spans="1:38" x14ac:dyDescent="0.2">
      <c r="A2003" s="2">
        <v>2025</v>
      </c>
      <c r="B2003" s="2">
        <v>10</v>
      </c>
      <c r="D2003" s="2" t="s">
        <v>1295</v>
      </c>
      <c r="E2003" s="2" t="s">
        <v>183</v>
      </c>
      <c r="F2003" s="2" t="s">
        <v>366</v>
      </c>
      <c r="G2003" s="2">
        <v>500625654</v>
      </c>
      <c r="H2003" s="2" t="s">
        <v>290</v>
      </c>
      <c r="I2003" s="2" t="s">
        <v>339</v>
      </c>
      <c r="J2003" s="2" t="s">
        <v>1296</v>
      </c>
      <c r="L2003" s="2" t="s">
        <v>339</v>
      </c>
      <c r="M2003" s="2" t="s">
        <v>80</v>
      </c>
      <c r="O2003" s="2" t="s">
        <v>3202</v>
      </c>
      <c r="P2003" s="2" t="s">
        <v>72</v>
      </c>
      <c r="Q2003" s="2" t="s">
        <v>78</v>
      </c>
      <c r="R2003" s="2" t="s">
        <v>79</v>
      </c>
      <c r="S2003" s="2">
        <v>1</v>
      </c>
      <c r="T2003" s="2">
        <v>203.7</v>
      </c>
      <c r="U2003" s="2">
        <v>46.850999999999999</v>
      </c>
      <c r="V2003" s="2">
        <v>250.55099999999999</v>
      </c>
      <c r="W2003" s="2">
        <f>111.98*S2003</f>
        <v>111.98</v>
      </c>
      <c r="X2003" s="5">
        <f t="shared" ref="X2003:X2014" si="283">(T2003-W2003)/T2003</f>
        <v>0.45027000490918012</v>
      </c>
      <c r="Z2003" s="2" t="s">
        <v>3227</v>
      </c>
      <c r="AA2003" s="2" t="s">
        <v>75</v>
      </c>
      <c r="AB2003" s="2" t="s">
        <v>76</v>
      </c>
      <c r="AC2003" s="2" t="s">
        <v>77</v>
      </c>
      <c r="AF2003" s="2">
        <f t="shared" si="281"/>
        <v>0</v>
      </c>
      <c r="AG2003" s="2">
        <v>111.98</v>
      </c>
      <c r="AH2003" s="2">
        <v>210</v>
      </c>
      <c r="AJ2003" s="2">
        <f t="shared" si="282"/>
        <v>0</v>
      </c>
      <c r="AK2003" s="2">
        <f t="shared" ref="AK2003:AK2066" si="284">T2003-W2003</f>
        <v>91.719999999999985</v>
      </c>
      <c r="AL2003" s="5">
        <f t="shared" ref="AL2003:AL2014" si="285">(T2003-W2003)/T2003</f>
        <v>0.45027000490918012</v>
      </c>
    </row>
    <row r="2004" spans="1:38" x14ac:dyDescent="0.2">
      <c r="A2004" s="2">
        <v>2025</v>
      </c>
      <c r="B2004" s="2">
        <v>10</v>
      </c>
      <c r="D2004" s="2" t="s">
        <v>1295</v>
      </c>
      <c r="E2004" s="2" t="s">
        <v>183</v>
      </c>
      <c r="F2004" s="2" t="s">
        <v>366</v>
      </c>
      <c r="G2004" s="2">
        <v>500625654</v>
      </c>
      <c r="H2004" s="2" t="s">
        <v>290</v>
      </c>
      <c r="I2004" s="2" t="s">
        <v>339</v>
      </c>
      <c r="J2004" s="2" t="s">
        <v>1296</v>
      </c>
      <c r="L2004" s="2" t="s">
        <v>339</v>
      </c>
      <c r="M2004" s="2" t="s">
        <v>80</v>
      </c>
      <c r="P2004" s="2" t="s">
        <v>1038</v>
      </c>
      <c r="Q2004" s="2" t="s">
        <v>1953</v>
      </c>
      <c r="R2004" s="2" t="s">
        <v>1954</v>
      </c>
      <c r="S2004" s="2">
        <v>1</v>
      </c>
      <c r="T2004" s="2">
        <v>213.4</v>
      </c>
      <c r="U2004" s="2">
        <v>49.082000000000001</v>
      </c>
      <c r="V2004" s="2">
        <v>262.48200000000003</v>
      </c>
      <c r="W2004" s="2">
        <v>120.395</v>
      </c>
      <c r="X2004" s="5">
        <f t="shared" si="283"/>
        <v>0.43582474226804124</v>
      </c>
      <c r="Z2004" s="2" t="s">
        <v>3227</v>
      </c>
      <c r="AA2004" s="2" t="s">
        <v>75</v>
      </c>
      <c r="AB2004" s="2" t="s">
        <v>76</v>
      </c>
      <c r="AC2004" s="2" t="s">
        <v>1038</v>
      </c>
      <c r="AF2004" s="2">
        <f t="shared" si="281"/>
        <v>0</v>
      </c>
      <c r="AJ2004" s="2">
        <f t="shared" si="282"/>
        <v>0</v>
      </c>
      <c r="AK2004" s="2">
        <f t="shared" si="284"/>
        <v>93.00500000000001</v>
      </c>
      <c r="AL2004" s="5">
        <f t="shared" si="285"/>
        <v>0.43582474226804124</v>
      </c>
    </row>
    <row r="2005" spans="1:38" x14ac:dyDescent="0.2">
      <c r="A2005" s="2">
        <v>2025</v>
      </c>
      <c r="B2005" s="2">
        <v>10</v>
      </c>
      <c r="D2005" s="2" t="s">
        <v>1295</v>
      </c>
      <c r="E2005" s="2" t="s">
        <v>183</v>
      </c>
      <c r="F2005" s="2" t="s">
        <v>366</v>
      </c>
      <c r="G2005" s="2">
        <v>500625654</v>
      </c>
      <c r="H2005" s="2" t="s">
        <v>290</v>
      </c>
      <c r="I2005" s="2" t="s">
        <v>339</v>
      </c>
      <c r="J2005" s="2" t="s">
        <v>1296</v>
      </c>
      <c r="L2005" s="2" t="s">
        <v>339</v>
      </c>
      <c r="M2005" s="2" t="s">
        <v>80</v>
      </c>
      <c r="P2005" s="2" t="s">
        <v>169</v>
      </c>
      <c r="Q2005" s="2" t="s">
        <v>170</v>
      </c>
      <c r="R2005" s="2" t="s">
        <v>170</v>
      </c>
      <c r="S2005" s="2">
        <v>1</v>
      </c>
      <c r="T2005" s="2">
        <v>30</v>
      </c>
      <c r="U2005" s="2">
        <v>6.9</v>
      </c>
      <c r="V2005" s="2">
        <v>36.9</v>
      </c>
      <c r="W2005" s="2">
        <v>23</v>
      </c>
      <c r="X2005" s="5">
        <f t="shared" si="283"/>
        <v>0.23333333333333334</v>
      </c>
      <c r="Z2005" s="2" t="s">
        <v>169</v>
      </c>
      <c r="AA2005" s="2" t="s">
        <v>169</v>
      </c>
      <c r="AF2005" s="2">
        <f t="shared" si="281"/>
        <v>0</v>
      </c>
      <c r="AJ2005" s="2">
        <f t="shared" si="282"/>
        <v>0</v>
      </c>
      <c r="AK2005" s="2">
        <f t="shared" si="284"/>
        <v>7</v>
      </c>
      <c r="AL2005" s="5">
        <f t="shared" si="285"/>
        <v>0.23333333333333334</v>
      </c>
    </row>
    <row r="2006" spans="1:38" x14ac:dyDescent="0.2">
      <c r="A2006" s="2">
        <v>2025</v>
      </c>
      <c r="B2006" s="2">
        <v>10</v>
      </c>
      <c r="D2006" s="2" t="s">
        <v>1295</v>
      </c>
      <c r="E2006" s="2" t="s">
        <v>183</v>
      </c>
      <c r="F2006" s="2" t="s">
        <v>366</v>
      </c>
      <c r="G2006" s="2">
        <v>500625654</v>
      </c>
      <c r="H2006" s="2" t="s">
        <v>290</v>
      </c>
      <c r="I2006" s="2" t="s">
        <v>339</v>
      </c>
      <c r="J2006" s="2" t="s">
        <v>1296</v>
      </c>
      <c r="L2006" s="2" t="s">
        <v>339</v>
      </c>
      <c r="P2006" s="2" t="s">
        <v>93</v>
      </c>
      <c r="Q2006" s="2" t="s">
        <v>94</v>
      </c>
      <c r="R2006" s="2" t="s">
        <v>95</v>
      </c>
      <c r="S2006" s="2">
        <v>2</v>
      </c>
      <c r="T2006" s="2">
        <v>2.2799999999999998</v>
      </c>
      <c r="U2006" s="2">
        <v>0.52439999999999998</v>
      </c>
      <c r="V2006" s="2">
        <v>2.8043999999999998</v>
      </c>
      <c r="W2006" s="2">
        <v>2.2799999999999998</v>
      </c>
      <c r="X2006" s="5">
        <f t="shared" si="283"/>
        <v>0</v>
      </c>
      <c r="Z2006" s="2" t="s">
        <v>3227</v>
      </c>
      <c r="AA2006" s="2" t="s">
        <v>96</v>
      </c>
      <c r="AB2006" s="2" t="s">
        <v>76</v>
      </c>
      <c r="AC2006" s="2" t="s">
        <v>93</v>
      </c>
      <c r="AF2006" s="2">
        <f t="shared" si="281"/>
        <v>0</v>
      </c>
      <c r="AJ2006" s="2">
        <f t="shared" si="282"/>
        <v>0</v>
      </c>
      <c r="AK2006" s="2">
        <f t="shared" si="284"/>
        <v>0</v>
      </c>
      <c r="AL2006" s="5">
        <f t="shared" si="285"/>
        <v>0</v>
      </c>
    </row>
    <row r="2007" spans="1:38" x14ac:dyDescent="0.2">
      <c r="A2007" s="2">
        <v>2025</v>
      </c>
      <c r="B2007" s="2">
        <v>10</v>
      </c>
      <c r="D2007" s="2" t="s">
        <v>617</v>
      </c>
      <c r="E2007" s="2" t="s">
        <v>38</v>
      </c>
      <c r="F2007" s="2" t="s">
        <v>39</v>
      </c>
      <c r="G2007" s="2">
        <v>513759654</v>
      </c>
      <c r="H2007" s="2" t="s">
        <v>41</v>
      </c>
      <c r="I2007" s="2" t="s">
        <v>618</v>
      </c>
      <c r="J2007" s="2" t="s">
        <v>619</v>
      </c>
      <c r="L2007" s="2" t="s">
        <v>418</v>
      </c>
      <c r="M2007" s="2" t="s">
        <v>41</v>
      </c>
      <c r="P2007" s="2" t="s">
        <v>282</v>
      </c>
      <c r="Q2007" s="2" t="s">
        <v>399</v>
      </c>
      <c r="R2007" s="2" t="s">
        <v>400</v>
      </c>
      <c r="S2007" s="2">
        <v>10</v>
      </c>
      <c r="T2007" s="2">
        <v>200</v>
      </c>
      <c r="U2007" s="2">
        <v>46</v>
      </c>
      <c r="V2007" s="2">
        <v>246</v>
      </c>
      <c r="W2007" s="2">
        <f>17.4*S2007</f>
        <v>174</v>
      </c>
      <c r="X2007" s="5">
        <f t="shared" si="283"/>
        <v>0.13</v>
      </c>
      <c r="Z2007" s="2" t="s">
        <v>3227</v>
      </c>
      <c r="AA2007" s="2" t="s">
        <v>46</v>
      </c>
      <c r="AB2007" s="2" t="s">
        <v>60</v>
      </c>
      <c r="AC2007" s="2" t="s">
        <v>3332</v>
      </c>
      <c r="AF2007" s="2">
        <f t="shared" si="281"/>
        <v>0</v>
      </c>
      <c r="AJ2007" s="2">
        <f t="shared" si="282"/>
        <v>0</v>
      </c>
      <c r="AK2007" s="2">
        <f t="shared" si="284"/>
        <v>26</v>
      </c>
      <c r="AL2007" s="5">
        <f t="shared" si="285"/>
        <v>0.13</v>
      </c>
    </row>
    <row r="2008" spans="1:38" x14ac:dyDescent="0.2">
      <c r="A2008" s="2">
        <v>2025</v>
      </c>
      <c r="B2008" s="2">
        <v>10</v>
      </c>
      <c r="D2008" s="2" t="s">
        <v>617</v>
      </c>
      <c r="E2008" s="2" t="s">
        <v>38</v>
      </c>
      <c r="F2008" s="2" t="s">
        <v>39</v>
      </c>
      <c r="G2008" s="2">
        <v>513759654</v>
      </c>
      <c r="H2008" s="2" t="s">
        <v>41</v>
      </c>
      <c r="I2008" s="2" t="s">
        <v>618</v>
      </c>
      <c r="J2008" s="2" t="s">
        <v>619</v>
      </c>
      <c r="L2008" s="2" t="s">
        <v>418</v>
      </c>
      <c r="M2008" s="2" t="s">
        <v>41</v>
      </c>
      <c r="P2008" s="2" t="s">
        <v>282</v>
      </c>
      <c r="Q2008" s="2" t="s">
        <v>401</v>
      </c>
      <c r="R2008" s="2" t="s">
        <v>402</v>
      </c>
      <c r="S2008" s="2">
        <v>10</v>
      </c>
      <c r="T2008" s="2">
        <v>200</v>
      </c>
      <c r="U2008" s="2">
        <v>46</v>
      </c>
      <c r="V2008" s="2">
        <v>246</v>
      </c>
      <c r="W2008" s="2">
        <f>17.4*S2008</f>
        <v>174</v>
      </c>
      <c r="X2008" s="5">
        <f t="shared" si="283"/>
        <v>0.13</v>
      </c>
      <c r="Z2008" s="2" t="s">
        <v>3227</v>
      </c>
      <c r="AA2008" s="2" t="s">
        <v>46</v>
      </c>
      <c r="AB2008" s="2" t="s">
        <v>60</v>
      </c>
      <c r="AC2008" s="2" t="s">
        <v>3332</v>
      </c>
      <c r="AF2008" s="2">
        <f t="shared" si="281"/>
        <v>0</v>
      </c>
      <c r="AJ2008" s="2">
        <f t="shared" si="282"/>
        <v>0</v>
      </c>
      <c r="AK2008" s="2">
        <f t="shared" si="284"/>
        <v>26</v>
      </c>
      <c r="AL2008" s="5">
        <f t="shared" si="285"/>
        <v>0.13</v>
      </c>
    </row>
    <row r="2009" spans="1:38" x14ac:dyDescent="0.2">
      <c r="A2009" s="2">
        <v>2025</v>
      </c>
      <c r="B2009" s="2">
        <v>10</v>
      </c>
      <c r="D2009" s="2" t="s">
        <v>624</v>
      </c>
      <c r="E2009" s="2" t="s">
        <v>38</v>
      </c>
      <c r="F2009" s="2" t="s">
        <v>39</v>
      </c>
      <c r="G2009" s="2" t="s">
        <v>625</v>
      </c>
      <c r="H2009" s="2" t="s">
        <v>40</v>
      </c>
      <c r="I2009" s="2" t="s">
        <v>626</v>
      </c>
      <c r="J2009" s="2" t="s">
        <v>627</v>
      </c>
      <c r="L2009" s="2" t="s">
        <v>626</v>
      </c>
      <c r="M2009" s="2" t="s">
        <v>40</v>
      </c>
      <c r="P2009" s="2" t="s">
        <v>114</v>
      </c>
      <c r="Q2009" s="2" t="s">
        <v>1300</v>
      </c>
      <c r="R2009" s="2" t="s">
        <v>1301</v>
      </c>
      <c r="S2009" s="2">
        <v>1</v>
      </c>
      <c r="T2009" s="2">
        <v>13.28</v>
      </c>
      <c r="V2009" s="2">
        <f>T2009</f>
        <v>13.28</v>
      </c>
      <c r="W2009" s="2">
        <v>5.2</v>
      </c>
      <c r="X2009" s="5">
        <f t="shared" si="283"/>
        <v>0.60843373493975894</v>
      </c>
      <c r="Z2009" s="2" t="s">
        <v>117</v>
      </c>
      <c r="AA2009" s="2" t="s">
        <v>181</v>
      </c>
      <c r="AB2009" s="2" t="s">
        <v>119</v>
      </c>
      <c r="AC2009" s="2" t="s">
        <v>114</v>
      </c>
      <c r="AF2009" s="2">
        <f t="shared" si="281"/>
        <v>0</v>
      </c>
      <c r="AJ2009" s="2">
        <f t="shared" si="282"/>
        <v>0</v>
      </c>
      <c r="AK2009" s="2">
        <f t="shared" si="284"/>
        <v>8.0799999999999983</v>
      </c>
      <c r="AL2009" s="5">
        <f t="shared" si="285"/>
        <v>0.60843373493975894</v>
      </c>
    </row>
    <row r="2010" spans="1:38" x14ac:dyDescent="0.2">
      <c r="A2010" s="2">
        <v>2025</v>
      </c>
      <c r="B2010" s="2">
        <v>10</v>
      </c>
      <c r="D2010" s="2" t="s">
        <v>624</v>
      </c>
      <c r="E2010" s="2" t="s">
        <v>38</v>
      </c>
      <c r="F2010" s="2" t="s">
        <v>39</v>
      </c>
      <c r="G2010" s="2" t="s">
        <v>625</v>
      </c>
      <c r="H2010" s="2" t="s">
        <v>40</v>
      </c>
      <c r="I2010" s="2" t="s">
        <v>626</v>
      </c>
      <c r="J2010" s="2" t="s">
        <v>627</v>
      </c>
      <c r="L2010" s="2" t="s">
        <v>626</v>
      </c>
      <c r="M2010" s="2" t="s">
        <v>40</v>
      </c>
      <c r="P2010" s="2" t="s">
        <v>114</v>
      </c>
      <c r="Q2010" s="2" t="s">
        <v>904</v>
      </c>
      <c r="R2010" s="2" t="s">
        <v>905</v>
      </c>
      <c r="S2010" s="2">
        <v>1</v>
      </c>
      <c r="T2010" s="2">
        <v>465.7</v>
      </c>
      <c r="V2010" s="2">
        <f>T2010</f>
        <v>465.7</v>
      </c>
      <c r="W2010" s="2">
        <v>345.20339999999999</v>
      </c>
      <c r="X2010" s="5">
        <f t="shared" si="283"/>
        <v>0.25874296757569254</v>
      </c>
      <c r="Z2010" s="2" t="s">
        <v>117</v>
      </c>
      <c r="AA2010" s="2" t="s">
        <v>181</v>
      </c>
      <c r="AB2010" s="2" t="s">
        <v>119</v>
      </c>
      <c r="AC2010" s="2" t="s">
        <v>114</v>
      </c>
      <c r="AF2010" s="2">
        <f t="shared" si="281"/>
        <v>0</v>
      </c>
      <c r="AJ2010" s="2">
        <f t="shared" si="282"/>
        <v>0</v>
      </c>
      <c r="AK2010" s="2">
        <f t="shared" si="284"/>
        <v>120.4966</v>
      </c>
      <c r="AL2010" s="5">
        <f t="shared" si="285"/>
        <v>0.25874296757569254</v>
      </c>
    </row>
    <row r="2011" spans="1:38" x14ac:dyDescent="0.2">
      <c r="A2011" s="2">
        <v>2025</v>
      </c>
      <c r="B2011" s="2">
        <v>10</v>
      </c>
      <c r="D2011" s="2" t="s">
        <v>1955</v>
      </c>
      <c r="P2011" s="2" t="s">
        <v>72</v>
      </c>
      <c r="Q2011" s="2" t="s">
        <v>73</v>
      </c>
      <c r="R2011" s="2" t="s">
        <v>74</v>
      </c>
      <c r="S2011" s="2">
        <v>1</v>
      </c>
      <c r="T2011" s="2">
        <v>220</v>
      </c>
      <c r="U2011" s="2">
        <v>50.6</v>
      </c>
      <c r="V2011" s="2">
        <v>270.60000000000002</v>
      </c>
      <c r="W2011" s="2">
        <v>117.453</v>
      </c>
      <c r="X2011" s="5">
        <f t="shared" si="283"/>
        <v>0.46612272727272724</v>
      </c>
      <c r="Z2011" s="2" t="s">
        <v>3227</v>
      </c>
      <c r="AA2011" s="2" t="s">
        <v>75</v>
      </c>
      <c r="AB2011" s="2" t="s">
        <v>76</v>
      </c>
      <c r="AC2011" s="2" t="s">
        <v>77</v>
      </c>
      <c r="AF2011" s="2">
        <f t="shared" si="281"/>
        <v>0</v>
      </c>
      <c r="AG2011" s="2">
        <v>117.453</v>
      </c>
      <c r="AH2011" s="2">
        <v>220</v>
      </c>
      <c r="AJ2011" s="2">
        <f t="shared" si="282"/>
        <v>0</v>
      </c>
      <c r="AK2011" s="2">
        <f t="shared" si="284"/>
        <v>102.547</v>
      </c>
      <c r="AL2011" s="5">
        <f t="shared" si="285"/>
        <v>0.46612272727272724</v>
      </c>
    </row>
    <row r="2012" spans="1:38" x14ac:dyDescent="0.2">
      <c r="A2012" s="2">
        <v>2025</v>
      </c>
      <c r="B2012" s="2">
        <v>10</v>
      </c>
      <c r="D2012" s="2" t="s">
        <v>1955</v>
      </c>
      <c r="P2012" s="2" t="s">
        <v>93</v>
      </c>
      <c r="Q2012" s="2" t="s">
        <v>94</v>
      </c>
      <c r="R2012" s="2" t="s">
        <v>95</v>
      </c>
      <c r="S2012" s="2">
        <v>1</v>
      </c>
      <c r="T2012" s="2">
        <v>1.1399999999999999</v>
      </c>
      <c r="U2012" s="2">
        <v>0.26219999999999999</v>
      </c>
      <c r="V2012" s="2">
        <v>1.4021999999999999</v>
      </c>
      <c r="W2012" s="2">
        <v>1.1399999999999999</v>
      </c>
      <c r="X2012" s="5">
        <f t="shared" si="283"/>
        <v>0</v>
      </c>
      <c r="Z2012" s="2" t="s">
        <v>3227</v>
      </c>
      <c r="AA2012" s="2" t="s">
        <v>96</v>
      </c>
      <c r="AB2012" s="2" t="s">
        <v>76</v>
      </c>
      <c r="AC2012" s="2" t="s">
        <v>93</v>
      </c>
      <c r="AF2012" s="2">
        <f t="shared" si="281"/>
        <v>0</v>
      </c>
      <c r="AJ2012" s="2">
        <f t="shared" si="282"/>
        <v>0</v>
      </c>
      <c r="AK2012" s="2">
        <f t="shared" si="284"/>
        <v>0</v>
      </c>
      <c r="AL2012" s="5">
        <f t="shared" si="285"/>
        <v>0</v>
      </c>
    </row>
    <row r="2013" spans="1:38" x14ac:dyDescent="0.2">
      <c r="A2013" s="2">
        <v>2025</v>
      </c>
      <c r="B2013" s="2">
        <v>10</v>
      </c>
      <c r="D2013" s="2" t="s">
        <v>1299</v>
      </c>
      <c r="P2013" s="2" t="s">
        <v>114</v>
      </c>
      <c r="Q2013" s="2" t="s">
        <v>779</v>
      </c>
      <c r="R2013" s="2" t="s">
        <v>780</v>
      </c>
      <c r="S2013" s="2">
        <v>1</v>
      </c>
      <c r="T2013" s="2">
        <v>76.67</v>
      </c>
      <c r="U2013" s="2">
        <v>17.6341</v>
      </c>
      <c r="V2013" s="2">
        <v>94.304100000000005</v>
      </c>
      <c r="X2013" s="5">
        <f t="shared" si="283"/>
        <v>1</v>
      </c>
      <c r="Z2013" s="2" t="s">
        <v>117</v>
      </c>
      <c r="AF2013" s="2">
        <f t="shared" si="281"/>
        <v>0</v>
      </c>
      <c r="AJ2013" s="2">
        <f t="shared" si="282"/>
        <v>0</v>
      </c>
      <c r="AK2013" s="2">
        <f t="shared" si="284"/>
        <v>76.67</v>
      </c>
      <c r="AL2013" s="5">
        <f t="shared" si="285"/>
        <v>1</v>
      </c>
    </row>
    <row r="2014" spans="1:38" x14ac:dyDescent="0.2">
      <c r="A2014" s="2">
        <v>2025</v>
      </c>
      <c r="B2014" s="2">
        <v>10</v>
      </c>
      <c r="D2014" s="2" t="s">
        <v>1119</v>
      </c>
      <c r="E2014" s="2" t="s">
        <v>108</v>
      </c>
      <c r="F2014" s="2" t="s">
        <v>477</v>
      </c>
      <c r="L2014" s="2" t="s">
        <v>99</v>
      </c>
      <c r="M2014" s="2" t="s">
        <v>40</v>
      </c>
      <c r="P2014" s="2" t="s">
        <v>114</v>
      </c>
      <c r="Q2014" s="2" t="s">
        <v>179</v>
      </c>
      <c r="R2014" s="2" t="s">
        <v>180</v>
      </c>
      <c r="S2014" s="2">
        <v>2</v>
      </c>
      <c r="T2014" s="2">
        <v>1198.8</v>
      </c>
      <c r="U2014" s="2">
        <v>275.72399999999999</v>
      </c>
      <c r="V2014" s="2">
        <v>1474.5239999999999</v>
      </c>
      <c r="W2014" s="2">
        <v>693.14</v>
      </c>
      <c r="X2014" s="5">
        <f t="shared" si="283"/>
        <v>0.42180513847180512</v>
      </c>
      <c r="Z2014" s="2" t="s">
        <v>117</v>
      </c>
      <c r="AA2014" s="2" t="s">
        <v>181</v>
      </c>
      <c r="AB2014" s="2" t="s">
        <v>119</v>
      </c>
      <c r="AC2014" s="2" t="s">
        <v>114</v>
      </c>
      <c r="AF2014" s="2">
        <f t="shared" si="281"/>
        <v>0</v>
      </c>
      <c r="AJ2014" s="2">
        <f t="shared" si="282"/>
        <v>0</v>
      </c>
      <c r="AK2014" s="2">
        <f t="shared" si="284"/>
        <v>505.65999999999997</v>
      </c>
      <c r="AL2014" s="5">
        <f t="shared" si="285"/>
        <v>0.42180513847180512</v>
      </c>
    </row>
    <row r="2015" spans="1:38" x14ac:dyDescent="0.2">
      <c r="A2015" s="2">
        <v>2025</v>
      </c>
      <c r="B2015" s="2">
        <v>10</v>
      </c>
      <c r="D2015" s="2" t="s">
        <v>1119</v>
      </c>
      <c r="E2015" s="2" t="s">
        <v>108</v>
      </c>
      <c r="F2015" s="2" t="s">
        <v>477</v>
      </c>
      <c r="L2015" s="2" t="s">
        <v>99</v>
      </c>
      <c r="M2015" s="2" t="s">
        <v>40</v>
      </c>
      <c r="P2015" s="2" t="s">
        <v>187</v>
      </c>
      <c r="Q2015" s="2" t="s">
        <v>188</v>
      </c>
      <c r="R2015" s="2" t="s">
        <v>189</v>
      </c>
      <c r="S2015" s="2">
        <v>1</v>
      </c>
      <c r="T2015" s="2">
        <v>0</v>
      </c>
      <c r="U2015" s="2">
        <v>0</v>
      </c>
      <c r="V2015" s="2">
        <v>0</v>
      </c>
      <c r="W2015" s="2">
        <f>T2015*40%</f>
        <v>0</v>
      </c>
      <c r="X2015" s="5">
        <v>0</v>
      </c>
      <c r="Z2015" s="2" t="s">
        <v>117</v>
      </c>
      <c r="AA2015" s="2" t="s">
        <v>190</v>
      </c>
      <c r="AB2015" s="2" t="s">
        <v>189</v>
      </c>
      <c r="AC2015" s="2" t="s">
        <v>40</v>
      </c>
      <c r="AF2015" s="2">
        <f t="shared" si="281"/>
        <v>0</v>
      </c>
      <c r="AJ2015" s="2">
        <f t="shared" si="282"/>
        <v>0</v>
      </c>
      <c r="AK2015" s="2">
        <f t="shared" si="284"/>
        <v>0</v>
      </c>
      <c r="AL2015" s="5">
        <v>0</v>
      </c>
    </row>
    <row r="2016" spans="1:38" x14ac:dyDescent="0.2">
      <c r="A2016" s="2">
        <v>2025</v>
      </c>
      <c r="B2016" s="2">
        <v>10</v>
      </c>
      <c r="D2016" s="2" t="s">
        <v>1119</v>
      </c>
      <c r="E2016" s="2" t="s">
        <v>108</v>
      </c>
      <c r="F2016" s="2" t="s">
        <v>477</v>
      </c>
      <c r="L2016" s="2" t="s">
        <v>99</v>
      </c>
      <c r="M2016" s="2" t="s">
        <v>40</v>
      </c>
      <c r="P2016" s="2" t="s">
        <v>187</v>
      </c>
      <c r="Q2016" s="2" t="s">
        <v>191</v>
      </c>
      <c r="R2016" s="2" t="s">
        <v>190</v>
      </c>
      <c r="S2016" s="2">
        <v>1</v>
      </c>
      <c r="T2016" s="2">
        <v>50</v>
      </c>
      <c r="U2016" s="2">
        <v>11.5</v>
      </c>
      <c r="V2016" s="2">
        <v>61.5</v>
      </c>
      <c r="W2016" s="2">
        <f>T2016*50%</f>
        <v>25</v>
      </c>
      <c r="X2016" s="5">
        <f t="shared" ref="X2016:X2052" si="286">(T2016-W2016)/T2016</f>
        <v>0.5</v>
      </c>
      <c r="Z2016" s="2" t="s">
        <v>117</v>
      </c>
      <c r="AA2016" s="2" t="s">
        <v>190</v>
      </c>
      <c r="AB2016" s="2" t="s">
        <v>190</v>
      </c>
      <c r="AC2016" s="2" t="s">
        <v>40</v>
      </c>
      <c r="AF2016" s="2">
        <f t="shared" si="281"/>
        <v>0</v>
      </c>
      <c r="AJ2016" s="2">
        <f t="shared" si="282"/>
        <v>0</v>
      </c>
      <c r="AK2016" s="2">
        <f t="shared" si="284"/>
        <v>25</v>
      </c>
      <c r="AL2016" s="5">
        <f t="shared" ref="AL2016:AL2052" si="287">(T2016-W2016)/T2016</f>
        <v>0.5</v>
      </c>
    </row>
    <row r="2017" spans="1:38" x14ac:dyDescent="0.2">
      <c r="A2017" s="2">
        <v>2025</v>
      </c>
      <c r="B2017" s="2">
        <v>10</v>
      </c>
      <c r="D2017" s="2" t="s">
        <v>1956</v>
      </c>
      <c r="M2017" s="2" t="s">
        <v>40</v>
      </c>
      <c r="P2017" s="2" t="s">
        <v>114</v>
      </c>
      <c r="Q2017" s="2" t="s">
        <v>904</v>
      </c>
      <c r="R2017" s="2" t="s">
        <v>905</v>
      </c>
      <c r="S2017" s="2">
        <v>1</v>
      </c>
      <c r="T2017" s="2">
        <v>699.3</v>
      </c>
      <c r="U2017" s="2">
        <v>160.839</v>
      </c>
      <c r="V2017" s="2">
        <v>860.1389999999999</v>
      </c>
      <c r="W2017" s="2">
        <v>345.20339999999999</v>
      </c>
      <c r="X2017" s="5">
        <f t="shared" si="286"/>
        <v>0.50635864435864431</v>
      </c>
      <c r="Z2017" s="2" t="s">
        <v>117</v>
      </c>
      <c r="AA2017" s="2" t="s">
        <v>181</v>
      </c>
      <c r="AB2017" s="2" t="s">
        <v>119</v>
      </c>
      <c r="AC2017" s="2" t="s">
        <v>114</v>
      </c>
      <c r="AF2017" s="2">
        <f t="shared" si="281"/>
        <v>0</v>
      </c>
      <c r="AJ2017" s="2">
        <f t="shared" si="282"/>
        <v>0</v>
      </c>
      <c r="AK2017" s="2">
        <f t="shared" si="284"/>
        <v>354.09659999999997</v>
      </c>
      <c r="AL2017" s="5">
        <f t="shared" si="287"/>
        <v>0.50635864435864431</v>
      </c>
    </row>
    <row r="2018" spans="1:38" x14ac:dyDescent="0.2">
      <c r="A2018" s="2">
        <v>2025</v>
      </c>
      <c r="B2018" s="2">
        <v>10</v>
      </c>
      <c r="D2018" s="2" t="s">
        <v>1956</v>
      </c>
      <c r="M2018" s="2" t="s">
        <v>40</v>
      </c>
      <c r="P2018" s="2" t="s">
        <v>187</v>
      </c>
      <c r="Q2018" s="2" t="s">
        <v>188</v>
      </c>
      <c r="R2018" s="2" t="s">
        <v>189</v>
      </c>
      <c r="S2018" s="2">
        <v>1</v>
      </c>
      <c r="T2018" s="2">
        <v>161</v>
      </c>
      <c r="U2018" s="2">
        <v>37.03</v>
      </c>
      <c r="V2018" s="2">
        <v>198.03</v>
      </c>
      <c r="W2018" s="2">
        <f>T2018*40%</f>
        <v>64.400000000000006</v>
      </c>
      <c r="X2018" s="5">
        <f t="shared" si="286"/>
        <v>0.6</v>
      </c>
      <c r="Z2018" s="2" t="s">
        <v>117</v>
      </c>
      <c r="AA2018" s="2" t="s">
        <v>190</v>
      </c>
      <c r="AB2018" s="2" t="s">
        <v>189</v>
      </c>
      <c r="AC2018" s="2" t="s">
        <v>40</v>
      </c>
      <c r="AF2018" s="2">
        <f t="shared" si="281"/>
        <v>0</v>
      </c>
      <c r="AJ2018" s="2">
        <f t="shared" si="282"/>
        <v>0</v>
      </c>
      <c r="AK2018" s="2">
        <f t="shared" si="284"/>
        <v>96.6</v>
      </c>
      <c r="AL2018" s="5">
        <f t="shared" si="287"/>
        <v>0.6</v>
      </c>
    </row>
    <row r="2019" spans="1:38" x14ac:dyDescent="0.2">
      <c r="A2019" s="2">
        <v>2025</v>
      </c>
      <c r="B2019" s="2">
        <v>10</v>
      </c>
      <c r="D2019" s="2" t="s">
        <v>1956</v>
      </c>
      <c r="M2019" s="2" t="s">
        <v>40</v>
      </c>
      <c r="P2019" s="2" t="s">
        <v>187</v>
      </c>
      <c r="Q2019" s="2" t="s">
        <v>191</v>
      </c>
      <c r="R2019" s="2" t="s">
        <v>190</v>
      </c>
      <c r="S2019" s="2">
        <v>0.75</v>
      </c>
      <c r="T2019" s="2">
        <v>37.5</v>
      </c>
      <c r="U2019" s="2">
        <v>8.625</v>
      </c>
      <c r="V2019" s="2">
        <v>46.125</v>
      </c>
      <c r="W2019" s="2">
        <f>T2019*50%</f>
        <v>18.75</v>
      </c>
      <c r="X2019" s="5">
        <f t="shared" si="286"/>
        <v>0.5</v>
      </c>
      <c r="Z2019" s="2" t="s">
        <v>117</v>
      </c>
      <c r="AA2019" s="2" t="s">
        <v>190</v>
      </c>
      <c r="AB2019" s="2" t="s">
        <v>190</v>
      </c>
      <c r="AC2019" s="2" t="s">
        <v>40</v>
      </c>
      <c r="AF2019" s="2">
        <f t="shared" si="281"/>
        <v>0</v>
      </c>
      <c r="AJ2019" s="2">
        <f t="shared" si="282"/>
        <v>0</v>
      </c>
      <c r="AK2019" s="2">
        <f t="shared" si="284"/>
        <v>18.75</v>
      </c>
      <c r="AL2019" s="5">
        <f t="shared" si="287"/>
        <v>0.5</v>
      </c>
    </row>
    <row r="2020" spans="1:38" x14ac:dyDescent="0.2">
      <c r="A2020" s="2">
        <v>2025</v>
      </c>
      <c r="B2020" s="2">
        <v>10</v>
      </c>
      <c r="C2020" s="2" t="s">
        <v>3411</v>
      </c>
      <c r="D2020" s="2" t="s">
        <v>909</v>
      </c>
      <c r="E2020" s="2" t="s">
        <v>38</v>
      </c>
      <c r="F2020" s="2" t="s">
        <v>39</v>
      </c>
      <c r="G2020" s="2">
        <v>514401788</v>
      </c>
      <c r="H2020" s="2" t="s">
        <v>109</v>
      </c>
      <c r="I2020" s="2" t="s">
        <v>133</v>
      </c>
      <c r="J2020" s="2" t="s">
        <v>910</v>
      </c>
      <c r="K2020" s="2">
        <v>914878988</v>
      </c>
      <c r="L2020" s="2" t="s">
        <v>133</v>
      </c>
      <c r="M2020" s="2" t="s">
        <v>40</v>
      </c>
      <c r="O2020" s="2" t="s">
        <v>1957</v>
      </c>
      <c r="P2020" s="2" t="s">
        <v>114</v>
      </c>
      <c r="Q2020" s="2" t="s">
        <v>1383</v>
      </c>
      <c r="R2020" s="2" t="s">
        <v>1384</v>
      </c>
      <c r="S2020" s="2">
        <v>1</v>
      </c>
      <c r="T2020" s="2">
        <v>130.63999999999999</v>
      </c>
      <c r="U2020" s="2">
        <v>30.0472</v>
      </c>
      <c r="V2020" s="2">
        <v>160.68719999999999</v>
      </c>
      <c r="W2020" s="2">
        <f>71.381</f>
        <v>71.381</v>
      </c>
      <c r="X2020" s="5">
        <f t="shared" si="286"/>
        <v>0.45360532761788114</v>
      </c>
      <c r="Z2020" s="2" t="s">
        <v>117</v>
      </c>
      <c r="AA2020" s="2" t="s">
        <v>118</v>
      </c>
      <c r="AB2020" s="2" t="s">
        <v>119</v>
      </c>
      <c r="AC2020" s="2" t="s">
        <v>114</v>
      </c>
      <c r="AF2020" s="2">
        <f t="shared" si="281"/>
        <v>0</v>
      </c>
      <c r="AJ2020" s="2">
        <f t="shared" si="282"/>
        <v>0</v>
      </c>
      <c r="AK2020" s="2">
        <f t="shared" si="284"/>
        <v>59.258999999999986</v>
      </c>
      <c r="AL2020" s="5">
        <f t="shared" si="287"/>
        <v>0.45360532761788114</v>
      </c>
    </row>
    <row r="2021" spans="1:38" x14ac:dyDescent="0.2">
      <c r="A2021" s="2">
        <v>2025</v>
      </c>
      <c r="B2021" s="2">
        <v>10</v>
      </c>
      <c r="D2021" s="2" t="s">
        <v>643</v>
      </c>
      <c r="E2021" s="2" t="s">
        <v>108</v>
      </c>
      <c r="F2021" s="2" t="s">
        <v>477</v>
      </c>
      <c r="G2021" s="2">
        <v>509056946</v>
      </c>
      <c r="H2021" s="2" t="s">
        <v>109</v>
      </c>
      <c r="I2021" s="2" t="s">
        <v>644</v>
      </c>
      <c r="J2021" s="2" t="s">
        <v>645</v>
      </c>
      <c r="K2021" s="2">
        <v>964495536</v>
      </c>
      <c r="L2021" s="2" t="s">
        <v>112</v>
      </c>
      <c r="P2021" s="2" t="s">
        <v>114</v>
      </c>
      <c r="Q2021" s="2" t="s">
        <v>646</v>
      </c>
      <c r="R2021" s="2" t="s">
        <v>647</v>
      </c>
      <c r="S2021" s="2">
        <v>1</v>
      </c>
      <c r="T2021" s="2">
        <v>62.6</v>
      </c>
      <c r="U2021" s="2">
        <v>14.398</v>
      </c>
      <c r="V2021" s="2">
        <v>76.998000000000005</v>
      </c>
      <c r="W2021" s="2">
        <v>30.61</v>
      </c>
      <c r="X2021" s="5">
        <f t="shared" si="286"/>
        <v>0.51102236421725244</v>
      </c>
      <c r="Z2021" s="2" t="s">
        <v>117</v>
      </c>
      <c r="AA2021" s="2" t="s">
        <v>118</v>
      </c>
      <c r="AB2021" s="2" t="s">
        <v>119</v>
      </c>
      <c r="AC2021" s="2" t="s">
        <v>114</v>
      </c>
      <c r="AF2021" s="2">
        <f t="shared" si="281"/>
        <v>0</v>
      </c>
      <c r="AJ2021" s="2">
        <f t="shared" si="282"/>
        <v>0</v>
      </c>
      <c r="AK2021" s="2">
        <f t="shared" si="284"/>
        <v>31.990000000000002</v>
      </c>
      <c r="AL2021" s="5">
        <f t="shared" si="287"/>
        <v>0.51102236421725244</v>
      </c>
    </row>
    <row r="2022" spans="1:38" x14ac:dyDescent="0.2">
      <c r="A2022" s="2">
        <v>2025</v>
      </c>
      <c r="B2022" s="2">
        <v>10</v>
      </c>
      <c r="D2022" s="2" t="s">
        <v>643</v>
      </c>
      <c r="E2022" s="2" t="s">
        <v>108</v>
      </c>
      <c r="F2022" s="2" t="s">
        <v>477</v>
      </c>
      <c r="G2022" s="2">
        <v>509056946</v>
      </c>
      <c r="H2022" s="2" t="s">
        <v>109</v>
      </c>
      <c r="I2022" s="2" t="s">
        <v>644</v>
      </c>
      <c r="J2022" s="2" t="s">
        <v>645</v>
      </c>
      <c r="K2022" s="2">
        <v>964495536</v>
      </c>
      <c r="L2022" s="2" t="s">
        <v>112</v>
      </c>
      <c r="P2022" s="2" t="s">
        <v>43</v>
      </c>
      <c r="Q2022" s="2" t="s">
        <v>54</v>
      </c>
      <c r="R2022" s="2" t="s">
        <v>55</v>
      </c>
      <c r="S2022" s="2">
        <v>12</v>
      </c>
      <c r="T2022" s="2">
        <v>168</v>
      </c>
      <c r="U2022" s="2">
        <v>38.64</v>
      </c>
      <c r="V2022" s="2">
        <v>206.64</v>
      </c>
      <c r="W2022" s="2">
        <f>10.6*S2022</f>
        <v>127.19999999999999</v>
      </c>
      <c r="X2022" s="5">
        <f t="shared" si="286"/>
        <v>0.24285714285714294</v>
      </c>
      <c r="Z2022" s="2" t="s">
        <v>3227</v>
      </c>
      <c r="AA2022" s="2" t="s">
        <v>46</v>
      </c>
      <c r="AB2022" s="2" t="s">
        <v>56</v>
      </c>
      <c r="AC2022" s="2" t="s">
        <v>57</v>
      </c>
      <c r="AF2022" s="2">
        <f t="shared" si="281"/>
        <v>0</v>
      </c>
      <c r="AG2022" s="2">
        <v>10.6</v>
      </c>
      <c r="AH2022" s="2">
        <v>18</v>
      </c>
      <c r="AJ2022" s="2">
        <f t="shared" si="282"/>
        <v>0</v>
      </c>
      <c r="AK2022" s="2">
        <f t="shared" si="284"/>
        <v>40.800000000000011</v>
      </c>
      <c r="AL2022" s="5">
        <f t="shared" si="287"/>
        <v>0.24285714285714294</v>
      </c>
    </row>
    <row r="2023" spans="1:38" x14ac:dyDescent="0.2">
      <c r="A2023" s="2">
        <v>2025</v>
      </c>
      <c r="B2023" s="2">
        <v>10</v>
      </c>
      <c r="D2023" s="2" t="s">
        <v>643</v>
      </c>
      <c r="E2023" s="2" t="s">
        <v>108</v>
      </c>
      <c r="F2023" s="2" t="s">
        <v>477</v>
      </c>
      <c r="G2023" s="2">
        <v>509056946</v>
      </c>
      <c r="H2023" s="2" t="s">
        <v>109</v>
      </c>
      <c r="I2023" s="2" t="s">
        <v>644</v>
      </c>
      <c r="J2023" s="2" t="s">
        <v>645</v>
      </c>
      <c r="K2023" s="2">
        <v>964495536</v>
      </c>
      <c r="L2023" s="2" t="s">
        <v>112</v>
      </c>
      <c r="P2023" s="2" t="s">
        <v>43</v>
      </c>
      <c r="Q2023" s="2" t="s">
        <v>61</v>
      </c>
      <c r="R2023" s="2" t="s">
        <v>62</v>
      </c>
      <c r="S2023" s="2">
        <v>100</v>
      </c>
      <c r="T2023" s="2">
        <v>13</v>
      </c>
      <c r="U2023" s="2">
        <v>2.99</v>
      </c>
      <c r="V2023" s="2">
        <v>15.99</v>
      </c>
      <c r="W2023" s="2">
        <f>0.082*S2023</f>
        <v>8.2000000000000011</v>
      </c>
      <c r="X2023" s="5">
        <f t="shared" si="286"/>
        <v>0.36923076923076914</v>
      </c>
      <c r="Z2023" s="2" t="s">
        <v>3227</v>
      </c>
      <c r="AA2023" s="2" t="s">
        <v>46</v>
      </c>
      <c r="AB2023" s="2" t="s">
        <v>60</v>
      </c>
      <c r="AC2023" s="2" t="s">
        <v>57</v>
      </c>
      <c r="AF2023" s="2">
        <f t="shared" si="281"/>
        <v>0</v>
      </c>
      <c r="AG2023" s="2">
        <v>8.1999999999999993</v>
      </c>
      <c r="AH2023" s="2">
        <v>13</v>
      </c>
      <c r="AJ2023" s="2">
        <f t="shared" si="282"/>
        <v>0</v>
      </c>
      <c r="AK2023" s="2">
        <f t="shared" si="284"/>
        <v>4.7999999999999989</v>
      </c>
      <c r="AL2023" s="5">
        <f t="shared" si="287"/>
        <v>0.36923076923076914</v>
      </c>
    </row>
    <row r="2024" spans="1:38" x14ac:dyDescent="0.2">
      <c r="A2024" s="2">
        <v>2025</v>
      </c>
      <c r="B2024" s="2">
        <v>10</v>
      </c>
      <c r="D2024" s="2" t="s">
        <v>1958</v>
      </c>
      <c r="E2024" s="2" t="s">
        <v>38</v>
      </c>
      <c r="F2024" s="2" t="s">
        <v>39</v>
      </c>
      <c r="G2024" s="2">
        <v>500286957</v>
      </c>
      <c r="H2024" s="2" t="s">
        <v>40</v>
      </c>
      <c r="I2024" s="2" t="s">
        <v>1959</v>
      </c>
      <c r="J2024" s="2" t="s">
        <v>1960</v>
      </c>
      <c r="L2024" s="2" t="s">
        <v>293</v>
      </c>
      <c r="M2024" s="2" t="s">
        <v>40</v>
      </c>
      <c r="O2024" s="2" t="s">
        <v>1961</v>
      </c>
      <c r="P2024" s="2" t="s">
        <v>114</v>
      </c>
      <c r="Q2024" s="2" t="s">
        <v>1962</v>
      </c>
      <c r="R2024" s="2" t="s">
        <v>1963</v>
      </c>
      <c r="S2024" s="2">
        <v>1</v>
      </c>
      <c r="T2024" s="2">
        <v>667.51</v>
      </c>
      <c r="U2024" s="2">
        <v>153.5273</v>
      </c>
      <c r="V2024" s="2">
        <v>821.03729999999996</v>
      </c>
      <c r="W2024" s="2">
        <v>332.38</v>
      </c>
      <c r="X2024" s="5">
        <f t="shared" si="286"/>
        <v>0.50205989423379427</v>
      </c>
      <c r="Z2024" s="2" t="s">
        <v>117</v>
      </c>
      <c r="AA2024" s="2" t="s">
        <v>118</v>
      </c>
      <c r="AB2024" s="2" t="s">
        <v>119</v>
      </c>
      <c r="AC2024" s="2" t="s">
        <v>114</v>
      </c>
      <c r="AF2024" s="2">
        <f t="shared" si="281"/>
        <v>0</v>
      </c>
      <c r="AG2024" s="2">
        <f>318.86+13.52</f>
        <v>332.38</v>
      </c>
      <c r="AJ2024" s="2">
        <f t="shared" si="282"/>
        <v>0</v>
      </c>
      <c r="AK2024" s="2">
        <f t="shared" si="284"/>
        <v>335.13</v>
      </c>
      <c r="AL2024" s="5">
        <f t="shared" si="287"/>
        <v>0.50205989423379427</v>
      </c>
    </row>
    <row r="2025" spans="1:38" x14ac:dyDescent="0.2">
      <c r="A2025" s="2">
        <v>2025</v>
      </c>
      <c r="B2025" s="2">
        <v>10</v>
      </c>
      <c r="D2025" s="2" t="s">
        <v>1958</v>
      </c>
      <c r="E2025" s="2" t="s">
        <v>38</v>
      </c>
      <c r="F2025" s="2" t="s">
        <v>39</v>
      </c>
      <c r="G2025" s="2">
        <v>500286957</v>
      </c>
      <c r="H2025" s="2" t="s">
        <v>40</v>
      </c>
      <c r="I2025" s="2" t="s">
        <v>1959</v>
      </c>
      <c r="J2025" s="2" t="s">
        <v>1960</v>
      </c>
      <c r="L2025" s="2" t="s">
        <v>293</v>
      </c>
      <c r="M2025" s="2" t="s">
        <v>40</v>
      </c>
      <c r="P2025" s="2" t="s">
        <v>114</v>
      </c>
      <c r="Q2025" s="2" t="s">
        <v>1964</v>
      </c>
      <c r="R2025" s="2" t="s">
        <v>1965</v>
      </c>
      <c r="S2025" s="2">
        <v>1</v>
      </c>
      <c r="T2025" s="2">
        <v>382.62</v>
      </c>
      <c r="U2025" s="2">
        <v>88.002600000000001</v>
      </c>
      <c r="V2025" s="2">
        <v>470.62259999999998</v>
      </c>
      <c r="W2025" s="2">
        <v>189.92</v>
      </c>
      <c r="X2025" s="5">
        <f t="shared" si="286"/>
        <v>0.50363284721133239</v>
      </c>
      <c r="Z2025" s="2" t="s">
        <v>117</v>
      </c>
      <c r="AA2025" s="2" t="s">
        <v>118</v>
      </c>
      <c r="AB2025" s="2" t="s">
        <v>119</v>
      </c>
      <c r="AC2025" s="2" t="s">
        <v>114</v>
      </c>
      <c r="AF2025" s="2">
        <f t="shared" si="281"/>
        <v>0</v>
      </c>
      <c r="AG2025" s="2">
        <f>182.2+7.72</f>
        <v>189.92</v>
      </c>
      <c r="AJ2025" s="2">
        <f t="shared" si="282"/>
        <v>0</v>
      </c>
      <c r="AK2025" s="2">
        <f t="shared" si="284"/>
        <v>192.70000000000002</v>
      </c>
      <c r="AL2025" s="5">
        <f t="shared" si="287"/>
        <v>0.50363284721133239</v>
      </c>
    </row>
    <row r="2026" spans="1:38" x14ac:dyDescent="0.2">
      <c r="A2026" s="2">
        <v>2025</v>
      </c>
      <c r="B2026" s="2">
        <v>10</v>
      </c>
      <c r="D2026" s="2" t="s">
        <v>1958</v>
      </c>
      <c r="E2026" s="2" t="s">
        <v>38</v>
      </c>
      <c r="F2026" s="2" t="s">
        <v>39</v>
      </c>
      <c r="G2026" s="2">
        <v>500286957</v>
      </c>
      <c r="H2026" s="2" t="s">
        <v>40</v>
      </c>
      <c r="I2026" s="2" t="s">
        <v>1959</v>
      </c>
      <c r="J2026" s="2" t="s">
        <v>1960</v>
      </c>
      <c r="L2026" s="2" t="s">
        <v>293</v>
      </c>
      <c r="M2026" s="2" t="s">
        <v>40</v>
      </c>
      <c r="P2026" s="2" t="s">
        <v>114</v>
      </c>
      <c r="Q2026" s="2" t="s">
        <v>1966</v>
      </c>
      <c r="R2026" s="2" t="s">
        <v>1967</v>
      </c>
      <c r="S2026" s="2">
        <v>1</v>
      </c>
      <c r="T2026" s="2">
        <v>190</v>
      </c>
      <c r="U2026" s="2">
        <v>43.7</v>
      </c>
      <c r="V2026" s="2">
        <v>233.7</v>
      </c>
      <c r="X2026" s="5">
        <f t="shared" si="286"/>
        <v>1</v>
      </c>
      <c r="Z2026" s="2" t="s">
        <v>117</v>
      </c>
      <c r="AF2026" s="2">
        <f t="shared" si="281"/>
        <v>0</v>
      </c>
      <c r="AJ2026" s="2">
        <f t="shared" si="282"/>
        <v>0</v>
      </c>
      <c r="AK2026" s="2">
        <f t="shared" si="284"/>
        <v>190</v>
      </c>
      <c r="AL2026" s="5">
        <f t="shared" si="287"/>
        <v>1</v>
      </c>
    </row>
    <row r="2027" spans="1:38" x14ac:dyDescent="0.2">
      <c r="A2027" s="2">
        <v>2025</v>
      </c>
      <c r="B2027" s="2">
        <v>10</v>
      </c>
      <c r="D2027" s="2" t="s">
        <v>1968</v>
      </c>
      <c r="P2027" s="2" t="s">
        <v>72</v>
      </c>
      <c r="Q2027" s="2" t="s">
        <v>73</v>
      </c>
      <c r="R2027" s="2" t="s">
        <v>74</v>
      </c>
      <c r="S2027" s="2">
        <v>1</v>
      </c>
      <c r="T2027" s="2">
        <v>220</v>
      </c>
      <c r="U2027" s="2">
        <v>50.6</v>
      </c>
      <c r="V2027" s="2">
        <v>270.60000000000002</v>
      </c>
      <c r="W2027" s="2">
        <v>117.453</v>
      </c>
      <c r="X2027" s="5">
        <f t="shared" si="286"/>
        <v>0.46612272727272724</v>
      </c>
      <c r="Z2027" s="2" t="s">
        <v>3227</v>
      </c>
      <c r="AA2027" s="2" t="s">
        <v>75</v>
      </c>
      <c r="AB2027" s="2" t="s">
        <v>76</v>
      </c>
      <c r="AC2027" s="2" t="s">
        <v>77</v>
      </c>
      <c r="AF2027" s="2">
        <f t="shared" si="281"/>
        <v>0</v>
      </c>
      <c r="AG2027" s="2">
        <v>117.453</v>
      </c>
      <c r="AH2027" s="2">
        <v>220</v>
      </c>
      <c r="AJ2027" s="2">
        <f t="shared" si="282"/>
        <v>0</v>
      </c>
      <c r="AK2027" s="2">
        <f t="shared" si="284"/>
        <v>102.547</v>
      </c>
      <c r="AL2027" s="5">
        <f t="shared" si="287"/>
        <v>0.46612272727272724</v>
      </c>
    </row>
    <row r="2028" spans="1:38" x14ac:dyDescent="0.2">
      <c r="A2028" s="2">
        <v>2025</v>
      </c>
      <c r="B2028" s="2">
        <v>10</v>
      </c>
      <c r="D2028" s="2" t="s">
        <v>1968</v>
      </c>
      <c r="P2028" s="2" t="s">
        <v>93</v>
      </c>
      <c r="Q2028" s="2" t="s">
        <v>94</v>
      </c>
      <c r="R2028" s="2" t="s">
        <v>95</v>
      </c>
      <c r="S2028" s="2">
        <v>1</v>
      </c>
      <c r="T2028" s="2">
        <v>1.1399999999999999</v>
      </c>
      <c r="U2028" s="2">
        <v>0.26219999999999999</v>
      </c>
      <c r="V2028" s="2">
        <v>1.4021999999999999</v>
      </c>
      <c r="W2028" s="2">
        <v>1.1399999999999999</v>
      </c>
      <c r="X2028" s="5">
        <f t="shared" si="286"/>
        <v>0</v>
      </c>
      <c r="Z2028" s="2" t="s">
        <v>3227</v>
      </c>
      <c r="AA2028" s="2" t="s">
        <v>96</v>
      </c>
      <c r="AB2028" s="2" t="s">
        <v>76</v>
      </c>
      <c r="AC2028" s="2" t="s">
        <v>93</v>
      </c>
      <c r="AF2028" s="2">
        <f t="shared" si="281"/>
        <v>0</v>
      </c>
      <c r="AJ2028" s="2">
        <f t="shared" si="282"/>
        <v>0</v>
      </c>
      <c r="AK2028" s="2">
        <f t="shared" si="284"/>
        <v>0</v>
      </c>
      <c r="AL2028" s="5">
        <f t="shared" si="287"/>
        <v>0</v>
      </c>
    </row>
    <row r="2029" spans="1:38" x14ac:dyDescent="0.2">
      <c r="A2029" s="2">
        <v>2025</v>
      </c>
      <c r="B2029" s="2">
        <v>10</v>
      </c>
      <c r="D2029" s="2" t="s">
        <v>921</v>
      </c>
      <c r="P2029" s="2" t="s">
        <v>3230</v>
      </c>
      <c r="Q2029" s="2" t="s">
        <v>1786</v>
      </c>
      <c r="R2029" s="2" t="s">
        <v>1787</v>
      </c>
      <c r="S2029" s="2">
        <v>1</v>
      </c>
      <c r="T2029" s="2">
        <v>1785</v>
      </c>
      <c r="U2029" s="2">
        <v>410.55</v>
      </c>
      <c r="V2029" s="2">
        <v>2195.5500000000002</v>
      </c>
      <c r="W2029" s="2">
        <v>1036.96</v>
      </c>
      <c r="X2029" s="5">
        <f t="shared" si="286"/>
        <v>0.41907002801120447</v>
      </c>
      <c r="Z2029" s="2" t="s">
        <v>104</v>
      </c>
      <c r="AA2029" s="2" t="s">
        <v>105</v>
      </c>
      <c r="AB2029" s="2" t="s">
        <v>106</v>
      </c>
      <c r="AC2029" s="2" t="s">
        <v>3230</v>
      </c>
      <c r="AF2029" s="2">
        <f t="shared" si="281"/>
        <v>0</v>
      </c>
      <c r="AJ2029" s="2">
        <f t="shared" si="282"/>
        <v>0</v>
      </c>
      <c r="AK2029" s="2">
        <f t="shared" si="284"/>
        <v>748.04</v>
      </c>
      <c r="AL2029" s="5">
        <f t="shared" si="287"/>
        <v>0.41907002801120447</v>
      </c>
    </row>
    <row r="2030" spans="1:38" x14ac:dyDescent="0.2">
      <c r="A2030" s="2">
        <v>2025</v>
      </c>
      <c r="B2030" s="2">
        <v>10</v>
      </c>
      <c r="D2030" s="2" t="s">
        <v>921</v>
      </c>
      <c r="M2030" s="2" t="s">
        <v>40</v>
      </c>
      <c r="P2030" s="2" t="s">
        <v>187</v>
      </c>
      <c r="Q2030" s="2" t="s">
        <v>1308</v>
      </c>
      <c r="R2030" s="2" t="s">
        <v>1309</v>
      </c>
      <c r="S2030" s="2">
        <v>0</v>
      </c>
      <c r="T2030" s="2">
        <v>0</v>
      </c>
      <c r="U2030" s="2">
        <v>0</v>
      </c>
      <c r="V2030" s="2">
        <v>0</v>
      </c>
      <c r="X2030" s="5" t="e">
        <f t="shared" si="286"/>
        <v>#DIV/0!</v>
      </c>
      <c r="Z2030" s="2" t="s">
        <v>117</v>
      </c>
      <c r="AA2030" s="2" t="s">
        <v>1310</v>
      </c>
      <c r="AF2030" s="2">
        <f t="shared" si="281"/>
        <v>0</v>
      </c>
      <c r="AJ2030" s="2">
        <f t="shared" si="282"/>
        <v>0</v>
      </c>
      <c r="AK2030" s="2">
        <f t="shared" si="284"/>
        <v>0</v>
      </c>
      <c r="AL2030" s="5" t="e">
        <f t="shared" si="287"/>
        <v>#DIV/0!</v>
      </c>
    </row>
    <row r="2031" spans="1:38" x14ac:dyDescent="0.2">
      <c r="A2031" s="2">
        <v>2025</v>
      </c>
      <c r="B2031" s="2">
        <v>11</v>
      </c>
      <c r="D2031" s="2" t="s">
        <v>37</v>
      </c>
      <c r="E2031" s="2" t="s">
        <v>38</v>
      </c>
      <c r="F2031" s="2" t="s">
        <v>39</v>
      </c>
      <c r="H2031" s="2" t="s">
        <v>40</v>
      </c>
      <c r="P2031" s="2" t="s">
        <v>282</v>
      </c>
      <c r="Q2031" s="2" t="s">
        <v>1436</v>
      </c>
      <c r="R2031" s="2" t="s">
        <v>1437</v>
      </c>
      <c r="S2031" s="2">
        <v>1</v>
      </c>
      <c r="T2031" s="2">
        <v>6.42</v>
      </c>
      <c r="U2031" s="2">
        <v>1.4765999999999999</v>
      </c>
      <c r="V2031" s="2">
        <v>7.8966000000000003</v>
      </c>
      <c r="W2031" s="2">
        <f>5.135*S2031</f>
        <v>5.1349999999999998</v>
      </c>
      <c r="X2031" s="5">
        <f t="shared" si="286"/>
        <v>0.20015576323987541</v>
      </c>
      <c r="Z2031" s="2" t="s">
        <v>3227</v>
      </c>
      <c r="AA2031" s="2" t="s">
        <v>71</v>
      </c>
      <c r="AB2031" s="2" t="s">
        <v>119</v>
      </c>
      <c r="AC2031" s="2" t="s">
        <v>119</v>
      </c>
      <c r="AF2031" s="2">
        <f t="shared" si="281"/>
        <v>0</v>
      </c>
      <c r="AJ2031" s="2">
        <f t="shared" si="282"/>
        <v>0</v>
      </c>
      <c r="AK2031" s="2">
        <f t="shared" si="284"/>
        <v>1.2850000000000001</v>
      </c>
      <c r="AL2031" s="5">
        <f t="shared" si="287"/>
        <v>0.20015576323987541</v>
      </c>
    </row>
    <row r="2032" spans="1:38" x14ac:dyDescent="0.2">
      <c r="A2032" s="2">
        <v>2025</v>
      </c>
      <c r="B2032" s="2">
        <v>11</v>
      </c>
      <c r="D2032" s="2" t="s">
        <v>37</v>
      </c>
      <c r="E2032" s="2" t="s">
        <v>38</v>
      </c>
      <c r="F2032" s="2" t="s">
        <v>39</v>
      </c>
      <c r="H2032" s="2" t="s">
        <v>40</v>
      </c>
      <c r="P2032" s="2" t="s">
        <v>282</v>
      </c>
      <c r="Q2032" s="2" t="s">
        <v>401</v>
      </c>
      <c r="R2032" s="2" t="s">
        <v>402</v>
      </c>
      <c r="S2032" s="2">
        <v>2</v>
      </c>
      <c r="T2032" s="2">
        <v>40</v>
      </c>
      <c r="U2032" s="2">
        <v>9.2000000000000011</v>
      </c>
      <c r="V2032" s="2">
        <v>49.2</v>
      </c>
      <c r="W2032" s="2">
        <f>17.4*S2032</f>
        <v>34.799999999999997</v>
      </c>
      <c r="X2032" s="5">
        <f t="shared" si="286"/>
        <v>0.13000000000000006</v>
      </c>
      <c r="Z2032" s="2" t="s">
        <v>3227</v>
      </c>
      <c r="AA2032" s="2" t="s">
        <v>46</v>
      </c>
      <c r="AB2032" s="2" t="s">
        <v>60</v>
      </c>
      <c r="AC2032" s="2" t="s">
        <v>3332</v>
      </c>
      <c r="AF2032" s="2">
        <f t="shared" si="281"/>
        <v>0</v>
      </c>
      <c r="AJ2032" s="2">
        <f t="shared" si="282"/>
        <v>0</v>
      </c>
      <c r="AK2032" s="2">
        <f t="shared" si="284"/>
        <v>5.2000000000000028</v>
      </c>
      <c r="AL2032" s="5">
        <f t="shared" si="287"/>
        <v>0.13000000000000006</v>
      </c>
    </row>
    <row r="2033" spans="1:38" x14ac:dyDescent="0.2">
      <c r="A2033" s="2">
        <v>2025</v>
      </c>
      <c r="B2033" s="2">
        <v>11</v>
      </c>
      <c r="D2033" s="2" t="s">
        <v>37</v>
      </c>
      <c r="E2033" s="2" t="s">
        <v>38</v>
      </c>
      <c r="F2033" s="2" t="s">
        <v>39</v>
      </c>
      <c r="H2033" s="2" t="s">
        <v>40</v>
      </c>
      <c r="P2033" s="2" t="s">
        <v>43</v>
      </c>
      <c r="Q2033" s="2" t="s">
        <v>54</v>
      </c>
      <c r="R2033" s="2" t="s">
        <v>55</v>
      </c>
      <c r="S2033" s="2">
        <v>2</v>
      </c>
      <c r="T2033" s="2">
        <v>30</v>
      </c>
      <c r="U2033" s="2">
        <v>6.9</v>
      </c>
      <c r="V2033" s="2">
        <v>36.9</v>
      </c>
      <c r="W2033" s="2">
        <f>10.6*S2033</f>
        <v>21.2</v>
      </c>
      <c r="X2033" s="5">
        <f t="shared" si="286"/>
        <v>0.29333333333333333</v>
      </c>
      <c r="Z2033" s="2" t="s">
        <v>3227</v>
      </c>
      <c r="AA2033" s="2" t="s">
        <v>46</v>
      </c>
      <c r="AB2033" s="2" t="s">
        <v>56</v>
      </c>
      <c r="AC2033" s="2" t="s">
        <v>57</v>
      </c>
      <c r="AF2033" s="2">
        <f t="shared" si="281"/>
        <v>0</v>
      </c>
      <c r="AG2033" s="2">
        <v>10.6</v>
      </c>
      <c r="AH2033" s="2">
        <v>18</v>
      </c>
      <c r="AJ2033" s="2">
        <f t="shared" si="282"/>
        <v>0</v>
      </c>
      <c r="AK2033" s="2">
        <f t="shared" si="284"/>
        <v>8.8000000000000007</v>
      </c>
      <c r="AL2033" s="5">
        <f t="shared" si="287"/>
        <v>0.29333333333333333</v>
      </c>
    </row>
    <row r="2034" spans="1:38" x14ac:dyDescent="0.2">
      <c r="A2034" s="2">
        <v>2025</v>
      </c>
      <c r="B2034" s="2">
        <v>11</v>
      </c>
      <c r="D2034" s="2" t="s">
        <v>37</v>
      </c>
      <c r="E2034" s="2" t="s">
        <v>38</v>
      </c>
      <c r="F2034" s="2" t="s">
        <v>39</v>
      </c>
      <c r="H2034" s="2" t="s">
        <v>40</v>
      </c>
      <c r="P2034" s="2" t="s">
        <v>43</v>
      </c>
      <c r="Q2034" s="2" t="s">
        <v>61</v>
      </c>
      <c r="R2034" s="2" t="s">
        <v>62</v>
      </c>
      <c r="S2034" s="2">
        <v>1100</v>
      </c>
      <c r="T2034" s="2">
        <v>115.5</v>
      </c>
      <c r="U2034" s="2">
        <v>26.565000000000001</v>
      </c>
      <c r="V2034" s="2">
        <v>142.065</v>
      </c>
      <c r="W2034" s="2">
        <f>0.082*S2034</f>
        <v>90.2</v>
      </c>
      <c r="X2034" s="5">
        <f t="shared" si="286"/>
        <v>0.21904761904761902</v>
      </c>
      <c r="Z2034" s="2" t="s">
        <v>3227</v>
      </c>
      <c r="AA2034" s="2" t="s">
        <v>46</v>
      </c>
      <c r="AB2034" s="2" t="s">
        <v>60</v>
      </c>
      <c r="AC2034" s="2" t="s">
        <v>57</v>
      </c>
      <c r="AF2034" s="2">
        <f t="shared" si="281"/>
        <v>0</v>
      </c>
      <c r="AG2034" s="2">
        <v>8.1999999999999993</v>
      </c>
      <c r="AH2034" s="2">
        <v>13</v>
      </c>
      <c r="AJ2034" s="2">
        <f t="shared" si="282"/>
        <v>0</v>
      </c>
      <c r="AK2034" s="2">
        <f t="shared" si="284"/>
        <v>25.299999999999997</v>
      </c>
      <c r="AL2034" s="5">
        <f t="shared" si="287"/>
        <v>0.21904761904761902</v>
      </c>
    </row>
    <row r="2035" spans="1:38" x14ac:dyDescent="0.2">
      <c r="A2035" s="2">
        <v>2025</v>
      </c>
      <c r="B2035" s="2">
        <v>11</v>
      </c>
      <c r="D2035" s="2" t="s">
        <v>37</v>
      </c>
      <c r="E2035" s="2" t="s">
        <v>38</v>
      </c>
      <c r="F2035" s="2" t="s">
        <v>39</v>
      </c>
      <c r="H2035" s="2" t="s">
        <v>40</v>
      </c>
      <c r="P2035" s="2" t="s">
        <v>43</v>
      </c>
      <c r="Q2035" s="2" t="s">
        <v>204</v>
      </c>
      <c r="R2035" s="2" t="s">
        <v>205</v>
      </c>
      <c r="S2035" s="2">
        <v>1</v>
      </c>
      <c r="T2035" s="2">
        <v>5</v>
      </c>
      <c r="U2035" s="2">
        <v>1.1499999999999999</v>
      </c>
      <c r="V2035" s="2">
        <v>6.15</v>
      </c>
      <c r="W2035" s="2">
        <f>1.832*S2035</f>
        <v>1.8320000000000001</v>
      </c>
      <c r="X2035" s="5">
        <f t="shared" si="286"/>
        <v>0.63360000000000005</v>
      </c>
      <c r="Z2035" s="2" t="s">
        <v>3227</v>
      </c>
      <c r="AA2035" s="2" t="s">
        <v>46</v>
      </c>
      <c r="AB2035" s="2" t="s">
        <v>60</v>
      </c>
      <c r="AC2035" s="2" t="s">
        <v>57</v>
      </c>
      <c r="AF2035" s="2">
        <f t="shared" si="281"/>
        <v>0</v>
      </c>
      <c r="AG2035" s="2">
        <v>1.8320000000000001</v>
      </c>
      <c r="AH2035" s="2">
        <v>2.4</v>
      </c>
      <c r="AJ2035" s="2">
        <f t="shared" si="282"/>
        <v>0</v>
      </c>
      <c r="AK2035" s="2">
        <f t="shared" si="284"/>
        <v>3.1680000000000001</v>
      </c>
      <c r="AL2035" s="5">
        <f t="shared" si="287"/>
        <v>0.63360000000000005</v>
      </c>
    </row>
    <row r="2036" spans="1:38" x14ac:dyDescent="0.2">
      <c r="A2036" s="2">
        <v>2025</v>
      </c>
      <c r="B2036" s="2">
        <v>11</v>
      </c>
      <c r="D2036" s="2" t="s">
        <v>37</v>
      </c>
      <c r="E2036" s="2" t="s">
        <v>38</v>
      </c>
      <c r="F2036" s="2" t="s">
        <v>39</v>
      </c>
      <c r="H2036" s="2" t="s">
        <v>40</v>
      </c>
      <c r="P2036" s="2" t="s">
        <v>43</v>
      </c>
      <c r="Q2036" s="2" t="s">
        <v>971</v>
      </c>
      <c r="R2036" s="2" t="s">
        <v>972</v>
      </c>
      <c r="S2036" s="2">
        <v>2</v>
      </c>
      <c r="T2036" s="2">
        <v>29</v>
      </c>
      <c r="U2036" s="2">
        <v>6.67</v>
      </c>
      <c r="V2036" s="2">
        <v>35.67</v>
      </c>
      <c r="W2036" s="2">
        <f>18.9342*S2036</f>
        <v>37.868400000000001</v>
      </c>
      <c r="X2036" s="18">
        <f t="shared" si="286"/>
        <v>-0.30580689655172416</v>
      </c>
      <c r="Z2036" s="2" t="s">
        <v>3227</v>
      </c>
      <c r="AA2036" s="2" t="s">
        <v>46</v>
      </c>
      <c r="AB2036" s="2" t="s">
        <v>60</v>
      </c>
      <c r="AC2036" s="2" t="s">
        <v>57</v>
      </c>
      <c r="AF2036" s="2">
        <f t="shared" si="281"/>
        <v>0</v>
      </c>
      <c r="AJ2036" s="2">
        <f t="shared" si="282"/>
        <v>0</v>
      </c>
      <c r="AK2036" s="2">
        <f t="shared" si="284"/>
        <v>-8.8684000000000012</v>
      </c>
      <c r="AL2036" s="18">
        <f t="shared" si="287"/>
        <v>-0.30580689655172416</v>
      </c>
    </row>
    <row r="2037" spans="1:38" x14ac:dyDescent="0.2">
      <c r="A2037" s="2">
        <v>2025</v>
      </c>
      <c r="B2037" s="2">
        <v>11</v>
      </c>
      <c r="D2037" s="2" t="s">
        <v>37</v>
      </c>
      <c r="E2037" s="2" t="s">
        <v>38</v>
      </c>
      <c r="F2037" s="2" t="s">
        <v>39</v>
      </c>
      <c r="H2037" s="2" t="s">
        <v>40</v>
      </c>
      <c r="P2037" s="2" t="s">
        <v>72</v>
      </c>
      <c r="Q2037" s="2" t="s">
        <v>484</v>
      </c>
      <c r="R2037" s="2" t="s">
        <v>74</v>
      </c>
      <c r="S2037" s="2">
        <v>1</v>
      </c>
      <c r="T2037" s="2">
        <v>234.63</v>
      </c>
      <c r="U2037" s="2">
        <v>53.9649</v>
      </c>
      <c r="V2037" s="2">
        <v>288.5949</v>
      </c>
      <c r="W2037" s="2">
        <v>131.93</v>
      </c>
      <c r="X2037" s="5">
        <f t="shared" si="286"/>
        <v>0.43771043771043766</v>
      </c>
      <c r="Z2037" s="2" t="s">
        <v>3227</v>
      </c>
      <c r="AA2037" s="2" t="s">
        <v>75</v>
      </c>
      <c r="AB2037" s="2" t="s">
        <v>76</v>
      </c>
      <c r="AC2037" s="2" t="s">
        <v>77</v>
      </c>
      <c r="AF2037" s="2">
        <f t="shared" si="281"/>
        <v>0</v>
      </c>
      <c r="AG2037" s="2">
        <v>131.93</v>
      </c>
      <c r="AH2037" s="2">
        <v>220</v>
      </c>
      <c r="AJ2037" s="2">
        <f t="shared" si="282"/>
        <v>0</v>
      </c>
      <c r="AK2037" s="2">
        <f t="shared" si="284"/>
        <v>102.69999999999999</v>
      </c>
      <c r="AL2037" s="5">
        <f t="shared" si="287"/>
        <v>0.43771043771043766</v>
      </c>
    </row>
    <row r="2038" spans="1:38" x14ac:dyDescent="0.2">
      <c r="A2038" s="2">
        <v>2025</v>
      </c>
      <c r="B2038" s="2">
        <v>11</v>
      </c>
      <c r="D2038" s="2" t="s">
        <v>37</v>
      </c>
      <c r="E2038" s="2" t="s">
        <v>38</v>
      </c>
      <c r="F2038" s="2" t="s">
        <v>39</v>
      </c>
      <c r="H2038" s="2" t="s">
        <v>40</v>
      </c>
      <c r="M2038" s="2" t="s">
        <v>80</v>
      </c>
      <c r="O2038" s="2" t="s">
        <v>3204</v>
      </c>
      <c r="P2038" s="2" t="s">
        <v>72</v>
      </c>
      <c r="Q2038" s="2" t="s">
        <v>78</v>
      </c>
      <c r="R2038" s="2" t="s">
        <v>79</v>
      </c>
      <c r="S2038" s="2">
        <v>2</v>
      </c>
      <c r="T2038" s="2">
        <v>333.15</v>
      </c>
      <c r="U2038" s="2">
        <v>76.624499999999998</v>
      </c>
      <c r="V2038" s="2">
        <v>409.77449999999999</v>
      </c>
      <c r="W2038" s="2">
        <f>111.98*S2038</f>
        <v>223.96</v>
      </c>
      <c r="X2038" s="5">
        <f t="shared" si="286"/>
        <v>0.32775026264445439</v>
      </c>
      <c r="Z2038" s="2" t="s">
        <v>3227</v>
      </c>
      <c r="AA2038" s="2" t="s">
        <v>75</v>
      </c>
      <c r="AB2038" s="2" t="s">
        <v>76</v>
      </c>
      <c r="AC2038" s="2" t="s">
        <v>77</v>
      </c>
      <c r="AF2038" s="2">
        <f t="shared" si="281"/>
        <v>0</v>
      </c>
      <c r="AG2038" s="2">
        <v>111.98</v>
      </c>
      <c r="AH2038" s="2">
        <v>210</v>
      </c>
      <c r="AJ2038" s="2">
        <f t="shared" si="282"/>
        <v>0</v>
      </c>
      <c r="AK2038" s="2">
        <f t="shared" si="284"/>
        <v>109.18999999999997</v>
      </c>
      <c r="AL2038" s="5">
        <f t="shared" si="287"/>
        <v>0.32775026264445439</v>
      </c>
    </row>
    <row r="2039" spans="1:38" x14ac:dyDescent="0.2">
      <c r="A2039" s="2">
        <v>2025</v>
      </c>
      <c r="B2039" s="2">
        <v>11</v>
      </c>
      <c r="D2039" s="2" t="s">
        <v>37</v>
      </c>
      <c r="E2039" s="2" t="s">
        <v>38</v>
      </c>
      <c r="F2039" s="2" t="s">
        <v>39</v>
      </c>
      <c r="H2039" s="2" t="s">
        <v>40</v>
      </c>
      <c r="P2039" s="2" t="s">
        <v>1038</v>
      </c>
      <c r="Q2039" s="2" t="s">
        <v>1969</v>
      </c>
      <c r="R2039" s="2" t="s">
        <v>1970</v>
      </c>
      <c r="S2039" s="2">
        <v>1</v>
      </c>
      <c r="T2039" s="2">
        <v>220</v>
      </c>
      <c r="U2039" s="2">
        <v>50.6</v>
      </c>
      <c r="V2039" s="2">
        <v>270.60000000000002</v>
      </c>
      <c r="W2039" s="2">
        <v>119.06</v>
      </c>
      <c r="X2039" s="5">
        <f t="shared" si="286"/>
        <v>0.45881818181818179</v>
      </c>
      <c r="Z2039" s="2" t="s">
        <v>3227</v>
      </c>
      <c r="AA2039" s="2" t="s">
        <v>75</v>
      </c>
      <c r="AB2039" s="2" t="s">
        <v>76</v>
      </c>
      <c r="AC2039" s="2" t="s">
        <v>1038</v>
      </c>
      <c r="AF2039" s="2">
        <f t="shared" si="281"/>
        <v>0</v>
      </c>
      <c r="AJ2039" s="2">
        <f t="shared" si="282"/>
        <v>0</v>
      </c>
      <c r="AK2039" s="2">
        <f t="shared" si="284"/>
        <v>100.94</v>
      </c>
      <c r="AL2039" s="5">
        <f t="shared" si="287"/>
        <v>0.45881818181818179</v>
      </c>
    </row>
    <row r="2040" spans="1:38" x14ac:dyDescent="0.2">
      <c r="A2040" s="2">
        <v>2025</v>
      </c>
      <c r="B2040" s="2">
        <v>11</v>
      </c>
      <c r="D2040" s="2" t="s">
        <v>37</v>
      </c>
      <c r="E2040" s="2" t="s">
        <v>38</v>
      </c>
      <c r="F2040" s="2" t="s">
        <v>39</v>
      </c>
      <c r="H2040" s="2" t="s">
        <v>40</v>
      </c>
      <c r="P2040" s="2" t="s">
        <v>84</v>
      </c>
      <c r="Q2040" s="2" t="s">
        <v>1971</v>
      </c>
      <c r="R2040" s="2" t="s">
        <v>1972</v>
      </c>
      <c r="S2040" s="2">
        <v>3</v>
      </c>
      <c r="T2040" s="2">
        <v>15</v>
      </c>
      <c r="U2040" s="2">
        <v>3.45</v>
      </c>
      <c r="V2040" s="2">
        <v>18.45</v>
      </c>
      <c r="X2040" s="5">
        <f t="shared" si="286"/>
        <v>1</v>
      </c>
      <c r="Z2040" s="2" t="s">
        <v>3227</v>
      </c>
      <c r="AA2040" s="2" t="s">
        <v>87</v>
      </c>
      <c r="AB2040" s="2" t="s">
        <v>90</v>
      </c>
      <c r="AC2040" s="2" t="s">
        <v>84</v>
      </c>
      <c r="AF2040" s="2">
        <f t="shared" si="281"/>
        <v>0</v>
      </c>
      <c r="AJ2040" s="2">
        <f t="shared" si="282"/>
        <v>0</v>
      </c>
      <c r="AK2040" s="2">
        <f t="shared" si="284"/>
        <v>15</v>
      </c>
      <c r="AL2040" s="5">
        <f t="shared" si="287"/>
        <v>1</v>
      </c>
    </row>
    <row r="2041" spans="1:38" x14ac:dyDescent="0.2">
      <c r="A2041" s="2">
        <v>2025</v>
      </c>
      <c r="B2041" s="2">
        <v>11</v>
      </c>
      <c r="D2041" s="2" t="s">
        <v>37</v>
      </c>
      <c r="E2041" s="2" t="s">
        <v>38</v>
      </c>
      <c r="F2041" s="2" t="s">
        <v>39</v>
      </c>
      <c r="H2041" s="2" t="s">
        <v>40</v>
      </c>
      <c r="M2041" s="2" t="s">
        <v>40</v>
      </c>
      <c r="P2041" s="2" t="s">
        <v>187</v>
      </c>
      <c r="Q2041" s="2" t="s">
        <v>1308</v>
      </c>
      <c r="R2041" s="2" t="s">
        <v>1309</v>
      </c>
      <c r="S2041" s="2">
        <v>1</v>
      </c>
      <c r="T2041" s="2">
        <v>10.5</v>
      </c>
      <c r="U2041" s="2">
        <v>2.415</v>
      </c>
      <c r="V2041" s="2">
        <v>12.914999999999999</v>
      </c>
      <c r="X2041" s="5">
        <f t="shared" si="286"/>
        <v>1</v>
      </c>
      <c r="Z2041" s="2" t="s">
        <v>117</v>
      </c>
      <c r="AA2041" s="2" t="s">
        <v>1310</v>
      </c>
      <c r="AF2041" s="2">
        <f t="shared" si="281"/>
        <v>0</v>
      </c>
      <c r="AJ2041" s="2">
        <f t="shared" si="282"/>
        <v>0</v>
      </c>
      <c r="AK2041" s="2">
        <f t="shared" si="284"/>
        <v>10.5</v>
      </c>
      <c r="AL2041" s="5">
        <f t="shared" si="287"/>
        <v>1</v>
      </c>
    </row>
    <row r="2042" spans="1:38" x14ac:dyDescent="0.2">
      <c r="A2042" s="2">
        <v>2025</v>
      </c>
      <c r="B2042" s="2">
        <v>11</v>
      </c>
      <c r="D2042" s="2" t="s">
        <v>37</v>
      </c>
      <c r="E2042" s="2" t="s">
        <v>38</v>
      </c>
      <c r="F2042" s="2" t="s">
        <v>39</v>
      </c>
      <c r="H2042" s="2" t="s">
        <v>40</v>
      </c>
      <c r="P2042" s="2" t="s">
        <v>93</v>
      </c>
      <c r="Q2042" s="2" t="s">
        <v>94</v>
      </c>
      <c r="R2042" s="2" t="s">
        <v>95</v>
      </c>
      <c r="S2042" s="2">
        <v>4</v>
      </c>
      <c r="T2042" s="2">
        <v>4.5599999999999996</v>
      </c>
      <c r="U2042" s="2">
        <v>1.0488</v>
      </c>
      <c r="V2042" s="2">
        <v>5.6087999999999996</v>
      </c>
      <c r="W2042" s="2">
        <v>4.5599999999999996</v>
      </c>
      <c r="X2042" s="5">
        <f t="shared" si="286"/>
        <v>0</v>
      </c>
      <c r="Z2042" s="2" t="s">
        <v>3227</v>
      </c>
      <c r="AA2042" s="2" t="s">
        <v>96</v>
      </c>
      <c r="AB2042" s="2" t="s">
        <v>76</v>
      </c>
      <c r="AC2042" s="2" t="s">
        <v>93</v>
      </c>
      <c r="AF2042" s="2">
        <f t="shared" si="281"/>
        <v>0</v>
      </c>
      <c r="AJ2042" s="2">
        <f t="shared" si="282"/>
        <v>0</v>
      </c>
      <c r="AK2042" s="2">
        <f t="shared" si="284"/>
        <v>0</v>
      </c>
      <c r="AL2042" s="5">
        <f t="shared" si="287"/>
        <v>0</v>
      </c>
    </row>
    <row r="2043" spans="1:38" x14ac:dyDescent="0.2">
      <c r="A2043" s="2">
        <v>2025</v>
      </c>
      <c r="B2043" s="2">
        <v>11</v>
      </c>
      <c r="D2043" s="2" t="s">
        <v>37</v>
      </c>
      <c r="E2043" s="2" t="s">
        <v>38</v>
      </c>
      <c r="F2043" s="2" t="s">
        <v>39</v>
      </c>
      <c r="H2043" s="2" t="s">
        <v>40</v>
      </c>
      <c r="P2043" s="2" t="s">
        <v>40</v>
      </c>
      <c r="Q2043" s="2" t="s">
        <v>363</v>
      </c>
      <c r="R2043" s="2" t="s">
        <v>364</v>
      </c>
      <c r="S2043" s="2">
        <v>1</v>
      </c>
      <c r="T2043" s="2">
        <v>939.5</v>
      </c>
      <c r="U2043" s="2">
        <v>216.08500000000001</v>
      </c>
      <c r="V2043" s="2">
        <v>1155.585</v>
      </c>
      <c r="X2043" s="5">
        <f t="shared" si="286"/>
        <v>1</v>
      </c>
      <c r="Z2043" s="2" t="s">
        <v>119</v>
      </c>
      <c r="AA2043" s="2" t="s">
        <v>3380</v>
      </c>
      <c r="AF2043" s="2">
        <f t="shared" si="281"/>
        <v>0</v>
      </c>
      <c r="AJ2043" s="2">
        <f t="shared" si="282"/>
        <v>0</v>
      </c>
      <c r="AK2043" s="2">
        <f t="shared" si="284"/>
        <v>939.5</v>
      </c>
      <c r="AL2043" s="5">
        <f t="shared" si="287"/>
        <v>1</v>
      </c>
    </row>
    <row r="2044" spans="1:38" x14ac:dyDescent="0.2">
      <c r="A2044" s="2">
        <v>2025</v>
      </c>
      <c r="B2044" s="2">
        <v>11</v>
      </c>
      <c r="D2044" s="2" t="s">
        <v>97</v>
      </c>
      <c r="E2044" s="2" t="s">
        <v>98</v>
      </c>
      <c r="F2044" s="2" t="s">
        <v>39</v>
      </c>
      <c r="G2044" s="2">
        <v>517450925</v>
      </c>
      <c r="H2044" s="2" t="s">
        <v>40</v>
      </c>
      <c r="I2044" s="2" t="s">
        <v>99</v>
      </c>
      <c r="J2044" s="2" t="s">
        <v>100</v>
      </c>
      <c r="L2044" s="2" t="s">
        <v>99</v>
      </c>
      <c r="M2044" s="2" t="s">
        <v>40</v>
      </c>
      <c r="P2044" s="2" t="s">
        <v>114</v>
      </c>
      <c r="Q2044" s="2" t="s">
        <v>904</v>
      </c>
      <c r="R2044" s="2" t="s">
        <v>905</v>
      </c>
      <c r="S2044" s="2">
        <v>1</v>
      </c>
      <c r="T2044" s="2">
        <v>599.4</v>
      </c>
      <c r="U2044" s="2">
        <v>137.86199999999999</v>
      </c>
      <c r="V2044" s="2">
        <v>737.26199999999994</v>
      </c>
      <c r="W2044" s="2">
        <v>345.20339999999999</v>
      </c>
      <c r="X2044" s="5">
        <f t="shared" si="286"/>
        <v>0.42408508508508508</v>
      </c>
      <c r="Z2044" s="2" t="s">
        <v>117</v>
      </c>
      <c r="AA2044" s="2" t="s">
        <v>181</v>
      </c>
      <c r="AB2044" s="2" t="s">
        <v>119</v>
      </c>
      <c r="AC2044" s="2" t="s">
        <v>114</v>
      </c>
      <c r="AF2044" s="2">
        <f t="shared" si="281"/>
        <v>0</v>
      </c>
      <c r="AJ2044" s="2">
        <f t="shared" si="282"/>
        <v>0</v>
      </c>
      <c r="AK2044" s="2">
        <f t="shared" si="284"/>
        <v>254.19659999999999</v>
      </c>
      <c r="AL2044" s="5">
        <f t="shared" si="287"/>
        <v>0.42408508508508508</v>
      </c>
    </row>
    <row r="2045" spans="1:38" x14ac:dyDescent="0.2">
      <c r="A2045" s="2">
        <v>2025</v>
      </c>
      <c r="B2045" s="2">
        <v>11</v>
      </c>
      <c r="D2045" s="2" t="s">
        <v>97</v>
      </c>
      <c r="E2045" s="2" t="s">
        <v>98</v>
      </c>
      <c r="F2045" s="2" t="s">
        <v>39</v>
      </c>
      <c r="G2045" s="2">
        <v>517450925</v>
      </c>
      <c r="H2045" s="2" t="s">
        <v>40</v>
      </c>
      <c r="I2045" s="2" t="s">
        <v>99</v>
      </c>
      <c r="J2045" s="2" t="s">
        <v>100</v>
      </c>
      <c r="L2045" s="2" t="s">
        <v>99</v>
      </c>
      <c r="M2045" s="2" t="s">
        <v>40</v>
      </c>
      <c r="P2045" s="2" t="s">
        <v>187</v>
      </c>
      <c r="Q2045" s="2" t="s">
        <v>188</v>
      </c>
      <c r="R2045" s="2" t="s">
        <v>189</v>
      </c>
      <c r="S2045" s="2">
        <v>1</v>
      </c>
      <c r="T2045" s="2">
        <v>61</v>
      </c>
      <c r="U2045" s="2">
        <v>14.03</v>
      </c>
      <c r="V2045" s="2">
        <v>75.03</v>
      </c>
      <c r="W2045" s="2">
        <f>T2045*40%</f>
        <v>24.400000000000002</v>
      </c>
      <c r="X2045" s="5">
        <f t="shared" si="286"/>
        <v>0.59999999999999987</v>
      </c>
      <c r="Z2045" s="2" t="s">
        <v>117</v>
      </c>
      <c r="AA2045" s="2" t="s">
        <v>190</v>
      </c>
      <c r="AB2045" s="2" t="s">
        <v>189</v>
      </c>
      <c r="AC2045" s="2" t="s">
        <v>40</v>
      </c>
      <c r="AF2045" s="2">
        <f t="shared" si="281"/>
        <v>0</v>
      </c>
      <c r="AJ2045" s="2">
        <f t="shared" si="282"/>
        <v>0</v>
      </c>
      <c r="AK2045" s="2">
        <f t="shared" si="284"/>
        <v>36.599999999999994</v>
      </c>
      <c r="AL2045" s="5">
        <f t="shared" si="287"/>
        <v>0.59999999999999987</v>
      </c>
    </row>
    <row r="2046" spans="1:38" x14ac:dyDescent="0.2">
      <c r="A2046" s="2">
        <v>2025</v>
      </c>
      <c r="B2046" s="2">
        <v>11</v>
      </c>
      <c r="D2046" s="2" t="s">
        <v>97</v>
      </c>
      <c r="E2046" s="2" t="s">
        <v>98</v>
      </c>
      <c r="F2046" s="2" t="s">
        <v>39</v>
      </c>
      <c r="G2046" s="2">
        <v>517450925</v>
      </c>
      <c r="H2046" s="2" t="s">
        <v>40</v>
      </c>
      <c r="I2046" s="2" t="s">
        <v>99</v>
      </c>
      <c r="J2046" s="2" t="s">
        <v>100</v>
      </c>
      <c r="L2046" s="2" t="s">
        <v>99</v>
      </c>
      <c r="M2046" s="2" t="s">
        <v>40</v>
      </c>
      <c r="P2046" s="2" t="s">
        <v>187</v>
      </c>
      <c r="Q2046" s="2" t="s">
        <v>191</v>
      </c>
      <c r="R2046" s="2" t="s">
        <v>190</v>
      </c>
      <c r="S2046" s="2">
        <v>1</v>
      </c>
      <c r="T2046" s="2">
        <v>50</v>
      </c>
      <c r="U2046" s="2">
        <v>11.5</v>
      </c>
      <c r="V2046" s="2">
        <v>61.5</v>
      </c>
      <c r="W2046" s="2">
        <f>T2046*50%</f>
        <v>25</v>
      </c>
      <c r="X2046" s="5">
        <f t="shared" si="286"/>
        <v>0.5</v>
      </c>
      <c r="Z2046" s="2" t="s">
        <v>117</v>
      </c>
      <c r="AA2046" s="2" t="s">
        <v>190</v>
      </c>
      <c r="AB2046" s="2" t="s">
        <v>190</v>
      </c>
      <c r="AC2046" s="2" t="s">
        <v>40</v>
      </c>
      <c r="AF2046" s="2">
        <f t="shared" si="281"/>
        <v>0</v>
      </c>
      <c r="AJ2046" s="2">
        <f t="shared" si="282"/>
        <v>0</v>
      </c>
      <c r="AK2046" s="2">
        <f t="shared" si="284"/>
        <v>25</v>
      </c>
      <c r="AL2046" s="5">
        <f t="shared" si="287"/>
        <v>0.5</v>
      </c>
    </row>
    <row r="2047" spans="1:38" x14ac:dyDescent="0.2">
      <c r="A2047" s="2">
        <v>2025</v>
      </c>
      <c r="B2047" s="2">
        <v>11</v>
      </c>
      <c r="C2047" s="2" t="s">
        <v>3453</v>
      </c>
      <c r="D2047" s="2" t="s">
        <v>1672</v>
      </c>
      <c r="E2047" s="2" t="s">
        <v>38</v>
      </c>
      <c r="F2047" s="2" t="s">
        <v>39</v>
      </c>
      <c r="L2047" s="2" t="s">
        <v>99</v>
      </c>
      <c r="M2047" s="2" t="s">
        <v>80</v>
      </c>
      <c r="P2047" s="2" t="s">
        <v>43</v>
      </c>
      <c r="Q2047" s="2" t="s">
        <v>48</v>
      </c>
      <c r="R2047" s="2" t="s">
        <v>49</v>
      </c>
      <c r="S2047" s="2">
        <v>2</v>
      </c>
      <c r="T2047" s="2">
        <v>24</v>
      </c>
      <c r="U2047" s="2">
        <v>5.52</v>
      </c>
      <c r="V2047" s="2">
        <v>29.52</v>
      </c>
      <c r="W2047" s="2">
        <f>6.6267*S2047</f>
        <v>13.253399999999999</v>
      </c>
      <c r="X2047" s="5">
        <f t="shared" si="286"/>
        <v>0.44777500000000003</v>
      </c>
      <c r="Z2047" s="2" t="s">
        <v>3227</v>
      </c>
      <c r="AA2047" s="2" t="s">
        <v>46</v>
      </c>
      <c r="AB2047" s="2" t="s">
        <v>47</v>
      </c>
      <c r="AC2047" s="2" t="s">
        <v>57</v>
      </c>
      <c r="AF2047" s="2">
        <f t="shared" si="281"/>
        <v>0</v>
      </c>
      <c r="AG2047" s="2">
        <v>6.6266999999999996</v>
      </c>
      <c r="AH2047" s="2">
        <v>12</v>
      </c>
      <c r="AJ2047" s="2">
        <f t="shared" si="282"/>
        <v>0</v>
      </c>
      <c r="AK2047" s="2">
        <f t="shared" si="284"/>
        <v>10.746600000000001</v>
      </c>
      <c r="AL2047" s="5">
        <f t="shared" si="287"/>
        <v>0.44777500000000003</v>
      </c>
    </row>
    <row r="2048" spans="1:38" x14ac:dyDescent="0.2">
      <c r="A2048" s="2">
        <v>2025</v>
      </c>
      <c r="B2048" s="2">
        <v>11</v>
      </c>
      <c r="C2048" s="2" t="s">
        <v>3453</v>
      </c>
      <c r="D2048" s="2" t="s">
        <v>1672</v>
      </c>
      <c r="E2048" s="2" t="s">
        <v>38</v>
      </c>
      <c r="F2048" s="2" t="s">
        <v>39</v>
      </c>
      <c r="L2048" s="2" t="s">
        <v>99</v>
      </c>
      <c r="M2048" s="2" t="s">
        <v>80</v>
      </c>
      <c r="P2048" s="2" t="s">
        <v>43</v>
      </c>
      <c r="Q2048" s="2" t="s">
        <v>61</v>
      </c>
      <c r="R2048" s="2" t="s">
        <v>62</v>
      </c>
      <c r="S2048" s="2">
        <v>300</v>
      </c>
      <c r="T2048" s="2">
        <v>37.5</v>
      </c>
      <c r="U2048" s="2">
        <v>8.625</v>
      </c>
      <c r="V2048" s="2">
        <v>46.125</v>
      </c>
      <c r="W2048" s="2">
        <f>0.082*S2048</f>
        <v>24.6</v>
      </c>
      <c r="X2048" s="5">
        <f t="shared" si="286"/>
        <v>0.34399999999999997</v>
      </c>
      <c r="Z2048" s="2" t="s">
        <v>3227</v>
      </c>
      <c r="AA2048" s="2" t="s">
        <v>46</v>
      </c>
      <c r="AB2048" s="2" t="s">
        <v>60</v>
      </c>
      <c r="AC2048" s="2" t="s">
        <v>57</v>
      </c>
      <c r="AF2048" s="2">
        <f t="shared" si="281"/>
        <v>0</v>
      </c>
      <c r="AG2048" s="2">
        <v>8.1999999999999993</v>
      </c>
      <c r="AH2048" s="2">
        <v>13</v>
      </c>
      <c r="AJ2048" s="2">
        <f t="shared" si="282"/>
        <v>0</v>
      </c>
      <c r="AK2048" s="2">
        <f t="shared" si="284"/>
        <v>12.899999999999999</v>
      </c>
      <c r="AL2048" s="5">
        <f t="shared" si="287"/>
        <v>0.34399999999999997</v>
      </c>
    </row>
    <row r="2049" spans="1:38" x14ac:dyDescent="0.2">
      <c r="A2049" s="2">
        <v>2025</v>
      </c>
      <c r="B2049" s="2">
        <v>11</v>
      </c>
      <c r="C2049" s="2" t="s">
        <v>3453</v>
      </c>
      <c r="D2049" s="2" t="s">
        <v>1672</v>
      </c>
      <c r="E2049" s="2" t="s">
        <v>38</v>
      </c>
      <c r="F2049" s="2" t="s">
        <v>39</v>
      </c>
      <c r="L2049" s="2" t="s">
        <v>99</v>
      </c>
      <c r="M2049" s="2" t="s">
        <v>80</v>
      </c>
      <c r="P2049" s="2" t="s">
        <v>43</v>
      </c>
      <c r="Q2049" s="2" t="s">
        <v>254</v>
      </c>
      <c r="R2049" s="2" t="s">
        <v>255</v>
      </c>
      <c r="S2049" s="2">
        <v>100</v>
      </c>
      <c r="T2049" s="2">
        <v>15</v>
      </c>
      <c r="U2049" s="2">
        <v>3.45</v>
      </c>
      <c r="V2049" s="2">
        <v>18.45</v>
      </c>
      <c r="W2049" s="2">
        <f>0.0914*S2049</f>
        <v>9.1399999999999988</v>
      </c>
      <c r="X2049" s="5">
        <f t="shared" si="286"/>
        <v>0.39066666666666677</v>
      </c>
      <c r="Z2049" s="2" t="s">
        <v>3227</v>
      </c>
      <c r="AA2049" s="2" t="s">
        <v>46</v>
      </c>
      <c r="AB2049" s="2" t="s">
        <v>60</v>
      </c>
      <c r="AC2049" s="2" t="s">
        <v>57</v>
      </c>
      <c r="AF2049" s="2">
        <f t="shared" si="281"/>
        <v>0</v>
      </c>
      <c r="AJ2049" s="2">
        <f t="shared" si="282"/>
        <v>0</v>
      </c>
      <c r="AK2049" s="2">
        <f t="shared" si="284"/>
        <v>5.8600000000000012</v>
      </c>
      <c r="AL2049" s="5">
        <f t="shared" si="287"/>
        <v>0.39066666666666677</v>
      </c>
    </row>
    <row r="2050" spans="1:38" x14ac:dyDescent="0.2">
      <c r="A2050" s="2">
        <v>2025</v>
      </c>
      <c r="B2050" s="2">
        <v>11</v>
      </c>
      <c r="D2050" s="2" t="s">
        <v>933</v>
      </c>
      <c r="P2050" s="2" t="s">
        <v>114</v>
      </c>
      <c r="Q2050" s="2" t="s">
        <v>779</v>
      </c>
      <c r="R2050" s="2" t="s">
        <v>780</v>
      </c>
      <c r="S2050" s="2">
        <v>2</v>
      </c>
      <c r="T2050" s="2">
        <v>153.34</v>
      </c>
      <c r="U2050" s="2">
        <v>35.2682</v>
      </c>
      <c r="V2050" s="2">
        <v>188.60820000000001</v>
      </c>
      <c r="X2050" s="5">
        <f t="shared" si="286"/>
        <v>1</v>
      </c>
      <c r="Z2050" s="2" t="s">
        <v>117</v>
      </c>
      <c r="AF2050" s="2">
        <f t="shared" ref="AF2050:AF2113" si="288">AJ2050</f>
        <v>0</v>
      </c>
      <c r="AJ2050" s="2">
        <f t="shared" ref="AJ2050:AJ2113" si="289">AI2050*T2050</f>
        <v>0</v>
      </c>
      <c r="AK2050" s="2">
        <f t="shared" si="284"/>
        <v>153.34</v>
      </c>
      <c r="AL2050" s="5">
        <f t="shared" si="287"/>
        <v>1</v>
      </c>
    </row>
    <row r="2051" spans="1:38" x14ac:dyDescent="0.2">
      <c r="A2051" s="2">
        <v>2025</v>
      </c>
      <c r="B2051" s="2">
        <v>11</v>
      </c>
      <c r="D2051" s="2" t="s">
        <v>933</v>
      </c>
      <c r="M2051" s="2" t="s">
        <v>40</v>
      </c>
      <c r="P2051" s="2" t="s">
        <v>114</v>
      </c>
      <c r="Q2051" s="2" t="s">
        <v>179</v>
      </c>
      <c r="R2051" s="2" t="s">
        <v>180</v>
      </c>
      <c r="S2051" s="2">
        <v>1</v>
      </c>
      <c r="T2051" s="2">
        <v>699.3</v>
      </c>
      <c r="U2051" s="2">
        <v>160.839</v>
      </c>
      <c r="V2051" s="2">
        <v>860.1389999999999</v>
      </c>
      <c r="W2051" s="2">
        <v>346.57</v>
      </c>
      <c r="X2051" s="5">
        <f t="shared" si="286"/>
        <v>0.50440440440440437</v>
      </c>
      <c r="Z2051" s="2" t="s">
        <v>117</v>
      </c>
      <c r="AA2051" s="2" t="s">
        <v>181</v>
      </c>
      <c r="AB2051" s="2" t="s">
        <v>119</v>
      </c>
      <c r="AC2051" s="2" t="s">
        <v>114</v>
      </c>
      <c r="AF2051" s="2">
        <f t="shared" si="288"/>
        <v>0</v>
      </c>
      <c r="AJ2051" s="2">
        <f t="shared" si="289"/>
        <v>0</v>
      </c>
      <c r="AK2051" s="2">
        <f t="shared" si="284"/>
        <v>352.72999999999996</v>
      </c>
      <c r="AL2051" s="5">
        <f t="shared" si="287"/>
        <v>0.50440440440440437</v>
      </c>
    </row>
    <row r="2052" spans="1:38" x14ac:dyDescent="0.2">
      <c r="A2052" s="2">
        <v>2025</v>
      </c>
      <c r="B2052" s="2">
        <v>11</v>
      </c>
      <c r="D2052" s="2" t="s">
        <v>933</v>
      </c>
      <c r="M2052" s="2" t="s">
        <v>40</v>
      </c>
      <c r="P2052" s="2" t="s">
        <v>187</v>
      </c>
      <c r="Q2052" s="2" t="s">
        <v>188</v>
      </c>
      <c r="R2052" s="2" t="s">
        <v>189</v>
      </c>
      <c r="S2052" s="2">
        <v>1</v>
      </c>
      <c r="T2052" s="2">
        <v>144</v>
      </c>
      <c r="U2052" s="2">
        <v>33.119999999999997</v>
      </c>
      <c r="V2052" s="2">
        <v>177.12</v>
      </c>
      <c r="W2052" s="2">
        <f>T2052*40%</f>
        <v>57.6</v>
      </c>
      <c r="X2052" s="5">
        <f t="shared" si="286"/>
        <v>0.60000000000000009</v>
      </c>
      <c r="Z2052" s="2" t="s">
        <v>117</v>
      </c>
      <c r="AA2052" s="2" t="s">
        <v>190</v>
      </c>
      <c r="AB2052" s="2" t="s">
        <v>189</v>
      </c>
      <c r="AC2052" s="2" t="s">
        <v>40</v>
      </c>
      <c r="AF2052" s="2">
        <f t="shared" si="288"/>
        <v>0</v>
      </c>
      <c r="AJ2052" s="2">
        <f t="shared" si="289"/>
        <v>0</v>
      </c>
      <c r="AK2052" s="2">
        <f t="shared" si="284"/>
        <v>86.4</v>
      </c>
      <c r="AL2052" s="5">
        <f t="shared" si="287"/>
        <v>0.60000000000000009</v>
      </c>
    </row>
    <row r="2053" spans="1:38" x14ac:dyDescent="0.2">
      <c r="A2053" s="2">
        <v>2025</v>
      </c>
      <c r="B2053" s="2">
        <v>11</v>
      </c>
      <c r="D2053" s="2" t="s">
        <v>933</v>
      </c>
      <c r="M2053" s="2" t="s">
        <v>40</v>
      </c>
      <c r="P2053" s="2" t="s">
        <v>187</v>
      </c>
      <c r="Q2053" s="2" t="s">
        <v>191</v>
      </c>
      <c r="R2053" s="2" t="s">
        <v>190</v>
      </c>
      <c r="S2053" s="2">
        <v>1</v>
      </c>
      <c r="T2053" s="2">
        <v>0</v>
      </c>
      <c r="U2053" s="2">
        <v>0</v>
      </c>
      <c r="V2053" s="2">
        <v>0</v>
      </c>
      <c r="W2053" s="2">
        <f>T2053*50%</f>
        <v>0</v>
      </c>
      <c r="X2053" s="5">
        <v>0</v>
      </c>
      <c r="Z2053" s="2" t="s">
        <v>117</v>
      </c>
      <c r="AA2053" s="2" t="s">
        <v>190</v>
      </c>
      <c r="AB2053" s="2" t="s">
        <v>190</v>
      </c>
      <c r="AC2053" s="2" t="s">
        <v>40</v>
      </c>
      <c r="AF2053" s="2">
        <f t="shared" si="288"/>
        <v>0</v>
      </c>
      <c r="AJ2053" s="2">
        <f t="shared" si="289"/>
        <v>0</v>
      </c>
      <c r="AK2053" s="2">
        <f t="shared" si="284"/>
        <v>0</v>
      </c>
      <c r="AL2053" s="5">
        <v>0</v>
      </c>
    </row>
    <row r="2054" spans="1:38" x14ac:dyDescent="0.2">
      <c r="A2054" s="2">
        <v>2025</v>
      </c>
      <c r="B2054" s="2">
        <v>11</v>
      </c>
      <c r="D2054" s="2" t="s">
        <v>143</v>
      </c>
      <c r="P2054" s="2" t="s">
        <v>114</v>
      </c>
      <c r="Q2054" s="2" t="s">
        <v>779</v>
      </c>
      <c r="R2054" s="2" t="s">
        <v>780</v>
      </c>
      <c r="S2054" s="2">
        <v>2</v>
      </c>
      <c r="T2054" s="2">
        <v>153.34</v>
      </c>
      <c r="U2054" s="2">
        <v>35.2682</v>
      </c>
      <c r="V2054" s="2">
        <v>188.60820000000001</v>
      </c>
      <c r="X2054" s="5">
        <f t="shared" ref="X2054:X2086" si="290">(T2054-W2054)/T2054</f>
        <v>1</v>
      </c>
      <c r="Z2054" s="2" t="s">
        <v>117</v>
      </c>
      <c r="AF2054" s="2">
        <f t="shared" si="288"/>
        <v>0</v>
      </c>
      <c r="AJ2054" s="2">
        <f t="shared" si="289"/>
        <v>0</v>
      </c>
      <c r="AK2054" s="2">
        <f t="shared" si="284"/>
        <v>153.34</v>
      </c>
      <c r="AL2054" s="5">
        <f t="shared" ref="AL2054:AL2085" si="291">(T2054-W2054)/T2054</f>
        <v>1</v>
      </c>
    </row>
    <row r="2055" spans="1:38" x14ac:dyDescent="0.2">
      <c r="A2055" s="2">
        <v>2025</v>
      </c>
      <c r="B2055" s="2">
        <v>11</v>
      </c>
      <c r="D2055" s="2" t="s">
        <v>143</v>
      </c>
      <c r="P2055" s="2" t="s">
        <v>72</v>
      </c>
      <c r="Q2055" s="2" t="s">
        <v>1973</v>
      </c>
      <c r="R2055" s="2" t="s">
        <v>483</v>
      </c>
      <c r="S2055" s="2">
        <v>1</v>
      </c>
      <c r="T2055" s="2">
        <v>210</v>
      </c>
      <c r="U2055" s="2">
        <v>48.3</v>
      </c>
      <c r="V2055" s="2">
        <v>258.3</v>
      </c>
      <c r="W2055" s="2">
        <v>115.81</v>
      </c>
      <c r="X2055" s="5">
        <f t="shared" si="290"/>
        <v>0.44852380952380949</v>
      </c>
      <c r="Z2055" s="2" t="s">
        <v>3227</v>
      </c>
      <c r="AA2055" s="2" t="s">
        <v>75</v>
      </c>
      <c r="AB2055" s="2" t="s">
        <v>76</v>
      </c>
      <c r="AC2055" s="2" t="s">
        <v>77</v>
      </c>
      <c r="AF2055" s="2">
        <f t="shared" si="288"/>
        <v>0</v>
      </c>
      <c r="AJ2055" s="2">
        <f t="shared" si="289"/>
        <v>0</v>
      </c>
      <c r="AK2055" s="2">
        <f t="shared" si="284"/>
        <v>94.19</v>
      </c>
      <c r="AL2055" s="5">
        <f t="shared" si="291"/>
        <v>0.44852380952380949</v>
      </c>
    </row>
    <row r="2056" spans="1:38" x14ac:dyDescent="0.2">
      <c r="A2056" s="2">
        <v>2025</v>
      </c>
      <c r="B2056" s="2">
        <v>11</v>
      </c>
      <c r="D2056" s="2" t="s">
        <v>143</v>
      </c>
      <c r="P2056" s="2" t="s">
        <v>1038</v>
      </c>
      <c r="Q2056" s="2" t="s">
        <v>1974</v>
      </c>
      <c r="R2056" s="2" t="s">
        <v>1975</v>
      </c>
      <c r="S2056" s="2">
        <v>1</v>
      </c>
      <c r="T2056" s="2">
        <v>450</v>
      </c>
      <c r="U2056" s="2">
        <v>103.5</v>
      </c>
      <c r="V2056" s="2">
        <v>553.5</v>
      </c>
      <c r="W2056" s="2">
        <v>330</v>
      </c>
      <c r="X2056" s="5">
        <f t="shared" si="290"/>
        <v>0.26666666666666666</v>
      </c>
      <c r="Z2056" s="2" t="s">
        <v>3227</v>
      </c>
      <c r="AA2056" s="2" t="s">
        <v>75</v>
      </c>
      <c r="AB2056" s="2" t="s">
        <v>76</v>
      </c>
      <c r="AC2056" s="2" t="s">
        <v>1038</v>
      </c>
      <c r="AF2056" s="2">
        <f t="shared" si="288"/>
        <v>0</v>
      </c>
      <c r="AJ2056" s="2">
        <f t="shared" si="289"/>
        <v>0</v>
      </c>
      <c r="AK2056" s="2">
        <f t="shared" si="284"/>
        <v>120</v>
      </c>
      <c r="AL2056" s="5">
        <f t="shared" si="291"/>
        <v>0.26666666666666666</v>
      </c>
    </row>
    <row r="2057" spans="1:38" x14ac:dyDescent="0.2">
      <c r="A2057" s="2">
        <v>2025</v>
      </c>
      <c r="B2057" s="2">
        <v>11</v>
      </c>
      <c r="D2057" s="2" t="s">
        <v>143</v>
      </c>
      <c r="M2057" s="2" t="s">
        <v>40</v>
      </c>
      <c r="P2057" s="2" t="s">
        <v>187</v>
      </c>
      <c r="Q2057" s="2" t="s">
        <v>188</v>
      </c>
      <c r="R2057" s="2" t="s">
        <v>189</v>
      </c>
      <c r="S2057" s="2">
        <v>1</v>
      </c>
      <c r="T2057" s="2">
        <v>228</v>
      </c>
      <c r="U2057" s="2">
        <v>52.44</v>
      </c>
      <c r="V2057" s="2">
        <v>280.44</v>
      </c>
      <c r="W2057" s="2">
        <f>T2057*40%</f>
        <v>91.2</v>
      </c>
      <c r="X2057" s="5">
        <f t="shared" si="290"/>
        <v>0.60000000000000009</v>
      </c>
      <c r="Z2057" s="2" t="s">
        <v>117</v>
      </c>
      <c r="AA2057" s="2" t="s">
        <v>190</v>
      </c>
      <c r="AB2057" s="2" t="s">
        <v>189</v>
      </c>
      <c r="AC2057" s="2" t="s">
        <v>40</v>
      </c>
      <c r="AF2057" s="2">
        <f t="shared" si="288"/>
        <v>0</v>
      </c>
      <c r="AJ2057" s="2">
        <f t="shared" si="289"/>
        <v>0</v>
      </c>
      <c r="AK2057" s="2">
        <f t="shared" si="284"/>
        <v>136.80000000000001</v>
      </c>
      <c r="AL2057" s="5">
        <f t="shared" si="291"/>
        <v>0.60000000000000009</v>
      </c>
    </row>
    <row r="2058" spans="1:38" x14ac:dyDescent="0.2">
      <c r="A2058" s="2">
        <v>2025</v>
      </c>
      <c r="B2058" s="2">
        <v>11</v>
      </c>
      <c r="D2058" s="2" t="s">
        <v>143</v>
      </c>
      <c r="M2058" s="2" t="s">
        <v>40</v>
      </c>
      <c r="P2058" s="2" t="s">
        <v>187</v>
      </c>
      <c r="Q2058" s="2" t="s">
        <v>191</v>
      </c>
      <c r="R2058" s="2" t="s">
        <v>190</v>
      </c>
      <c r="S2058" s="2">
        <v>7</v>
      </c>
      <c r="T2058" s="2">
        <v>250</v>
      </c>
      <c r="U2058" s="2">
        <v>57.5</v>
      </c>
      <c r="V2058" s="2">
        <v>307.5</v>
      </c>
      <c r="W2058" s="2">
        <f>T2058*50%</f>
        <v>125</v>
      </c>
      <c r="X2058" s="5">
        <f t="shared" si="290"/>
        <v>0.5</v>
      </c>
      <c r="Z2058" s="2" t="s">
        <v>117</v>
      </c>
      <c r="AA2058" s="2" t="s">
        <v>190</v>
      </c>
      <c r="AB2058" s="2" t="s">
        <v>190</v>
      </c>
      <c r="AC2058" s="2" t="s">
        <v>40</v>
      </c>
      <c r="AF2058" s="2">
        <f t="shared" si="288"/>
        <v>0</v>
      </c>
      <c r="AJ2058" s="2">
        <f t="shared" si="289"/>
        <v>0</v>
      </c>
      <c r="AK2058" s="2">
        <f t="shared" si="284"/>
        <v>125</v>
      </c>
      <c r="AL2058" s="5">
        <f t="shared" si="291"/>
        <v>0.5</v>
      </c>
    </row>
    <row r="2059" spans="1:38" x14ac:dyDescent="0.2">
      <c r="A2059" s="2">
        <v>2025</v>
      </c>
      <c r="B2059" s="2">
        <v>11</v>
      </c>
      <c r="D2059" s="2" t="s">
        <v>143</v>
      </c>
      <c r="P2059" s="2" t="s">
        <v>169</v>
      </c>
      <c r="Q2059" s="2" t="s">
        <v>170</v>
      </c>
      <c r="R2059" s="2" t="s">
        <v>170</v>
      </c>
      <c r="S2059" s="2">
        <v>1</v>
      </c>
      <c r="T2059" s="2">
        <v>15</v>
      </c>
      <c r="U2059" s="2">
        <v>3.45</v>
      </c>
      <c r="V2059" s="2">
        <v>18.45</v>
      </c>
      <c r="W2059" s="2">
        <v>23</v>
      </c>
      <c r="X2059" s="5">
        <f t="shared" si="290"/>
        <v>-0.53333333333333333</v>
      </c>
      <c r="Z2059" s="2" t="s">
        <v>169</v>
      </c>
      <c r="AA2059" s="2" t="s">
        <v>169</v>
      </c>
      <c r="AF2059" s="2">
        <f t="shared" si="288"/>
        <v>0</v>
      </c>
      <c r="AJ2059" s="2">
        <f t="shared" si="289"/>
        <v>0</v>
      </c>
      <c r="AK2059" s="2">
        <f t="shared" si="284"/>
        <v>-8</v>
      </c>
      <c r="AL2059" s="5">
        <f t="shared" si="291"/>
        <v>-0.53333333333333333</v>
      </c>
    </row>
    <row r="2060" spans="1:38" x14ac:dyDescent="0.2">
      <c r="A2060" s="2">
        <v>2025</v>
      </c>
      <c r="B2060" s="2">
        <v>11</v>
      </c>
      <c r="D2060" s="2" t="s">
        <v>143</v>
      </c>
      <c r="P2060" s="2" t="s">
        <v>93</v>
      </c>
      <c r="Q2060" s="2" t="s">
        <v>94</v>
      </c>
      <c r="R2060" s="2" t="s">
        <v>95</v>
      </c>
      <c r="S2060" s="2">
        <v>2</v>
      </c>
      <c r="T2060" s="2">
        <v>2.2799999999999998</v>
      </c>
      <c r="U2060" s="2">
        <v>0.52439999999999998</v>
      </c>
      <c r="V2060" s="2">
        <v>2.8043999999999998</v>
      </c>
      <c r="W2060" s="2">
        <v>2.2799999999999998</v>
      </c>
      <c r="X2060" s="5">
        <f t="shared" si="290"/>
        <v>0</v>
      </c>
      <c r="Z2060" s="2" t="s">
        <v>3227</v>
      </c>
      <c r="AA2060" s="2" t="s">
        <v>96</v>
      </c>
      <c r="AB2060" s="2" t="s">
        <v>76</v>
      </c>
      <c r="AC2060" s="2" t="s">
        <v>93</v>
      </c>
      <c r="AF2060" s="2">
        <f t="shared" si="288"/>
        <v>0</v>
      </c>
      <c r="AJ2060" s="2">
        <f t="shared" si="289"/>
        <v>0</v>
      </c>
      <c r="AK2060" s="2">
        <f t="shared" si="284"/>
        <v>0</v>
      </c>
      <c r="AL2060" s="5">
        <f t="shared" si="291"/>
        <v>0</v>
      </c>
    </row>
    <row r="2061" spans="1:38" x14ac:dyDescent="0.2">
      <c r="A2061" s="2">
        <v>2025</v>
      </c>
      <c r="B2061" s="2">
        <v>11</v>
      </c>
      <c r="D2061" s="2" t="s">
        <v>143</v>
      </c>
      <c r="P2061" s="2" t="s">
        <v>40</v>
      </c>
      <c r="Q2061" s="2" t="s">
        <v>363</v>
      </c>
      <c r="R2061" s="2" t="s">
        <v>364</v>
      </c>
      <c r="S2061" s="2">
        <v>1</v>
      </c>
      <c r="T2061" s="2">
        <v>67.2</v>
      </c>
      <c r="U2061" s="2">
        <v>15.456</v>
      </c>
      <c r="V2061" s="2">
        <v>82.656000000000006</v>
      </c>
      <c r="X2061" s="5">
        <f t="shared" si="290"/>
        <v>1</v>
      </c>
      <c r="Z2061" s="2" t="s">
        <v>119</v>
      </c>
      <c r="AA2061" s="2" t="s">
        <v>3380</v>
      </c>
      <c r="AF2061" s="2">
        <f t="shared" si="288"/>
        <v>0</v>
      </c>
      <c r="AJ2061" s="2">
        <f t="shared" si="289"/>
        <v>0</v>
      </c>
      <c r="AK2061" s="2">
        <f t="shared" si="284"/>
        <v>67.2</v>
      </c>
      <c r="AL2061" s="5">
        <f t="shared" si="291"/>
        <v>1</v>
      </c>
    </row>
    <row r="2062" spans="1:38" x14ac:dyDescent="0.2">
      <c r="A2062" s="2">
        <v>2025</v>
      </c>
      <c r="B2062" s="2">
        <v>11</v>
      </c>
      <c r="D2062" s="2" t="s">
        <v>278</v>
      </c>
      <c r="P2062" s="2" t="s">
        <v>43</v>
      </c>
      <c r="Q2062" s="2" t="s">
        <v>236</v>
      </c>
      <c r="R2062" s="2" t="s">
        <v>237</v>
      </c>
      <c r="S2062" s="2">
        <v>1</v>
      </c>
      <c r="T2062" s="2">
        <v>16.2</v>
      </c>
      <c r="U2062" s="2">
        <v>3.726</v>
      </c>
      <c r="V2062" s="2">
        <v>19.925999999999998</v>
      </c>
      <c r="W2062" s="2">
        <f>9.075*S2062</f>
        <v>9.0749999999999993</v>
      </c>
      <c r="X2062" s="5">
        <f t="shared" si="290"/>
        <v>0.43981481481481483</v>
      </c>
      <c r="Z2062" s="2" t="s">
        <v>3227</v>
      </c>
      <c r="AA2062" s="2" t="s">
        <v>46</v>
      </c>
      <c r="AB2062" s="2" t="s">
        <v>56</v>
      </c>
      <c r="AC2062" s="2" t="s">
        <v>57</v>
      </c>
      <c r="AF2062" s="2">
        <f t="shared" si="288"/>
        <v>0</v>
      </c>
      <c r="AJ2062" s="2">
        <f t="shared" si="289"/>
        <v>0</v>
      </c>
      <c r="AK2062" s="2">
        <f t="shared" si="284"/>
        <v>7.125</v>
      </c>
      <c r="AL2062" s="5">
        <f t="shared" si="291"/>
        <v>0.43981481481481483</v>
      </c>
    </row>
    <row r="2063" spans="1:38" x14ac:dyDescent="0.2">
      <c r="A2063" s="2">
        <v>2025</v>
      </c>
      <c r="B2063" s="2">
        <v>11</v>
      </c>
      <c r="D2063" s="2" t="s">
        <v>278</v>
      </c>
      <c r="P2063" s="2" t="s">
        <v>43</v>
      </c>
      <c r="Q2063" s="2" t="s">
        <v>246</v>
      </c>
      <c r="R2063" s="2" t="s">
        <v>247</v>
      </c>
      <c r="S2063" s="2">
        <v>1</v>
      </c>
      <c r="T2063" s="2">
        <v>19.2</v>
      </c>
      <c r="U2063" s="2">
        <v>4.4160000000000004</v>
      </c>
      <c r="V2063" s="2">
        <v>23.616</v>
      </c>
      <c r="W2063" s="2">
        <f>10.5267*S2063</f>
        <v>10.5267</v>
      </c>
      <c r="X2063" s="5">
        <f t="shared" si="290"/>
        <v>0.45173437499999997</v>
      </c>
      <c r="Z2063" s="2" t="s">
        <v>3227</v>
      </c>
      <c r="AA2063" s="2" t="s">
        <v>46</v>
      </c>
      <c r="AB2063" s="2" t="s">
        <v>56</v>
      </c>
      <c r="AC2063" s="2" t="s">
        <v>57</v>
      </c>
      <c r="AF2063" s="2">
        <f t="shared" si="288"/>
        <v>0</v>
      </c>
      <c r="AJ2063" s="2">
        <f t="shared" si="289"/>
        <v>0</v>
      </c>
      <c r="AK2063" s="2">
        <f t="shared" si="284"/>
        <v>8.6732999999999993</v>
      </c>
      <c r="AL2063" s="5">
        <f t="shared" si="291"/>
        <v>0.45173437499999997</v>
      </c>
    </row>
    <row r="2064" spans="1:38" x14ac:dyDescent="0.2">
      <c r="A2064" s="2">
        <v>2025</v>
      </c>
      <c r="B2064" s="2">
        <v>11</v>
      </c>
      <c r="D2064" s="2" t="s">
        <v>278</v>
      </c>
      <c r="P2064" s="2" t="s">
        <v>43</v>
      </c>
      <c r="Q2064" s="2" t="s">
        <v>54</v>
      </c>
      <c r="R2064" s="2" t="s">
        <v>55</v>
      </c>
      <c r="S2064" s="2">
        <v>2</v>
      </c>
      <c r="T2064" s="2">
        <v>36</v>
      </c>
      <c r="U2064" s="2">
        <v>8.2800000000000011</v>
      </c>
      <c r="V2064" s="2">
        <v>44.28</v>
      </c>
      <c r="W2064" s="2">
        <f>10.6*S2064</f>
        <v>21.2</v>
      </c>
      <c r="X2064" s="5">
        <f t="shared" si="290"/>
        <v>0.41111111111111115</v>
      </c>
      <c r="Z2064" s="2" t="s">
        <v>3227</v>
      </c>
      <c r="AA2064" s="2" t="s">
        <v>46</v>
      </c>
      <c r="AB2064" s="2" t="s">
        <v>56</v>
      </c>
      <c r="AC2064" s="2" t="s">
        <v>57</v>
      </c>
      <c r="AF2064" s="2">
        <f t="shared" si="288"/>
        <v>0</v>
      </c>
      <c r="AG2064" s="2">
        <v>10.6</v>
      </c>
      <c r="AH2064" s="2">
        <v>18</v>
      </c>
      <c r="AJ2064" s="2">
        <f t="shared" si="289"/>
        <v>0</v>
      </c>
      <c r="AK2064" s="2">
        <f t="shared" si="284"/>
        <v>14.8</v>
      </c>
      <c r="AL2064" s="5">
        <f t="shared" si="291"/>
        <v>0.41111111111111115</v>
      </c>
    </row>
    <row r="2065" spans="1:38" x14ac:dyDescent="0.2">
      <c r="A2065" s="2">
        <v>2025</v>
      </c>
      <c r="B2065" s="2">
        <v>11</v>
      </c>
      <c r="D2065" s="2" t="s">
        <v>1153</v>
      </c>
      <c r="M2065" s="2" t="s">
        <v>40</v>
      </c>
      <c r="P2065" s="2" t="s">
        <v>187</v>
      </c>
      <c r="Q2065" s="2" t="s">
        <v>188</v>
      </c>
      <c r="R2065" s="2" t="s">
        <v>189</v>
      </c>
      <c r="S2065" s="2">
        <v>1</v>
      </c>
      <c r="T2065" s="2">
        <v>50</v>
      </c>
      <c r="U2065" s="2">
        <v>11.5</v>
      </c>
      <c r="V2065" s="2">
        <v>61.5</v>
      </c>
      <c r="W2065" s="2">
        <f>T2065*40%</f>
        <v>20</v>
      </c>
      <c r="X2065" s="5">
        <f t="shared" si="290"/>
        <v>0.6</v>
      </c>
      <c r="Z2065" s="2" t="s">
        <v>117</v>
      </c>
      <c r="AA2065" s="2" t="s">
        <v>190</v>
      </c>
      <c r="AB2065" s="2" t="s">
        <v>189</v>
      </c>
      <c r="AC2065" s="2" t="s">
        <v>40</v>
      </c>
      <c r="AF2065" s="2">
        <f t="shared" si="288"/>
        <v>0</v>
      </c>
      <c r="AJ2065" s="2">
        <f t="shared" si="289"/>
        <v>0</v>
      </c>
      <c r="AK2065" s="2">
        <f t="shared" si="284"/>
        <v>30</v>
      </c>
      <c r="AL2065" s="5">
        <f t="shared" si="291"/>
        <v>0.6</v>
      </c>
    </row>
    <row r="2066" spans="1:38" x14ac:dyDescent="0.2">
      <c r="A2066" s="2">
        <v>2025</v>
      </c>
      <c r="B2066" s="2">
        <v>11</v>
      </c>
      <c r="D2066" s="2" t="s">
        <v>1153</v>
      </c>
      <c r="M2066" s="2" t="s">
        <v>40</v>
      </c>
      <c r="P2066" s="2" t="s">
        <v>187</v>
      </c>
      <c r="Q2066" s="2" t="s">
        <v>191</v>
      </c>
      <c r="R2066" s="2" t="s">
        <v>190</v>
      </c>
      <c r="S2066" s="2">
        <v>2</v>
      </c>
      <c r="T2066" s="2">
        <v>50</v>
      </c>
      <c r="U2066" s="2">
        <v>11.5</v>
      </c>
      <c r="V2066" s="2">
        <v>61.5</v>
      </c>
      <c r="W2066" s="2">
        <f>T2066*50%</f>
        <v>25</v>
      </c>
      <c r="X2066" s="5">
        <f t="shared" si="290"/>
        <v>0.5</v>
      </c>
      <c r="Z2066" s="2" t="s">
        <v>117</v>
      </c>
      <c r="AA2066" s="2" t="s">
        <v>190</v>
      </c>
      <c r="AB2066" s="2" t="s">
        <v>190</v>
      </c>
      <c r="AC2066" s="2" t="s">
        <v>40</v>
      </c>
      <c r="AF2066" s="2">
        <f t="shared" si="288"/>
        <v>0</v>
      </c>
      <c r="AJ2066" s="2">
        <f t="shared" si="289"/>
        <v>0</v>
      </c>
      <c r="AK2066" s="2">
        <f t="shared" si="284"/>
        <v>25</v>
      </c>
      <c r="AL2066" s="5">
        <f t="shared" si="291"/>
        <v>0.5</v>
      </c>
    </row>
    <row r="2067" spans="1:38" x14ac:dyDescent="0.2">
      <c r="A2067" s="2">
        <v>2025</v>
      </c>
      <c r="B2067" s="2">
        <v>11</v>
      </c>
      <c r="D2067" s="2" t="s">
        <v>1153</v>
      </c>
      <c r="P2067" s="2" t="s">
        <v>40</v>
      </c>
      <c r="Q2067" s="2" t="s">
        <v>363</v>
      </c>
      <c r="R2067" s="2" t="s">
        <v>364</v>
      </c>
      <c r="S2067" s="2">
        <v>1</v>
      </c>
      <c r="T2067" s="2">
        <v>85.5</v>
      </c>
      <c r="U2067" s="2">
        <v>19.664999999999999</v>
      </c>
      <c r="V2067" s="2">
        <v>105.16500000000001</v>
      </c>
      <c r="X2067" s="5">
        <f t="shared" si="290"/>
        <v>1</v>
      </c>
      <c r="Z2067" s="2" t="s">
        <v>119</v>
      </c>
      <c r="AA2067" s="2" t="s">
        <v>3380</v>
      </c>
      <c r="AF2067" s="2">
        <f t="shared" si="288"/>
        <v>0</v>
      </c>
      <c r="AJ2067" s="2">
        <f t="shared" si="289"/>
        <v>0</v>
      </c>
      <c r="AK2067" s="2">
        <f t="shared" ref="AK2067:AK2130" si="292">T2067-W2067</f>
        <v>85.5</v>
      </c>
      <c r="AL2067" s="5">
        <f t="shared" si="291"/>
        <v>1</v>
      </c>
    </row>
    <row r="2068" spans="1:38" x14ac:dyDescent="0.2">
      <c r="A2068" s="2">
        <v>2025</v>
      </c>
      <c r="B2068" s="2">
        <v>11</v>
      </c>
      <c r="D2068" s="2" t="s">
        <v>1476</v>
      </c>
      <c r="E2068" s="2" t="s">
        <v>752</v>
      </c>
      <c r="F2068" s="2" t="s">
        <v>1477</v>
      </c>
      <c r="G2068" s="2">
        <v>506123758</v>
      </c>
      <c r="H2068" s="2" t="s">
        <v>109</v>
      </c>
      <c r="I2068" s="2" t="s">
        <v>1478</v>
      </c>
      <c r="J2068" s="2" t="s">
        <v>1479</v>
      </c>
      <c r="K2068" s="2">
        <v>936406952</v>
      </c>
      <c r="L2068" s="2" t="s">
        <v>461</v>
      </c>
      <c r="M2068" s="2" t="s">
        <v>40</v>
      </c>
      <c r="O2068" s="2" t="s">
        <v>1976</v>
      </c>
      <c r="P2068" s="2" t="s">
        <v>187</v>
      </c>
      <c r="Q2068" s="2" t="s">
        <v>188</v>
      </c>
      <c r="R2068" s="2" t="s">
        <v>189</v>
      </c>
      <c r="S2068" s="2">
        <v>1</v>
      </c>
      <c r="T2068" s="2">
        <v>186</v>
      </c>
      <c r="U2068" s="2">
        <v>42.78</v>
      </c>
      <c r="V2068" s="2">
        <v>228.78</v>
      </c>
      <c r="W2068" s="2">
        <f>T2068*40%</f>
        <v>74.400000000000006</v>
      </c>
      <c r="X2068" s="5">
        <f t="shared" si="290"/>
        <v>0.6</v>
      </c>
      <c r="Z2068" s="2" t="s">
        <v>117</v>
      </c>
      <c r="AA2068" s="2" t="s">
        <v>190</v>
      </c>
      <c r="AB2068" s="2" t="s">
        <v>189</v>
      </c>
      <c r="AC2068" s="2" t="s">
        <v>40</v>
      </c>
      <c r="AF2068" s="2">
        <f t="shared" si="288"/>
        <v>0</v>
      </c>
      <c r="AJ2068" s="2">
        <f t="shared" si="289"/>
        <v>0</v>
      </c>
      <c r="AK2068" s="2">
        <f t="shared" si="292"/>
        <v>111.6</v>
      </c>
      <c r="AL2068" s="5">
        <f t="shared" si="291"/>
        <v>0.6</v>
      </c>
    </row>
    <row r="2069" spans="1:38" x14ac:dyDescent="0.2">
      <c r="A2069" s="2">
        <v>2025</v>
      </c>
      <c r="B2069" s="2">
        <v>11</v>
      </c>
      <c r="D2069" s="2" t="s">
        <v>1476</v>
      </c>
      <c r="E2069" s="2" t="s">
        <v>752</v>
      </c>
      <c r="F2069" s="2" t="s">
        <v>1477</v>
      </c>
      <c r="G2069" s="2">
        <v>506123758</v>
      </c>
      <c r="H2069" s="2" t="s">
        <v>109</v>
      </c>
      <c r="I2069" s="2" t="s">
        <v>1478</v>
      </c>
      <c r="J2069" s="2" t="s">
        <v>1479</v>
      </c>
      <c r="K2069" s="2">
        <v>936406952</v>
      </c>
      <c r="L2069" s="2" t="s">
        <v>461</v>
      </c>
      <c r="M2069" s="2" t="s">
        <v>40</v>
      </c>
      <c r="O2069" s="2" t="s">
        <v>1976</v>
      </c>
      <c r="P2069" s="2" t="s">
        <v>187</v>
      </c>
      <c r="Q2069" s="2" t="s">
        <v>191</v>
      </c>
      <c r="R2069" s="2" t="s">
        <v>190</v>
      </c>
      <c r="S2069" s="2">
        <v>1</v>
      </c>
      <c r="T2069" s="2">
        <v>50</v>
      </c>
      <c r="U2069" s="2">
        <v>11.5</v>
      </c>
      <c r="V2069" s="2">
        <v>61.5</v>
      </c>
      <c r="W2069" s="2">
        <f>T2069*50%</f>
        <v>25</v>
      </c>
      <c r="X2069" s="5">
        <f t="shared" si="290"/>
        <v>0.5</v>
      </c>
      <c r="Z2069" s="2" t="s">
        <v>117</v>
      </c>
      <c r="AA2069" s="2" t="s">
        <v>190</v>
      </c>
      <c r="AB2069" s="2" t="s">
        <v>190</v>
      </c>
      <c r="AC2069" s="2" t="s">
        <v>40</v>
      </c>
      <c r="AF2069" s="2">
        <f t="shared" si="288"/>
        <v>0</v>
      </c>
      <c r="AJ2069" s="2">
        <f t="shared" si="289"/>
        <v>0</v>
      </c>
      <c r="AK2069" s="2">
        <f t="shared" si="292"/>
        <v>25</v>
      </c>
      <c r="AL2069" s="5">
        <f t="shared" si="291"/>
        <v>0.5</v>
      </c>
    </row>
    <row r="2070" spans="1:38" x14ac:dyDescent="0.2">
      <c r="A2070" s="2">
        <v>2025</v>
      </c>
      <c r="B2070" s="2">
        <v>11</v>
      </c>
      <c r="D2070" s="2" t="s">
        <v>1977</v>
      </c>
      <c r="P2070" s="2" t="s">
        <v>282</v>
      </c>
      <c r="Q2070" s="2" t="s">
        <v>528</v>
      </c>
      <c r="R2070" s="2" t="s">
        <v>529</v>
      </c>
      <c r="S2070" s="2">
        <v>1</v>
      </c>
      <c r="T2070" s="2">
        <v>399</v>
      </c>
      <c r="U2070" s="2">
        <v>91.77000000000001</v>
      </c>
      <c r="V2070" s="2">
        <v>490.77</v>
      </c>
      <c r="W2070" s="2">
        <v>299.25</v>
      </c>
      <c r="X2070" s="5">
        <f t="shared" si="290"/>
        <v>0.25</v>
      </c>
      <c r="Z2070" s="2" t="s">
        <v>3227</v>
      </c>
      <c r="AA2070" s="2" t="s">
        <v>71</v>
      </c>
      <c r="AB2070" s="2" t="s">
        <v>119</v>
      </c>
      <c r="AC2070" s="2" t="s">
        <v>119</v>
      </c>
      <c r="AF2070" s="2">
        <f t="shared" si="288"/>
        <v>0</v>
      </c>
      <c r="AJ2070" s="2">
        <f t="shared" si="289"/>
        <v>0</v>
      </c>
      <c r="AK2070" s="2">
        <f t="shared" si="292"/>
        <v>99.75</v>
      </c>
      <c r="AL2070" s="5">
        <f t="shared" si="291"/>
        <v>0.25</v>
      </c>
    </row>
    <row r="2071" spans="1:38" x14ac:dyDescent="0.2">
      <c r="A2071" s="2">
        <v>2025</v>
      </c>
      <c r="B2071" s="2">
        <v>11</v>
      </c>
      <c r="D2071" s="2" t="s">
        <v>1977</v>
      </c>
      <c r="P2071" s="2" t="s">
        <v>43</v>
      </c>
      <c r="Q2071" s="2" t="s">
        <v>48</v>
      </c>
      <c r="R2071" s="2" t="s">
        <v>49</v>
      </c>
      <c r="S2071" s="2">
        <v>10</v>
      </c>
      <c r="T2071" s="2">
        <v>110</v>
      </c>
      <c r="U2071" s="2">
        <v>25.3</v>
      </c>
      <c r="V2071" s="2">
        <v>135.30000000000001</v>
      </c>
      <c r="W2071" s="2">
        <f>6.6267*S2071</f>
        <v>66.266999999999996</v>
      </c>
      <c r="X2071" s="5">
        <f t="shared" si="290"/>
        <v>0.3975727272727273</v>
      </c>
      <c r="Z2071" s="2" t="s">
        <v>3227</v>
      </c>
      <c r="AA2071" s="2" t="s">
        <v>46</v>
      </c>
      <c r="AB2071" s="2" t="s">
        <v>47</v>
      </c>
      <c r="AC2071" s="2" t="s">
        <v>57</v>
      </c>
      <c r="AF2071" s="2">
        <f t="shared" si="288"/>
        <v>0</v>
      </c>
      <c r="AG2071" s="2">
        <v>6.6266999999999996</v>
      </c>
      <c r="AH2071" s="2">
        <v>12</v>
      </c>
      <c r="AJ2071" s="2">
        <f t="shared" si="289"/>
        <v>0</v>
      </c>
      <c r="AK2071" s="2">
        <f t="shared" si="292"/>
        <v>43.733000000000004</v>
      </c>
      <c r="AL2071" s="5">
        <f t="shared" si="291"/>
        <v>0.3975727272727273</v>
      </c>
    </row>
    <row r="2072" spans="1:38" x14ac:dyDescent="0.2">
      <c r="A2072" s="2">
        <v>2025</v>
      </c>
      <c r="B2072" s="2">
        <v>11</v>
      </c>
      <c r="D2072" s="2" t="s">
        <v>693</v>
      </c>
      <c r="E2072" s="2" t="s">
        <v>38</v>
      </c>
      <c r="F2072" s="2" t="s">
        <v>39</v>
      </c>
      <c r="G2072" s="2">
        <v>508574358</v>
      </c>
      <c r="H2072" s="2" t="s">
        <v>41</v>
      </c>
      <c r="I2072" s="2" t="s">
        <v>694</v>
      </c>
      <c r="J2072" s="2" t="s">
        <v>695</v>
      </c>
      <c r="K2072" s="2">
        <v>917295518</v>
      </c>
      <c r="L2072" s="2" t="s">
        <v>177</v>
      </c>
      <c r="M2072" s="2" t="s">
        <v>41</v>
      </c>
      <c r="P2072" s="2" t="s">
        <v>43</v>
      </c>
      <c r="Q2072" s="2" t="s">
        <v>54</v>
      </c>
      <c r="R2072" s="2" t="s">
        <v>55</v>
      </c>
      <c r="S2072" s="2">
        <v>3</v>
      </c>
      <c r="T2072" s="2">
        <v>54</v>
      </c>
      <c r="U2072" s="2">
        <v>12.42</v>
      </c>
      <c r="V2072" s="2">
        <v>66.42</v>
      </c>
      <c r="W2072" s="2">
        <f>10.6*S2072</f>
        <v>31.799999999999997</v>
      </c>
      <c r="X2072" s="5">
        <f t="shared" si="290"/>
        <v>0.41111111111111115</v>
      </c>
      <c r="Z2072" s="2" t="s">
        <v>3227</v>
      </c>
      <c r="AA2072" s="2" t="s">
        <v>46</v>
      </c>
      <c r="AB2072" s="2" t="s">
        <v>56</v>
      </c>
      <c r="AC2072" s="2" t="s">
        <v>57</v>
      </c>
      <c r="AF2072" s="2">
        <f t="shared" si="288"/>
        <v>0</v>
      </c>
      <c r="AG2072" s="2">
        <v>10.6</v>
      </c>
      <c r="AH2072" s="2">
        <v>18</v>
      </c>
      <c r="AJ2072" s="2">
        <f t="shared" si="289"/>
        <v>0</v>
      </c>
      <c r="AK2072" s="2">
        <f t="shared" si="292"/>
        <v>22.200000000000003</v>
      </c>
      <c r="AL2072" s="5">
        <f t="shared" si="291"/>
        <v>0.41111111111111115</v>
      </c>
    </row>
    <row r="2073" spans="1:38" x14ac:dyDescent="0.2">
      <c r="A2073" s="2">
        <v>2025</v>
      </c>
      <c r="B2073" s="2">
        <v>11</v>
      </c>
      <c r="D2073" s="2" t="s">
        <v>693</v>
      </c>
      <c r="E2073" s="2" t="s">
        <v>38</v>
      </c>
      <c r="F2073" s="2" t="s">
        <v>39</v>
      </c>
      <c r="G2073" s="2">
        <v>508574358</v>
      </c>
      <c r="H2073" s="2" t="s">
        <v>41</v>
      </c>
      <c r="I2073" s="2" t="s">
        <v>694</v>
      </c>
      <c r="J2073" s="2" t="s">
        <v>695</v>
      </c>
      <c r="K2073" s="2">
        <v>917295518</v>
      </c>
      <c r="L2073" s="2" t="s">
        <v>177</v>
      </c>
      <c r="M2073" s="2" t="s">
        <v>41</v>
      </c>
      <c r="P2073" s="2" t="s">
        <v>43</v>
      </c>
      <c r="Q2073" s="2" t="s">
        <v>61</v>
      </c>
      <c r="R2073" s="2" t="s">
        <v>62</v>
      </c>
      <c r="S2073" s="2">
        <v>200</v>
      </c>
      <c r="T2073" s="2">
        <v>26</v>
      </c>
      <c r="U2073" s="2">
        <v>5.98</v>
      </c>
      <c r="V2073" s="2">
        <v>31.98</v>
      </c>
      <c r="W2073" s="2">
        <f>0.082*S2073</f>
        <v>16.400000000000002</v>
      </c>
      <c r="X2073" s="5">
        <f t="shared" si="290"/>
        <v>0.36923076923076914</v>
      </c>
      <c r="Z2073" s="2" t="s">
        <v>3227</v>
      </c>
      <c r="AA2073" s="2" t="s">
        <v>46</v>
      </c>
      <c r="AB2073" s="2" t="s">
        <v>60</v>
      </c>
      <c r="AC2073" s="2" t="s">
        <v>57</v>
      </c>
      <c r="AF2073" s="2">
        <f t="shared" si="288"/>
        <v>0</v>
      </c>
      <c r="AG2073" s="2">
        <v>8.1999999999999993</v>
      </c>
      <c r="AH2073" s="2">
        <v>13</v>
      </c>
      <c r="AJ2073" s="2">
        <f t="shared" si="289"/>
        <v>0</v>
      </c>
      <c r="AK2073" s="2">
        <f t="shared" si="292"/>
        <v>9.5999999999999979</v>
      </c>
      <c r="AL2073" s="5">
        <f t="shared" si="291"/>
        <v>0.36923076923076914</v>
      </c>
    </row>
    <row r="2074" spans="1:38" x14ac:dyDescent="0.2">
      <c r="A2074" s="2">
        <v>2025</v>
      </c>
      <c r="B2074" s="2">
        <v>11</v>
      </c>
      <c r="D2074" s="2" t="s">
        <v>693</v>
      </c>
      <c r="E2074" s="2" t="s">
        <v>38</v>
      </c>
      <c r="F2074" s="2" t="s">
        <v>39</v>
      </c>
      <c r="G2074" s="2">
        <v>508574358</v>
      </c>
      <c r="H2074" s="2" t="s">
        <v>41</v>
      </c>
      <c r="I2074" s="2" t="s">
        <v>694</v>
      </c>
      <c r="J2074" s="2" t="s">
        <v>695</v>
      </c>
      <c r="K2074" s="2">
        <v>917295518</v>
      </c>
      <c r="L2074" s="2" t="s">
        <v>177</v>
      </c>
      <c r="M2074" s="2" t="s">
        <v>41</v>
      </c>
      <c r="P2074" s="2" t="s">
        <v>43</v>
      </c>
      <c r="Q2074" s="2" t="s">
        <v>164</v>
      </c>
      <c r="R2074" s="2" t="s">
        <v>165</v>
      </c>
      <c r="S2074" s="2">
        <v>1</v>
      </c>
      <c r="T2074" s="2">
        <v>14.5</v>
      </c>
      <c r="U2074" s="2">
        <v>3.335</v>
      </c>
      <c r="V2074" s="2">
        <v>17.835000000000001</v>
      </c>
      <c r="W2074" s="2">
        <f>7.9612*S2074</f>
        <v>7.9611999999999998</v>
      </c>
      <c r="X2074" s="5">
        <f t="shared" si="290"/>
        <v>0.45095172413793105</v>
      </c>
      <c r="Z2074" s="2" t="s">
        <v>3227</v>
      </c>
      <c r="AA2074" s="2" t="s">
        <v>46</v>
      </c>
      <c r="AB2074" s="2" t="s">
        <v>67</v>
      </c>
      <c r="AC2074" s="2" t="s">
        <v>57</v>
      </c>
      <c r="AF2074" s="2">
        <f t="shared" si="288"/>
        <v>0</v>
      </c>
      <c r="AG2074" s="2">
        <v>7.9611999999999998</v>
      </c>
      <c r="AH2074" s="2">
        <v>14.4</v>
      </c>
      <c r="AJ2074" s="2">
        <f t="shared" si="289"/>
        <v>0</v>
      </c>
      <c r="AK2074" s="2">
        <f t="shared" si="292"/>
        <v>6.5388000000000002</v>
      </c>
      <c r="AL2074" s="5">
        <f t="shared" si="291"/>
        <v>0.45095172413793105</v>
      </c>
    </row>
    <row r="2075" spans="1:38" x14ac:dyDescent="0.2">
      <c r="A2075" s="2">
        <v>2025</v>
      </c>
      <c r="B2075" s="2">
        <v>11</v>
      </c>
      <c r="D2075" s="2" t="s">
        <v>1178</v>
      </c>
      <c r="E2075" s="2" t="s">
        <v>38</v>
      </c>
      <c r="F2075" s="2" t="s">
        <v>39</v>
      </c>
      <c r="G2075" s="2">
        <v>502089075</v>
      </c>
      <c r="H2075" s="2" t="s">
        <v>41</v>
      </c>
      <c r="I2075" s="2" t="s">
        <v>1179</v>
      </c>
      <c r="J2075" s="2" t="s">
        <v>1180</v>
      </c>
      <c r="L2075" s="2" t="s">
        <v>461</v>
      </c>
      <c r="M2075" s="2" t="s">
        <v>41</v>
      </c>
      <c r="O2075" s="2" t="s">
        <v>1978</v>
      </c>
      <c r="P2075" s="2" t="s">
        <v>43</v>
      </c>
      <c r="Q2075" s="2" t="s">
        <v>234</v>
      </c>
      <c r="R2075" s="2" t="s">
        <v>235</v>
      </c>
      <c r="S2075" s="2">
        <v>2</v>
      </c>
      <c r="T2075" s="2">
        <v>26.4</v>
      </c>
      <c r="U2075" s="2">
        <v>6.0720000000000001</v>
      </c>
      <c r="V2075" s="2">
        <v>32.472000000000001</v>
      </c>
      <c r="W2075" s="2">
        <f>7.2217*S2075</f>
        <v>14.4434</v>
      </c>
      <c r="X2075" s="5">
        <f t="shared" si="290"/>
        <v>0.45290151515151511</v>
      </c>
      <c r="Z2075" s="2" t="s">
        <v>3227</v>
      </c>
      <c r="AA2075" s="2" t="s">
        <v>46</v>
      </c>
      <c r="AB2075" s="2" t="s">
        <v>56</v>
      </c>
      <c r="AC2075" s="2" t="s">
        <v>57</v>
      </c>
      <c r="AF2075" s="2">
        <f t="shared" si="288"/>
        <v>0</v>
      </c>
      <c r="AG2075" s="2">
        <v>7.2217000000000002</v>
      </c>
      <c r="AH2075" s="2">
        <v>14.4</v>
      </c>
      <c r="AJ2075" s="2">
        <f t="shared" si="289"/>
        <v>0</v>
      </c>
      <c r="AK2075" s="2">
        <f t="shared" si="292"/>
        <v>11.956599999999998</v>
      </c>
      <c r="AL2075" s="5">
        <f t="shared" si="291"/>
        <v>0.45290151515151511</v>
      </c>
    </row>
    <row r="2076" spans="1:38" x14ac:dyDescent="0.2">
      <c r="A2076" s="2">
        <v>2025</v>
      </c>
      <c r="B2076" s="2">
        <v>11</v>
      </c>
      <c r="D2076" s="2" t="s">
        <v>1178</v>
      </c>
      <c r="E2076" s="2" t="s">
        <v>38</v>
      </c>
      <c r="F2076" s="2" t="s">
        <v>39</v>
      </c>
      <c r="G2076" s="2">
        <v>502089075</v>
      </c>
      <c r="H2076" s="2" t="s">
        <v>41</v>
      </c>
      <c r="I2076" s="2" t="s">
        <v>1179</v>
      </c>
      <c r="J2076" s="2" t="s">
        <v>1180</v>
      </c>
      <c r="L2076" s="2" t="s">
        <v>461</v>
      </c>
      <c r="M2076" s="2" t="s">
        <v>41</v>
      </c>
      <c r="O2076" s="2" t="s">
        <v>1978</v>
      </c>
      <c r="P2076" s="2" t="s">
        <v>43</v>
      </c>
      <c r="Q2076" s="2" t="s">
        <v>236</v>
      </c>
      <c r="R2076" s="2" t="s">
        <v>237</v>
      </c>
      <c r="S2076" s="2">
        <v>2</v>
      </c>
      <c r="T2076" s="2">
        <v>32.4</v>
      </c>
      <c r="U2076" s="2">
        <v>7.452</v>
      </c>
      <c r="V2076" s="2">
        <v>39.851999999999997</v>
      </c>
      <c r="W2076" s="2">
        <f>9.075*S2076</f>
        <v>18.149999999999999</v>
      </c>
      <c r="X2076" s="5">
        <f t="shared" si="290"/>
        <v>0.43981481481481483</v>
      </c>
      <c r="Z2076" s="2" t="s">
        <v>3227</v>
      </c>
      <c r="AA2076" s="2" t="s">
        <v>46</v>
      </c>
      <c r="AB2076" s="2" t="s">
        <v>56</v>
      </c>
      <c r="AC2076" s="2" t="s">
        <v>57</v>
      </c>
      <c r="AF2076" s="2">
        <f t="shared" si="288"/>
        <v>0</v>
      </c>
      <c r="AJ2076" s="2">
        <f t="shared" si="289"/>
        <v>0</v>
      </c>
      <c r="AK2076" s="2">
        <f t="shared" si="292"/>
        <v>14.25</v>
      </c>
      <c r="AL2076" s="5">
        <f t="shared" si="291"/>
        <v>0.43981481481481483</v>
      </c>
    </row>
    <row r="2077" spans="1:38" x14ac:dyDescent="0.2">
      <c r="A2077" s="2">
        <v>2025</v>
      </c>
      <c r="B2077" s="2">
        <v>11</v>
      </c>
      <c r="D2077" s="2" t="s">
        <v>1178</v>
      </c>
      <c r="E2077" s="2" t="s">
        <v>38</v>
      </c>
      <c r="F2077" s="2" t="s">
        <v>39</v>
      </c>
      <c r="G2077" s="2">
        <v>502089075</v>
      </c>
      <c r="H2077" s="2" t="s">
        <v>41</v>
      </c>
      <c r="I2077" s="2" t="s">
        <v>1179</v>
      </c>
      <c r="J2077" s="2" t="s">
        <v>1180</v>
      </c>
      <c r="L2077" s="2" t="s">
        <v>461</v>
      </c>
      <c r="M2077" s="2" t="s">
        <v>41</v>
      </c>
      <c r="O2077" s="2" t="s">
        <v>1978</v>
      </c>
      <c r="P2077" s="2" t="s">
        <v>43</v>
      </c>
      <c r="Q2077" s="2" t="s">
        <v>238</v>
      </c>
      <c r="R2077" s="2" t="s">
        <v>239</v>
      </c>
      <c r="S2077" s="2">
        <v>2</v>
      </c>
      <c r="T2077" s="2">
        <v>39.6</v>
      </c>
      <c r="U2077" s="2">
        <v>9.1080000000000005</v>
      </c>
      <c r="V2077" s="2">
        <v>48.707999999999998</v>
      </c>
      <c r="W2077" s="2">
        <f>11.045*S2077</f>
        <v>22.09</v>
      </c>
      <c r="X2077" s="5">
        <f t="shared" si="290"/>
        <v>0.44217171717171722</v>
      </c>
      <c r="Z2077" s="2" t="s">
        <v>3227</v>
      </c>
      <c r="AA2077" s="2" t="s">
        <v>46</v>
      </c>
      <c r="AB2077" s="2" t="s">
        <v>56</v>
      </c>
      <c r="AC2077" s="2" t="s">
        <v>57</v>
      </c>
      <c r="AF2077" s="2">
        <f t="shared" si="288"/>
        <v>0</v>
      </c>
      <c r="AJ2077" s="2">
        <f t="shared" si="289"/>
        <v>0</v>
      </c>
      <c r="AK2077" s="2">
        <f t="shared" si="292"/>
        <v>17.510000000000002</v>
      </c>
      <c r="AL2077" s="5">
        <f t="shared" si="291"/>
        <v>0.44217171717171722</v>
      </c>
    </row>
    <row r="2078" spans="1:38" x14ac:dyDescent="0.2">
      <c r="A2078" s="2">
        <v>2025</v>
      </c>
      <c r="B2078" s="2">
        <v>11</v>
      </c>
      <c r="D2078" s="2" t="s">
        <v>1489</v>
      </c>
      <c r="P2078" s="2" t="s">
        <v>114</v>
      </c>
      <c r="Q2078" s="2" t="s">
        <v>1979</v>
      </c>
      <c r="R2078" s="2" t="s">
        <v>1980</v>
      </c>
      <c r="S2078" s="2">
        <v>1</v>
      </c>
      <c r="T2078" s="2">
        <v>110.63</v>
      </c>
      <c r="U2078" s="2">
        <v>25.444900000000001</v>
      </c>
      <c r="V2078" s="2">
        <v>136.07490000000001</v>
      </c>
      <c r="X2078" s="5">
        <f t="shared" si="290"/>
        <v>1</v>
      </c>
      <c r="Z2078" s="2" t="s">
        <v>117</v>
      </c>
      <c r="AF2078" s="2">
        <f t="shared" si="288"/>
        <v>0</v>
      </c>
      <c r="AJ2078" s="2">
        <f t="shared" si="289"/>
        <v>0</v>
      </c>
      <c r="AK2078" s="2">
        <f t="shared" si="292"/>
        <v>110.63</v>
      </c>
      <c r="AL2078" s="5">
        <f t="shared" si="291"/>
        <v>1</v>
      </c>
    </row>
    <row r="2079" spans="1:38" x14ac:dyDescent="0.2">
      <c r="A2079" s="2">
        <v>2025</v>
      </c>
      <c r="B2079" s="2">
        <v>11</v>
      </c>
      <c r="C2079" s="2" t="s">
        <v>3413</v>
      </c>
      <c r="D2079" s="2" t="s">
        <v>3487</v>
      </c>
      <c r="E2079" s="2" t="s">
        <v>108</v>
      </c>
      <c r="F2079" s="2" t="s">
        <v>39</v>
      </c>
      <c r="L2079" s="2" t="s">
        <v>99</v>
      </c>
      <c r="M2079" s="2" t="s">
        <v>41</v>
      </c>
      <c r="P2079" s="2" t="s">
        <v>114</v>
      </c>
      <c r="Q2079" s="2" t="s">
        <v>1885</v>
      </c>
      <c r="R2079" s="2" t="s">
        <v>1886</v>
      </c>
      <c r="S2079" s="2">
        <v>1</v>
      </c>
      <c r="T2079" s="2">
        <v>6680</v>
      </c>
      <c r="U2079" s="2">
        <v>1536.4</v>
      </c>
      <c r="V2079" s="2">
        <v>8216.4</v>
      </c>
      <c r="W2079" s="2">
        <f>3197.37+113.01</f>
        <v>3310.38</v>
      </c>
      <c r="X2079" s="5">
        <f t="shared" si="290"/>
        <v>0.50443413173652696</v>
      </c>
      <c r="Z2079" s="2" t="s">
        <v>104</v>
      </c>
      <c r="AA2079" s="2" t="s">
        <v>3486</v>
      </c>
      <c r="AB2079" s="2" t="s">
        <v>151</v>
      </c>
      <c r="AC2079" s="2" t="s">
        <v>114</v>
      </c>
      <c r="AF2079" s="2">
        <f t="shared" si="288"/>
        <v>0</v>
      </c>
      <c r="AJ2079" s="2">
        <f t="shared" si="289"/>
        <v>0</v>
      </c>
      <c r="AK2079" s="2">
        <f t="shared" si="292"/>
        <v>3369.62</v>
      </c>
      <c r="AL2079" s="5">
        <f t="shared" si="291"/>
        <v>0.50443413173652696</v>
      </c>
    </row>
    <row r="2080" spans="1:38" x14ac:dyDescent="0.2">
      <c r="A2080" s="2">
        <v>2025</v>
      </c>
      <c r="B2080" s="2">
        <v>11</v>
      </c>
      <c r="C2080" s="2" t="s">
        <v>3394</v>
      </c>
      <c r="D2080" s="2" t="s">
        <v>3487</v>
      </c>
      <c r="E2080" s="2" t="s">
        <v>108</v>
      </c>
      <c r="F2080" s="2" t="s">
        <v>39</v>
      </c>
      <c r="L2080" s="2" t="s">
        <v>99</v>
      </c>
      <c r="M2080" s="2" t="s">
        <v>41</v>
      </c>
      <c r="P2080" s="2" t="s">
        <v>114</v>
      </c>
      <c r="Q2080" s="2" t="s">
        <v>1578</v>
      </c>
      <c r="R2080" s="2" t="s">
        <v>1579</v>
      </c>
      <c r="S2080" s="2">
        <v>1</v>
      </c>
      <c r="T2080" s="2">
        <v>8200</v>
      </c>
      <c r="U2080" s="2">
        <v>1886</v>
      </c>
      <c r="V2080" s="2">
        <v>10086</v>
      </c>
      <c r="W2080" s="2">
        <f>4893.23+171</f>
        <v>5064.2299999999996</v>
      </c>
      <c r="X2080" s="5">
        <f t="shared" si="290"/>
        <v>0.38241097560975618</v>
      </c>
      <c r="Z2080" s="2" t="s">
        <v>104</v>
      </c>
      <c r="AA2080" s="2" t="s">
        <v>3486</v>
      </c>
      <c r="AB2080" s="2" t="s">
        <v>151</v>
      </c>
      <c r="AC2080" s="2" t="s">
        <v>114</v>
      </c>
      <c r="AF2080" s="2">
        <f t="shared" si="288"/>
        <v>0</v>
      </c>
      <c r="AJ2080" s="2">
        <f t="shared" si="289"/>
        <v>0</v>
      </c>
      <c r="AK2080" s="2">
        <f t="shared" si="292"/>
        <v>3135.7700000000004</v>
      </c>
      <c r="AL2080" s="5">
        <f t="shared" si="291"/>
        <v>0.38241097560975618</v>
      </c>
    </row>
    <row r="2081" spans="1:38" x14ac:dyDescent="0.2">
      <c r="A2081" s="2">
        <v>2025</v>
      </c>
      <c r="B2081" s="2">
        <v>11</v>
      </c>
      <c r="D2081" s="2" t="s">
        <v>1981</v>
      </c>
      <c r="E2081" s="2" t="s">
        <v>38</v>
      </c>
      <c r="F2081" s="2" t="s">
        <v>470</v>
      </c>
      <c r="G2081" s="2">
        <v>505175118</v>
      </c>
      <c r="H2081" s="2" t="s">
        <v>109</v>
      </c>
      <c r="I2081" s="2" t="s">
        <v>110</v>
      </c>
      <c r="J2081" s="2" t="s">
        <v>1982</v>
      </c>
      <c r="K2081" s="2">
        <v>924064533</v>
      </c>
      <c r="L2081" s="2" t="s">
        <v>112</v>
      </c>
      <c r="M2081" s="2" t="s">
        <v>80</v>
      </c>
      <c r="O2081" s="2" t="s">
        <v>1983</v>
      </c>
      <c r="P2081" s="2" t="s">
        <v>43</v>
      </c>
      <c r="Q2081" s="2" t="s">
        <v>669</v>
      </c>
      <c r="R2081" s="2" t="s">
        <v>670</v>
      </c>
      <c r="S2081" s="2">
        <v>1</v>
      </c>
      <c r="T2081" s="2">
        <v>60</v>
      </c>
      <c r="U2081" s="2">
        <v>13.8</v>
      </c>
      <c r="V2081" s="2">
        <v>73.8</v>
      </c>
      <c r="W2081" s="2">
        <v>29.27</v>
      </c>
      <c r="X2081" s="5">
        <f t="shared" si="290"/>
        <v>0.51216666666666666</v>
      </c>
      <c r="Z2081" s="2" t="s">
        <v>3227</v>
      </c>
      <c r="AA2081" s="2" t="s">
        <v>46</v>
      </c>
      <c r="AB2081" s="2" t="s">
        <v>56</v>
      </c>
      <c r="AC2081" s="2" t="s">
        <v>57</v>
      </c>
      <c r="AF2081" s="2">
        <f t="shared" si="288"/>
        <v>0</v>
      </c>
      <c r="AG2081" s="2">
        <v>29.27</v>
      </c>
      <c r="AH2081" s="2">
        <v>60</v>
      </c>
      <c r="AJ2081" s="2">
        <f t="shared" si="289"/>
        <v>0</v>
      </c>
      <c r="AK2081" s="2">
        <f t="shared" si="292"/>
        <v>30.73</v>
      </c>
      <c r="AL2081" s="5">
        <f t="shared" si="291"/>
        <v>0.51216666666666666</v>
      </c>
    </row>
    <row r="2082" spans="1:38" x14ac:dyDescent="0.2">
      <c r="A2082" s="2">
        <v>2025</v>
      </c>
      <c r="B2082" s="2">
        <v>11</v>
      </c>
      <c r="D2082" s="2" t="s">
        <v>1981</v>
      </c>
      <c r="M2082" s="2" t="s">
        <v>80</v>
      </c>
      <c r="P2082" s="2" t="s">
        <v>1038</v>
      </c>
      <c r="Q2082" s="2" t="s">
        <v>1984</v>
      </c>
      <c r="R2082" s="2" t="s">
        <v>1985</v>
      </c>
      <c r="S2082" s="2">
        <v>4</v>
      </c>
      <c r="T2082" s="2">
        <v>1560</v>
      </c>
      <c r="U2082" s="2">
        <v>358.8</v>
      </c>
      <c r="V2082" s="2">
        <v>1918.8</v>
      </c>
      <c r="W2082" s="2">
        <f>225.25*S2082</f>
        <v>901</v>
      </c>
      <c r="X2082" s="5">
        <f t="shared" si="290"/>
        <v>0.42243589743589743</v>
      </c>
      <c r="Z2082" s="2" t="s">
        <v>3227</v>
      </c>
      <c r="AA2082" s="2" t="s">
        <v>3383</v>
      </c>
      <c r="AB2082" s="2" t="s">
        <v>1986</v>
      </c>
      <c r="AC2082" s="2" t="s">
        <v>1038</v>
      </c>
      <c r="AF2082" s="2">
        <f t="shared" si="288"/>
        <v>0</v>
      </c>
      <c r="AJ2082" s="2">
        <f t="shared" si="289"/>
        <v>0</v>
      </c>
      <c r="AK2082" s="2">
        <f t="shared" si="292"/>
        <v>659</v>
      </c>
      <c r="AL2082" s="5">
        <f t="shared" si="291"/>
        <v>0.42243589743589743</v>
      </c>
    </row>
    <row r="2083" spans="1:38" x14ac:dyDescent="0.2">
      <c r="A2083" s="2">
        <v>2025</v>
      </c>
      <c r="B2083" s="2">
        <v>11</v>
      </c>
      <c r="D2083" s="2" t="s">
        <v>960</v>
      </c>
      <c r="E2083" s="2" t="s">
        <v>38</v>
      </c>
      <c r="G2083" s="2">
        <v>502714913</v>
      </c>
      <c r="H2083" s="2" t="s">
        <v>40</v>
      </c>
      <c r="I2083" s="2" t="s">
        <v>371</v>
      </c>
      <c r="J2083" s="2" t="s">
        <v>1987</v>
      </c>
      <c r="L2083" s="2" t="s">
        <v>177</v>
      </c>
      <c r="M2083" s="2" t="s">
        <v>80</v>
      </c>
      <c r="P2083" s="2" t="s">
        <v>72</v>
      </c>
      <c r="Q2083" s="2" t="s">
        <v>73</v>
      </c>
      <c r="R2083" s="2" t="s">
        <v>74</v>
      </c>
      <c r="S2083" s="2">
        <v>2</v>
      </c>
      <c r="T2083" s="2">
        <v>450</v>
      </c>
      <c r="U2083" s="2">
        <v>103.5</v>
      </c>
      <c r="V2083" s="2">
        <v>553.5</v>
      </c>
      <c r="W2083" s="2">
        <v>234.90600000000001</v>
      </c>
      <c r="X2083" s="5">
        <f t="shared" si="290"/>
        <v>0.47798666666666667</v>
      </c>
      <c r="Z2083" s="2" t="s">
        <v>3227</v>
      </c>
      <c r="AA2083" s="2" t="s">
        <v>75</v>
      </c>
      <c r="AB2083" s="2" t="s">
        <v>76</v>
      </c>
      <c r="AC2083" s="2" t="s">
        <v>77</v>
      </c>
      <c r="AF2083" s="2">
        <f t="shared" si="288"/>
        <v>0</v>
      </c>
      <c r="AG2083" s="2">
        <v>117.453</v>
      </c>
      <c r="AH2083" s="2">
        <v>220</v>
      </c>
      <c r="AJ2083" s="2">
        <f t="shared" si="289"/>
        <v>0</v>
      </c>
      <c r="AK2083" s="2">
        <f t="shared" si="292"/>
        <v>215.09399999999999</v>
      </c>
      <c r="AL2083" s="5">
        <f t="shared" si="291"/>
        <v>0.47798666666666667</v>
      </c>
    </row>
    <row r="2084" spans="1:38" x14ac:dyDescent="0.2">
      <c r="A2084" s="2">
        <v>2025</v>
      </c>
      <c r="B2084" s="2">
        <v>11</v>
      </c>
      <c r="D2084" s="2" t="s">
        <v>960</v>
      </c>
      <c r="P2084" s="2" t="s">
        <v>93</v>
      </c>
      <c r="Q2084" s="2" t="s">
        <v>94</v>
      </c>
      <c r="R2084" s="2" t="s">
        <v>95</v>
      </c>
      <c r="S2084" s="2">
        <v>2</v>
      </c>
      <c r="T2084" s="2">
        <v>2.2799999999999998</v>
      </c>
      <c r="U2084" s="2">
        <v>0.52439999999999998</v>
      </c>
      <c r="V2084" s="2">
        <v>2.8043999999999998</v>
      </c>
      <c r="W2084" s="2">
        <v>2.2799999999999998</v>
      </c>
      <c r="X2084" s="5">
        <f t="shared" si="290"/>
        <v>0</v>
      </c>
      <c r="Z2084" s="2" t="s">
        <v>3227</v>
      </c>
      <c r="AA2084" s="2" t="s">
        <v>96</v>
      </c>
      <c r="AB2084" s="2" t="s">
        <v>76</v>
      </c>
      <c r="AC2084" s="2" t="s">
        <v>93</v>
      </c>
      <c r="AF2084" s="2">
        <f t="shared" si="288"/>
        <v>0</v>
      </c>
      <c r="AJ2084" s="2">
        <f t="shared" si="289"/>
        <v>0</v>
      </c>
      <c r="AK2084" s="2">
        <f t="shared" si="292"/>
        <v>0</v>
      </c>
      <c r="AL2084" s="5">
        <f t="shared" si="291"/>
        <v>0</v>
      </c>
    </row>
    <row r="2085" spans="1:38" x14ac:dyDescent="0.2">
      <c r="A2085" s="2">
        <v>2025</v>
      </c>
      <c r="B2085" s="2">
        <v>11</v>
      </c>
      <c r="D2085" s="2" t="s">
        <v>319</v>
      </c>
      <c r="E2085" s="2" t="s">
        <v>38</v>
      </c>
      <c r="F2085" s="2" t="s">
        <v>39</v>
      </c>
      <c r="G2085" s="2">
        <v>500883262</v>
      </c>
      <c r="H2085" s="2" t="s">
        <v>40</v>
      </c>
      <c r="I2085" s="2" t="s">
        <v>99</v>
      </c>
      <c r="J2085" s="2" t="s">
        <v>320</v>
      </c>
      <c r="L2085" s="2" t="s">
        <v>99</v>
      </c>
      <c r="M2085" s="2" t="s">
        <v>80</v>
      </c>
      <c r="O2085" s="2" t="s">
        <v>1988</v>
      </c>
      <c r="P2085" s="2" t="s">
        <v>43</v>
      </c>
      <c r="Q2085" s="2" t="s">
        <v>969</v>
      </c>
      <c r="R2085" s="2" t="s">
        <v>970</v>
      </c>
      <c r="S2085" s="2">
        <v>12</v>
      </c>
      <c r="T2085" s="2">
        <v>324</v>
      </c>
      <c r="U2085" s="2">
        <v>74.52000000000001</v>
      </c>
      <c r="V2085" s="2">
        <v>398.52</v>
      </c>
      <c r="W2085" s="2">
        <f>18.3719*S2085</f>
        <v>220.46280000000002</v>
      </c>
      <c r="X2085" s="5">
        <f t="shared" si="290"/>
        <v>0.31955925925925921</v>
      </c>
      <c r="Z2085" s="2" t="s">
        <v>3227</v>
      </c>
      <c r="AA2085" s="2" t="s">
        <v>46</v>
      </c>
      <c r="AB2085" s="2" t="s">
        <v>60</v>
      </c>
      <c r="AC2085" s="2" t="s">
        <v>57</v>
      </c>
      <c r="AF2085" s="2">
        <f t="shared" si="288"/>
        <v>0</v>
      </c>
      <c r="AJ2085" s="2">
        <f t="shared" si="289"/>
        <v>0</v>
      </c>
      <c r="AK2085" s="2">
        <f t="shared" si="292"/>
        <v>103.53719999999998</v>
      </c>
      <c r="AL2085" s="5">
        <f t="shared" si="291"/>
        <v>0.31955925925925921</v>
      </c>
    </row>
    <row r="2086" spans="1:38" x14ac:dyDescent="0.2">
      <c r="A2086" s="2">
        <v>2025</v>
      </c>
      <c r="B2086" s="2">
        <v>11</v>
      </c>
      <c r="D2086" s="2" t="s">
        <v>319</v>
      </c>
      <c r="E2086" s="2" t="s">
        <v>38</v>
      </c>
      <c r="F2086" s="2" t="s">
        <v>39</v>
      </c>
      <c r="G2086" s="2">
        <v>500883262</v>
      </c>
      <c r="H2086" s="2" t="s">
        <v>40</v>
      </c>
      <c r="I2086" s="2" t="s">
        <v>99</v>
      </c>
      <c r="J2086" s="2" t="s">
        <v>320</v>
      </c>
      <c r="L2086" s="2" t="s">
        <v>99</v>
      </c>
      <c r="M2086" s="2" t="s">
        <v>80</v>
      </c>
      <c r="O2086" s="2" t="s">
        <v>1988</v>
      </c>
      <c r="P2086" s="2" t="s">
        <v>43</v>
      </c>
      <c r="Q2086" s="2" t="s">
        <v>971</v>
      </c>
      <c r="R2086" s="2" t="s">
        <v>972</v>
      </c>
      <c r="S2086" s="2">
        <v>10</v>
      </c>
      <c r="T2086" s="2">
        <v>270</v>
      </c>
      <c r="U2086" s="2">
        <v>62.1</v>
      </c>
      <c r="V2086" s="2">
        <v>332.1</v>
      </c>
      <c r="W2086" s="2">
        <f>18.9342*S2086</f>
        <v>189.34200000000001</v>
      </c>
      <c r="X2086" s="5">
        <f t="shared" si="290"/>
        <v>0.2987333333333333</v>
      </c>
      <c r="Z2086" s="2" t="s">
        <v>3227</v>
      </c>
      <c r="AA2086" s="2" t="s">
        <v>46</v>
      </c>
      <c r="AB2086" s="2" t="s">
        <v>60</v>
      </c>
      <c r="AC2086" s="2" t="s">
        <v>57</v>
      </c>
      <c r="AF2086" s="2">
        <f t="shared" si="288"/>
        <v>0</v>
      </c>
      <c r="AJ2086" s="2">
        <f t="shared" si="289"/>
        <v>0</v>
      </c>
      <c r="AK2086" s="2">
        <f t="shared" si="292"/>
        <v>80.657999999999987</v>
      </c>
      <c r="AL2086" s="5">
        <f t="shared" ref="AL2086:AL2117" si="293">(T2086-W2086)/T2086</f>
        <v>0.2987333333333333</v>
      </c>
    </row>
    <row r="2087" spans="1:38" x14ac:dyDescent="0.2">
      <c r="A2087" s="2">
        <v>2025</v>
      </c>
      <c r="B2087" s="2">
        <v>11</v>
      </c>
      <c r="D2087" s="2" t="s">
        <v>319</v>
      </c>
      <c r="E2087" s="2" t="s">
        <v>38</v>
      </c>
      <c r="F2087" s="2" t="s">
        <v>39</v>
      </c>
      <c r="G2087" s="2">
        <v>500883262</v>
      </c>
      <c r="H2087" s="2" t="s">
        <v>40</v>
      </c>
      <c r="I2087" s="2" t="s">
        <v>99</v>
      </c>
      <c r="J2087" s="2" t="s">
        <v>320</v>
      </c>
      <c r="L2087" s="2" t="s">
        <v>99</v>
      </c>
      <c r="M2087" s="2" t="s">
        <v>80</v>
      </c>
      <c r="O2087" s="2" t="s">
        <v>1989</v>
      </c>
      <c r="P2087" s="2" t="s">
        <v>72</v>
      </c>
      <c r="Q2087" s="2" t="s">
        <v>1990</v>
      </c>
      <c r="R2087" s="2" t="s">
        <v>1416</v>
      </c>
      <c r="S2087" s="2">
        <v>1</v>
      </c>
      <c r="T2087" s="2">
        <v>235</v>
      </c>
      <c r="U2087" s="2">
        <v>54.05</v>
      </c>
      <c r="V2087" s="2">
        <v>289.05</v>
      </c>
      <c r="W2087" s="2">
        <v>203.29</v>
      </c>
      <c r="X2087" s="5">
        <f t="shared" ref="X2087:X2117" si="294">(T2087-W2087)/T2087</f>
        <v>0.13493617021276599</v>
      </c>
      <c r="Z2087" s="2" t="s">
        <v>3227</v>
      </c>
      <c r="AA2087" s="2" t="s">
        <v>75</v>
      </c>
      <c r="AB2087" s="2" t="s">
        <v>76</v>
      </c>
      <c r="AC2087" s="2" t="s">
        <v>77</v>
      </c>
      <c r="AF2087" s="2">
        <f t="shared" si="288"/>
        <v>0</v>
      </c>
      <c r="AJ2087" s="2">
        <f t="shared" si="289"/>
        <v>0</v>
      </c>
      <c r="AK2087" s="2">
        <f t="shared" si="292"/>
        <v>31.710000000000008</v>
      </c>
      <c r="AL2087" s="5">
        <f t="shared" si="293"/>
        <v>0.13493617021276599</v>
      </c>
    </row>
    <row r="2088" spans="1:38" x14ac:dyDescent="0.2">
      <c r="A2088" s="2">
        <v>2025</v>
      </c>
      <c r="B2088" s="2">
        <v>11</v>
      </c>
      <c r="D2088" s="2" t="s">
        <v>319</v>
      </c>
      <c r="E2088" s="2" t="s">
        <v>38</v>
      </c>
      <c r="F2088" s="2" t="s">
        <v>39</v>
      </c>
      <c r="G2088" s="2">
        <v>500883262</v>
      </c>
      <c r="H2088" s="2" t="s">
        <v>40</v>
      </c>
      <c r="I2088" s="2" t="s">
        <v>99</v>
      </c>
      <c r="J2088" s="2" t="s">
        <v>320</v>
      </c>
      <c r="L2088" s="2" t="s">
        <v>99</v>
      </c>
      <c r="M2088" s="2" t="s">
        <v>80</v>
      </c>
      <c r="O2088" s="2" t="s">
        <v>1989</v>
      </c>
      <c r="P2088" s="2" t="s">
        <v>93</v>
      </c>
      <c r="Q2088" s="2" t="s">
        <v>94</v>
      </c>
      <c r="R2088" s="2" t="s">
        <v>95</v>
      </c>
      <c r="S2088" s="2">
        <v>1</v>
      </c>
      <c r="T2088" s="2">
        <v>1.1399999999999999</v>
      </c>
      <c r="U2088" s="2">
        <v>0.26219999999999999</v>
      </c>
      <c r="V2088" s="2">
        <v>1.4021999999999999</v>
      </c>
      <c r="W2088" s="2">
        <v>1.1399999999999999</v>
      </c>
      <c r="X2088" s="5">
        <f t="shared" si="294"/>
        <v>0</v>
      </c>
      <c r="Z2088" s="2" t="s">
        <v>3227</v>
      </c>
      <c r="AA2088" s="2" t="s">
        <v>96</v>
      </c>
      <c r="AB2088" s="2" t="s">
        <v>76</v>
      </c>
      <c r="AC2088" s="2" t="s">
        <v>93</v>
      </c>
      <c r="AF2088" s="2">
        <f t="shared" si="288"/>
        <v>0</v>
      </c>
      <c r="AJ2088" s="2">
        <f t="shared" si="289"/>
        <v>0</v>
      </c>
      <c r="AK2088" s="2">
        <f t="shared" si="292"/>
        <v>0</v>
      </c>
      <c r="AL2088" s="5">
        <f t="shared" si="293"/>
        <v>0</v>
      </c>
    </row>
    <row r="2089" spans="1:38" x14ac:dyDescent="0.2">
      <c r="A2089" s="2">
        <v>2025</v>
      </c>
      <c r="B2089" s="2">
        <v>11</v>
      </c>
      <c r="D2089" s="2" t="s">
        <v>1189</v>
      </c>
      <c r="E2089" s="2" t="s">
        <v>38</v>
      </c>
      <c r="F2089" s="2" t="s">
        <v>39</v>
      </c>
      <c r="G2089" s="2">
        <v>515912336</v>
      </c>
      <c r="H2089" s="2" t="s">
        <v>41</v>
      </c>
      <c r="I2089" s="2" t="s">
        <v>564</v>
      </c>
      <c r="J2089" s="2" t="s">
        <v>1190</v>
      </c>
      <c r="K2089" s="2">
        <v>965705708</v>
      </c>
      <c r="L2089" s="2" t="s">
        <v>418</v>
      </c>
      <c r="M2089" s="2" t="s">
        <v>40</v>
      </c>
      <c r="O2089" s="2" t="s">
        <v>1991</v>
      </c>
      <c r="P2089" s="2" t="s">
        <v>40</v>
      </c>
      <c r="Q2089" s="2" t="s">
        <v>363</v>
      </c>
      <c r="R2089" s="2" t="s">
        <v>364</v>
      </c>
      <c r="S2089" s="2">
        <v>1</v>
      </c>
      <c r="T2089" s="2">
        <v>29.79</v>
      </c>
      <c r="U2089" s="2">
        <v>6.8517000000000001</v>
      </c>
      <c r="V2089" s="2">
        <v>36.6417</v>
      </c>
      <c r="X2089" s="5">
        <f t="shared" si="294"/>
        <v>1</v>
      </c>
      <c r="Z2089" s="2" t="s">
        <v>119</v>
      </c>
      <c r="AA2089" s="2" t="s">
        <v>3380</v>
      </c>
      <c r="AF2089" s="2">
        <f t="shared" si="288"/>
        <v>0</v>
      </c>
      <c r="AJ2089" s="2">
        <f t="shared" si="289"/>
        <v>0</v>
      </c>
      <c r="AK2089" s="2">
        <f t="shared" si="292"/>
        <v>29.79</v>
      </c>
      <c r="AL2089" s="5">
        <f t="shared" si="293"/>
        <v>1</v>
      </c>
    </row>
    <row r="2090" spans="1:38" x14ac:dyDescent="0.2">
      <c r="A2090" s="2">
        <v>2025</v>
      </c>
      <c r="B2090" s="2">
        <v>11</v>
      </c>
      <c r="D2090" s="2" t="s">
        <v>332</v>
      </c>
      <c r="E2090" s="2" t="s">
        <v>108</v>
      </c>
      <c r="F2090" s="2" t="s">
        <v>39</v>
      </c>
      <c r="G2090" s="2">
        <v>513493557</v>
      </c>
      <c r="H2090" s="2" t="s">
        <v>41</v>
      </c>
      <c r="I2090" s="2" t="s">
        <v>279</v>
      </c>
      <c r="J2090" s="2" t="s">
        <v>333</v>
      </c>
      <c r="L2090" s="2" t="s">
        <v>177</v>
      </c>
      <c r="M2090" s="2" t="s">
        <v>41</v>
      </c>
      <c r="P2090" s="2" t="s">
        <v>43</v>
      </c>
      <c r="Q2090" s="2" t="s">
        <v>592</v>
      </c>
      <c r="R2090" s="2" t="s">
        <v>593</v>
      </c>
      <c r="S2090" s="2">
        <v>1</v>
      </c>
      <c r="T2090" s="2">
        <v>30</v>
      </c>
      <c r="U2090" s="2">
        <v>6.9</v>
      </c>
      <c r="V2090" s="2">
        <v>36.9</v>
      </c>
      <c r="W2090" s="2">
        <f>11.295*S2090</f>
        <v>11.295</v>
      </c>
      <c r="X2090" s="5">
        <f t="shared" si="294"/>
        <v>0.62349999999999994</v>
      </c>
      <c r="Z2090" s="2" t="s">
        <v>3227</v>
      </c>
      <c r="AA2090" s="2" t="s">
        <v>46</v>
      </c>
      <c r="AB2090" s="2" t="s">
        <v>47</v>
      </c>
      <c r="AC2090" s="2" t="s">
        <v>57</v>
      </c>
      <c r="AF2090" s="2">
        <f t="shared" si="288"/>
        <v>0</v>
      </c>
      <c r="AJ2090" s="2">
        <f t="shared" si="289"/>
        <v>0</v>
      </c>
      <c r="AK2090" s="2">
        <f t="shared" si="292"/>
        <v>18.704999999999998</v>
      </c>
      <c r="AL2090" s="5">
        <f t="shared" si="293"/>
        <v>0.62349999999999994</v>
      </c>
    </row>
    <row r="2091" spans="1:38" x14ac:dyDescent="0.2">
      <c r="A2091" s="2">
        <v>2025</v>
      </c>
      <c r="B2091" s="2">
        <v>11</v>
      </c>
      <c r="D2091" s="2" t="s">
        <v>1992</v>
      </c>
      <c r="M2091" s="2" t="s">
        <v>40</v>
      </c>
      <c r="P2091" s="2" t="s">
        <v>187</v>
      </c>
      <c r="Q2091" s="2" t="s">
        <v>188</v>
      </c>
      <c r="R2091" s="2" t="s">
        <v>189</v>
      </c>
      <c r="S2091" s="2">
        <v>4</v>
      </c>
      <c r="T2091" s="2">
        <v>881</v>
      </c>
      <c r="U2091" s="2">
        <v>202.63</v>
      </c>
      <c r="V2091" s="2">
        <v>1083.6300000000001</v>
      </c>
      <c r="W2091" s="2">
        <f>T2091*40%</f>
        <v>352.40000000000003</v>
      </c>
      <c r="X2091" s="5">
        <f t="shared" si="294"/>
        <v>0.59999999999999987</v>
      </c>
      <c r="Z2091" s="2" t="s">
        <v>117</v>
      </c>
      <c r="AA2091" s="2" t="s">
        <v>190</v>
      </c>
      <c r="AB2091" s="2" t="s">
        <v>189</v>
      </c>
      <c r="AC2091" s="2" t="s">
        <v>40</v>
      </c>
      <c r="AF2091" s="2">
        <f t="shared" si="288"/>
        <v>0</v>
      </c>
      <c r="AJ2091" s="2">
        <f t="shared" si="289"/>
        <v>0</v>
      </c>
      <c r="AK2091" s="2">
        <f t="shared" si="292"/>
        <v>528.59999999999991</v>
      </c>
      <c r="AL2091" s="5">
        <f t="shared" si="293"/>
        <v>0.59999999999999987</v>
      </c>
    </row>
    <row r="2092" spans="1:38" x14ac:dyDescent="0.2">
      <c r="A2092" s="2">
        <v>2025</v>
      </c>
      <c r="B2092" s="2">
        <v>11</v>
      </c>
      <c r="D2092" s="2" t="s">
        <v>1992</v>
      </c>
      <c r="M2092" s="2" t="s">
        <v>40</v>
      </c>
      <c r="P2092" s="2" t="s">
        <v>187</v>
      </c>
      <c r="Q2092" s="2" t="s">
        <v>191</v>
      </c>
      <c r="R2092" s="2" t="s">
        <v>190</v>
      </c>
      <c r="S2092" s="2">
        <v>22</v>
      </c>
      <c r="T2092" s="2">
        <v>1298</v>
      </c>
      <c r="U2092" s="2">
        <v>298.54000000000002</v>
      </c>
      <c r="V2092" s="2">
        <v>1596.54</v>
      </c>
      <c r="W2092" s="2">
        <f>T2092*50%</f>
        <v>649</v>
      </c>
      <c r="X2092" s="5">
        <f t="shared" si="294"/>
        <v>0.5</v>
      </c>
      <c r="Z2092" s="2" t="s">
        <v>117</v>
      </c>
      <c r="AA2092" s="2" t="s">
        <v>190</v>
      </c>
      <c r="AB2092" s="2" t="s">
        <v>190</v>
      </c>
      <c r="AC2092" s="2" t="s">
        <v>40</v>
      </c>
      <c r="AF2092" s="2">
        <f t="shared" si="288"/>
        <v>0</v>
      </c>
      <c r="AJ2092" s="2">
        <f t="shared" si="289"/>
        <v>0</v>
      </c>
      <c r="AK2092" s="2">
        <f t="shared" si="292"/>
        <v>649</v>
      </c>
      <c r="AL2092" s="5">
        <f t="shared" si="293"/>
        <v>0.5</v>
      </c>
    </row>
    <row r="2093" spans="1:38" x14ac:dyDescent="0.2">
      <c r="A2093" s="2">
        <v>2025</v>
      </c>
      <c r="B2093" s="2">
        <v>11</v>
      </c>
      <c r="D2093" s="2" t="s">
        <v>744</v>
      </c>
      <c r="E2093" s="2" t="s">
        <v>108</v>
      </c>
      <c r="F2093" s="2" t="s">
        <v>39</v>
      </c>
      <c r="G2093" s="2">
        <v>509181163</v>
      </c>
      <c r="H2093" s="2" t="s">
        <v>40</v>
      </c>
      <c r="I2093" s="2" t="s">
        <v>745</v>
      </c>
      <c r="J2093" s="2" t="s">
        <v>746</v>
      </c>
      <c r="K2093" s="2">
        <v>962372760</v>
      </c>
      <c r="L2093" s="2" t="s">
        <v>201</v>
      </c>
      <c r="P2093" s="2" t="s">
        <v>114</v>
      </c>
      <c r="Q2093" s="2" t="s">
        <v>808</v>
      </c>
      <c r="R2093" s="2" t="s">
        <v>809</v>
      </c>
      <c r="S2093" s="2">
        <v>1</v>
      </c>
      <c r="T2093" s="2">
        <v>83.79</v>
      </c>
      <c r="U2093" s="2">
        <v>19.271699999999999</v>
      </c>
      <c r="V2093" s="2">
        <v>103.0617</v>
      </c>
      <c r="X2093" s="5">
        <f t="shared" si="294"/>
        <v>1</v>
      </c>
      <c r="Z2093" s="2" t="s">
        <v>117</v>
      </c>
      <c r="AF2093" s="2">
        <f t="shared" si="288"/>
        <v>0</v>
      </c>
      <c r="AJ2093" s="2">
        <f t="shared" si="289"/>
        <v>0</v>
      </c>
      <c r="AK2093" s="2">
        <f t="shared" si="292"/>
        <v>83.79</v>
      </c>
      <c r="AL2093" s="5">
        <f t="shared" si="293"/>
        <v>1</v>
      </c>
    </row>
    <row r="2094" spans="1:38" x14ac:dyDescent="0.2">
      <c r="A2094" s="2">
        <v>2025</v>
      </c>
      <c r="B2094" s="2">
        <v>11</v>
      </c>
      <c r="D2094" s="2" t="s">
        <v>744</v>
      </c>
      <c r="E2094" s="2" t="s">
        <v>108</v>
      </c>
      <c r="F2094" s="2" t="s">
        <v>39</v>
      </c>
      <c r="G2094" s="2">
        <v>509181163</v>
      </c>
      <c r="H2094" s="2" t="s">
        <v>40</v>
      </c>
      <c r="I2094" s="2" t="s">
        <v>745</v>
      </c>
      <c r="J2094" s="2" t="s">
        <v>746</v>
      </c>
      <c r="K2094" s="2">
        <v>962372760</v>
      </c>
      <c r="L2094" s="2" t="s">
        <v>201</v>
      </c>
      <c r="P2094" s="2" t="s">
        <v>72</v>
      </c>
      <c r="Q2094" s="2" t="s">
        <v>325</v>
      </c>
      <c r="R2094" s="2" t="s">
        <v>79</v>
      </c>
      <c r="S2094" s="2">
        <v>1</v>
      </c>
      <c r="T2094" s="2">
        <v>210</v>
      </c>
      <c r="U2094" s="2">
        <v>48.3</v>
      </c>
      <c r="V2094" s="2">
        <v>258.3</v>
      </c>
      <c r="W2094" s="2">
        <f>110.68*S2094</f>
        <v>110.68</v>
      </c>
      <c r="X2094" s="5">
        <f t="shared" si="294"/>
        <v>0.4729523809523809</v>
      </c>
      <c r="Z2094" s="2" t="s">
        <v>3227</v>
      </c>
      <c r="AA2094" s="2" t="s">
        <v>75</v>
      </c>
      <c r="AB2094" s="2" t="s">
        <v>76</v>
      </c>
      <c r="AC2094" s="2" t="s">
        <v>77</v>
      </c>
      <c r="AF2094" s="2">
        <f t="shared" si="288"/>
        <v>0</v>
      </c>
      <c r="AG2094" s="2">
        <v>110.68</v>
      </c>
      <c r="AH2094" s="2">
        <v>210</v>
      </c>
      <c r="AJ2094" s="2">
        <f t="shared" si="289"/>
        <v>0</v>
      </c>
      <c r="AK2094" s="2">
        <f t="shared" si="292"/>
        <v>99.32</v>
      </c>
      <c r="AL2094" s="5">
        <f t="shared" si="293"/>
        <v>0.4729523809523809</v>
      </c>
    </row>
    <row r="2095" spans="1:38" x14ac:dyDescent="0.2">
      <c r="A2095" s="2">
        <v>2025</v>
      </c>
      <c r="B2095" s="2">
        <v>11</v>
      </c>
      <c r="D2095" s="2" t="s">
        <v>744</v>
      </c>
      <c r="E2095" s="2" t="s">
        <v>108</v>
      </c>
      <c r="F2095" s="2" t="s">
        <v>39</v>
      </c>
      <c r="G2095" s="2">
        <v>509181163</v>
      </c>
      <c r="H2095" s="2" t="s">
        <v>40</v>
      </c>
      <c r="I2095" s="2" t="s">
        <v>745</v>
      </c>
      <c r="J2095" s="2" t="s">
        <v>746</v>
      </c>
      <c r="K2095" s="2">
        <v>962372760</v>
      </c>
      <c r="L2095" s="2" t="s">
        <v>201</v>
      </c>
      <c r="M2095" s="2" t="s">
        <v>40</v>
      </c>
      <c r="P2095" s="2" t="s">
        <v>187</v>
      </c>
      <c r="Q2095" s="2" t="s">
        <v>188</v>
      </c>
      <c r="R2095" s="2" t="s">
        <v>189</v>
      </c>
      <c r="S2095" s="2">
        <v>1</v>
      </c>
      <c r="T2095" s="2">
        <v>81</v>
      </c>
      <c r="U2095" s="2">
        <v>18.63</v>
      </c>
      <c r="V2095" s="2">
        <v>99.63</v>
      </c>
      <c r="W2095" s="2">
        <f>T2095*40%</f>
        <v>32.4</v>
      </c>
      <c r="X2095" s="5">
        <f t="shared" si="294"/>
        <v>0.6</v>
      </c>
      <c r="Z2095" s="2" t="s">
        <v>117</v>
      </c>
      <c r="AA2095" s="2" t="s">
        <v>190</v>
      </c>
      <c r="AB2095" s="2" t="s">
        <v>189</v>
      </c>
      <c r="AC2095" s="2" t="s">
        <v>40</v>
      </c>
      <c r="AF2095" s="2">
        <f t="shared" si="288"/>
        <v>0</v>
      </c>
      <c r="AJ2095" s="2">
        <f t="shared" si="289"/>
        <v>0</v>
      </c>
      <c r="AK2095" s="2">
        <f t="shared" si="292"/>
        <v>48.6</v>
      </c>
      <c r="AL2095" s="5">
        <f t="shared" si="293"/>
        <v>0.6</v>
      </c>
    </row>
    <row r="2096" spans="1:38" x14ac:dyDescent="0.2">
      <c r="A2096" s="2">
        <v>2025</v>
      </c>
      <c r="B2096" s="2">
        <v>11</v>
      </c>
      <c r="D2096" s="2" t="s">
        <v>744</v>
      </c>
      <c r="E2096" s="2" t="s">
        <v>108</v>
      </c>
      <c r="F2096" s="2" t="s">
        <v>39</v>
      </c>
      <c r="G2096" s="2">
        <v>509181163</v>
      </c>
      <c r="H2096" s="2" t="s">
        <v>40</v>
      </c>
      <c r="I2096" s="2" t="s">
        <v>745</v>
      </c>
      <c r="J2096" s="2" t="s">
        <v>746</v>
      </c>
      <c r="K2096" s="2">
        <v>962372760</v>
      </c>
      <c r="L2096" s="2" t="s">
        <v>201</v>
      </c>
      <c r="M2096" s="2" t="s">
        <v>40</v>
      </c>
      <c r="P2096" s="2" t="s">
        <v>187</v>
      </c>
      <c r="Q2096" s="2" t="s">
        <v>191</v>
      </c>
      <c r="R2096" s="2" t="s">
        <v>190</v>
      </c>
      <c r="S2096" s="2">
        <v>1</v>
      </c>
      <c r="T2096" s="2">
        <v>50</v>
      </c>
      <c r="U2096" s="2">
        <v>11.5</v>
      </c>
      <c r="V2096" s="2">
        <v>61.5</v>
      </c>
      <c r="W2096" s="2">
        <f>T2096*50%</f>
        <v>25</v>
      </c>
      <c r="X2096" s="5">
        <f t="shared" si="294"/>
        <v>0.5</v>
      </c>
      <c r="Z2096" s="2" t="s">
        <v>117</v>
      </c>
      <c r="AA2096" s="2" t="s">
        <v>190</v>
      </c>
      <c r="AB2096" s="2" t="s">
        <v>190</v>
      </c>
      <c r="AC2096" s="2" t="s">
        <v>40</v>
      </c>
      <c r="AF2096" s="2">
        <f t="shared" si="288"/>
        <v>0</v>
      </c>
      <c r="AJ2096" s="2">
        <f t="shared" si="289"/>
        <v>0</v>
      </c>
      <c r="AK2096" s="2">
        <f t="shared" si="292"/>
        <v>25</v>
      </c>
      <c r="AL2096" s="5">
        <f t="shared" si="293"/>
        <v>0.5</v>
      </c>
    </row>
    <row r="2097" spans="1:38" x14ac:dyDescent="0.2">
      <c r="A2097" s="2">
        <v>2025</v>
      </c>
      <c r="B2097" s="2">
        <v>11</v>
      </c>
      <c r="D2097" s="2" t="s">
        <v>744</v>
      </c>
      <c r="E2097" s="2" t="s">
        <v>108</v>
      </c>
      <c r="F2097" s="2" t="s">
        <v>39</v>
      </c>
      <c r="G2097" s="2">
        <v>509181163</v>
      </c>
      <c r="H2097" s="2" t="s">
        <v>40</v>
      </c>
      <c r="I2097" s="2" t="s">
        <v>745</v>
      </c>
      <c r="J2097" s="2" t="s">
        <v>746</v>
      </c>
      <c r="K2097" s="2">
        <v>962372760</v>
      </c>
      <c r="L2097" s="2" t="s">
        <v>201</v>
      </c>
      <c r="P2097" s="2" t="s">
        <v>93</v>
      </c>
      <c r="Q2097" s="2" t="s">
        <v>94</v>
      </c>
      <c r="R2097" s="2" t="s">
        <v>95</v>
      </c>
      <c r="S2097" s="2">
        <v>1</v>
      </c>
      <c r="T2097" s="2">
        <v>1.1399999999999999</v>
      </c>
      <c r="U2097" s="2">
        <v>0.26219999999999999</v>
      </c>
      <c r="V2097" s="2">
        <v>1.4021999999999999</v>
      </c>
      <c r="W2097" s="2">
        <v>1.1399999999999999</v>
      </c>
      <c r="X2097" s="5">
        <f t="shared" si="294"/>
        <v>0</v>
      </c>
      <c r="Z2097" s="2" t="s">
        <v>3227</v>
      </c>
      <c r="AA2097" s="2" t="s">
        <v>96</v>
      </c>
      <c r="AB2097" s="2" t="s">
        <v>76</v>
      </c>
      <c r="AC2097" s="2" t="s">
        <v>93</v>
      </c>
      <c r="AF2097" s="2">
        <f t="shared" si="288"/>
        <v>0</v>
      </c>
      <c r="AJ2097" s="2">
        <f t="shared" si="289"/>
        <v>0</v>
      </c>
      <c r="AK2097" s="2">
        <f t="shared" si="292"/>
        <v>0</v>
      </c>
      <c r="AL2097" s="5">
        <f t="shared" si="293"/>
        <v>0</v>
      </c>
    </row>
    <row r="2098" spans="1:38" x14ac:dyDescent="0.2">
      <c r="A2098" s="2">
        <v>2025</v>
      </c>
      <c r="B2098" s="2">
        <v>11</v>
      </c>
      <c r="C2098" s="2" t="s">
        <v>3440</v>
      </c>
      <c r="D2098" s="2" t="s">
        <v>1993</v>
      </c>
      <c r="E2098" s="2" t="s">
        <v>108</v>
      </c>
      <c r="F2098" s="2" t="s">
        <v>39</v>
      </c>
      <c r="H2098" s="2" t="s">
        <v>290</v>
      </c>
      <c r="I2098" s="2" t="s">
        <v>3281</v>
      </c>
      <c r="L2098" s="2" t="s">
        <v>339</v>
      </c>
      <c r="M2098" s="2" t="s">
        <v>40</v>
      </c>
      <c r="P2098" s="2" t="s">
        <v>187</v>
      </c>
      <c r="Q2098" s="2" t="s">
        <v>188</v>
      </c>
      <c r="R2098" s="2" t="s">
        <v>189</v>
      </c>
      <c r="S2098" s="2">
        <v>1</v>
      </c>
      <c r="T2098" s="2">
        <v>50</v>
      </c>
      <c r="U2098" s="2">
        <v>11.5</v>
      </c>
      <c r="V2098" s="2">
        <v>61.5</v>
      </c>
      <c r="W2098" s="2">
        <f>T2098*40%</f>
        <v>20</v>
      </c>
      <c r="X2098" s="5">
        <f t="shared" si="294"/>
        <v>0.6</v>
      </c>
      <c r="Z2098" s="2" t="s">
        <v>117</v>
      </c>
      <c r="AA2098" s="2" t="s">
        <v>190</v>
      </c>
      <c r="AB2098" s="2" t="s">
        <v>189</v>
      </c>
      <c r="AC2098" s="2" t="s">
        <v>40</v>
      </c>
      <c r="AF2098" s="2">
        <f t="shared" si="288"/>
        <v>0</v>
      </c>
      <c r="AJ2098" s="2">
        <f t="shared" si="289"/>
        <v>0</v>
      </c>
      <c r="AK2098" s="2">
        <f t="shared" si="292"/>
        <v>30</v>
      </c>
      <c r="AL2098" s="5">
        <f t="shared" si="293"/>
        <v>0.6</v>
      </c>
    </row>
    <row r="2099" spans="1:38" x14ac:dyDescent="0.2">
      <c r="A2099" s="2">
        <v>2025</v>
      </c>
      <c r="B2099" s="2">
        <v>11</v>
      </c>
      <c r="C2099" s="2" t="s">
        <v>3440</v>
      </c>
      <c r="D2099" s="2" t="s">
        <v>1993</v>
      </c>
      <c r="E2099" s="2" t="s">
        <v>108</v>
      </c>
      <c r="F2099" s="2" t="s">
        <v>39</v>
      </c>
      <c r="H2099" s="2" t="s">
        <v>290</v>
      </c>
      <c r="I2099" s="2" t="s">
        <v>3281</v>
      </c>
      <c r="L2099" s="2" t="s">
        <v>339</v>
      </c>
      <c r="M2099" s="2" t="s">
        <v>40</v>
      </c>
      <c r="P2099" s="2" t="s">
        <v>187</v>
      </c>
      <c r="Q2099" s="2" t="s">
        <v>191</v>
      </c>
      <c r="R2099" s="2" t="s">
        <v>190</v>
      </c>
      <c r="S2099" s="2">
        <v>1</v>
      </c>
      <c r="T2099" s="2">
        <v>50</v>
      </c>
      <c r="U2099" s="2">
        <v>11.5</v>
      </c>
      <c r="V2099" s="2">
        <v>61.5</v>
      </c>
      <c r="W2099" s="2">
        <f>T2099*50%</f>
        <v>25</v>
      </c>
      <c r="X2099" s="5">
        <f t="shared" si="294"/>
        <v>0.5</v>
      </c>
      <c r="Z2099" s="2" t="s">
        <v>117</v>
      </c>
      <c r="AA2099" s="2" t="s">
        <v>190</v>
      </c>
      <c r="AB2099" s="2" t="s">
        <v>190</v>
      </c>
      <c r="AC2099" s="2" t="s">
        <v>40</v>
      </c>
      <c r="AF2099" s="2">
        <f t="shared" si="288"/>
        <v>0</v>
      </c>
      <c r="AJ2099" s="2">
        <f t="shared" si="289"/>
        <v>0</v>
      </c>
      <c r="AK2099" s="2">
        <f t="shared" si="292"/>
        <v>25</v>
      </c>
      <c r="AL2099" s="5">
        <f t="shared" si="293"/>
        <v>0.5</v>
      </c>
    </row>
    <row r="2100" spans="1:38" x14ac:dyDescent="0.2">
      <c r="A2100" s="2">
        <v>2025</v>
      </c>
      <c r="B2100" s="2">
        <v>11</v>
      </c>
      <c r="D2100" s="2" t="s">
        <v>1693</v>
      </c>
      <c r="P2100" s="2" t="s">
        <v>43</v>
      </c>
      <c r="Q2100" s="2" t="s">
        <v>160</v>
      </c>
      <c r="R2100" s="2" t="s">
        <v>161</v>
      </c>
      <c r="S2100" s="2">
        <v>1</v>
      </c>
      <c r="T2100" s="2">
        <v>7.8</v>
      </c>
      <c r="U2100" s="2">
        <v>1.794</v>
      </c>
      <c r="V2100" s="2">
        <v>9.5939999999999994</v>
      </c>
      <c r="W2100" s="2">
        <f>3.7358*S2100</f>
        <v>3.7357999999999998</v>
      </c>
      <c r="X2100" s="5">
        <f t="shared" si="294"/>
        <v>0.52105128205128204</v>
      </c>
      <c r="Z2100" s="2" t="s">
        <v>3227</v>
      </c>
      <c r="AA2100" s="2" t="s">
        <v>46</v>
      </c>
      <c r="AB2100" s="2" t="s">
        <v>47</v>
      </c>
      <c r="AC2100" s="2" t="s">
        <v>57</v>
      </c>
      <c r="AF2100" s="2">
        <f t="shared" si="288"/>
        <v>0</v>
      </c>
      <c r="AG2100" s="2">
        <v>3.7357999999999998</v>
      </c>
      <c r="AH2100" s="2">
        <v>9</v>
      </c>
      <c r="AJ2100" s="2">
        <f t="shared" si="289"/>
        <v>0</v>
      </c>
      <c r="AK2100" s="2">
        <f t="shared" si="292"/>
        <v>4.0641999999999996</v>
      </c>
      <c r="AL2100" s="5">
        <f t="shared" si="293"/>
        <v>0.52105128205128204</v>
      </c>
    </row>
    <row r="2101" spans="1:38" x14ac:dyDescent="0.2">
      <c r="A2101" s="2">
        <v>2025</v>
      </c>
      <c r="B2101" s="2">
        <v>11</v>
      </c>
      <c r="D2101" s="2" t="s">
        <v>1693</v>
      </c>
      <c r="P2101" s="2" t="s">
        <v>43</v>
      </c>
      <c r="Q2101" s="2" t="s">
        <v>61</v>
      </c>
      <c r="R2101" s="2" t="s">
        <v>62</v>
      </c>
      <c r="S2101" s="2">
        <v>1000</v>
      </c>
      <c r="T2101" s="2">
        <v>105</v>
      </c>
      <c r="U2101" s="2">
        <v>24.15</v>
      </c>
      <c r="V2101" s="2">
        <v>129.15</v>
      </c>
      <c r="W2101" s="2">
        <f>0.082*S2101</f>
        <v>82</v>
      </c>
      <c r="X2101" s="5">
        <f t="shared" si="294"/>
        <v>0.21904761904761905</v>
      </c>
      <c r="Z2101" s="2" t="s">
        <v>3227</v>
      </c>
      <c r="AA2101" s="2" t="s">
        <v>46</v>
      </c>
      <c r="AB2101" s="2" t="s">
        <v>60</v>
      </c>
      <c r="AC2101" s="2" t="s">
        <v>57</v>
      </c>
      <c r="AF2101" s="2">
        <f t="shared" si="288"/>
        <v>0</v>
      </c>
      <c r="AG2101" s="2">
        <v>8.1999999999999993</v>
      </c>
      <c r="AH2101" s="2">
        <v>13</v>
      </c>
      <c r="AJ2101" s="2">
        <f t="shared" si="289"/>
        <v>0</v>
      </c>
      <c r="AK2101" s="2">
        <f t="shared" si="292"/>
        <v>23</v>
      </c>
      <c r="AL2101" s="5">
        <f t="shared" si="293"/>
        <v>0.21904761904761905</v>
      </c>
    </row>
    <row r="2102" spans="1:38" x14ac:dyDescent="0.2">
      <c r="A2102" s="2">
        <v>2025</v>
      </c>
      <c r="B2102" s="2">
        <v>11</v>
      </c>
      <c r="D2102" s="2" t="s">
        <v>1693</v>
      </c>
      <c r="P2102" s="2" t="s">
        <v>43</v>
      </c>
      <c r="Q2102" s="2" t="s">
        <v>65</v>
      </c>
      <c r="R2102" s="2" t="s">
        <v>66</v>
      </c>
      <c r="S2102" s="2">
        <v>2</v>
      </c>
      <c r="T2102" s="2">
        <v>45</v>
      </c>
      <c r="U2102" s="2">
        <v>10.35</v>
      </c>
      <c r="V2102" s="2">
        <v>55.35</v>
      </c>
      <c r="W2102" s="2">
        <f>15.0203*S2102</f>
        <v>30.040600000000001</v>
      </c>
      <c r="X2102" s="5">
        <f t="shared" si="294"/>
        <v>0.33243111111111107</v>
      </c>
      <c r="Z2102" s="2" t="s">
        <v>3227</v>
      </c>
      <c r="AA2102" s="2" t="s">
        <v>46</v>
      </c>
      <c r="AB2102" s="2" t="s">
        <v>67</v>
      </c>
      <c r="AC2102" s="2" t="s">
        <v>57</v>
      </c>
      <c r="AF2102" s="2">
        <f t="shared" si="288"/>
        <v>0</v>
      </c>
      <c r="AG2102" s="2">
        <v>15.020300000000001</v>
      </c>
      <c r="AH2102" s="2">
        <v>27.6</v>
      </c>
      <c r="AJ2102" s="2">
        <f t="shared" si="289"/>
        <v>0</v>
      </c>
      <c r="AK2102" s="2">
        <f t="shared" si="292"/>
        <v>14.959399999999999</v>
      </c>
      <c r="AL2102" s="5">
        <f t="shared" si="293"/>
        <v>0.33243111111111107</v>
      </c>
    </row>
    <row r="2103" spans="1:38" x14ac:dyDescent="0.2">
      <c r="A2103" s="2">
        <v>2025</v>
      </c>
      <c r="B2103" s="2">
        <v>11</v>
      </c>
      <c r="D2103" s="2" t="s">
        <v>1994</v>
      </c>
      <c r="M2103" s="2" t="s">
        <v>80</v>
      </c>
      <c r="O2103" s="2" t="s">
        <v>1995</v>
      </c>
      <c r="P2103" s="2" t="s">
        <v>72</v>
      </c>
      <c r="Q2103" s="2" t="s">
        <v>557</v>
      </c>
      <c r="R2103" s="2" t="s">
        <v>307</v>
      </c>
      <c r="S2103" s="2">
        <v>1</v>
      </c>
      <c r="T2103" s="2">
        <v>230</v>
      </c>
      <c r="U2103" s="2">
        <v>52.900000000000013</v>
      </c>
      <c r="V2103" s="2">
        <v>282.89999999999998</v>
      </c>
      <c r="W2103" s="2">
        <v>122.446</v>
      </c>
      <c r="X2103" s="5">
        <f t="shared" si="294"/>
        <v>0.46762608695652175</v>
      </c>
      <c r="Z2103" s="2" t="s">
        <v>3227</v>
      </c>
      <c r="AA2103" s="2" t="s">
        <v>75</v>
      </c>
      <c r="AB2103" s="2" t="s">
        <v>76</v>
      </c>
      <c r="AC2103" s="2" t="s">
        <v>77</v>
      </c>
      <c r="AF2103" s="2">
        <f t="shared" si="288"/>
        <v>0</v>
      </c>
      <c r="AG2103" s="2">
        <v>122.446</v>
      </c>
      <c r="AH2103" s="2">
        <v>230</v>
      </c>
      <c r="AJ2103" s="2">
        <f t="shared" si="289"/>
        <v>0</v>
      </c>
      <c r="AK2103" s="2">
        <f t="shared" si="292"/>
        <v>107.554</v>
      </c>
      <c r="AL2103" s="5">
        <f t="shared" si="293"/>
        <v>0.46762608695652175</v>
      </c>
    </row>
    <row r="2104" spans="1:38" x14ac:dyDescent="0.2">
      <c r="A2104" s="2">
        <v>2025</v>
      </c>
      <c r="B2104" s="2">
        <v>11</v>
      </c>
      <c r="D2104" s="2" t="s">
        <v>1994</v>
      </c>
      <c r="P2104" s="2" t="s">
        <v>93</v>
      </c>
      <c r="Q2104" s="2" t="s">
        <v>94</v>
      </c>
      <c r="R2104" s="2" t="s">
        <v>95</v>
      </c>
      <c r="S2104" s="2">
        <v>1</v>
      </c>
      <c r="T2104" s="2">
        <v>1.1399999999999999</v>
      </c>
      <c r="U2104" s="2">
        <v>0.26219999999999999</v>
      </c>
      <c r="V2104" s="2">
        <v>1.4021999999999999</v>
      </c>
      <c r="W2104" s="2">
        <v>1.1399999999999999</v>
      </c>
      <c r="X2104" s="5">
        <f t="shared" si="294"/>
        <v>0</v>
      </c>
      <c r="Z2104" s="2" t="s">
        <v>3227</v>
      </c>
      <c r="AA2104" s="2" t="s">
        <v>96</v>
      </c>
      <c r="AB2104" s="2" t="s">
        <v>76</v>
      </c>
      <c r="AC2104" s="2" t="s">
        <v>93</v>
      </c>
      <c r="AF2104" s="2">
        <f t="shared" si="288"/>
        <v>0</v>
      </c>
      <c r="AJ2104" s="2">
        <f t="shared" si="289"/>
        <v>0</v>
      </c>
      <c r="AK2104" s="2">
        <f t="shared" si="292"/>
        <v>0</v>
      </c>
      <c r="AL2104" s="5">
        <f t="shared" si="293"/>
        <v>0</v>
      </c>
    </row>
    <row r="2105" spans="1:38" x14ac:dyDescent="0.2">
      <c r="A2105" s="2">
        <v>2025</v>
      </c>
      <c r="B2105" s="2">
        <v>11</v>
      </c>
      <c r="D2105" s="2" t="s">
        <v>375</v>
      </c>
      <c r="E2105" s="2" t="s">
        <v>108</v>
      </c>
      <c r="F2105" s="2" t="s">
        <v>376</v>
      </c>
      <c r="G2105" s="2">
        <v>503552542</v>
      </c>
      <c r="H2105" s="2" t="s">
        <v>290</v>
      </c>
      <c r="I2105" s="2" t="s">
        <v>377</v>
      </c>
      <c r="J2105" s="2" t="s">
        <v>378</v>
      </c>
      <c r="L2105" s="2" t="s">
        <v>339</v>
      </c>
      <c r="M2105" s="2" t="s">
        <v>40</v>
      </c>
      <c r="O2105" s="2" t="s">
        <v>1996</v>
      </c>
      <c r="P2105" s="2" t="s">
        <v>187</v>
      </c>
      <c r="Q2105" s="2" t="s">
        <v>188</v>
      </c>
      <c r="R2105" s="2" t="s">
        <v>189</v>
      </c>
      <c r="S2105" s="2">
        <v>1</v>
      </c>
      <c r="T2105" s="2">
        <v>50</v>
      </c>
      <c r="U2105" s="2">
        <v>11.5</v>
      </c>
      <c r="V2105" s="2">
        <v>61.5</v>
      </c>
      <c r="W2105" s="2">
        <f>T2105*40%</f>
        <v>20</v>
      </c>
      <c r="X2105" s="5">
        <f t="shared" si="294"/>
        <v>0.6</v>
      </c>
      <c r="Z2105" s="2" t="s">
        <v>117</v>
      </c>
      <c r="AA2105" s="2" t="s">
        <v>190</v>
      </c>
      <c r="AB2105" s="2" t="s">
        <v>189</v>
      </c>
      <c r="AC2105" s="2" t="s">
        <v>40</v>
      </c>
      <c r="AF2105" s="2">
        <f t="shared" si="288"/>
        <v>0</v>
      </c>
      <c r="AJ2105" s="2">
        <f t="shared" si="289"/>
        <v>0</v>
      </c>
      <c r="AK2105" s="2">
        <f t="shared" si="292"/>
        <v>30</v>
      </c>
      <c r="AL2105" s="5">
        <f t="shared" si="293"/>
        <v>0.6</v>
      </c>
    </row>
    <row r="2106" spans="1:38" x14ac:dyDescent="0.2">
      <c r="A2106" s="2">
        <v>2025</v>
      </c>
      <c r="B2106" s="2">
        <v>11</v>
      </c>
      <c r="D2106" s="2" t="s">
        <v>375</v>
      </c>
      <c r="E2106" s="2" t="s">
        <v>108</v>
      </c>
      <c r="F2106" s="2" t="s">
        <v>376</v>
      </c>
      <c r="G2106" s="2">
        <v>503552542</v>
      </c>
      <c r="H2106" s="2" t="s">
        <v>290</v>
      </c>
      <c r="I2106" s="2" t="s">
        <v>377</v>
      </c>
      <c r="J2106" s="2" t="s">
        <v>378</v>
      </c>
      <c r="L2106" s="2" t="s">
        <v>339</v>
      </c>
      <c r="M2106" s="2" t="s">
        <v>40</v>
      </c>
      <c r="O2106" s="2" t="s">
        <v>1996</v>
      </c>
      <c r="P2106" s="2" t="s">
        <v>187</v>
      </c>
      <c r="Q2106" s="2" t="s">
        <v>191</v>
      </c>
      <c r="R2106" s="2" t="s">
        <v>190</v>
      </c>
      <c r="S2106" s="2">
        <v>1</v>
      </c>
      <c r="T2106" s="2">
        <v>50</v>
      </c>
      <c r="U2106" s="2">
        <v>11.5</v>
      </c>
      <c r="V2106" s="2">
        <v>61.5</v>
      </c>
      <c r="W2106" s="2">
        <f>T2106*50%</f>
        <v>25</v>
      </c>
      <c r="X2106" s="5">
        <f t="shared" si="294"/>
        <v>0.5</v>
      </c>
      <c r="Z2106" s="2" t="s">
        <v>117</v>
      </c>
      <c r="AA2106" s="2" t="s">
        <v>190</v>
      </c>
      <c r="AB2106" s="2" t="s">
        <v>190</v>
      </c>
      <c r="AC2106" s="2" t="s">
        <v>40</v>
      </c>
      <c r="AF2106" s="2">
        <f t="shared" si="288"/>
        <v>0</v>
      </c>
      <c r="AJ2106" s="2">
        <f t="shared" si="289"/>
        <v>0</v>
      </c>
      <c r="AK2106" s="2">
        <f t="shared" si="292"/>
        <v>25</v>
      </c>
      <c r="AL2106" s="5">
        <f t="shared" si="293"/>
        <v>0.5</v>
      </c>
    </row>
    <row r="2107" spans="1:38" x14ac:dyDescent="0.2">
      <c r="A2107" s="2">
        <v>2025</v>
      </c>
      <c r="B2107" s="2">
        <v>11</v>
      </c>
      <c r="D2107" s="2" t="s">
        <v>1006</v>
      </c>
      <c r="E2107" s="2" t="s">
        <v>108</v>
      </c>
      <c r="F2107" s="2" t="s">
        <v>39</v>
      </c>
      <c r="L2107" s="2" t="s">
        <v>177</v>
      </c>
      <c r="M2107" s="2" t="s">
        <v>41</v>
      </c>
      <c r="P2107" s="2" t="s">
        <v>282</v>
      </c>
      <c r="Q2107" s="2" t="s">
        <v>399</v>
      </c>
      <c r="R2107" s="2" t="s">
        <v>400</v>
      </c>
      <c r="S2107" s="2">
        <v>10</v>
      </c>
      <c r="T2107" s="2">
        <v>200</v>
      </c>
      <c r="U2107" s="2">
        <v>46</v>
      </c>
      <c r="V2107" s="2">
        <v>246</v>
      </c>
      <c r="W2107" s="2">
        <f>17.4*S2107</f>
        <v>174</v>
      </c>
      <c r="X2107" s="5">
        <f t="shared" si="294"/>
        <v>0.13</v>
      </c>
      <c r="Z2107" s="2" t="s">
        <v>3227</v>
      </c>
      <c r="AA2107" s="2" t="s">
        <v>46</v>
      </c>
      <c r="AB2107" s="2" t="s">
        <v>60</v>
      </c>
      <c r="AC2107" s="2" t="s">
        <v>3332</v>
      </c>
      <c r="AF2107" s="2">
        <f t="shared" si="288"/>
        <v>0</v>
      </c>
      <c r="AJ2107" s="2">
        <f t="shared" si="289"/>
        <v>0</v>
      </c>
      <c r="AK2107" s="2">
        <f t="shared" si="292"/>
        <v>26</v>
      </c>
      <c r="AL2107" s="5">
        <f t="shared" si="293"/>
        <v>0.13</v>
      </c>
    </row>
    <row r="2108" spans="1:38" x14ac:dyDescent="0.2">
      <c r="A2108" s="2">
        <v>2025</v>
      </c>
      <c r="B2108" s="2">
        <v>11</v>
      </c>
      <c r="D2108" s="2" t="s">
        <v>1006</v>
      </c>
      <c r="E2108" s="2" t="s">
        <v>108</v>
      </c>
      <c r="F2108" s="2" t="s">
        <v>39</v>
      </c>
      <c r="L2108" s="2" t="s">
        <v>177</v>
      </c>
      <c r="M2108" s="2" t="s">
        <v>41</v>
      </c>
      <c r="P2108" s="2" t="s">
        <v>282</v>
      </c>
      <c r="Q2108" s="2" t="s">
        <v>401</v>
      </c>
      <c r="R2108" s="2" t="s">
        <v>402</v>
      </c>
      <c r="S2108" s="2">
        <v>10</v>
      </c>
      <c r="T2108" s="2">
        <v>200</v>
      </c>
      <c r="U2108" s="2">
        <v>46</v>
      </c>
      <c r="V2108" s="2">
        <v>246</v>
      </c>
      <c r="W2108" s="2">
        <f>17.4*S2108</f>
        <v>174</v>
      </c>
      <c r="X2108" s="5">
        <f t="shared" si="294"/>
        <v>0.13</v>
      </c>
      <c r="Z2108" s="2" t="s">
        <v>3227</v>
      </c>
      <c r="AA2108" s="2" t="s">
        <v>46</v>
      </c>
      <c r="AB2108" s="2" t="s">
        <v>60</v>
      </c>
      <c r="AC2108" s="2" t="s">
        <v>3332</v>
      </c>
      <c r="AF2108" s="2">
        <f t="shared" si="288"/>
        <v>0</v>
      </c>
      <c r="AJ2108" s="2">
        <f t="shared" si="289"/>
        <v>0</v>
      </c>
      <c r="AK2108" s="2">
        <f t="shared" si="292"/>
        <v>26</v>
      </c>
      <c r="AL2108" s="5">
        <f t="shared" si="293"/>
        <v>0.13</v>
      </c>
    </row>
    <row r="2109" spans="1:38" x14ac:dyDescent="0.2">
      <c r="A2109" s="2">
        <v>2025</v>
      </c>
      <c r="B2109" s="2">
        <v>11</v>
      </c>
      <c r="D2109" s="2" t="s">
        <v>1789</v>
      </c>
      <c r="M2109" s="2" t="s">
        <v>40</v>
      </c>
      <c r="P2109" s="2" t="s">
        <v>187</v>
      </c>
      <c r="Q2109" s="2" t="s">
        <v>188</v>
      </c>
      <c r="R2109" s="2" t="s">
        <v>189</v>
      </c>
      <c r="S2109" s="2">
        <v>1</v>
      </c>
      <c r="T2109" s="2">
        <v>55</v>
      </c>
      <c r="U2109" s="2">
        <v>12.65</v>
      </c>
      <c r="V2109" s="2">
        <v>67.650000000000006</v>
      </c>
      <c r="W2109" s="2">
        <f>T2109*40%</f>
        <v>22</v>
      </c>
      <c r="X2109" s="5">
        <f t="shared" si="294"/>
        <v>0.6</v>
      </c>
      <c r="Z2109" s="2" t="s">
        <v>117</v>
      </c>
      <c r="AA2109" s="2" t="s">
        <v>190</v>
      </c>
      <c r="AB2109" s="2" t="s">
        <v>189</v>
      </c>
      <c r="AC2109" s="2" t="s">
        <v>40</v>
      </c>
      <c r="AF2109" s="2">
        <f t="shared" si="288"/>
        <v>0</v>
      </c>
      <c r="AJ2109" s="2">
        <f t="shared" si="289"/>
        <v>0</v>
      </c>
      <c r="AK2109" s="2">
        <f t="shared" si="292"/>
        <v>33</v>
      </c>
      <c r="AL2109" s="5">
        <f t="shared" si="293"/>
        <v>0.6</v>
      </c>
    </row>
    <row r="2110" spans="1:38" x14ac:dyDescent="0.2">
      <c r="A2110" s="2">
        <v>2025</v>
      </c>
      <c r="B2110" s="2">
        <v>11</v>
      </c>
      <c r="D2110" s="2" t="s">
        <v>1789</v>
      </c>
      <c r="M2110" s="2" t="s">
        <v>40</v>
      </c>
      <c r="P2110" s="2" t="s">
        <v>187</v>
      </c>
      <c r="Q2110" s="2" t="s">
        <v>191</v>
      </c>
      <c r="R2110" s="2" t="s">
        <v>190</v>
      </c>
      <c r="S2110" s="2">
        <v>3</v>
      </c>
      <c r="T2110" s="2">
        <v>150</v>
      </c>
      <c r="U2110" s="2">
        <v>34.5</v>
      </c>
      <c r="V2110" s="2">
        <v>184.5</v>
      </c>
      <c r="W2110" s="2">
        <f>T2110*50%</f>
        <v>75</v>
      </c>
      <c r="X2110" s="5">
        <f t="shared" si="294"/>
        <v>0.5</v>
      </c>
      <c r="Z2110" s="2" t="s">
        <v>117</v>
      </c>
      <c r="AA2110" s="2" t="s">
        <v>190</v>
      </c>
      <c r="AB2110" s="2" t="s">
        <v>190</v>
      </c>
      <c r="AC2110" s="2" t="s">
        <v>40</v>
      </c>
      <c r="AF2110" s="2">
        <f t="shared" si="288"/>
        <v>0</v>
      </c>
      <c r="AJ2110" s="2">
        <f t="shared" si="289"/>
        <v>0</v>
      </c>
      <c r="AK2110" s="2">
        <f t="shared" si="292"/>
        <v>75</v>
      </c>
      <c r="AL2110" s="5">
        <f t="shared" si="293"/>
        <v>0.5</v>
      </c>
    </row>
    <row r="2111" spans="1:38" x14ac:dyDescent="0.2">
      <c r="A2111" s="2">
        <v>2025</v>
      </c>
      <c r="B2111" s="2">
        <v>11</v>
      </c>
      <c r="C2111" s="2" t="s">
        <v>3442</v>
      </c>
      <c r="D2111" s="2" t="s">
        <v>1887</v>
      </c>
      <c r="E2111" s="2" t="s">
        <v>38</v>
      </c>
      <c r="F2111" s="2" t="s">
        <v>39</v>
      </c>
      <c r="L2111" s="2" t="s">
        <v>461</v>
      </c>
      <c r="M2111" s="2" t="s">
        <v>80</v>
      </c>
      <c r="P2111" s="2" t="s">
        <v>43</v>
      </c>
      <c r="Q2111" s="2" t="s">
        <v>50</v>
      </c>
      <c r="R2111" s="2" t="s">
        <v>51</v>
      </c>
      <c r="S2111" s="2">
        <v>1</v>
      </c>
      <c r="T2111" s="2">
        <v>19.2</v>
      </c>
      <c r="U2111" s="2">
        <v>4.4160000000000004</v>
      </c>
      <c r="V2111" s="2">
        <v>23.616</v>
      </c>
      <c r="W2111" s="2">
        <f>14.4*S2111</f>
        <v>14.4</v>
      </c>
      <c r="X2111" s="5">
        <f t="shared" si="294"/>
        <v>0.24999999999999994</v>
      </c>
      <c r="Z2111" s="2" t="s">
        <v>3227</v>
      </c>
      <c r="AA2111" s="2" t="s">
        <v>46</v>
      </c>
      <c r="AB2111" s="2" t="s">
        <v>47</v>
      </c>
      <c r="AC2111" s="2" t="s">
        <v>57</v>
      </c>
      <c r="AF2111" s="2">
        <f t="shared" si="288"/>
        <v>0</v>
      </c>
      <c r="AG2111" s="2">
        <v>10.2346</v>
      </c>
      <c r="AH2111" s="2">
        <v>18</v>
      </c>
      <c r="AJ2111" s="2">
        <f t="shared" si="289"/>
        <v>0</v>
      </c>
      <c r="AK2111" s="2">
        <f t="shared" si="292"/>
        <v>4.7999999999999989</v>
      </c>
      <c r="AL2111" s="5">
        <f t="shared" si="293"/>
        <v>0.24999999999999994</v>
      </c>
    </row>
    <row r="2112" spans="1:38" x14ac:dyDescent="0.2">
      <c r="A2112" s="2">
        <v>2025</v>
      </c>
      <c r="B2112" s="2">
        <v>11</v>
      </c>
      <c r="C2112" s="2" t="s">
        <v>3442</v>
      </c>
      <c r="D2112" s="2" t="s">
        <v>1887</v>
      </c>
      <c r="E2112" s="2" t="s">
        <v>38</v>
      </c>
      <c r="F2112" s="2" t="s">
        <v>39</v>
      </c>
      <c r="L2112" s="2" t="s">
        <v>461</v>
      </c>
      <c r="M2112" s="2" t="s">
        <v>80</v>
      </c>
      <c r="P2112" s="2" t="s">
        <v>43</v>
      </c>
      <c r="Q2112" s="2" t="s">
        <v>54</v>
      </c>
      <c r="R2112" s="2" t="s">
        <v>55</v>
      </c>
      <c r="S2112" s="2">
        <v>1</v>
      </c>
      <c r="T2112" s="2">
        <v>18</v>
      </c>
      <c r="U2112" s="2">
        <v>4.1400000000000006</v>
      </c>
      <c r="V2112" s="2">
        <v>22.14</v>
      </c>
      <c r="W2112" s="2">
        <f>10.6*S2112</f>
        <v>10.6</v>
      </c>
      <c r="X2112" s="5">
        <f t="shared" si="294"/>
        <v>0.41111111111111115</v>
      </c>
      <c r="Z2112" s="2" t="s">
        <v>3227</v>
      </c>
      <c r="AA2112" s="2" t="s">
        <v>46</v>
      </c>
      <c r="AB2112" s="2" t="s">
        <v>56</v>
      </c>
      <c r="AC2112" s="2" t="s">
        <v>57</v>
      </c>
      <c r="AF2112" s="2">
        <f t="shared" si="288"/>
        <v>0</v>
      </c>
      <c r="AG2112" s="2">
        <v>10.6</v>
      </c>
      <c r="AH2112" s="2">
        <v>18</v>
      </c>
      <c r="AJ2112" s="2">
        <f t="shared" si="289"/>
        <v>0</v>
      </c>
      <c r="AK2112" s="2">
        <f t="shared" si="292"/>
        <v>7.4</v>
      </c>
      <c r="AL2112" s="5">
        <f t="shared" si="293"/>
        <v>0.41111111111111115</v>
      </c>
    </row>
    <row r="2113" spans="1:38" x14ac:dyDescent="0.2">
      <c r="A2113" s="2">
        <v>2025</v>
      </c>
      <c r="B2113" s="2">
        <v>11</v>
      </c>
      <c r="C2113" s="2" t="s">
        <v>3442</v>
      </c>
      <c r="D2113" s="2" t="s">
        <v>1887</v>
      </c>
      <c r="E2113" s="2" t="s">
        <v>38</v>
      </c>
      <c r="F2113" s="2" t="s">
        <v>39</v>
      </c>
      <c r="L2113" s="2" t="s">
        <v>461</v>
      </c>
      <c r="M2113" s="2" t="s">
        <v>80</v>
      </c>
      <c r="O2113" s="2" t="s">
        <v>1997</v>
      </c>
      <c r="P2113" s="2" t="s">
        <v>43</v>
      </c>
      <c r="Q2113" s="2" t="s">
        <v>553</v>
      </c>
      <c r="R2113" s="2" t="s">
        <v>554</v>
      </c>
      <c r="S2113" s="2">
        <v>1</v>
      </c>
      <c r="T2113" s="2">
        <v>33</v>
      </c>
      <c r="U2113" s="2">
        <v>7.5900000000000007</v>
      </c>
      <c r="V2113" s="2">
        <v>40.590000000000003</v>
      </c>
      <c r="W2113" s="2">
        <v>15.494999999999999</v>
      </c>
      <c r="X2113" s="5">
        <f t="shared" si="294"/>
        <v>0.53045454545454551</v>
      </c>
      <c r="Z2113" s="2" t="s">
        <v>3227</v>
      </c>
      <c r="AA2113" s="2" t="s">
        <v>46</v>
      </c>
      <c r="AB2113" s="2" t="s">
        <v>47</v>
      </c>
      <c r="AC2113" s="2" t="s">
        <v>57</v>
      </c>
      <c r="AF2113" s="2">
        <f t="shared" si="288"/>
        <v>0</v>
      </c>
      <c r="AG2113" s="2">
        <v>15.494999999999999</v>
      </c>
      <c r="AH2113" s="2">
        <v>36</v>
      </c>
      <c r="AJ2113" s="2">
        <f t="shared" si="289"/>
        <v>0</v>
      </c>
      <c r="AK2113" s="2">
        <f t="shared" si="292"/>
        <v>17.505000000000003</v>
      </c>
      <c r="AL2113" s="5">
        <f t="shared" si="293"/>
        <v>0.53045454545454551</v>
      </c>
    </row>
    <row r="2114" spans="1:38" x14ac:dyDescent="0.2">
      <c r="A2114" s="2">
        <v>2025</v>
      </c>
      <c r="B2114" s="2">
        <v>11</v>
      </c>
      <c r="D2114" s="2" t="s">
        <v>775</v>
      </c>
      <c r="E2114" s="2" t="s">
        <v>38</v>
      </c>
      <c r="F2114" s="2" t="s">
        <v>39</v>
      </c>
      <c r="G2114" s="2">
        <v>507324560</v>
      </c>
      <c r="H2114" s="2" t="s">
        <v>40</v>
      </c>
      <c r="I2114" s="2" t="s">
        <v>776</v>
      </c>
      <c r="J2114" s="2" t="s">
        <v>777</v>
      </c>
      <c r="L2114" s="2" t="s">
        <v>339</v>
      </c>
      <c r="M2114" s="2" t="s">
        <v>40</v>
      </c>
      <c r="O2114" s="2" t="s">
        <v>1998</v>
      </c>
      <c r="P2114" s="2" t="s">
        <v>187</v>
      </c>
      <c r="Q2114" s="2" t="s">
        <v>188</v>
      </c>
      <c r="R2114" s="2" t="s">
        <v>189</v>
      </c>
      <c r="S2114" s="2">
        <v>1</v>
      </c>
      <c r="T2114" s="2">
        <v>133</v>
      </c>
      <c r="U2114" s="2">
        <v>30.59</v>
      </c>
      <c r="V2114" s="2">
        <v>163.59</v>
      </c>
      <c r="W2114" s="2">
        <f>T2114*40%</f>
        <v>53.2</v>
      </c>
      <c r="X2114" s="5">
        <f t="shared" si="294"/>
        <v>0.6</v>
      </c>
      <c r="Z2114" s="2" t="s">
        <v>117</v>
      </c>
      <c r="AA2114" s="2" t="s">
        <v>190</v>
      </c>
      <c r="AB2114" s="2" t="s">
        <v>189</v>
      </c>
      <c r="AC2114" s="2" t="s">
        <v>40</v>
      </c>
      <c r="AF2114" s="2">
        <f t="shared" ref="AF2114:AF2177" si="295">AJ2114</f>
        <v>0</v>
      </c>
      <c r="AJ2114" s="2">
        <f t="shared" ref="AJ2114:AJ2177" si="296">AI2114*T2114</f>
        <v>0</v>
      </c>
      <c r="AK2114" s="2">
        <f t="shared" si="292"/>
        <v>79.8</v>
      </c>
      <c r="AL2114" s="5">
        <f t="shared" si="293"/>
        <v>0.6</v>
      </c>
    </row>
    <row r="2115" spans="1:38" x14ac:dyDescent="0.2">
      <c r="A2115" s="2">
        <v>2025</v>
      </c>
      <c r="B2115" s="2">
        <v>11</v>
      </c>
      <c r="D2115" s="2" t="s">
        <v>775</v>
      </c>
      <c r="E2115" s="2" t="s">
        <v>38</v>
      </c>
      <c r="F2115" s="2" t="s">
        <v>39</v>
      </c>
      <c r="G2115" s="2">
        <v>507324560</v>
      </c>
      <c r="H2115" s="2" t="s">
        <v>40</v>
      </c>
      <c r="I2115" s="2" t="s">
        <v>776</v>
      </c>
      <c r="J2115" s="2" t="s">
        <v>777</v>
      </c>
      <c r="L2115" s="2" t="s">
        <v>339</v>
      </c>
      <c r="M2115" s="2" t="s">
        <v>40</v>
      </c>
      <c r="O2115" s="2" t="s">
        <v>1998</v>
      </c>
      <c r="P2115" s="2" t="s">
        <v>187</v>
      </c>
      <c r="Q2115" s="2" t="s">
        <v>191</v>
      </c>
      <c r="R2115" s="2" t="s">
        <v>190</v>
      </c>
      <c r="S2115" s="2">
        <v>2</v>
      </c>
      <c r="T2115" s="2">
        <v>100</v>
      </c>
      <c r="U2115" s="2">
        <v>23</v>
      </c>
      <c r="V2115" s="2">
        <v>123</v>
      </c>
      <c r="W2115" s="2">
        <f>T2115*50%</f>
        <v>50</v>
      </c>
      <c r="X2115" s="5">
        <f t="shared" si="294"/>
        <v>0.5</v>
      </c>
      <c r="Z2115" s="2" t="s">
        <v>117</v>
      </c>
      <c r="AA2115" s="2" t="s">
        <v>190</v>
      </c>
      <c r="AB2115" s="2" t="s">
        <v>190</v>
      </c>
      <c r="AC2115" s="2" t="s">
        <v>40</v>
      </c>
      <c r="AF2115" s="2">
        <f t="shared" si="295"/>
        <v>0</v>
      </c>
      <c r="AJ2115" s="2">
        <f t="shared" si="296"/>
        <v>0</v>
      </c>
      <c r="AK2115" s="2">
        <f t="shared" si="292"/>
        <v>50</v>
      </c>
      <c r="AL2115" s="5">
        <f t="shared" si="293"/>
        <v>0.5</v>
      </c>
    </row>
    <row r="2116" spans="1:38" x14ac:dyDescent="0.2">
      <c r="A2116" s="2">
        <v>2025</v>
      </c>
      <c r="B2116" s="2">
        <v>11</v>
      </c>
      <c r="D2116" s="2" t="s">
        <v>1999</v>
      </c>
      <c r="M2116" s="2" t="s">
        <v>40</v>
      </c>
      <c r="P2116" s="2" t="s">
        <v>114</v>
      </c>
      <c r="Q2116" s="2" t="s">
        <v>904</v>
      </c>
      <c r="R2116" s="2" t="s">
        <v>905</v>
      </c>
      <c r="S2116" s="2">
        <v>1</v>
      </c>
      <c r="T2116" s="2">
        <v>699.3</v>
      </c>
      <c r="U2116" s="2">
        <v>160.839</v>
      </c>
      <c r="V2116" s="2">
        <v>860.1389999999999</v>
      </c>
      <c r="W2116" s="2">
        <v>345.20339999999999</v>
      </c>
      <c r="X2116" s="5">
        <f t="shared" si="294"/>
        <v>0.50635864435864431</v>
      </c>
      <c r="Z2116" s="2" t="s">
        <v>117</v>
      </c>
      <c r="AA2116" s="2" t="s">
        <v>181</v>
      </c>
      <c r="AB2116" s="2" t="s">
        <v>119</v>
      </c>
      <c r="AC2116" s="2" t="s">
        <v>114</v>
      </c>
      <c r="AF2116" s="2">
        <f t="shared" si="295"/>
        <v>0</v>
      </c>
      <c r="AJ2116" s="2">
        <f t="shared" si="296"/>
        <v>0</v>
      </c>
      <c r="AK2116" s="2">
        <f t="shared" si="292"/>
        <v>354.09659999999997</v>
      </c>
      <c r="AL2116" s="5">
        <f t="shared" si="293"/>
        <v>0.50635864435864431</v>
      </c>
    </row>
    <row r="2117" spans="1:38" x14ac:dyDescent="0.2">
      <c r="A2117" s="2">
        <v>2025</v>
      </c>
      <c r="B2117" s="2">
        <v>11</v>
      </c>
      <c r="D2117" s="2" t="s">
        <v>1999</v>
      </c>
      <c r="M2117" s="2" t="s">
        <v>40</v>
      </c>
      <c r="P2117" s="2" t="s">
        <v>187</v>
      </c>
      <c r="Q2117" s="2" t="s">
        <v>188</v>
      </c>
      <c r="R2117" s="2" t="s">
        <v>189</v>
      </c>
      <c r="S2117" s="2">
        <v>1</v>
      </c>
      <c r="T2117" s="2">
        <v>50</v>
      </c>
      <c r="U2117" s="2">
        <v>11.5</v>
      </c>
      <c r="V2117" s="2">
        <v>61.5</v>
      </c>
      <c r="W2117" s="2">
        <f>T2117*40%</f>
        <v>20</v>
      </c>
      <c r="X2117" s="5">
        <f t="shared" si="294"/>
        <v>0.6</v>
      </c>
      <c r="Z2117" s="2" t="s">
        <v>117</v>
      </c>
      <c r="AA2117" s="2" t="s">
        <v>190</v>
      </c>
      <c r="AB2117" s="2" t="s">
        <v>189</v>
      </c>
      <c r="AC2117" s="2" t="s">
        <v>40</v>
      </c>
      <c r="AF2117" s="2">
        <f t="shared" si="295"/>
        <v>0</v>
      </c>
      <c r="AJ2117" s="2">
        <f t="shared" si="296"/>
        <v>0</v>
      </c>
      <c r="AK2117" s="2">
        <f t="shared" si="292"/>
        <v>30</v>
      </c>
      <c r="AL2117" s="5">
        <f t="shared" si="293"/>
        <v>0.6</v>
      </c>
    </row>
    <row r="2118" spans="1:38" x14ac:dyDescent="0.2">
      <c r="A2118" s="2">
        <v>2025</v>
      </c>
      <c r="B2118" s="2">
        <v>11</v>
      </c>
      <c r="D2118" s="2" t="s">
        <v>1999</v>
      </c>
      <c r="M2118" s="2" t="s">
        <v>40</v>
      </c>
      <c r="P2118" s="2" t="s">
        <v>187</v>
      </c>
      <c r="Q2118" s="2" t="s">
        <v>191</v>
      </c>
      <c r="R2118" s="2" t="s">
        <v>190</v>
      </c>
      <c r="S2118" s="2">
        <v>1</v>
      </c>
      <c r="T2118" s="2">
        <v>50</v>
      </c>
      <c r="U2118" s="2">
        <v>11.5</v>
      </c>
      <c r="V2118" s="2">
        <v>61.5</v>
      </c>
      <c r="W2118" s="2">
        <f>T2118*50%</f>
        <v>25</v>
      </c>
      <c r="X2118" s="5">
        <f t="shared" ref="X2118:X2124" si="297">(T2118-W2118)/T2118</f>
        <v>0.5</v>
      </c>
      <c r="Z2118" s="2" t="s">
        <v>117</v>
      </c>
      <c r="AA2118" s="2" t="s">
        <v>190</v>
      </c>
      <c r="AB2118" s="2" t="s">
        <v>190</v>
      </c>
      <c r="AC2118" s="2" t="s">
        <v>40</v>
      </c>
      <c r="AF2118" s="2">
        <f t="shared" si="295"/>
        <v>0</v>
      </c>
      <c r="AJ2118" s="2">
        <f t="shared" si="296"/>
        <v>0</v>
      </c>
      <c r="AK2118" s="2">
        <f t="shared" si="292"/>
        <v>25</v>
      </c>
      <c r="AL2118" s="5">
        <f t="shared" ref="AL2118:AL2144" si="298">(T2118-W2118)/T2118</f>
        <v>0.5</v>
      </c>
    </row>
    <row r="2119" spans="1:38" x14ac:dyDescent="0.2">
      <c r="A2119" s="2">
        <v>2025</v>
      </c>
      <c r="B2119" s="2">
        <v>11</v>
      </c>
      <c r="D2119" s="2" t="s">
        <v>390</v>
      </c>
      <c r="P2119" s="2" t="s">
        <v>72</v>
      </c>
      <c r="Q2119" s="2" t="s">
        <v>1134</v>
      </c>
      <c r="R2119" s="2" t="s">
        <v>534</v>
      </c>
      <c r="S2119" s="2">
        <v>1</v>
      </c>
      <c r="T2119" s="2">
        <v>220</v>
      </c>
      <c r="U2119" s="2">
        <v>50.6</v>
      </c>
      <c r="V2119" s="2">
        <v>270.60000000000002</v>
      </c>
      <c r="W2119" s="2">
        <v>122.25</v>
      </c>
      <c r="X2119" s="5">
        <f t="shared" si="297"/>
        <v>0.44431818181818183</v>
      </c>
      <c r="Z2119" s="2" t="s">
        <v>3227</v>
      </c>
      <c r="AA2119" s="2" t="s">
        <v>75</v>
      </c>
      <c r="AB2119" s="2" t="s">
        <v>76</v>
      </c>
      <c r="AC2119" s="2" t="s">
        <v>77</v>
      </c>
      <c r="AF2119" s="2">
        <f t="shared" si="295"/>
        <v>0</v>
      </c>
      <c r="AJ2119" s="2">
        <f t="shared" si="296"/>
        <v>0</v>
      </c>
      <c r="AK2119" s="2">
        <f t="shared" si="292"/>
        <v>97.75</v>
      </c>
      <c r="AL2119" s="5">
        <f t="shared" si="298"/>
        <v>0.44431818181818183</v>
      </c>
    </row>
    <row r="2120" spans="1:38" x14ac:dyDescent="0.2">
      <c r="A2120" s="2">
        <v>2025</v>
      </c>
      <c r="B2120" s="2">
        <v>11</v>
      </c>
      <c r="D2120" s="2" t="s">
        <v>390</v>
      </c>
      <c r="P2120" s="2" t="s">
        <v>93</v>
      </c>
      <c r="Q2120" s="2" t="s">
        <v>94</v>
      </c>
      <c r="R2120" s="2" t="s">
        <v>95</v>
      </c>
      <c r="S2120" s="2">
        <v>1</v>
      </c>
      <c r="T2120" s="2">
        <v>1.1399999999999999</v>
      </c>
      <c r="U2120" s="2">
        <v>0.26219999999999999</v>
      </c>
      <c r="V2120" s="2">
        <v>1.4021999999999999</v>
      </c>
      <c r="W2120" s="2">
        <v>1.1399999999999999</v>
      </c>
      <c r="X2120" s="5">
        <f t="shared" si="297"/>
        <v>0</v>
      </c>
      <c r="Z2120" s="2" t="s">
        <v>3227</v>
      </c>
      <c r="AA2120" s="2" t="s">
        <v>96</v>
      </c>
      <c r="AB2120" s="2" t="s">
        <v>76</v>
      </c>
      <c r="AC2120" s="2" t="s">
        <v>93</v>
      </c>
      <c r="AF2120" s="2">
        <f t="shared" si="295"/>
        <v>0</v>
      </c>
      <c r="AJ2120" s="2">
        <f t="shared" si="296"/>
        <v>0</v>
      </c>
      <c r="AK2120" s="2">
        <f t="shared" si="292"/>
        <v>0</v>
      </c>
      <c r="AL2120" s="5">
        <f t="shared" si="298"/>
        <v>0</v>
      </c>
    </row>
    <row r="2121" spans="1:38" x14ac:dyDescent="0.2">
      <c r="A2121" s="2">
        <v>2025</v>
      </c>
      <c r="B2121" s="2">
        <v>11</v>
      </c>
      <c r="D2121" s="2" t="s">
        <v>1008</v>
      </c>
      <c r="E2121" s="2" t="s">
        <v>108</v>
      </c>
      <c r="F2121" s="2" t="s">
        <v>39</v>
      </c>
      <c r="L2121" s="2" t="s">
        <v>418</v>
      </c>
      <c r="M2121" s="2" t="s">
        <v>41</v>
      </c>
      <c r="P2121" s="2" t="s">
        <v>282</v>
      </c>
      <c r="Q2121" s="2" t="s">
        <v>2000</v>
      </c>
      <c r="R2121" s="2" t="s">
        <v>2001</v>
      </c>
      <c r="S2121" s="2">
        <v>1</v>
      </c>
      <c r="T2121" s="2">
        <v>430</v>
      </c>
      <c r="U2121" s="2">
        <v>98.9</v>
      </c>
      <c r="V2121" s="2">
        <v>528.9</v>
      </c>
      <c r="X2121" s="5">
        <f t="shared" si="297"/>
        <v>1</v>
      </c>
      <c r="Z2121" s="2" t="s">
        <v>3227</v>
      </c>
      <c r="AF2121" s="2">
        <f t="shared" si="295"/>
        <v>0</v>
      </c>
      <c r="AJ2121" s="2">
        <f t="shared" si="296"/>
        <v>0</v>
      </c>
      <c r="AK2121" s="2">
        <f t="shared" si="292"/>
        <v>430</v>
      </c>
      <c r="AL2121" s="5">
        <f t="shared" si="298"/>
        <v>1</v>
      </c>
    </row>
    <row r="2122" spans="1:38" x14ac:dyDescent="0.2">
      <c r="A2122" s="2">
        <v>2025</v>
      </c>
      <c r="B2122" s="2">
        <v>11</v>
      </c>
      <c r="D2122" s="2" t="s">
        <v>781</v>
      </c>
      <c r="E2122" s="2" t="s">
        <v>38</v>
      </c>
      <c r="F2122" s="2" t="s">
        <v>39</v>
      </c>
      <c r="G2122" s="2">
        <v>510219675</v>
      </c>
      <c r="H2122" s="2" t="s">
        <v>40</v>
      </c>
      <c r="I2122" s="2" t="s">
        <v>782</v>
      </c>
      <c r="J2122" s="2" t="s">
        <v>783</v>
      </c>
      <c r="K2122" s="2">
        <v>917341136</v>
      </c>
      <c r="L2122" s="2" t="s">
        <v>99</v>
      </c>
      <c r="P2122" s="2" t="s">
        <v>114</v>
      </c>
      <c r="Q2122" s="2" t="s">
        <v>2002</v>
      </c>
      <c r="R2122" s="2" t="s">
        <v>2003</v>
      </c>
      <c r="S2122" s="2">
        <v>1</v>
      </c>
      <c r="T2122" s="2">
        <v>7.94</v>
      </c>
      <c r="U2122" s="2">
        <v>1.8262</v>
      </c>
      <c r="V2122" s="2">
        <v>9.7662000000000013</v>
      </c>
      <c r="X2122" s="5">
        <f t="shared" si="297"/>
        <v>1</v>
      </c>
      <c r="Z2122" s="2" t="s">
        <v>117</v>
      </c>
      <c r="AF2122" s="2">
        <f t="shared" si="295"/>
        <v>0</v>
      </c>
      <c r="AJ2122" s="2">
        <f t="shared" si="296"/>
        <v>0</v>
      </c>
      <c r="AK2122" s="2">
        <f t="shared" si="292"/>
        <v>7.94</v>
      </c>
      <c r="AL2122" s="5">
        <f t="shared" si="298"/>
        <v>1</v>
      </c>
    </row>
    <row r="2123" spans="1:38" x14ac:dyDescent="0.2">
      <c r="A2123" s="2">
        <v>2025</v>
      </c>
      <c r="B2123" s="2">
        <v>11</v>
      </c>
      <c r="D2123" s="2" t="s">
        <v>781</v>
      </c>
      <c r="E2123" s="2" t="s">
        <v>38</v>
      </c>
      <c r="F2123" s="2" t="s">
        <v>39</v>
      </c>
      <c r="G2123" s="2">
        <v>510219675</v>
      </c>
      <c r="H2123" s="2" t="s">
        <v>40</v>
      </c>
      <c r="I2123" s="2" t="s">
        <v>782</v>
      </c>
      <c r="J2123" s="2" t="s">
        <v>783</v>
      </c>
      <c r="K2123" s="2">
        <v>917341136</v>
      </c>
      <c r="L2123" s="2" t="s">
        <v>99</v>
      </c>
      <c r="P2123" s="2" t="s">
        <v>43</v>
      </c>
      <c r="Q2123" s="2" t="s">
        <v>54</v>
      </c>
      <c r="R2123" s="2" t="s">
        <v>55</v>
      </c>
      <c r="S2123" s="2">
        <v>1</v>
      </c>
      <c r="T2123" s="2">
        <v>18</v>
      </c>
      <c r="U2123" s="2">
        <v>4.1400000000000006</v>
      </c>
      <c r="V2123" s="2">
        <v>22.14</v>
      </c>
      <c r="W2123" s="2">
        <f>10.6*S2123</f>
        <v>10.6</v>
      </c>
      <c r="X2123" s="5">
        <f t="shared" si="297"/>
        <v>0.41111111111111115</v>
      </c>
      <c r="Z2123" s="2" t="s">
        <v>3227</v>
      </c>
      <c r="AA2123" s="2" t="s">
        <v>46</v>
      </c>
      <c r="AB2123" s="2" t="s">
        <v>56</v>
      </c>
      <c r="AC2123" s="2" t="s">
        <v>57</v>
      </c>
      <c r="AF2123" s="2">
        <f t="shared" si="295"/>
        <v>0</v>
      </c>
      <c r="AG2123" s="2">
        <v>10.6</v>
      </c>
      <c r="AH2123" s="2">
        <v>18</v>
      </c>
      <c r="AJ2123" s="2">
        <f t="shared" si="296"/>
        <v>0</v>
      </c>
      <c r="AK2123" s="2">
        <f t="shared" si="292"/>
        <v>7.4</v>
      </c>
      <c r="AL2123" s="5">
        <f t="shared" si="298"/>
        <v>0.41111111111111115</v>
      </c>
    </row>
    <row r="2124" spans="1:38" x14ac:dyDescent="0.2">
      <c r="A2124" s="2">
        <v>2025</v>
      </c>
      <c r="B2124" s="2">
        <v>11</v>
      </c>
      <c r="D2124" s="2" t="s">
        <v>2004</v>
      </c>
      <c r="Q2124" s="2" t="s">
        <v>2005</v>
      </c>
      <c r="R2124" s="2" t="s">
        <v>2006</v>
      </c>
      <c r="S2124" s="2">
        <v>1</v>
      </c>
      <c r="T2124" s="2">
        <v>1000</v>
      </c>
      <c r="U2124" s="2">
        <v>230</v>
      </c>
      <c r="V2124" s="2">
        <v>1230</v>
      </c>
      <c r="X2124" s="5">
        <f t="shared" si="297"/>
        <v>1</v>
      </c>
      <c r="Z2124" s="2" t="s">
        <v>104</v>
      </c>
      <c r="AF2124" s="2">
        <f t="shared" si="295"/>
        <v>0</v>
      </c>
      <c r="AJ2124" s="2">
        <f t="shared" si="296"/>
        <v>0</v>
      </c>
      <c r="AK2124" s="2">
        <f t="shared" si="292"/>
        <v>1000</v>
      </c>
      <c r="AL2124" s="5">
        <f t="shared" si="298"/>
        <v>1</v>
      </c>
    </row>
    <row r="2125" spans="1:38" x14ac:dyDescent="0.2">
      <c r="A2125" s="2">
        <v>2025</v>
      </c>
      <c r="B2125" s="2">
        <v>11</v>
      </c>
      <c r="D2125" s="2" t="s">
        <v>2007</v>
      </c>
      <c r="P2125" s="2" t="s">
        <v>114</v>
      </c>
      <c r="Q2125" s="2" t="s">
        <v>834</v>
      </c>
      <c r="R2125" s="2" t="s">
        <v>835</v>
      </c>
      <c r="S2125" s="2">
        <v>1</v>
      </c>
      <c r="T2125" s="2">
        <v>0</v>
      </c>
      <c r="U2125" s="2">
        <v>0</v>
      </c>
      <c r="V2125" s="2">
        <v>0</v>
      </c>
      <c r="X2125" s="5">
        <v>0</v>
      </c>
      <c r="Z2125" s="2" t="s">
        <v>117</v>
      </c>
      <c r="AF2125" s="2">
        <f t="shared" si="295"/>
        <v>0</v>
      </c>
      <c r="AJ2125" s="2">
        <f t="shared" si="296"/>
        <v>0</v>
      </c>
      <c r="AK2125" s="2">
        <f t="shared" si="292"/>
        <v>0</v>
      </c>
      <c r="AL2125" s="5" t="e">
        <f t="shared" si="298"/>
        <v>#DIV/0!</v>
      </c>
    </row>
    <row r="2126" spans="1:38" x14ac:dyDescent="0.2">
      <c r="A2126" s="2">
        <v>2025</v>
      </c>
      <c r="B2126" s="2">
        <v>11</v>
      </c>
      <c r="D2126" s="2" t="s">
        <v>2007</v>
      </c>
      <c r="P2126" s="2" t="s">
        <v>114</v>
      </c>
      <c r="Q2126" s="2" t="s">
        <v>836</v>
      </c>
      <c r="R2126" s="2" t="s">
        <v>837</v>
      </c>
      <c r="S2126" s="2">
        <v>1</v>
      </c>
      <c r="T2126" s="2">
        <v>13990</v>
      </c>
      <c r="U2126" s="2">
        <v>3217.7</v>
      </c>
      <c r="V2126" s="2">
        <v>17207.7</v>
      </c>
      <c r="X2126" s="5">
        <f t="shared" ref="X2126:X2144" si="299">(T2126-W2126)/T2126</f>
        <v>1</v>
      </c>
      <c r="Z2126" s="2" t="s">
        <v>104</v>
      </c>
      <c r="AF2126" s="2">
        <f t="shared" si="295"/>
        <v>0</v>
      </c>
      <c r="AJ2126" s="2">
        <f t="shared" si="296"/>
        <v>0</v>
      </c>
      <c r="AK2126" s="2">
        <f t="shared" si="292"/>
        <v>13990</v>
      </c>
      <c r="AL2126" s="5">
        <f t="shared" si="298"/>
        <v>1</v>
      </c>
    </row>
    <row r="2127" spans="1:38" x14ac:dyDescent="0.2">
      <c r="A2127" s="2">
        <v>2025</v>
      </c>
      <c r="B2127" s="2">
        <v>11</v>
      </c>
      <c r="D2127" s="2" t="s">
        <v>2008</v>
      </c>
      <c r="E2127" s="2" t="s">
        <v>38</v>
      </c>
      <c r="F2127" s="2" t="s">
        <v>39</v>
      </c>
      <c r="L2127" s="2" t="s">
        <v>571</v>
      </c>
      <c r="M2127" s="2" t="s">
        <v>40</v>
      </c>
      <c r="P2127" s="2" t="s">
        <v>114</v>
      </c>
      <c r="Q2127" s="2" t="s">
        <v>978</v>
      </c>
      <c r="R2127" s="2" t="s">
        <v>979</v>
      </c>
      <c r="S2127" s="2">
        <v>1</v>
      </c>
      <c r="T2127" s="2">
        <v>79.819999999999993</v>
      </c>
      <c r="U2127" s="2">
        <v>18.358599999999999</v>
      </c>
      <c r="V2127" s="2">
        <v>98.178599999999989</v>
      </c>
      <c r="X2127" s="5">
        <f t="shared" si="299"/>
        <v>1</v>
      </c>
      <c r="Z2127" s="2" t="s">
        <v>117</v>
      </c>
      <c r="AF2127" s="2">
        <f t="shared" si="295"/>
        <v>0</v>
      </c>
      <c r="AJ2127" s="2">
        <f t="shared" si="296"/>
        <v>0</v>
      </c>
      <c r="AK2127" s="2">
        <f t="shared" si="292"/>
        <v>79.819999999999993</v>
      </c>
      <c r="AL2127" s="5">
        <f t="shared" si="298"/>
        <v>1</v>
      </c>
    </row>
    <row r="2128" spans="1:38" x14ac:dyDescent="0.2">
      <c r="A2128" s="2">
        <v>2025</v>
      </c>
      <c r="B2128" s="2">
        <v>11</v>
      </c>
      <c r="D2128" s="2" t="s">
        <v>2008</v>
      </c>
      <c r="E2128" s="2" t="s">
        <v>38</v>
      </c>
      <c r="F2128" s="2" t="s">
        <v>39</v>
      </c>
      <c r="L2128" s="2" t="s">
        <v>571</v>
      </c>
      <c r="M2128" s="2" t="s">
        <v>40</v>
      </c>
      <c r="P2128" s="2" t="s">
        <v>187</v>
      </c>
      <c r="Q2128" s="2" t="s">
        <v>188</v>
      </c>
      <c r="R2128" s="2" t="s">
        <v>189</v>
      </c>
      <c r="S2128" s="2">
        <v>1</v>
      </c>
      <c r="T2128" s="2">
        <v>153</v>
      </c>
      <c r="U2128" s="2">
        <v>35.19</v>
      </c>
      <c r="V2128" s="2">
        <v>188.19</v>
      </c>
      <c r="W2128" s="2">
        <f>T2128*40%</f>
        <v>61.2</v>
      </c>
      <c r="X2128" s="5">
        <f t="shared" si="299"/>
        <v>0.6</v>
      </c>
      <c r="Z2128" s="2" t="s">
        <v>117</v>
      </c>
      <c r="AA2128" s="2" t="s">
        <v>190</v>
      </c>
      <c r="AB2128" s="2" t="s">
        <v>189</v>
      </c>
      <c r="AC2128" s="2" t="s">
        <v>40</v>
      </c>
      <c r="AF2128" s="2">
        <f t="shared" si="295"/>
        <v>0</v>
      </c>
      <c r="AJ2128" s="2">
        <f t="shared" si="296"/>
        <v>0</v>
      </c>
      <c r="AK2128" s="2">
        <f t="shared" si="292"/>
        <v>91.8</v>
      </c>
      <c r="AL2128" s="5">
        <f t="shared" si="298"/>
        <v>0.6</v>
      </c>
    </row>
    <row r="2129" spans="1:38" x14ac:dyDescent="0.2">
      <c r="A2129" s="2">
        <v>2025</v>
      </c>
      <c r="B2129" s="2">
        <v>11</v>
      </c>
      <c r="D2129" s="2" t="s">
        <v>2008</v>
      </c>
      <c r="E2129" s="2" t="s">
        <v>38</v>
      </c>
      <c r="F2129" s="2" t="s">
        <v>39</v>
      </c>
      <c r="L2129" s="2" t="s">
        <v>571</v>
      </c>
      <c r="M2129" s="2" t="s">
        <v>40</v>
      </c>
      <c r="P2129" s="2" t="s">
        <v>187</v>
      </c>
      <c r="Q2129" s="2" t="s">
        <v>191</v>
      </c>
      <c r="R2129" s="2" t="s">
        <v>190</v>
      </c>
      <c r="S2129" s="2">
        <v>1</v>
      </c>
      <c r="T2129" s="2">
        <v>50</v>
      </c>
      <c r="U2129" s="2">
        <v>11.5</v>
      </c>
      <c r="V2129" s="2">
        <v>61.5</v>
      </c>
      <c r="W2129" s="2">
        <f>T2129*50%</f>
        <v>25</v>
      </c>
      <c r="X2129" s="5">
        <f t="shared" si="299"/>
        <v>0.5</v>
      </c>
      <c r="Z2129" s="2" t="s">
        <v>117</v>
      </c>
      <c r="AA2129" s="2" t="s">
        <v>190</v>
      </c>
      <c r="AB2129" s="2" t="s">
        <v>190</v>
      </c>
      <c r="AC2129" s="2" t="s">
        <v>40</v>
      </c>
      <c r="AF2129" s="2">
        <f t="shared" si="295"/>
        <v>0</v>
      </c>
      <c r="AJ2129" s="2">
        <f t="shared" si="296"/>
        <v>0</v>
      </c>
      <c r="AK2129" s="2">
        <f t="shared" si="292"/>
        <v>25</v>
      </c>
      <c r="AL2129" s="5">
        <f t="shared" si="298"/>
        <v>0.5</v>
      </c>
    </row>
    <row r="2130" spans="1:38" x14ac:dyDescent="0.2">
      <c r="A2130" s="2">
        <v>2025</v>
      </c>
      <c r="B2130" s="2">
        <v>11</v>
      </c>
      <c r="D2130" s="2" t="s">
        <v>403</v>
      </c>
      <c r="E2130" s="2" t="s">
        <v>38</v>
      </c>
      <c r="F2130" s="2" t="s">
        <v>39</v>
      </c>
      <c r="G2130" s="2">
        <v>109095197</v>
      </c>
      <c r="H2130" s="2" t="s">
        <v>40</v>
      </c>
      <c r="I2130" s="2" t="s">
        <v>2476</v>
      </c>
      <c r="J2130" s="2" t="s">
        <v>3123</v>
      </c>
      <c r="K2130" s="2">
        <v>965864665</v>
      </c>
      <c r="L2130" s="2" t="s">
        <v>344</v>
      </c>
      <c r="M2130" s="2" t="s">
        <v>80</v>
      </c>
      <c r="O2130" s="2" t="s">
        <v>3127</v>
      </c>
      <c r="P2130" s="2" t="s">
        <v>72</v>
      </c>
      <c r="Q2130" s="2" t="s">
        <v>73</v>
      </c>
      <c r="R2130" s="2" t="s">
        <v>74</v>
      </c>
      <c r="S2130" s="2">
        <v>1</v>
      </c>
      <c r="T2130" s="2">
        <v>220</v>
      </c>
      <c r="U2130" s="2">
        <v>50.6</v>
      </c>
      <c r="V2130" s="2">
        <v>270.60000000000002</v>
      </c>
      <c r="W2130" s="2">
        <v>117.453</v>
      </c>
      <c r="X2130" s="5">
        <f t="shared" si="299"/>
        <v>0.46612272727272724</v>
      </c>
      <c r="Z2130" s="2" t="s">
        <v>3227</v>
      </c>
      <c r="AA2130" s="2" t="s">
        <v>75</v>
      </c>
      <c r="AB2130" s="2" t="s">
        <v>76</v>
      </c>
      <c r="AC2130" s="2" t="s">
        <v>77</v>
      </c>
      <c r="AF2130" s="2">
        <f t="shared" si="295"/>
        <v>0</v>
      </c>
      <c r="AG2130" s="2">
        <v>117.453</v>
      </c>
      <c r="AH2130" s="2">
        <v>220</v>
      </c>
      <c r="AJ2130" s="2">
        <f t="shared" si="296"/>
        <v>0</v>
      </c>
      <c r="AK2130" s="2">
        <f t="shared" si="292"/>
        <v>102.547</v>
      </c>
      <c r="AL2130" s="5">
        <f t="shared" si="298"/>
        <v>0.46612272727272724</v>
      </c>
    </row>
    <row r="2131" spans="1:38" x14ac:dyDescent="0.2">
      <c r="A2131" s="2">
        <v>2025</v>
      </c>
      <c r="B2131" s="2">
        <v>11</v>
      </c>
      <c r="D2131" s="2" t="s">
        <v>403</v>
      </c>
      <c r="E2131" s="2" t="s">
        <v>38</v>
      </c>
      <c r="F2131" s="2" t="s">
        <v>39</v>
      </c>
      <c r="G2131" s="2">
        <v>109095197</v>
      </c>
      <c r="H2131" s="2" t="s">
        <v>40</v>
      </c>
      <c r="I2131" s="2" t="s">
        <v>2476</v>
      </c>
      <c r="J2131" s="2" t="s">
        <v>3123</v>
      </c>
      <c r="K2131" s="2">
        <v>965864665</v>
      </c>
      <c r="L2131" s="2" t="s">
        <v>344</v>
      </c>
      <c r="M2131" s="2" t="s">
        <v>80</v>
      </c>
      <c r="O2131" s="2" t="s">
        <v>3127</v>
      </c>
      <c r="P2131" s="2" t="s">
        <v>93</v>
      </c>
      <c r="Q2131" s="2" t="s">
        <v>94</v>
      </c>
      <c r="R2131" s="2" t="s">
        <v>95</v>
      </c>
      <c r="S2131" s="2">
        <v>1</v>
      </c>
      <c r="T2131" s="2">
        <v>1.1399999999999999</v>
      </c>
      <c r="U2131" s="2">
        <v>0.26219999999999999</v>
      </c>
      <c r="V2131" s="2">
        <v>1.4021999999999999</v>
      </c>
      <c r="W2131" s="2">
        <v>1.1399999999999999</v>
      </c>
      <c r="X2131" s="5">
        <f t="shared" si="299"/>
        <v>0</v>
      </c>
      <c r="Z2131" s="2" t="s">
        <v>3227</v>
      </c>
      <c r="AA2131" s="2" t="s">
        <v>96</v>
      </c>
      <c r="AB2131" s="2" t="s">
        <v>76</v>
      </c>
      <c r="AC2131" s="2" t="s">
        <v>93</v>
      </c>
      <c r="AF2131" s="2">
        <f t="shared" si="295"/>
        <v>0</v>
      </c>
      <c r="AJ2131" s="2">
        <f t="shared" si="296"/>
        <v>0</v>
      </c>
      <c r="AK2131" s="2">
        <f t="shared" ref="AK2131:AK2194" si="300">T2131-W2131</f>
        <v>0</v>
      </c>
      <c r="AL2131" s="5">
        <f t="shared" si="298"/>
        <v>0</v>
      </c>
    </row>
    <row r="2132" spans="1:38" x14ac:dyDescent="0.2">
      <c r="A2132" s="2">
        <v>2025</v>
      </c>
      <c r="B2132" s="2">
        <v>11</v>
      </c>
      <c r="D2132" s="2" t="s">
        <v>415</v>
      </c>
      <c r="E2132" s="2" t="s">
        <v>38</v>
      </c>
      <c r="F2132" s="2" t="s">
        <v>39</v>
      </c>
      <c r="G2132" s="2">
        <v>219908800</v>
      </c>
      <c r="H2132" s="2" t="s">
        <v>41</v>
      </c>
      <c r="I2132" s="2" t="s">
        <v>416</v>
      </c>
      <c r="J2132" s="2" t="s">
        <v>417</v>
      </c>
      <c r="L2132" s="2" t="s">
        <v>418</v>
      </c>
      <c r="M2132" s="2" t="s">
        <v>41</v>
      </c>
      <c r="P2132" s="2" t="s">
        <v>43</v>
      </c>
      <c r="Q2132" s="2" t="s">
        <v>58</v>
      </c>
      <c r="R2132" s="2" t="s">
        <v>59</v>
      </c>
      <c r="S2132" s="2">
        <v>100</v>
      </c>
      <c r="T2132" s="2">
        <v>13</v>
      </c>
      <c r="U2132" s="2">
        <v>2.99</v>
      </c>
      <c r="V2132" s="2">
        <v>15.99</v>
      </c>
      <c r="W2132" s="2">
        <f>0.0914*S2132</f>
        <v>9.1399999999999988</v>
      </c>
      <c r="X2132" s="5">
        <f t="shared" si="299"/>
        <v>0.29692307692307701</v>
      </c>
      <c r="Z2132" s="2" t="s">
        <v>3227</v>
      </c>
      <c r="AA2132" s="2" t="s">
        <v>46</v>
      </c>
      <c r="AB2132" s="2" t="s">
        <v>60</v>
      </c>
      <c r="AC2132" s="2" t="s">
        <v>57</v>
      </c>
      <c r="AF2132" s="2">
        <f t="shared" si="295"/>
        <v>0</v>
      </c>
      <c r="AG2132" s="2">
        <v>9.14</v>
      </c>
      <c r="AH2132" s="2">
        <v>16</v>
      </c>
      <c r="AJ2132" s="2">
        <f t="shared" si="296"/>
        <v>0</v>
      </c>
      <c r="AK2132" s="2">
        <f t="shared" si="300"/>
        <v>3.8600000000000012</v>
      </c>
      <c r="AL2132" s="5">
        <f t="shared" si="298"/>
        <v>0.29692307692307701</v>
      </c>
    </row>
    <row r="2133" spans="1:38" x14ac:dyDescent="0.2">
      <c r="A2133" s="2">
        <v>2025</v>
      </c>
      <c r="B2133" s="2">
        <v>11</v>
      </c>
      <c r="D2133" s="2" t="s">
        <v>415</v>
      </c>
      <c r="E2133" s="2" t="s">
        <v>38</v>
      </c>
      <c r="F2133" s="2" t="s">
        <v>39</v>
      </c>
      <c r="G2133" s="2">
        <v>219908800</v>
      </c>
      <c r="H2133" s="2" t="s">
        <v>41</v>
      </c>
      <c r="I2133" s="2" t="s">
        <v>416</v>
      </c>
      <c r="J2133" s="2" t="s">
        <v>417</v>
      </c>
      <c r="L2133" s="2" t="s">
        <v>418</v>
      </c>
      <c r="M2133" s="2" t="s">
        <v>41</v>
      </c>
      <c r="P2133" s="2" t="s">
        <v>43</v>
      </c>
      <c r="Q2133" s="2" t="s">
        <v>420</v>
      </c>
      <c r="R2133" s="2" t="s">
        <v>421</v>
      </c>
      <c r="S2133" s="2">
        <v>4</v>
      </c>
      <c r="T2133" s="2">
        <v>26.4</v>
      </c>
      <c r="U2133" s="2">
        <v>6.0720000000000001</v>
      </c>
      <c r="V2133" s="2">
        <v>32.472000000000001</v>
      </c>
      <c r="W2133" s="2">
        <f>3.7556*S2133</f>
        <v>15.022399999999999</v>
      </c>
      <c r="X2133" s="5">
        <f t="shared" si="299"/>
        <v>0.43096969696969695</v>
      </c>
      <c r="Z2133" s="2" t="s">
        <v>3227</v>
      </c>
      <c r="AA2133" s="2" t="s">
        <v>46</v>
      </c>
      <c r="AB2133" s="2" t="s">
        <v>60</v>
      </c>
      <c r="AC2133" s="2" t="s">
        <v>57</v>
      </c>
      <c r="AF2133" s="2">
        <f t="shared" si="295"/>
        <v>0</v>
      </c>
      <c r="AG2133" s="2">
        <v>3.7555999999999998</v>
      </c>
      <c r="AH2133" s="2">
        <v>7.2</v>
      </c>
      <c r="AJ2133" s="2">
        <f t="shared" si="296"/>
        <v>0</v>
      </c>
      <c r="AK2133" s="2">
        <f t="shared" si="300"/>
        <v>11.377599999999999</v>
      </c>
      <c r="AL2133" s="5">
        <f t="shared" si="298"/>
        <v>0.43096969696969695</v>
      </c>
    </row>
    <row r="2134" spans="1:38" x14ac:dyDescent="0.2">
      <c r="A2134" s="2">
        <v>2025</v>
      </c>
      <c r="B2134" s="2">
        <v>11</v>
      </c>
      <c r="D2134" s="2" t="s">
        <v>415</v>
      </c>
      <c r="E2134" s="2" t="s">
        <v>38</v>
      </c>
      <c r="F2134" s="2" t="s">
        <v>39</v>
      </c>
      <c r="G2134" s="2">
        <v>219908800</v>
      </c>
      <c r="H2134" s="2" t="s">
        <v>41</v>
      </c>
      <c r="I2134" s="2" t="s">
        <v>416</v>
      </c>
      <c r="J2134" s="2" t="s">
        <v>417</v>
      </c>
      <c r="L2134" s="2" t="s">
        <v>418</v>
      </c>
      <c r="P2134" s="2" t="s">
        <v>169</v>
      </c>
      <c r="Q2134" s="2" t="s">
        <v>170</v>
      </c>
      <c r="R2134" s="2" t="s">
        <v>170</v>
      </c>
      <c r="S2134" s="2">
        <v>1</v>
      </c>
      <c r="T2134" s="2">
        <v>5</v>
      </c>
      <c r="U2134" s="2">
        <v>1.1499999999999999</v>
      </c>
      <c r="V2134" s="2">
        <v>6.15</v>
      </c>
      <c r="W2134" s="2">
        <v>6</v>
      </c>
      <c r="X2134" s="5">
        <f t="shared" si="299"/>
        <v>-0.2</v>
      </c>
      <c r="Z2134" s="2" t="s">
        <v>169</v>
      </c>
      <c r="AA2134" s="2" t="s">
        <v>169</v>
      </c>
      <c r="AF2134" s="2">
        <f t="shared" si="295"/>
        <v>0</v>
      </c>
      <c r="AJ2134" s="2">
        <f t="shared" si="296"/>
        <v>0</v>
      </c>
      <c r="AK2134" s="2">
        <f t="shared" si="300"/>
        <v>-1</v>
      </c>
      <c r="AL2134" s="5">
        <f t="shared" si="298"/>
        <v>-0.2</v>
      </c>
    </row>
    <row r="2135" spans="1:38" x14ac:dyDescent="0.2">
      <c r="A2135" s="2">
        <v>2025</v>
      </c>
      <c r="B2135" s="2">
        <v>11</v>
      </c>
      <c r="D2135" s="2" t="s">
        <v>2009</v>
      </c>
      <c r="M2135" s="2" t="s">
        <v>40</v>
      </c>
      <c r="P2135" s="2" t="s">
        <v>187</v>
      </c>
      <c r="Q2135" s="2" t="s">
        <v>188</v>
      </c>
      <c r="R2135" s="2" t="s">
        <v>189</v>
      </c>
      <c r="S2135" s="2">
        <v>1</v>
      </c>
      <c r="T2135" s="2">
        <v>106</v>
      </c>
      <c r="U2135" s="2">
        <v>24.38</v>
      </c>
      <c r="V2135" s="2">
        <v>130.38</v>
      </c>
      <c r="W2135" s="2">
        <f>T2135*40%</f>
        <v>42.400000000000006</v>
      </c>
      <c r="X2135" s="5">
        <f t="shared" si="299"/>
        <v>0.6</v>
      </c>
      <c r="Z2135" s="2" t="s">
        <v>117</v>
      </c>
      <c r="AA2135" s="2" t="s">
        <v>190</v>
      </c>
      <c r="AB2135" s="2" t="s">
        <v>189</v>
      </c>
      <c r="AC2135" s="2" t="s">
        <v>40</v>
      </c>
      <c r="AF2135" s="2">
        <f t="shared" si="295"/>
        <v>0</v>
      </c>
      <c r="AJ2135" s="2">
        <f t="shared" si="296"/>
        <v>0</v>
      </c>
      <c r="AK2135" s="2">
        <f t="shared" si="300"/>
        <v>63.599999999999994</v>
      </c>
      <c r="AL2135" s="5">
        <f t="shared" si="298"/>
        <v>0.6</v>
      </c>
    </row>
    <row r="2136" spans="1:38" x14ac:dyDescent="0.2">
      <c r="A2136" s="2">
        <v>2025</v>
      </c>
      <c r="B2136" s="2">
        <v>11</v>
      </c>
      <c r="D2136" s="2" t="s">
        <v>2009</v>
      </c>
      <c r="M2136" s="2" t="s">
        <v>40</v>
      </c>
      <c r="P2136" s="2" t="s">
        <v>187</v>
      </c>
      <c r="Q2136" s="2" t="s">
        <v>191</v>
      </c>
      <c r="R2136" s="2" t="s">
        <v>190</v>
      </c>
      <c r="S2136" s="2">
        <v>2</v>
      </c>
      <c r="T2136" s="2">
        <v>100</v>
      </c>
      <c r="U2136" s="2">
        <v>23</v>
      </c>
      <c r="V2136" s="2">
        <v>123</v>
      </c>
      <c r="W2136" s="2">
        <f>T2136*50%</f>
        <v>50</v>
      </c>
      <c r="X2136" s="5">
        <f t="shared" si="299"/>
        <v>0.5</v>
      </c>
      <c r="Z2136" s="2" t="s">
        <v>117</v>
      </c>
      <c r="AA2136" s="2" t="s">
        <v>190</v>
      </c>
      <c r="AB2136" s="2" t="s">
        <v>190</v>
      </c>
      <c r="AC2136" s="2" t="s">
        <v>40</v>
      </c>
      <c r="AF2136" s="2">
        <f t="shared" si="295"/>
        <v>0</v>
      </c>
      <c r="AJ2136" s="2">
        <f t="shared" si="296"/>
        <v>0</v>
      </c>
      <c r="AK2136" s="2">
        <f t="shared" si="300"/>
        <v>50</v>
      </c>
      <c r="AL2136" s="5">
        <f t="shared" si="298"/>
        <v>0.5</v>
      </c>
    </row>
    <row r="2137" spans="1:38" x14ac:dyDescent="0.2">
      <c r="A2137" s="2">
        <v>2025</v>
      </c>
      <c r="B2137" s="2">
        <v>11</v>
      </c>
      <c r="D2137" s="2" t="s">
        <v>1015</v>
      </c>
      <c r="E2137" s="2" t="s">
        <v>108</v>
      </c>
      <c r="F2137" s="2" t="s">
        <v>477</v>
      </c>
      <c r="G2137" s="2">
        <v>503815284</v>
      </c>
      <c r="H2137" s="2" t="s">
        <v>40</v>
      </c>
      <c r="I2137" s="2" t="s">
        <v>156</v>
      </c>
      <c r="J2137" s="2" t="s">
        <v>2538</v>
      </c>
      <c r="L2137" s="2" t="s">
        <v>99</v>
      </c>
      <c r="M2137" s="2" t="s">
        <v>80</v>
      </c>
      <c r="O2137" s="2" t="s">
        <v>2010</v>
      </c>
      <c r="P2137" s="2" t="s">
        <v>43</v>
      </c>
      <c r="Q2137" s="2" t="s">
        <v>351</v>
      </c>
      <c r="R2137" s="2" t="s">
        <v>352</v>
      </c>
      <c r="S2137" s="2">
        <v>6</v>
      </c>
      <c r="T2137" s="2">
        <v>111.6</v>
      </c>
      <c r="U2137" s="2">
        <v>25.667999999999999</v>
      </c>
      <c r="V2137" s="2">
        <v>137.268</v>
      </c>
      <c r="W2137" s="2">
        <f>10.67*S2137</f>
        <v>64.02</v>
      </c>
      <c r="X2137" s="5">
        <f t="shared" si="299"/>
        <v>0.42634408602150536</v>
      </c>
      <c r="Z2137" s="2" t="s">
        <v>3227</v>
      </c>
      <c r="AA2137" s="2" t="s">
        <v>46</v>
      </c>
      <c r="AB2137" s="2" t="s">
        <v>47</v>
      </c>
      <c r="AC2137" s="2" t="s">
        <v>57</v>
      </c>
      <c r="AF2137" s="2">
        <f t="shared" si="295"/>
        <v>0</v>
      </c>
      <c r="AG2137" s="2">
        <v>10.67</v>
      </c>
      <c r="AH2137" s="2">
        <v>21</v>
      </c>
      <c r="AJ2137" s="2">
        <f t="shared" si="296"/>
        <v>0</v>
      </c>
      <c r="AK2137" s="2">
        <f t="shared" si="300"/>
        <v>47.58</v>
      </c>
      <c r="AL2137" s="5">
        <f t="shared" si="298"/>
        <v>0.42634408602150536</v>
      </c>
    </row>
    <row r="2138" spans="1:38" x14ac:dyDescent="0.2">
      <c r="A2138" s="2">
        <v>2025</v>
      </c>
      <c r="B2138" s="2">
        <v>11</v>
      </c>
      <c r="D2138" s="2" t="s">
        <v>1015</v>
      </c>
      <c r="E2138" s="2" t="s">
        <v>108</v>
      </c>
      <c r="F2138" s="2" t="s">
        <v>477</v>
      </c>
      <c r="G2138" s="2">
        <v>503815284</v>
      </c>
      <c r="H2138" s="2" t="s">
        <v>40</v>
      </c>
      <c r="I2138" s="2" t="s">
        <v>156</v>
      </c>
      <c r="J2138" s="2" t="s">
        <v>2538</v>
      </c>
      <c r="L2138" s="2" t="s">
        <v>99</v>
      </c>
      <c r="M2138" s="2" t="s">
        <v>80</v>
      </c>
      <c r="P2138" s="2" t="s">
        <v>43</v>
      </c>
      <c r="Q2138" s="2" t="s">
        <v>160</v>
      </c>
      <c r="R2138" s="2" t="s">
        <v>161</v>
      </c>
      <c r="S2138" s="2">
        <v>6</v>
      </c>
      <c r="T2138" s="2">
        <v>46.8</v>
      </c>
      <c r="U2138" s="2">
        <v>10.763999999999999</v>
      </c>
      <c r="V2138" s="2">
        <v>57.563999999999993</v>
      </c>
      <c r="W2138" s="2">
        <f>3.7358*S2138</f>
        <v>22.4148</v>
      </c>
      <c r="X2138" s="5">
        <f t="shared" si="299"/>
        <v>0.52105128205128204</v>
      </c>
      <c r="Z2138" s="2" t="s">
        <v>3227</v>
      </c>
      <c r="AA2138" s="2" t="s">
        <v>46</v>
      </c>
      <c r="AB2138" s="2" t="s">
        <v>47</v>
      </c>
      <c r="AC2138" s="2" t="s">
        <v>57</v>
      </c>
      <c r="AF2138" s="2">
        <f t="shared" si="295"/>
        <v>0</v>
      </c>
      <c r="AG2138" s="2">
        <v>3.7357999999999998</v>
      </c>
      <c r="AH2138" s="2">
        <v>9</v>
      </c>
      <c r="AJ2138" s="2">
        <f t="shared" si="296"/>
        <v>0</v>
      </c>
      <c r="AK2138" s="2">
        <f t="shared" si="300"/>
        <v>24.385199999999998</v>
      </c>
      <c r="AL2138" s="5">
        <f t="shared" si="298"/>
        <v>0.52105128205128204</v>
      </c>
    </row>
    <row r="2139" spans="1:38" x14ac:dyDescent="0.2">
      <c r="A2139" s="2">
        <v>2025</v>
      </c>
      <c r="B2139" s="2">
        <v>11</v>
      </c>
      <c r="D2139" s="2" t="s">
        <v>1015</v>
      </c>
      <c r="E2139" s="2" t="s">
        <v>108</v>
      </c>
      <c r="F2139" s="2" t="s">
        <v>477</v>
      </c>
      <c r="G2139" s="2">
        <v>503815284</v>
      </c>
      <c r="H2139" s="2" t="s">
        <v>40</v>
      </c>
      <c r="I2139" s="2" t="s">
        <v>156</v>
      </c>
      <c r="J2139" s="2" t="s">
        <v>2538</v>
      </c>
      <c r="L2139" s="2" t="s">
        <v>99</v>
      </c>
      <c r="M2139" s="2" t="s">
        <v>80</v>
      </c>
      <c r="P2139" s="2" t="s">
        <v>43</v>
      </c>
      <c r="Q2139" s="2" t="s">
        <v>65</v>
      </c>
      <c r="R2139" s="2" t="s">
        <v>66</v>
      </c>
      <c r="S2139" s="2">
        <v>1</v>
      </c>
      <c r="T2139" s="2">
        <v>26.4</v>
      </c>
      <c r="U2139" s="2">
        <v>6.0720000000000001</v>
      </c>
      <c r="V2139" s="2">
        <v>32.472000000000001</v>
      </c>
      <c r="W2139" s="2">
        <f>15.0203*S2139</f>
        <v>15.020300000000001</v>
      </c>
      <c r="X2139" s="5">
        <f t="shared" si="299"/>
        <v>0.43104924242424236</v>
      </c>
      <c r="Z2139" s="2" t="s">
        <v>3227</v>
      </c>
      <c r="AA2139" s="2" t="s">
        <v>46</v>
      </c>
      <c r="AB2139" s="2" t="s">
        <v>67</v>
      </c>
      <c r="AC2139" s="2" t="s">
        <v>57</v>
      </c>
      <c r="AF2139" s="2">
        <f t="shared" si="295"/>
        <v>0</v>
      </c>
      <c r="AG2139" s="2">
        <v>15.020300000000001</v>
      </c>
      <c r="AH2139" s="2">
        <v>27.6</v>
      </c>
      <c r="AJ2139" s="2">
        <f t="shared" si="296"/>
        <v>0</v>
      </c>
      <c r="AK2139" s="2">
        <f t="shared" si="300"/>
        <v>11.379699999999998</v>
      </c>
      <c r="AL2139" s="5">
        <f t="shared" si="298"/>
        <v>0.43104924242424236</v>
      </c>
    </row>
    <row r="2140" spans="1:38" x14ac:dyDescent="0.2">
      <c r="A2140" s="2">
        <v>2025</v>
      </c>
      <c r="B2140" s="2">
        <v>11</v>
      </c>
      <c r="D2140" s="2" t="s">
        <v>422</v>
      </c>
      <c r="E2140" s="2" t="s">
        <v>98</v>
      </c>
      <c r="F2140" s="2" t="s">
        <v>39</v>
      </c>
      <c r="G2140" s="2">
        <v>503523470</v>
      </c>
      <c r="H2140" s="2" t="s">
        <v>40</v>
      </c>
      <c r="I2140" s="2" t="s">
        <v>423</v>
      </c>
      <c r="J2140" s="2" t="s">
        <v>424</v>
      </c>
      <c r="L2140" s="2" t="s">
        <v>201</v>
      </c>
      <c r="M2140" s="2" t="s">
        <v>80</v>
      </c>
      <c r="P2140" s="2" t="s">
        <v>43</v>
      </c>
      <c r="Q2140" s="2" t="s">
        <v>160</v>
      </c>
      <c r="R2140" s="2" t="s">
        <v>161</v>
      </c>
      <c r="S2140" s="2">
        <v>1</v>
      </c>
      <c r="T2140" s="2">
        <v>7.8</v>
      </c>
      <c r="U2140" s="2">
        <v>1.794</v>
      </c>
      <c r="V2140" s="2">
        <v>9.5939999999999994</v>
      </c>
      <c r="W2140" s="2">
        <f>3.7358*S2140</f>
        <v>3.7357999999999998</v>
      </c>
      <c r="X2140" s="5">
        <f t="shared" si="299"/>
        <v>0.52105128205128204</v>
      </c>
      <c r="Z2140" s="2" t="s">
        <v>3227</v>
      </c>
      <c r="AA2140" s="2" t="s">
        <v>46</v>
      </c>
      <c r="AB2140" s="2" t="s">
        <v>47</v>
      </c>
      <c r="AC2140" s="2" t="s">
        <v>57</v>
      </c>
      <c r="AF2140" s="2">
        <f t="shared" si="295"/>
        <v>0</v>
      </c>
      <c r="AG2140" s="2">
        <v>3.7357999999999998</v>
      </c>
      <c r="AH2140" s="2">
        <v>9</v>
      </c>
      <c r="AJ2140" s="2">
        <f t="shared" si="296"/>
        <v>0</v>
      </c>
      <c r="AK2140" s="2">
        <f t="shared" si="300"/>
        <v>4.0641999999999996</v>
      </c>
      <c r="AL2140" s="5">
        <f t="shared" si="298"/>
        <v>0.52105128205128204</v>
      </c>
    </row>
    <row r="2141" spans="1:38" x14ac:dyDescent="0.2">
      <c r="A2141" s="2">
        <v>2025</v>
      </c>
      <c r="B2141" s="2">
        <v>11</v>
      </c>
      <c r="D2141" s="2" t="s">
        <v>422</v>
      </c>
      <c r="E2141" s="2" t="s">
        <v>98</v>
      </c>
      <c r="F2141" s="2" t="s">
        <v>39</v>
      </c>
      <c r="G2141" s="2">
        <v>503523470</v>
      </c>
      <c r="H2141" s="2" t="s">
        <v>40</v>
      </c>
      <c r="I2141" s="2" t="s">
        <v>423</v>
      </c>
      <c r="J2141" s="2" t="s">
        <v>424</v>
      </c>
      <c r="L2141" s="2" t="s">
        <v>201</v>
      </c>
      <c r="M2141" s="2" t="s">
        <v>80</v>
      </c>
      <c r="P2141" s="2" t="s">
        <v>43</v>
      </c>
      <c r="Q2141" s="2" t="s">
        <v>54</v>
      </c>
      <c r="R2141" s="2" t="s">
        <v>55</v>
      </c>
      <c r="S2141" s="2">
        <v>1</v>
      </c>
      <c r="T2141" s="2">
        <v>18</v>
      </c>
      <c r="U2141" s="2">
        <v>4.1400000000000006</v>
      </c>
      <c r="V2141" s="2">
        <v>22.14</v>
      </c>
      <c r="W2141" s="2">
        <f>10.6*S2141</f>
        <v>10.6</v>
      </c>
      <c r="X2141" s="5">
        <f t="shared" si="299"/>
        <v>0.41111111111111115</v>
      </c>
      <c r="Z2141" s="2" t="s">
        <v>3227</v>
      </c>
      <c r="AA2141" s="2" t="s">
        <v>46</v>
      </c>
      <c r="AB2141" s="2" t="s">
        <v>56</v>
      </c>
      <c r="AC2141" s="2" t="s">
        <v>57</v>
      </c>
      <c r="AF2141" s="2">
        <f t="shared" si="295"/>
        <v>0</v>
      </c>
      <c r="AG2141" s="2">
        <v>10.6</v>
      </c>
      <c r="AH2141" s="2">
        <v>18</v>
      </c>
      <c r="AJ2141" s="2">
        <f t="shared" si="296"/>
        <v>0</v>
      </c>
      <c r="AK2141" s="2">
        <f t="shared" si="300"/>
        <v>7.4</v>
      </c>
      <c r="AL2141" s="5">
        <f t="shared" si="298"/>
        <v>0.41111111111111115</v>
      </c>
    </row>
    <row r="2142" spans="1:38" x14ac:dyDescent="0.2">
      <c r="A2142" s="2">
        <v>2025</v>
      </c>
      <c r="B2142" s="2">
        <v>11</v>
      </c>
      <c r="D2142" s="2" t="s">
        <v>1373</v>
      </c>
      <c r="P2142" s="2" t="s">
        <v>114</v>
      </c>
      <c r="Q2142" s="2" t="s">
        <v>2011</v>
      </c>
      <c r="R2142" s="2" t="s">
        <v>2012</v>
      </c>
      <c r="S2142" s="2">
        <v>1</v>
      </c>
      <c r="T2142" s="2">
        <v>24.68</v>
      </c>
      <c r="U2142" s="2">
        <v>5.6764000000000001</v>
      </c>
      <c r="V2142" s="2">
        <v>30.356400000000001</v>
      </c>
      <c r="X2142" s="5">
        <f t="shared" si="299"/>
        <v>1</v>
      </c>
      <c r="Z2142" s="2" t="s">
        <v>117</v>
      </c>
      <c r="AF2142" s="2">
        <f t="shared" si="295"/>
        <v>0</v>
      </c>
      <c r="AJ2142" s="2">
        <f t="shared" si="296"/>
        <v>0</v>
      </c>
      <c r="AK2142" s="2">
        <f t="shared" si="300"/>
        <v>24.68</v>
      </c>
      <c r="AL2142" s="5">
        <f t="shared" si="298"/>
        <v>1</v>
      </c>
    </row>
    <row r="2143" spans="1:38" x14ac:dyDescent="0.2">
      <c r="A2143" s="2">
        <v>2025</v>
      </c>
      <c r="B2143" s="2">
        <v>11</v>
      </c>
      <c r="D2143" s="2" t="s">
        <v>1373</v>
      </c>
      <c r="M2143" s="2" t="s">
        <v>40</v>
      </c>
      <c r="P2143" s="2" t="s">
        <v>187</v>
      </c>
      <c r="Q2143" s="2" t="s">
        <v>317</v>
      </c>
      <c r="R2143" s="2" t="s">
        <v>318</v>
      </c>
      <c r="S2143" s="2">
        <v>1</v>
      </c>
      <c r="T2143" s="2">
        <v>929</v>
      </c>
      <c r="U2143" s="2">
        <v>213.67</v>
      </c>
      <c r="V2143" s="2">
        <v>1142.67</v>
      </c>
      <c r="X2143" s="5">
        <f t="shared" si="299"/>
        <v>1</v>
      </c>
      <c r="Z2143" s="2" t="s">
        <v>117</v>
      </c>
      <c r="AA2143" s="2" t="s">
        <v>317</v>
      </c>
      <c r="AF2143" s="2">
        <f t="shared" si="295"/>
        <v>0</v>
      </c>
      <c r="AJ2143" s="2">
        <f t="shared" si="296"/>
        <v>0</v>
      </c>
      <c r="AK2143" s="2">
        <f t="shared" si="300"/>
        <v>929</v>
      </c>
      <c r="AL2143" s="5">
        <f t="shared" si="298"/>
        <v>1</v>
      </c>
    </row>
    <row r="2144" spans="1:38" x14ac:dyDescent="0.2">
      <c r="A2144" s="2">
        <v>2025</v>
      </c>
      <c r="B2144" s="2">
        <v>11</v>
      </c>
      <c r="D2144" s="2" t="s">
        <v>1373</v>
      </c>
      <c r="M2144" s="2" t="s">
        <v>40</v>
      </c>
      <c r="P2144" s="2" t="s">
        <v>187</v>
      </c>
      <c r="Q2144" s="2" t="s">
        <v>188</v>
      </c>
      <c r="R2144" s="2" t="s">
        <v>189</v>
      </c>
      <c r="S2144" s="2">
        <v>1</v>
      </c>
      <c r="T2144" s="2">
        <v>54</v>
      </c>
      <c r="U2144" s="2">
        <v>12.42</v>
      </c>
      <c r="V2144" s="2">
        <v>66.42</v>
      </c>
      <c r="W2144" s="2">
        <f>T2144*40%</f>
        <v>21.6</v>
      </c>
      <c r="X2144" s="5">
        <f t="shared" si="299"/>
        <v>0.6</v>
      </c>
      <c r="Z2144" s="2" t="s">
        <v>117</v>
      </c>
      <c r="AA2144" s="2" t="s">
        <v>190</v>
      </c>
      <c r="AB2144" s="2" t="s">
        <v>189</v>
      </c>
      <c r="AC2144" s="2" t="s">
        <v>40</v>
      </c>
      <c r="AF2144" s="2">
        <f t="shared" si="295"/>
        <v>0</v>
      </c>
      <c r="AJ2144" s="2">
        <f t="shared" si="296"/>
        <v>0</v>
      </c>
      <c r="AK2144" s="2">
        <f t="shared" si="300"/>
        <v>32.4</v>
      </c>
      <c r="AL2144" s="5">
        <f t="shared" si="298"/>
        <v>0.6</v>
      </c>
    </row>
    <row r="2145" spans="1:38" x14ac:dyDescent="0.2">
      <c r="A2145" s="2">
        <v>2025</v>
      </c>
      <c r="B2145" s="2">
        <v>11</v>
      </c>
      <c r="D2145" s="2" t="s">
        <v>1373</v>
      </c>
      <c r="M2145" s="2" t="s">
        <v>40</v>
      </c>
      <c r="P2145" s="2" t="s">
        <v>187</v>
      </c>
      <c r="Q2145" s="2" t="s">
        <v>191</v>
      </c>
      <c r="R2145" s="2" t="s">
        <v>190</v>
      </c>
      <c r="S2145" s="2">
        <v>1</v>
      </c>
      <c r="T2145" s="2">
        <v>0</v>
      </c>
      <c r="U2145" s="2">
        <v>0</v>
      </c>
      <c r="V2145" s="2">
        <v>0</v>
      </c>
      <c r="W2145" s="2">
        <f>T2145*50%</f>
        <v>0</v>
      </c>
      <c r="X2145" s="5">
        <v>0</v>
      </c>
      <c r="Z2145" s="2" t="s">
        <v>117</v>
      </c>
      <c r="AA2145" s="2" t="s">
        <v>190</v>
      </c>
      <c r="AB2145" s="2" t="s">
        <v>190</v>
      </c>
      <c r="AC2145" s="2" t="s">
        <v>40</v>
      </c>
      <c r="AF2145" s="2">
        <f t="shared" si="295"/>
        <v>0</v>
      </c>
      <c r="AJ2145" s="2">
        <f t="shared" si="296"/>
        <v>0</v>
      </c>
      <c r="AK2145" s="2">
        <f t="shared" si="300"/>
        <v>0</v>
      </c>
      <c r="AL2145" s="5">
        <v>0</v>
      </c>
    </row>
    <row r="2146" spans="1:38" x14ac:dyDescent="0.2">
      <c r="A2146" s="2">
        <v>2025</v>
      </c>
      <c r="B2146" s="2">
        <v>11</v>
      </c>
      <c r="D2146" s="2" t="s">
        <v>1373</v>
      </c>
      <c r="M2146" s="2" t="s">
        <v>40</v>
      </c>
      <c r="P2146" s="2" t="s">
        <v>114</v>
      </c>
      <c r="Q2146" s="2" t="s">
        <v>408</v>
      </c>
      <c r="R2146" s="2" t="s">
        <v>409</v>
      </c>
      <c r="S2146" s="2">
        <v>1</v>
      </c>
      <c r="T2146" s="2">
        <v>0</v>
      </c>
      <c r="U2146" s="2">
        <v>0</v>
      </c>
      <c r="V2146" s="2">
        <v>0</v>
      </c>
      <c r="X2146" s="5" t="e">
        <f t="shared" ref="X2146:X2159" si="301">(T2146-W2146)/T2146</f>
        <v>#DIV/0!</v>
      </c>
      <c r="Z2146" s="2" t="s">
        <v>117</v>
      </c>
      <c r="AA2146" s="2" t="s">
        <v>317</v>
      </c>
      <c r="AF2146" s="2">
        <f t="shared" si="295"/>
        <v>0</v>
      </c>
      <c r="AJ2146" s="2">
        <f t="shared" si="296"/>
        <v>0</v>
      </c>
      <c r="AK2146" s="2">
        <f t="shared" si="300"/>
        <v>0</v>
      </c>
      <c r="AL2146" s="5" t="e">
        <f t="shared" ref="AL2146:AL2171" si="302">(T2146-W2146)/T2146</f>
        <v>#DIV/0!</v>
      </c>
    </row>
    <row r="2147" spans="1:38" x14ac:dyDescent="0.2">
      <c r="A2147" s="2">
        <v>2025</v>
      </c>
      <c r="B2147" s="2">
        <v>11</v>
      </c>
      <c r="D2147" s="2" t="s">
        <v>1553</v>
      </c>
      <c r="E2147" s="2" t="s">
        <v>108</v>
      </c>
      <c r="F2147" s="2" t="s">
        <v>717</v>
      </c>
      <c r="G2147" s="2">
        <v>500975914</v>
      </c>
      <c r="H2147" s="2" t="s">
        <v>41</v>
      </c>
      <c r="I2147" s="2" t="s">
        <v>1554</v>
      </c>
      <c r="J2147" s="2" t="s">
        <v>1555</v>
      </c>
      <c r="L2147" s="2" t="s">
        <v>99</v>
      </c>
      <c r="M2147" s="2" t="s">
        <v>41</v>
      </c>
      <c r="P2147" s="2" t="s">
        <v>282</v>
      </c>
      <c r="Q2147" s="2" t="s">
        <v>399</v>
      </c>
      <c r="R2147" s="2" t="s">
        <v>400</v>
      </c>
      <c r="S2147" s="2">
        <v>20</v>
      </c>
      <c r="T2147" s="2">
        <v>400</v>
      </c>
      <c r="U2147" s="2">
        <v>92</v>
      </c>
      <c r="V2147" s="2">
        <v>492</v>
      </c>
      <c r="W2147" s="2">
        <f>17.4*S2147</f>
        <v>348</v>
      </c>
      <c r="X2147" s="5">
        <f t="shared" si="301"/>
        <v>0.13</v>
      </c>
      <c r="Z2147" s="2" t="s">
        <v>3227</v>
      </c>
      <c r="AA2147" s="2" t="s">
        <v>46</v>
      </c>
      <c r="AB2147" s="2" t="s">
        <v>60</v>
      </c>
      <c r="AC2147" s="2" t="s">
        <v>3332</v>
      </c>
      <c r="AF2147" s="2">
        <f t="shared" si="295"/>
        <v>0</v>
      </c>
      <c r="AJ2147" s="2">
        <f t="shared" si="296"/>
        <v>0</v>
      </c>
      <c r="AK2147" s="2">
        <f t="shared" si="300"/>
        <v>52</v>
      </c>
      <c r="AL2147" s="5">
        <f t="shared" si="302"/>
        <v>0.13</v>
      </c>
    </row>
    <row r="2148" spans="1:38" x14ac:dyDescent="0.2">
      <c r="A2148" s="2">
        <v>2025</v>
      </c>
      <c r="B2148" s="2">
        <v>11</v>
      </c>
      <c r="D2148" s="2" t="s">
        <v>1553</v>
      </c>
      <c r="E2148" s="2" t="s">
        <v>108</v>
      </c>
      <c r="F2148" s="2" t="s">
        <v>717</v>
      </c>
      <c r="G2148" s="2">
        <v>500975914</v>
      </c>
      <c r="H2148" s="2" t="s">
        <v>41</v>
      </c>
      <c r="I2148" s="2" t="s">
        <v>1554</v>
      </c>
      <c r="J2148" s="2" t="s">
        <v>1555</v>
      </c>
      <c r="L2148" s="2" t="s">
        <v>99</v>
      </c>
      <c r="M2148" s="2" t="s">
        <v>41</v>
      </c>
      <c r="P2148" s="2" t="s">
        <v>282</v>
      </c>
      <c r="Q2148" s="2" t="s">
        <v>401</v>
      </c>
      <c r="R2148" s="2" t="s">
        <v>402</v>
      </c>
      <c r="S2148" s="2">
        <v>20</v>
      </c>
      <c r="T2148" s="2">
        <v>400</v>
      </c>
      <c r="U2148" s="2">
        <v>92</v>
      </c>
      <c r="V2148" s="2">
        <v>492</v>
      </c>
      <c r="W2148" s="2">
        <f>17.4*S2148</f>
        <v>348</v>
      </c>
      <c r="X2148" s="5">
        <f t="shared" si="301"/>
        <v>0.13</v>
      </c>
      <c r="Z2148" s="2" t="s">
        <v>3227</v>
      </c>
      <c r="AA2148" s="2" t="s">
        <v>46</v>
      </c>
      <c r="AB2148" s="2" t="s">
        <v>60</v>
      </c>
      <c r="AC2148" s="2" t="s">
        <v>3332</v>
      </c>
      <c r="AF2148" s="2">
        <f t="shared" si="295"/>
        <v>0</v>
      </c>
      <c r="AJ2148" s="2">
        <f t="shared" si="296"/>
        <v>0</v>
      </c>
      <c r="AK2148" s="2">
        <f t="shared" si="300"/>
        <v>52</v>
      </c>
      <c r="AL2148" s="5">
        <f t="shared" si="302"/>
        <v>0.13</v>
      </c>
    </row>
    <row r="2149" spans="1:38" x14ac:dyDescent="0.2">
      <c r="A2149" s="2">
        <v>2025</v>
      </c>
      <c r="B2149" s="2">
        <v>11</v>
      </c>
      <c r="D2149" s="2" t="s">
        <v>433</v>
      </c>
      <c r="E2149" s="2" t="s">
        <v>38</v>
      </c>
      <c r="F2149" s="2" t="s">
        <v>39</v>
      </c>
      <c r="L2149" s="2" t="s">
        <v>99</v>
      </c>
      <c r="M2149" s="2" t="s">
        <v>41</v>
      </c>
      <c r="P2149" s="2" t="s">
        <v>282</v>
      </c>
      <c r="Q2149" s="2" t="s">
        <v>399</v>
      </c>
      <c r="R2149" s="2" t="s">
        <v>400</v>
      </c>
      <c r="S2149" s="2">
        <v>10</v>
      </c>
      <c r="T2149" s="2">
        <v>200</v>
      </c>
      <c r="U2149" s="2">
        <v>46</v>
      </c>
      <c r="V2149" s="2">
        <v>246</v>
      </c>
      <c r="W2149" s="2">
        <f>17.4*S2149</f>
        <v>174</v>
      </c>
      <c r="X2149" s="5">
        <f t="shared" si="301"/>
        <v>0.13</v>
      </c>
      <c r="Z2149" s="2" t="s">
        <v>3227</v>
      </c>
      <c r="AA2149" s="2" t="s">
        <v>46</v>
      </c>
      <c r="AB2149" s="2" t="s">
        <v>60</v>
      </c>
      <c r="AC2149" s="2" t="s">
        <v>3332</v>
      </c>
      <c r="AF2149" s="2">
        <f t="shared" si="295"/>
        <v>0</v>
      </c>
      <c r="AJ2149" s="2">
        <f t="shared" si="296"/>
        <v>0</v>
      </c>
      <c r="AK2149" s="2">
        <f t="shared" si="300"/>
        <v>26</v>
      </c>
      <c r="AL2149" s="5">
        <f t="shared" si="302"/>
        <v>0.13</v>
      </c>
    </row>
    <row r="2150" spans="1:38" x14ac:dyDescent="0.2">
      <c r="A2150" s="2">
        <v>2025</v>
      </c>
      <c r="B2150" s="2">
        <v>11</v>
      </c>
      <c r="D2150" s="2" t="s">
        <v>433</v>
      </c>
      <c r="E2150" s="2" t="s">
        <v>38</v>
      </c>
      <c r="F2150" s="2" t="s">
        <v>39</v>
      </c>
      <c r="L2150" s="2" t="s">
        <v>99</v>
      </c>
      <c r="M2150" s="2" t="s">
        <v>41</v>
      </c>
      <c r="P2150" s="2" t="s">
        <v>282</v>
      </c>
      <c r="Q2150" s="2" t="s">
        <v>401</v>
      </c>
      <c r="R2150" s="2" t="s">
        <v>402</v>
      </c>
      <c r="S2150" s="2">
        <v>10</v>
      </c>
      <c r="T2150" s="2">
        <v>200</v>
      </c>
      <c r="U2150" s="2">
        <v>46</v>
      </c>
      <c r="V2150" s="2">
        <v>246</v>
      </c>
      <c r="W2150" s="2">
        <f>17.4*S2150</f>
        <v>174</v>
      </c>
      <c r="X2150" s="5">
        <f t="shared" si="301"/>
        <v>0.13</v>
      </c>
      <c r="Z2150" s="2" t="s">
        <v>3227</v>
      </c>
      <c r="AA2150" s="2" t="s">
        <v>46</v>
      </c>
      <c r="AB2150" s="2" t="s">
        <v>60</v>
      </c>
      <c r="AC2150" s="2" t="s">
        <v>3332</v>
      </c>
      <c r="AF2150" s="2">
        <f t="shared" si="295"/>
        <v>0</v>
      </c>
      <c r="AJ2150" s="2">
        <f t="shared" si="296"/>
        <v>0</v>
      </c>
      <c r="AK2150" s="2">
        <f t="shared" si="300"/>
        <v>26</v>
      </c>
      <c r="AL2150" s="5">
        <f t="shared" si="302"/>
        <v>0.13</v>
      </c>
    </row>
    <row r="2151" spans="1:38" x14ac:dyDescent="0.2">
      <c r="A2151" s="2">
        <v>2025</v>
      </c>
      <c r="B2151" s="2">
        <v>11</v>
      </c>
      <c r="D2151" s="2" t="s">
        <v>1241</v>
      </c>
      <c r="M2151" s="2" t="s">
        <v>40</v>
      </c>
      <c r="P2151" s="2" t="s">
        <v>187</v>
      </c>
      <c r="Q2151" s="2" t="s">
        <v>188</v>
      </c>
      <c r="R2151" s="2" t="s">
        <v>189</v>
      </c>
      <c r="S2151" s="2">
        <v>1</v>
      </c>
      <c r="T2151" s="2">
        <v>50</v>
      </c>
      <c r="U2151" s="2">
        <v>11.5</v>
      </c>
      <c r="V2151" s="2">
        <v>61.5</v>
      </c>
      <c r="W2151" s="2">
        <f>T2151*40%</f>
        <v>20</v>
      </c>
      <c r="X2151" s="5">
        <f t="shared" si="301"/>
        <v>0.6</v>
      </c>
      <c r="Z2151" s="2" t="s">
        <v>117</v>
      </c>
      <c r="AA2151" s="2" t="s">
        <v>190</v>
      </c>
      <c r="AB2151" s="2" t="s">
        <v>189</v>
      </c>
      <c r="AC2151" s="2" t="s">
        <v>40</v>
      </c>
      <c r="AF2151" s="2">
        <f t="shared" si="295"/>
        <v>0</v>
      </c>
      <c r="AJ2151" s="2">
        <f t="shared" si="296"/>
        <v>0</v>
      </c>
      <c r="AK2151" s="2">
        <f t="shared" si="300"/>
        <v>30</v>
      </c>
      <c r="AL2151" s="5">
        <f t="shared" si="302"/>
        <v>0.6</v>
      </c>
    </row>
    <row r="2152" spans="1:38" x14ac:dyDescent="0.2">
      <c r="A2152" s="2">
        <v>2025</v>
      </c>
      <c r="B2152" s="2">
        <v>11</v>
      </c>
      <c r="D2152" s="2" t="s">
        <v>1241</v>
      </c>
      <c r="M2152" s="2" t="s">
        <v>40</v>
      </c>
      <c r="P2152" s="2" t="s">
        <v>187</v>
      </c>
      <c r="Q2152" s="2" t="s">
        <v>191</v>
      </c>
      <c r="R2152" s="2" t="s">
        <v>190</v>
      </c>
      <c r="S2152" s="2">
        <v>1.5</v>
      </c>
      <c r="T2152" s="2">
        <v>75</v>
      </c>
      <c r="U2152" s="2">
        <v>17.25</v>
      </c>
      <c r="V2152" s="2">
        <v>92.25</v>
      </c>
      <c r="W2152" s="2">
        <f>T2152*50%</f>
        <v>37.5</v>
      </c>
      <c r="X2152" s="5">
        <f t="shared" si="301"/>
        <v>0.5</v>
      </c>
      <c r="Z2152" s="2" t="s">
        <v>117</v>
      </c>
      <c r="AA2152" s="2" t="s">
        <v>190</v>
      </c>
      <c r="AB2152" s="2" t="s">
        <v>190</v>
      </c>
      <c r="AC2152" s="2" t="s">
        <v>40</v>
      </c>
      <c r="AF2152" s="2">
        <f t="shared" si="295"/>
        <v>0</v>
      </c>
      <c r="AJ2152" s="2">
        <f t="shared" si="296"/>
        <v>0</v>
      </c>
      <c r="AK2152" s="2">
        <f t="shared" si="300"/>
        <v>37.5</v>
      </c>
      <c r="AL2152" s="5">
        <f t="shared" si="302"/>
        <v>0.5</v>
      </c>
    </row>
    <row r="2153" spans="1:38" x14ac:dyDescent="0.2">
      <c r="A2153" s="2">
        <v>2025</v>
      </c>
      <c r="B2153" s="2">
        <v>11</v>
      </c>
      <c r="D2153" s="2" t="s">
        <v>813</v>
      </c>
      <c r="E2153" s="2" t="s">
        <v>38</v>
      </c>
      <c r="F2153" s="2" t="s">
        <v>39</v>
      </c>
      <c r="G2153" s="2" t="s">
        <v>814</v>
      </c>
      <c r="H2153" s="2" t="s">
        <v>41</v>
      </c>
      <c r="I2153" s="2" t="s">
        <v>626</v>
      </c>
      <c r="L2153" s="2" t="s">
        <v>626</v>
      </c>
      <c r="M2153" s="2" t="s">
        <v>41</v>
      </c>
      <c r="O2153" s="2" t="s">
        <v>2013</v>
      </c>
      <c r="P2153" s="2" t="s">
        <v>43</v>
      </c>
      <c r="Q2153" s="2" t="s">
        <v>2014</v>
      </c>
      <c r="R2153" s="2" t="s">
        <v>2015</v>
      </c>
      <c r="S2153" s="2">
        <v>1</v>
      </c>
      <c r="T2153" s="2">
        <v>13.2</v>
      </c>
      <c r="U2153" s="2">
        <v>3.036</v>
      </c>
      <c r="V2153" s="2">
        <v>16.236000000000001</v>
      </c>
      <c r="W2153" s="2">
        <v>7</v>
      </c>
      <c r="X2153" s="5">
        <f t="shared" si="301"/>
        <v>0.46969696969696967</v>
      </c>
      <c r="Z2153" s="2" t="s">
        <v>3227</v>
      </c>
      <c r="AA2153" s="2" t="s">
        <v>46</v>
      </c>
      <c r="AB2153" s="2" t="s">
        <v>47</v>
      </c>
      <c r="AC2153" s="2" t="s">
        <v>57</v>
      </c>
      <c r="AF2153" s="2">
        <f t="shared" si="295"/>
        <v>0</v>
      </c>
      <c r="AJ2153" s="2">
        <f t="shared" si="296"/>
        <v>0</v>
      </c>
      <c r="AK2153" s="2">
        <f t="shared" si="300"/>
        <v>6.1999999999999993</v>
      </c>
      <c r="AL2153" s="5">
        <f t="shared" si="302"/>
        <v>0.46969696969696967</v>
      </c>
    </row>
    <row r="2154" spans="1:38" x14ac:dyDescent="0.2">
      <c r="A2154" s="2">
        <v>2025</v>
      </c>
      <c r="B2154" s="2">
        <v>11</v>
      </c>
      <c r="D2154" s="2" t="s">
        <v>813</v>
      </c>
      <c r="E2154" s="2" t="s">
        <v>38</v>
      </c>
      <c r="F2154" s="2" t="s">
        <v>39</v>
      </c>
      <c r="G2154" s="2" t="s">
        <v>814</v>
      </c>
      <c r="H2154" s="2" t="s">
        <v>41</v>
      </c>
      <c r="I2154" s="2" t="s">
        <v>626</v>
      </c>
      <c r="L2154" s="2" t="s">
        <v>626</v>
      </c>
      <c r="M2154" s="2" t="s">
        <v>41</v>
      </c>
      <c r="O2154" s="2" t="s">
        <v>2013</v>
      </c>
      <c r="P2154" s="2" t="s">
        <v>43</v>
      </c>
      <c r="Q2154" s="2" t="s">
        <v>210</v>
      </c>
      <c r="R2154" s="2" t="s">
        <v>211</v>
      </c>
      <c r="S2154" s="2">
        <v>1</v>
      </c>
      <c r="T2154" s="2">
        <v>22.2</v>
      </c>
      <c r="U2154" s="2">
        <v>5.1059999999999999</v>
      </c>
      <c r="V2154" s="2">
        <v>27.306000000000001</v>
      </c>
      <c r="W2154" s="2">
        <f>12.1*S2154</f>
        <v>12.1</v>
      </c>
      <c r="X2154" s="5">
        <f t="shared" si="301"/>
        <v>0.45495495495495497</v>
      </c>
      <c r="Z2154" s="2" t="s">
        <v>3227</v>
      </c>
      <c r="AA2154" s="2" t="s">
        <v>46</v>
      </c>
      <c r="AB2154" s="2" t="s">
        <v>47</v>
      </c>
      <c r="AC2154" s="2" t="s">
        <v>57</v>
      </c>
      <c r="AF2154" s="2">
        <f t="shared" si="295"/>
        <v>0</v>
      </c>
      <c r="AJ2154" s="2">
        <f t="shared" si="296"/>
        <v>0</v>
      </c>
      <c r="AK2154" s="2">
        <f t="shared" si="300"/>
        <v>10.1</v>
      </c>
      <c r="AL2154" s="5">
        <f t="shared" si="302"/>
        <v>0.45495495495495497</v>
      </c>
    </row>
    <row r="2155" spans="1:38" x14ac:dyDescent="0.2">
      <c r="A2155" s="2">
        <v>2025</v>
      </c>
      <c r="B2155" s="2">
        <v>11</v>
      </c>
      <c r="D2155" s="2" t="s">
        <v>813</v>
      </c>
      <c r="E2155" s="2" t="s">
        <v>38</v>
      </c>
      <c r="F2155" s="2" t="s">
        <v>39</v>
      </c>
      <c r="G2155" s="2" t="s">
        <v>814</v>
      </c>
      <c r="H2155" s="2" t="s">
        <v>41</v>
      </c>
      <c r="I2155" s="2" t="s">
        <v>626</v>
      </c>
      <c r="L2155" s="2" t="s">
        <v>626</v>
      </c>
      <c r="M2155" s="2" t="s">
        <v>41</v>
      </c>
      <c r="O2155" s="2" t="s">
        <v>2013</v>
      </c>
      <c r="P2155" s="2" t="s">
        <v>43</v>
      </c>
      <c r="Q2155" s="2" t="s">
        <v>65</v>
      </c>
      <c r="R2155" s="2" t="s">
        <v>66</v>
      </c>
      <c r="S2155" s="2">
        <v>2</v>
      </c>
      <c r="T2155" s="2">
        <v>45</v>
      </c>
      <c r="U2155" s="2">
        <v>10.35</v>
      </c>
      <c r="V2155" s="2">
        <v>55.35</v>
      </c>
      <c r="W2155" s="2">
        <f>15.0203*S2155</f>
        <v>30.040600000000001</v>
      </c>
      <c r="X2155" s="5">
        <f t="shared" si="301"/>
        <v>0.33243111111111107</v>
      </c>
      <c r="Z2155" s="2" t="s">
        <v>3227</v>
      </c>
      <c r="AA2155" s="2" t="s">
        <v>46</v>
      </c>
      <c r="AB2155" s="2" t="s">
        <v>67</v>
      </c>
      <c r="AC2155" s="2" t="s">
        <v>57</v>
      </c>
      <c r="AF2155" s="2">
        <f t="shared" si="295"/>
        <v>0</v>
      </c>
      <c r="AG2155" s="2">
        <v>15.020300000000001</v>
      </c>
      <c r="AH2155" s="2">
        <v>27.6</v>
      </c>
      <c r="AJ2155" s="2">
        <f t="shared" si="296"/>
        <v>0</v>
      </c>
      <c r="AK2155" s="2">
        <f t="shared" si="300"/>
        <v>14.959399999999999</v>
      </c>
      <c r="AL2155" s="5">
        <f t="shared" si="302"/>
        <v>0.33243111111111107</v>
      </c>
    </row>
    <row r="2156" spans="1:38" x14ac:dyDescent="0.2">
      <c r="A2156" s="2">
        <v>2025</v>
      </c>
      <c r="B2156" s="2">
        <v>11</v>
      </c>
      <c r="D2156" s="2" t="s">
        <v>439</v>
      </c>
      <c r="E2156" s="2" t="s">
        <v>38</v>
      </c>
      <c r="F2156" s="2" t="s">
        <v>39</v>
      </c>
      <c r="G2156" s="2">
        <v>205800831</v>
      </c>
      <c r="H2156" s="2" t="s">
        <v>41</v>
      </c>
      <c r="I2156" s="2" t="s">
        <v>177</v>
      </c>
      <c r="J2156" s="2" t="s">
        <v>3176</v>
      </c>
      <c r="K2156" s="2">
        <v>911577458</v>
      </c>
      <c r="L2156" s="2" t="s">
        <v>177</v>
      </c>
      <c r="M2156" s="2" t="s">
        <v>41</v>
      </c>
      <c r="O2156" s="2" t="s">
        <v>3179</v>
      </c>
      <c r="P2156" s="2" t="s">
        <v>43</v>
      </c>
      <c r="Q2156" s="2" t="s">
        <v>48</v>
      </c>
      <c r="R2156" s="2" t="s">
        <v>49</v>
      </c>
      <c r="S2156" s="2">
        <v>10</v>
      </c>
      <c r="T2156" s="2">
        <v>120</v>
      </c>
      <c r="U2156" s="2">
        <v>27.6</v>
      </c>
      <c r="V2156" s="2">
        <v>147.6</v>
      </c>
      <c r="W2156" s="2">
        <f>6.6267*S2156</f>
        <v>66.266999999999996</v>
      </c>
      <c r="X2156" s="5">
        <f t="shared" si="301"/>
        <v>0.44777500000000003</v>
      </c>
      <c r="Z2156" s="2" t="s">
        <v>3227</v>
      </c>
      <c r="AA2156" s="2" t="s">
        <v>46</v>
      </c>
      <c r="AB2156" s="2" t="s">
        <v>47</v>
      </c>
      <c r="AC2156" s="2" t="s">
        <v>57</v>
      </c>
      <c r="AF2156" s="2">
        <f t="shared" si="295"/>
        <v>0</v>
      </c>
      <c r="AG2156" s="2">
        <v>6.6266999999999996</v>
      </c>
      <c r="AH2156" s="2">
        <v>12</v>
      </c>
      <c r="AJ2156" s="2">
        <f t="shared" si="296"/>
        <v>0</v>
      </c>
      <c r="AK2156" s="2">
        <f t="shared" si="300"/>
        <v>53.733000000000004</v>
      </c>
      <c r="AL2156" s="5">
        <f t="shared" si="302"/>
        <v>0.44777500000000003</v>
      </c>
    </row>
    <row r="2157" spans="1:38" x14ac:dyDescent="0.2">
      <c r="A2157" s="2">
        <v>2025</v>
      </c>
      <c r="B2157" s="2">
        <v>11</v>
      </c>
      <c r="D2157" s="2" t="s">
        <v>439</v>
      </c>
      <c r="E2157" s="2" t="s">
        <v>38</v>
      </c>
      <c r="F2157" s="2" t="s">
        <v>39</v>
      </c>
      <c r="G2157" s="2">
        <v>205800831</v>
      </c>
      <c r="H2157" s="2" t="s">
        <v>41</v>
      </c>
      <c r="I2157" s="2" t="s">
        <v>177</v>
      </c>
      <c r="J2157" s="2" t="s">
        <v>3176</v>
      </c>
      <c r="K2157" s="2">
        <v>911577458</v>
      </c>
      <c r="L2157" s="2" t="s">
        <v>177</v>
      </c>
      <c r="M2157" s="2" t="s">
        <v>41</v>
      </c>
      <c r="O2157" s="2" t="s">
        <v>3179</v>
      </c>
      <c r="P2157" s="2" t="s">
        <v>43</v>
      </c>
      <c r="Q2157" s="2" t="s">
        <v>160</v>
      </c>
      <c r="R2157" s="2" t="s">
        <v>161</v>
      </c>
      <c r="S2157" s="2">
        <v>1</v>
      </c>
      <c r="T2157" s="2">
        <v>7.8</v>
      </c>
      <c r="U2157" s="2">
        <v>1.794</v>
      </c>
      <c r="V2157" s="2">
        <v>9.5939999999999994</v>
      </c>
      <c r="W2157" s="2">
        <f>3.7358*S2157</f>
        <v>3.7357999999999998</v>
      </c>
      <c r="X2157" s="5">
        <f t="shared" si="301"/>
        <v>0.52105128205128204</v>
      </c>
      <c r="Z2157" s="2" t="s">
        <v>3227</v>
      </c>
      <c r="AA2157" s="2" t="s">
        <v>46</v>
      </c>
      <c r="AB2157" s="2" t="s">
        <v>47</v>
      </c>
      <c r="AC2157" s="2" t="s">
        <v>57</v>
      </c>
      <c r="AF2157" s="2">
        <f t="shared" si="295"/>
        <v>0</v>
      </c>
      <c r="AG2157" s="2">
        <v>3.7357999999999998</v>
      </c>
      <c r="AH2157" s="2">
        <v>9</v>
      </c>
      <c r="AJ2157" s="2">
        <f t="shared" si="296"/>
        <v>0</v>
      </c>
      <c r="AK2157" s="2">
        <f t="shared" si="300"/>
        <v>4.0641999999999996</v>
      </c>
      <c r="AL2157" s="5">
        <f t="shared" si="302"/>
        <v>0.52105128205128204</v>
      </c>
    </row>
    <row r="2158" spans="1:38" x14ac:dyDescent="0.2">
      <c r="A2158" s="2">
        <v>2025</v>
      </c>
      <c r="B2158" s="2">
        <v>11</v>
      </c>
      <c r="D2158" s="2" t="s">
        <v>439</v>
      </c>
      <c r="E2158" s="2" t="s">
        <v>38</v>
      </c>
      <c r="F2158" s="2" t="s">
        <v>39</v>
      </c>
      <c r="G2158" s="2">
        <v>205800831</v>
      </c>
      <c r="H2158" s="2" t="s">
        <v>41</v>
      </c>
      <c r="I2158" s="2" t="s">
        <v>177</v>
      </c>
      <c r="J2158" s="2" t="s">
        <v>3176</v>
      </c>
      <c r="K2158" s="2">
        <v>911577458</v>
      </c>
      <c r="L2158" s="2" t="s">
        <v>177</v>
      </c>
      <c r="M2158" s="2" t="s">
        <v>41</v>
      </c>
      <c r="O2158" s="2" t="s">
        <v>3179</v>
      </c>
      <c r="P2158" s="2" t="s">
        <v>43</v>
      </c>
      <c r="Q2158" s="2" t="s">
        <v>164</v>
      </c>
      <c r="R2158" s="2" t="s">
        <v>165</v>
      </c>
      <c r="S2158" s="2">
        <v>1</v>
      </c>
      <c r="T2158" s="2">
        <v>15</v>
      </c>
      <c r="U2158" s="2">
        <v>3.45</v>
      </c>
      <c r="V2158" s="2">
        <v>18.45</v>
      </c>
      <c r="W2158" s="2">
        <f>7.9612*S2158</f>
        <v>7.9611999999999998</v>
      </c>
      <c r="X2158" s="5">
        <f t="shared" si="301"/>
        <v>0.46925333333333336</v>
      </c>
      <c r="Z2158" s="2" t="s">
        <v>3227</v>
      </c>
      <c r="AA2158" s="2" t="s">
        <v>46</v>
      </c>
      <c r="AB2158" s="2" t="s">
        <v>67</v>
      </c>
      <c r="AC2158" s="2" t="s">
        <v>57</v>
      </c>
      <c r="AF2158" s="2">
        <f t="shared" si="295"/>
        <v>0</v>
      </c>
      <c r="AG2158" s="2">
        <v>7.9611999999999998</v>
      </c>
      <c r="AH2158" s="2">
        <v>14.4</v>
      </c>
      <c r="AJ2158" s="2">
        <f t="shared" si="296"/>
        <v>0</v>
      </c>
      <c r="AK2158" s="2">
        <f t="shared" si="300"/>
        <v>7.0388000000000002</v>
      </c>
      <c r="AL2158" s="5">
        <f t="shared" si="302"/>
        <v>0.46925333333333336</v>
      </c>
    </row>
    <row r="2159" spans="1:38" x14ac:dyDescent="0.2">
      <c r="A2159" s="2">
        <v>2025</v>
      </c>
      <c r="B2159" s="2">
        <v>11</v>
      </c>
      <c r="D2159" s="2" t="s">
        <v>2016</v>
      </c>
      <c r="P2159" s="2" t="s">
        <v>282</v>
      </c>
      <c r="Q2159" s="2" t="s">
        <v>1154</v>
      </c>
      <c r="R2159" s="2" t="s">
        <v>1155</v>
      </c>
      <c r="S2159" s="2">
        <v>1</v>
      </c>
      <c r="T2159" s="2">
        <v>3150</v>
      </c>
      <c r="U2159" s="2">
        <v>724.5</v>
      </c>
      <c r="V2159" s="2">
        <v>3874.5</v>
      </c>
      <c r="W2159" s="2">
        <v>2190</v>
      </c>
      <c r="X2159" s="5">
        <f t="shared" si="301"/>
        <v>0.30476190476190479</v>
      </c>
      <c r="Z2159" s="2" t="s">
        <v>104</v>
      </c>
      <c r="AA2159" s="2" t="s">
        <v>1574</v>
      </c>
      <c r="AB2159" s="2" t="s">
        <v>388</v>
      </c>
      <c r="AC2159" s="2" t="s">
        <v>1327</v>
      </c>
      <c r="AF2159" s="2">
        <f t="shared" si="295"/>
        <v>0</v>
      </c>
      <c r="AJ2159" s="2">
        <f t="shared" si="296"/>
        <v>0</v>
      </c>
      <c r="AK2159" s="2">
        <f t="shared" si="300"/>
        <v>960</v>
      </c>
      <c r="AL2159" s="5">
        <f t="shared" si="302"/>
        <v>0.30476190476190479</v>
      </c>
    </row>
    <row r="2160" spans="1:38" x14ac:dyDescent="0.2">
      <c r="A2160" s="2">
        <v>2025</v>
      </c>
      <c r="B2160" s="2">
        <v>11</v>
      </c>
      <c r="D2160" s="2" t="s">
        <v>2016</v>
      </c>
      <c r="P2160" s="2" t="s">
        <v>282</v>
      </c>
      <c r="Q2160" s="2" t="s">
        <v>1158</v>
      </c>
      <c r="R2160" s="2" t="s">
        <v>1159</v>
      </c>
      <c r="S2160" s="2">
        <v>1</v>
      </c>
      <c r="T2160" s="2">
        <v>0</v>
      </c>
      <c r="U2160" s="2">
        <v>0</v>
      </c>
      <c r="V2160" s="2">
        <v>0</v>
      </c>
      <c r="X2160" s="5">
        <v>0</v>
      </c>
      <c r="AF2160" s="2">
        <f t="shared" si="295"/>
        <v>0</v>
      </c>
      <c r="AJ2160" s="2">
        <f t="shared" si="296"/>
        <v>0</v>
      </c>
      <c r="AK2160" s="2">
        <f t="shared" si="300"/>
        <v>0</v>
      </c>
      <c r="AL2160" s="5" t="e">
        <f t="shared" si="302"/>
        <v>#DIV/0!</v>
      </c>
    </row>
    <row r="2161" spans="1:38" x14ac:dyDescent="0.2">
      <c r="A2161" s="2">
        <v>2025</v>
      </c>
      <c r="B2161" s="2">
        <v>11</v>
      </c>
      <c r="D2161" s="2" t="s">
        <v>2017</v>
      </c>
      <c r="M2161" s="2" t="s">
        <v>40</v>
      </c>
      <c r="P2161" s="2" t="s">
        <v>187</v>
      </c>
      <c r="Q2161" s="2" t="s">
        <v>1308</v>
      </c>
      <c r="R2161" s="2" t="s">
        <v>1309</v>
      </c>
      <c r="S2161" s="2">
        <v>1</v>
      </c>
      <c r="T2161" s="2">
        <v>402.77</v>
      </c>
      <c r="U2161" s="2">
        <v>92.637100000000004</v>
      </c>
      <c r="V2161" s="2">
        <v>495.40710000000001</v>
      </c>
      <c r="X2161" s="5">
        <f t="shared" ref="X2161:X2171" si="303">(T2161-W2161)/T2161</f>
        <v>1</v>
      </c>
      <c r="Z2161" s="2" t="s">
        <v>117</v>
      </c>
      <c r="AA2161" s="2" t="s">
        <v>1310</v>
      </c>
      <c r="AF2161" s="2">
        <f t="shared" si="295"/>
        <v>0</v>
      </c>
      <c r="AJ2161" s="2">
        <f t="shared" si="296"/>
        <v>0</v>
      </c>
      <c r="AK2161" s="2">
        <f t="shared" si="300"/>
        <v>402.77</v>
      </c>
      <c r="AL2161" s="5">
        <f t="shared" si="302"/>
        <v>1</v>
      </c>
    </row>
    <row r="2162" spans="1:38" x14ac:dyDescent="0.2">
      <c r="A2162" s="2">
        <v>2025</v>
      </c>
      <c r="B2162" s="2">
        <v>11</v>
      </c>
      <c r="D2162" s="2" t="s">
        <v>2018</v>
      </c>
      <c r="E2162" s="2" t="s">
        <v>108</v>
      </c>
      <c r="F2162" s="2" t="s">
        <v>39</v>
      </c>
      <c r="G2162" s="2">
        <v>501320032</v>
      </c>
      <c r="H2162" s="2" t="s">
        <v>109</v>
      </c>
      <c r="I2162" s="2" t="s">
        <v>2019</v>
      </c>
      <c r="J2162" s="2" t="s">
        <v>2020</v>
      </c>
      <c r="K2162" s="2">
        <v>966004647</v>
      </c>
      <c r="L2162" s="2" t="s">
        <v>461</v>
      </c>
      <c r="M2162" s="2" t="s">
        <v>80</v>
      </c>
      <c r="O2162" s="2" t="s">
        <v>2021</v>
      </c>
      <c r="P2162" s="2" t="s">
        <v>72</v>
      </c>
      <c r="Q2162" s="2" t="s">
        <v>681</v>
      </c>
      <c r="R2162" s="2" t="s">
        <v>74</v>
      </c>
      <c r="S2162" s="2">
        <v>1</v>
      </c>
      <c r="T2162" s="2">
        <v>209</v>
      </c>
      <c r="U2162" s="2">
        <v>48.07</v>
      </c>
      <c r="V2162" s="2">
        <v>257.07</v>
      </c>
      <c r="W2162" s="2">
        <v>104.49</v>
      </c>
      <c r="X2162" s="5">
        <f t="shared" si="303"/>
        <v>0.50004784688995219</v>
      </c>
      <c r="Z2162" s="2" t="s">
        <v>3227</v>
      </c>
      <c r="AA2162" s="2" t="s">
        <v>75</v>
      </c>
      <c r="AB2162" s="2" t="s">
        <v>76</v>
      </c>
      <c r="AC2162" s="2" t="s">
        <v>77</v>
      </c>
      <c r="AF2162" s="2">
        <f t="shared" si="295"/>
        <v>0</v>
      </c>
      <c r="AG2162" s="2">
        <v>104.49</v>
      </c>
      <c r="AH2162" s="2">
        <v>220</v>
      </c>
      <c r="AJ2162" s="2">
        <f t="shared" si="296"/>
        <v>0</v>
      </c>
      <c r="AK2162" s="2">
        <f t="shared" si="300"/>
        <v>104.51</v>
      </c>
      <c r="AL2162" s="5">
        <f t="shared" si="302"/>
        <v>0.50004784688995219</v>
      </c>
    </row>
    <row r="2163" spans="1:38" x14ac:dyDescent="0.2">
      <c r="A2163" s="2">
        <v>2025</v>
      </c>
      <c r="B2163" s="2">
        <v>11</v>
      </c>
      <c r="D2163" s="2" t="s">
        <v>2018</v>
      </c>
      <c r="P2163" s="2" t="s">
        <v>93</v>
      </c>
      <c r="Q2163" s="2" t="s">
        <v>94</v>
      </c>
      <c r="R2163" s="2" t="s">
        <v>95</v>
      </c>
      <c r="S2163" s="2">
        <v>1</v>
      </c>
      <c r="T2163" s="2">
        <v>1.1399999999999999</v>
      </c>
      <c r="U2163" s="2">
        <v>0.26219999999999999</v>
      </c>
      <c r="V2163" s="2">
        <v>1.4021999999999999</v>
      </c>
      <c r="W2163" s="2">
        <v>1.1399999999999999</v>
      </c>
      <c r="X2163" s="5">
        <f t="shared" si="303"/>
        <v>0</v>
      </c>
      <c r="Z2163" s="2" t="s">
        <v>3227</v>
      </c>
      <c r="AA2163" s="2" t="s">
        <v>96</v>
      </c>
      <c r="AB2163" s="2" t="s">
        <v>76</v>
      </c>
      <c r="AC2163" s="2" t="s">
        <v>93</v>
      </c>
      <c r="AF2163" s="2">
        <f t="shared" si="295"/>
        <v>0</v>
      </c>
      <c r="AJ2163" s="2">
        <f t="shared" si="296"/>
        <v>0</v>
      </c>
      <c r="AK2163" s="2">
        <f t="shared" si="300"/>
        <v>0</v>
      </c>
      <c r="AL2163" s="5">
        <f t="shared" si="302"/>
        <v>0</v>
      </c>
    </row>
    <row r="2164" spans="1:38" x14ac:dyDescent="0.2">
      <c r="A2164" s="2">
        <v>2025</v>
      </c>
      <c r="B2164" s="2">
        <v>11</v>
      </c>
      <c r="D2164" s="2" t="s">
        <v>451</v>
      </c>
      <c r="E2164" s="2" t="s">
        <v>108</v>
      </c>
      <c r="F2164" s="2" t="s">
        <v>39</v>
      </c>
      <c r="G2164" s="2">
        <v>506085686</v>
      </c>
      <c r="H2164" s="2" t="s">
        <v>40</v>
      </c>
      <c r="I2164" s="2" t="s">
        <v>452</v>
      </c>
      <c r="J2164" s="2" t="s">
        <v>453</v>
      </c>
      <c r="K2164" s="2">
        <v>917241919</v>
      </c>
      <c r="L2164" s="2" t="s">
        <v>398</v>
      </c>
      <c r="M2164" s="2" t="s">
        <v>40</v>
      </c>
      <c r="P2164" s="2" t="s">
        <v>187</v>
      </c>
      <c r="Q2164" s="2" t="s">
        <v>188</v>
      </c>
      <c r="R2164" s="2" t="s">
        <v>189</v>
      </c>
      <c r="S2164" s="2">
        <v>3</v>
      </c>
      <c r="T2164" s="2">
        <v>215.25</v>
      </c>
      <c r="U2164" s="2">
        <v>49.5075</v>
      </c>
      <c r="V2164" s="2">
        <v>264.75749999999999</v>
      </c>
      <c r="W2164" s="2">
        <f>T2164*40%</f>
        <v>86.100000000000009</v>
      </c>
      <c r="X2164" s="5">
        <f t="shared" si="303"/>
        <v>0.59999999999999987</v>
      </c>
      <c r="Z2164" s="2" t="s">
        <v>117</v>
      </c>
      <c r="AA2164" s="2" t="s">
        <v>190</v>
      </c>
      <c r="AB2164" s="2" t="s">
        <v>189</v>
      </c>
      <c r="AC2164" s="2" t="s">
        <v>40</v>
      </c>
      <c r="AF2164" s="2">
        <f t="shared" si="295"/>
        <v>0</v>
      </c>
      <c r="AJ2164" s="2">
        <f t="shared" si="296"/>
        <v>0</v>
      </c>
      <c r="AK2164" s="2">
        <f t="shared" si="300"/>
        <v>129.14999999999998</v>
      </c>
      <c r="AL2164" s="5">
        <f t="shared" si="302"/>
        <v>0.59999999999999987</v>
      </c>
    </row>
    <row r="2165" spans="1:38" x14ac:dyDescent="0.2">
      <c r="A2165" s="2">
        <v>2025</v>
      </c>
      <c r="B2165" s="2">
        <v>11</v>
      </c>
      <c r="D2165" s="2" t="s">
        <v>451</v>
      </c>
      <c r="E2165" s="2" t="s">
        <v>108</v>
      </c>
      <c r="F2165" s="2" t="s">
        <v>39</v>
      </c>
      <c r="G2165" s="2">
        <v>506085686</v>
      </c>
      <c r="H2165" s="2" t="s">
        <v>40</v>
      </c>
      <c r="I2165" s="2" t="s">
        <v>452</v>
      </c>
      <c r="J2165" s="2" t="s">
        <v>453</v>
      </c>
      <c r="K2165" s="2">
        <v>917241919</v>
      </c>
      <c r="L2165" s="2" t="s">
        <v>398</v>
      </c>
      <c r="M2165" s="2" t="s">
        <v>40</v>
      </c>
      <c r="P2165" s="2" t="s">
        <v>187</v>
      </c>
      <c r="Q2165" s="2" t="s">
        <v>191</v>
      </c>
      <c r="R2165" s="2" t="s">
        <v>190</v>
      </c>
      <c r="S2165" s="2">
        <v>2.75</v>
      </c>
      <c r="T2165" s="2">
        <v>123.75</v>
      </c>
      <c r="U2165" s="2">
        <v>28.462499999999999</v>
      </c>
      <c r="V2165" s="2">
        <v>152.21250000000001</v>
      </c>
      <c r="W2165" s="2">
        <f>T2165*50%</f>
        <v>61.875</v>
      </c>
      <c r="X2165" s="5">
        <f t="shared" si="303"/>
        <v>0.5</v>
      </c>
      <c r="Z2165" s="2" t="s">
        <v>117</v>
      </c>
      <c r="AA2165" s="2" t="s">
        <v>190</v>
      </c>
      <c r="AB2165" s="2" t="s">
        <v>190</v>
      </c>
      <c r="AC2165" s="2" t="s">
        <v>40</v>
      </c>
      <c r="AF2165" s="2">
        <f t="shared" si="295"/>
        <v>0</v>
      </c>
      <c r="AJ2165" s="2">
        <f t="shared" si="296"/>
        <v>0</v>
      </c>
      <c r="AK2165" s="2">
        <f t="shared" si="300"/>
        <v>61.875</v>
      </c>
      <c r="AL2165" s="5">
        <f t="shared" si="302"/>
        <v>0.5</v>
      </c>
    </row>
    <row r="2166" spans="1:38" x14ac:dyDescent="0.2">
      <c r="A2166" s="2">
        <v>2025</v>
      </c>
      <c r="B2166" s="2">
        <v>11</v>
      </c>
      <c r="D2166" s="2" t="s">
        <v>451</v>
      </c>
      <c r="E2166" s="2" t="s">
        <v>108</v>
      </c>
      <c r="F2166" s="2" t="s">
        <v>39</v>
      </c>
      <c r="G2166" s="2">
        <v>506085686</v>
      </c>
      <c r="H2166" s="2" t="s">
        <v>40</v>
      </c>
      <c r="I2166" s="2" t="s">
        <v>452</v>
      </c>
      <c r="J2166" s="2" t="s">
        <v>453</v>
      </c>
      <c r="K2166" s="2">
        <v>917241919</v>
      </c>
      <c r="L2166" s="2" t="s">
        <v>398</v>
      </c>
      <c r="P2166" s="2" t="s">
        <v>40</v>
      </c>
      <c r="Q2166" s="2" t="s">
        <v>363</v>
      </c>
      <c r="R2166" s="2" t="s">
        <v>364</v>
      </c>
      <c r="S2166" s="2">
        <v>1</v>
      </c>
      <c r="T2166" s="2">
        <v>268.12</v>
      </c>
      <c r="U2166" s="2">
        <v>61.6676</v>
      </c>
      <c r="V2166" s="2">
        <v>329.7876</v>
      </c>
      <c r="X2166" s="5">
        <f t="shared" si="303"/>
        <v>1</v>
      </c>
      <c r="Z2166" s="2" t="s">
        <v>119</v>
      </c>
      <c r="AA2166" s="2" t="s">
        <v>3380</v>
      </c>
      <c r="AF2166" s="2">
        <f t="shared" si="295"/>
        <v>0</v>
      </c>
      <c r="AJ2166" s="2">
        <f t="shared" si="296"/>
        <v>0</v>
      </c>
      <c r="AK2166" s="2">
        <f t="shared" si="300"/>
        <v>268.12</v>
      </c>
      <c r="AL2166" s="5">
        <f t="shared" si="302"/>
        <v>1</v>
      </c>
    </row>
    <row r="2167" spans="1:38" x14ac:dyDescent="0.2">
      <c r="A2167" s="2">
        <v>2025</v>
      </c>
      <c r="B2167" s="2">
        <v>11</v>
      </c>
      <c r="D2167" s="2" t="s">
        <v>822</v>
      </c>
      <c r="E2167" s="2" t="s">
        <v>38</v>
      </c>
      <c r="F2167" s="2" t="s">
        <v>39</v>
      </c>
      <c r="G2167" s="2">
        <v>513812342</v>
      </c>
      <c r="H2167" s="2" t="s">
        <v>41</v>
      </c>
      <c r="I2167" s="2" t="s">
        <v>825</v>
      </c>
      <c r="J2167" s="2" t="s">
        <v>826</v>
      </c>
      <c r="L2167" s="2" t="s">
        <v>418</v>
      </c>
      <c r="P2167" s="2" t="s">
        <v>114</v>
      </c>
      <c r="Q2167" s="2" t="s">
        <v>628</v>
      </c>
      <c r="R2167" s="2" t="s">
        <v>629</v>
      </c>
      <c r="S2167" s="2">
        <v>1</v>
      </c>
      <c r="T2167" s="2">
        <v>26.79</v>
      </c>
      <c r="U2167" s="2">
        <v>6.1616999999999997</v>
      </c>
      <c r="V2167" s="2">
        <v>32.951700000000002</v>
      </c>
      <c r="X2167" s="5">
        <f t="shared" si="303"/>
        <v>1</v>
      </c>
      <c r="Z2167" s="2" t="s">
        <v>117</v>
      </c>
      <c r="AF2167" s="2">
        <f t="shared" si="295"/>
        <v>0</v>
      </c>
      <c r="AJ2167" s="2">
        <f t="shared" si="296"/>
        <v>0</v>
      </c>
      <c r="AK2167" s="2">
        <f t="shared" si="300"/>
        <v>26.79</v>
      </c>
      <c r="AL2167" s="5">
        <f t="shared" si="302"/>
        <v>1</v>
      </c>
    </row>
    <row r="2168" spans="1:38" x14ac:dyDescent="0.2">
      <c r="A2168" s="2">
        <v>2025</v>
      </c>
      <c r="B2168" s="2">
        <v>11</v>
      </c>
      <c r="D2168" s="2" t="s">
        <v>822</v>
      </c>
      <c r="E2168" s="2" t="s">
        <v>38</v>
      </c>
      <c r="F2168" s="2" t="s">
        <v>39</v>
      </c>
      <c r="G2168" s="2">
        <v>513812342</v>
      </c>
      <c r="H2168" s="2" t="s">
        <v>41</v>
      </c>
      <c r="I2168" s="2" t="s">
        <v>825</v>
      </c>
      <c r="J2168" s="2" t="s">
        <v>826</v>
      </c>
      <c r="L2168" s="2" t="s">
        <v>418</v>
      </c>
      <c r="M2168" s="2" t="s">
        <v>40</v>
      </c>
      <c r="P2168" s="2" t="s">
        <v>187</v>
      </c>
      <c r="Q2168" s="2" t="s">
        <v>188</v>
      </c>
      <c r="R2168" s="2" t="s">
        <v>189</v>
      </c>
      <c r="S2168" s="2">
        <v>1</v>
      </c>
      <c r="T2168" s="2">
        <v>99</v>
      </c>
      <c r="U2168" s="2">
        <v>22.77</v>
      </c>
      <c r="V2168" s="2">
        <v>121.77</v>
      </c>
      <c r="W2168" s="2">
        <f>T2168*40%</f>
        <v>39.6</v>
      </c>
      <c r="X2168" s="5">
        <f t="shared" si="303"/>
        <v>0.6</v>
      </c>
      <c r="Z2168" s="2" t="s">
        <v>117</v>
      </c>
      <c r="AA2168" s="2" t="s">
        <v>190</v>
      </c>
      <c r="AB2168" s="2" t="s">
        <v>189</v>
      </c>
      <c r="AC2168" s="2" t="s">
        <v>40</v>
      </c>
      <c r="AF2168" s="2">
        <f t="shared" si="295"/>
        <v>0</v>
      </c>
      <c r="AJ2168" s="2">
        <f t="shared" si="296"/>
        <v>0</v>
      </c>
      <c r="AK2168" s="2">
        <f t="shared" si="300"/>
        <v>59.4</v>
      </c>
      <c r="AL2168" s="5">
        <f t="shared" si="302"/>
        <v>0.6</v>
      </c>
    </row>
    <row r="2169" spans="1:38" x14ac:dyDescent="0.2">
      <c r="A2169" s="2">
        <v>2025</v>
      </c>
      <c r="B2169" s="2">
        <v>11</v>
      </c>
      <c r="D2169" s="2" t="s">
        <v>822</v>
      </c>
      <c r="E2169" s="2" t="s">
        <v>38</v>
      </c>
      <c r="F2169" s="2" t="s">
        <v>39</v>
      </c>
      <c r="G2169" s="2">
        <v>513812342</v>
      </c>
      <c r="H2169" s="2" t="s">
        <v>41</v>
      </c>
      <c r="I2169" s="2" t="s">
        <v>825</v>
      </c>
      <c r="J2169" s="2" t="s">
        <v>826</v>
      </c>
      <c r="L2169" s="2" t="s">
        <v>418</v>
      </c>
      <c r="M2169" s="2" t="s">
        <v>40</v>
      </c>
      <c r="P2169" s="2" t="s">
        <v>187</v>
      </c>
      <c r="Q2169" s="2" t="s">
        <v>191</v>
      </c>
      <c r="R2169" s="2" t="s">
        <v>190</v>
      </c>
      <c r="S2169" s="2">
        <v>1</v>
      </c>
      <c r="T2169" s="2">
        <v>50</v>
      </c>
      <c r="U2169" s="2">
        <v>11.5</v>
      </c>
      <c r="V2169" s="2">
        <v>61.5</v>
      </c>
      <c r="W2169" s="2">
        <f>T2169*50%</f>
        <v>25</v>
      </c>
      <c r="X2169" s="5">
        <f t="shared" si="303"/>
        <v>0.5</v>
      </c>
      <c r="Z2169" s="2" t="s">
        <v>117</v>
      </c>
      <c r="AA2169" s="2" t="s">
        <v>190</v>
      </c>
      <c r="AB2169" s="2" t="s">
        <v>190</v>
      </c>
      <c r="AC2169" s="2" t="s">
        <v>40</v>
      </c>
      <c r="AF2169" s="2">
        <f t="shared" si="295"/>
        <v>0</v>
      </c>
      <c r="AJ2169" s="2">
        <f t="shared" si="296"/>
        <v>0</v>
      </c>
      <c r="AK2169" s="2">
        <f t="shared" si="300"/>
        <v>25</v>
      </c>
      <c r="AL2169" s="5">
        <f t="shared" si="302"/>
        <v>0.5</v>
      </c>
    </row>
    <row r="2170" spans="1:38" x14ac:dyDescent="0.2">
      <c r="A2170" s="2">
        <v>2025</v>
      </c>
      <c r="B2170" s="2">
        <v>11</v>
      </c>
      <c r="D2170" s="2" t="s">
        <v>1388</v>
      </c>
      <c r="M2170" s="2" t="s">
        <v>40</v>
      </c>
      <c r="P2170" s="2" t="s">
        <v>114</v>
      </c>
      <c r="Q2170" s="2" t="s">
        <v>179</v>
      </c>
      <c r="R2170" s="2" t="s">
        <v>180</v>
      </c>
      <c r="S2170" s="2">
        <v>1</v>
      </c>
      <c r="T2170" s="2">
        <v>699.3</v>
      </c>
      <c r="U2170" s="2">
        <v>160.839</v>
      </c>
      <c r="V2170" s="2">
        <v>860.1389999999999</v>
      </c>
      <c r="W2170" s="2">
        <v>346.57</v>
      </c>
      <c r="X2170" s="5">
        <f t="shared" si="303"/>
        <v>0.50440440440440437</v>
      </c>
      <c r="Z2170" s="2" t="s">
        <v>117</v>
      </c>
      <c r="AA2170" s="2" t="s">
        <v>181</v>
      </c>
      <c r="AB2170" s="2" t="s">
        <v>119</v>
      </c>
      <c r="AC2170" s="2" t="s">
        <v>114</v>
      </c>
      <c r="AF2170" s="2">
        <f t="shared" si="295"/>
        <v>0</v>
      </c>
      <c r="AJ2170" s="2">
        <f t="shared" si="296"/>
        <v>0</v>
      </c>
      <c r="AK2170" s="2">
        <f t="shared" si="300"/>
        <v>352.72999999999996</v>
      </c>
      <c r="AL2170" s="5">
        <f t="shared" si="302"/>
        <v>0.50440440440440437</v>
      </c>
    </row>
    <row r="2171" spans="1:38" x14ac:dyDescent="0.2">
      <c r="A2171" s="2">
        <v>2025</v>
      </c>
      <c r="B2171" s="2">
        <v>11</v>
      </c>
      <c r="D2171" s="2" t="s">
        <v>1388</v>
      </c>
      <c r="M2171" s="2" t="s">
        <v>40</v>
      </c>
      <c r="P2171" s="2" t="s">
        <v>187</v>
      </c>
      <c r="Q2171" s="2" t="s">
        <v>188</v>
      </c>
      <c r="R2171" s="2" t="s">
        <v>189</v>
      </c>
      <c r="S2171" s="2">
        <v>1</v>
      </c>
      <c r="T2171" s="2">
        <v>115</v>
      </c>
      <c r="U2171" s="2">
        <v>26.45</v>
      </c>
      <c r="V2171" s="2">
        <v>141.44999999999999</v>
      </c>
      <c r="W2171" s="2">
        <f>T2171*40%</f>
        <v>46</v>
      </c>
      <c r="X2171" s="5">
        <f t="shared" si="303"/>
        <v>0.6</v>
      </c>
      <c r="Z2171" s="2" t="s">
        <v>117</v>
      </c>
      <c r="AA2171" s="2" t="s">
        <v>190</v>
      </c>
      <c r="AB2171" s="2" t="s">
        <v>189</v>
      </c>
      <c r="AC2171" s="2" t="s">
        <v>40</v>
      </c>
      <c r="AF2171" s="2">
        <f t="shared" si="295"/>
        <v>0</v>
      </c>
      <c r="AJ2171" s="2">
        <f t="shared" si="296"/>
        <v>0</v>
      </c>
      <c r="AK2171" s="2">
        <f t="shared" si="300"/>
        <v>69</v>
      </c>
      <c r="AL2171" s="5">
        <f t="shared" si="302"/>
        <v>0.6</v>
      </c>
    </row>
    <row r="2172" spans="1:38" x14ac:dyDescent="0.2">
      <c r="A2172" s="2">
        <v>2025</v>
      </c>
      <c r="B2172" s="2">
        <v>11</v>
      </c>
      <c r="D2172" s="2" t="s">
        <v>1388</v>
      </c>
      <c r="M2172" s="2" t="s">
        <v>40</v>
      </c>
      <c r="P2172" s="2" t="s">
        <v>187</v>
      </c>
      <c r="Q2172" s="2" t="s">
        <v>191</v>
      </c>
      <c r="R2172" s="2" t="s">
        <v>190</v>
      </c>
      <c r="S2172" s="2">
        <v>1</v>
      </c>
      <c r="T2172" s="2">
        <v>0</v>
      </c>
      <c r="U2172" s="2">
        <v>0</v>
      </c>
      <c r="V2172" s="2">
        <v>0</v>
      </c>
      <c r="W2172" s="2">
        <f>T2172*50%</f>
        <v>0</v>
      </c>
      <c r="X2172" s="5">
        <v>0</v>
      </c>
      <c r="Z2172" s="2" t="s">
        <v>117</v>
      </c>
      <c r="AA2172" s="2" t="s">
        <v>190</v>
      </c>
      <c r="AB2172" s="2" t="s">
        <v>190</v>
      </c>
      <c r="AC2172" s="2" t="s">
        <v>40</v>
      </c>
      <c r="AF2172" s="2">
        <f t="shared" si="295"/>
        <v>0</v>
      </c>
      <c r="AJ2172" s="2">
        <f t="shared" si="296"/>
        <v>0</v>
      </c>
      <c r="AK2172" s="2">
        <f t="shared" si="300"/>
        <v>0</v>
      </c>
      <c r="AL2172" s="5">
        <v>0</v>
      </c>
    </row>
    <row r="2173" spans="1:38" x14ac:dyDescent="0.2">
      <c r="A2173" s="2">
        <v>2025</v>
      </c>
      <c r="B2173" s="2">
        <v>11</v>
      </c>
      <c r="D2173" s="2" t="s">
        <v>2022</v>
      </c>
      <c r="M2173" s="2" t="s">
        <v>40</v>
      </c>
      <c r="P2173" s="2" t="s">
        <v>114</v>
      </c>
      <c r="Q2173" s="2" t="s">
        <v>373</v>
      </c>
      <c r="R2173" s="2" t="s">
        <v>374</v>
      </c>
      <c r="S2173" s="2">
        <v>1</v>
      </c>
      <c r="T2173" s="2">
        <v>48.95</v>
      </c>
      <c r="U2173" s="2">
        <v>11.2585</v>
      </c>
      <c r="V2173" s="2">
        <v>60.208500000000001</v>
      </c>
      <c r="W2173" s="2">
        <f>23.042*S2173</f>
        <v>23.042000000000002</v>
      </c>
      <c r="X2173" s="5">
        <f t="shared" ref="X2173:X2195" si="304">(T2173-W2173)/T2173</f>
        <v>0.52927477017364655</v>
      </c>
      <c r="Z2173" s="2" t="s">
        <v>117</v>
      </c>
      <c r="AA2173" s="2" t="s">
        <v>118</v>
      </c>
      <c r="AB2173" s="2" t="s">
        <v>119</v>
      </c>
      <c r="AC2173" s="2" t="s">
        <v>114</v>
      </c>
      <c r="AF2173" s="2">
        <f t="shared" si="295"/>
        <v>0</v>
      </c>
      <c r="AJ2173" s="2">
        <f t="shared" si="296"/>
        <v>0</v>
      </c>
      <c r="AK2173" s="2">
        <f t="shared" si="300"/>
        <v>25.908000000000001</v>
      </c>
      <c r="AL2173" s="5">
        <f t="shared" ref="AL2173:AL2195" si="305">(T2173-W2173)/T2173</f>
        <v>0.52927477017364655</v>
      </c>
    </row>
    <row r="2174" spans="1:38" x14ac:dyDescent="0.2">
      <c r="A2174" s="2">
        <v>2025</v>
      </c>
      <c r="B2174" s="2">
        <v>11</v>
      </c>
      <c r="D2174" s="2" t="s">
        <v>2022</v>
      </c>
      <c r="P2174" s="2" t="s">
        <v>43</v>
      </c>
      <c r="Q2174" s="2" t="s">
        <v>54</v>
      </c>
      <c r="R2174" s="2" t="s">
        <v>55</v>
      </c>
      <c r="S2174" s="2">
        <v>2</v>
      </c>
      <c r="T2174" s="2">
        <v>36</v>
      </c>
      <c r="U2174" s="2">
        <v>8.2800000000000011</v>
      </c>
      <c r="V2174" s="2">
        <v>44.28</v>
      </c>
      <c r="W2174" s="2">
        <f>10.6*S2174</f>
        <v>21.2</v>
      </c>
      <c r="X2174" s="5">
        <f t="shared" si="304"/>
        <v>0.41111111111111115</v>
      </c>
      <c r="Z2174" s="2" t="s">
        <v>3227</v>
      </c>
      <c r="AA2174" s="2" t="s">
        <v>46</v>
      </c>
      <c r="AB2174" s="2" t="s">
        <v>56</v>
      </c>
      <c r="AC2174" s="2" t="s">
        <v>57</v>
      </c>
      <c r="AF2174" s="2">
        <f t="shared" si="295"/>
        <v>0</v>
      </c>
      <c r="AG2174" s="2">
        <v>10.6</v>
      </c>
      <c r="AH2174" s="2">
        <v>18</v>
      </c>
      <c r="AJ2174" s="2">
        <f t="shared" si="296"/>
        <v>0</v>
      </c>
      <c r="AK2174" s="2">
        <f t="shared" si="300"/>
        <v>14.8</v>
      </c>
      <c r="AL2174" s="5">
        <f t="shared" si="305"/>
        <v>0.41111111111111115</v>
      </c>
    </row>
    <row r="2175" spans="1:38" x14ac:dyDescent="0.2">
      <c r="A2175" s="2">
        <v>2025</v>
      </c>
      <c r="B2175" s="2">
        <v>11</v>
      </c>
      <c r="D2175" s="2" t="s">
        <v>2022</v>
      </c>
      <c r="P2175" s="2" t="s">
        <v>43</v>
      </c>
      <c r="Q2175" s="2" t="s">
        <v>61</v>
      </c>
      <c r="R2175" s="2" t="s">
        <v>62</v>
      </c>
      <c r="S2175" s="2">
        <v>100</v>
      </c>
      <c r="T2175" s="2">
        <v>13</v>
      </c>
      <c r="U2175" s="2">
        <v>2.99</v>
      </c>
      <c r="V2175" s="2">
        <v>15.99</v>
      </c>
      <c r="W2175" s="2">
        <f>0.082*S2175</f>
        <v>8.2000000000000011</v>
      </c>
      <c r="X2175" s="5">
        <f t="shared" si="304"/>
        <v>0.36923076923076914</v>
      </c>
      <c r="Z2175" s="2" t="s">
        <v>3227</v>
      </c>
      <c r="AA2175" s="2" t="s">
        <v>46</v>
      </c>
      <c r="AB2175" s="2" t="s">
        <v>60</v>
      </c>
      <c r="AC2175" s="2" t="s">
        <v>57</v>
      </c>
      <c r="AF2175" s="2">
        <f t="shared" si="295"/>
        <v>0</v>
      </c>
      <c r="AG2175" s="2">
        <v>8.1999999999999993</v>
      </c>
      <c r="AH2175" s="2">
        <v>13</v>
      </c>
      <c r="AJ2175" s="2">
        <f t="shared" si="296"/>
        <v>0</v>
      </c>
      <c r="AK2175" s="2">
        <f t="shared" si="300"/>
        <v>4.7999999999999989</v>
      </c>
      <c r="AL2175" s="5">
        <f t="shared" si="305"/>
        <v>0.36923076923076914</v>
      </c>
    </row>
    <row r="2176" spans="1:38" x14ac:dyDescent="0.2">
      <c r="A2176" s="2">
        <v>2025</v>
      </c>
      <c r="B2176" s="2">
        <v>11</v>
      </c>
      <c r="C2176" s="2" t="s">
        <v>3394</v>
      </c>
      <c r="D2176" s="15" t="s">
        <v>3415</v>
      </c>
      <c r="E2176" s="2" t="s">
        <v>108</v>
      </c>
      <c r="F2176" s="2" t="s">
        <v>39</v>
      </c>
      <c r="L2176" s="2" t="s">
        <v>133</v>
      </c>
      <c r="M2176" s="2" t="s">
        <v>109</v>
      </c>
      <c r="P2176" s="2" t="s">
        <v>3230</v>
      </c>
      <c r="Q2176" s="2" t="s">
        <v>2023</v>
      </c>
      <c r="R2176" s="2" t="s">
        <v>2024</v>
      </c>
      <c r="S2176" s="2">
        <v>1</v>
      </c>
      <c r="T2176" s="2">
        <v>7990</v>
      </c>
      <c r="U2176" s="2">
        <v>1837.7</v>
      </c>
      <c r="V2176" s="2">
        <v>9827.7000000000007</v>
      </c>
      <c r="W2176" s="2">
        <v>2333.16</v>
      </c>
      <c r="X2176" s="5">
        <f t="shared" si="304"/>
        <v>0.70798998748435549</v>
      </c>
      <c r="Z2176" s="2" t="s">
        <v>104</v>
      </c>
      <c r="AA2176" s="2" t="s">
        <v>414</v>
      </c>
      <c r="AB2176" s="2" t="s">
        <v>151</v>
      </c>
      <c r="AC2176" s="2" t="s">
        <v>3230</v>
      </c>
      <c r="AF2176" s="2">
        <f t="shared" si="295"/>
        <v>0</v>
      </c>
      <c r="AJ2176" s="2">
        <f t="shared" si="296"/>
        <v>0</v>
      </c>
      <c r="AK2176" s="2">
        <f t="shared" si="300"/>
        <v>5656.84</v>
      </c>
      <c r="AL2176" s="5">
        <f t="shared" si="305"/>
        <v>0.70798998748435549</v>
      </c>
    </row>
    <row r="2177" spans="1:38" x14ac:dyDescent="0.2">
      <c r="A2177" s="2">
        <v>2025</v>
      </c>
      <c r="B2177" s="2">
        <v>11</v>
      </c>
      <c r="C2177" s="2" t="s">
        <v>3394</v>
      </c>
      <c r="D2177" s="15" t="s">
        <v>3415</v>
      </c>
      <c r="E2177" s="2" t="s">
        <v>108</v>
      </c>
      <c r="F2177" s="2" t="s">
        <v>39</v>
      </c>
      <c r="L2177" s="2" t="s">
        <v>133</v>
      </c>
      <c r="M2177" s="2" t="s">
        <v>109</v>
      </c>
      <c r="P2177" s="2" t="s">
        <v>3230</v>
      </c>
      <c r="Q2177" s="2" t="s">
        <v>2025</v>
      </c>
      <c r="R2177" s="2" t="s">
        <v>2026</v>
      </c>
      <c r="S2177" s="2">
        <v>1</v>
      </c>
      <c r="T2177" s="2">
        <v>4990</v>
      </c>
      <c r="U2177" s="2">
        <v>1147.7</v>
      </c>
      <c r="V2177" s="2">
        <v>6137.7</v>
      </c>
      <c r="W2177" s="2">
        <v>1786.2088000000001</v>
      </c>
      <c r="X2177" s="5">
        <f t="shared" si="304"/>
        <v>0.64204232464929856</v>
      </c>
      <c r="Z2177" s="2" t="s">
        <v>104</v>
      </c>
      <c r="AA2177" s="2" t="s">
        <v>105</v>
      </c>
      <c r="AB2177" s="2" t="s">
        <v>2027</v>
      </c>
      <c r="AC2177" s="2" t="s">
        <v>3230</v>
      </c>
      <c r="AF2177" s="2">
        <f t="shared" si="295"/>
        <v>0</v>
      </c>
      <c r="AJ2177" s="2">
        <f t="shared" si="296"/>
        <v>0</v>
      </c>
      <c r="AK2177" s="2">
        <f t="shared" si="300"/>
        <v>3203.7911999999997</v>
      </c>
      <c r="AL2177" s="5">
        <f t="shared" si="305"/>
        <v>0.64204232464929856</v>
      </c>
    </row>
    <row r="2178" spans="1:38" x14ac:dyDescent="0.2">
      <c r="A2178" s="2">
        <v>2025</v>
      </c>
      <c r="B2178" s="2">
        <v>11</v>
      </c>
      <c r="D2178" s="2" t="s">
        <v>840</v>
      </c>
      <c r="E2178" s="2" t="s">
        <v>108</v>
      </c>
      <c r="F2178" s="2" t="s">
        <v>531</v>
      </c>
      <c r="G2178" s="2">
        <v>504981285</v>
      </c>
      <c r="H2178" s="2" t="s">
        <v>290</v>
      </c>
      <c r="I2178" s="2" t="s">
        <v>841</v>
      </c>
      <c r="J2178" s="2" t="s">
        <v>842</v>
      </c>
      <c r="K2178" s="2">
        <v>932209225</v>
      </c>
      <c r="L2178" s="2" t="s">
        <v>339</v>
      </c>
      <c r="M2178" s="2" t="s">
        <v>40</v>
      </c>
      <c r="P2178" s="2" t="s">
        <v>187</v>
      </c>
      <c r="Q2178" s="2" t="s">
        <v>188</v>
      </c>
      <c r="R2178" s="2" t="s">
        <v>189</v>
      </c>
      <c r="S2178" s="2">
        <v>1</v>
      </c>
      <c r="T2178" s="2">
        <v>50</v>
      </c>
      <c r="U2178" s="2">
        <v>11.5</v>
      </c>
      <c r="V2178" s="2">
        <v>61.5</v>
      </c>
      <c r="W2178" s="2">
        <f>T2178*40%</f>
        <v>20</v>
      </c>
      <c r="X2178" s="5">
        <f t="shared" si="304"/>
        <v>0.6</v>
      </c>
      <c r="Z2178" s="2" t="s">
        <v>117</v>
      </c>
      <c r="AA2178" s="2" t="s">
        <v>190</v>
      </c>
      <c r="AB2178" s="2" t="s">
        <v>189</v>
      </c>
      <c r="AC2178" s="2" t="s">
        <v>40</v>
      </c>
      <c r="AF2178" s="2">
        <f t="shared" ref="AF2178:AF2241" si="306">AJ2178</f>
        <v>0</v>
      </c>
      <c r="AJ2178" s="2">
        <f t="shared" ref="AJ2178:AJ2241" si="307">AI2178*T2178</f>
        <v>0</v>
      </c>
      <c r="AK2178" s="2">
        <f t="shared" si="300"/>
        <v>30</v>
      </c>
      <c r="AL2178" s="5">
        <f t="shared" si="305"/>
        <v>0.6</v>
      </c>
    </row>
    <row r="2179" spans="1:38" x14ac:dyDescent="0.2">
      <c r="A2179" s="2">
        <v>2025</v>
      </c>
      <c r="B2179" s="2">
        <v>11</v>
      </c>
      <c r="D2179" s="2" t="s">
        <v>840</v>
      </c>
      <c r="E2179" s="2" t="s">
        <v>108</v>
      </c>
      <c r="F2179" s="2" t="s">
        <v>531</v>
      </c>
      <c r="G2179" s="2">
        <v>504981285</v>
      </c>
      <c r="H2179" s="2" t="s">
        <v>290</v>
      </c>
      <c r="I2179" s="2" t="s">
        <v>841</v>
      </c>
      <c r="J2179" s="2" t="s">
        <v>842</v>
      </c>
      <c r="K2179" s="2">
        <v>932209225</v>
      </c>
      <c r="L2179" s="2" t="s">
        <v>339</v>
      </c>
      <c r="M2179" s="2" t="s">
        <v>40</v>
      </c>
      <c r="P2179" s="2" t="s">
        <v>187</v>
      </c>
      <c r="Q2179" s="2" t="s">
        <v>191</v>
      </c>
      <c r="R2179" s="2" t="s">
        <v>190</v>
      </c>
      <c r="S2179" s="2">
        <v>0.5</v>
      </c>
      <c r="T2179" s="2">
        <v>25</v>
      </c>
      <c r="U2179" s="2">
        <v>5.75</v>
      </c>
      <c r="V2179" s="2">
        <v>30.75</v>
      </c>
      <c r="W2179" s="2">
        <f>T2179*50%</f>
        <v>12.5</v>
      </c>
      <c r="X2179" s="5">
        <f t="shared" si="304"/>
        <v>0.5</v>
      </c>
      <c r="Z2179" s="2" t="s">
        <v>117</v>
      </c>
      <c r="AA2179" s="2" t="s">
        <v>190</v>
      </c>
      <c r="AB2179" s="2" t="s">
        <v>190</v>
      </c>
      <c r="AC2179" s="2" t="s">
        <v>40</v>
      </c>
      <c r="AF2179" s="2">
        <f t="shared" si="306"/>
        <v>0</v>
      </c>
      <c r="AJ2179" s="2">
        <f t="shared" si="307"/>
        <v>0</v>
      </c>
      <c r="AK2179" s="2">
        <f t="shared" si="300"/>
        <v>12.5</v>
      </c>
      <c r="AL2179" s="5">
        <f t="shared" si="305"/>
        <v>0.5</v>
      </c>
    </row>
    <row r="2180" spans="1:38" x14ac:dyDescent="0.2">
      <c r="A2180" s="2">
        <v>2025</v>
      </c>
      <c r="B2180" s="2">
        <v>11</v>
      </c>
      <c r="D2180" s="2" t="s">
        <v>476</v>
      </c>
      <c r="E2180" s="2" t="s">
        <v>108</v>
      </c>
      <c r="F2180" s="2" t="s">
        <v>477</v>
      </c>
      <c r="G2180" s="2">
        <v>500864365</v>
      </c>
      <c r="H2180" s="2" t="s">
        <v>41</v>
      </c>
      <c r="I2180" s="2" t="s">
        <v>478</v>
      </c>
      <c r="J2180" s="2" t="s">
        <v>479</v>
      </c>
      <c r="L2180" s="2" t="s">
        <v>480</v>
      </c>
      <c r="P2180" s="2" t="s">
        <v>72</v>
      </c>
      <c r="Q2180" s="2" t="s">
        <v>484</v>
      </c>
      <c r="R2180" s="2" t="s">
        <v>74</v>
      </c>
      <c r="S2180" s="2">
        <v>1</v>
      </c>
      <c r="T2180" s="2">
        <v>220</v>
      </c>
      <c r="U2180" s="2">
        <v>50.6</v>
      </c>
      <c r="V2180" s="2">
        <v>270.60000000000002</v>
      </c>
      <c r="W2180" s="2">
        <v>131.93</v>
      </c>
      <c r="X2180" s="5">
        <f t="shared" si="304"/>
        <v>0.4003181818181818</v>
      </c>
      <c r="Z2180" s="2" t="s">
        <v>3227</v>
      </c>
      <c r="AA2180" s="2" t="s">
        <v>75</v>
      </c>
      <c r="AB2180" s="2" t="s">
        <v>76</v>
      </c>
      <c r="AC2180" s="2" t="s">
        <v>77</v>
      </c>
      <c r="AF2180" s="2">
        <f t="shared" si="306"/>
        <v>0</v>
      </c>
      <c r="AG2180" s="2">
        <v>131.93</v>
      </c>
      <c r="AH2180" s="2">
        <v>220</v>
      </c>
      <c r="AJ2180" s="2">
        <f t="shared" si="307"/>
        <v>0</v>
      </c>
      <c r="AK2180" s="2">
        <f t="shared" si="300"/>
        <v>88.07</v>
      </c>
      <c r="AL2180" s="5">
        <f t="shared" si="305"/>
        <v>0.4003181818181818</v>
      </c>
    </row>
    <row r="2181" spans="1:38" x14ac:dyDescent="0.2">
      <c r="A2181" s="2">
        <v>2025</v>
      </c>
      <c r="B2181" s="2">
        <v>11</v>
      </c>
      <c r="D2181" s="2" t="s">
        <v>476</v>
      </c>
      <c r="E2181" s="2" t="s">
        <v>108</v>
      </c>
      <c r="F2181" s="2" t="s">
        <v>477</v>
      </c>
      <c r="G2181" s="2">
        <v>500864365</v>
      </c>
      <c r="H2181" s="2" t="s">
        <v>41</v>
      </c>
      <c r="I2181" s="2" t="s">
        <v>478</v>
      </c>
      <c r="J2181" s="2" t="s">
        <v>479</v>
      </c>
      <c r="L2181" s="2" t="s">
        <v>480</v>
      </c>
      <c r="P2181" s="2" t="s">
        <v>93</v>
      </c>
      <c r="Q2181" s="2" t="s">
        <v>94</v>
      </c>
      <c r="R2181" s="2" t="s">
        <v>95</v>
      </c>
      <c r="S2181" s="2">
        <v>1</v>
      </c>
      <c r="T2181" s="2">
        <v>1.1399999999999999</v>
      </c>
      <c r="U2181" s="2">
        <v>0.26219999999999999</v>
      </c>
      <c r="V2181" s="2">
        <v>1.4021999999999999</v>
      </c>
      <c r="W2181" s="2">
        <v>1.1399999999999999</v>
      </c>
      <c r="X2181" s="5">
        <f t="shared" si="304"/>
        <v>0</v>
      </c>
      <c r="Z2181" s="2" t="s">
        <v>3227</v>
      </c>
      <c r="AA2181" s="2" t="s">
        <v>96</v>
      </c>
      <c r="AB2181" s="2" t="s">
        <v>76</v>
      </c>
      <c r="AC2181" s="2" t="s">
        <v>93</v>
      </c>
      <c r="AF2181" s="2">
        <f t="shared" si="306"/>
        <v>0</v>
      </c>
      <c r="AJ2181" s="2">
        <f t="shared" si="307"/>
        <v>0</v>
      </c>
      <c r="AK2181" s="2">
        <f t="shared" si="300"/>
        <v>0</v>
      </c>
      <c r="AL2181" s="5">
        <f t="shared" si="305"/>
        <v>0</v>
      </c>
    </row>
    <row r="2182" spans="1:38" x14ac:dyDescent="0.2">
      <c r="A2182" s="2">
        <v>2025</v>
      </c>
      <c r="B2182" s="2">
        <v>11</v>
      </c>
      <c r="D2182" s="2" t="s">
        <v>843</v>
      </c>
      <c r="E2182" s="2" t="s">
        <v>38</v>
      </c>
      <c r="F2182" s="2" t="s">
        <v>39</v>
      </c>
      <c r="G2182" s="2">
        <v>161685080</v>
      </c>
      <c r="H2182" s="2" t="s">
        <v>41</v>
      </c>
      <c r="I2182" s="2" t="s">
        <v>418</v>
      </c>
      <c r="K2182" s="2" t="s">
        <v>844</v>
      </c>
      <c r="L2182" s="2" t="s">
        <v>418</v>
      </c>
      <c r="M2182" s="2" t="s">
        <v>41</v>
      </c>
      <c r="O2182" s="2" t="s">
        <v>2028</v>
      </c>
      <c r="P2182" s="2" t="s">
        <v>43</v>
      </c>
      <c r="Q2182" s="2" t="s">
        <v>48</v>
      </c>
      <c r="R2182" s="2" t="s">
        <v>49</v>
      </c>
      <c r="S2182" s="2">
        <v>1</v>
      </c>
      <c r="T2182" s="2">
        <v>13</v>
      </c>
      <c r="U2182" s="2">
        <v>2.99</v>
      </c>
      <c r="V2182" s="2">
        <v>15.99</v>
      </c>
      <c r="W2182" s="2">
        <f>6.6267*S2182</f>
        <v>6.6266999999999996</v>
      </c>
      <c r="X2182" s="5">
        <f t="shared" si="304"/>
        <v>0.49025384615384621</v>
      </c>
      <c r="Z2182" s="2" t="s">
        <v>3227</v>
      </c>
      <c r="AA2182" s="2" t="s">
        <v>46</v>
      </c>
      <c r="AB2182" s="2" t="s">
        <v>47</v>
      </c>
      <c r="AC2182" s="2" t="s">
        <v>57</v>
      </c>
      <c r="AF2182" s="2">
        <f t="shared" si="306"/>
        <v>0</v>
      </c>
      <c r="AG2182" s="2">
        <v>6.6266999999999996</v>
      </c>
      <c r="AH2182" s="2">
        <v>12</v>
      </c>
      <c r="AJ2182" s="2">
        <f t="shared" si="307"/>
        <v>0</v>
      </c>
      <c r="AK2182" s="2">
        <f t="shared" si="300"/>
        <v>6.3733000000000004</v>
      </c>
      <c r="AL2182" s="5">
        <f t="shared" si="305"/>
        <v>0.49025384615384621</v>
      </c>
    </row>
    <row r="2183" spans="1:38" x14ac:dyDescent="0.2">
      <c r="A2183" s="2">
        <v>2025</v>
      </c>
      <c r="B2183" s="2">
        <v>11</v>
      </c>
      <c r="D2183" s="2" t="s">
        <v>843</v>
      </c>
      <c r="E2183" s="2" t="s">
        <v>38</v>
      </c>
      <c r="F2183" s="2" t="s">
        <v>39</v>
      </c>
      <c r="G2183" s="2">
        <v>161685080</v>
      </c>
      <c r="H2183" s="2" t="s">
        <v>41</v>
      </c>
      <c r="I2183" s="2" t="s">
        <v>418</v>
      </c>
      <c r="K2183" s="2" t="s">
        <v>844</v>
      </c>
      <c r="L2183" s="2" t="s">
        <v>418</v>
      </c>
      <c r="M2183" s="2" t="s">
        <v>41</v>
      </c>
      <c r="O2183" s="2" t="s">
        <v>2028</v>
      </c>
      <c r="P2183" s="2" t="s">
        <v>43</v>
      </c>
      <c r="Q2183" s="2" t="s">
        <v>54</v>
      </c>
      <c r="R2183" s="2" t="s">
        <v>55</v>
      </c>
      <c r="S2183" s="2">
        <v>2</v>
      </c>
      <c r="T2183" s="2">
        <v>36</v>
      </c>
      <c r="U2183" s="2">
        <v>8.2800000000000011</v>
      </c>
      <c r="V2183" s="2">
        <v>44.28</v>
      </c>
      <c r="W2183" s="2">
        <f>10.6*S2183</f>
        <v>21.2</v>
      </c>
      <c r="X2183" s="5">
        <f t="shared" si="304"/>
        <v>0.41111111111111115</v>
      </c>
      <c r="Z2183" s="2" t="s">
        <v>3227</v>
      </c>
      <c r="AA2183" s="2" t="s">
        <v>46</v>
      </c>
      <c r="AB2183" s="2" t="s">
        <v>56</v>
      </c>
      <c r="AC2183" s="2" t="s">
        <v>57</v>
      </c>
      <c r="AF2183" s="2">
        <f t="shared" si="306"/>
        <v>0</v>
      </c>
      <c r="AG2183" s="2">
        <v>10.6</v>
      </c>
      <c r="AH2183" s="2">
        <v>18</v>
      </c>
      <c r="AJ2183" s="2">
        <f t="shared" si="307"/>
        <v>0</v>
      </c>
      <c r="AK2183" s="2">
        <f t="shared" si="300"/>
        <v>14.8</v>
      </c>
      <c r="AL2183" s="5">
        <f t="shared" si="305"/>
        <v>0.41111111111111115</v>
      </c>
    </row>
    <row r="2184" spans="1:38" x14ac:dyDescent="0.2">
      <c r="A2184" s="2">
        <v>2025</v>
      </c>
      <c r="B2184" s="2">
        <v>11</v>
      </c>
      <c r="D2184" s="2" t="s">
        <v>843</v>
      </c>
      <c r="E2184" s="2" t="s">
        <v>38</v>
      </c>
      <c r="F2184" s="2" t="s">
        <v>39</v>
      </c>
      <c r="G2184" s="2">
        <v>161685080</v>
      </c>
      <c r="H2184" s="2" t="s">
        <v>41</v>
      </c>
      <c r="I2184" s="2" t="s">
        <v>418</v>
      </c>
      <c r="K2184" s="2" t="s">
        <v>844</v>
      </c>
      <c r="L2184" s="2" t="s">
        <v>418</v>
      </c>
      <c r="M2184" s="2" t="s">
        <v>41</v>
      </c>
      <c r="O2184" s="2" t="s">
        <v>2028</v>
      </c>
      <c r="P2184" s="2" t="s">
        <v>43</v>
      </c>
      <c r="Q2184" s="2" t="s">
        <v>61</v>
      </c>
      <c r="R2184" s="2" t="s">
        <v>62</v>
      </c>
      <c r="S2184" s="2">
        <v>100</v>
      </c>
      <c r="T2184" s="2">
        <v>13</v>
      </c>
      <c r="U2184" s="2">
        <v>2.99</v>
      </c>
      <c r="V2184" s="2">
        <v>15.99</v>
      </c>
      <c r="W2184" s="2">
        <f>0.082*S2184</f>
        <v>8.2000000000000011</v>
      </c>
      <c r="X2184" s="5">
        <f t="shared" si="304"/>
        <v>0.36923076923076914</v>
      </c>
      <c r="Z2184" s="2" t="s">
        <v>3227</v>
      </c>
      <c r="AA2184" s="2" t="s">
        <v>46</v>
      </c>
      <c r="AB2184" s="2" t="s">
        <v>60</v>
      </c>
      <c r="AC2184" s="2" t="s">
        <v>57</v>
      </c>
      <c r="AF2184" s="2">
        <f t="shared" si="306"/>
        <v>0</v>
      </c>
      <c r="AG2184" s="2">
        <v>8.1999999999999993</v>
      </c>
      <c r="AH2184" s="2">
        <v>13</v>
      </c>
      <c r="AJ2184" s="2">
        <f t="shared" si="307"/>
        <v>0</v>
      </c>
      <c r="AK2184" s="2">
        <f t="shared" si="300"/>
        <v>4.7999999999999989</v>
      </c>
      <c r="AL2184" s="5">
        <f t="shared" si="305"/>
        <v>0.36923076923076914</v>
      </c>
    </row>
    <row r="2185" spans="1:38" x14ac:dyDescent="0.2">
      <c r="A2185" s="2">
        <v>2025</v>
      </c>
      <c r="B2185" s="2">
        <v>11</v>
      </c>
      <c r="D2185" s="2" t="s">
        <v>843</v>
      </c>
      <c r="E2185" s="2" t="s">
        <v>38</v>
      </c>
      <c r="F2185" s="2" t="s">
        <v>39</v>
      </c>
      <c r="G2185" s="2">
        <v>161685080</v>
      </c>
      <c r="H2185" s="2" t="s">
        <v>41</v>
      </c>
      <c r="I2185" s="2" t="s">
        <v>418</v>
      </c>
      <c r="K2185" s="2" t="s">
        <v>844</v>
      </c>
      <c r="L2185" s="2" t="s">
        <v>418</v>
      </c>
      <c r="M2185" s="2" t="s">
        <v>41</v>
      </c>
      <c r="O2185" s="2" t="s">
        <v>2028</v>
      </c>
      <c r="P2185" s="2" t="s">
        <v>43</v>
      </c>
      <c r="Q2185" s="2" t="s">
        <v>164</v>
      </c>
      <c r="R2185" s="2" t="s">
        <v>165</v>
      </c>
      <c r="S2185" s="2">
        <v>1</v>
      </c>
      <c r="T2185" s="2">
        <v>14.5</v>
      </c>
      <c r="U2185" s="2">
        <v>3.335</v>
      </c>
      <c r="V2185" s="2">
        <v>17.835000000000001</v>
      </c>
      <c r="W2185" s="2">
        <f>7.9612*S2185</f>
        <v>7.9611999999999998</v>
      </c>
      <c r="X2185" s="5">
        <f t="shared" si="304"/>
        <v>0.45095172413793105</v>
      </c>
      <c r="Z2185" s="2" t="s">
        <v>3227</v>
      </c>
      <c r="AA2185" s="2" t="s">
        <v>46</v>
      </c>
      <c r="AB2185" s="2" t="s">
        <v>67</v>
      </c>
      <c r="AC2185" s="2" t="s">
        <v>57</v>
      </c>
      <c r="AF2185" s="2">
        <f t="shared" si="306"/>
        <v>0</v>
      </c>
      <c r="AG2185" s="2">
        <v>7.9611999999999998</v>
      </c>
      <c r="AH2185" s="2">
        <v>14.4</v>
      </c>
      <c r="AJ2185" s="2">
        <f t="shared" si="307"/>
        <v>0</v>
      </c>
      <c r="AK2185" s="2">
        <f t="shared" si="300"/>
        <v>6.5388000000000002</v>
      </c>
      <c r="AL2185" s="5">
        <f t="shared" si="305"/>
        <v>0.45095172413793105</v>
      </c>
    </row>
    <row r="2186" spans="1:38" x14ac:dyDescent="0.2">
      <c r="A2186" s="2">
        <v>2025</v>
      </c>
      <c r="B2186" s="2">
        <v>11</v>
      </c>
      <c r="D2186" s="2" t="s">
        <v>485</v>
      </c>
      <c r="E2186" s="2" t="s">
        <v>108</v>
      </c>
      <c r="F2186" s="2" t="s">
        <v>39</v>
      </c>
      <c r="G2186" s="2">
        <v>506834689</v>
      </c>
      <c r="H2186" s="2" t="s">
        <v>41</v>
      </c>
      <c r="I2186" s="2" t="s">
        <v>486</v>
      </c>
      <c r="J2186" s="2" t="s">
        <v>487</v>
      </c>
      <c r="K2186" s="2">
        <v>919866237</v>
      </c>
      <c r="L2186" s="2" t="s">
        <v>461</v>
      </c>
      <c r="M2186" s="2" t="s">
        <v>41</v>
      </c>
      <c r="P2186" s="2" t="s">
        <v>72</v>
      </c>
      <c r="Q2186" s="2" t="s">
        <v>73</v>
      </c>
      <c r="R2186" s="2" t="s">
        <v>74</v>
      </c>
      <c r="S2186" s="2">
        <v>1</v>
      </c>
      <c r="T2186" s="2">
        <v>220</v>
      </c>
      <c r="U2186" s="2">
        <v>50.6</v>
      </c>
      <c r="V2186" s="2">
        <v>270.60000000000002</v>
      </c>
      <c r="W2186" s="2">
        <v>117.453</v>
      </c>
      <c r="X2186" s="5">
        <f t="shared" si="304"/>
        <v>0.46612272727272724</v>
      </c>
      <c r="Z2186" s="2" t="s">
        <v>3227</v>
      </c>
      <c r="AA2186" s="2" t="s">
        <v>75</v>
      </c>
      <c r="AB2186" s="2" t="s">
        <v>76</v>
      </c>
      <c r="AC2186" s="2" t="s">
        <v>77</v>
      </c>
      <c r="AF2186" s="2">
        <f t="shared" si="306"/>
        <v>0</v>
      </c>
      <c r="AG2186" s="2">
        <v>117.453</v>
      </c>
      <c r="AH2186" s="2">
        <v>220</v>
      </c>
      <c r="AJ2186" s="2">
        <f t="shared" si="307"/>
        <v>0</v>
      </c>
      <c r="AK2186" s="2">
        <f t="shared" si="300"/>
        <v>102.547</v>
      </c>
      <c r="AL2186" s="5">
        <f t="shared" si="305"/>
        <v>0.46612272727272724</v>
      </c>
    </row>
    <row r="2187" spans="1:38" x14ac:dyDescent="0.2">
      <c r="A2187" s="2">
        <v>2025</v>
      </c>
      <c r="B2187" s="2">
        <v>11</v>
      </c>
      <c r="D2187" s="2" t="s">
        <v>485</v>
      </c>
      <c r="E2187" s="2" t="s">
        <v>108</v>
      </c>
      <c r="F2187" s="2" t="s">
        <v>39</v>
      </c>
      <c r="G2187" s="2">
        <v>506834689</v>
      </c>
      <c r="H2187" s="2" t="s">
        <v>41</v>
      </c>
      <c r="I2187" s="2" t="s">
        <v>486</v>
      </c>
      <c r="J2187" s="2" t="s">
        <v>487</v>
      </c>
      <c r="K2187" s="2">
        <v>919866237</v>
      </c>
      <c r="L2187" s="2" t="s">
        <v>461</v>
      </c>
      <c r="M2187" s="2" t="s">
        <v>41</v>
      </c>
      <c r="P2187" s="2" t="s">
        <v>1038</v>
      </c>
      <c r="Q2187" s="2" t="s">
        <v>2029</v>
      </c>
      <c r="R2187" s="2" t="s">
        <v>2030</v>
      </c>
      <c r="S2187" s="2">
        <v>2</v>
      </c>
      <c r="T2187" s="2">
        <v>508.13</v>
      </c>
      <c r="U2187" s="2">
        <v>116.8699</v>
      </c>
      <c r="V2187" s="2">
        <v>624.99990000000003</v>
      </c>
      <c r="W2187" s="2">
        <f>172.39*2</f>
        <v>344.78</v>
      </c>
      <c r="X2187" s="5">
        <f t="shared" si="304"/>
        <v>0.32147285143565629</v>
      </c>
      <c r="Z2187" s="2" t="s">
        <v>3227</v>
      </c>
      <c r="AA2187" s="2" t="s">
        <v>1041</v>
      </c>
      <c r="AB2187" s="2" t="s">
        <v>2031</v>
      </c>
      <c r="AC2187" s="2" t="s">
        <v>1038</v>
      </c>
      <c r="AF2187" s="2">
        <f t="shared" si="306"/>
        <v>0</v>
      </c>
      <c r="AJ2187" s="2">
        <f t="shared" si="307"/>
        <v>0</v>
      </c>
      <c r="AK2187" s="2">
        <f t="shared" si="300"/>
        <v>163.35000000000002</v>
      </c>
      <c r="AL2187" s="5">
        <f t="shared" si="305"/>
        <v>0.32147285143565629</v>
      </c>
    </row>
    <row r="2188" spans="1:38" x14ac:dyDescent="0.2">
      <c r="A2188" s="2">
        <v>2025</v>
      </c>
      <c r="B2188" s="2">
        <v>11</v>
      </c>
      <c r="D2188" s="2" t="s">
        <v>485</v>
      </c>
      <c r="E2188" s="2" t="s">
        <v>108</v>
      </c>
      <c r="F2188" s="2" t="s">
        <v>39</v>
      </c>
      <c r="G2188" s="2">
        <v>506834689</v>
      </c>
      <c r="H2188" s="2" t="s">
        <v>41</v>
      </c>
      <c r="I2188" s="2" t="s">
        <v>486</v>
      </c>
      <c r="J2188" s="2" t="s">
        <v>487</v>
      </c>
      <c r="K2188" s="2">
        <v>919866237</v>
      </c>
      <c r="L2188" s="2" t="s">
        <v>461</v>
      </c>
      <c r="M2188" s="2" t="s">
        <v>41</v>
      </c>
      <c r="P2188" s="2" t="s">
        <v>1038</v>
      </c>
      <c r="Q2188" s="2" t="s">
        <v>2032</v>
      </c>
      <c r="R2188" s="2" t="s">
        <v>2033</v>
      </c>
      <c r="S2188" s="2">
        <v>2</v>
      </c>
      <c r="T2188" s="2">
        <v>508.13</v>
      </c>
      <c r="U2188" s="2">
        <v>116.8699</v>
      </c>
      <c r="V2188" s="2">
        <v>624.99990000000003</v>
      </c>
      <c r="W2188" s="2">
        <f>177.63*2</f>
        <v>355.26</v>
      </c>
      <c r="X2188" s="5">
        <f t="shared" si="304"/>
        <v>0.30084820813571334</v>
      </c>
      <c r="Z2188" s="2" t="s">
        <v>3227</v>
      </c>
      <c r="AA2188" s="2" t="s">
        <v>1041</v>
      </c>
      <c r="AB2188" s="2" t="s">
        <v>2031</v>
      </c>
      <c r="AC2188" s="2" t="s">
        <v>1038</v>
      </c>
      <c r="AF2188" s="2">
        <f t="shared" si="306"/>
        <v>0</v>
      </c>
      <c r="AJ2188" s="2">
        <f t="shared" si="307"/>
        <v>0</v>
      </c>
      <c r="AK2188" s="2">
        <f t="shared" si="300"/>
        <v>152.87</v>
      </c>
      <c r="AL2188" s="5">
        <f t="shared" si="305"/>
        <v>0.30084820813571334</v>
      </c>
    </row>
    <row r="2189" spans="1:38" x14ac:dyDescent="0.2">
      <c r="A2189" s="2">
        <v>2025</v>
      </c>
      <c r="B2189" s="2">
        <v>11</v>
      </c>
      <c r="D2189" s="2" t="s">
        <v>485</v>
      </c>
      <c r="E2189" s="2" t="s">
        <v>108</v>
      </c>
      <c r="F2189" s="2" t="s">
        <v>39</v>
      </c>
      <c r="G2189" s="2">
        <v>506834689</v>
      </c>
      <c r="H2189" s="2" t="s">
        <v>41</v>
      </c>
      <c r="I2189" s="2" t="s">
        <v>486</v>
      </c>
      <c r="J2189" s="2" t="s">
        <v>487</v>
      </c>
      <c r="K2189" s="2">
        <v>919866237</v>
      </c>
      <c r="L2189" s="2" t="s">
        <v>461</v>
      </c>
      <c r="M2189" s="2" t="s">
        <v>40</v>
      </c>
      <c r="P2189" s="2" t="s">
        <v>187</v>
      </c>
      <c r="Q2189" s="2" t="s">
        <v>188</v>
      </c>
      <c r="R2189" s="2" t="s">
        <v>189</v>
      </c>
      <c r="S2189" s="2">
        <v>1</v>
      </c>
      <c r="T2189" s="2">
        <v>127</v>
      </c>
      <c r="U2189" s="2">
        <v>29.21</v>
      </c>
      <c r="V2189" s="2">
        <v>156.21</v>
      </c>
      <c r="W2189" s="2">
        <f>T2189*40%</f>
        <v>50.800000000000004</v>
      </c>
      <c r="X2189" s="5">
        <f t="shared" si="304"/>
        <v>0.59999999999999987</v>
      </c>
      <c r="Z2189" s="2" t="s">
        <v>117</v>
      </c>
      <c r="AA2189" s="2" t="s">
        <v>190</v>
      </c>
      <c r="AB2189" s="2" t="s">
        <v>189</v>
      </c>
      <c r="AC2189" s="2" t="s">
        <v>40</v>
      </c>
      <c r="AF2189" s="2">
        <f t="shared" si="306"/>
        <v>0</v>
      </c>
      <c r="AJ2189" s="2">
        <f t="shared" si="307"/>
        <v>0</v>
      </c>
      <c r="AK2189" s="2">
        <f t="shared" si="300"/>
        <v>76.199999999999989</v>
      </c>
      <c r="AL2189" s="5">
        <f t="shared" si="305"/>
        <v>0.59999999999999987</v>
      </c>
    </row>
    <row r="2190" spans="1:38" x14ac:dyDescent="0.2">
      <c r="A2190" s="2">
        <v>2025</v>
      </c>
      <c r="B2190" s="2">
        <v>11</v>
      </c>
      <c r="D2190" s="2" t="s">
        <v>485</v>
      </c>
      <c r="E2190" s="2" t="s">
        <v>108</v>
      </c>
      <c r="F2190" s="2" t="s">
        <v>39</v>
      </c>
      <c r="G2190" s="2">
        <v>506834689</v>
      </c>
      <c r="H2190" s="2" t="s">
        <v>41</v>
      </c>
      <c r="I2190" s="2" t="s">
        <v>486</v>
      </c>
      <c r="J2190" s="2" t="s">
        <v>487</v>
      </c>
      <c r="K2190" s="2">
        <v>919866237</v>
      </c>
      <c r="L2190" s="2" t="s">
        <v>461</v>
      </c>
      <c r="M2190" s="2" t="s">
        <v>40</v>
      </c>
      <c r="P2190" s="2" t="s">
        <v>187</v>
      </c>
      <c r="Q2190" s="2" t="s">
        <v>191</v>
      </c>
      <c r="R2190" s="2" t="s">
        <v>190</v>
      </c>
      <c r="S2190" s="2">
        <v>1</v>
      </c>
      <c r="T2190" s="2">
        <v>50</v>
      </c>
      <c r="U2190" s="2">
        <v>11.5</v>
      </c>
      <c r="V2190" s="2">
        <v>61.5</v>
      </c>
      <c r="W2190" s="2">
        <f>T2190*50%</f>
        <v>25</v>
      </c>
      <c r="X2190" s="5">
        <f t="shared" si="304"/>
        <v>0.5</v>
      </c>
      <c r="Z2190" s="2" t="s">
        <v>117</v>
      </c>
      <c r="AA2190" s="2" t="s">
        <v>190</v>
      </c>
      <c r="AB2190" s="2" t="s">
        <v>190</v>
      </c>
      <c r="AC2190" s="2" t="s">
        <v>40</v>
      </c>
      <c r="AF2190" s="2">
        <f t="shared" si="306"/>
        <v>0</v>
      </c>
      <c r="AJ2190" s="2">
        <f t="shared" si="307"/>
        <v>0</v>
      </c>
      <c r="AK2190" s="2">
        <f t="shared" si="300"/>
        <v>25</v>
      </c>
      <c r="AL2190" s="5">
        <f t="shared" si="305"/>
        <v>0.5</v>
      </c>
    </row>
    <row r="2191" spans="1:38" x14ac:dyDescent="0.2">
      <c r="A2191" s="2">
        <v>2025</v>
      </c>
      <c r="B2191" s="2">
        <v>11</v>
      </c>
      <c r="D2191" s="2" t="s">
        <v>485</v>
      </c>
      <c r="E2191" s="2" t="s">
        <v>108</v>
      </c>
      <c r="F2191" s="2" t="s">
        <v>39</v>
      </c>
      <c r="G2191" s="2">
        <v>506834689</v>
      </c>
      <c r="H2191" s="2" t="s">
        <v>41</v>
      </c>
      <c r="I2191" s="2" t="s">
        <v>486</v>
      </c>
      <c r="J2191" s="2" t="s">
        <v>487</v>
      </c>
      <c r="K2191" s="2">
        <v>919866237</v>
      </c>
      <c r="L2191" s="2" t="s">
        <v>461</v>
      </c>
      <c r="M2191" s="2" t="s">
        <v>41</v>
      </c>
      <c r="P2191" s="2" t="s">
        <v>93</v>
      </c>
      <c r="Q2191" s="2" t="s">
        <v>94</v>
      </c>
      <c r="R2191" s="2" t="s">
        <v>95</v>
      </c>
      <c r="S2191" s="2">
        <v>1</v>
      </c>
      <c r="T2191" s="2">
        <v>1.1399999999999999</v>
      </c>
      <c r="U2191" s="2">
        <v>0.26219999999999999</v>
      </c>
      <c r="V2191" s="2">
        <v>1.4021999999999999</v>
      </c>
      <c r="W2191" s="2">
        <v>1.1399999999999999</v>
      </c>
      <c r="X2191" s="5">
        <f t="shared" si="304"/>
        <v>0</v>
      </c>
      <c r="Z2191" s="2" t="s">
        <v>3227</v>
      </c>
      <c r="AA2191" s="2" t="s">
        <v>96</v>
      </c>
      <c r="AB2191" s="2" t="s">
        <v>76</v>
      </c>
      <c r="AC2191" s="2" t="s">
        <v>93</v>
      </c>
      <c r="AF2191" s="2">
        <f t="shared" si="306"/>
        <v>0</v>
      </c>
      <c r="AJ2191" s="2">
        <f t="shared" si="307"/>
        <v>0</v>
      </c>
      <c r="AK2191" s="2">
        <f t="shared" si="300"/>
        <v>0</v>
      </c>
      <c r="AL2191" s="5">
        <f t="shared" si="305"/>
        <v>0</v>
      </c>
    </row>
    <row r="2192" spans="1:38" x14ac:dyDescent="0.2">
      <c r="A2192" s="2">
        <v>2025</v>
      </c>
      <c r="B2192" s="2">
        <v>11</v>
      </c>
      <c r="D2192" s="2" t="s">
        <v>2034</v>
      </c>
      <c r="M2192" s="2" t="s">
        <v>40</v>
      </c>
      <c r="P2192" s="2" t="s">
        <v>114</v>
      </c>
      <c r="Q2192" s="2" t="s">
        <v>904</v>
      </c>
      <c r="R2192" s="2" t="s">
        <v>905</v>
      </c>
      <c r="S2192" s="2">
        <v>1</v>
      </c>
      <c r="T2192" s="2">
        <v>699.3</v>
      </c>
      <c r="U2192" s="2">
        <v>160.839</v>
      </c>
      <c r="V2192" s="2">
        <v>860.1389999999999</v>
      </c>
      <c r="W2192" s="2">
        <v>345.20339999999999</v>
      </c>
      <c r="X2192" s="5">
        <f t="shared" si="304"/>
        <v>0.50635864435864431</v>
      </c>
      <c r="Z2192" s="2" t="s">
        <v>117</v>
      </c>
      <c r="AA2192" s="2" t="s">
        <v>181</v>
      </c>
      <c r="AB2192" s="2" t="s">
        <v>119</v>
      </c>
      <c r="AC2192" s="2" t="s">
        <v>114</v>
      </c>
      <c r="AF2192" s="2">
        <f t="shared" si="306"/>
        <v>0</v>
      </c>
      <c r="AJ2192" s="2">
        <f t="shared" si="307"/>
        <v>0</v>
      </c>
      <c r="AK2192" s="2">
        <f t="shared" si="300"/>
        <v>354.09659999999997</v>
      </c>
      <c r="AL2192" s="5">
        <f t="shared" si="305"/>
        <v>0.50635864435864431</v>
      </c>
    </row>
    <row r="2193" spans="1:38" x14ac:dyDescent="0.2">
      <c r="A2193" s="2">
        <v>2025</v>
      </c>
      <c r="B2193" s="2">
        <v>11</v>
      </c>
      <c r="D2193" s="2" t="s">
        <v>2034</v>
      </c>
      <c r="M2193" s="2" t="s">
        <v>40</v>
      </c>
      <c r="P2193" s="2" t="s">
        <v>187</v>
      </c>
      <c r="Q2193" s="2" t="s">
        <v>188</v>
      </c>
      <c r="R2193" s="2" t="s">
        <v>189</v>
      </c>
      <c r="S2193" s="2">
        <v>1</v>
      </c>
      <c r="T2193" s="2">
        <v>50</v>
      </c>
      <c r="U2193" s="2">
        <v>11.5</v>
      </c>
      <c r="V2193" s="2">
        <v>61.5</v>
      </c>
      <c r="W2193" s="2">
        <f>T2193*40%</f>
        <v>20</v>
      </c>
      <c r="X2193" s="5">
        <f t="shared" si="304"/>
        <v>0.6</v>
      </c>
      <c r="Z2193" s="2" t="s">
        <v>117</v>
      </c>
      <c r="AA2193" s="2" t="s">
        <v>190</v>
      </c>
      <c r="AB2193" s="2" t="s">
        <v>189</v>
      </c>
      <c r="AC2193" s="2" t="s">
        <v>40</v>
      </c>
      <c r="AF2193" s="2">
        <f t="shared" si="306"/>
        <v>0</v>
      </c>
      <c r="AJ2193" s="2">
        <f t="shared" si="307"/>
        <v>0</v>
      </c>
      <c r="AK2193" s="2">
        <f t="shared" si="300"/>
        <v>30</v>
      </c>
      <c r="AL2193" s="5">
        <f t="shared" si="305"/>
        <v>0.6</v>
      </c>
    </row>
    <row r="2194" spans="1:38" x14ac:dyDescent="0.2">
      <c r="A2194" s="2">
        <v>2025</v>
      </c>
      <c r="B2194" s="2">
        <v>11</v>
      </c>
      <c r="D2194" s="2" t="s">
        <v>2034</v>
      </c>
      <c r="M2194" s="2" t="s">
        <v>40</v>
      </c>
      <c r="P2194" s="2" t="s">
        <v>187</v>
      </c>
      <c r="Q2194" s="2" t="s">
        <v>191</v>
      </c>
      <c r="R2194" s="2" t="s">
        <v>190</v>
      </c>
      <c r="S2194" s="2">
        <v>1</v>
      </c>
      <c r="T2194" s="2">
        <v>50</v>
      </c>
      <c r="U2194" s="2">
        <v>11.5</v>
      </c>
      <c r="V2194" s="2">
        <v>61.5</v>
      </c>
      <c r="W2194" s="2">
        <f>T2194*50%</f>
        <v>25</v>
      </c>
      <c r="X2194" s="5">
        <f t="shared" si="304"/>
        <v>0.5</v>
      </c>
      <c r="Z2194" s="2" t="s">
        <v>117</v>
      </c>
      <c r="AA2194" s="2" t="s">
        <v>190</v>
      </c>
      <c r="AB2194" s="2" t="s">
        <v>190</v>
      </c>
      <c r="AC2194" s="2" t="s">
        <v>40</v>
      </c>
      <c r="AF2194" s="2">
        <f t="shared" si="306"/>
        <v>0</v>
      </c>
      <c r="AJ2194" s="2">
        <f t="shared" si="307"/>
        <v>0</v>
      </c>
      <c r="AK2194" s="2">
        <f t="shared" si="300"/>
        <v>25</v>
      </c>
      <c r="AL2194" s="5">
        <f t="shared" si="305"/>
        <v>0.5</v>
      </c>
    </row>
    <row r="2195" spans="1:38" x14ac:dyDescent="0.2">
      <c r="A2195" s="2">
        <v>2025</v>
      </c>
      <c r="B2195" s="2">
        <v>11</v>
      </c>
      <c r="D2195" s="2" t="s">
        <v>1907</v>
      </c>
      <c r="P2195" s="2" t="s">
        <v>282</v>
      </c>
      <c r="Q2195" s="2" t="s">
        <v>1547</v>
      </c>
      <c r="R2195" s="2" t="s">
        <v>1548</v>
      </c>
      <c r="S2195" s="2">
        <v>1</v>
      </c>
      <c r="T2195" s="2">
        <v>595</v>
      </c>
      <c r="U2195" s="2">
        <v>136.85</v>
      </c>
      <c r="V2195" s="2">
        <v>731.85</v>
      </c>
      <c r="W2195" s="2">
        <v>297</v>
      </c>
      <c r="X2195" s="5">
        <f t="shared" si="304"/>
        <v>0.50084033613445378</v>
      </c>
      <c r="Z2195" s="2" t="s">
        <v>104</v>
      </c>
      <c r="AA2195" s="2" t="s">
        <v>387</v>
      </c>
      <c r="AB2195" s="2" t="s">
        <v>388</v>
      </c>
      <c r="AC2195" s="2" t="s">
        <v>389</v>
      </c>
      <c r="AF2195" s="2">
        <f t="shared" si="306"/>
        <v>0</v>
      </c>
      <c r="AJ2195" s="2">
        <f t="shared" si="307"/>
        <v>0</v>
      </c>
      <c r="AK2195" s="2">
        <f t="shared" ref="AK2195:AK2217" si="308">T2195-W2195</f>
        <v>298</v>
      </c>
      <c r="AL2195" s="5">
        <f t="shared" si="305"/>
        <v>0.50084033613445378</v>
      </c>
    </row>
    <row r="2196" spans="1:38" x14ac:dyDescent="0.2">
      <c r="A2196" s="2">
        <v>2025</v>
      </c>
      <c r="B2196" s="2">
        <v>11</v>
      </c>
      <c r="D2196" s="2" t="s">
        <v>1907</v>
      </c>
      <c r="P2196" s="2" t="s">
        <v>282</v>
      </c>
      <c r="Q2196" s="2" t="s">
        <v>401</v>
      </c>
      <c r="R2196" s="2" t="s">
        <v>402</v>
      </c>
      <c r="S2196" s="2">
        <v>4</v>
      </c>
      <c r="T2196" s="2">
        <v>0</v>
      </c>
      <c r="U2196" s="2">
        <v>0</v>
      </c>
      <c r="V2196" s="2">
        <v>0</v>
      </c>
      <c r="W2196" s="2">
        <f>17.4*S2196</f>
        <v>69.599999999999994</v>
      </c>
      <c r="X2196" s="19">
        <v>-1</v>
      </c>
      <c r="Z2196" s="2" t="s">
        <v>3227</v>
      </c>
      <c r="AA2196" s="2" t="s">
        <v>46</v>
      </c>
      <c r="AB2196" s="2" t="s">
        <v>60</v>
      </c>
      <c r="AC2196" s="2" t="s">
        <v>3332</v>
      </c>
      <c r="AF2196" s="2">
        <f t="shared" si="306"/>
        <v>0</v>
      </c>
      <c r="AJ2196" s="2">
        <f t="shared" si="307"/>
        <v>0</v>
      </c>
      <c r="AK2196" s="2">
        <f t="shared" si="308"/>
        <v>-69.599999999999994</v>
      </c>
      <c r="AL2196" s="19">
        <v>-1</v>
      </c>
    </row>
    <row r="2197" spans="1:38" x14ac:dyDescent="0.2">
      <c r="A2197" s="2">
        <v>2025</v>
      </c>
      <c r="B2197" s="2">
        <v>11</v>
      </c>
      <c r="D2197" s="2" t="s">
        <v>1714</v>
      </c>
      <c r="M2197" s="2" t="s">
        <v>40</v>
      </c>
      <c r="P2197" s="2" t="s">
        <v>114</v>
      </c>
      <c r="Q2197" s="2" t="s">
        <v>904</v>
      </c>
      <c r="R2197" s="2" t="s">
        <v>905</v>
      </c>
      <c r="S2197" s="2">
        <v>1</v>
      </c>
      <c r="T2197" s="2">
        <v>699.3</v>
      </c>
      <c r="U2197" s="2">
        <v>160.839</v>
      </c>
      <c r="V2197" s="2">
        <v>860.1389999999999</v>
      </c>
      <c r="W2197" s="2">
        <v>345.20339999999999</v>
      </c>
      <c r="X2197" s="5">
        <f t="shared" ref="X2197:X2217" si="309">(T2197-W2197)/T2197</f>
        <v>0.50635864435864431</v>
      </c>
      <c r="Z2197" s="2" t="s">
        <v>117</v>
      </c>
      <c r="AA2197" s="2" t="s">
        <v>181</v>
      </c>
      <c r="AB2197" s="2" t="s">
        <v>119</v>
      </c>
      <c r="AC2197" s="2" t="s">
        <v>114</v>
      </c>
      <c r="AF2197" s="2">
        <f t="shared" si="306"/>
        <v>0</v>
      </c>
      <c r="AJ2197" s="2">
        <f t="shared" si="307"/>
        <v>0</v>
      </c>
      <c r="AK2197" s="2">
        <f t="shared" si="308"/>
        <v>354.09659999999997</v>
      </c>
      <c r="AL2197" s="5">
        <f t="shared" ref="AL2197:AL2217" si="310">(T2197-W2197)/T2197</f>
        <v>0.50635864435864431</v>
      </c>
    </row>
    <row r="2198" spans="1:38" x14ac:dyDescent="0.2">
      <c r="A2198" s="2">
        <v>2025</v>
      </c>
      <c r="B2198" s="2">
        <v>11</v>
      </c>
      <c r="D2198" s="2" t="s">
        <v>1714</v>
      </c>
      <c r="M2198" s="2" t="s">
        <v>40</v>
      </c>
      <c r="P2198" s="2" t="s">
        <v>187</v>
      </c>
      <c r="Q2198" s="2" t="s">
        <v>188</v>
      </c>
      <c r="R2198" s="2" t="s">
        <v>189</v>
      </c>
      <c r="S2198" s="2">
        <v>1</v>
      </c>
      <c r="T2198" s="2">
        <v>99</v>
      </c>
      <c r="U2198" s="2">
        <v>22.77</v>
      </c>
      <c r="V2198" s="2">
        <v>121.77</v>
      </c>
      <c r="W2198" s="2">
        <f>T2198*40%</f>
        <v>39.6</v>
      </c>
      <c r="X2198" s="5">
        <f t="shared" si="309"/>
        <v>0.6</v>
      </c>
      <c r="Z2198" s="2" t="s">
        <v>117</v>
      </c>
      <c r="AA2198" s="2" t="s">
        <v>190</v>
      </c>
      <c r="AB2198" s="2" t="s">
        <v>189</v>
      </c>
      <c r="AC2198" s="2" t="s">
        <v>40</v>
      </c>
      <c r="AF2198" s="2">
        <f t="shared" si="306"/>
        <v>0</v>
      </c>
      <c r="AJ2198" s="2">
        <f t="shared" si="307"/>
        <v>0</v>
      </c>
      <c r="AK2198" s="2">
        <f t="shared" si="308"/>
        <v>59.4</v>
      </c>
      <c r="AL2198" s="5">
        <f t="shared" si="310"/>
        <v>0.6</v>
      </c>
    </row>
    <row r="2199" spans="1:38" x14ac:dyDescent="0.2">
      <c r="A2199" s="2">
        <v>2025</v>
      </c>
      <c r="B2199" s="2">
        <v>11</v>
      </c>
      <c r="D2199" s="2" t="s">
        <v>1714</v>
      </c>
      <c r="M2199" s="2" t="s">
        <v>40</v>
      </c>
      <c r="P2199" s="2" t="s">
        <v>187</v>
      </c>
      <c r="Q2199" s="2" t="s">
        <v>191</v>
      </c>
      <c r="R2199" s="2" t="s">
        <v>190</v>
      </c>
      <c r="S2199" s="2">
        <v>1</v>
      </c>
      <c r="T2199" s="2">
        <v>50</v>
      </c>
      <c r="U2199" s="2">
        <v>11.5</v>
      </c>
      <c r="V2199" s="2">
        <v>61.5</v>
      </c>
      <c r="W2199" s="2">
        <f>T2199*50%</f>
        <v>25</v>
      </c>
      <c r="X2199" s="5">
        <f t="shared" si="309"/>
        <v>0.5</v>
      </c>
      <c r="Z2199" s="2" t="s">
        <v>117</v>
      </c>
      <c r="AA2199" s="2" t="s">
        <v>190</v>
      </c>
      <c r="AB2199" s="2" t="s">
        <v>190</v>
      </c>
      <c r="AC2199" s="2" t="s">
        <v>40</v>
      </c>
      <c r="AF2199" s="2">
        <f t="shared" si="306"/>
        <v>0</v>
      </c>
      <c r="AJ2199" s="2">
        <f t="shared" si="307"/>
        <v>0</v>
      </c>
      <c r="AK2199" s="2">
        <f t="shared" si="308"/>
        <v>25</v>
      </c>
      <c r="AL2199" s="5">
        <f t="shared" si="310"/>
        <v>0.5</v>
      </c>
    </row>
    <row r="2200" spans="1:38" x14ac:dyDescent="0.2">
      <c r="A2200" s="2">
        <v>2025</v>
      </c>
      <c r="B2200" s="2">
        <v>11</v>
      </c>
      <c r="D2200" s="2" t="s">
        <v>488</v>
      </c>
      <c r="E2200" s="2" t="s">
        <v>38</v>
      </c>
      <c r="F2200" s="2" t="s">
        <v>39</v>
      </c>
      <c r="G2200" s="2">
        <v>507380312</v>
      </c>
      <c r="H2200" s="2" t="s">
        <v>40</v>
      </c>
      <c r="I2200" s="2" t="s">
        <v>489</v>
      </c>
      <c r="J2200" s="2" t="s">
        <v>490</v>
      </c>
      <c r="K2200" s="2">
        <v>912293443</v>
      </c>
      <c r="L2200" s="2" t="s">
        <v>99</v>
      </c>
      <c r="M2200" s="2" t="s">
        <v>80</v>
      </c>
      <c r="P2200" s="2" t="s">
        <v>282</v>
      </c>
      <c r="Q2200" s="2" t="s">
        <v>1436</v>
      </c>
      <c r="R2200" s="2" t="s">
        <v>1437</v>
      </c>
      <c r="S2200" s="2">
        <v>2</v>
      </c>
      <c r="T2200" s="2">
        <v>15.8</v>
      </c>
      <c r="U2200" s="2">
        <v>3.6339999999999999</v>
      </c>
      <c r="V2200" s="2">
        <v>19.434000000000001</v>
      </c>
      <c r="W2200" s="2">
        <f>5.135*S2200</f>
        <v>10.27</v>
      </c>
      <c r="X2200" s="5">
        <f t="shared" si="309"/>
        <v>0.35000000000000003</v>
      </c>
      <c r="Z2200" s="2" t="s">
        <v>3227</v>
      </c>
      <c r="AA2200" s="2" t="s">
        <v>71</v>
      </c>
      <c r="AB2200" s="2" t="s">
        <v>119</v>
      </c>
      <c r="AC2200" s="2" t="s">
        <v>119</v>
      </c>
      <c r="AF2200" s="2">
        <f t="shared" si="306"/>
        <v>0</v>
      </c>
      <c r="AJ2200" s="2">
        <f t="shared" si="307"/>
        <v>0</v>
      </c>
      <c r="AK2200" s="2">
        <f t="shared" si="308"/>
        <v>5.5300000000000011</v>
      </c>
      <c r="AL2200" s="5">
        <f t="shared" si="310"/>
        <v>0.35000000000000003</v>
      </c>
    </row>
    <row r="2201" spans="1:38" x14ac:dyDescent="0.2">
      <c r="A2201" s="2">
        <v>2025</v>
      </c>
      <c r="B2201" s="2">
        <v>11</v>
      </c>
      <c r="D2201" s="2" t="s">
        <v>488</v>
      </c>
      <c r="E2201" s="2" t="s">
        <v>38</v>
      </c>
      <c r="F2201" s="2" t="s">
        <v>39</v>
      </c>
      <c r="G2201" s="2">
        <v>507380312</v>
      </c>
      <c r="H2201" s="2" t="s">
        <v>40</v>
      </c>
      <c r="I2201" s="2" t="s">
        <v>489</v>
      </c>
      <c r="J2201" s="2" t="s">
        <v>490</v>
      </c>
      <c r="K2201" s="2">
        <v>912293443</v>
      </c>
      <c r="L2201" s="2" t="s">
        <v>99</v>
      </c>
      <c r="M2201" s="2" t="s">
        <v>40</v>
      </c>
      <c r="P2201" s="2" t="s">
        <v>40</v>
      </c>
      <c r="Q2201" s="2" t="s">
        <v>491</v>
      </c>
      <c r="R2201" s="2" t="s">
        <v>492</v>
      </c>
      <c r="S2201" s="2">
        <v>1</v>
      </c>
      <c r="T2201" s="2">
        <v>664.04</v>
      </c>
      <c r="U2201" s="2">
        <v>152.72919999999999</v>
      </c>
      <c r="V2201" s="2">
        <v>816.76919999999996</v>
      </c>
      <c r="X2201" s="5">
        <f t="shared" si="309"/>
        <v>1</v>
      </c>
      <c r="Z2201" s="2" t="s">
        <v>119</v>
      </c>
      <c r="AA2201" s="2" t="s">
        <v>492</v>
      </c>
      <c r="AF2201" s="2">
        <f t="shared" si="306"/>
        <v>0</v>
      </c>
      <c r="AJ2201" s="2">
        <f t="shared" si="307"/>
        <v>0</v>
      </c>
      <c r="AK2201" s="2">
        <f t="shared" si="308"/>
        <v>664.04</v>
      </c>
      <c r="AL2201" s="5">
        <f t="shared" si="310"/>
        <v>1</v>
      </c>
    </row>
    <row r="2202" spans="1:38" x14ac:dyDescent="0.2">
      <c r="A2202" s="2">
        <v>2025</v>
      </c>
      <c r="B2202" s="2">
        <v>11</v>
      </c>
      <c r="D2202" s="2" t="s">
        <v>1399</v>
      </c>
      <c r="P2202" s="2" t="s">
        <v>114</v>
      </c>
      <c r="Q2202" s="2" t="s">
        <v>135</v>
      </c>
      <c r="R2202" s="2" t="s">
        <v>136</v>
      </c>
      <c r="S2202" s="2">
        <v>1</v>
      </c>
      <c r="T2202" s="2">
        <v>725.58</v>
      </c>
      <c r="U2202" s="2">
        <v>166.88339999999999</v>
      </c>
      <c r="V2202" s="2">
        <v>892.46340000000009</v>
      </c>
      <c r="X2202" s="5">
        <f t="shared" si="309"/>
        <v>1</v>
      </c>
      <c r="AF2202" s="2">
        <f t="shared" si="306"/>
        <v>0</v>
      </c>
      <c r="AJ2202" s="2">
        <f t="shared" si="307"/>
        <v>0</v>
      </c>
      <c r="AK2202" s="2">
        <f t="shared" si="308"/>
        <v>725.58</v>
      </c>
      <c r="AL2202" s="5">
        <f t="shared" si="310"/>
        <v>1</v>
      </c>
    </row>
    <row r="2203" spans="1:38" x14ac:dyDescent="0.2">
      <c r="A2203" s="2">
        <v>2025</v>
      </c>
      <c r="B2203" s="2">
        <v>11</v>
      </c>
      <c r="D2203" s="2" t="s">
        <v>500</v>
      </c>
      <c r="E2203" s="2" t="s">
        <v>38</v>
      </c>
      <c r="F2203" s="2" t="s">
        <v>39</v>
      </c>
      <c r="G2203" s="2">
        <v>513244468</v>
      </c>
      <c r="H2203" s="2" t="s">
        <v>41</v>
      </c>
      <c r="I2203" s="2" t="s">
        <v>501</v>
      </c>
      <c r="J2203" s="2" t="s">
        <v>502</v>
      </c>
      <c r="K2203" s="2">
        <v>918010109</v>
      </c>
      <c r="L2203" s="2" t="s">
        <v>99</v>
      </c>
      <c r="M2203" s="2" t="s">
        <v>41</v>
      </c>
      <c r="P2203" s="2" t="s">
        <v>282</v>
      </c>
      <c r="Q2203" s="2" t="s">
        <v>2035</v>
      </c>
      <c r="R2203" s="2" t="s">
        <v>2036</v>
      </c>
      <c r="S2203" s="2">
        <v>1</v>
      </c>
      <c r="T2203" s="2">
        <v>18.5</v>
      </c>
      <c r="U2203" s="2">
        <v>4.2549999999999999</v>
      </c>
      <c r="V2203" s="2">
        <v>22.754999999999999</v>
      </c>
      <c r="X2203" s="5">
        <f t="shared" si="309"/>
        <v>1</v>
      </c>
      <c r="Z2203" s="2" t="s">
        <v>3227</v>
      </c>
      <c r="AF2203" s="2">
        <f t="shared" si="306"/>
        <v>0</v>
      </c>
      <c r="AJ2203" s="2">
        <f t="shared" si="307"/>
        <v>0</v>
      </c>
      <c r="AK2203" s="2">
        <f t="shared" si="308"/>
        <v>18.5</v>
      </c>
      <c r="AL2203" s="5">
        <f t="shared" si="310"/>
        <v>1</v>
      </c>
    </row>
    <row r="2204" spans="1:38" x14ac:dyDescent="0.2">
      <c r="A2204" s="2">
        <v>2025</v>
      </c>
      <c r="B2204" s="2">
        <v>11</v>
      </c>
      <c r="D2204" s="2" t="s">
        <v>500</v>
      </c>
      <c r="E2204" s="2" t="s">
        <v>38</v>
      </c>
      <c r="F2204" s="2" t="s">
        <v>39</v>
      </c>
      <c r="G2204" s="2">
        <v>513244468</v>
      </c>
      <c r="H2204" s="2" t="s">
        <v>41</v>
      </c>
      <c r="I2204" s="2" t="s">
        <v>501</v>
      </c>
      <c r="J2204" s="2" t="s">
        <v>502</v>
      </c>
      <c r="K2204" s="2">
        <v>918010109</v>
      </c>
      <c r="L2204" s="2" t="s">
        <v>99</v>
      </c>
      <c r="M2204" s="2" t="s">
        <v>41</v>
      </c>
      <c r="P2204" s="2" t="s">
        <v>282</v>
      </c>
      <c r="Q2204" s="2" t="s">
        <v>401</v>
      </c>
      <c r="R2204" s="2" t="s">
        <v>402</v>
      </c>
      <c r="S2204" s="2">
        <v>8</v>
      </c>
      <c r="T2204" s="2">
        <v>200</v>
      </c>
      <c r="U2204" s="2">
        <v>46</v>
      </c>
      <c r="V2204" s="2">
        <v>246</v>
      </c>
      <c r="W2204" s="2">
        <f>17.4*S2204</f>
        <v>139.19999999999999</v>
      </c>
      <c r="X2204" s="5">
        <f t="shared" si="309"/>
        <v>0.30400000000000005</v>
      </c>
      <c r="Z2204" s="2" t="s">
        <v>3227</v>
      </c>
      <c r="AA2204" s="2" t="s">
        <v>46</v>
      </c>
      <c r="AB2204" s="2" t="s">
        <v>60</v>
      </c>
      <c r="AC2204" s="2" t="s">
        <v>3332</v>
      </c>
      <c r="AF2204" s="2">
        <f t="shared" si="306"/>
        <v>0</v>
      </c>
      <c r="AJ2204" s="2">
        <f t="shared" si="307"/>
        <v>0</v>
      </c>
      <c r="AK2204" s="2">
        <f t="shared" si="308"/>
        <v>60.800000000000011</v>
      </c>
      <c r="AL2204" s="5">
        <f t="shared" si="310"/>
        <v>0.30400000000000005</v>
      </c>
    </row>
    <row r="2205" spans="1:38" x14ac:dyDescent="0.2">
      <c r="A2205" s="2">
        <v>2025</v>
      </c>
      <c r="B2205" s="2">
        <v>11</v>
      </c>
      <c r="D2205" s="2" t="s">
        <v>500</v>
      </c>
      <c r="E2205" s="2" t="s">
        <v>38</v>
      </c>
      <c r="F2205" s="2" t="s">
        <v>39</v>
      </c>
      <c r="G2205" s="2">
        <v>513244468</v>
      </c>
      <c r="H2205" s="2" t="s">
        <v>41</v>
      </c>
      <c r="I2205" s="2" t="s">
        <v>501</v>
      </c>
      <c r="J2205" s="2" t="s">
        <v>502</v>
      </c>
      <c r="K2205" s="2">
        <v>918010109</v>
      </c>
      <c r="L2205" s="2" t="s">
        <v>99</v>
      </c>
      <c r="M2205" s="2" t="s">
        <v>41</v>
      </c>
      <c r="P2205" s="2" t="s">
        <v>1358</v>
      </c>
      <c r="Q2205" s="2" t="s">
        <v>1359</v>
      </c>
      <c r="R2205" s="2" t="s">
        <v>1360</v>
      </c>
      <c r="S2205" s="2">
        <v>2</v>
      </c>
      <c r="T2205" s="2">
        <v>80</v>
      </c>
      <c r="U2205" s="2">
        <v>18.399999999999999</v>
      </c>
      <c r="V2205" s="2">
        <v>98.4</v>
      </c>
      <c r="X2205" s="5">
        <f t="shared" si="309"/>
        <v>1</v>
      </c>
      <c r="Z2205" s="2" t="s">
        <v>3227</v>
      </c>
      <c r="AF2205" s="2">
        <f t="shared" si="306"/>
        <v>0</v>
      </c>
      <c r="AJ2205" s="2">
        <f t="shared" si="307"/>
        <v>0</v>
      </c>
      <c r="AK2205" s="2">
        <f t="shared" si="308"/>
        <v>80</v>
      </c>
      <c r="AL2205" s="5">
        <f t="shared" si="310"/>
        <v>1</v>
      </c>
    </row>
    <row r="2206" spans="1:38" x14ac:dyDescent="0.2">
      <c r="A2206" s="2">
        <v>2025</v>
      </c>
      <c r="B2206" s="2">
        <v>11</v>
      </c>
      <c r="C2206" s="2" t="s">
        <v>3394</v>
      </c>
      <c r="D2206" s="2" t="s">
        <v>1718</v>
      </c>
      <c r="E2206" s="2" t="s">
        <v>752</v>
      </c>
      <c r="F2206" s="2" t="s">
        <v>39</v>
      </c>
      <c r="L2206" s="2" t="s">
        <v>398</v>
      </c>
      <c r="M2206" s="2" t="s">
        <v>109</v>
      </c>
      <c r="P2206" s="2" t="s">
        <v>282</v>
      </c>
      <c r="Q2206" s="2" t="s">
        <v>1436</v>
      </c>
      <c r="R2206" s="2" t="s">
        <v>1437</v>
      </c>
      <c r="S2206" s="2">
        <v>3</v>
      </c>
      <c r="T2206" s="2">
        <v>23.7</v>
      </c>
      <c r="U2206" s="2">
        <v>5.4510000000000014</v>
      </c>
      <c r="V2206" s="2">
        <v>29.151</v>
      </c>
      <c r="W2206" s="2">
        <f>5.135*S2206</f>
        <v>15.404999999999999</v>
      </c>
      <c r="X2206" s="5">
        <f t="shared" si="309"/>
        <v>0.35000000000000003</v>
      </c>
      <c r="Z2206" s="2" t="s">
        <v>3227</v>
      </c>
      <c r="AA2206" s="2" t="s">
        <v>71</v>
      </c>
      <c r="AB2206" s="2" t="s">
        <v>119</v>
      </c>
      <c r="AC2206" s="2" t="s">
        <v>119</v>
      </c>
      <c r="AF2206" s="2">
        <f t="shared" si="306"/>
        <v>0</v>
      </c>
      <c r="AJ2206" s="2">
        <f t="shared" si="307"/>
        <v>0</v>
      </c>
      <c r="AK2206" s="2">
        <f t="shared" si="308"/>
        <v>8.2949999999999999</v>
      </c>
      <c r="AL2206" s="5">
        <f t="shared" si="310"/>
        <v>0.35000000000000003</v>
      </c>
    </row>
    <row r="2207" spans="1:38" x14ac:dyDescent="0.2">
      <c r="A2207" s="2">
        <v>2025</v>
      </c>
      <c r="B2207" s="2">
        <v>11</v>
      </c>
      <c r="C2207" s="2" t="s">
        <v>3394</v>
      </c>
      <c r="D2207" s="2" t="s">
        <v>1718</v>
      </c>
      <c r="E2207" s="2" t="s">
        <v>752</v>
      </c>
      <c r="F2207" s="2" t="s">
        <v>39</v>
      </c>
      <c r="L2207" s="2" t="s">
        <v>398</v>
      </c>
      <c r="M2207" s="2" t="s">
        <v>109</v>
      </c>
      <c r="P2207" s="2" t="s">
        <v>282</v>
      </c>
      <c r="Q2207" s="2" t="s">
        <v>2037</v>
      </c>
      <c r="R2207" s="2" t="s">
        <v>2038</v>
      </c>
      <c r="S2207" s="2">
        <v>1</v>
      </c>
      <c r="T2207" s="2">
        <v>32.9</v>
      </c>
      <c r="U2207" s="2">
        <v>7.5670000000000002</v>
      </c>
      <c r="V2207" s="2">
        <v>40.466999999999999</v>
      </c>
      <c r="W2207" s="2">
        <v>23.06</v>
      </c>
      <c r="X2207" s="5">
        <f t="shared" si="309"/>
        <v>0.29908814589665655</v>
      </c>
      <c r="Z2207" s="2" t="s">
        <v>3227</v>
      </c>
      <c r="AA2207" s="2" t="s">
        <v>71</v>
      </c>
      <c r="AB2207" s="2" t="s">
        <v>119</v>
      </c>
      <c r="AC2207" s="2" t="s">
        <v>119</v>
      </c>
      <c r="AF2207" s="2">
        <f t="shared" si="306"/>
        <v>0</v>
      </c>
      <c r="AJ2207" s="2">
        <f t="shared" si="307"/>
        <v>0</v>
      </c>
      <c r="AK2207" s="2">
        <f t="shared" si="308"/>
        <v>9.84</v>
      </c>
      <c r="AL2207" s="5">
        <f t="shared" si="310"/>
        <v>0.29908814589665655</v>
      </c>
    </row>
    <row r="2208" spans="1:38" x14ac:dyDescent="0.2">
      <c r="A2208" s="2">
        <v>2025</v>
      </c>
      <c r="B2208" s="2">
        <v>11</v>
      </c>
      <c r="D2208" s="2" t="s">
        <v>1071</v>
      </c>
      <c r="E2208" s="2" t="s">
        <v>38</v>
      </c>
      <c r="F2208" s="2" t="s">
        <v>39</v>
      </c>
      <c r="G2208" s="2">
        <v>503843091</v>
      </c>
      <c r="H2208" s="2" t="s">
        <v>41</v>
      </c>
      <c r="I2208" s="2" t="s">
        <v>1554</v>
      </c>
      <c r="J2208" s="2" t="s">
        <v>1824</v>
      </c>
      <c r="L2208" s="2" t="s">
        <v>177</v>
      </c>
      <c r="M2208" s="2" t="s">
        <v>41</v>
      </c>
      <c r="P2208" s="2" t="s">
        <v>282</v>
      </c>
      <c r="Q2208" s="2" t="s">
        <v>2039</v>
      </c>
      <c r="R2208" s="2" t="s">
        <v>2040</v>
      </c>
      <c r="S2208" s="2">
        <v>1</v>
      </c>
      <c r="T2208" s="2">
        <v>10.9</v>
      </c>
      <c r="U2208" s="2">
        <v>2.5070000000000001</v>
      </c>
      <c r="V2208" s="2">
        <v>13.407</v>
      </c>
      <c r="W2208" s="2">
        <v>7.9</v>
      </c>
      <c r="X2208" s="5">
        <f t="shared" si="309"/>
        <v>0.27522935779816515</v>
      </c>
      <c r="Z2208" s="2" t="s">
        <v>3227</v>
      </c>
      <c r="AA2208" s="2" t="s">
        <v>71</v>
      </c>
      <c r="AB2208" s="2" t="s">
        <v>119</v>
      </c>
      <c r="AC2208" s="2" t="s">
        <v>119</v>
      </c>
      <c r="AF2208" s="2">
        <f t="shared" si="306"/>
        <v>0</v>
      </c>
      <c r="AJ2208" s="2">
        <f t="shared" si="307"/>
        <v>0</v>
      </c>
      <c r="AK2208" s="2">
        <f t="shared" si="308"/>
        <v>3</v>
      </c>
      <c r="AL2208" s="5">
        <f t="shared" si="310"/>
        <v>0.27522935779816515</v>
      </c>
    </row>
    <row r="2209" spans="1:38" x14ac:dyDescent="0.2">
      <c r="A2209" s="2">
        <v>2025</v>
      </c>
      <c r="B2209" s="2">
        <v>11</v>
      </c>
      <c r="D2209" s="2" t="s">
        <v>1071</v>
      </c>
      <c r="E2209" s="2" t="s">
        <v>38</v>
      </c>
      <c r="F2209" s="2" t="s">
        <v>39</v>
      </c>
      <c r="G2209" s="2">
        <v>503843091</v>
      </c>
      <c r="H2209" s="2" t="s">
        <v>41</v>
      </c>
      <c r="I2209" s="2" t="s">
        <v>1554</v>
      </c>
      <c r="J2209" s="2" t="s">
        <v>1824</v>
      </c>
      <c r="L2209" s="2" t="s">
        <v>177</v>
      </c>
      <c r="M2209" s="2" t="s">
        <v>41</v>
      </c>
      <c r="P2209" s="2" t="s">
        <v>282</v>
      </c>
      <c r="Q2209" s="2" t="s">
        <v>2041</v>
      </c>
      <c r="R2209" s="2" t="s">
        <v>2042</v>
      </c>
      <c r="S2209" s="2">
        <v>1</v>
      </c>
      <c r="T2209" s="2">
        <v>11.5</v>
      </c>
      <c r="U2209" s="2">
        <v>2.645</v>
      </c>
      <c r="V2209" s="2">
        <v>14.145</v>
      </c>
      <c r="X2209" s="5">
        <f t="shared" si="309"/>
        <v>1</v>
      </c>
      <c r="Z2209" s="2" t="s">
        <v>3227</v>
      </c>
      <c r="AA2209" s="2" t="s">
        <v>71</v>
      </c>
      <c r="AB2209" s="2" t="s">
        <v>119</v>
      </c>
      <c r="AC2209" s="2" t="s">
        <v>119</v>
      </c>
      <c r="AF2209" s="2">
        <f t="shared" si="306"/>
        <v>0</v>
      </c>
      <c r="AJ2209" s="2">
        <f t="shared" si="307"/>
        <v>0</v>
      </c>
      <c r="AK2209" s="2">
        <f t="shared" si="308"/>
        <v>11.5</v>
      </c>
      <c r="AL2209" s="5">
        <f t="shared" si="310"/>
        <v>1</v>
      </c>
    </row>
    <row r="2210" spans="1:38" x14ac:dyDescent="0.2">
      <c r="A2210" s="2">
        <v>2025</v>
      </c>
      <c r="B2210" s="2">
        <v>11</v>
      </c>
      <c r="D2210" s="2" t="s">
        <v>1071</v>
      </c>
      <c r="E2210" s="2" t="s">
        <v>38</v>
      </c>
      <c r="F2210" s="2" t="s">
        <v>39</v>
      </c>
      <c r="G2210" s="2">
        <v>503843091</v>
      </c>
      <c r="H2210" s="2" t="s">
        <v>41</v>
      </c>
      <c r="I2210" s="2" t="s">
        <v>1554</v>
      </c>
      <c r="J2210" s="2" t="s">
        <v>1824</v>
      </c>
      <c r="L2210" s="2" t="s">
        <v>177</v>
      </c>
      <c r="M2210" s="2" t="s">
        <v>41</v>
      </c>
      <c r="P2210" s="2" t="s">
        <v>282</v>
      </c>
      <c r="Q2210" s="2" t="s">
        <v>2043</v>
      </c>
      <c r="R2210" s="2" t="s">
        <v>2044</v>
      </c>
      <c r="S2210" s="2">
        <v>1</v>
      </c>
      <c r="T2210" s="2">
        <v>9.9</v>
      </c>
      <c r="U2210" s="2">
        <v>2.2770000000000001</v>
      </c>
      <c r="V2210" s="2">
        <v>12.177</v>
      </c>
      <c r="X2210" s="5">
        <f t="shared" si="309"/>
        <v>1</v>
      </c>
      <c r="Z2210" s="2" t="s">
        <v>3227</v>
      </c>
      <c r="AA2210" s="2" t="s">
        <v>71</v>
      </c>
      <c r="AB2210" s="2" t="s">
        <v>119</v>
      </c>
      <c r="AC2210" s="2" t="s">
        <v>119</v>
      </c>
      <c r="AF2210" s="2">
        <f t="shared" si="306"/>
        <v>0</v>
      </c>
      <c r="AJ2210" s="2">
        <f t="shared" si="307"/>
        <v>0</v>
      </c>
      <c r="AK2210" s="2">
        <f t="shared" si="308"/>
        <v>9.9</v>
      </c>
      <c r="AL2210" s="5">
        <f t="shared" si="310"/>
        <v>1</v>
      </c>
    </row>
    <row r="2211" spans="1:38" x14ac:dyDescent="0.2">
      <c r="A2211" s="2">
        <v>2025</v>
      </c>
      <c r="B2211" s="2">
        <v>11</v>
      </c>
      <c r="D2211" s="2" t="s">
        <v>1071</v>
      </c>
      <c r="E2211" s="2" t="s">
        <v>38</v>
      </c>
      <c r="F2211" s="2" t="s">
        <v>39</v>
      </c>
      <c r="G2211" s="2">
        <v>503843091</v>
      </c>
      <c r="H2211" s="2" t="s">
        <v>41</v>
      </c>
      <c r="I2211" s="2" t="s">
        <v>1554</v>
      </c>
      <c r="J2211" s="2" t="s">
        <v>1824</v>
      </c>
      <c r="L2211" s="2" t="s">
        <v>177</v>
      </c>
      <c r="M2211" s="2" t="s">
        <v>41</v>
      </c>
      <c r="P2211" s="2" t="s">
        <v>282</v>
      </c>
      <c r="Q2211" s="2" t="s">
        <v>2045</v>
      </c>
      <c r="R2211" s="2" t="s">
        <v>2046</v>
      </c>
      <c r="S2211" s="2">
        <v>1</v>
      </c>
      <c r="T2211" s="2">
        <v>9.9</v>
      </c>
      <c r="U2211" s="2">
        <v>2.2770000000000001</v>
      </c>
      <c r="V2211" s="2">
        <v>12.177</v>
      </c>
      <c r="X2211" s="5">
        <f t="shared" si="309"/>
        <v>1</v>
      </c>
      <c r="Z2211" s="2" t="s">
        <v>3227</v>
      </c>
      <c r="AA2211" s="2" t="s">
        <v>71</v>
      </c>
      <c r="AB2211" s="2" t="s">
        <v>119</v>
      </c>
      <c r="AC2211" s="2" t="s">
        <v>119</v>
      </c>
      <c r="AF2211" s="2">
        <f t="shared" si="306"/>
        <v>0</v>
      </c>
      <c r="AJ2211" s="2">
        <f t="shared" si="307"/>
        <v>0</v>
      </c>
      <c r="AK2211" s="2">
        <f t="shared" si="308"/>
        <v>9.9</v>
      </c>
      <c r="AL2211" s="5">
        <f t="shared" si="310"/>
        <v>1</v>
      </c>
    </row>
    <row r="2212" spans="1:38" x14ac:dyDescent="0.2">
      <c r="A2212" s="2">
        <v>2025</v>
      </c>
      <c r="B2212" s="2">
        <v>11</v>
      </c>
      <c r="D2212" s="2" t="s">
        <v>2047</v>
      </c>
      <c r="M2212" s="2" t="s">
        <v>80</v>
      </c>
      <c r="O2212" s="2" t="s">
        <v>2048</v>
      </c>
      <c r="P2212" s="2" t="s">
        <v>72</v>
      </c>
      <c r="Q2212" s="2" t="s">
        <v>557</v>
      </c>
      <c r="R2212" s="2" t="s">
        <v>307</v>
      </c>
      <c r="S2212" s="2">
        <v>1</v>
      </c>
      <c r="T2212" s="2">
        <v>230</v>
      </c>
      <c r="U2212" s="2">
        <v>52.900000000000013</v>
      </c>
      <c r="V2212" s="2">
        <v>282.89999999999998</v>
      </c>
      <c r="W2212" s="2">
        <v>122.446</v>
      </c>
      <c r="X2212" s="5">
        <f t="shared" si="309"/>
        <v>0.46762608695652175</v>
      </c>
      <c r="Z2212" s="2" t="s">
        <v>3227</v>
      </c>
      <c r="AA2212" s="2" t="s">
        <v>75</v>
      </c>
      <c r="AB2212" s="2" t="s">
        <v>76</v>
      </c>
      <c r="AC2212" s="2" t="s">
        <v>77</v>
      </c>
      <c r="AF2212" s="2">
        <f t="shared" si="306"/>
        <v>0</v>
      </c>
      <c r="AG2212" s="2">
        <v>122.446</v>
      </c>
      <c r="AH2212" s="2">
        <v>230</v>
      </c>
      <c r="AJ2212" s="2">
        <f t="shared" si="307"/>
        <v>0</v>
      </c>
      <c r="AK2212" s="2">
        <f t="shared" si="308"/>
        <v>107.554</v>
      </c>
      <c r="AL2212" s="5">
        <f t="shared" si="310"/>
        <v>0.46762608695652175</v>
      </c>
    </row>
    <row r="2213" spans="1:38" x14ac:dyDescent="0.2">
      <c r="A2213" s="2">
        <v>2025</v>
      </c>
      <c r="B2213" s="2">
        <v>11</v>
      </c>
      <c r="D2213" s="2" t="s">
        <v>2047</v>
      </c>
      <c r="P2213" s="2" t="s">
        <v>93</v>
      </c>
      <c r="Q2213" s="2" t="s">
        <v>94</v>
      </c>
      <c r="R2213" s="2" t="s">
        <v>95</v>
      </c>
      <c r="S2213" s="2">
        <v>1</v>
      </c>
      <c r="T2213" s="2">
        <v>1.1399999999999999</v>
      </c>
      <c r="U2213" s="2">
        <v>0.26219999999999999</v>
      </c>
      <c r="V2213" s="2">
        <v>1.4021999999999999</v>
      </c>
      <c r="W2213" s="2">
        <v>1.1399999999999999</v>
      </c>
      <c r="X2213" s="5">
        <f t="shared" si="309"/>
        <v>0</v>
      </c>
      <c r="Z2213" s="2" t="s">
        <v>3227</v>
      </c>
      <c r="AA2213" s="2" t="s">
        <v>96</v>
      </c>
      <c r="AB2213" s="2" t="s">
        <v>76</v>
      </c>
      <c r="AC2213" s="2" t="s">
        <v>93</v>
      </c>
      <c r="AF2213" s="2">
        <f t="shared" si="306"/>
        <v>0</v>
      </c>
      <c r="AJ2213" s="2">
        <f t="shared" si="307"/>
        <v>0</v>
      </c>
      <c r="AK2213" s="2">
        <f t="shared" si="308"/>
        <v>0</v>
      </c>
      <c r="AL2213" s="5">
        <f t="shared" si="310"/>
        <v>0</v>
      </c>
    </row>
    <row r="2214" spans="1:38" x14ac:dyDescent="0.2">
      <c r="A2214" s="2">
        <v>2025</v>
      </c>
      <c r="B2214" s="2">
        <v>11</v>
      </c>
      <c r="D2214" s="2" t="s">
        <v>2049</v>
      </c>
      <c r="P2214" s="2" t="s">
        <v>114</v>
      </c>
      <c r="Q2214" s="2" t="s">
        <v>2050</v>
      </c>
      <c r="R2214" s="2" t="s">
        <v>2051</v>
      </c>
      <c r="S2214" s="2">
        <v>1</v>
      </c>
      <c r="T2214" s="2">
        <v>1411.39</v>
      </c>
      <c r="U2214" s="2">
        <v>324.61970000000002</v>
      </c>
      <c r="V2214" s="2">
        <v>1736.0097000000001</v>
      </c>
      <c r="X2214" s="5">
        <f t="shared" si="309"/>
        <v>1</v>
      </c>
      <c r="AF2214" s="2">
        <f t="shared" si="306"/>
        <v>0</v>
      </c>
      <c r="AJ2214" s="2">
        <f t="shared" si="307"/>
        <v>0</v>
      </c>
      <c r="AK2214" s="2">
        <f t="shared" si="308"/>
        <v>1411.39</v>
      </c>
      <c r="AL2214" s="5">
        <f t="shared" si="310"/>
        <v>1</v>
      </c>
    </row>
    <row r="2215" spans="1:38" x14ac:dyDescent="0.2">
      <c r="A2215" s="2">
        <v>2025</v>
      </c>
      <c r="B2215" s="2">
        <v>11</v>
      </c>
      <c r="D2215" s="2" t="s">
        <v>2052</v>
      </c>
      <c r="P2215" s="2" t="s">
        <v>72</v>
      </c>
      <c r="Q2215" s="2" t="s">
        <v>1075</v>
      </c>
      <c r="R2215" s="2" t="s">
        <v>83</v>
      </c>
      <c r="S2215" s="2">
        <v>1</v>
      </c>
      <c r="T2215" s="2">
        <v>260</v>
      </c>
      <c r="U2215" s="2">
        <v>59.8</v>
      </c>
      <c r="V2215" s="2">
        <v>319.8</v>
      </c>
      <c r="W2215" s="2">
        <v>159.54</v>
      </c>
      <c r="X2215" s="5">
        <f t="shared" si="309"/>
        <v>0.38638461538461544</v>
      </c>
      <c r="Z2215" s="2" t="s">
        <v>3227</v>
      </c>
      <c r="AA2215" s="2" t="s">
        <v>75</v>
      </c>
      <c r="AB2215" s="2" t="s">
        <v>76</v>
      </c>
      <c r="AC2215" s="2" t="s">
        <v>77</v>
      </c>
      <c r="AF2215" s="2">
        <f t="shared" si="306"/>
        <v>0</v>
      </c>
      <c r="AG2215" s="2">
        <f>144.14+15.4</f>
        <v>159.54</v>
      </c>
      <c r="AH2215" s="2">
        <v>280</v>
      </c>
      <c r="AJ2215" s="2">
        <f t="shared" si="307"/>
        <v>0</v>
      </c>
      <c r="AK2215" s="2">
        <f t="shared" si="308"/>
        <v>100.46000000000001</v>
      </c>
      <c r="AL2215" s="5">
        <f t="shared" si="310"/>
        <v>0.38638461538461544</v>
      </c>
    </row>
    <row r="2216" spans="1:38" x14ac:dyDescent="0.2">
      <c r="A2216" s="2">
        <v>2025</v>
      </c>
      <c r="B2216" s="2">
        <v>11</v>
      </c>
      <c r="D2216" s="2" t="s">
        <v>2052</v>
      </c>
      <c r="P2216" s="2" t="s">
        <v>93</v>
      </c>
      <c r="Q2216" s="2" t="s">
        <v>94</v>
      </c>
      <c r="R2216" s="2" t="s">
        <v>95</v>
      </c>
      <c r="S2216" s="2">
        <v>1</v>
      </c>
      <c r="T2216" s="2">
        <v>1.1399999999999999</v>
      </c>
      <c r="U2216" s="2">
        <v>0.26219999999999999</v>
      </c>
      <c r="V2216" s="2">
        <v>1.4021999999999999</v>
      </c>
      <c r="W2216" s="2">
        <v>1.1399999999999999</v>
      </c>
      <c r="X2216" s="5">
        <f t="shared" si="309"/>
        <v>0</v>
      </c>
      <c r="Z2216" s="2" t="s">
        <v>3227</v>
      </c>
      <c r="AA2216" s="2" t="s">
        <v>96</v>
      </c>
      <c r="AB2216" s="2" t="s">
        <v>76</v>
      </c>
      <c r="AC2216" s="2" t="s">
        <v>93</v>
      </c>
      <c r="AF2216" s="2">
        <f t="shared" si="306"/>
        <v>0</v>
      </c>
      <c r="AJ2216" s="2">
        <f t="shared" si="307"/>
        <v>0</v>
      </c>
      <c r="AK2216" s="2">
        <f t="shared" si="308"/>
        <v>0</v>
      </c>
      <c r="AL2216" s="5">
        <f t="shared" si="310"/>
        <v>0</v>
      </c>
    </row>
    <row r="2217" spans="1:38" x14ac:dyDescent="0.2">
      <c r="A2217" s="2">
        <v>2025</v>
      </c>
      <c r="B2217" s="2">
        <v>11</v>
      </c>
      <c r="D2217" s="2" t="s">
        <v>530</v>
      </c>
      <c r="E2217" s="2" t="s">
        <v>108</v>
      </c>
      <c r="F2217" s="2" t="s">
        <v>531</v>
      </c>
      <c r="G2217" s="2">
        <v>502139552</v>
      </c>
      <c r="H2217" s="2" t="s">
        <v>40</v>
      </c>
      <c r="I2217" s="2" t="s">
        <v>339</v>
      </c>
      <c r="J2217" s="2" t="s">
        <v>532</v>
      </c>
      <c r="L2217" s="2" t="s">
        <v>339</v>
      </c>
      <c r="M2217" s="2" t="s">
        <v>80</v>
      </c>
      <c r="P2217" s="2" t="s">
        <v>72</v>
      </c>
      <c r="Q2217" s="2" t="s">
        <v>2053</v>
      </c>
      <c r="R2217" s="2" t="s">
        <v>197</v>
      </c>
      <c r="S2217" s="2">
        <v>1</v>
      </c>
      <c r="T2217" s="2">
        <v>351.44</v>
      </c>
      <c r="U2217" s="2">
        <v>80.83120000000001</v>
      </c>
      <c r="V2217" s="2">
        <v>432.27120000000002</v>
      </c>
      <c r="W2217" s="2">
        <v>199</v>
      </c>
      <c r="X2217" s="5">
        <f t="shared" si="309"/>
        <v>0.43375825176417027</v>
      </c>
      <c r="Z2217" s="2" t="s">
        <v>3227</v>
      </c>
      <c r="AA2217" s="2" t="s">
        <v>75</v>
      </c>
      <c r="AB2217" s="2" t="s">
        <v>76</v>
      </c>
      <c r="AC2217" s="2" t="s">
        <v>77</v>
      </c>
      <c r="AF2217" s="2">
        <f t="shared" si="306"/>
        <v>0</v>
      </c>
      <c r="AJ2217" s="2">
        <f t="shared" si="307"/>
        <v>0</v>
      </c>
      <c r="AK2217" s="2">
        <f t="shared" si="308"/>
        <v>152.44</v>
      </c>
      <c r="AL2217" s="5">
        <f t="shared" si="310"/>
        <v>0.43375825176417027</v>
      </c>
    </row>
    <row r="2218" spans="1:38" x14ac:dyDescent="0.2">
      <c r="A2218" s="2">
        <v>2025</v>
      </c>
      <c r="B2218" s="2">
        <v>11</v>
      </c>
      <c r="D2218" s="2" t="s">
        <v>530</v>
      </c>
      <c r="E2218" s="2" t="s">
        <v>108</v>
      </c>
      <c r="F2218" s="2" t="s">
        <v>531</v>
      </c>
      <c r="G2218" s="2">
        <v>502139552</v>
      </c>
      <c r="H2218" s="2" t="s">
        <v>40</v>
      </c>
      <c r="I2218" s="2" t="s">
        <v>339</v>
      </c>
      <c r="J2218" s="2" t="s">
        <v>532</v>
      </c>
      <c r="L2218" s="2" t="s">
        <v>339</v>
      </c>
      <c r="M2218" s="2" t="s">
        <v>40</v>
      </c>
      <c r="P2218" s="2" t="s">
        <v>40</v>
      </c>
      <c r="Q2218" s="2" t="s">
        <v>140</v>
      </c>
      <c r="R2218" s="2" t="s">
        <v>141</v>
      </c>
      <c r="S2218" s="2">
        <v>-1</v>
      </c>
      <c r="T2218" s="2">
        <v>-4.4000000000000004</v>
      </c>
      <c r="U2218" s="2">
        <v>-1.012</v>
      </c>
      <c r="V2218" s="2">
        <v>-5.4120000000000008</v>
      </c>
      <c r="Z2218" s="2" t="s">
        <v>119</v>
      </c>
      <c r="AA2218" s="2" t="s">
        <v>142</v>
      </c>
      <c r="AF2218" s="2">
        <f t="shared" si="306"/>
        <v>0</v>
      </c>
      <c r="AJ2218" s="2">
        <f t="shared" si="307"/>
        <v>0</v>
      </c>
    </row>
    <row r="2219" spans="1:38" x14ac:dyDescent="0.2">
      <c r="A2219" s="2">
        <v>2025</v>
      </c>
      <c r="B2219" s="2">
        <v>11</v>
      </c>
      <c r="D2219" s="2" t="s">
        <v>530</v>
      </c>
      <c r="E2219" s="2" t="s">
        <v>108</v>
      </c>
      <c r="F2219" s="2" t="s">
        <v>531</v>
      </c>
      <c r="G2219" s="2">
        <v>502139552</v>
      </c>
      <c r="H2219" s="2" t="s">
        <v>40</v>
      </c>
      <c r="I2219" s="2" t="s">
        <v>339</v>
      </c>
      <c r="J2219" s="2" t="s">
        <v>532</v>
      </c>
      <c r="L2219" s="2" t="s">
        <v>339</v>
      </c>
      <c r="M2219" s="2" t="s">
        <v>80</v>
      </c>
      <c r="P2219" s="2" t="s">
        <v>93</v>
      </c>
      <c r="Q2219" s="2" t="s">
        <v>94</v>
      </c>
      <c r="R2219" s="2" t="s">
        <v>95</v>
      </c>
      <c r="S2219" s="2">
        <v>1</v>
      </c>
      <c r="T2219" s="2">
        <v>1.1399999999999999</v>
      </c>
      <c r="U2219" s="2">
        <v>0.26219999999999999</v>
      </c>
      <c r="V2219" s="2">
        <v>1.4021999999999999</v>
      </c>
      <c r="W2219" s="2">
        <v>1.1399999999999999</v>
      </c>
      <c r="X2219" s="5">
        <f t="shared" ref="X2219:X2228" si="311">(T2219-W2219)/T2219</f>
        <v>0</v>
      </c>
      <c r="Z2219" s="2" t="s">
        <v>3227</v>
      </c>
      <c r="AA2219" s="2" t="s">
        <v>96</v>
      </c>
      <c r="AB2219" s="2" t="s">
        <v>76</v>
      </c>
      <c r="AC2219" s="2" t="s">
        <v>93</v>
      </c>
      <c r="AF2219" s="2">
        <f t="shared" si="306"/>
        <v>0</v>
      </c>
      <c r="AJ2219" s="2">
        <f t="shared" si="307"/>
        <v>0</v>
      </c>
      <c r="AK2219" s="2">
        <f t="shared" ref="AK2219:AK2258" si="312">T2219-W2219</f>
        <v>0</v>
      </c>
      <c r="AL2219" s="5">
        <f t="shared" ref="AL2219:AL2227" si="313">(T2219-W2219)/T2219</f>
        <v>0</v>
      </c>
    </row>
    <row r="2220" spans="1:38" x14ac:dyDescent="0.2">
      <c r="A2220" s="2">
        <v>2025</v>
      </c>
      <c r="B2220" s="2">
        <v>11</v>
      </c>
      <c r="D2220" s="2" t="s">
        <v>1720</v>
      </c>
      <c r="E2220" s="2" t="s">
        <v>108</v>
      </c>
      <c r="F2220" s="2" t="s">
        <v>717</v>
      </c>
      <c r="P2220" s="2" t="s">
        <v>114</v>
      </c>
      <c r="Q2220" s="2" t="s">
        <v>1791</v>
      </c>
      <c r="R2220" s="2" t="s">
        <v>1792</v>
      </c>
      <c r="S2220" s="2">
        <v>1</v>
      </c>
      <c r="T2220" s="2">
        <v>8980</v>
      </c>
      <c r="U2220" s="2">
        <v>2065.4</v>
      </c>
      <c r="V2220" s="2">
        <v>11045.4</v>
      </c>
      <c r="X2220" s="5">
        <f t="shared" si="311"/>
        <v>1</v>
      </c>
      <c r="Z2220" s="2" t="s">
        <v>104</v>
      </c>
      <c r="AF2220" s="2">
        <f t="shared" si="306"/>
        <v>0</v>
      </c>
      <c r="AJ2220" s="2">
        <f t="shared" si="307"/>
        <v>0</v>
      </c>
      <c r="AK2220" s="2">
        <f t="shared" si="312"/>
        <v>8980</v>
      </c>
      <c r="AL2220" s="5">
        <f t="shared" si="313"/>
        <v>1</v>
      </c>
    </row>
    <row r="2221" spans="1:38" x14ac:dyDescent="0.2">
      <c r="A2221" s="2">
        <v>2025</v>
      </c>
      <c r="B2221" s="2">
        <v>11</v>
      </c>
      <c r="D2221" s="2" t="s">
        <v>1418</v>
      </c>
      <c r="E2221" s="2" t="s">
        <v>108</v>
      </c>
      <c r="F2221" s="2" t="s">
        <v>39</v>
      </c>
      <c r="G2221" s="2">
        <v>502696338</v>
      </c>
      <c r="H2221" s="2" t="s">
        <v>40</v>
      </c>
      <c r="I2221" s="2" t="s">
        <v>2411</v>
      </c>
      <c r="J2221" s="2" t="s">
        <v>2412</v>
      </c>
      <c r="L2221" s="2" t="s">
        <v>201</v>
      </c>
      <c r="M2221" s="2" t="s">
        <v>80</v>
      </c>
      <c r="O2221" s="2" t="s">
        <v>3165</v>
      </c>
      <c r="P2221" s="2" t="s">
        <v>1038</v>
      </c>
      <c r="Q2221" s="2" t="s">
        <v>2054</v>
      </c>
      <c r="R2221" s="2" t="s">
        <v>2055</v>
      </c>
      <c r="S2221" s="2">
        <v>4</v>
      </c>
      <c r="T2221" s="2">
        <v>691.06</v>
      </c>
      <c r="U2221" s="2">
        <v>158.94380000000001</v>
      </c>
      <c r="V2221" s="2">
        <v>850.00379999999996</v>
      </c>
      <c r="W2221" s="2">
        <f>108.6*S2221</f>
        <v>434.4</v>
      </c>
      <c r="X2221" s="5">
        <f t="shared" si="311"/>
        <v>0.37140045726854398</v>
      </c>
      <c r="Z2221" s="2" t="s">
        <v>3227</v>
      </c>
      <c r="AA2221" s="2" t="s">
        <v>1041</v>
      </c>
      <c r="AB2221" s="2" t="s">
        <v>1318</v>
      </c>
      <c r="AC2221" s="2" t="s">
        <v>1038</v>
      </c>
      <c r="AF2221" s="2">
        <f t="shared" si="306"/>
        <v>0</v>
      </c>
      <c r="AG2221" s="2">
        <v>108.6</v>
      </c>
      <c r="AJ2221" s="2">
        <f t="shared" si="307"/>
        <v>0</v>
      </c>
      <c r="AK2221" s="2">
        <f t="shared" si="312"/>
        <v>256.65999999999997</v>
      </c>
      <c r="AL2221" s="5">
        <f t="shared" si="313"/>
        <v>0.37140045726854398</v>
      </c>
    </row>
    <row r="2222" spans="1:38" x14ac:dyDescent="0.2">
      <c r="A2222" s="2">
        <v>2025</v>
      </c>
      <c r="B2222" s="2">
        <v>11</v>
      </c>
      <c r="D2222" s="2" t="s">
        <v>1418</v>
      </c>
      <c r="E2222" s="2" t="s">
        <v>108</v>
      </c>
      <c r="F2222" s="2" t="s">
        <v>39</v>
      </c>
      <c r="G2222" s="2">
        <v>502696338</v>
      </c>
      <c r="H2222" s="2" t="s">
        <v>40</v>
      </c>
      <c r="I2222" s="2" t="s">
        <v>2411</v>
      </c>
      <c r="J2222" s="2" t="s">
        <v>2412</v>
      </c>
      <c r="L2222" s="2" t="s">
        <v>201</v>
      </c>
      <c r="M2222" s="2" t="s">
        <v>80</v>
      </c>
      <c r="P2222" s="2" t="s">
        <v>169</v>
      </c>
      <c r="Q2222" s="2" t="s">
        <v>170</v>
      </c>
      <c r="R2222" s="2" t="s">
        <v>170</v>
      </c>
      <c r="S2222" s="2">
        <v>1</v>
      </c>
      <c r="T2222" s="2">
        <v>100</v>
      </c>
      <c r="U2222" s="2">
        <v>23</v>
      </c>
      <c r="V2222" s="2">
        <v>123</v>
      </c>
      <c r="W2222" s="2">
        <v>60</v>
      </c>
      <c r="X2222" s="5">
        <f t="shared" si="311"/>
        <v>0.4</v>
      </c>
      <c r="Z2222" s="2" t="s">
        <v>169</v>
      </c>
      <c r="AA2222" s="2" t="s">
        <v>169</v>
      </c>
      <c r="AF2222" s="2">
        <f t="shared" si="306"/>
        <v>0</v>
      </c>
      <c r="AJ2222" s="2">
        <f t="shared" si="307"/>
        <v>0</v>
      </c>
      <c r="AK2222" s="2">
        <f t="shared" si="312"/>
        <v>40</v>
      </c>
      <c r="AL2222" s="5">
        <f t="shared" si="313"/>
        <v>0.4</v>
      </c>
    </row>
    <row r="2223" spans="1:38" x14ac:dyDescent="0.2">
      <c r="A2223" s="2">
        <v>2025</v>
      </c>
      <c r="B2223" s="2">
        <v>11</v>
      </c>
      <c r="D2223" s="2" t="s">
        <v>1419</v>
      </c>
      <c r="P2223" s="2" t="s">
        <v>72</v>
      </c>
      <c r="Q2223" s="2" t="s">
        <v>2056</v>
      </c>
      <c r="R2223" s="2" t="s">
        <v>534</v>
      </c>
      <c r="S2223" s="2">
        <v>1</v>
      </c>
      <c r="T2223" s="2">
        <v>190</v>
      </c>
      <c r="U2223" s="2">
        <v>43.7</v>
      </c>
      <c r="V2223" s="2">
        <v>233.7</v>
      </c>
      <c r="W2223" s="2">
        <v>114.28</v>
      </c>
      <c r="X2223" s="5">
        <f t="shared" si="311"/>
        <v>0.39852631578947367</v>
      </c>
      <c r="Z2223" s="2" t="s">
        <v>3227</v>
      </c>
      <c r="AA2223" s="2" t="s">
        <v>75</v>
      </c>
      <c r="AB2223" s="2" t="s">
        <v>76</v>
      </c>
      <c r="AC2223" s="2" t="s">
        <v>77</v>
      </c>
      <c r="AF2223" s="2">
        <f t="shared" si="306"/>
        <v>0</v>
      </c>
      <c r="AJ2223" s="2">
        <f t="shared" si="307"/>
        <v>0</v>
      </c>
      <c r="AK2223" s="2">
        <f t="shared" si="312"/>
        <v>75.72</v>
      </c>
      <c r="AL2223" s="5">
        <f t="shared" si="313"/>
        <v>0.39852631578947367</v>
      </c>
    </row>
    <row r="2224" spans="1:38" x14ac:dyDescent="0.2">
      <c r="A2224" s="2">
        <v>2025</v>
      </c>
      <c r="B2224" s="2">
        <v>11</v>
      </c>
      <c r="D2224" s="2" t="s">
        <v>1419</v>
      </c>
      <c r="P2224" s="2" t="s">
        <v>93</v>
      </c>
      <c r="Q2224" s="2" t="s">
        <v>94</v>
      </c>
      <c r="R2224" s="2" t="s">
        <v>95</v>
      </c>
      <c r="S2224" s="2">
        <v>1</v>
      </c>
      <c r="T2224" s="2">
        <v>1.1399999999999999</v>
      </c>
      <c r="U2224" s="2">
        <v>0.26219999999999999</v>
      </c>
      <c r="V2224" s="2">
        <v>1.4021999999999999</v>
      </c>
      <c r="W2224" s="2">
        <v>1.1399999999999999</v>
      </c>
      <c r="X2224" s="5">
        <f t="shared" si="311"/>
        <v>0</v>
      </c>
      <c r="Z2224" s="2" t="s">
        <v>3227</v>
      </c>
      <c r="AA2224" s="2" t="s">
        <v>96</v>
      </c>
      <c r="AB2224" s="2" t="s">
        <v>76</v>
      </c>
      <c r="AC2224" s="2" t="s">
        <v>93</v>
      </c>
      <c r="AF2224" s="2">
        <f t="shared" si="306"/>
        <v>0</v>
      </c>
      <c r="AJ2224" s="2">
        <f t="shared" si="307"/>
        <v>0</v>
      </c>
      <c r="AK2224" s="2">
        <f t="shared" si="312"/>
        <v>0</v>
      </c>
      <c r="AL2224" s="5">
        <f t="shared" si="313"/>
        <v>0</v>
      </c>
    </row>
    <row r="2225" spans="1:38" x14ac:dyDescent="0.2">
      <c r="A2225" s="2">
        <v>2025</v>
      </c>
      <c r="B2225" s="2">
        <v>11</v>
      </c>
      <c r="D2225" s="2" t="s">
        <v>549</v>
      </c>
      <c r="E2225" s="2" t="s">
        <v>108</v>
      </c>
      <c r="F2225" s="2" t="s">
        <v>395</v>
      </c>
      <c r="G2225" s="2">
        <v>503641790</v>
      </c>
      <c r="H2225" s="2" t="s">
        <v>40</v>
      </c>
      <c r="I2225" s="2" t="s">
        <v>550</v>
      </c>
      <c r="J2225" s="2" t="s">
        <v>551</v>
      </c>
      <c r="K2225" s="2">
        <v>917753665</v>
      </c>
      <c r="L2225" s="2" t="s">
        <v>99</v>
      </c>
      <c r="M2225" s="2" t="s">
        <v>80</v>
      </c>
      <c r="O2225" s="2" t="s">
        <v>2057</v>
      </c>
      <c r="P2225" s="2" t="s">
        <v>72</v>
      </c>
      <c r="Q2225" s="2" t="s">
        <v>556</v>
      </c>
      <c r="R2225" s="2" t="s">
        <v>381</v>
      </c>
      <c r="S2225" s="2">
        <v>1</v>
      </c>
      <c r="T2225" s="2">
        <v>245</v>
      </c>
      <c r="U2225" s="2">
        <v>56.35</v>
      </c>
      <c r="V2225" s="2">
        <v>301.35000000000002</v>
      </c>
      <c r="W2225" s="2">
        <v>143.91999999999999</v>
      </c>
      <c r="X2225" s="5">
        <f t="shared" si="311"/>
        <v>0.41257142857142864</v>
      </c>
      <c r="Z2225" s="2" t="s">
        <v>3227</v>
      </c>
      <c r="AA2225" s="2" t="s">
        <v>75</v>
      </c>
      <c r="AB2225" s="2" t="s">
        <v>76</v>
      </c>
      <c r="AC2225" s="2" t="s">
        <v>77</v>
      </c>
      <c r="AF2225" s="2">
        <f t="shared" si="306"/>
        <v>0</v>
      </c>
      <c r="AG2225" s="2">
        <v>143.91999999999999</v>
      </c>
      <c r="AJ2225" s="2">
        <f t="shared" si="307"/>
        <v>0</v>
      </c>
      <c r="AK2225" s="2">
        <f t="shared" si="312"/>
        <v>101.08000000000001</v>
      </c>
      <c r="AL2225" s="5">
        <f t="shared" si="313"/>
        <v>0.41257142857142864</v>
      </c>
    </row>
    <row r="2226" spans="1:38" x14ac:dyDescent="0.2">
      <c r="A2226" s="2">
        <v>2025</v>
      </c>
      <c r="B2226" s="2">
        <v>11</v>
      </c>
      <c r="D2226" s="2" t="s">
        <v>549</v>
      </c>
      <c r="E2226" s="2" t="s">
        <v>108</v>
      </c>
      <c r="F2226" s="2" t="s">
        <v>395</v>
      </c>
      <c r="G2226" s="2">
        <v>503641790</v>
      </c>
      <c r="H2226" s="2" t="s">
        <v>40</v>
      </c>
      <c r="I2226" s="2" t="s">
        <v>550</v>
      </c>
      <c r="J2226" s="2" t="s">
        <v>551</v>
      </c>
      <c r="K2226" s="2">
        <v>917753665</v>
      </c>
      <c r="L2226" s="2" t="s">
        <v>99</v>
      </c>
      <c r="M2226" s="2" t="s">
        <v>80</v>
      </c>
      <c r="O2226" s="2" t="s">
        <v>2057</v>
      </c>
      <c r="P2226" s="2" t="s">
        <v>72</v>
      </c>
      <c r="Q2226" s="2" t="s">
        <v>325</v>
      </c>
      <c r="R2226" s="2" t="s">
        <v>79</v>
      </c>
      <c r="S2226" s="2">
        <v>1</v>
      </c>
      <c r="T2226" s="2">
        <v>220</v>
      </c>
      <c r="U2226" s="2">
        <v>50.6</v>
      </c>
      <c r="V2226" s="2">
        <v>270.60000000000002</v>
      </c>
      <c r="W2226" s="2">
        <f>110.68*S2226</f>
        <v>110.68</v>
      </c>
      <c r="X2226" s="5">
        <f t="shared" si="311"/>
        <v>0.49690909090909086</v>
      </c>
      <c r="Z2226" s="2" t="s">
        <v>3227</v>
      </c>
      <c r="AA2226" s="2" t="s">
        <v>75</v>
      </c>
      <c r="AB2226" s="2" t="s">
        <v>76</v>
      </c>
      <c r="AC2226" s="2" t="s">
        <v>77</v>
      </c>
      <c r="AF2226" s="2">
        <f t="shared" si="306"/>
        <v>0</v>
      </c>
      <c r="AG2226" s="2">
        <v>110.68</v>
      </c>
      <c r="AH2226" s="2">
        <v>210</v>
      </c>
      <c r="AJ2226" s="2">
        <f t="shared" si="307"/>
        <v>0</v>
      </c>
      <c r="AK2226" s="2">
        <f t="shared" si="312"/>
        <v>109.32</v>
      </c>
      <c r="AL2226" s="5">
        <f t="shared" si="313"/>
        <v>0.49690909090909086</v>
      </c>
    </row>
    <row r="2227" spans="1:38" x14ac:dyDescent="0.2">
      <c r="A2227" s="2">
        <v>2025</v>
      </c>
      <c r="B2227" s="2">
        <v>11</v>
      </c>
      <c r="D2227" s="2" t="s">
        <v>549</v>
      </c>
      <c r="E2227" s="2" t="s">
        <v>108</v>
      </c>
      <c r="F2227" s="2" t="s">
        <v>395</v>
      </c>
      <c r="G2227" s="2">
        <v>503641790</v>
      </c>
      <c r="H2227" s="2" t="s">
        <v>40</v>
      </c>
      <c r="I2227" s="2" t="s">
        <v>550</v>
      </c>
      <c r="J2227" s="2" t="s">
        <v>551</v>
      </c>
      <c r="K2227" s="2">
        <v>917753665</v>
      </c>
      <c r="L2227" s="2" t="s">
        <v>99</v>
      </c>
      <c r="M2227" s="2" t="s">
        <v>80</v>
      </c>
      <c r="O2227" s="2" t="s">
        <v>2058</v>
      </c>
      <c r="P2227" s="2" t="s">
        <v>72</v>
      </c>
      <c r="Q2227" s="2" t="s">
        <v>1134</v>
      </c>
      <c r="R2227" s="2" t="s">
        <v>534</v>
      </c>
      <c r="S2227" s="2">
        <v>1</v>
      </c>
      <c r="T2227" s="2">
        <v>205</v>
      </c>
      <c r="U2227" s="2">
        <v>47.15</v>
      </c>
      <c r="V2227" s="2">
        <v>252.15</v>
      </c>
      <c r="W2227" s="2">
        <v>122.25</v>
      </c>
      <c r="X2227" s="5">
        <f t="shared" si="311"/>
        <v>0.40365853658536588</v>
      </c>
      <c r="Z2227" s="2" t="s">
        <v>3227</v>
      </c>
      <c r="AA2227" s="2" t="s">
        <v>75</v>
      </c>
      <c r="AB2227" s="2" t="s">
        <v>76</v>
      </c>
      <c r="AC2227" s="2" t="s">
        <v>77</v>
      </c>
      <c r="AF2227" s="2">
        <f t="shared" si="306"/>
        <v>0</v>
      </c>
      <c r="AG2227" s="2">
        <v>122.25</v>
      </c>
      <c r="AJ2227" s="2">
        <f t="shared" si="307"/>
        <v>0</v>
      </c>
      <c r="AK2227" s="2">
        <f t="shared" si="312"/>
        <v>82.75</v>
      </c>
      <c r="AL2227" s="5">
        <f t="shared" si="313"/>
        <v>0.40365853658536588</v>
      </c>
    </row>
    <row r="2228" spans="1:38" x14ac:dyDescent="0.2">
      <c r="A2228" s="2">
        <v>2025</v>
      </c>
      <c r="B2228" s="2">
        <v>11</v>
      </c>
      <c r="D2228" s="2" t="s">
        <v>549</v>
      </c>
      <c r="E2228" s="2" t="s">
        <v>108</v>
      </c>
      <c r="F2228" s="2" t="s">
        <v>395</v>
      </c>
      <c r="G2228" s="2">
        <v>503641790</v>
      </c>
      <c r="H2228" s="2" t="s">
        <v>40</v>
      </c>
      <c r="I2228" s="2" t="s">
        <v>550</v>
      </c>
      <c r="J2228" s="2" t="s">
        <v>551</v>
      </c>
      <c r="K2228" s="2">
        <v>917753665</v>
      </c>
      <c r="L2228" s="2" t="s">
        <v>99</v>
      </c>
      <c r="M2228" s="2" t="s">
        <v>80</v>
      </c>
      <c r="O2228" s="2" t="s">
        <v>2058</v>
      </c>
      <c r="P2228" s="2" t="s">
        <v>169</v>
      </c>
      <c r="Q2228" s="2" t="s">
        <v>170</v>
      </c>
      <c r="R2228" s="2" t="s">
        <v>170</v>
      </c>
      <c r="S2228" s="2">
        <v>1</v>
      </c>
      <c r="T2228" s="2">
        <v>15</v>
      </c>
      <c r="U2228" s="2">
        <v>3.45</v>
      </c>
      <c r="V2228" s="2">
        <v>18.45</v>
      </c>
      <c r="W2228" s="2">
        <v>23</v>
      </c>
      <c r="X2228" s="18">
        <f t="shared" si="311"/>
        <v>-0.53333333333333333</v>
      </c>
      <c r="Z2228" s="2" t="s">
        <v>169</v>
      </c>
      <c r="AA2228" s="2" t="s">
        <v>169</v>
      </c>
      <c r="AF2228" s="2">
        <f t="shared" si="306"/>
        <v>0</v>
      </c>
      <c r="AJ2228" s="2">
        <f t="shared" si="307"/>
        <v>0</v>
      </c>
      <c r="AK2228" s="2">
        <f t="shared" si="312"/>
        <v>-8</v>
      </c>
      <c r="AL2228" s="19"/>
    </row>
    <row r="2229" spans="1:38" x14ac:dyDescent="0.2">
      <c r="A2229" s="2">
        <v>2025</v>
      </c>
      <c r="B2229" s="2">
        <v>11</v>
      </c>
      <c r="D2229" s="2" t="s">
        <v>549</v>
      </c>
      <c r="E2229" s="2" t="s">
        <v>108</v>
      </c>
      <c r="F2229" s="2" t="s">
        <v>395</v>
      </c>
      <c r="G2229" s="2">
        <v>503641790</v>
      </c>
      <c r="H2229" s="2" t="s">
        <v>40</v>
      </c>
      <c r="I2229" s="2" t="s">
        <v>550</v>
      </c>
      <c r="J2229" s="2" t="s">
        <v>551</v>
      </c>
      <c r="K2229" s="2">
        <v>917753665</v>
      </c>
      <c r="L2229" s="2" t="s">
        <v>99</v>
      </c>
      <c r="M2229" s="2" t="s">
        <v>80</v>
      </c>
      <c r="O2229" s="2" t="s">
        <v>2057</v>
      </c>
      <c r="P2229" s="2" t="s">
        <v>93</v>
      </c>
      <c r="Q2229" s="2" t="s">
        <v>94</v>
      </c>
      <c r="R2229" s="2" t="s">
        <v>95</v>
      </c>
      <c r="S2229" s="2">
        <v>3</v>
      </c>
      <c r="T2229" s="2">
        <v>3.42</v>
      </c>
      <c r="U2229" s="2">
        <v>0.78659999999999997</v>
      </c>
      <c r="V2229" s="2">
        <v>4.2065999999999999</v>
      </c>
      <c r="W2229" s="2">
        <v>3.42</v>
      </c>
      <c r="X2229" s="5">
        <f t="shared" ref="X2229:X2258" si="314">(T2229-W2229)/T2229</f>
        <v>0</v>
      </c>
      <c r="Z2229" s="2" t="s">
        <v>3227</v>
      </c>
      <c r="AA2229" s="2" t="s">
        <v>96</v>
      </c>
      <c r="AB2229" s="2" t="s">
        <v>76</v>
      </c>
      <c r="AC2229" s="2" t="s">
        <v>93</v>
      </c>
      <c r="AF2229" s="2">
        <f t="shared" si="306"/>
        <v>0</v>
      </c>
      <c r="AG2229" s="2">
        <v>1.1399999999999999</v>
      </c>
      <c r="AH2229" s="2">
        <v>1.1399999999999999</v>
      </c>
      <c r="AJ2229" s="2">
        <f t="shared" si="307"/>
        <v>0</v>
      </c>
      <c r="AK2229" s="2">
        <f t="shared" si="312"/>
        <v>0</v>
      </c>
      <c r="AL2229" s="5">
        <f t="shared" ref="AL2229:AL2258" si="315">(T2229-W2229)/T2229</f>
        <v>0</v>
      </c>
    </row>
    <row r="2230" spans="1:38" x14ac:dyDescent="0.2">
      <c r="A2230" s="2">
        <v>2025</v>
      </c>
      <c r="B2230" s="2">
        <v>11</v>
      </c>
      <c r="D2230" s="2" t="s">
        <v>558</v>
      </c>
      <c r="E2230" s="2" t="s">
        <v>108</v>
      </c>
      <c r="F2230" s="2" t="s">
        <v>39</v>
      </c>
      <c r="G2230" s="2">
        <v>506517233</v>
      </c>
      <c r="H2230" s="2" t="s">
        <v>80</v>
      </c>
      <c r="I2230" s="2" t="s">
        <v>559</v>
      </c>
      <c r="J2230" s="2" t="s">
        <v>560</v>
      </c>
      <c r="L2230" s="2" t="s">
        <v>133</v>
      </c>
      <c r="M2230" s="2" t="s">
        <v>40</v>
      </c>
      <c r="O2230" s="2" t="s">
        <v>3226</v>
      </c>
      <c r="P2230" s="2" t="s">
        <v>282</v>
      </c>
      <c r="Q2230" s="2" t="s">
        <v>2059</v>
      </c>
      <c r="R2230" s="2" t="s">
        <v>2060</v>
      </c>
      <c r="S2230" s="2">
        <v>1</v>
      </c>
      <c r="T2230" s="2">
        <v>1598.58</v>
      </c>
      <c r="U2230" s="2">
        <v>367.67340000000002</v>
      </c>
      <c r="V2230" s="2">
        <v>1966.2534000000001</v>
      </c>
      <c r="W2230" s="2">
        <v>1119</v>
      </c>
      <c r="X2230" s="5">
        <f t="shared" si="314"/>
        <v>0.30000375333108131</v>
      </c>
      <c r="Z2230" s="2" t="s">
        <v>3227</v>
      </c>
      <c r="AA2230" s="2" t="s">
        <v>71</v>
      </c>
      <c r="AB2230" s="2" t="s">
        <v>1600</v>
      </c>
      <c r="AC2230" s="2" t="s">
        <v>1600</v>
      </c>
      <c r="AF2230" s="2">
        <f t="shared" si="306"/>
        <v>0</v>
      </c>
      <c r="AG2230" s="2">
        <v>1119</v>
      </c>
      <c r="AJ2230" s="2">
        <f t="shared" si="307"/>
        <v>0</v>
      </c>
      <c r="AK2230" s="2">
        <f t="shared" si="312"/>
        <v>479.57999999999993</v>
      </c>
      <c r="AL2230" s="5">
        <f t="shared" si="315"/>
        <v>0.30000375333108131</v>
      </c>
    </row>
    <row r="2231" spans="1:38" x14ac:dyDescent="0.2">
      <c r="A2231" s="2">
        <v>2025</v>
      </c>
      <c r="B2231" s="2">
        <v>11</v>
      </c>
      <c r="D2231" s="2" t="s">
        <v>2061</v>
      </c>
      <c r="E2231" s="2" t="s">
        <v>108</v>
      </c>
      <c r="G2231" s="2">
        <v>506055884</v>
      </c>
      <c r="H2231" s="2" t="s">
        <v>40</v>
      </c>
      <c r="I2231" s="2" t="s">
        <v>2062</v>
      </c>
      <c r="J2231" s="2" t="s">
        <v>2063</v>
      </c>
      <c r="L2231" s="2" t="s">
        <v>99</v>
      </c>
      <c r="M2231" s="2" t="s">
        <v>40</v>
      </c>
      <c r="O2231" s="2" t="s">
        <v>2064</v>
      </c>
      <c r="P2231" s="2" t="s">
        <v>114</v>
      </c>
      <c r="Q2231" s="2" t="s">
        <v>412</v>
      </c>
      <c r="R2231" s="2" t="s">
        <v>413</v>
      </c>
      <c r="S2231" s="2">
        <v>1</v>
      </c>
      <c r="T2231" s="2">
        <v>13990</v>
      </c>
      <c r="U2231" s="2">
        <v>3217.7</v>
      </c>
      <c r="V2231" s="2">
        <v>17207.7</v>
      </c>
      <c r="W2231" s="2">
        <v>10669.4</v>
      </c>
      <c r="X2231" s="5">
        <f t="shared" si="314"/>
        <v>0.23735525375268052</v>
      </c>
      <c r="Z2231" s="2" t="s">
        <v>104</v>
      </c>
      <c r="AA2231" s="2" t="s">
        <v>414</v>
      </c>
      <c r="AB2231" s="2" t="s">
        <v>151</v>
      </c>
      <c r="AC2231" s="2" t="s">
        <v>114</v>
      </c>
      <c r="AF2231" s="2">
        <f t="shared" si="306"/>
        <v>0</v>
      </c>
      <c r="AJ2231" s="2">
        <f t="shared" si="307"/>
        <v>0</v>
      </c>
      <c r="AK2231" s="2">
        <f t="shared" si="312"/>
        <v>3320.6000000000004</v>
      </c>
      <c r="AL2231" s="5">
        <f t="shared" si="315"/>
        <v>0.23735525375268052</v>
      </c>
    </row>
    <row r="2232" spans="1:38" x14ac:dyDescent="0.2">
      <c r="A2232" s="2">
        <v>2025</v>
      </c>
      <c r="B2232" s="2">
        <v>11</v>
      </c>
      <c r="D2232" s="2" t="s">
        <v>1621</v>
      </c>
      <c r="E2232" s="2" t="s">
        <v>108</v>
      </c>
      <c r="F2232" s="2" t="s">
        <v>39</v>
      </c>
      <c r="L2232" s="2" t="s">
        <v>112</v>
      </c>
      <c r="M2232" s="2" t="s">
        <v>109</v>
      </c>
      <c r="P2232" s="2" t="s">
        <v>43</v>
      </c>
      <c r="Q2232" s="2" t="s">
        <v>240</v>
      </c>
      <c r="R2232" s="2" t="s">
        <v>241</v>
      </c>
      <c r="S2232" s="2">
        <v>1</v>
      </c>
      <c r="T2232" s="2">
        <v>24</v>
      </c>
      <c r="U2232" s="2">
        <v>5.52</v>
      </c>
      <c r="V2232" s="2">
        <v>29.52</v>
      </c>
      <c r="W2232" s="2">
        <f>13.4067*S2232</f>
        <v>13.406700000000001</v>
      </c>
      <c r="X2232" s="5">
        <f t="shared" si="314"/>
        <v>0.44138749999999999</v>
      </c>
      <c r="Z2232" s="2" t="s">
        <v>3227</v>
      </c>
      <c r="AA2232" s="2" t="s">
        <v>46</v>
      </c>
      <c r="AB2232" s="2" t="s">
        <v>56</v>
      </c>
      <c r="AC2232" s="2" t="s">
        <v>57</v>
      </c>
      <c r="AF2232" s="2">
        <f t="shared" si="306"/>
        <v>0</v>
      </c>
      <c r="AJ2232" s="2">
        <f t="shared" si="307"/>
        <v>0</v>
      </c>
      <c r="AK2232" s="2">
        <f t="shared" si="312"/>
        <v>10.593299999999999</v>
      </c>
      <c r="AL2232" s="5">
        <f t="shared" si="315"/>
        <v>0.44138749999999999</v>
      </c>
    </row>
    <row r="2233" spans="1:38" x14ac:dyDescent="0.2">
      <c r="A2233" s="2">
        <v>2025</v>
      </c>
      <c r="B2233" s="2">
        <v>11</v>
      </c>
      <c r="D2233" s="2" t="s">
        <v>1621</v>
      </c>
      <c r="E2233" s="2" t="s">
        <v>108</v>
      </c>
      <c r="F2233" s="2" t="s">
        <v>39</v>
      </c>
      <c r="L2233" s="2" t="s">
        <v>112</v>
      </c>
      <c r="M2233" s="2" t="s">
        <v>109</v>
      </c>
      <c r="P2233" s="2" t="s">
        <v>43</v>
      </c>
      <c r="Q2233" s="2" t="s">
        <v>244</v>
      </c>
      <c r="R2233" s="2" t="s">
        <v>245</v>
      </c>
      <c r="S2233" s="2">
        <v>1</v>
      </c>
      <c r="T2233" s="2">
        <v>16.8</v>
      </c>
      <c r="U2233" s="2">
        <v>3.8639999999999999</v>
      </c>
      <c r="V2233" s="2">
        <v>20.664000000000001</v>
      </c>
      <c r="W2233" s="2">
        <f>9.2346*S2233</f>
        <v>9.2346000000000004</v>
      </c>
      <c r="X2233" s="5">
        <f t="shared" si="314"/>
        <v>0.45032142857142859</v>
      </c>
      <c r="Z2233" s="2" t="s">
        <v>3227</v>
      </c>
      <c r="AA2233" s="2" t="s">
        <v>46</v>
      </c>
      <c r="AB2233" s="2" t="s">
        <v>56</v>
      </c>
      <c r="AC2233" s="2" t="s">
        <v>57</v>
      </c>
      <c r="AF2233" s="2">
        <f t="shared" si="306"/>
        <v>0</v>
      </c>
      <c r="AJ2233" s="2">
        <f t="shared" si="307"/>
        <v>0</v>
      </c>
      <c r="AK2233" s="2">
        <f t="shared" si="312"/>
        <v>7.5654000000000003</v>
      </c>
      <c r="AL2233" s="5">
        <f t="shared" si="315"/>
        <v>0.45032142857142859</v>
      </c>
    </row>
    <row r="2234" spans="1:38" x14ac:dyDescent="0.2">
      <c r="A2234" s="2">
        <v>2025</v>
      </c>
      <c r="B2234" s="2">
        <v>11</v>
      </c>
      <c r="D2234" s="2" t="s">
        <v>1621</v>
      </c>
      <c r="E2234" s="2" t="s">
        <v>108</v>
      </c>
      <c r="F2234" s="2" t="s">
        <v>39</v>
      </c>
      <c r="L2234" s="2" t="s">
        <v>112</v>
      </c>
      <c r="M2234" s="2" t="s">
        <v>109</v>
      </c>
      <c r="P2234" s="2" t="s">
        <v>43</v>
      </c>
      <c r="Q2234" s="2" t="s">
        <v>246</v>
      </c>
      <c r="R2234" s="2" t="s">
        <v>247</v>
      </c>
      <c r="S2234" s="2">
        <v>1</v>
      </c>
      <c r="T2234" s="2">
        <v>19.2</v>
      </c>
      <c r="U2234" s="2">
        <v>4.4160000000000004</v>
      </c>
      <c r="V2234" s="2">
        <v>23.616</v>
      </c>
      <c r="W2234" s="2">
        <f>10.5267*S2234</f>
        <v>10.5267</v>
      </c>
      <c r="X2234" s="5">
        <f t="shared" si="314"/>
        <v>0.45173437499999997</v>
      </c>
      <c r="Z2234" s="2" t="s">
        <v>3227</v>
      </c>
      <c r="AA2234" s="2" t="s">
        <v>46</v>
      </c>
      <c r="AB2234" s="2" t="s">
        <v>56</v>
      </c>
      <c r="AC2234" s="2" t="s">
        <v>57</v>
      </c>
      <c r="AF2234" s="2">
        <f t="shared" si="306"/>
        <v>0</v>
      </c>
      <c r="AJ2234" s="2">
        <f t="shared" si="307"/>
        <v>0</v>
      </c>
      <c r="AK2234" s="2">
        <f t="shared" si="312"/>
        <v>8.6732999999999993</v>
      </c>
      <c r="AL2234" s="5">
        <f t="shared" si="315"/>
        <v>0.45173437499999997</v>
      </c>
    </row>
    <row r="2235" spans="1:38" x14ac:dyDescent="0.2">
      <c r="A2235" s="2">
        <v>2025</v>
      </c>
      <c r="B2235" s="2">
        <v>11</v>
      </c>
      <c r="D2235" s="2" t="s">
        <v>1621</v>
      </c>
      <c r="E2235" s="2" t="s">
        <v>108</v>
      </c>
      <c r="F2235" s="2" t="s">
        <v>39</v>
      </c>
      <c r="L2235" s="2" t="s">
        <v>112</v>
      </c>
      <c r="M2235" s="2" t="s">
        <v>109</v>
      </c>
      <c r="P2235" s="2" t="s">
        <v>43</v>
      </c>
      <c r="Q2235" s="2" t="s">
        <v>1730</v>
      </c>
      <c r="R2235" s="2" t="s">
        <v>1731</v>
      </c>
      <c r="S2235" s="2">
        <v>1</v>
      </c>
      <c r="T2235" s="2">
        <v>8.4</v>
      </c>
      <c r="U2235" s="2">
        <v>1.9319999999999999</v>
      </c>
      <c r="V2235" s="2">
        <v>10.332000000000001</v>
      </c>
      <c r="W2235" s="2">
        <f>3.855</f>
        <v>3.855</v>
      </c>
      <c r="X2235" s="5">
        <f t="shared" si="314"/>
        <v>0.54107142857142854</v>
      </c>
      <c r="Z2235" s="2" t="s">
        <v>3227</v>
      </c>
      <c r="AA2235" s="2" t="s">
        <v>46</v>
      </c>
      <c r="AB2235" s="2" t="s">
        <v>56</v>
      </c>
      <c r="AC2235" s="2" t="s">
        <v>57</v>
      </c>
      <c r="AF2235" s="2">
        <f t="shared" si="306"/>
        <v>0</v>
      </c>
      <c r="AJ2235" s="2">
        <f t="shared" si="307"/>
        <v>0</v>
      </c>
      <c r="AK2235" s="2">
        <f t="shared" si="312"/>
        <v>4.5449999999999999</v>
      </c>
      <c r="AL2235" s="5">
        <f t="shared" si="315"/>
        <v>0.54107142857142854</v>
      </c>
    </row>
    <row r="2236" spans="1:38" x14ac:dyDescent="0.2">
      <c r="A2236" s="2">
        <v>2025</v>
      </c>
      <c r="B2236" s="2">
        <v>11</v>
      </c>
      <c r="D2236" s="2" t="s">
        <v>1621</v>
      </c>
      <c r="E2236" s="2" t="s">
        <v>108</v>
      </c>
      <c r="F2236" s="2" t="s">
        <v>39</v>
      </c>
      <c r="L2236" s="2" t="s">
        <v>112</v>
      </c>
      <c r="M2236" s="2" t="s">
        <v>109</v>
      </c>
      <c r="P2236" s="2" t="s">
        <v>43</v>
      </c>
      <c r="Q2236" s="2" t="s">
        <v>2065</v>
      </c>
      <c r="R2236" s="2" t="s">
        <v>2066</v>
      </c>
      <c r="S2236" s="2">
        <v>1</v>
      </c>
      <c r="T2236" s="2">
        <v>12.6</v>
      </c>
      <c r="U2236" s="2">
        <v>2.8980000000000001</v>
      </c>
      <c r="V2236" s="2">
        <v>15.497999999999999</v>
      </c>
      <c r="W2236" s="2">
        <v>6.3575999999999997</v>
      </c>
      <c r="X2236" s="5">
        <f t="shared" si="314"/>
        <v>0.49542857142857144</v>
      </c>
      <c r="Z2236" s="2" t="s">
        <v>3227</v>
      </c>
      <c r="AA2236" s="2" t="s">
        <v>46</v>
      </c>
      <c r="AB2236" s="2" t="s">
        <v>56</v>
      </c>
      <c r="AC2236" s="2" t="s">
        <v>57</v>
      </c>
      <c r="AF2236" s="2">
        <f t="shared" si="306"/>
        <v>0</v>
      </c>
      <c r="AJ2236" s="2">
        <f t="shared" si="307"/>
        <v>0</v>
      </c>
      <c r="AK2236" s="2">
        <f t="shared" si="312"/>
        <v>6.2423999999999999</v>
      </c>
      <c r="AL2236" s="5">
        <f t="shared" si="315"/>
        <v>0.49542857142857144</v>
      </c>
    </row>
    <row r="2237" spans="1:38" x14ac:dyDescent="0.2">
      <c r="A2237" s="2">
        <v>2025</v>
      </c>
      <c r="B2237" s="2">
        <v>11</v>
      </c>
      <c r="D2237" s="2" t="s">
        <v>889</v>
      </c>
      <c r="E2237" s="2" t="s">
        <v>108</v>
      </c>
      <c r="F2237" s="2" t="s">
        <v>39</v>
      </c>
      <c r="G2237" s="2">
        <v>507216970</v>
      </c>
      <c r="H2237" s="2" t="s">
        <v>41</v>
      </c>
      <c r="I2237" s="2" t="s">
        <v>890</v>
      </c>
      <c r="J2237" s="2" t="s">
        <v>891</v>
      </c>
      <c r="L2237" s="2" t="s">
        <v>99</v>
      </c>
      <c r="P2237" s="2" t="s">
        <v>43</v>
      </c>
      <c r="Q2237" s="2" t="s">
        <v>54</v>
      </c>
      <c r="R2237" s="2" t="s">
        <v>55</v>
      </c>
      <c r="S2237" s="2">
        <v>10</v>
      </c>
      <c r="T2237" s="2">
        <v>140</v>
      </c>
      <c r="U2237" s="2">
        <v>32.200000000000003</v>
      </c>
      <c r="V2237" s="2">
        <v>172.2</v>
      </c>
      <c r="W2237" s="2">
        <f>10.6*S2237</f>
        <v>106</v>
      </c>
      <c r="X2237" s="5">
        <f t="shared" si="314"/>
        <v>0.24285714285714285</v>
      </c>
      <c r="Z2237" s="2" t="s">
        <v>3227</v>
      </c>
      <c r="AA2237" s="2" t="s">
        <v>46</v>
      </c>
      <c r="AB2237" s="2" t="s">
        <v>56</v>
      </c>
      <c r="AC2237" s="2" t="s">
        <v>57</v>
      </c>
      <c r="AF2237" s="2">
        <f t="shared" si="306"/>
        <v>0</v>
      </c>
      <c r="AG2237" s="2">
        <v>10.6</v>
      </c>
      <c r="AH2237" s="2">
        <v>18</v>
      </c>
      <c r="AJ2237" s="2">
        <f t="shared" si="307"/>
        <v>0</v>
      </c>
      <c r="AK2237" s="2">
        <f t="shared" si="312"/>
        <v>34</v>
      </c>
      <c r="AL2237" s="5">
        <f t="shared" si="315"/>
        <v>0.24285714285714285</v>
      </c>
    </row>
    <row r="2238" spans="1:38" x14ac:dyDescent="0.2">
      <c r="A2238" s="2">
        <v>2025</v>
      </c>
      <c r="B2238" s="2">
        <v>11</v>
      </c>
      <c r="D2238" s="2" t="s">
        <v>894</v>
      </c>
      <c r="P2238" s="2" t="s">
        <v>72</v>
      </c>
      <c r="Q2238" s="2" t="s">
        <v>832</v>
      </c>
      <c r="R2238" s="2" t="s">
        <v>74</v>
      </c>
      <c r="S2238" s="2">
        <v>1</v>
      </c>
      <c r="T2238" s="2">
        <v>220</v>
      </c>
      <c r="U2238" s="2">
        <v>50.6</v>
      </c>
      <c r="V2238" s="2">
        <v>270.60000000000002</v>
      </c>
      <c r="W2238" s="2">
        <v>120.636</v>
      </c>
      <c r="X2238" s="5">
        <f t="shared" si="314"/>
        <v>0.45165454545454548</v>
      </c>
      <c r="Z2238" s="2" t="s">
        <v>3227</v>
      </c>
      <c r="AA2238" s="2" t="s">
        <v>75</v>
      </c>
      <c r="AB2238" s="2" t="s">
        <v>76</v>
      </c>
      <c r="AC2238" s="2" t="s">
        <v>77</v>
      </c>
      <c r="AF2238" s="2">
        <f t="shared" si="306"/>
        <v>0</v>
      </c>
      <c r="AG2238" s="2">
        <v>120.636</v>
      </c>
      <c r="AH2238" s="2">
        <v>220</v>
      </c>
      <c r="AJ2238" s="2">
        <f t="shared" si="307"/>
        <v>0</v>
      </c>
      <c r="AK2238" s="2">
        <f t="shared" si="312"/>
        <v>99.364000000000004</v>
      </c>
      <c r="AL2238" s="5">
        <f t="shared" si="315"/>
        <v>0.45165454545454548</v>
      </c>
    </row>
    <row r="2239" spans="1:38" x14ac:dyDescent="0.2">
      <c r="A2239" s="2">
        <v>2025</v>
      </c>
      <c r="B2239" s="2">
        <v>11</v>
      </c>
      <c r="D2239" s="2" t="s">
        <v>894</v>
      </c>
      <c r="P2239" s="2" t="s">
        <v>93</v>
      </c>
      <c r="Q2239" s="2" t="s">
        <v>94</v>
      </c>
      <c r="R2239" s="2" t="s">
        <v>95</v>
      </c>
      <c r="S2239" s="2">
        <v>1</v>
      </c>
      <c r="T2239" s="2">
        <v>1.1399999999999999</v>
      </c>
      <c r="U2239" s="2">
        <v>0.26219999999999999</v>
      </c>
      <c r="V2239" s="2">
        <v>1.4021999999999999</v>
      </c>
      <c r="W2239" s="2">
        <v>1.1399999999999999</v>
      </c>
      <c r="X2239" s="5">
        <f t="shared" si="314"/>
        <v>0</v>
      </c>
      <c r="Z2239" s="2" t="s">
        <v>3227</v>
      </c>
      <c r="AA2239" s="2" t="s">
        <v>96</v>
      </c>
      <c r="AB2239" s="2" t="s">
        <v>76</v>
      </c>
      <c r="AC2239" s="2" t="s">
        <v>93</v>
      </c>
      <c r="AF2239" s="2">
        <f t="shared" si="306"/>
        <v>0</v>
      </c>
      <c r="AJ2239" s="2">
        <f t="shared" si="307"/>
        <v>0</v>
      </c>
      <c r="AK2239" s="2">
        <f t="shared" si="312"/>
        <v>0</v>
      </c>
      <c r="AL2239" s="5">
        <f t="shared" si="315"/>
        <v>0</v>
      </c>
    </row>
    <row r="2240" spans="1:38" x14ac:dyDescent="0.2">
      <c r="A2240" s="2">
        <v>2025</v>
      </c>
      <c r="B2240" s="2">
        <v>11</v>
      </c>
      <c r="D2240" s="2" t="s">
        <v>1092</v>
      </c>
      <c r="P2240" s="2" t="s">
        <v>43</v>
      </c>
      <c r="Q2240" s="2" t="s">
        <v>204</v>
      </c>
      <c r="R2240" s="2" t="s">
        <v>205</v>
      </c>
      <c r="S2240" s="2">
        <v>4</v>
      </c>
      <c r="T2240" s="2">
        <v>9.6</v>
      </c>
      <c r="U2240" s="2">
        <v>2.2080000000000002</v>
      </c>
      <c r="V2240" s="2">
        <v>11.808</v>
      </c>
      <c r="W2240" s="2">
        <f>1.832*S2240</f>
        <v>7.3280000000000003</v>
      </c>
      <c r="X2240" s="5">
        <f t="shared" si="314"/>
        <v>0.23666666666666661</v>
      </c>
      <c r="Z2240" s="2" t="s">
        <v>3227</v>
      </c>
      <c r="AA2240" s="2" t="s">
        <v>46</v>
      </c>
      <c r="AB2240" s="2" t="s">
        <v>60</v>
      </c>
      <c r="AC2240" s="2" t="s">
        <v>57</v>
      </c>
      <c r="AF2240" s="2">
        <f t="shared" si="306"/>
        <v>0</v>
      </c>
      <c r="AG2240" s="2">
        <v>1.8320000000000001</v>
      </c>
      <c r="AH2240" s="2">
        <v>2.4</v>
      </c>
      <c r="AJ2240" s="2">
        <f t="shared" si="307"/>
        <v>0</v>
      </c>
      <c r="AK2240" s="2">
        <f t="shared" si="312"/>
        <v>2.2719999999999994</v>
      </c>
      <c r="AL2240" s="5">
        <f t="shared" si="315"/>
        <v>0.23666666666666661</v>
      </c>
    </row>
    <row r="2241" spans="1:38" x14ac:dyDescent="0.2">
      <c r="A2241" s="2">
        <v>2025</v>
      </c>
      <c r="B2241" s="2">
        <v>11</v>
      </c>
      <c r="D2241" s="2" t="s">
        <v>1092</v>
      </c>
      <c r="P2241" s="2" t="s">
        <v>84</v>
      </c>
      <c r="Q2241" s="2" t="s">
        <v>2067</v>
      </c>
      <c r="R2241" s="2" t="s">
        <v>2068</v>
      </c>
      <c r="S2241" s="2">
        <v>1</v>
      </c>
      <c r="T2241" s="2">
        <v>9.8000000000000007</v>
      </c>
      <c r="U2241" s="2">
        <v>2.254</v>
      </c>
      <c r="V2241" s="2">
        <v>12.054</v>
      </c>
      <c r="X2241" s="5">
        <f t="shared" si="314"/>
        <v>1</v>
      </c>
      <c r="Z2241" s="2" t="s">
        <v>3227</v>
      </c>
      <c r="AA2241" s="2" t="s">
        <v>87</v>
      </c>
      <c r="AB2241" s="2" t="s">
        <v>90</v>
      </c>
      <c r="AC2241" s="2" t="s">
        <v>84</v>
      </c>
      <c r="AF2241" s="2">
        <f t="shared" si="306"/>
        <v>0</v>
      </c>
      <c r="AJ2241" s="2">
        <f t="shared" si="307"/>
        <v>0</v>
      </c>
      <c r="AK2241" s="2">
        <f t="shared" si="312"/>
        <v>9.8000000000000007</v>
      </c>
      <c r="AL2241" s="5">
        <f t="shared" si="315"/>
        <v>1</v>
      </c>
    </row>
    <row r="2242" spans="1:38" x14ac:dyDescent="0.2">
      <c r="A2242" s="2">
        <v>2025</v>
      </c>
      <c r="B2242" s="2">
        <v>11</v>
      </c>
      <c r="D2242" s="2" t="s">
        <v>1290</v>
      </c>
      <c r="P2242" s="2" t="s">
        <v>114</v>
      </c>
      <c r="Q2242" s="2" t="s">
        <v>1214</v>
      </c>
      <c r="R2242" s="2" t="s">
        <v>1215</v>
      </c>
      <c r="S2242" s="2">
        <v>1</v>
      </c>
      <c r="T2242" s="2">
        <v>49.71</v>
      </c>
      <c r="U2242" s="2">
        <v>11.433299999999999</v>
      </c>
      <c r="V2242" s="2">
        <v>61.143300000000004</v>
      </c>
      <c r="X2242" s="5">
        <f t="shared" si="314"/>
        <v>1</v>
      </c>
      <c r="AF2242" s="2">
        <f t="shared" ref="AF2242:AF2305" si="316">AJ2242</f>
        <v>0</v>
      </c>
      <c r="AJ2242" s="2">
        <f t="shared" ref="AJ2242:AJ2305" si="317">AI2242*T2242</f>
        <v>0</v>
      </c>
      <c r="AK2242" s="2">
        <f t="shared" si="312"/>
        <v>49.71</v>
      </c>
      <c r="AL2242" s="5">
        <f t="shared" si="315"/>
        <v>1</v>
      </c>
    </row>
    <row r="2243" spans="1:38" x14ac:dyDescent="0.2">
      <c r="A2243" s="2">
        <v>2025</v>
      </c>
      <c r="B2243" s="2">
        <v>11</v>
      </c>
      <c r="D2243" s="2" t="s">
        <v>1290</v>
      </c>
      <c r="P2243" s="2" t="s">
        <v>68</v>
      </c>
      <c r="Q2243" s="2" t="s">
        <v>2069</v>
      </c>
      <c r="R2243" s="2" t="s">
        <v>2070</v>
      </c>
      <c r="S2243" s="2">
        <v>1</v>
      </c>
      <c r="T2243" s="2">
        <v>2700</v>
      </c>
      <c r="U2243" s="2">
        <v>621</v>
      </c>
      <c r="V2243" s="2">
        <v>3321</v>
      </c>
      <c r="X2243" s="5">
        <f t="shared" si="314"/>
        <v>1</v>
      </c>
      <c r="Z2243" s="2" t="s">
        <v>104</v>
      </c>
      <c r="AC2243" s="2" t="s">
        <v>3231</v>
      </c>
      <c r="AF2243" s="2">
        <f t="shared" si="316"/>
        <v>0</v>
      </c>
      <c r="AJ2243" s="2">
        <f t="shared" si="317"/>
        <v>0</v>
      </c>
      <c r="AK2243" s="2">
        <f t="shared" si="312"/>
        <v>2700</v>
      </c>
      <c r="AL2243" s="5">
        <f t="shared" si="315"/>
        <v>1</v>
      </c>
    </row>
    <row r="2244" spans="1:38" x14ac:dyDescent="0.2">
      <c r="A2244" s="2">
        <v>2025</v>
      </c>
      <c r="B2244" s="2">
        <v>11</v>
      </c>
      <c r="D2244" s="2" t="s">
        <v>1942</v>
      </c>
      <c r="M2244" s="2" t="s">
        <v>40</v>
      </c>
      <c r="P2244" s="2" t="s">
        <v>114</v>
      </c>
      <c r="Q2244" s="2" t="s">
        <v>373</v>
      </c>
      <c r="R2244" s="2" t="s">
        <v>374</v>
      </c>
      <c r="S2244" s="2">
        <v>1</v>
      </c>
      <c r="T2244" s="2">
        <v>41.96</v>
      </c>
      <c r="U2244" s="2">
        <v>9.6508000000000003</v>
      </c>
      <c r="V2244" s="2">
        <v>51.610799999999998</v>
      </c>
      <c r="W2244" s="2">
        <f>23.042*S2244</f>
        <v>23.042000000000002</v>
      </c>
      <c r="X2244" s="5">
        <f t="shared" si="314"/>
        <v>0.45085795996186839</v>
      </c>
      <c r="Z2244" s="2" t="s">
        <v>117</v>
      </c>
      <c r="AA2244" s="2" t="s">
        <v>118</v>
      </c>
      <c r="AB2244" s="2" t="s">
        <v>119</v>
      </c>
      <c r="AC2244" s="2" t="s">
        <v>114</v>
      </c>
      <c r="AF2244" s="2">
        <f t="shared" si="316"/>
        <v>0</v>
      </c>
      <c r="AJ2244" s="2">
        <f t="shared" si="317"/>
        <v>0</v>
      </c>
      <c r="AK2244" s="2">
        <f t="shared" si="312"/>
        <v>18.917999999999999</v>
      </c>
      <c r="AL2244" s="5">
        <f t="shared" si="315"/>
        <v>0.45085795996186839</v>
      </c>
    </row>
    <row r="2245" spans="1:38" x14ac:dyDescent="0.2">
      <c r="A2245" s="2">
        <v>2025</v>
      </c>
      <c r="B2245" s="2">
        <v>11</v>
      </c>
      <c r="D2245" s="2" t="s">
        <v>1942</v>
      </c>
      <c r="P2245" s="2" t="s">
        <v>114</v>
      </c>
      <c r="Q2245" s="2" t="s">
        <v>1332</v>
      </c>
      <c r="R2245" s="2" t="s">
        <v>1333</v>
      </c>
      <c r="S2245" s="2">
        <v>1</v>
      </c>
      <c r="T2245" s="2">
        <v>60.1</v>
      </c>
      <c r="U2245" s="2">
        <v>13.823</v>
      </c>
      <c r="V2245" s="2">
        <v>73.923000000000002</v>
      </c>
      <c r="X2245" s="5">
        <f t="shared" si="314"/>
        <v>1</v>
      </c>
      <c r="Z2245" s="2" t="s">
        <v>117</v>
      </c>
      <c r="AF2245" s="2">
        <f t="shared" si="316"/>
        <v>0</v>
      </c>
      <c r="AJ2245" s="2">
        <f t="shared" si="317"/>
        <v>0</v>
      </c>
      <c r="AK2245" s="2">
        <f t="shared" si="312"/>
        <v>60.1</v>
      </c>
      <c r="AL2245" s="5">
        <f t="shared" si="315"/>
        <v>1</v>
      </c>
    </row>
    <row r="2246" spans="1:38" x14ac:dyDescent="0.2">
      <c r="A2246" s="2">
        <v>2025</v>
      </c>
      <c r="B2246" s="2">
        <v>11</v>
      </c>
      <c r="D2246" s="2" t="s">
        <v>574</v>
      </c>
      <c r="E2246" s="2" t="s">
        <v>38</v>
      </c>
      <c r="F2246" s="2" t="s">
        <v>39</v>
      </c>
      <c r="G2246" s="2">
        <v>504811029</v>
      </c>
      <c r="H2246" s="2" t="s">
        <v>41</v>
      </c>
      <c r="I2246" s="2" t="s">
        <v>177</v>
      </c>
      <c r="J2246" s="2" t="s">
        <v>575</v>
      </c>
      <c r="L2246" s="2" t="s">
        <v>177</v>
      </c>
      <c r="M2246" s="2" t="s">
        <v>41</v>
      </c>
      <c r="P2246" s="2" t="s">
        <v>43</v>
      </c>
      <c r="Q2246" s="2" t="s">
        <v>61</v>
      </c>
      <c r="R2246" s="2" t="s">
        <v>62</v>
      </c>
      <c r="S2246" s="2">
        <v>1000</v>
      </c>
      <c r="T2246" s="2">
        <v>105</v>
      </c>
      <c r="U2246" s="2">
        <v>24.15</v>
      </c>
      <c r="V2246" s="2">
        <v>129.15</v>
      </c>
      <c r="W2246" s="2">
        <f>0.082*S2246</f>
        <v>82</v>
      </c>
      <c r="X2246" s="5">
        <f t="shared" si="314"/>
        <v>0.21904761904761905</v>
      </c>
      <c r="Z2246" s="2" t="s">
        <v>3227</v>
      </c>
      <c r="AA2246" s="2" t="s">
        <v>46</v>
      </c>
      <c r="AB2246" s="2" t="s">
        <v>60</v>
      </c>
      <c r="AC2246" s="2" t="s">
        <v>57</v>
      </c>
      <c r="AF2246" s="2">
        <f t="shared" si="316"/>
        <v>0</v>
      </c>
      <c r="AG2246" s="2">
        <v>8.1999999999999993</v>
      </c>
      <c r="AH2246" s="2">
        <v>13</v>
      </c>
      <c r="AJ2246" s="2">
        <f t="shared" si="317"/>
        <v>0</v>
      </c>
      <c r="AK2246" s="2">
        <f t="shared" si="312"/>
        <v>23</v>
      </c>
      <c r="AL2246" s="5">
        <f t="shared" si="315"/>
        <v>0.21904761904761905</v>
      </c>
    </row>
    <row r="2247" spans="1:38" x14ac:dyDescent="0.2">
      <c r="A2247" s="2">
        <v>2025</v>
      </c>
      <c r="B2247" s="2">
        <v>11</v>
      </c>
      <c r="D2247" s="2" t="s">
        <v>581</v>
      </c>
      <c r="E2247" s="2" t="s">
        <v>38</v>
      </c>
      <c r="F2247" s="2" t="s">
        <v>39</v>
      </c>
      <c r="G2247" s="2">
        <v>518281272</v>
      </c>
      <c r="H2247" s="2" t="s">
        <v>41</v>
      </c>
      <c r="I2247" s="2" t="s">
        <v>1101</v>
      </c>
      <c r="J2247" s="2" t="s">
        <v>1102</v>
      </c>
      <c r="L2247" s="2" t="s">
        <v>177</v>
      </c>
      <c r="M2247" s="2" t="s">
        <v>41</v>
      </c>
      <c r="P2247" s="2" t="s">
        <v>43</v>
      </c>
      <c r="Q2247" s="2" t="s">
        <v>63</v>
      </c>
      <c r="R2247" s="2" t="s">
        <v>64</v>
      </c>
      <c r="S2247" s="2">
        <v>20</v>
      </c>
      <c r="T2247" s="2">
        <v>36</v>
      </c>
      <c r="U2247" s="2">
        <v>8.2800000000000011</v>
      </c>
      <c r="V2247" s="2">
        <v>44.28</v>
      </c>
      <c r="W2247" s="2">
        <f>0.8561*S2247</f>
        <v>17.122</v>
      </c>
      <c r="X2247" s="5">
        <f t="shared" si="314"/>
        <v>0.5243888888888889</v>
      </c>
      <c r="Z2247" s="2" t="s">
        <v>3227</v>
      </c>
      <c r="AA2247" s="2" t="s">
        <v>46</v>
      </c>
      <c r="AB2247" s="2" t="s">
        <v>60</v>
      </c>
      <c r="AC2247" s="2" t="s">
        <v>57</v>
      </c>
      <c r="AF2247" s="2">
        <f t="shared" si="316"/>
        <v>0</v>
      </c>
      <c r="AG2247" s="2">
        <v>0.85609999999999997</v>
      </c>
      <c r="AH2247" s="2">
        <v>1.8</v>
      </c>
      <c r="AJ2247" s="2">
        <f t="shared" si="317"/>
        <v>0</v>
      </c>
      <c r="AK2247" s="2">
        <f t="shared" si="312"/>
        <v>18.878</v>
      </c>
      <c r="AL2247" s="5">
        <f t="shared" si="315"/>
        <v>0.5243888888888889</v>
      </c>
    </row>
    <row r="2248" spans="1:38" x14ac:dyDescent="0.2">
      <c r="A2248" s="2">
        <v>2025</v>
      </c>
      <c r="B2248" s="2">
        <v>11</v>
      </c>
      <c r="D2248" s="2" t="s">
        <v>581</v>
      </c>
      <c r="E2248" s="2" t="s">
        <v>38</v>
      </c>
      <c r="F2248" s="2" t="s">
        <v>39</v>
      </c>
      <c r="G2248" s="2">
        <v>518281272</v>
      </c>
      <c r="H2248" s="2" t="s">
        <v>41</v>
      </c>
      <c r="I2248" s="2" t="s">
        <v>1101</v>
      </c>
      <c r="J2248" s="2" t="s">
        <v>1102</v>
      </c>
      <c r="L2248" s="2" t="s">
        <v>177</v>
      </c>
      <c r="M2248" s="2" t="s">
        <v>41</v>
      </c>
      <c r="P2248" s="2" t="s">
        <v>43</v>
      </c>
      <c r="Q2248" s="2" t="s">
        <v>503</v>
      </c>
      <c r="R2248" s="2" t="s">
        <v>504</v>
      </c>
      <c r="S2248" s="2">
        <v>12</v>
      </c>
      <c r="T2248" s="2">
        <v>10.8</v>
      </c>
      <c r="U2248" s="2">
        <v>2.484</v>
      </c>
      <c r="V2248" s="2">
        <v>13.284000000000001</v>
      </c>
      <c r="W2248" s="2">
        <f>0.4795*S2248</f>
        <v>5.7539999999999996</v>
      </c>
      <c r="X2248" s="5">
        <f t="shared" si="314"/>
        <v>0.46722222222222232</v>
      </c>
      <c r="Z2248" s="2" t="s">
        <v>3227</v>
      </c>
      <c r="AA2248" s="2" t="s">
        <v>46</v>
      </c>
      <c r="AB2248" s="2" t="s">
        <v>60</v>
      </c>
      <c r="AC2248" s="2" t="s">
        <v>57</v>
      </c>
      <c r="AF2248" s="2">
        <f t="shared" si="316"/>
        <v>0</v>
      </c>
      <c r="AJ2248" s="2">
        <f t="shared" si="317"/>
        <v>0</v>
      </c>
      <c r="AK2248" s="2">
        <f t="shared" si="312"/>
        <v>5.0460000000000012</v>
      </c>
      <c r="AL2248" s="5">
        <f t="shared" si="315"/>
        <v>0.46722222222222232</v>
      </c>
    </row>
    <row r="2249" spans="1:38" x14ac:dyDescent="0.2">
      <c r="A2249" s="2">
        <v>2025</v>
      </c>
      <c r="B2249" s="2">
        <v>11</v>
      </c>
      <c r="D2249" s="2" t="s">
        <v>2071</v>
      </c>
      <c r="P2249" s="2" t="s">
        <v>114</v>
      </c>
      <c r="Q2249" s="2" t="s">
        <v>1885</v>
      </c>
      <c r="R2249" s="2" t="s">
        <v>1886</v>
      </c>
      <c r="S2249" s="2">
        <v>1</v>
      </c>
      <c r="T2249" s="2">
        <v>6670</v>
      </c>
      <c r="U2249" s="2">
        <v>1534.1</v>
      </c>
      <c r="V2249" s="2">
        <v>8204.1</v>
      </c>
      <c r="X2249" s="5">
        <f t="shared" si="314"/>
        <v>1</v>
      </c>
      <c r="Z2249" s="2" t="s">
        <v>104</v>
      </c>
      <c r="AF2249" s="2">
        <f t="shared" si="316"/>
        <v>0</v>
      </c>
      <c r="AJ2249" s="2">
        <f t="shared" si="317"/>
        <v>0</v>
      </c>
      <c r="AK2249" s="2">
        <f t="shared" si="312"/>
        <v>6670</v>
      </c>
      <c r="AL2249" s="5">
        <f t="shared" si="315"/>
        <v>1</v>
      </c>
    </row>
    <row r="2250" spans="1:38" x14ac:dyDescent="0.2">
      <c r="A2250" s="2">
        <v>2025</v>
      </c>
      <c r="B2250" s="2">
        <v>11</v>
      </c>
      <c r="D2250" s="2" t="s">
        <v>582</v>
      </c>
      <c r="E2250" s="2" t="s">
        <v>108</v>
      </c>
      <c r="G2250" s="2">
        <v>503850276</v>
      </c>
      <c r="H2250" s="2" t="s">
        <v>40</v>
      </c>
      <c r="I2250" s="2" t="s">
        <v>583</v>
      </c>
      <c r="J2250" s="2" t="s">
        <v>584</v>
      </c>
      <c r="L2250" s="2" t="s">
        <v>201</v>
      </c>
      <c r="M2250" s="2" t="s">
        <v>80</v>
      </c>
      <c r="P2250" s="2" t="s">
        <v>72</v>
      </c>
      <c r="Q2250" s="2" t="s">
        <v>1075</v>
      </c>
      <c r="R2250" s="2" t="s">
        <v>83</v>
      </c>
      <c r="S2250" s="2">
        <v>1</v>
      </c>
      <c r="T2250" s="2">
        <v>248.4</v>
      </c>
      <c r="U2250" s="2">
        <v>57.132000000000012</v>
      </c>
      <c r="V2250" s="2">
        <v>305.53199999999998</v>
      </c>
      <c r="W2250" s="2">
        <v>159.54</v>
      </c>
      <c r="X2250" s="5">
        <f t="shared" si="314"/>
        <v>0.35772946859903387</v>
      </c>
      <c r="Z2250" s="2" t="s">
        <v>3227</v>
      </c>
      <c r="AA2250" s="2" t="s">
        <v>75</v>
      </c>
      <c r="AB2250" s="2" t="s">
        <v>76</v>
      </c>
      <c r="AC2250" s="2" t="s">
        <v>77</v>
      </c>
      <c r="AF2250" s="2">
        <f t="shared" si="316"/>
        <v>0</v>
      </c>
      <c r="AG2250" s="2">
        <f>144.14+15.4</f>
        <v>159.54</v>
      </c>
      <c r="AH2250" s="2">
        <v>280</v>
      </c>
      <c r="AJ2250" s="2">
        <f t="shared" si="317"/>
        <v>0</v>
      </c>
      <c r="AK2250" s="2">
        <f t="shared" si="312"/>
        <v>88.860000000000014</v>
      </c>
      <c r="AL2250" s="5">
        <f t="shared" si="315"/>
        <v>0.35772946859903387</v>
      </c>
    </row>
    <row r="2251" spans="1:38" x14ac:dyDescent="0.2">
      <c r="A2251" s="2">
        <v>2025</v>
      </c>
      <c r="B2251" s="2">
        <v>11</v>
      </c>
      <c r="D2251" s="2" t="s">
        <v>582</v>
      </c>
      <c r="E2251" s="2" t="s">
        <v>108</v>
      </c>
      <c r="G2251" s="2">
        <v>503850276</v>
      </c>
      <c r="H2251" s="2" t="s">
        <v>40</v>
      </c>
      <c r="I2251" s="2" t="s">
        <v>583</v>
      </c>
      <c r="J2251" s="2" t="s">
        <v>584</v>
      </c>
      <c r="L2251" s="2" t="s">
        <v>201</v>
      </c>
      <c r="M2251" s="2" t="s">
        <v>80</v>
      </c>
      <c r="P2251" s="2" t="s">
        <v>93</v>
      </c>
      <c r="Q2251" s="2" t="s">
        <v>94</v>
      </c>
      <c r="R2251" s="2" t="s">
        <v>95</v>
      </c>
      <c r="S2251" s="2">
        <v>1</v>
      </c>
      <c r="T2251" s="2">
        <v>1.1399999999999999</v>
      </c>
      <c r="U2251" s="2">
        <v>0.26219999999999999</v>
      </c>
      <c r="V2251" s="2">
        <v>1.4021999999999999</v>
      </c>
      <c r="W2251" s="2">
        <v>1.1399999999999999</v>
      </c>
      <c r="X2251" s="5">
        <f t="shared" si="314"/>
        <v>0</v>
      </c>
      <c r="Z2251" s="2" t="s">
        <v>3227</v>
      </c>
      <c r="AA2251" s="2" t="s">
        <v>96</v>
      </c>
      <c r="AB2251" s="2" t="s">
        <v>76</v>
      </c>
      <c r="AC2251" s="2" t="s">
        <v>93</v>
      </c>
      <c r="AF2251" s="2">
        <f t="shared" si="316"/>
        <v>0</v>
      </c>
      <c r="AJ2251" s="2">
        <f t="shared" si="317"/>
        <v>0</v>
      </c>
      <c r="AK2251" s="2">
        <f t="shared" si="312"/>
        <v>0</v>
      </c>
      <c r="AL2251" s="5">
        <f t="shared" si="315"/>
        <v>0</v>
      </c>
    </row>
    <row r="2252" spans="1:38" x14ac:dyDescent="0.2">
      <c r="A2252" s="2">
        <v>2025</v>
      </c>
      <c r="B2252" s="2">
        <v>11</v>
      </c>
      <c r="D2252" s="2" t="s">
        <v>588</v>
      </c>
      <c r="E2252" s="2" t="s">
        <v>38</v>
      </c>
      <c r="F2252" s="2" t="s">
        <v>39</v>
      </c>
      <c r="G2252" s="2">
        <v>510339298</v>
      </c>
      <c r="H2252" s="2" t="s">
        <v>41</v>
      </c>
      <c r="I2252" s="2" t="s">
        <v>177</v>
      </c>
      <c r="J2252" s="2" t="s">
        <v>589</v>
      </c>
      <c r="L2252" s="2" t="s">
        <v>177</v>
      </c>
      <c r="M2252" s="2" t="s">
        <v>40</v>
      </c>
      <c r="P2252" s="2" t="s">
        <v>114</v>
      </c>
      <c r="Q2252" s="2" t="s">
        <v>373</v>
      </c>
      <c r="R2252" s="2" t="s">
        <v>374</v>
      </c>
      <c r="S2252" s="2">
        <v>1</v>
      </c>
      <c r="T2252" s="2">
        <v>48.95</v>
      </c>
      <c r="U2252" s="2">
        <v>11.2585</v>
      </c>
      <c r="V2252" s="2">
        <v>60.208500000000001</v>
      </c>
      <c r="W2252" s="2">
        <f>23.042*S2252</f>
        <v>23.042000000000002</v>
      </c>
      <c r="X2252" s="5">
        <f t="shared" si="314"/>
        <v>0.52927477017364655</v>
      </c>
      <c r="Z2252" s="2" t="s">
        <v>117</v>
      </c>
      <c r="AA2252" s="2" t="s">
        <v>118</v>
      </c>
      <c r="AB2252" s="2" t="s">
        <v>119</v>
      </c>
      <c r="AC2252" s="2" t="s">
        <v>114</v>
      </c>
      <c r="AF2252" s="2">
        <f t="shared" si="316"/>
        <v>0</v>
      </c>
      <c r="AJ2252" s="2">
        <f t="shared" si="317"/>
        <v>0</v>
      </c>
      <c r="AK2252" s="2">
        <f t="shared" si="312"/>
        <v>25.908000000000001</v>
      </c>
      <c r="AL2252" s="5">
        <f t="shared" si="315"/>
        <v>0.52927477017364655</v>
      </c>
    </row>
    <row r="2253" spans="1:38" x14ac:dyDescent="0.2">
      <c r="A2253" s="2">
        <v>2025</v>
      </c>
      <c r="B2253" s="2">
        <v>11</v>
      </c>
      <c r="D2253" s="2" t="s">
        <v>588</v>
      </c>
      <c r="E2253" s="2" t="s">
        <v>38</v>
      </c>
      <c r="F2253" s="2" t="s">
        <v>39</v>
      </c>
      <c r="G2253" s="2">
        <v>510339298</v>
      </c>
      <c r="H2253" s="2" t="s">
        <v>41</v>
      </c>
      <c r="I2253" s="2" t="s">
        <v>177</v>
      </c>
      <c r="J2253" s="2" t="s">
        <v>589</v>
      </c>
      <c r="L2253" s="2" t="s">
        <v>177</v>
      </c>
      <c r="M2253" s="2" t="s">
        <v>41</v>
      </c>
      <c r="P2253" s="2" t="s">
        <v>43</v>
      </c>
      <c r="Q2253" s="2" t="s">
        <v>52</v>
      </c>
      <c r="R2253" s="2" t="s">
        <v>53</v>
      </c>
      <c r="S2253" s="2">
        <v>1</v>
      </c>
      <c r="T2253" s="2">
        <v>9.6</v>
      </c>
      <c r="U2253" s="2">
        <v>2.2080000000000002</v>
      </c>
      <c r="V2253" s="2">
        <v>11.808</v>
      </c>
      <c r="W2253" s="2">
        <f>5.2973*S2253</f>
        <v>5.2972999999999999</v>
      </c>
      <c r="X2253" s="5">
        <f t="shared" si="314"/>
        <v>0.44819791666666664</v>
      </c>
      <c r="Z2253" s="2" t="s">
        <v>3227</v>
      </c>
      <c r="AA2253" s="2" t="s">
        <v>46</v>
      </c>
      <c r="AB2253" s="2" t="s">
        <v>47</v>
      </c>
      <c r="AC2253" s="2" t="s">
        <v>57</v>
      </c>
      <c r="AF2253" s="2">
        <f t="shared" si="316"/>
        <v>0</v>
      </c>
      <c r="AG2253" s="2">
        <v>5.2972999999999999</v>
      </c>
      <c r="AH2253" s="2">
        <v>10.8</v>
      </c>
      <c r="AJ2253" s="2">
        <f t="shared" si="317"/>
        <v>0</v>
      </c>
      <c r="AK2253" s="2">
        <f t="shared" si="312"/>
        <v>4.3026999999999997</v>
      </c>
      <c r="AL2253" s="5">
        <f t="shared" si="315"/>
        <v>0.44819791666666664</v>
      </c>
    </row>
    <row r="2254" spans="1:38" x14ac:dyDescent="0.2">
      <c r="A2254" s="2">
        <v>2025</v>
      </c>
      <c r="B2254" s="2">
        <v>11</v>
      </c>
      <c r="D2254" s="2" t="s">
        <v>588</v>
      </c>
      <c r="E2254" s="2" t="s">
        <v>38</v>
      </c>
      <c r="F2254" s="2" t="s">
        <v>39</v>
      </c>
      <c r="G2254" s="2">
        <v>510339298</v>
      </c>
      <c r="H2254" s="2" t="s">
        <v>41</v>
      </c>
      <c r="I2254" s="2" t="s">
        <v>177</v>
      </c>
      <c r="J2254" s="2" t="s">
        <v>589</v>
      </c>
      <c r="L2254" s="2" t="s">
        <v>177</v>
      </c>
      <c r="M2254" s="2" t="s">
        <v>41</v>
      </c>
      <c r="P2254" s="2" t="s">
        <v>43</v>
      </c>
      <c r="Q2254" s="2" t="s">
        <v>54</v>
      </c>
      <c r="R2254" s="2" t="s">
        <v>55</v>
      </c>
      <c r="S2254" s="2">
        <v>10</v>
      </c>
      <c r="T2254" s="2">
        <v>140</v>
      </c>
      <c r="U2254" s="2">
        <v>32.200000000000003</v>
      </c>
      <c r="V2254" s="2">
        <v>172.2</v>
      </c>
      <c r="W2254" s="2">
        <f>10.6*S2254</f>
        <v>106</v>
      </c>
      <c r="X2254" s="5">
        <f t="shared" si="314"/>
        <v>0.24285714285714285</v>
      </c>
      <c r="Z2254" s="2" t="s">
        <v>3227</v>
      </c>
      <c r="AA2254" s="2" t="s">
        <v>46</v>
      </c>
      <c r="AB2254" s="2" t="s">
        <v>56</v>
      </c>
      <c r="AC2254" s="2" t="s">
        <v>57</v>
      </c>
      <c r="AF2254" s="2">
        <f t="shared" si="316"/>
        <v>0</v>
      </c>
      <c r="AG2254" s="2">
        <v>10.6</v>
      </c>
      <c r="AH2254" s="2">
        <v>18</v>
      </c>
      <c r="AJ2254" s="2">
        <f t="shared" si="317"/>
        <v>0</v>
      </c>
      <c r="AK2254" s="2">
        <f t="shared" si="312"/>
        <v>34</v>
      </c>
      <c r="AL2254" s="5">
        <f t="shared" si="315"/>
        <v>0.24285714285714285</v>
      </c>
    </row>
    <row r="2255" spans="1:38" x14ac:dyDescent="0.2">
      <c r="A2255" s="2">
        <v>2025</v>
      </c>
      <c r="B2255" s="2">
        <v>11</v>
      </c>
      <c r="D2255" s="2" t="s">
        <v>2072</v>
      </c>
      <c r="P2255" s="2" t="s">
        <v>282</v>
      </c>
      <c r="Q2255" s="2" t="s">
        <v>1779</v>
      </c>
      <c r="R2255" s="2" t="s">
        <v>1780</v>
      </c>
      <c r="S2255" s="2">
        <v>1</v>
      </c>
      <c r="T2255" s="2">
        <v>2190</v>
      </c>
      <c r="U2255" s="2">
        <v>503.7</v>
      </c>
      <c r="V2255" s="2">
        <v>2693.7</v>
      </c>
      <c r="X2255" s="5">
        <f t="shared" si="314"/>
        <v>1</v>
      </c>
      <c r="Z2255" s="2" t="s">
        <v>104</v>
      </c>
      <c r="AF2255" s="2">
        <f t="shared" si="316"/>
        <v>0</v>
      </c>
      <c r="AJ2255" s="2">
        <f t="shared" si="317"/>
        <v>0</v>
      </c>
      <c r="AK2255" s="2">
        <f t="shared" si="312"/>
        <v>2190</v>
      </c>
      <c r="AL2255" s="5">
        <f t="shared" si="315"/>
        <v>1</v>
      </c>
    </row>
    <row r="2256" spans="1:38" x14ac:dyDescent="0.2">
      <c r="A2256" s="2">
        <v>2025</v>
      </c>
      <c r="B2256" s="2">
        <v>11</v>
      </c>
      <c r="D2256" s="2" t="s">
        <v>898</v>
      </c>
      <c r="E2256" s="2" t="s">
        <v>108</v>
      </c>
      <c r="F2256" s="2" t="s">
        <v>39</v>
      </c>
      <c r="H2256" s="2" t="s">
        <v>40</v>
      </c>
      <c r="I2256" s="2" t="s">
        <v>156</v>
      </c>
      <c r="J2256" s="2" t="s">
        <v>899</v>
      </c>
      <c r="K2256" s="2">
        <v>912047019</v>
      </c>
      <c r="L2256" s="2" t="s">
        <v>99</v>
      </c>
      <c r="M2256" s="2" t="s">
        <v>80</v>
      </c>
      <c r="O2256" s="2" t="s">
        <v>2073</v>
      </c>
      <c r="P2256" s="2" t="s">
        <v>43</v>
      </c>
      <c r="Q2256" s="2" t="s">
        <v>54</v>
      </c>
      <c r="R2256" s="2" t="s">
        <v>55</v>
      </c>
      <c r="S2256" s="2">
        <v>10</v>
      </c>
      <c r="T2256" s="2">
        <v>140</v>
      </c>
      <c r="U2256" s="2">
        <v>32.200000000000003</v>
      </c>
      <c r="V2256" s="2">
        <v>172.2</v>
      </c>
      <c r="W2256" s="2">
        <f>10.6*S2256</f>
        <v>106</v>
      </c>
      <c r="X2256" s="5">
        <f t="shared" si="314"/>
        <v>0.24285714285714285</v>
      </c>
      <c r="Z2256" s="2" t="s">
        <v>3227</v>
      </c>
      <c r="AA2256" s="2" t="s">
        <v>46</v>
      </c>
      <c r="AB2256" s="2" t="s">
        <v>56</v>
      </c>
      <c r="AC2256" s="2" t="s">
        <v>57</v>
      </c>
      <c r="AF2256" s="2">
        <f t="shared" si="316"/>
        <v>0</v>
      </c>
      <c r="AG2256" s="2">
        <v>10.6</v>
      </c>
      <c r="AH2256" s="2">
        <v>18</v>
      </c>
      <c r="AJ2256" s="2">
        <f t="shared" si="317"/>
        <v>0</v>
      </c>
      <c r="AK2256" s="2">
        <f t="shared" si="312"/>
        <v>34</v>
      </c>
      <c r="AL2256" s="5">
        <f t="shared" si="315"/>
        <v>0.24285714285714285</v>
      </c>
    </row>
    <row r="2257" spans="1:38" x14ac:dyDescent="0.2">
      <c r="A2257" s="2">
        <v>2025</v>
      </c>
      <c r="B2257" s="2">
        <v>11</v>
      </c>
      <c r="D2257" s="2" t="s">
        <v>898</v>
      </c>
      <c r="E2257" s="2" t="s">
        <v>108</v>
      </c>
      <c r="F2257" s="2" t="s">
        <v>39</v>
      </c>
      <c r="H2257" s="2" t="s">
        <v>40</v>
      </c>
      <c r="I2257" s="2" t="s">
        <v>156</v>
      </c>
      <c r="J2257" s="2" t="s">
        <v>899</v>
      </c>
      <c r="K2257" s="2">
        <v>912047019</v>
      </c>
      <c r="L2257" s="2" t="s">
        <v>99</v>
      </c>
      <c r="M2257" s="2" t="s">
        <v>80</v>
      </c>
      <c r="O2257" s="2" t="s">
        <v>2073</v>
      </c>
      <c r="P2257" s="2" t="s">
        <v>43</v>
      </c>
      <c r="Q2257" s="2" t="s">
        <v>61</v>
      </c>
      <c r="R2257" s="2" t="s">
        <v>62</v>
      </c>
      <c r="S2257" s="2">
        <v>1000</v>
      </c>
      <c r="T2257" s="2">
        <v>105</v>
      </c>
      <c r="U2257" s="2">
        <v>24.15</v>
      </c>
      <c r="V2257" s="2">
        <v>129.15</v>
      </c>
      <c r="W2257" s="2">
        <f>0.082*S2257</f>
        <v>82</v>
      </c>
      <c r="X2257" s="5">
        <f t="shared" si="314"/>
        <v>0.21904761904761905</v>
      </c>
      <c r="Z2257" s="2" t="s">
        <v>3227</v>
      </c>
      <c r="AA2257" s="2" t="s">
        <v>46</v>
      </c>
      <c r="AB2257" s="2" t="s">
        <v>60</v>
      </c>
      <c r="AC2257" s="2" t="s">
        <v>57</v>
      </c>
      <c r="AF2257" s="2">
        <f t="shared" si="316"/>
        <v>0</v>
      </c>
      <c r="AG2257" s="2">
        <v>8.1999999999999993</v>
      </c>
      <c r="AH2257" s="2">
        <v>13</v>
      </c>
      <c r="AJ2257" s="2">
        <f t="shared" si="317"/>
        <v>0</v>
      </c>
      <c r="AK2257" s="2">
        <f t="shared" si="312"/>
        <v>23</v>
      </c>
      <c r="AL2257" s="5">
        <f t="shared" si="315"/>
        <v>0.21904761904761905</v>
      </c>
    </row>
    <row r="2258" spans="1:38" x14ac:dyDescent="0.2">
      <c r="A2258" s="2">
        <v>2025</v>
      </c>
      <c r="B2258" s="2">
        <v>11</v>
      </c>
      <c r="D2258" s="2" t="s">
        <v>898</v>
      </c>
      <c r="E2258" s="2" t="s">
        <v>108</v>
      </c>
      <c r="F2258" s="2" t="s">
        <v>39</v>
      </c>
      <c r="H2258" s="2" t="s">
        <v>40</v>
      </c>
      <c r="I2258" s="2" t="s">
        <v>156</v>
      </c>
      <c r="J2258" s="2" t="s">
        <v>899</v>
      </c>
      <c r="K2258" s="2">
        <v>912047019</v>
      </c>
      <c r="L2258" s="2" t="s">
        <v>99</v>
      </c>
      <c r="M2258" s="2" t="s">
        <v>80</v>
      </c>
      <c r="O2258" s="2" t="s">
        <v>2073</v>
      </c>
      <c r="P2258" s="2" t="s">
        <v>43</v>
      </c>
      <c r="Q2258" s="2" t="s">
        <v>162</v>
      </c>
      <c r="R2258" s="2" t="s">
        <v>163</v>
      </c>
      <c r="S2258" s="2">
        <v>1</v>
      </c>
      <c r="T2258" s="2">
        <v>21</v>
      </c>
      <c r="U2258" s="2">
        <v>4.83</v>
      </c>
      <c r="V2258" s="2">
        <v>25.83</v>
      </c>
      <c r="W2258" s="2">
        <f>8*S2258</f>
        <v>8</v>
      </c>
      <c r="X2258" s="5">
        <f t="shared" si="314"/>
        <v>0.61904761904761907</v>
      </c>
      <c r="Z2258" s="2" t="s">
        <v>3227</v>
      </c>
      <c r="AA2258" s="2" t="s">
        <v>46</v>
      </c>
      <c r="AB2258" s="2" t="s">
        <v>47</v>
      </c>
      <c r="AC2258" s="2" t="s">
        <v>57</v>
      </c>
      <c r="AF2258" s="2">
        <f t="shared" si="316"/>
        <v>0</v>
      </c>
      <c r="AJ2258" s="2">
        <f t="shared" si="317"/>
        <v>0</v>
      </c>
      <c r="AK2258" s="2">
        <f t="shared" si="312"/>
        <v>13</v>
      </c>
      <c r="AL2258" s="5">
        <f t="shared" si="315"/>
        <v>0.61904761904761907</v>
      </c>
    </row>
    <row r="2259" spans="1:38" x14ac:dyDescent="0.2">
      <c r="A2259" s="2">
        <v>2025</v>
      </c>
      <c r="B2259" s="2">
        <v>11</v>
      </c>
      <c r="D2259" s="2" t="s">
        <v>1295</v>
      </c>
      <c r="E2259" s="2" t="s">
        <v>183</v>
      </c>
      <c r="F2259" s="2" t="s">
        <v>366</v>
      </c>
      <c r="G2259" s="2">
        <v>500625654</v>
      </c>
      <c r="H2259" s="2" t="s">
        <v>290</v>
      </c>
      <c r="I2259" s="2" t="s">
        <v>339</v>
      </c>
      <c r="J2259" s="2" t="s">
        <v>1296</v>
      </c>
      <c r="L2259" s="2" t="s">
        <v>339</v>
      </c>
      <c r="P2259" s="2" t="s">
        <v>72</v>
      </c>
      <c r="Q2259" s="2" t="s">
        <v>1448</v>
      </c>
      <c r="R2259" s="2" t="s">
        <v>381</v>
      </c>
      <c r="S2259" s="2">
        <v>-1</v>
      </c>
      <c r="T2259" s="2">
        <v>-223.1</v>
      </c>
      <c r="U2259" s="2">
        <v>-51.313000000000002</v>
      </c>
      <c r="V2259" s="2">
        <v>-274.41300000000001</v>
      </c>
      <c r="W2259" s="2">
        <v>133.91669999999999</v>
      </c>
      <c r="X2259" s="18">
        <f>SIGN(T2259)*((ABS(T2259)-W2259)/ABS(T2259))</f>
        <v>-0.39974585387718514</v>
      </c>
      <c r="Z2259" s="2" t="s">
        <v>3227</v>
      </c>
      <c r="AA2259" s="2" t="s">
        <v>75</v>
      </c>
      <c r="AB2259" s="2" t="s">
        <v>76</v>
      </c>
      <c r="AC2259" s="2" t="s">
        <v>77</v>
      </c>
      <c r="AF2259" s="2">
        <f t="shared" si="316"/>
        <v>0</v>
      </c>
      <c r="AJ2259" s="2">
        <f t="shared" si="317"/>
        <v>0</v>
      </c>
      <c r="AK2259" s="2">
        <f>T2259+(W2259)</f>
        <v>-89.183300000000003</v>
      </c>
      <c r="AL2259" s="18">
        <f>SIGN(T2259)*((ABS(T2259)-W2259)/ABS(T2259))</f>
        <v>-0.39974585387718514</v>
      </c>
    </row>
    <row r="2260" spans="1:38" x14ac:dyDescent="0.2">
      <c r="A2260" s="2">
        <v>2025</v>
      </c>
      <c r="B2260" s="2">
        <v>11</v>
      </c>
      <c r="D2260" s="2" t="s">
        <v>1295</v>
      </c>
      <c r="E2260" s="2" t="s">
        <v>183</v>
      </c>
      <c r="F2260" s="2" t="s">
        <v>366</v>
      </c>
      <c r="G2260" s="2">
        <v>500625654</v>
      </c>
      <c r="H2260" s="2" t="s">
        <v>290</v>
      </c>
      <c r="I2260" s="2" t="s">
        <v>339</v>
      </c>
      <c r="J2260" s="2" t="s">
        <v>1296</v>
      </c>
      <c r="L2260" s="2" t="s">
        <v>339</v>
      </c>
      <c r="M2260" s="2" t="s">
        <v>80</v>
      </c>
      <c r="O2260" s="2" t="s">
        <v>3203</v>
      </c>
      <c r="P2260" s="2" t="s">
        <v>72</v>
      </c>
      <c r="Q2260" s="2" t="s">
        <v>78</v>
      </c>
      <c r="R2260" s="2" t="s">
        <v>79</v>
      </c>
      <c r="S2260" s="2">
        <v>1</v>
      </c>
      <c r="T2260" s="2">
        <v>203.7</v>
      </c>
      <c r="U2260" s="2">
        <v>46.850999999999999</v>
      </c>
      <c r="V2260" s="2">
        <v>250.55099999999999</v>
      </c>
      <c r="W2260" s="2">
        <f>111.98*S2260</f>
        <v>111.98</v>
      </c>
      <c r="X2260" s="5">
        <f>(T2260-W2260)/T2260</f>
        <v>0.45027000490918012</v>
      </c>
      <c r="Z2260" s="2" t="s">
        <v>3227</v>
      </c>
      <c r="AA2260" s="2" t="s">
        <v>75</v>
      </c>
      <c r="AB2260" s="2" t="s">
        <v>76</v>
      </c>
      <c r="AC2260" s="2" t="s">
        <v>77</v>
      </c>
      <c r="AF2260" s="2">
        <f t="shared" si="316"/>
        <v>0</v>
      </c>
      <c r="AG2260" s="2">
        <v>111.98</v>
      </c>
      <c r="AH2260" s="2">
        <v>210</v>
      </c>
      <c r="AJ2260" s="2">
        <f t="shared" si="317"/>
        <v>0</v>
      </c>
      <c r="AK2260" s="2">
        <f t="shared" ref="AK2260:AK2291" si="318">T2260-W2260</f>
        <v>91.719999999999985</v>
      </c>
      <c r="AL2260" s="5">
        <f t="shared" ref="AL2260:AL2291" si="319">(T2260-W2260)/T2260</f>
        <v>0.45027000490918012</v>
      </c>
    </row>
    <row r="2261" spans="1:38" x14ac:dyDescent="0.2">
      <c r="A2261" s="2">
        <v>2025</v>
      </c>
      <c r="B2261" s="2">
        <v>11</v>
      </c>
      <c r="D2261" s="2" t="s">
        <v>1295</v>
      </c>
      <c r="E2261" s="2" t="s">
        <v>183</v>
      </c>
      <c r="F2261" s="2" t="s">
        <v>366</v>
      </c>
      <c r="G2261" s="2">
        <v>500625654</v>
      </c>
      <c r="H2261" s="2" t="s">
        <v>290</v>
      </c>
      <c r="I2261" s="2" t="s">
        <v>339</v>
      </c>
      <c r="J2261" s="2" t="s">
        <v>1296</v>
      </c>
      <c r="L2261" s="2" t="s">
        <v>339</v>
      </c>
      <c r="P2261" s="2" t="s">
        <v>93</v>
      </c>
      <c r="Q2261" s="2" t="s">
        <v>94</v>
      </c>
      <c r="R2261" s="2" t="s">
        <v>95</v>
      </c>
      <c r="S2261" s="2">
        <v>0</v>
      </c>
      <c r="T2261" s="2">
        <v>0</v>
      </c>
      <c r="U2261" s="2">
        <v>0</v>
      </c>
      <c r="V2261" s="2">
        <v>0</v>
      </c>
      <c r="W2261" s="2">
        <v>0</v>
      </c>
      <c r="X2261" s="5">
        <v>0</v>
      </c>
      <c r="Z2261" s="2" t="s">
        <v>3227</v>
      </c>
      <c r="AA2261" s="2" t="s">
        <v>96</v>
      </c>
      <c r="AB2261" s="2" t="s">
        <v>76</v>
      </c>
      <c r="AC2261" s="2" t="s">
        <v>93</v>
      </c>
      <c r="AF2261" s="2">
        <f t="shared" si="316"/>
        <v>0</v>
      </c>
      <c r="AJ2261" s="2">
        <f t="shared" si="317"/>
        <v>0</v>
      </c>
      <c r="AK2261" s="2">
        <f t="shared" si="318"/>
        <v>0</v>
      </c>
      <c r="AL2261" s="5" t="e">
        <f t="shared" si="319"/>
        <v>#DIV/0!</v>
      </c>
    </row>
    <row r="2262" spans="1:38" x14ac:dyDescent="0.2">
      <c r="A2262" s="2">
        <v>2025</v>
      </c>
      <c r="B2262" s="2">
        <v>11</v>
      </c>
      <c r="D2262" s="2" t="s">
        <v>1113</v>
      </c>
      <c r="E2262" s="2" t="s">
        <v>38</v>
      </c>
      <c r="F2262" s="2" t="s">
        <v>39</v>
      </c>
      <c r="G2262" s="2">
        <v>210420588</v>
      </c>
      <c r="H2262" s="2" t="s">
        <v>40</v>
      </c>
      <c r="I2262" s="2" t="s">
        <v>1114</v>
      </c>
      <c r="J2262" s="2" t="s">
        <v>1115</v>
      </c>
      <c r="K2262" s="2">
        <v>914550474</v>
      </c>
      <c r="L2262" s="2" t="s">
        <v>99</v>
      </c>
      <c r="M2262" s="2" t="s">
        <v>80</v>
      </c>
      <c r="O2262" s="2" t="s">
        <v>2074</v>
      </c>
      <c r="P2262" s="2" t="s">
        <v>84</v>
      </c>
      <c r="Q2262" s="2" t="s">
        <v>1793</v>
      </c>
      <c r="R2262" s="2" t="s">
        <v>1794</v>
      </c>
      <c r="S2262" s="2">
        <v>2</v>
      </c>
      <c r="T2262" s="2">
        <v>10</v>
      </c>
      <c r="U2262" s="2">
        <v>2.2999999999999998</v>
      </c>
      <c r="V2262" s="2">
        <v>12.3</v>
      </c>
      <c r="W2262" s="2">
        <v>0.35799999999999998</v>
      </c>
      <c r="X2262" s="5">
        <f t="shared" ref="X2262:X2293" si="320">(T2262-W2262)/T2262</f>
        <v>0.96419999999999995</v>
      </c>
      <c r="Z2262" s="2" t="s">
        <v>3227</v>
      </c>
      <c r="AA2262" s="2" t="s">
        <v>87</v>
      </c>
      <c r="AB2262" s="2" t="s">
        <v>90</v>
      </c>
      <c r="AC2262" s="2" t="s">
        <v>84</v>
      </c>
      <c r="AF2262" s="2">
        <f t="shared" si="316"/>
        <v>0</v>
      </c>
      <c r="AJ2262" s="2">
        <f t="shared" si="317"/>
        <v>0</v>
      </c>
      <c r="AK2262" s="2">
        <f t="shared" si="318"/>
        <v>9.6419999999999995</v>
      </c>
      <c r="AL2262" s="5">
        <f t="shared" si="319"/>
        <v>0.96419999999999995</v>
      </c>
    </row>
    <row r="2263" spans="1:38" x14ac:dyDescent="0.2">
      <c r="A2263" s="2">
        <v>2025</v>
      </c>
      <c r="B2263" s="2">
        <v>11</v>
      </c>
      <c r="D2263" s="2" t="s">
        <v>1113</v>
      </c>
      <c r="E2263" s="2" t="s">
        <v>38</v>
      </c>
      <c r="F2263" s="2" t="s">
        <v>39</v>
      </c>
      <c r="G2263" s="2">
        <v>210420588</v>
      </c>
      <c r="H2263" s="2" t="s">
        <v>40</v>
      </c>
      <c r="I2263" s="2" t="s">
        <v>1114</v>
      </c>
      <c r="J2263" s="2" t="s">
        <v>1115</v>
      </c>
      <c r="K2263" s="2">
        <v>914550474</v>
      </c>
      <c r="L2263" s="2" t="s">
        <v>99</v>
      </c>
      <c r="M2263" s="2" t="s">
        <v>80</v>
      </c>
      <c r="O2263" s="2" t="s">
        <v>2075</v>
      </c>
      <c r="P2263" s="2" t="s">
        <v>84</v>
      </c>
      <c r="Q2263" s="2" t="s">
        <v>270</v>
      </c>
      <c r="R2263" s="2" t="s">
        <v>271</v>
      </c>
      <c r="S2263" s="2">
        <v>1</v>
      </c>
      <c r="T2263" s="2">
        <v>10</v>
      </c>
      <c r="U2263" s="2">
        <v>2.2999999999999998</v>
      </c>
      <c r="V2263" s="2">
        <v>12.3</v>
      </c>
      <c r="W2263" s="2">
        <v>6.86</v>
      </c>
      <c r="X2263" s="5">
        <f t="shared" si="320"/>
        <v>0.31399999999999995</v>
      </c>
      <c r="Z2263" s="2" t="s">
        <v>3227</v>
      </c>
      <c r="AA2263" s="2" t="s">
        <v>87</v>
      </c>
      <c r="AB2263" s="2" t="s">
        <v>90</v>
      </c>
      <c r="AC2263" s="2" t="s">
        <v>84</v>
      </c>
      <c r="AF2263" s="2">
        <f t="shared" si="316"/>
        <v>0</v>
      </c>
      <c r="AJ2263" s="2">
        <f t="shared" si="317"/>
        <v>0</v>
      </c>
      <c r="AK2263" s="2">
        <f t="shared" si="318"/>
        <v>3.1399999999999997</v>
      </c>
      <c r="AL2263" s="5">
        <f t="shared" si="319"/>
        <v>0.31399999999999995</v>
      </c>
    </row>
    <row r="2264" spans="1:38" x14ac:dyDescent="0.2">
      <c r="A2264" s="2">
        <v>2025</v>
      </c>
      <c r="B2264" s="2">
        <v>11</v>
      </c>
      <c r="D2264" s="2" t="s">
        <v>624</v>
      </c>
      <c r="E2264" s="2" t="s">
        <v>38</v>
      </c>
      <c r="F2264" s="2" t="s">
        <v>39</v>
      </c>
      <c r="G2264" s="2" t="s">
        <v>625</v>
      </c>
      <c r="H2264" s="2" t="s">
        <v>40</v>
      </c>
      <c r="I2264" s="2" t="s">
        <v>626</v>
      </c>
      <c r="J2264" s="2" t="s">
        <v>627</v>
      </c>
      <c r="L2264" s="2" t="s">
        <v>626</v>
      </c>
      <c r="M2264" s="2" t="s">
        <v>40</v>
      </c>
      <c r="P2264" s="2" t="s">
        <v>114</v>
      </c>
      <c r="Q2264" s="2" t="s">
        <v>2076</v>
      </c>
      <c r="R2264" s="2" t="s">
        <v>2077</v>
      </c>
      <c r="S2264" s="2">
        <v>1</v>
      </c>
      <c r="T2264" s="2">
        <v>76.62</v>
      </c>
      <c r="V2264" s="2">
        <f>T2264</f>
        <v>76.62</v>
      </c>
      <c r="W2264" s="2">
        <f>46.78+0.48</f>
        <v>47.26</v>
      </c>
      <c r="X2264" s="5">
        <f t="shared" si="320"/>
        <v>0.38318976768467772</v>
      </c>
      <c r="Z2264" s="2" t="s">
        <v>117</v>
      </c>
      <c r="AA2264" s="2" t="s">
        <v>118</v>
      </c>
      <c r="AB2264" s="2" t="s">
        <v>119</v>
      </c>
      <c r="AC2264" s="2" t="s">
        <v>114</v>
      </c>
      <c r="AF2264" s="2">
        <f t="shared" si="316"/>
        <v>0</v>
      </c>
      <c r="AJ2264" s="2">
        <f t="shared" si="317"/>
        <v>0</v>
      </c>
      <c r="AK2264" s="2">
        <f t="shared" si="318"/>
        <v>29.360000000000007</v>
      </c>
      <c r="AL2264" s="5">
        <f t="shared" si="319"/>
        <v>0.38318976768467772</v>
      </c>
    </row>
    <row r="2265" spans="1:38" x14ac:dyDescent="0.2">
      <c r="A2265" s="2">
        <v>2025</v>
      </c>
      <c r="B2265" s="2">
        <v>11</v>
      </c>
      <c r="D2265" s="2" t="s">
        <v>1659</v>
      </c>
      <c r="P2265" s="2" t="s">
        <v>114</v>
      </c>
      <c r="Q2265" s="2" t="s">
        <v>1879</v>
      </c>
      <c r="R2265" s="2" t="s">
        <v>1880</v>
      </c>
      <c r="S2265" s="2">
        <v>1</v>
      </c>
      <c r="T2265" s="2">
        <v>1066.25</v>
      </c>
      <c r="U2265" s="2">
        <v>245.23750000000001</v>
      </c>
      <c r="V2265" s="2">
        <v>1311.4875</v>
      </c>
      <c r="X2265" s="5">
        <f t="shared" si="320"/>
        <v>1</v>
      </c>
      <c r="Z2265" s="2" t="s">
        <v>117</v>
      </c>
      <c r="AF2265" s="2">
        <f t="shared" si="316"/>
        <v>0</v>
      </c>
      <c r="AJ2265" s="2">
        <f t="shared" si="317"/>
        <v>0</v>
      </c>
      <c r="AK2265" s="2">
        <f t="shared" si="318"/>
        <v>1066.25</v>
      </c>
      <c r="AL2265" s="5">
        <f t="shared" si="319"/>
        <v>1</v>
      </c>
    </row>
    <row r="2266" spans="1:38" x14ac:dyDescent="0.2">
      <c r="A2266" s="2">
        <v>2025</v>
      </c>
      <c r="B2266" s="2">
        <v>11</v>
      </c>
      <c r="D2266" s="2" t="s">
        <v>1659</v>
      </c>
      <c r="M2266" s="2" t="s">
        <v>40</v>
      </c>
      <c r="P2266" s="2" t="s">
        <v>187</v>
      </c>
      <c r="Q2266" s="2" t="s">
        <v>188</v>
      </c>
      <c r="R2266" s="2" t="s">
        <v>189</v>
      </c>
      <c r="S2266" s="2">
        <v>1</v>
      </c>
      <c r="T2266" s="2">
        <v>50</v>
      </c>
      <c r="U2266" s="2">
        <v>11.5</v>
      </c>
      <c r="V2266" s="2">
        <v>61.5</v>
      </c>
      <c r="W2266" s="2">
        <f>T2266*40%</f>
        <v>20</v>
      </c>
      <c r="X2266" s="5">
        <f t="shared" si="320"/>
        <v>0.6</v>
      </c>
      <c r="Z2266" s="2" t="s">
        <v>117</v>
      </c>
      <c r="AA2266" s="2" t="s">
        <v>190</v>
      </c>
      <c r="AB2266" s="2" t="s">
        <v>189</v>
      </c>
      <c r="AC2266" s="2" t="s">
        <v>40</v>
      </c>
      <c r="AF2266" s="2">
        <f t="shared" si="316"/>
        <v>0</v>
      </c>
      <c r="AJ2266" s="2">
        <f t="shared" si="317"/>
        <v>0</v>
      </c>
      <c r="AK2266" s="2">
        <f t="shared" si="318"/>
        <v>30</v>
      </c>
      <c r="AL2266" s="5">
        <f t="shared" si="319"/>
        <v>0.6</v>
      </c>
    </row>
    <row r="2267" spans="1:38" x14ac:dyDescent="0.2">
      <c r="A2267" s="2">
        <v>2025</v>
      </c>
      <c r="B2267" s="2">
        <v>11</v>
      </c>
      <c r="D2267" s="2" t="s">
        <v>1659</v>
      </c>
      <c r="M2267" s="2" t="s">
        <v>40</v>
      </c>
      <c r="P2267" s="2" t="s">
        <v>187</v>
      </c>
      <c r="Q2267" s="2" t="s">
        <v>191</v>
      </c>
      <c r="R2267" s="2" t="s">
        <v>190</v>
      </c>
      <c r="S2267" s="2">
        <v>1</v>
      </c>
      <c r="T2267" s="2">
        <v>50</v>
      </c>
      <c r="U2267" s="2">
        <v>11.5</v>
      </c>
      <c r="V2267" s="2">
        <v>61.5</v>
      </c>
      <c r="W2267" s="2">
        <f>T2267*50%</f>
        <v>25</v>
      </c>
      <c r="X2267" s="5">
        <f t="shared" si="320"/>
        <v>0.5</v>
      </c>
      <c r="Z2267" s="2" t="s">
        <v>117</v>
      </c>
      <c r="AA2267" s="2" t="s">
        <v>190</v>
      </c>
      <c r="AB2267" s="2" t="s">
        <v>190</v>
      </c>
      <c r="AC2267" s="2" t="s">
        <v>40</v>
      </c>
      <c r="AF2267" s="2">
        <f t="shared" si="316"/>
        <v>0</v>
      </c>
      <c r="AJ2267" s="2">
        <f t="shared" si="317"/>
        <v>0</v>
      </c>
      <c r="AK2267" s="2">
        <f t="shared" si="318"/>
        <v>25</v>
      </c>
      <c r="AL2267" s="5">
        <f t="shared" si="319"/>
        <v>0.5</v>
      </c>
    </row>
    <row r="2268" spans="1:38" x14ac:dyDescent="0.2">
      <c r="A2268" s="2">
        <v>2025</v>
      </c>
      <c r="B2268" s="2">
        <v>11</v>
      </c>
      <c r="D2268" s="2" t="s">
        <v>2078</v>
      </c>
      <c r="P2268" s="2" t="s">
        <v>68</v>
      </c>
      <c r="Q2268" s="2" t="s">
        <v>2079</v>
      </c>
      <c r="R2268" s="2" t="s">
        <v>2080</v>
      </c>
      <c r="S2268" s="2">
        <v>1</v>
      </c>
      <c r="T2268" s="2">
        <v>2349.59</v>
      </c>
      <c r="U2268" s="2">
        <v>540.40570000000002</v>
      </c>
      <c r="V2268" s="2">
        <v>2889.9956999999999</v>
      </c>
      <c r="W2268" s="2">
        <f>T2268*50%</f>
        <v>1174.7950000000001</v>
      </c>
      <c r="X2268" s="5">
        <f t="shared" si="320"/>
        <v>0.5</v>
      </c>
      <c r="Z2268" s="2" t="s">
        <v>104</v>
      </c>
      <c r="AC2268" s="2" t="s">
        <v>3231</v>
      </c>
      <c r="AF2268" s="2">
        <f t="shared" si="316"/>
        <v>0</v>
      </c>
      <c r="AJ2268" s="2">
        <f t="shared" si="317"/>
        <v>0</v>
      </c>
      <c r="AK2268" s="2">
        <f t="shared" si="318"/>
        <v>1174.7950000000001</v>
      </c>
      <c r="AL2268" s="5">
        <f t="shared" si="319"/>
        <v>0.5</v>
      </c>
    </row>
    <row r="2269" spans="1:38" x14ac:dyDescent="0.2">
      <c r="A2269" s="2">
        <v>2025</v>
      </c>
      <c r="B2269" s="2">
        <v>11</v>
      </c>
      <c r="D2269" s="2" t="s">
        <v>643</v>
      </c>
      <c r="E2269" s="2" t="s">
        <v>108</v>
      </c>
      <c r="F2269" s="2" t="s">
        <v>477</v>
      </c>
      <c r="G2269" s="2">
        <v>509056946</v>
      </c>
      <c r="H2269" s="2" t="s">
        <v>109</v>
      </c>
      <c r="I2269" s="2" t="s">
        <v>644</v>
      </c>
      <c r="J2269" s="2" t="s">
        <v>645</v>
      </c>
      <c r="K2269" s="2">
        <v>964495536</v>
      </c>
      <c r="L2269" s="2" t="s">
        <v>112</v>
      </c>
      <c r="P2269" s="2" t="s">
        <v>114</v>
      </c>
      <c r="Q2269" s="2" t="s">
        <v>978</v>
      </c>
      <c r="R2269" s="2" t="s">
        <v>979</v>
      </c>
      <c r="S2269" s="2">
        <v>1</v>
      </c>
      <c r="T2269" s="2">
        <v>79.819999999999993</v>
      </c>
      <c r="U2269" s="2">
        <v>18.358599999999999</v>
      </c>
      <c r="V2269" s="2">
        <v>98.178599999999989</v>
      </c>
      <c r="X2269" s="5">
        <f t="shared" si="320"/>
        <v>1</v>
      </c>
      <c r="AF2269" s="2">
        <f t="shared" si="316"/>
        <v>0</v>
      </c>
      <c r="AJ2269" s="2">
        <f t="shared" si="317"/>
        <v>0</v>
      </c>
      <c r="AK2269" s="2">
        <f t="shared" si="318"/>
        <v>79.819999999999993</v>
      </c>
      <c r="AL2269" s="5">
        <f t="shared" si="319"/>
        <v>1</v>
      </c>
    </row>
    <row r="2270" spans="1:38" x14ac:dyDescent="0.2">
      <c r="A2270" s="2">
        <v>2025</v>
      </c>
      <c r="B2270" s="2">
        <v>11</v>
      </c>
      <c r="D2270" s="2" t="s">
        <v>643</v>
      </c>
      <c r="E2270" s="2" t="s">
        <v>108</v>
      </c>
      <c r="F2270" s="2" t="s">
        <v>477</v>
      </c>
      <c r="G2270" s="2">
        <v>509056946</v>
      </c>
      <c r="H2270" s="2" t="s">
        <v>109</v>
      </c>
      <c r="I2270" s="2" t="s">
        <v>644</v>
      </c>
      <c r="J2270" s="2" t="s">
        <v>645</v>
      </c>
      <c r="K2270" s="2">
        <v>964495536</v>
      </c>
      <c r="L2270" s="2" t="s">
        <v>112</v>
      </c>
      <c r="P2270" s="2" t="s">
        <v>43</v>
      </c>
      <c r="Q2270" s="2" t="s">
        <v>61</v>
      </c>
      <c r="R2270" s="2" t="s">
        <v>62</v>
      </c>
      <c r="S2270" s="2">
        <v>1000</v>
      </c>
      <c r="T2270" s="2">
        <v>105</v>
      </c>
      <c r="U2270" s="2">
        <v>24.15</v>
      </c>
      <c r="V2270" s="2">
        <v>129.15</v>
      </c>
      <c r="W2270" s="2">
        <f>0.082*S2270</f>
        <v>82</v>
      </c>
      <c r="X2270" s="5">
        <f t="shared" si="320"/>
        <v>0.21904761904761905</v>
      </c>
      <c r="Z2270" s="2" t="s">
        <v>3227</v>
      </c>
      <c r="AA2270" s="2" t="s">
        <v>46</v>
      </c>
      <c r="AB2270" s="2" t="s">
        <v>60</v>
      </c>
      <c r="AC2270" s="2" t="s">
        <v>57</v>
      </c>
      <c r="AF2270" s="2">
        <f t="shared" si="316"/>
        <v>0</v>
      </c>
      <c r="AG2270" s="2">
        <v>8.1999999999999993</v>
      </c>
      <c r="AH2270" s="2">
        <v>13</v>
      </c>
      <c r="AJ2270" s="2">
        <f t="shared" si="317"/>
        <v>0</v>
      </c>
      <c r="AK2270" s="2">
        <f t="shared" si="318"/>
        <v>23</v>
      </c>
      <c r="AL2270" s="5">
        <f t="shared" si="319"/>
        <v>0.21904761904761905</v>
      </c>
    </row>
    <row r="2271" spans="1:38" x14ac:dyDescent="0.2">
      <c r="A2271" s="2">
        <v>2025</v>
      </c>
      <c r="B2271" s="2">
        <v>11</v>
      </c>
      <c r="D2271" s="2" t="s">
        <v>1968</v>
      </c>
      <c r="P2271" s="2" t="s">
        <v>72</v>
      </c>
      <c r="Q2271" s="2" t="s">
        <v>1072</v>
      </c>
      <c r="R2271" s="2" t="s">
        <v>381</v>
      </c>
      <c r="S2271" s="2">
        <v>1</v>
      </c>
      <c r="T2271" s="2">
        <v>240</v>
      </c>
      <c r="U2271" s="2">
        <v>55.2</v>
      </c>
      <c r="V2271" s="2">
        <v>295.2</v>
      </c>
      <c r="W2271" s="2">
        <f>130.03+6.8</f>
        <v>136.83000000000001</v>
      </c>
      <c r="X2271" s="5">
        <f t="shared" si="320"/>
        <v>0.42987499999999995</v>
      </c>
      <c r="Z2271" s="2" t="s">
        <v>3227</v>
      </c>
      <c r="AA2271" s="2" t="s">
        <v>75</v>
      </c>
      <c r="AB2271" s="2" t="s">
        <v>76</v>
      </c>
      <c r="AC2271" s="2" t="s">
        <v>77</v>
      </c>
      <c r="AF2271" s="2">
        <f t="shared" si="316"/>
        <v>0</v>
      </c>
      <c r="AJ2271" s="2">
        <f t="shared" si="317"/>
        <v>0</v>
      </c>
      <c r="AK2271" s="2">
        <f t="shared" si="318"/>
        <v>103.16999999999999</v>
      </c>
      <c r="AL2271" s="5">
        <f t="shared" si="319"/>
        <v>0.42987499999999995</v>
      </c>
    </row>
    <row r="2272" spans="1:38" x14ac:dyDescent="0.2">
      <c r="A2272" s="2">
        <v>2025</v>
      </c>
      <c r="B2272" s="2">
        <v>11</v>
      </c>
      <c r="D2272" s="2" t="s">
        <v>1968</v>
      </c>
      <c r="P2272" s="2" t="s">
        <v>93</v>
      </c>
      <c r="Q2272" s="2" t="s">
        <v>94</v>
      </c>
      <c r="R2272" s="2" t="s">
        <v>95</v>
      </c>
      <c r="S2272" s="2">
        <v>1</v>
      </c>
      <c r="T2272" s="2">
        <v>1.1399999999999999</v>
      </c>
      <c r="U2272" s="2">
        <v>0.26219999999999999</v>
      </c>
      <c r="V2272" s="2">
        <v>1.4021999999999999</v>
      </c>
      <c r="W2272" s="2">
        <v>1.1399999999999999</v>
      </c>
      <c r="X2272" s="5">
        <f t="shared" si="320"/>
        <v>0</v>
      </c>
      <c r="Z2272" s="2" t="s">
        <v>3227</v>
      </c>
      <c r="AA2272" s="2" t="s">
        <v>96</v>
      </c>
      <c r="AB2272" s="2" t="s">
        <v>76</v>
      </c>
      <c r="AC2272" s="2" t="s">
        <v>93</v>
      </c>
      <c r="AF2272" s="2">
        <f t="shared" si="316"/>
        <v>0</v>
      </c>
      <c r="AJ2272" s="2">
        <f t="shared" si="317"/>
        <v>0</v>
      </c>
      <c r="AK2272" s="2">
        <f t="shared" si="318"/>
        <v>0</v>
      </c>
      <c r="AL2272" s="5">
        <f t="shared" si="319"/>
        <v>0</v>
      </c>
    </row>
    <row r="2273" spans="1:38" x14ac:dyDescent="0.2">
      <c r="A2273" s="2">
        <v>2025</v>
      </c>
      <c r="B2273" s="2">
        <v>11</v>
      </c>
      <c r="D2273" s="2" t="s">
        <v>2081</v>
      </c>
      <c r="M2273" s="2" t="s">
        <v>40</v>
      </c>
      <c r="P2273" s="2" t="s">
        <v>187</v>
      </c>
      <c r="Q2273" s="2" t="s">
        <v>188</v>
      </c>
      <c r="R2273" s="2" t="s">
        <v>189</v>
      </c>
      <c r="S2273" s="2">
        <v>1</v>
      </c>
      <c r="T2273" s="2">
        <v>138</v>
      </c>
      <c r="U2273" s="2">
        <v>31.74</v>
      </c>
      <c r="V2273" s="2">
        <v>169.74</v>
      </c>
      <c r="W2273" s="2">
        <f>T2273*40%</f>
        <v>55.2</v>
      </c>
      <c r="X2273" s="5">
        <f t="shared" si="320"/>
        <v>0.6</v>
      </c>
      <c r="Z2273" s="2" t="s">
        <v>117</v>
      </c>
      <c r="AA2273" s="2" t="s">
        <v>190</v>
      </c>
      <c r="AB2273" s="2" t="s">
        <v>189</v>
      </c>
      <c r="AC2273" s="2" t="s">
        <v>40</v>
      </c>
      <c r="AF2273" s="2">
        <f t="shared" si="316"/>
        <v>0</v>
      </c>
      <c r="AJ2273" s="2">
        <f t="shared" si="317"/>
        <v>0</v>
      </c>
      <c r="AK2273" s="2">
        <f t="shared" si="318"/>
        <v>82.8</v>
      </c>
      <c r="AL2273" s="5">
        <f t="shared" si="319"/>
        <v>0.6</v>
      </c>
    </row>
    <row r="2274" spans="1:38" x14ac:dyDescent="0.2">
      <c r="A2274" s="2">
        <v>2025</v>
      </c>
      <c r="B2274" s="2">
        <v>11</v>
      </c>
      <c r="D2274" s="2" t="s">
        <v>2081</v>
      </c>
      <c r="M2274" s="2" t="s">
        <v>40</v>
      </c>
      <c r="P2274" s="2" t="s">
        <v>187</v>
      </c>
      <c r="Q2274" s="2" t="s">
        <v>191</v>
      </c>
      <c r="R2274" s="2" t="s">
        <v>190</v>
      </c>
      <c r="S2274" s="2">
        <v>2</v>
      </c>
      <c r="T2274" s="2">
        <v>100</v>
      </c>
      <c r="U2274" s="2">
        <v>23</v>
      </c>
      <c r="V2274" s="2">
        <v>123</v>
      </c>
      <c r="W2274" s="2">
        <f>T2274*50%</f>
        <v>50</v>
      </c>
      <c r="X2274" s="5">
        <f t="shared" si="320"/>
        <v>0.5</v>
      </c>
      <c r="Z2274" s="2" t="s">
        <v>117</v>
      </c>
      <c r="AA2274" s="2" t="s">
        <v>190</v>
      </c>
      <c r="AB2274" s="2" t="s">
        <v>190</v>
      </c>
      <c r="AC2274" s="2" t="s">
        <v>40</v>
      </c>
      <c r="AF2274" s="2">
        <f t="shared" si="316"/>
        <v>0</v>
      </c>
      <c r="AJ2274" s="2">
        <f t="shared" si="317"/>
        <v>0</v>
      </c>
      <c r="AK2274" s="2">
        <f t="shared" si="318"/>
        <v>50</v>
      </c>
      <c r="AL2274" s="5">
        <f t="shared" si="319"/>
        <v>0.5</v>
      </c>
    </row>
    <row r="2275" spans="1:38" x14ac:dyDescent="0.2">
      <c r="A2275" s="2">
        <v>2025</v>
      </c>
      <c r="B2275" s="2">
        <v>11</v>
      </c>
      <c r="D2275" s="2" t="s">
        <v>1124</v>
      </c>
      <c r="E2275" s="2" t="s">
        <v>108</v>
      </c>
      <c r="F2275" s="2" t="s">
        <v>39</v>
      </c>
      <c r="G2275" s="2">
        <v>515742279</v>
      </c>
      <c r="H2275" s="2" t="s">
        <v>41</v>
      </c>
      <c r="I2275" s="2" t="s">
        <v>2294</v>
      </c>
      <c r="J2275" s="2" t="s">
        <v>2295</v>
      </c>
      <c r="K2275" s="2">
        <v>965790183</v>
      </c>
      <c r="L2275" s="2" t="s">
        <v>177</v>
      </c>
      <c r="M2275" s="2" t="s">
        <v>40</v>
      </c>
      <c r="P2275" s="2" t="s">
        <v>114</v>
      </c>
      <c r="Q2275" s="2" t="s">
        <v>373</v>
      </c>
      <c r="R2275" s="2" t="s">
        <v>374</v>
      </c>
      <c r="S2275" s="2">
        <v>2</v>
      </c>
      <c r="T2275" s="2">
        <v>83.92</v>
      </c>
      <c r="U2275" s="2">
        <v>19.301600000000001</v>
      </c>
      <c r="V2275" s="2">
        <v>103.2216</v>
      </c>
      <c r="W2275" s="2">
        <f>23.042*S2275</f>
        <v>46.084000000000003</v>
      </c>
      <c r="X2275" s="5">
        <f t="shared" si="320"/>
        <v>0.45085795996186839</v>
      </c>
      <c r="Z2275" s="2" t="s">
        <v>117</v>
      </c>
      <c r="AA2275" s="2" t="s">
        <v>118</v>
      </c>
      <c r="AB2275" s="2" t="s">
        <v>119</v>
      </c>
      <c r="AC2275" s="2" t="s">
        <v>114</v>
      </c>
      <c r="AF2275" s="2">
        <f t="shared" si="316"/>
        <v>0</v>
      </c>
      <c r="AJ2275" s="2">
        <f t="shared" si="317"/>
        <v>0</v>
      </c>
      <c r="AK2275" s="2">
        <f t="shared" si="318"/>
        <v>37.835999999999999</v>
      </c>
      <c r="AL2275" s="5">
        <f t="shared" si="319"/>
        <v>0.45085795996186839</v>
      </c>
    </row>
    <row r="2276" spans="1:38" x14ac:dyDescent="0.2">
      <c r="A2276" s="2">
        <v>2025</v>
      </c>
      <c r="B2276" s="2">
        <v>11</v>
      </c>
      <c r="D2276" s="2" t="s">
        <v>2082</v>
      </c>
      <c r="M2276" s="2" t="s">
        <v>40</v>
      </c>
      <c r="P2276" s="2" t="s">
        <v>187</v>
      </c>
      <c r="Q2276" s="2" t="s">
        <v>188</v>
      </c>
      <c r="R2276" s="2" t="s">
        <v>189</v>
      </c>
      <c r="S2276" s="2">
        <v>1</v>
      </c>
      <c r="T2276" s="2">
        <v>50</v>
      </c>
      <c r="U2276" s="2">
        <v>11.5</v>
      </c>
      <c r="V2276" s="2">
        <v>61.5</v>
      </c>
      <c r="W2276" s="2">
        <f>T2276*40%</f>
        <v>20</v>
      </c>
      <c r="X2276" s="5">
        <f t="shared" si="320"/>
        <v>0.6</v>
      </c>
      <c r="Z2276" s="2" t="s">
        <v>117</v>
      </c>
      <c r="AA2276" s="2" t="s">
        <v>190</v>
      </c>
      <c r="AB2276" s="2" t="s">
        <v>189</v>
      </c>
      <c r="AC2276" s="2" t="s">
        <v>40</v>
      </c>
      <c r="AF2276" s="2">
        <f t="shared" si="316"/>
        <v>0</v>
      </c>
      <c r="AJ2276" s="2">
        <f t="shared" si="317"/>
        <v>0</v>
      </c>
      <c r="AK2276" s="2">
        <f t="shared" si="318"/>
        <v>30</v>
      </c>
      <c r="AL2276" s="5">
        <f t="shared" si="319"/>
        <v>0.6</v>
      </c>
    </row>
    <row r="2277" spans="1:38" x14ac:dyDescent="0.2">
      <c r="A2277" s="2">
        <v>2025</v>
      </c>
      <c r="B2277" s="2">
        <v>11</v>
      </c>
      <c r="D2277" s="2" t="s">
        <v>2082</v>
      </c>
      <c r="M2277" s="2" t="s">
        <v>40</v>
      </c>
      <c r="P2277" s="2" t="s">
        <v>187</v>
      </c>
      <c r="Q2277" s="2" t="s">
        <v>191</v>
      </c>
      <c r="R2277" s="2" t="s">
        <v>190</v>
      </c>
      <c r="S2277" s="2">
        <v>1</v>
      </c>
      <c r="T2277" s="2">
        <v>50</v>
      </c>
      <c r="U2277" s="2">
        <v>11.5</v>
      </c>
      <c r="V2277" s="2">
        <v>61.5</v>
      </c>
      <c r="W2277" s="2">
        <f>T2277*50%</f>
        <v>25</v>
      </c>
      <c r="X2277" s="5">
        <f t="shared" si="320"/>
        <v>0.5</v>
      </c>
      <c r="Z2277" s="2" t="s">
        <v>117</v>
      </c>
      <c r="AA2277" s="2" t="s">
        <v>190</v>
      </c>
      <c r="AB2277" s="2" t="s">
        <v>190</v>
      </c>
      <c r="AC2277" s="2" t="s">
        <v>40</v>
      </c>
      <c r="AF2277" s="2">
        <f t="shared" si="316"/>
        <v>0</v>
      </c>
      <c r="AJ2277" s="2">
        <f t="shared" si="317"/>
        <v>0</v>
      </c>
      <c r="AK2277" s="2">
        <f t="shared" si="318"/>
        <v>25</v>
      </c>
      <c r="AL2277" s="5">
        <f t="shared" si="319"/>
        <v>0.5</v>
      </c>
    </row>
    <row r="2278" spans="1:38" x14ac:dyDescent="0.2">
      <c r="A2278" s="2">
        <v>2025</v>
      </c>
      <c r="B2278" s="2">
        <v>11</v>
      </c>
      <c r="D2278" s="2" t="s">
        <v>928</v>
      </c>
      <c r="E2278" s="2" t="s">
        <v>38</v>
      </c>
      <c r="F2278" s="2" t="s">
        <v>39</v>
      </c>
      <c r="G2278" s="2" t="s">
        <v>929</v>
      </c>
      <c r="H2278" s="2" t="s">
        <v>41</v>
      </c>
      <c r="I2278" s="2" t="s">
        <v>626</v>
      </c>
      <c r="J2278" s="2" t="s">
        <v>930</v>
      </c>
      <c r="L2278" s="2" t="s">
        <v>626</v>
      </c>
      <c r="M2278" s="2" t="s">
        <v>41</v>
      </c>
      <c r="P2278" s="2" t="s">
        <v>43</v>
      </c>
      <c r="Q2278" s="2" t="s">
        <v>48</v>
      </c>
      <c r="R2278" s="2" t="s">
        <v>49</v>
      </c>
      <c r="S2278" s="2">
        <v>8</v>
      </c>
      <c r="T2278" s="2">
        <v>96</v>
      </c>
      <c r="V2278" s="2">
        <f t="shared" ref="V2278:V2293" si="321">T2278</f>
        <v>96</v>
      </c>
      <c r="W2278" s="2">
        <f>6.6267*S2278</f>
        <v>53.013599999999997</v>
      </c>
      <c r="X2278" s="5">
        <f t="shared" si="320"/>
        <v>0.44777500000000003</v>
      </c>
      <c r="Z2278" s="2" t="s">
        <v>3227</v>
      </c>
      <c r="AA2278" s="2" t="s">
        <v>46</v>
      </c>
      <c r="AB2278" s="2" t="s">
        <v>47</v>
      </c>
      <c r="AC2278" s="2" t="s">
        <v>57</v>
      </c>
      <c r="AF2278" s="2">
        <f t="shared" si="316"/>
        <v>0</v>
      </c>
      <c r="AG2278" s="2">
        <v>6.6266999999999996</v>
      </c>
      <c r="AH2278" s="2">
        <v>12</v>
      </c>
      <c r="AJ2278" s="2">
        <f t="shared" si="317"/>
        <v>0</v>
      </c>
      <c r="AK2278" s="2">
        <f t="shared" si="318"/>
        <v>42.986400000000003</v>
      </c>
      <c r="AL2278" s="5">
        <f t="shared" si="319"/>
        <v>0.44777500000000003</v>
      </c>
    </row>
    <row r="2279" spans="1:38" x14ac:dyDescent="0.2">
      <c r="A2279" s="2">
        <v>2025</v>
      </c>
      <c r="B2279" s="2">
        <v>11</v>
      </c>
      <c r="D2279" s="2" t="s">
        <v>928</v>
      </c>
      <c r="E2279" s="2" t="s">
        <v>38</v>
      </c>
      <c r="F2279" s="2" t="s">
        <v>39</v>
      </c>
      <c r="G2279" s="2" t="s">
        <v>929</v>
      </c>
      <c r="H2279" s="2" t="s">
        <v>41</v>
      </c>
      <c r="I2279" s="2" t="s">
        <v>626</v>
      </c>
      <c r="J2279" s="2" t="s">
        <v>930</v>
      </c>
      <c r="L2279" s="2" t="s">
        <v>626</v>
      </c>
      <c r="M2279" s="2" t="s">
        <v>41</v>
      </c>
      <c r="P2279" s="2" t="s">
        <v>43</v>
      </c>
      <c r="Q2279" s="2" t="s">
        <v>160</v>
      </c>
      <c r="R2279" s="2" t="s">
        <v>161</v>
      </c>
      <c r="S2279" s="2">
        <v>1</v>
      </c>
      <c r="T2279" s="2">
        <v>7.8</v>
      </c>
      <c r="V2279" s="2">
        <f t="shared" si="321"/>
        <v>7.8</v>
      </c>
      <c r="W2279" s="2">
        <f>3.7358*S2279</f>
        <v>3.7357999999999998</v>
      </c>
      <c r="X2279" s="5">
        <f t="shared" si="320"/>
        <v>0.52105128205128204</v>
      </c>
      <c r="Z2279" s="2" t="s">
        <v>3227</v>
      </c>
      <c r="AA2279" s="2" t="s">
        <v>46</v>
      </c>
      <c r="AB2279" s="2" t="s">
        <v>47</v>
      </c>
      <c r="AC2279" s="2" t="s">
        <v>57</v>
      </c>
      <c r="AF2279" s="2">
        <f t="shared" si="316"/>
        <v>0</v>
      </c>
      <c r="AG2279" s="2">
        <v>3.7357999999999998</v>
      </c>
      <c r="AH2279" s="2">
        <v>9</v>
      </c>
      <c r="AJ2279" s="2">
        <f t="shared" si="317"/>
        <v>0</v>
      </c>
      <c r="AK2279" s="2">
        <f t="shared" si="318"/>
        <v>4.0641999999999996</v>
      </c>
      <c r="AL2279" s="5">
        <f t="shared" si="319"/>
        <v>0.52105128205128204</v>
      </c>
    </row>
    <row r="2280" spans="1:38" x14ac:dyDescent="0.2">
      <c r="A2280" s="2">
        <v>2025</v>
      </c>
      <c r="B2280" s="2">
        <v>11</v>
      </c>
      <c r="D2280" s="2" t="s">
        <v>928</v>
      </c>
      <c r="E2280" s="2" t="s">
        <v>38</v>
      </c>
      <c r="F2280" s="2" t="s">
        <v>39</v>
      </c>
      <c r="G2280" s="2" t="s">
        <v>929</v>
      </c>
      <c r="H2280" s="2" t="s">
        <v>41</v>
      </c>
      <c r="I2280" s="2" t="s">
        <v>626</v>
      </c>
      <c r="J2280" s="2" t="s">
        <v>930</v>
      </c>
      <c r="L2280" s="2" t="s">
        <v>626</v>
      </c>
      <c r="M2280" s="2" t="s">
        <v>41</v>
      </c>
      <c r="P2280" s="2" t="s">
        <v>43</v>
      </c>
      <c r="Q2280" s="2" t="s">
        <v>52</v>
      </c>
      <c r="R2280" s="2" t="s">
        <v>53</v>
      </c>
      <c r="S2280" s="2">
        <v>2</v>
      </c>
      <c r="T2280" s="2">
        <v>19.2</v>
      </c>
      <c r="V2280" s="2">
        <f t="shared" si="321"/>
        <v>19.2</v>
      </c>
      <c r="W2280" s="2">
        <f>5.2973*S2280</f>
        <v>10.5946</v>
      </c>
      <c r="X2280" s="5">
        <f t="shared" si="320"/>
        <v>0.44819791666666664</v>
      </c>
      <c r="Z2280" s="2" t="s">
        <v>3227</v>
      </c>
      <c r="AA2280" s="2" t="s">
        <v>46</v>
      </c>
      <c r="AB2280" s="2" t="s">
        <v>47</v>
      </c>
      <c r="AC2280" s="2" t="s">
        <v>57</v>
      </c>
      <c r="AF2280" s="2">
        <f t="shared" si="316"/>
        <v>0</v>
      </c>
      <c r="AG2280" s="2">
        <v>5.2972999999999999</v>
      </c>
      <c r="AH2280" s="2">
        <v>10.8</v>
      </c>
      <c r="AJ2280" s="2">
        <f t="shared" si="317"/>
        <v>0</v>
      </c>
      <c r="AK2280" s="2">
        <f t="shared" si="318"/>
        <v>8.6053999999999995</v>
      </c>
      <c r="AL2280" s="5">
        <f t="shared" si="319"/>
        <v>0.44819791666666664</v>
      </c>
    </row>
    <row r="2281" spans="1:38" x14ac:dyDescent="0.2">
      <c r="A2281" s="2">
        <v>2025</v>
      </c>
      <c r="B2281" s="2">
        <v>11</v>
      </c>
      <c r="D2281" s="2" t="s">
        <v>928</v>
      </c>
      <c r="E2281" s="2" t="s">
        <v>38</v>
      </c>
      <c r="F2281" s="2" t="s">
        <v>39</v>
      </c>
      <c r="G2281" s="2" t="s">
        <v>929</v>
      </c>
      <c r="H2281" s="2" t="s">
        <v>41</v>
      </c>
      <c r="I2281" s="2" t="s">
        <v>626</v>
      </c>
      <c r="J2281" s="2" t="s">
        <v>930</v>
      </c>
      <c r="L2281" s="2" t="s">
        <v>626</v>
      </c>
      <c r="M2281" s="2" t="s">
        <v>41</v>
      </c>
      <c r="P2281" s="2" t="s">
        <v>43</v>
      </c>
      <c r="Q2281" s="2" t="s">
        <v>232</v>
      </c>
      <c r="R2281" s="2" t="s">
        <v>233</v>
      </c>
      <c r="S2281" s="2">
        <v>1</v>
      </c>
      <c r="T2281" s="2">
        <v>12</v>
      </c>
      <c r="V2281" s="2">
        <f t="shared" si="321"/>
        <v>12</v>
      </c>
      <c r="W2281" s="2">
        <v>5.9066999999999998</v>
      </c>
      <c r="X2281" s="5">
        <f t="shared" si="320"/>
        <v>0.50777499999999998</v>
      </c>
      <c r="Z2281" s="2" t="s">
        <v>3227</v>
      </c>
      <c r="AA2281" s="2" t="s">
        <v>46</v>
      </c>
      <c r="AB2281" s="2" t="s">
        <v>56</v>
      </c>
      <c r="AC2281" s="2" t="s">
        <v>57</v>
      </c>
      <c r="AF2281" s="2">
        <f t="shared" si="316"/>
        <v>0</v>
      </c>
      <c r="AG2281" s="2">
        <v>5.9066999999999998</v>
      </c>
      <c r="AH2281" s="2">
        <v>12.6</v>
      </c>
      <c r="AJ2281" s="2">
        <f t="shared" si="317"/>
        <v>0</v>
      </c>
      <c r="AK2281" s="2">
        <f t="shared" si="318"/>
        <v>6.0933000000000002</v>
      </c>
      <c r="AL2281" s="5">
        <f t="shared" si="319"/>
        <v>0.50777499999999998</v>
      </c>
    </row>
    <row r="2282" spans="1:38" x14ac:dyDescent="0.2">
      <c r="A2282" s="2">
        <v>2025</v>
      </c>
      <c r="B2282" s="2">
        <v>11</v>
      </c>
      <c r="D2282" s="2" t="s">
        <v>928</v>
      </c>
      <c r="E2282" s="2" t="s">
        <v>38</v>
      </c>
      <c r="F2282" s="2" t="s">
        <v>39</v>
      </c>
      <c r="G2282" s="2" t="s">
        <v>929</v>
      </c>
      <c r="H2282" s="2" t="s">
        <v>41</v>
      </c>
      <c r="I2282" s="2" t="s">
        <v>626</v>
      </c>
      <c r="J2282" s="2" t="s">
        <v>930</v>
      </c>
      <c r="L2282" s="2" t="s">
        <v>626</v>
      </c>
      <c r="M2282" s="2" t="s">
        <v>41</v>
      </c>
      <c r="P2282" s="2" t="s">
        <v>43</v>
      </c>
      <c r="Q2282" s="2" t="s">
        <v>234</v>
      </c>
      <c r="R2282" s="2" t="s">
        <v>235</v>
      </c>
      <c r="S2282" s="2">
        <v>1</v>
      </c>
      <c r="T2282" s="2">
        <v>13.2</v>
      </c>
      <c r="V2282" s="2">
        <f t="shared" si="321"/>
        <v>13.2</v>
      </c>
      <c r="W2282" s="2">
        <v>7.2217000000000002</v>
      </c>
      <c r="X2282" s="5">
        <f t="shared" si="320"/>
        <v>0.45290151515151511</v>
      </c>
      <c r="Z2282" s="2" t="s">
        <v>3227</v>
      </c>
      <c r="AA2282" s="2" t="s">
        <v>46</v>
      </c>
      <c r="AB2282" s="2" t="s">
        <v>56</v>
      </c>
      <c r="AC2282" s="2" t="s">
        <v>57</v>
      </c>
      <c r="AF2282" s="2">
        <f t="shared" si="316"/>
        <v>0</v>
      </c>
      <c r="AG2282" s="2">
        <v>7.2217000000000002</v>
      </c>
      <c r="AH2282" s="2">
        <v>14.4</v>
      </c>
      <c r="AJ2282" s="2">
        <f t="shared" si="317"/>
        <v>0</v>
      </c>
      <c r="AK2282" s="2">
        <f t="shared" si="318"/>
        <v>5.9782999999999991</v>
      </c>
      <c r="AL2282" s="5">
        <f t="shared" si="319"/>
        <v>0.45290151515151511</v>
      </c>
    </row>
    <row r="2283" spans="1:38" x14ac:dyDescent="0.2">
      <c r="A2283" s="2">
        <v>2025</v>
      </c>
      <c r="B2283" s="2">
        <v>11</v>
      </c>
      <c r="D2283" s="2" t="s">
        <v>928</v>
      </c>
      <c r="E2283" s="2" t="s">
        <v>38</v>
      </c>
      <c r="F2283" s="2" t="s">
        <v>39</v>
      </c>
      <c r="G2283" s="2" t="s">
        <v>929</v>
      </c>
      <c r="H2283" s="2" t="s">
        <v>41</v>
      </c>
      <c r="I2283" s="2" t="s">
        <v>626</v>
      </c>
      <c r="J2283" s="2" t="s">
        <v>930</v>
      </c>
      <c r="L2283" s="2" t="s">
        <v>626</v>
      </c>
      <c r="M2283" s="2" t="s">
        <v>41</v>
      </c>
      <c r="P2283" s="2" t="s">
        <v>43</v>
      </c>
      <c r="Q2283" s="2" t="s">
        <v>238</v>
      </c>
      <c r="R2283" s="2" t="s">
        <v>239</v>
      </c>
      <c r="S2283" s="2">
        <v>1</v>
      </c>
      <c r="T2283" s="2">
        <v>19.8</v>
      </c>
      <c r="V2283" s="2">
        <f t="shared" si="321"/>
        <v>19.8</v>
      </c>
      <c r="W2283" s="2">
        <f>11.045*S2283</f>
        <v>11.045</v>
      </c>
      <c r="X2283" s="5">
        <f t="shared" si="320"/>
        <v>0.44217171717171722</v>
      </c>
      <c r="Z2283" s="2" t="s">
        <v>3227</v>
      </c>
      <c r="AA2283" s="2" t="s">
        <v>46</v>
      </c>
      <c r="AB2283" s="2" t="s">
        <v>56</v>
      </c>
      <c r="AC2283" s="2" t="s">
        <v>57</v>
      </c>
      <c r="AF2283" s="2">
        <f t="shared" si="316"/>
        <v>0</v>
      </c>
      <c r="AJ2283" s="2">
        <f t="shared" si="317"/>
        <v>0</v>
      </c>
      <c r="AK2283" s="2">
        <f t="shared" si="318"/>
        <v>8.7550000000000008</v>
      </c>
      <c r="AL2283" s="5">
        <f t="shared" si="319"/>
        <v>0.44217171717171722</v>
      </c>
    </row>
    <row r="2284" spans="1:38" x14ac:dyDescent="0.2">
      <c r="A2284" s="2">
        <v>2025</v>
      </c>
      <c r="B2284" s="2">
        <v>11</v>
      </c>
      <c r="D2284" s="2" t="s">
        <v>928</v>
      </c>
      <c r="E2284" s="2" t="s">
        <v>38</v>
      </c>
      <c r="F2284" s="2" t="s">
        <v>39</v>
      </c>
      <c r="G2284" s="2" t="s">
        <v>929</v>
      </c>
      <c r="H2284" s="2" t="s">
        <v>41</v>
      </c>
      <c r="I2284" s="2" t="s">
        <v>626</v>
      </c>
      <c r="J2284" s="2" t="s">
        <v>930</v>
      </c>
      <c r="L2284" s="2" t="s">
        <v>626</v>
      </c>
      <c r="M2284" s="2" t="s">
        <v>41</v>
      </c>
      <c r="P2284" s="2" t="s">
        <v>43</v>
      </c>
      <c r="Q2284" s="2" t="s">
        <v>240</v>
      </c>
      <c r="R2284" s="2" t="s">
        <v>241</v>
      </c>
      <c r="S2284" s="2">
        <v>1</v>
      </c>
      <c r="T2284" s="2">
        <v>24</v>
      </c>
      <c r="V2284" s="2">
        <f t="shared" si="321"/>
        <v>24</v>
      </c>
      <c r="W2284" s="2">
        <f>13.4067*S2284</f>
        <v>13.406700000000001</v>
      </c>
      <c r="X2284" s="5">
        <f t="shared" si="320"/>
        <v>0.44138749999999999</v>
      </c>
      <c r="Z2284" s="2" t="s">
        <v>3227</v>
      </c>
      <c r="AA2284" s="2" t="s">
        <v>46</v>
      </c>
      <c r="AB2284" s="2" t="s">
        <v>56</v>
      </c>
      <c r="AC2284" s="2" t="s">
        <v>57</v>
      </c>
      <c r="AF2284" s="2">
        <f t="shared" si="316"/>
        <v>0</v>
      </c>
      <c r="AJ2284" s="2">
        <f t="shared" si="317"/>
        <v>0</v>
      </c>
      <c r="AK2284" s="2">
        <f t="shared" si="318"/>
        <v>10.593299999999999</v>
      </c>
      <c r="AL2284" s="5">
        <f t="shared" si="319"/>
        <v>0.44138749999999999</v>
      </c>
    </row>
    <row r="2285" spans="1:38" x14ac:dyDescent="0.2">
      <c r="A2285" s="2">
        <v>2025</v>
      </c>
      <c r="B2285" s="2">
        <v>11</v>
      </c>
      <c r="D2285" s="2" t="s">
        <v>928</v>
      </c>
      <c r="E2285" s="2" t="s">
        <v>38</v>
      </c>
      <c r="F2285" s="2" t="s">
        <v>39</v>
      </c>
      <c r="G2285" s="2" t="s">
        <v>929</v>
      </c>
      <c r="H2285" s="2" t="s">
        <v>41</v>
      </c>
      <c r="I2285" s="2" t="s">
        <v>626</v>
      </c>
      <c r="J2285" s="2" t="s">
        <v>930</v>
      </c>
      <c r="L2285" s="2" t="s">
        <v>626</v>
      </c>
      <c r="M2285" s="2" t="s">
        <v>41</v>
      </c>
      <c r="P2285" s="2" t="s">
        <v>43</v>
      </c>
      <c r="Q2285" s="2" t="s">
        <v>242</v>
      </c>
      <c r="R2285" s="2" t="s">
        <v>243</v>
      </c>
      <c r="S2285" s="2">
        <v>1</v>
      </c>
      <c r="T2285" s="2">
        <v>28.8</v>
      </c>
      <c r="V2285" s="2">
        <f t="shared" si="321"/>
        <v>28.8</v>
      </c>
      <c r="W2285" s="2">
        <f>16.2249*S2285</f>
        <v>16.224900000000002</v>
      </c>
      <c r="X2285" s="5">
        <f t="shared" si="320"/>
        <v>0.43663541666666661</v>
      </c>
      <c r="Z2285" s="2" t="s">
        <v>3227</v>
      </c>
      <c r="AA2285" s="2" t="s">
        <v>46</v>
      </c>
      <c r="AB2285" s="2" t="s">
        <v>56</v>
      </c>
      <c r="AC2285" s="2" t="s">
        <v>57</v>
      </c>
      <c r="AF2285" s="2">
        <f t="shared" si="316"/>
        <v>0</v>
      </c>
      <c r="AJ2285" s="2">
        <f t="shared" si="317"/>
        <v>0</v>
      </c>
      <c r="AK2285" s="2">
        <f t="shared" si="318"/>
        <v>12.575099999999999</v>
      </c>
      <c r="AL2285" s="5">
        <f t="shared" si="319"/>
        <v>0.43663541666666661</v>
      </c>
    </row>
    <row r="2286" spans="1:38" x14ac:dyDescent="0.2">
      <c r="A2286" s="2">
        <v>2025</v>
      </c>
      <c r="B2286" s="2">
        <v>11</v>
      </c>
      <c r="D2286" s="2" t="s">
        <v>928</v>
      </c>
      <c r="E2286" s="2" t="s">
        <v>38</v>
      </c>
      <c r="F2286" s="2" t="s">
        <v>39</v>
      </c>
      <c r="G2286" s="2" t="s">
        <v>929</v>
      </c>
      <c r="H2286" s="2" t="s">
        <v>41</v>
      </c>
      <c r="I2286" s="2" t="s">
        <v>626</v>
      </c>
      <c r="J2286" s="2" t="s">
        <v>930</v>
      </c>
      <c r="L2286" s="2" t="s">
        <v>626</v>
      </c>
      <c r="M2286" s="2" t="s">
        <v>41</v>
      </c>
      <c r="P2286" s="2" t="s">
        <v>43</v>
      </c>
      <c r="Q2286" s="2" t="s">
        <v>244</v>
      </c>
      <c r="R2286" s="2" t="s">
        <v>245</v>
      </c>
      <c r="S2286" s="2">
        <v>1</v>
      </c>
      <c r="T2286" s="2">
        <v>16.8</v>
      </c>
      <c r="V2286" s="2">
        <f t="shared" si="321"/>
        <v>16.8</v>
      </c>
      <c r="W2286" s="2">
        <f>9.2346*S2286</f>
        <v>9.2346000000000004</v>
      </c>
      <c r="X2286" s="5">
        <f t="shared" si="320"/>
        <v>0.45032142857142859</v>
      </c>
      <c r="Z2286" s="2" t="s">
        <v>3227</v>
      </c>
      <c r="AA2286" s="2" t="s">
        <v>46</v>
      </c>
      <c r="AB2286" s="2" t="s">
        <v>56</v>
      </c>
      <c r="AC2286" s="2" t="s">
        <v>57</v>
      </c>
      <c r="AF2286" s="2">
        <f t="shared" si="316"/>
        <v>0</v>
      </c>
      <c r="AJ2286" s="2">
        <f t="shared" si="317"/>
        <v>0</v>
      </c>
      <c r="AK2286" s="2">
        <f t="shared" si="318"/>
        <v>7.5654000000000003</v>
      </c>
      <c r="AL2286" s="5">
        <f t="shared" si="319"/>
        <v>0.45032142857142859</v>
      </c>
    </row>
    <row r="2287" spans="1:38" x14ac:dyDescent="0.2">
      <c r="A2287" s="2">
        <v>2025</v>
      </c>
      <c r="B2287" s="2">
        <v>11</v>
      </c>
      <c r="D2287" s="2" t="s">
        <v>928</v>
      </c>
      <c r="E2287" s="2" t="s">
        <v>38</v>
      </c>
      <c r="F2287" s="2" t="s">
        <v>39</v>
      </c>
      <c r="G2287" s="2" t="s">
        <v>929</v>
      </c>
      <c r="H2287" s="2" t="s">
        <v>41</v>
      </c>
      <c r="I2287" s="2" t="s">
        <v>626</v>
      </c>
      <c r="J2287" s="2" t="s">
        <v>930</v>
      </c>
      <c r="L2287" s="2" t="s">
        <v>626</v>
      </c>
      <c r="M2287" s="2" t="s">
        <v>41</v>
      </c>
      <c r="P2287" s="2" t="s">
        <v>43</v>
      </c>
      <c r="Q2287" s="2" t="s">
        <v>246</v>
      </c>
      <c r="R2287" s="2" t="s">
        <v>247</v>
      </c>
      <c r="S2287" s="2">
        <v>1</v>
      </c>
      <c r="T2287" s="2">
        <v>19.2</v>
      </c>
      <c r="V2287" s="2">
        <f t="shared" si="321"/>
        <v>19.2</v>
      </c>
      <c r="W2287" s="2">
        <f>10.5267*S2287</f>
        <v>10.5267</v>
      </c>
      <c r="X2287" s="5">
        <f t="shared" si="320"/>
        <v>0.45173437499999997</v>
      </c>
      <c r="Z2287" s="2" t="s">
        <v>3227</v>
      </c>
      <c r="AA2287" s="2" t="s">
        <v>46</v>
      </c>
      <c r="AB2287" s="2" t="s">
        <v>56</v>
      </c>
      <c r="AC2287" s="2" t="s">
        <v>57</v>
      </c>
      <c r="AF2287" s="2">
        <f t="shared" si="316"/>
        <v>0</v>
      </c>
      <c r="AJ2287" s="2">
        <f t="shared" si="317"/>
        <v>0</v>
      </c>
      <c r="AK2287" s="2">
        <f t="shared" si="318"/>
        <v>8.6732999999999993</v>
      </c>
      <c r="AL2287" s="5">
        <f t="shared" si="319"/>
        <v>0.45173437499999997</v>
      </c>
    </row>
    <row r="2288" spans="1:38" x14ac:dyDescent="0.2">
      <c r="A2288" s="2">
        <v>2025</v>
      </c>
      <c r="B2288" s="2">
        <v>11</v>
      </c>
      <c r="D2288" s="2" t="s">
        <v>928</v>
      </c>
      <c r="E2288" s="2" t="s">
        <v>38</v>
      </c>
      <c r="F2288" s="2" t="s">
        <v>39</v>
      </c>
      <c r="G2288" s="2" t="s">
        <v>929</v>
      </c>
      <c r="H2288" s="2" t="s">
        <v>41</v>
      </c>
      <c r="I2288" s="2" t="s">
        <v>626</v>
      </c>
      <c r="J2288" s="2" t="s">
        <v>930</v>
      </c>
      <c r="L2288" s="2" t="s">
        <v>626</v>
      </c>
      <c r="M2288" s="2" t="s">
        <v>41</v>
      </c>
      <c r="P2288" s="2" t="s">
        <v>43</v>
      </c>
      <c r="Q2288" s="2" t="s">
        <v>285</v>
      </c>
      <c r="R2288" s="2" t="s">
        <v>286</v>
      </c>
      <c r="S2288" s="2">
        <v>1</v>
      </c>
      <c r="T2288" s="2">
        <v>22.2</v>
      </c>
      <c r="V2288" s="2">
        <f t="shared" si="321"/>
        <v>22.2</v>
      </c>
      <c r="W2288" s="2">
        <f>12.2604*S2288</f>
        <v>12.260400000000001</v>
      </c>
      <c r="X2288" s="5">
        <f t="shared" si="320"/>
        <v>0.44772972972972969</v>
      </c>
      <c r="Z2288" s="2" t="s">
        <v>3227</v>
      </c>
      <c r="AA2288" s="2" t="s">
        <v>46</v>
      </c>
      <c r="AB2288" s="2" t="s">
        <v>56</v>
      </c>
      <c r="AC2288" s="2" t="s">
        <v>57</v>
      </c>
      <c r="AF2288" s="2">
        <f t="shared" si="316"/>
        <v>0</v>
      </c>
      <c r="AJ2288" s="2">
        <f t="shared" si="317"/>
        <v>0</v>
      </c>
      <c r="AK2288" s="2">
        <f t="shared" si="318"/>
        <v>9.9395999999999987</v>
      </c>
      <c r="AL2288" s="5">
        <f t="shared" si="319"/>
        <v>0.44772972972972969</v>
      </c>
    </row>
    <row r="2289" spans="1:38" x14ac:dyDescent="0.2">
      <c r="A2289" s="2">
        <v>2025</v>
      </c>
      <c r="B2289" s="2">
        <v>11</v>
      </c>
      <c r="D2289" s="2" t="s">
        <v>928</v>
      </c>
      <c r="E2289" s="2" t="s">
        <v>38</v>
      </c>
      <c r="F2289" s="2" t="s">
        <v>39</v>
      </c>
      <c r="G2289" s="2" t="s">
        <v>929</v>
      </c>
      <c r="H2289" s="2" t="s">
        <v>41</v>
      </c>
      <c r="I2289" s="2" t="s">
        <v>626</v>
      </c>
      <c r="J2289" s="2" t="s">
        <v>930</v>
      </c>
      <c r="L2289" s="2" t="s">
        <v>626</v>
      </c>
      <c r="M2289" s="2" t="s">
        <v>41</v>
      </c>
      <c r="P2289" s="2" t="s">
        <v>43</v>
      </c>
      <c r="Q2289" s="2" t="s">
        <v>61</v>
      </c>
      <c r="R2289" s="2" t="s">
        <v>62</v>
      </c>
      <c r="S2289" s="2">
        <v>1000</v>
      </c>
      <c r="T2289" s="2">
        <v>105</v>
      </c>
      <c r="V2289" s="2">
        <f t="shared" si="321"/>
        <v>105</v>
      </c>
      <c r="W2289" s="2">
        <f>0.082*S2289</f>
        <v>82</v>
      </c>
      <c r="X2289" s="5">
        <f t="shared" si="320"/>
        <v>0.21904761904761905</v>
      </c>
      <c r="Z2289" s="2" t="s">
        <v>3227</v>
      </c>
      <c r="AA2289" s="2" t="s">
        <v>46</v>
      </c>
      <c r="AB2289" s="2" t="s">
        <v>60</v>
      </c>
      <c r="AC2289" s="2" t="s">
        <v>57</v>
      </c>
      <c r="AF2289" s="2">
        <f t="shared" si="316"/>
        <v>0</v>
      </c>
      <c r="AG2289" s="2">
        <v>8.1999999999999993</v>
      </c>
      <c r="AH2289" s="2">
        <v>13</v>
      </c>
      <c r="AJ2289" s="2">
        <f t="shared" si="317"/>
        <v>0</v>
      </c>
      <c r="AK2289" s="2">
        <f t="shared" si="318"/>
        <v>23</v>
      </c>
      <c r="AL2289" s="5">
        <f t="shared" si="319"/>
        <v>0.21904761904761905</v>
      </c>
    </row>
    <row r="2290" spans="1:38" x14ac:dyDescent="0.2">
      <c r="A2290" s="2">
        <v>2025</v>
      </c>
      <c r="B2290" s="2">
        <v>11</v>
      </c>
      <c r="D2290" s="2" t="s">
        <v>928</v>
      </c>
      <c r="E2290" s="2" t="s">
        <v>38</v>
      </c>
      <c r="F2290" s="2" t="s">
        <v>39</v>
      </c>
      <c r="G2290" s="2" t="s">
        <v>929</v>
      </c>
      <c r="H2290" s="2" t="s">
        <v>41</v>
      </c>
      <c r="I2290" s="2" t="s">
        <v>626</v>
      </c>
      <c r="J2290" s="2" t="s">
        <v>930</v>
      </c>
      <c r="L2290" s="2" t="s">
        <v>626</v>
      </c>
      <c r="M2290" s="2" t="s">
        <v>41</v>
      </c>
      <c r="P2290" s="2" t="s">
        <v>43</v>
      </c>
      <c r="Q2290" s="2" t="s">
        <v>258</v>
      </c>
      <c r="R2290" s="2" t="s">
        <v>259</v>
      </c>
      <c r="S2290" s="2">
        <v>1</v>
      </c>
      <c r="T2290" s="2">
        <v>24</v>
      </c>
      <c r="V2290" s="2">
        <f t="shared" si="321"/>
        <v>24</v>
      </c>
      <c r="W2290" s="2">
        <f>11*S2290</f>
        <v>11</v>
      </c>
      <c r="X2290" s="5">
        <f t="shared" si="320"/>
        <v>0.54166666666666663</v>
      </c>
      <c r="Z2290" s="2" t="s">
        <v>3227</v>
      </c>
      <c r="AA2290" s="2" t="s">
        <v>46</v>
      </c>
      <c r="AB2290" s="2" t="s">
        <v>47</v>
      </c>
      <c r="AC2290" s="2" t="s">
        <v>57</v>
      </c>
      <c r="AF2290" s="2">
        <f t="shared" si="316"/>
        <v>0</v>
      </c>
      <c r="AJ2290" s="2">
        <f t="shared" si="317"/>
        <v>0</v>
      </c>
      <c r="AK2290" s="2">
        <f t="shared" si="318"/>
        <v>13</v>
      </c>
      <c r="AL2290" s="5">
        <f t="shared" si="319"/>
        <v>0.54166666666666663</v>
      </c>
    </row>
    <row r="2291" spans="1:38" x14ac:dyDescent="0.2">
      <c r="A2291" s="2">
        <v>2025</v>
      </c>
      <c r="B2291" s="2">
        <v>11</v>
      </c>
      <c r="D2291" s="2" t="s">
        <v>928</v>
      </c>
      <c r="E2291" s="2" t="s">
        <v>38</v>
      </c>
      <c r="F2291" s="2" t="s">
        <v>39</v>
      </c>
      <c r="G2291" s="2" t="s">
        <v>929</v>
      </c>
      <c r="H2291" s="2" t="s">
        <v>41</v>
      </c>
      <c r="I2291" s="2" t="s">
        <v>626</v>
      </c>
      <c r="J2291" s="2" t="s">
        <v>930</v>
      </c>
      <c r="L2291" s="2" t="s">
        <v>626</v>
      </c>
      <c r="M2291" s="2" t="s">
        <v>41</v>
      </c>
      <c r="P2291" s="2" t="s">
        <v>43</v>
      </c>
      <c r="Q2291" s="2" t="s">
        <v>65</v>
      </c>
      <c r="R2291" s="2" t="s">
        <v>66</v>
      </c>
      <c r="S2291" s="2">
        <v>1</v>
      </c>
      <c r="T2291" s="2">
        <v>26.4</v>
      </c>
      <c r="V2291" s="2">
        <f t="shared" si="321"/>
        <v>26.4</v>
      </c>
      <c r="W2291" s="2">
        <f>15.0203*S2291</f>
        <v>15.020300000000001</v>
      </c>
      <c r="X2291" s="5">
        <f t="shared" si="320"/>
        <v>0.43104924242424236</v>
      </c>
      <c r="Z2291" s="2" t="s">
        <v>3227</v>
      </c>
      <c r="AA2291" s="2" t="s">
        <v>46</v>
      </c>
      <c r="AB2291" s="2" t="s">
        <v>67</v>
      </c>
      <c r="AC2291" s="2" t="s">
        <v>57</v>
      </c>
      <c r="AF2291" s="2">
        <f t="shared" si="316"/>
        <v>0</v>
      </c>
      <c r="AG2291" s="2">
        <v>15.020300000000001</v>
      </c>
      <c r="AH2291" s="2">
        <v>27.6</v>
      </c>
      <c r="AJ2291" s="2">
        <f t="shared" si="317"/>
        <v>0</v>
      </c>
      <c r="AK2291" s="2">
        <f t="shared" si="318"/>
        <v>11.379699999999998</v>
      </c>
      <c r="AL2291" s="5">
        <f t="shared" si="319"/>
        <v>0.43104924242424236</v>
      </c>
    </row>
    <row r="2292" spans="1:38" x14ac:dyDescent="0.2">
      <c r="A2292" s="2">
        <v>2025</v>
      </c>
      <c r="B2292" s="2">
        <v>11</v>
      </c>
      <c r="D2292" s="2" t="s">
        <v>928</v>
      </c>
      <c r="E2292" s="2" t="s">
        <v>38</v>
      </c>
      <c r="F2292" s="2" t="s">
        <v>39</v>
      </c>
      <c r="G2292" s="2" t="s">
        <v>929</v>
      </c>
      <c r="H2292" s="2" t="s">
        <v>41</v>
      </c>
      <c r="I2292" s="2" t="s">
        <v>626</v>
      </c>
      <c r="J2292" s="2" t="s">
        <v>930</v>
      </c>
      <c r="L2292" s="2" t="s">
        <v>626</v>
      </c>
      <c r="M2292" s="2" t="s">
        <v>41</v>
      </c>
      <c r="P2292" s="2" t="s">
        <v>84</v>
      </c>
      <c r="Q2292" s="2" t="s">
        <v>270</v>
      </c>
      <c r="R2292" s="2" t="s">
        <v>271</v>
      </c>
      <c r="S2292" s="2">
        <v>1</v>
      </c>
      <c r="T2292" s="2">
        <v>10.199999999999999</v>
      </c>
      <c r="V2292" s="2">
        <f t="shared" si="321"/>
        <v>10.199999999999999</v>
      </c>
      <c r="W2292" s="2">
        <v>6.86</v>
      </c>
      <c r="X2292" s="5">
        <f t="shared" si="320"/>
        <v>0.32745098039215681</v>
      </c>
      <c r="Z2292" s="2" t="s">
        <v>3227</v>
      </c>
      <c r="AA2292" s="2" t="s">
        <v>87</v>
      </c>
      <c r="AB2292" s="2" t="s">
        <v>90</v>
      </c>
      <c r="AC2292" s="2" t="s">
        <v>84</v>
      </c>
      <c r="AF2292" s="2">
        <f t="shared" si="316"/>
        <v>0</v>
      </c>
      <c r="AJ2292" s="2">
        <f t="shared" si="317"/>
        <v>0</v>
      </c>
      <c r="AK2292" s="2">
        <f t="shared" ref="AK2292:AK2323" si="322">T2292-W2292</f>
        <v>3.339999999999999</v>
      </c>
      <c r="AL2292" s="5">
        <f t="shared" ref="AL2292:AL2323" si="323">(T2292-W2292)/T2292</f>
        <v>0.32745098039215681</v>
      </c>
    </row>
    <row r="2293" spans="1:38" x14ac:dyDescent="0.2">
      <c r="A2293" s="2">
        <v>2025</v>
      </c>
      <c r="B2293" s="2">
        <v>11</v>
      </c>
      <c r="D2293" s="2" t="s">
        <v>928</v>
      </c>
      <c r="E2293" s="2" t="s">
        <v>38</v>
      </c>
      <c r="F2293" s="2" t="s">
        <v>39</v>
      </c>
      <c r="G2293" s="2" t="s">
        <v>929</v>
      </c>
      <c r="H2293" s="2" t="s">
        <v>41</v>
      </c>
      <c r="I2293" s="2" t="s">
        <v>626</v>
      </c>
      <c r="J2293" s="2" t="s">
        <v>930</v>
      </c>
      <c r="L2293" s="2" t="s">
        <v>626</v>
      </c>
      <c r="M2293" s="2" t="s">
        <v>41</v>
      </c>
      <c r="P2293" s="2" t="s">
        <v>84</v>
      </c>
      <c r="Q2293" s="2" t="s">
        <v>274</v>
      </c>
      <c r="R2293" s="2" t="s">
        <v>275</v>
      </c>
      <c r="S2293" s="2">
        <v>1</v>
      </c>
      <c r="T2293" s="2">
        <v>6</v>
      </c>
      <c r="V2293" s="2">
        <f t="shared" si="321"/>
        <v>6</v>
      </c>
      <c r="W2293" s="2">
        <v>2.94</v>
      </c>
      <c r="X2293" s="5">
        <f t="shared" si="320"/>
        <v>0.51</v>
      </c>
      <c r="Z2293" s="2" t="s">
        <v>3227</v>
      </c>
      <c r="AA2293" s="2" t="s">
        <v>87</v>
      </c>
      <c r="AB2293" s="2" t="s">
        <v>90</v>
      </c>
      <c r="AC2293" s="2" t="s">
        <v>84</v>
      </c>
      <c r="AF2293" s="2">
        <f t="shared" si="316"/>
        <v>0</v>
      </c>
      <c r="AJ2293" s="2">
        <f t="shared" si="317"/>
        <v>0</v>
      </c>
      <c r="AK2293" s="2">
        <f t="shared" si="322"/>
        <v>3.06</v>
      </c>
      <c r="AL2293" s="5">
        <f t="shared" si="323"/>
        <v>0.51</v>
      </c>
    </row>
    <row r="2294" spans="1:38" x14ac:dyDescent="0.2">
      <c r="A2294" s="2">
        <v>2025</v>
      </c>
      <c r="B2294" s="2">
        <v>12</v>
      </c>
      <c r="D2294" s="2" t="s">
        <v>37</v>
      </c>
      <c r="E2294" s="2" t="s">
        <v>38</v>
      </c>
      <c r="F2294" s="2" t="s">
        <v>39</v>
      </c>
      <c r="H2294" s="2" t="s">
        <v>40</v>
      </c>
      <c r="P2294" s="2" t="s">
        <v>282</v>
      </c>
      <c r="Q2294" s="2" t="s">
        <v>2037</v>
      </c>
      <c r="R2294" s="2" t="s">
        <v>2038</v>
      </c>
      <c r="S2294" s="2">
        <v>1</v>
      </c>
      <c r="T2294" s="2">
        <v>30</v>
      </c>
      <c r="U2294" s="2">
        <v>6.9</v>
      </c>
      <c r="V2294" s="2">
        <v>36.9</v>
      </c>
      <c r="X2294" s="5">
        <f t="shared" ref="X2294:X2325" si="324">(T2294-W2294)/T2294</f>
        <v>1</v>
      </c>
      <c r="Z2294" s="2" t="s">
        <v>3227</v>
      </c>
      <c r="AF2294" s="2">
        <f t="shared" si="316"/>
        <v>0</v>
      </c>
      <c r="AJ2294" s="2">
        <f t="shared" si="317"/>
        <v>0</v>
      </c>
      <c r="AK2294" s="2">
        <f t="shared" si="322"/>
        <v>30</v>
      </c>
      <c r="AL2294" s="5">
        <f t="shared" si="323"/>
        <v>1</v>
      </c>
    </row>
    <row r="2295" spans="1:38" x14ac:dyDescent="0.2">
      <c r="A2295" s="2">
        <v>2025</v>
      </c>
      <c r="B2295" s="2">
        <v>12</v>
      </c>
      <c r="D2295" s="2" t="s">
        <v>37</v>
      </c>
      <c r="E2295" s="2" t="s">
        <v>38</v>
      </c>
      <c r="F2295" s="2" t="s">
        <v>39</v>
      </c>
      <c r="H2295" s="2" t="s">
        <v>40</v>
      </c>
      <c r="P2295" s="2" t="s">
        <v>282</v>
      </c>
      <c r="Q2295" s="2" t="s">
        <v>399</v>
      </c>
      <c r="R2295" s="2" t="s">
        <v>400</v>
      </c>
      <c r="S2295" s="2">
        <v>3</v>
      </c>
      <c r="T2295" s="2">
        <v>60</v>
      </c>
      <c r="U2295" s="2">
        <v>13.8</v>
      </c>
      <c r="V2295" s="2">
        <v>73.8</v>
      </c>
      <c r="W2295" s="2">
        <f>17.4*S2295</f>
        <v>52.199999999999996</v>
      </c>
      <c r="X2295" s="5">
        <f t="shared" si="324"/>
        <v>0.13000000000000006</v>
      </c>
      <c r="Z2295" s="2" t="s">
        <v>3227</v>
      </c>
      <c r="AA2295" s="2" t="s">
        <v>46</v>
      </c>
      <c r="AB2295" s="2" t="s">
        <v>60</v>
      </c>
      <c r="AC2295" s="2" t="s">
        <v>3332</v>
      </c>
      <c r="AF2295" s="2">
        <f t="shared" si="316"/>
        <v>0</v>
      </c>
      <c r="AJ2295" s="2">
        <f t="shared" si="317"/>
        <v>0</v>
      </c>
      <c r="AK2295" s="2">
        <f t="shared" si="322"/>
        <v>7.8000000000000043</v>
      </c>
      <c r="AL2295" s="5">
        <f t="shared" si="323"/>
        <v>0.13000000000000006</v>
      </c>
    </row>
    <row r="2296" spans="1:38" x14ac:dyDescent="0.2">
      <c r="A2296" s="2">
        <v>2025</v>
      </c>
      <c r="B2296" s="2">
        <v>12</v>
      </c>
      <c r="D2296" s="2" t="s">
        <v>37</v>
      </c>
      <c r="E2296" s="2" t="s">
        <v>38</v>
      </c>
      <c r="F2296" s="2" t="s">
        <v>39</v>
      </c>
      <c r="H2296" s="2" t="s">
        <v>40</v>
      </c>
      <c r="P2296" s="2" t="s">
        <v>282</v>
      </c>
      <c r="Q2296" s="2" t="s">
        <v>401</v>
      </c>
      <c r="R2296" s="2" t="s">
        <v>402</v>
      </c>
      <c r="S2296" s="2">
        <v>3</v>
      </c>
      <c r="T2296" s="2">
        <v>60</v>
      </c>
      <c r="U2296" s="2">
        <v>13.8</v>
      </c>
      <c r="V2296" s="2">
        <v>73.8</v>
      </c>
      <c r="W2296" s="2">
        <f>17.4*S2296</f>
        <v>52.199999999999996</v>
      </c>
      <c r="X2296" s="5">
        <f t="shared" si="324"/>
        <v>0.13000000000000006</v>
      </c>
      <c r="Z2296" s="2" t="s">
        <v>3227</v>
      </c>
      <c r="AA2296" s="2" t="s">
        <v>46</v>
      </c>
      <c r="AB2296" s="2" t="s">
        <v>60</v>
      </c>
      <c r="AC2296" s="2" t="s">
        <v>3332</v>
      </c>
      <c r="AF2296" s="2">
        <f t="shared" si="316"/>
        <v>0</v>
      </c>
      <c r="AJ2296" s="2">
        <f t="shared" si="317"/>
        <v>0</v>
      </c>
      <c r="AK2296" s="2">
        <f t="shared" si="322"/>
        <v>7.8000000000000043</v>
      </c>
      <c r="AL2296" s="5">
        <f t="shared" si="323"/>
        <v>0.13000000000000006</v>
      </c>
    </row>
    <row r="2297" spans="1:38" x14ac:dyDescent="0.2">
      <c r="A2297" s="2">
        <v>2025</v>
      </c>
      <c r="B2297" s="2">
        <v>12</v>
      </c>
      <c r="D2297" s="2" t="s">
        <v>37</v>
      </c>
      <c r="E2297" s="2" t="s">
        <v>38</v>
      </c>
      <c r="F2297" s="2" t="s">
        <v>39</v>
      </c>
      <c r="H2297" s="2" t="s">
        <v>40</v>
      </c>
      <c r="I2297" s="2" t="s">
        <v>156</v>
      </c>
      <c r="L2297" s="2" t="s">
        <v>99</v>
      </c>
      <c r="M2297" s="2" t="s">
        <v>80</v>
      </c>
      <c r="O2297" s="2" t="s">
        <v>2083</v>
      </c>
      <c r="P2297" s="2" t="s">
        <v>43</v>
      </c>
      <c r="Q2297" s="2" t="s">
        <v>158</v>
      </c>
      <c r="R2297" s="2" t="s">
        <v>159</v>
      </c>
      <c r="S2297" s="2">
        <v>2</v>
      </c>
      <c r="T2297" s="2">
        <v>37.200000000000003</v>
      </c>
      <c r="U2297" s="2">
        <v>8.5560000000000009</v>
      </c>
      <c r="V2297" s="2">
        <v>45.756</v>
      </c>
      <c r="W2297" s="2">
        <f>9.3*S2297</f>
        <v>18.600000000000001</v>
      </c>
      <c r="X2297" s="5">
        <f t="shared" si="324"/>
        <v>0.5</v>
      </c>
      <c r="Z2297" s="2" t="s">
        <v>3227</v>
      </c>
      <c r="AA2297" s="2" t="s">
        <v>46</v>
      </c>
      <c r="AB2297" s="2" t="s">
        <v>47</v>
      </c>
      <c r="AC2297" s="2" t="s">
        <v>57</v>
      </c>
      <c r="AF2297" s="2">
        <f t="shared" si="316"/>
        <v>0</v>
      </c>
      <c r="AG2297" s="2">
        <v>9.3000000000000007</v>
      </c>
      <c r="AH2297" s="2">
        <v>21</v>
      </c>
      <c r="AJ2297" s="2">
        <f t="shared" si="317"/>
        <v>0</v>
      </c>
      <c r="AK2297" s="2">
        <f t="shared" si="322"/>
        <v>18.600000000000001</v>
      </c>
      <c r="AL2297" s="5">
        <f t="shared" si="323"/>
        <v>0.5</v>
      </c>
    </row>
    <row r="2298" spans="1:38" x14ac:dyDescent="0.2">
      <c r="A2298" s="2">
        <v>2025</v>
      </c>
      <c r="B2298" s="2">
        <v>12</v>
      </c>
      <c r="D2298" s="2" t="s">
        <v>37</v>
      </c>
      <c r="E2298" s="2" t="s">
        <v>38</v>
      </c>
      <c r="F2298" s="2" t="s">
        <v>39</v>
      </c>
      <c r="H2298" s="2" t="s">
        <v>40</v>
      </c>
      <c r="P2298" s="2" t="s">
        <v>43</v>
      </c>
      <c r="Q2298" s="2" t="s">
        <v>859</v>
      </c>
      <c r="R2298" s="2" t="s">
        <v>860</v>
      </c>
      <c r="S2298" s="2">
        <v>1</v>
      </c>
      <c r="T2298" s="2">
        <v>19.2</v>
      </c>
      <c r="U2298" s="2">
        <v>4.4160000000000004</v>
      </c>
      <c r="V2298" s="2">
        <v>23.616</v>
      </c>
      <c r="W2298" s="2">
        <f>8*S2298</f>
        <v>8</v>
      </c>
      <c r="X2298" s="5">
        <f t="shared" si="324"/>
        <v>0.58333333333333337</v>
      </c>
      <c r="Z2298" s="2" t="s">
        <v>3227</v>
      </c>
      <c r="AA2298" s="2" t="s">
        <v>46</v>
      </c>
      <c r="AB2298" s="2" t="s">
        <v>47</v>
      </c>
      <c r="AC2298" s="2" t="s">
        <v>57</v>
      </c>
      <c r="AF2298" s="2">
        <f t="shared" si="316"/>
        <v>0</v>
      </c>
      <c r="AJ2298" s="2">
        <f t="shared" si="317"/>
        <v>0</v>
      </c>
      <c r="AK2298" s="2">
        <f t="shared" si="322"/>
        <v>11.2</v>
      </c>
      <c r="AL2298" s="5">
        <f t="shared" si="323"/>
        <v>0.58333333333333337</v>
      </c>
    </row>
    <row r="2299" spans="1:38" x14ac:dyDescent="0.2">
      <c r="A2299" s="2">
        <v>2025</v>
      </c>
      <c r="B2299" s="2">
        <v>12</v>
      </c>
      <c r="D2299" s="2" t="s">
        <v>37</v>
      </c>
      <c r="E2299" s="2" t="s">
        <v>38</v>
      </c>
      <c r="F2299" s="2" t="s">
        <v>39</v>
      </c>
      <c r="H2299" s="2" t="s">
        <v>40</v>
      </c>
      <c r="P2299" s="2" t="s">
        <v>43</v>
      </c>
      <c r="Q2299" s="2" t="s">
        <v>160</v>
      </c>
      <c r="R2299" s="2" t="s">
        <v>161</v>
      </c>
      <c r="S2299" s="2">
        <v>3</v>
      </c>
      <c r="T2299" s="2">
        <v>23.4</v>
      </c>
      <c r="U2299" s="2">
        <v>5.3819999999999997</v>
      </c>
      <c r="V2299" s="2">
        <v>28.782</v>
      </c>
      <c r="W2299" s="2">
        <f>3.7358*S2299</f>
        <v>11.2074</v>
      </c>
      <c r="X2299" s="5">
        <f t="shared" si="324"/>
        <v>0.52105128205128204</v>
      </c>
      <c r="Z2299" s="2" t="s">
        <v>3227</v>
      </c>
      <c r="AA2299" s="2" t="s">
        <v>46</v>
      </c>
      <c r="AB2299" s="2" t="s">
        <v>47</v>
      </c>
      <c r="AC2299" s="2" t="s">
        <v>57</v>
      </c>
      <c r="AF2299" s="2">
        <f t="shared" si="316"/>
        <v>0</v>
      </c>
      <c r="AG2299" s="2">
        <v>3.7357999999999998</v>
      </c>
      <c r="AH2299" s="2">
        <v>9</v>
      </c>
      <c r="AJ2299" s="2">
        <f t="shared" si="317"/>
        <v>0</v>
      </c>
      <c r="AK2299" s="2">
        <f t="shared" si="322"/>
        <v>12.192599999999999</v>
      </c>
      <c r="AL2299" s="5">
        <f t="shared" si="323"/>
        <v>0.52105128205128204</v>
      </c>
    </row>
    <row r="2300" spans="1:38" x14ac:dyDescent="0.2">
      <c r="A2300" s="2">
        <v>2025</v>
      </c>
      <c r="B2300" s="2">
        <v>12</v>
      </c>
      <c r="D2300" s="2" t="s">
        <v>37</v>
      </c>
      <c r="E2300" s="2" t="s">
        <v>38</v>
      </c>
      <c r="F2300" s="2" t="s">
        <v>39</v>
      </c>
      <c r="H2300" s="2" t="s">
        <v>40</v>
      </c>
      <c r="P2300" s="2" t="s">
        <v>43</v>
      </c>
      <c r="Q2300" s="2" t="s">
        <v>54</v>
      </c>
      <c r="R2300" s="2" t="s">
        <v>55</v>
      </c>
      <c r="S2300" s="2">
        <v>30</v>
      </c>
      <c r="T2300" s="2">
        <v>370</v>
      </c>
      <c r="U2300" s="2">
        <v>85.100000000000009</v>
      </c>
      <c r="V2300" s="2">
        <v>455.1</v>
      </c>
      <c r="W2300" s="2">
        <f>10.6*S2300</f>
        <v>318</v>
      </c>
      <c r="X2300" s="5">
        <f t="shared" si="324"/>
        <v>0.14054054054054055</v>
      </c>
      <c r="Z2300" s="2" t="s">
        <v>3227</v>
      </c>
      <c r="AA2300" s="2" t="s">
        <v>46</v>
      </c>
      <c r="AB2300" s="2" t="s">
        <v>56</v>
      </c>
      <c r="AC2300" s="2" t="s">
        <v>57</v>
      </c>
      <c r="AF2300" s="2">
        <f t="shared" si="316"/>
        <v>0</v>
      </c>
      <c r="AG2300" s="2">
        <v>10.6</v>
      </c>
      <c r="AH2300" s="2">
        <v>18</v>
      </c>
      <c r="AJ2300" s="2">
        <f t="shared" si="317"/>
        <v>0</v>
      </c>
      <c r="AK2300" s="2">
        <f t="shared" si="322"/>
        <v>52</v>
      </c>
      <c r="AL2300" s="5">
        <f t="shared" si="323"/>
        <v>0.14054054054054055</v>
      </c>
    </row>
    <row r="2301" spans="1:38" x14ac:dyDescent="0.2">
      <c r="A2301" s="2">
        <v>2025</v>
      </c>
      <c r="B2301" s="2">
        <v>12</v>
      </c>
      <c r="D2301" s="2" t="s">
        <v>37</v>
      </c>
      <c r="E2301" s="2" t="s">
        <v>38</v>
      </c>
      <c r="F2301" s="2" t="s">
        <v>39</v>
      </c>
      <c r="H2301" s="2" t="s">
        <v>40</v>
      </c>
      <c r="P2301" s="2" t="s">
        <v>72</v>
      </c>
      <c r="Q2301" s="2" t="s">
        <v>1035</v>
      </c>
      <c r="R2301" s="2" t="s">
        <v>79</v>
      </c>
      <c r="S2301" s="2">
        <v>1</v>
      </c>
      <c r="T2301" s="2">
        <v>259.02</v>
      </c>
      <c r="U2301" s="2">
        <v>59.574599999999997</v>
      </c>
      <c r="V2301" s="2">
        <v>318.59460000000001</v>
      </c>
      <c r="W2301" s="2">
        <v>113.33</v>
      </c>
      <c r="X2301" s="5">
        <f t="shared" si="324"/>
        <v>0.56246621882480119</v>
      </c>
      <c r="Z2301" s="2" t="s">
        <v>3227</v>
      </c>
      <c r="AA2301" s="2" t="s">
        <v>75</v>
      </c>
      <c r="AB2301" s="2" t="s">
        <v>76</v>
      </c>
      <c r="AC2301" s="2" t="s">
        <v>77</v>
      </c>
      <c r="AF2301" s="2">
        <f t="shared" si="316"/>
        <v>0</v>
      </c>
      <c r="AG2301" s="2">
        <v>113.33</v>
      </c>
      <c r="AH2301" s="2">
        <v>220</v>
      </c>
      <c r="AJ2301" s="2">
        <f t="shared" si="317"/>
        <v>0</v>
      </c>
      <c r="AK2301" s="2">
        <f t="shared" si="322"/>
        <v>145.69</v>
      </c>
      <c r="AL2301" s="5">
        <f t="shared" si="323"/>
        <v>0.56246621882480119</v>
      </c>
    </row>
    <row r="2302" spans="1:38" x14ac:dyDescent="0.2">
      <c r="A2302" s="2">
        <v>2025</v>
      </c>
      <c r="B2302" s="2">
        <v>12</v>
      </c>
      <c r="D2302" s="2" t="s">
        <v>37</v>
      </c>
      <c r="E2302" s="2" t="s">
        <v>38</v>
      </c>
      <c r="F2302" s="2" t="s">
        <v>39</v>
      </c>
      <c r="H2302" s="2" t="s">
        <v>40</v>
      </c>
      <c r="P2302" s="2" t="s">
        <v>1038</v>
      </c>
      <c r="Q2302" s="2" t="s">
        <v>1569</v>
      </c>
      <c r="R2302" s="2" t="s">
        <v>1570</v>
      </c>
      <c r="S2302" s="2">
        <v>2</v>
      </c>
      <c r="T2302" s="2">
        <v>465</v>
      </c>
      <c r="U2302" s="2">
        <v>106.95</v>
      </c>
      <c r="V2302" s="2">
        <v>571.95000000000005</v>
      </c>
      <c r="W2302" s="2">
        <f>119.065*2</f>
        <v>238.13</v>
      </c>
      <c r="X2302" s="5">
        <f t="shared" si="324"/>
        <v>0.4878924731182796</v>
      </c>
      <c r="Z2302" s="2" t="s">
        <v>3227</v>
      </c>
      <c r="AA2302" s="2" t="s">
        <v>75</v>
      </c>
      <c r="AB2302" s="2" t="s">
        <v>76</v>
      </c>
      <c r="AC2302" s="2" t="s">
        <v>1038</v>
      </c>
      <c r="AF2302" s="2">
        <f t="shared" si="316"/>
        <v>0</v>
      </c>
      <c r="AJ2302" s="2">
        <f t="shared" si="317"/>
        <v>0</v>
      </c>
      <c r="AK2302" s="2">
        <f t="shared" si="322"/>
        <v>226.87</v>
      </c>
      <c r="AL2302" s="5">
        <f t="shared" si="323"/>
        <v>0.4878924731182796</v>
      </c>
    </row>
    <row r="2303" spans="1:38" x14ac:dyDescent="0.2">
      <c r="A2303" s="2">
        <v>2025</v>
      </c>
      <c r="B2303" s="2">
        <v>12</v>
      </c>
      <c r="D2303" s="2" t="s">
        <v>37</v>
      </c>
      <c r="E2303" s="2" t="s">
        <v>38</v>
      </c>
      <c r="F2303" s="2" t="s">
        <v>39</v>
      </c>
      <c r="H2303" s="2" t="s">
        <v>40</v>
      </c>
      <c r="P2303" s="2" t="s">
        <v>3386</v>
      </c>
      <c r="Q2303" s="2" t="s">
        <v>2084</v>
      </c>
      <c r="R2303" s="2" t="s">
        <v>2085</v>
      </c>
      <c r="S2303" s="2">
        <v>4</v>
      </c>
      <c r="T2303" s="2">
        <v>80</v>
      </c>
      <c r="U2303" s="2">
        <v>18.399999999999999</v>
      </c>
      <c r="V2303" s="2">
        <v>98.4</v>
      </c>
      <c r="W2303" s="17">
        <v>80</v>
      </c>
      <c r="X2303" s="5">
        <f t="shared" si="324"/>
        <v>0</v>
      </c>
      <c r="Z2303" s="2" t="s">
        <v>3227</v>
      </c>
      <c r="AA2303" s="2" t="s">
        <v>2167</v>
      </c>
      <c r="AB2303" s="2" t="s">
        <v>2247</v>
      </c>
      <c r="AC2303" s="2" t="s">
        <v>3386</v>
      </c>
      <c r="AF2303" s="2">
        <f t="shared" si="316"/>
        <v>0</v>
      </c>
      <c r="AJ2303" s="2">
        <f t="shared" si="317"/>
        <v>0</v>
      </c>
      <c r="AK2303" s="2">
        <f t="shared" si="322"/>
        <v>0</v>
      </c>
      <c r="AL2303" s="5">
        <f t="shared" si="323"/>
        <v>0</v>
      </c>
    </row>
    <row r="2304" spans="1:38" x14ac:dyDescent="0.2">
      <c r="A2304" s="2">
        <v>2025</v>
      </c>
      <c r="B2304" s="2">
        <v>12</v>
      </c>
      <c r="D2304" s="2" t="s">
        <v>37</v>
      </c>
      <c r="E2304" s="2" t="s">
        <v>38</v>
      </c>
      <c r="F2304" s="2" t="s">
        <v>39</v>
      </c>
      <c r="H2304" s="2" t="s">
        <v>40</v>
      </c>
      <c r="P2304" s="2" t="s">
        <v>3387</v>
      </c>
      <c r="Q2304" s="2" t="s">
        <v>2086</v>
      </c>
      <c r="R2304" s="2" t="s">
        <v>2087</v>
      </c>
      <c r="S2304" s="2">
        <v>1</v>
      </c>
      <c r="T2304" s="2">
        <v>10</v>
      </c>
      <c r="U2304" s="2">
        <v>2.2999999999999998</v>
      </c>
      <c r="V2304" s="2">
        <v>12.3</v>
      </c>
      <c r="W2304" s="17">
        <v>10</v>
      </c>
      <c r="X2304" s="5">
        <f t="shared" si="324"/>
        <v>0</v>
      </c>
      <c r="Z2304" s="2" t="s">
        <v>3227</v>
      </c>
      <c r="AA2304" s="2" t="s">
        <v>1041</v>
      </c>
      <c r="AB2304" s="2" t="s">
        <v>1270</v>
      </c>
      <c r="AC2304" s="2" t="s">
        <v>3387</v>
      </c>
      <c r="AF2304" s="2">
        <f t="shared" si="316"/>
        <v>0</v>
      </c>
      <c r="AJ2304" s="2">
        <f t="shared" si="317"/>
        <v>0</v>
      </c>
      <c r="AK2304" s="2">
        <f t="shared" si="322"/>
        <v>0</v>
      </c>
      <c r="AL2304" s="5">
        <f t="shared" si="323"/>
        <v>0</v>
      </c>
    </row>
    <row r="2305" spans="1:38" x14ac:dyDescent="0.2">
      <c r="A2305" s="2">
        <v>2025</v>
      </c>
      <c r="B2305" s="2">
        <v>12</v>
      </c>
      <c r="D2305" s="2" t="s">
        <v>37</v>
      </c>
      <c r="E2305" s="2" t="s">
        <v>38</v>
      </c>
      <c r="F2305" s="2" t="s">
        <v>39</v>
      </c>
      <c r="H2305" s="2" t="s">
        <v>40</v>
      </c>
      <c r="P2305" s="2" t="s">
        <v>3387</v>
      </c>
      <c r="Q2305" s="2" t="s">
        <v>2088</v>
      </c>
      <c r="R2305" s="2" t="s">
        <v>2089</v>
      </c>
      <c r="S2305" s="2">
        <v>8</v>
      </c>
      <c r="T2305" s="2">
        <v>80</v>
      </c>
      <c r="U2305" s="2">
        <v>18.399999999999999</v>
      </c>
      <c r="V2305" s="2">
        <v>98.4</v>
      </c>
      <c r="W2305" s="17">
        <v>80</v>
      </c>
      <c r="X2305" s="5">
        <f t="shared" si="324"/>
        <v>0</v>
      </c>
      <c r="Z2305" s="2" t="s">
        <v>3227</v>
      </c>
      <c r="AA2305" s="2" t="s">
        <v>1041</v>
      </c>
      <c r="AB2305" s="2" t="s">
        <v>1270</v>
      </c>
      <c r="AC2305" s="2" t="s">
        <v>3387</v>
      </c>
      <c r="AF2305" s="2">
        <f t="shared" si="316"/>
        <v>0</v>
      </c>
      <c r="AJ2305" s="2">
        <f t="shared" si="317"/>
        <v>0</v>
      </c>
      <c r="AK2305" s="2">
        <f t="shared" si="322"/>
        <v>0</v>
      </c>
      <c r="AL2305" s="5">
        <f t="shared" si="323"/>
        <v>0</v>
      </c>
    </row>
    <row r="2306" spans="1:38" x14ac:dyDescent="0.2">
      <c r="A2306" s="2">
        <v>2025</v>
      </c>
      <c r="B2306" s="2">
        <v>12</v>
      </c>
      <c r="D2306" s="2" t="s">
        <v>37</v>
      </c>
      <c r="E2306" s="2" t="s">
        <v>38</v>
      </c>
      <c r="F2306" s="2" t="s">
        <v>39</v>
      </c>
      <c r="H2306" s="2" t="s">
        <v>40</v>
      </c>
      <c r="P2306" s="2" t="s">
        <v>3387</v>
      </c>
      <c r="Q2306" s="2" t="s">
        <v>2090</v>
      </c>
      <c r="R2306" s="2" t="s">
        <v>2091</v>
      </c>
      <c r="S2306" s="2">
        <v>4</v>
      </c>
      <c r="T2306" s="2">
        <v>40</v>
      </c>
      <c r="U2306" s="2">
        <v>9.2000000000000011</v>
      </c>
      <c r="V2306" s="2">
        <v>49.2</v>
      </c>
      <c r="W2306" s="17">
        <v>40</v>
      </c>
      <c r="X2306" s="5">
        <f t="shared" si="324"/>
        <v>0</v>
      </c>
      <c r="Z2306" s="2" t="s">
        <v>3227</v>
      </c>
      <c r="AA2306" s="2" t="s">
        <v>1041</v>
      </c>
      <c r="AB2306" s="2" t="s">
        <v>1270</v>
      </c>
      <c r="AC2306" s="2" t="s">
        <v>3387</v>
      </c>
      <c r="AF2306" s="2">
        <f t="shared" ref="AF2306:AF2369" si="325">AJ2306</f>
        <v>0</v>
      </c>
      <c r="AJ2306" s="2">
        <f t="shared" ref="AJ2306:AJ2369" si="326">AI2306*T2306</f>
        <v>0</v>
      </c>
      <c r="AK2306" s="2">
        <f t="shared" si="322"/>
        <v>0</v>
      </c>
      <c r="AL2306" s="5">
        <f t="shared" si="323"/>
        <v>0</v>
      </c>
    </row>
    <row r="2307" spans="1:38" x14ac:dyDescent="0.2">
      <c r="A2307" s="2">
        <v>2025</v>
      </c>
      <c r="B2307" s="2">
        <v>12</v>
      </c>
      <c r="D2307" s="2" t="s">
        <v>37</v>
      </c>
      <c r="E2307" s="2" t="s">
        <v>38</v>
      </c>
      <c r="F2307" s="2" t="s">
        <v>39</v>
      </c>
      <c r="H2307" s="2" t="s">
        <v>40</v>
      </c>
      <c r="P2307" s="2" t="s">
        <v>3386</v>
      </c>
      <c r="Q2307" s="2" t="s">
        <v>2092</v>
      </c>
      <c r="R2307" s="2" t="s">
        <v>2093</v>
      </c>
      <c r="S2307" s="2">
        <v>4</v>
      </c>
      <c r="T2307" s="2">
        <v>60</v>
      </c>
      <c r="U2307" s="2">
        <v>13.8</v>
      </c>
      <c r="V2307" s="2">
        <v>73.8</v>
      </c>
      <c r="W2307" s="17">
        <v>60</v>
      </c>
      <c r="X2307" s="5">
        <f t="shared" si="324"/>
        <v>0</v>
      </c>
      <c r="Z2307" s="2" t="s">
        <v>3227</v>
      </c>
      <c r="AA2307" s="2" t="s">
        <v>2167</v>
      </c>
      <c r="AB2307" s="2" t="s">
        <v>2247</v>
      </c>
      <c r="AC2307" s="2" t="s">
        <v>3386</v>
      </c>
      <c r="AF2307" s="2">
        <f t="shared" si="325"/>
        <v>0</v>
      </c>
      <c r="AJ2307" s="2">
        <f t="shared" si="326"/>
        <v>0</v>
      </c>
      <c r="AK2307" s="2">
        <f t="shared" si="322"/>
        <v>0</v>
      </c>
      <c r="AL2307" s="5">
        <f t="shared" si="323"/>
        <v>0</v>
      </c>
    </row>
    <row r="2308" spans="1:38" x14ac:dyDescent="0.2">
      <c r="A2308" s="2">
        <v>2025</v>
      </c>
      <c r="B2308" s="2">
        <v>12</v>
      </c>
      <c r="D2308" s="2" t="s">
        <v>37</v>
      </c>
      <c r="E2308" s="2" t="s">
        <v>38</v>
      </c>
      <c r="F2308" s="2" t="s">
        <v>39</v>
      </c>
      <c r="H2308" s="2" t="s">
        <v>40</v>
      </c>
      <c r="P2308" s="2" t="s">
        <v>169</v>
      </c>
      <c r="Q2308" s="2" t="s">
        <v>170</v>
      </c>
      <c r="R2308" s="2" t="s">
        <v>170</v>
      </c>
      <c r="S2308" s="2">
        <v>1</v>
      </c>
      <c r="T2308" s="2">
        <v>30</v>
      </c>
      <c r="U2308" s="2">
        <v>6.9</v>
      </c>
      <c r="V2308" s="2">
        <v>36.9</v>
      </c>
      <c r="W2308" s="2">
        <v>23</v>
      </c>
      <c r="X2308" s="5">
        <f t="shared" si="324"/>
        <v>0.23333333333333334</v>
      </c>
      <c r="Z2308" s="2" t="s">
        <v>169</v>
      </c>
      <c r="AA2308" s="2" t="s">
        <v>169</v>
      </c>
      <c r="AF2308" s="2">
        <f t="shared" si="325"/>
        <v>0</v>
      </c>
      <c r="AJ2308" s="2">
        <f t="shared" si="326"/>
        <v>0</v>
      </c>
      <c r="AK2308" s="2">
        <f t="shared" si="322"/>
        <v>7</v>
      </c>
      <c r="AL2308" s="5">
        <f t="shared" si="323"/>
        <v>0.23333333333333334</v>
      </c>
    </row>
    <row r="2309" spans="1:38" x14ac:dyDescent="0.2">
      <c r="A2309" s="2">
        <v>2025</v>
      </c>
      <c r="B2309" s="2">
        <v>12</v>
      </c>
      <c r="D2309" s="2" t="s">
        <v>37</v>
      </c>
      <c r="E2309" s="2" t="s">
        <v>38</v>
      </c>
      <c r="F2309" s="2" t="s">
        <v>39</v>
      </c>
      <c r="H2309" s="2" t="s">
        <v>40</v>
      </c>
      <c r="P2309" s="2" t="s">
        <v>93</v>
      </c>
      <c r="Q2309" s="2" t="s">
        <v>94</v>
      </c>
      <c r="R2309" s="2" t="s">
        <v>95</v>
      </c>
      <c r="S2309" s="2">
        <v>3</v>
      </c>
      <c r="T2309" s="2">
        <v>3.42</v>
      </c>
      <c r="U2309" s="2">
        <v>0.78659999999999997</v>
      </c>
      <c r="V2309" s="2">
        <v>4.2065999999999999</v>
      </c>
      <c r="W2309" s="2">
        <v>3.42</v>
      </c>
      <c r="X2309" s="5">
        <f t="shared" si="324"/>
        <v>0</v>
      </c>
      <c r="Z2309" s="2" t="s">
        <v>3227</v>
      </c>
      <c r="AA2309" s="2" t="s">
        <v>96</v>
      </c>
      <c r="AB2309" s="2" t="s">
        <v>76</v>
      </c>
      <c r="AC2309" s="2" t="s">
        <v>93</v>
      </c>
      <c r="AF2309" s="2">
        <f t="shared" si="325"/>
        <v>0</v>
      </c>
      <c r="AJ2309" s="2">
        <f t="shared" si="326"/>
        <v>0</v>
      </c>
      <c r="AK2309" s="2">
        <f t="shared" si="322"/>
        <v>0</v>
      </c>
      <c r="AL2309" s="5">
        <f t="shared" si="323"/>
        <v>0</v>
      </c>
    </row>
    <row r="2310" spans="1:38" x14ac:dyDescent="0.2">
      <c r="A2310" s="2">
        <v>2025</v>
      </c>
      <c r="B2310" s="2">
        <v>12</v>
      </c>
      <c r="D2310" s="2" t="s">
        <v>1145</v>
      </c>
      <c r="E2310" s="2" t="s">
        <v>108</v>
      </c>
      <c r="F2310" s="2" t="s">
        <v>39</v>
      </c>
      <c r="G2310" s="2">
        <v>518312798</v>
      </c>
      <c r="H2310" s="2" t="s">
        <v>41</v>
      </c>
      <c r="I2310" s="2" t="s">
        <v>1146</v>
      </c>
      <c r="J2310" s="2" t="s">
        <v>1147</v>
      </c>
      <c r="L2310" s="2" t="s">
        <v>133</v>
      </c>
      <c r="M2310" s="2" t="s">
        <v>41</v>
      </c>
      <c r="O2310" s="2" t="s">
        <v>2094</v>
      </c>
      <c r="P2310" s="2" t="s">
        <v>114</v>
      </c>
      <c r="Q2310" s="16" t="s">
        <v>709</v>
      </c>
      <c r="R2310" s="2" t="s">
        <v>710</v>
      </c>
      <c r="S2310" s="2">
        <v>1</v>
      </c>
      <c r="T2310" s="2">
        <v>1790</v>
      </c>
      <c r="U2310" s="2">
        <v>411.7</v>
      </c>
      <c r="V2310" s="2">
        <v>2201.6999999999998</v>
      </c>
      <c r="W2310" s="2">
        <f>1244.2445</f>
        <v>1244.2445</v>
      </c>
      <c r="X2310" s="5">
        <f t="shared" si="324"/>
        <v>0.30489134078212288</v>
      </c>
      <c r="Z2310" s="2" t="s">
        <v>104</v>
      </c>
      <c r="AA2310" s="2" t="s">
        <v>578</v>
      </c>
      <c r="AB2310" s="2" t="s">
        <v>701</v>
      </c>
      <c r="AC2310" s="2" t="s">
        <v>114</v>
      </c>
      <c r="AF2310" s="2">
        <f t="shared" si="325"/>
        <v>0</v>
      </c>
      <c r="AJ2310" s="2">
        <f t="shared" si="326"/>
        <v>0</v>
      </c>
      <c r="AK2310" s="2">
        <f t="shared" si="322"/>
        <v>545.75549999999998</v>
      </c>
      <c r="AL2310" s="5">
        <f t="shared" si="323"/>
        <v>0.30489134078212288</v>
      </c>
    </row>
    <row r="2311" spans="1:38" x14ac:dyDescent="0.2">
      <c r="A2311" s="2">
        <v>2025</v>
      </c>
      <c r="B2311" s="2">
        <v>12</v>
      </c>
      <c r="D2311" s="2" t="s">
        <v>1145</v>
      </c>
      <c r="E2311" s="2" t="s">
        <v>108</v>
      </c>
      <c r="F2311" s="2" t="s">
        <v>39</v>
      </c>
      <c r="G2311" s="2">
        <v>518312798</v>
      </c>
      <c r="H2311" s="2" t="s">
        <v>41</v>
      </c>
      <c r="I2311" s="2" t="s">
        <v>1146</v>
      </c>
      <c r="J2311" s="2" t="s">
        <v>1147</v>
      </c>
      <c r="L2311" s="2" t="s">
        <v>133</v>
      </c>
      <c r="M2311" s="2" t="s">
        <v>41</v>
      </c>
      <c r="O2311" s="2" t="s">
        <v>2094</v>
      </c>
      <c r="P2311" s="2" t="s">
        <v>114</v>
      </c>
      <c r="Q2311" s="2" t="s">
        <v>879</v>
      </c>
      <c r="R2311" s="2" t="s">
        <v>880</v>
      </c>
      <c r="S2311" s="2">
        <v>1</v>
      </c>
      <c r="T2311" s="2">
        <v>4599</v>
      </c>
      <c r="U2311" s="2">
        <v>1057.77</v>
      </c>
      <c r="V2311" s="2">
        <v>5656.77</v>
      </c>
      <c r="X2311" s="5">
        <f t="shared" si="324"/>
        <v>1</v>
      </c>
      <c r="Z2311" s="2" t="s">
        <v>104</v>
      </c>
      <c r="AA2311" s="2" t="s">
        <v>616</v>
      </c>
      <c r="AC2311" s="2" t="s">
        <v>114</v>
      </c>
      <c r="AF2311" s="2">
        <f t="shared" si="325"/>
        <v>0</v>
      </c>
      <c r="AJ2311" s="2">
        <f t="shared" si="326"/>
        <v>0</v>
      </c>
      <c r="AK2311" s="2">
        <f t="shared" si="322"/>
        <v>4599</v>
      </c>
      <c r="AL2311" s="5">
        <f t="shared" si="323"/>
        <v>1</v>
      </c>
    </row>
    <row r="2312" spans="1:38" x14ac:dyDescent="0.2">
      <c r="A2312" s="2">
        <v>2025</v>
      </c>
      <c r="B2312" s="2">
        <v>12</v>
      </c>
      <c r="D2312" s="2" t="s">
        <v>1145</v>
      </c>
      <c r="E2312" s="2" t="s">
        <v>108</v>
      </c>
      <c r="F2312" s="2" t="s">
        <v>39</v>
      </c>
      <c r="G2312" s="2">
        <v>518312798</v>
      </c>
      <c r="H2312" s="2" t="s">
        <v>41</v>
      </c>
      <c r="I2312" s="2" t="s">
        <v>1146</v>
      </c>
      <c r="J2312" s="2" t="s">
        <v>1147</v>
      </c>
      <c r="L2312" s="2" t="s">
        <v>133</v>
      </c>
      <c r="M2312" s="2" t="s">
        <v>41</v>
      </c>
      <c r="O2312" s="2" t="s">
        <v>2094</v>
      </c>
      <c r="P2312" s="2" t="s">
        <v>114</v>
      </c>
      <c r="Q2312" s="2" t="s">
        <v>148</v>
      </c>
      <c r="R2312" s="2" t="s">
        <v>149</v>
      </c>
      <c r="S2312" s="2">
        <v>1</v>
      </c>
      <c r="T2312" s="2">
        <v>4100</v>
      </c>
      <c r="U2312" s="2">
        <v>943</v>
      </c>
      <c r="V2312" s="2">
        <v>5043</v>
      </c>
      <c r="W2312" s="2">
        <v>3345.125</v>
      </c>
      <c r="X2312" s="5">
        <f t="shared" si="324"/>
        <v>0.18411585365853658</v>
      </c>
      <c r="Z2312" s="2" t="s">
        <v>104</v>
      </c>
      <c r="AA2312" s="2" t="s">
        <v>150</v>
      </c>
      <c r="AB2312" s="2" t="s">
        <v>151</v>
      </c>
      <c r="AC2312" s="2" t="s">
        <v>114</v>
      </c>
      <c r="AF2312" s="2">
        <f t="shared" si="325"/>
        <v>0</v>
      </c>
      <c r="AJ2312" s="2">
        <f t="shared" si="326"/>
        <v>0</v>
      </c>
      <c r="AK2312" s="2">
        <f t="shared" si="322"/>
        <v>754.875</v>
      </c>
      <c r="AL2312" s="5">
        <f t="shared" si="323"/>
        <v>0.18411585365853658</v>
      </c>
    </row>
    <row r="2313" spans="1:38" x14ac:dyDescent="0.2">
      <c r="A2313" s="2">
        <v>2025</v>
      </c>
      <c r="B2313" s="2">
        <v>12</v>
      </c>
      <c r="D2313" s="2" t="s">
        <v>1145</v>
      </c>
      <c r="E2313" s="2" t="s">
        <v>108</v>
      </c>
      <c r="F2313" s="2" t="s">
        <v>39</v>
      </c>
      <c r="G2313" s="2">
        <v>518312798</v>
      </c>
      <c r="H2313" s="2" t="s">
        <v>41</v>
      </c>
      <c r="I2313" s="2" t="s">
        <v>1146</v>
      </c>
      <c r="J2313" s="2" t="s">
        <v>1147</v>
      </c>
      <c r="L2313" s="2" t="s">
        <v>133</v>
      </c>
      <c r="M2313" s="2" t="s">
        <v>41</v>
      </c>
      <c r="O2313" s="2" t="s">
        <v>2094</v>
      </c>
      <c r="P2313" s="2" t="s">
        <v>68</v>
      </c>
      <c r="Q2313" s="2" t="s">
        <v>1619</v>
      </c>
      <c r="R2313" s="2" t="s">
        <v>1620</v>
      </c>
      <c r="S2313" s="2">
        <v>1</v>
      </c>
      <c r="T2313" s="2">
        <v>2100</v>
      </c>
      <c r="U2313" s="2">
        <v>483</v>
      </c>
      <c r="V2313" s="2">
        <v>2583</v>
      </c>
      <c r="X2313" s="5">
        <f t="shared" si="324"/>
        <v>1</v>
      </c>
      <c r="Z2313" s="2" t="s">
        <v>104</v>
      </c>
      <c r="AA2313" s="2" t="s">
        <v>2095</v>
      </c>
      <c r="AB2313" s="2" t="s">
        <v>68</v>
      </c>
      <c r="AC2313" s="2" t="s">
        <v>3231</v>
      </c>
      <c r="AF2313" s="2">
        <f t="shared" si="325"/>
        <v>0</v>
      </c>
      <c r="AJ2313" s="2">
        <f t="shared" si="326"/>
        <v>0</v>
      </c>
      <c r="AK2313" s="2">
        <f t="shared" si="322"/>
        <v>2100</v>
      </c>
      <c r="AL2313" s="5">
        <f t="shared" si="323"/>
        <v>1</v>
      </c>
    </row>
    <row r="2314" spans="1:38" x14ac:dyDescent="0.2">
      <c r="A2314" s="2">
        <v>2025</v>
      </c>
      <c r="B2314" s="2">
        <v>12</v>
      </c>
      <c r="D2314" s="2" t="s">
        <v>1145</v>
      </c>
      <c r="E2314" s="2" t="s">
        <v>108</v>
      </c>
      <c r="F2314" s="2" t="s">
        <v>39</v>
      </c>
      <c r="G2314" s="2">
        <v>518312798</v>
      </c>
      <c r="H2314" s="2" t="s">
        <v>41</v>
      </c>
      <c r="I2314" s="2" t="s">
        <v>1146</v>
      </c>
      <c r="J2314" s="2" t="s">
        <v>1147</v>
      </c>
      <c r="L2314" s="2" t="s">
        <v>133</v>
      </c>
      <c r="M2314" s="2" t="s">
        <v>41</v>
      </c>
      <c r="O2314" s="2" t="s">
        <v>2094</v>
      </c>
      <c r="P2314" s="2" t="s">
        <v>1194</v>
      </c>
      <c r="Q2314" s="2" t="s">
        <v>1711</v>
      </c>
      <c r="R2314" s="2" t="s">
        <v>1712</v>
      </c>
      <c r="S2314" s="2">
        <v>1</v>
      </c>
      <c r="T2314" s="2">
        <v>2750</v>
      </c>
      <c r="U2314" s="2">
        <v>632.5</v>
      </c>
      <c r="V2314" s="2">
        <v>3382.5</v>
      </c>
      <c r="X2314" s="5">
        <f t="shared" si="324"/>
        <v>1</v>
      </c>
      <c r="Z2314" s="2" t="s">
        <v>104</v>
      </c>
      <c r="AA2314" s="2" t="s">
        <v>1199</v>
      </c>
      <c r="AB2314" s="2" t="s">
        <v>119</v>
      </c>
      <c r="AC2314" s="2" t="s">
        <v>1194</v>
      </c>
      <c r="AF2314" s="2">
        <f t="shared" si="325"/>
        <v>0</v>
      </c>
      <c r="AJ2314" s="2">
        <f t="shared" si="326"/>
        <v>0</v>
      </c>
      <c r="AK2314" s="2">
        <f t="shared" si="322"/>
        <v>2750</v>
      </c>
      <c r="AL2314" s="5">
        <f t="shared" si="323"/>
        <v>1</v>
      </c>
    </row>
    <row r="2315" spans="1:38" x14ac:dyDescent="0.2">
      <c r="A2315" s="2">
        <v>2025</v>
      </c>
      <c r="B2315" s="2">
        <v>12</v>
      </c>
      <c r="D2315" s="2" t="s">
        <v>1145</v>
      </c>
      <c r="E2315" s="2" t="s">
        <v>108</v>
      </c>
      <c r="F2315" s="2" t="s">
        <v>39</v>
      </c>
      <c r="G2315" s="2">
        <v>518312798</v>
      </c>
      <c r="H2315" s="2" t="s">
        <v>41</v>
      </c>
      <c r="I2315" s="2" t="s">
        <v>1146</v>
      </c>
      <c r="J2315" s="2" t="s">
        <v>1147</v>
      </c>
      <c r="L2315" s="2" t="s">
        <v>133</v>
      </c>
      <c r="M2315" s="2" t="s">
        <v>41</v>
      </c>
      <c r="O2315" s="2" t="s">
        <v>2094</v>
      </c>
      <c r="P2315" s="2" t="s">
        <v>1194</v>
      </c>
      <c r="Q2315" s="2" t="s">
        <v>1197</v>
      </c>
      <c r="R2315" s="2" t="s">
        <v>1198</v>
      </c>
      <c r="S2315" s="2">
        <v>1</v>
      </c>
      <c r="T2315" s="2">
        <v>500</v>
      </c>
      <c r="U2315" s="2">
        <v>115</v>
      </c>
      <c r="V2315" s="2">
        <v>615</v>
      </c>
      <c r="X2315" s="5">
        <f t="shared" si="324"/>
        <v>1</v>
      </c>
      <c r="Z2315" s="2" t="s">
        <v>104</v>
      </c>
      <c r="AA2315" s="2" t="s">
        <v>1199</v>
      </c>
      <c r="AB2315" s="2" t="s">
        <v>119</v>
      </c>
      <c r="AC2315" s="2" t="s">
        <v>1194</v>
      </c>
      <c r="AF2315" s="2">
        <f t="shared" si="325"/>
        <v>0</v>
      </c>
      <c r="AJ2315" s="2">
        <f t="shared" si="326"/>
        <v>0</v>
      </c>
      <c r="AK2315" s="2">
        <f t="shared" si="322"/>
        <v>500</v>
      </c>
      <c r="AL2315" s="5">
        <f t="shared" si="323"/>
        <v>1</v>
      </c>
    </row>
    <row r="2316" spans="1:38" x14ac:dyDescent="0.2">
      <c r="A2316" s="2">
        <v>2025</v>
      </c>
      <c r="B2316" s="2">
        <v>12</v>
      </c>
      <c r="D2316" s="2" t="s">
        <v>1150</v>
      </c>
      <c r="M2316" s="2" t="s">
        <v>40</v>
      </c>
      <c r="P2316" s="2" t="s">
        <v>114</v>
      </c>
      <c r="Q2316" s="2" t="s">
        <v>179</v>
      </c>
      <c r="R2316" s="2" t="s">
        <v>180</v>
      </c>
      <c r="S2316" s="2">
        <v>1</v>
      </c>
      <c r="T2316" s="2">
        <v>599.4</v>
      </c>
      <c r="U2316" s="2">
        <v>137.86199999999999</v>
      </c>
      <c r="V2316" s="2">
        <v>737.26199999999994</v>
      </c>
      <c r="W2316" s="2">
        <v>346.57</v>
      </c>
      <c r="X2316" s="5">
        <f t="shared" si="324"/>
        <v>0.42180513847180512</v>
      </c>
      <c r="Z2316" s="2" t="s">
        <v>117</v>
      </c>
      <c r="AA2316" s="2" t="s">
        <v>181</v>
      </c>
      <c r="AB2316" s="2" t="s">
        <v>119</v>
      </c>
      <c r="AC2316" s="2" t="s">
        <v>114</v>
      </c>
      <c r="AF2316" s="2">
        <f t="shared" si="325"/>
        <v>0</v>
      </c>
      <c r="AJ2316" s="2">
        <f t="shared" si="326"/>
        <v>0</v>
      </c>
      <c r="AK2316" s="2">
        <f t="shared" si="322"/>
        <v>252.82999999999998</v>
      </c>
      <c r="AL2316" s="5">
        <f t="shared" si="323"/>
        <v>0.42180513847180512</v>
      </c>
    </row>
    <row r="2317" spans="1:38" x14ac:dyDescent="0.2">
      <c r="A2317" s="2">
        <v>2025</v>
      </c>
      <c r="B2317" s="2">
        <v>12</v>
      </c>
      <c r="D2317" s="2" t="s">
        <v>1150</v>
      </c>
      <c r="M2317" s="2" t="s">
        <v>40</v>
      </c>
      <c r="P2317" s="2" t="s">
        <v>187</v>
      </c>
      <c r="Q2317" s="2" t="s">
        <v>188</v>
      </c>
      <c r="R2317" s="2" t="s">
        <v>189</v>
      </c>
      <c r="S2317" s="2">
        <v>1</v>
      </c>
      <c r="T2317" s="2">
        <v>84.7</v>
      </c>
      <c r="U2317" s="2">
        <v>19.481000000000002</v>
      </c>
      <c r="V2317" s="2">
        <v>104.181</v>
      </c>
      <c r="W2317" s="2">
        <f>T2317*40%</f>
        <v>33.880000000000003</v>
      </c>
      <c r="X2317" s="5">
        <f t="shared" si="324"/>
        <v>0.6</v>
      </c>
      <c r="Z2317" s="2" t="s">
        <v>117</v>
      </c>
      <c r="AA2317" s="2" t="s">
        <v>190</v>
      </c>
      <c r="AB2317" s="2" t="s">
        <v>189</v>
      </c>
      <c r="AC2317" s="2" t="s">
        <v>40</v>
      </c>
      <c r="AF2317" s="2">
        <f t="shared" si="325"/>
        <v>0</v>
      </c>
      <c r="AJ2317" s="2">
        <f t="shared" si="326"/>
        <v>0</v>
      </c>
      <c r="AK2317" s="2">
        <f t="shared" si="322"/>
        <v>50.82</v>
      </c>
      <c r="AL2317" s="5">
        <f t="shared" si="323"/>
        <v>0.6</v>
      </c>
    </row>
    <row r="2318" spans="1:38" x14ac:dyDescent="0.2">
      <c r="A2318" s="2">
        <v>2025</v>
      </c>
      <c r="B2318" s="2">
        <v>12</v>
      </c>
      <c r="D2318" s="2" t="s">
        <v>1150</v>
      </c>
      <c r="M2318" s="2" t="s">
        <v>40</v>
      </c>
      <c r="P2318" s="2" t="s">
        <v>187</v>
      </c>
      <c r="Q2318" s="2" t="s">
        <v>191</v>
      </c>
      <c r="R2318" s="2" t="s">
        <v>190</v>
      </c>
      <c r="S2318" s="2">
        <v>1</v>
      </c>
      <c r="T2318" s="2">
        <v>35</v>
      </c>
      <c r="U2318" s="2">
        <v>8.0500000000000007</v>
      </c>
      <c r="V2318" s="2">
        <v>43.05</v>
      </c>
      <c r="W2318" s="2">
        <f>T2318*50%</f>
        <v>17.5</v>
      </c>
      <c r="X2318" s="5">
        <f t="shared" si="324"/>
        <v>0.5</v>
      </c>
      <c r="Z2318" s="2" t="s">
        <v>117</v>
      </c>
      <c r="AA2318" s="2" t="s">
        <v>190</v>
      </c>
      <c r="AB2318" s="2" t="s">
        <v>190</v>
      </c>
      <c r="AC2318" s="2" t="s">
        <v>40</v>
      </c>
      <c r="AF2318" s="2">
        <f t="shared" si="325"/>
        <v>0</v>
      </c>
      <c r="AJ2318" s="2">
        <f t="shared" si="326"/>
        <v>0</v>
      </c>
      <c r="AK2318" s="2">
        <f t="shared" si="322"/>
        <v>17.5</v>
      </c>
      <c r="AL2318" s="5">
        <f t="shared" si="323"/>
        <v>0.5</v>
      </c>
    </row>
    <row r="2319" spans="1:38" x14ac:dyDescent="0.2">
      <c r="A2319" s="2">
        <v>2025</v>
      </c>
      <c r="B2319" s="2">
        <v>12</v>
      </c>
      <c r="D2319" s="2" t="s">
        <v>2096</v>
      </c>
      <c r="M2319" s="2" t="s">
        <v>40</v>
      </c>
      <c r="P2319" s="2" t="s">
        <v>114</v>
      </c>
      <c r="Q2319" s="2" t="s">
        <v>904</v>
      </c>
      <c r="R2319" s="2" t="s">
        <v>905</v>
      </c>
      <c r="S2319" s="2">
        <v>1</v>
      </c>
      <c r="T2319" s="2">
        <v>591.95000000000005</v>
      </c>
      <c r="U2319" s="2">
        <v>136.14850000000001</v>
      </c>
      <c r="V2319" s="2">
        <v>728.09850000000006</v>
      </c>
      <c r="W2319" s="2">
        <v>345.20339999999999</v>
      </c>
      <c r="X2319" s="5">
        <f t="shared" si="324"/>
        <v>0.4168368950080244</v>
      </c>
      <c r="Z2319" s="2" t="s">
        <v>117</v>
      </c>
      <c r="AA2319" s="2" t="s">
        <v>181</v>
      </c>
      <c r="AB2319" s="2" t="s">
        <v>119</v>
      </c>
      <c r="AC2319" s="2" t="s">
        <v>114</v>
      </c>
      <c r="AF2319" s="2">
        <f t="shared" si="325"/>
        <v>0</v>
      </c>
      <c r="AJ2319" s="2">
        <f t="shared" si="326"/>
        <v>0</v>
      </c>
      <c r="AK2319" s="2">
        <f t="shared" si="322"/>
        <v>246.74660000000006</v>
      </c>
      <c r="AL2319" s="5">
        <f t="shared" si="323"/>
        <v>0.4168368950080244</v>
      </c>
    </row>
    <row r="2320" spans="1:38" x14ac:dyDescent="0.2">
      <c r="A2320" s="2">
        <v>2025</v>
      </c>
      <c r="B2320" s="2">
        <v>12</v>
      </c>
      <c r="D2320" s="2" t="s">
        <v>2096</v>
      </c>
      <c r="M2320" s="2" t="s">
        <v>40</v>
      </c>
      <c r="P2320" s="2" t="s">
        <v>187</v>
      </c>
      <c r="Q2320" s="2" t="s">
        <v>188</v>
      </c>
      <c r="R2320" s="2" t="s">
        <v>189</v>
      </c>
      <c r="S2320" s="2">
        <v>1</v>
      </c>
      <c r="T2320" s="2">
        <v>50</v>
      </c>
      <c r="U2320" s="2">
        <v>11.5</v>
      </c>
      <c r="V2320" s="2">
        <v>61.5</v>
      </c>
      <c r="W2320" s="2">
        <f>T2320*40%</f>
        <v>20</v>
      </c>
      <c r="X2320" s="5">
        <f t="shared" si="324"/>
        <v>0.6</v>
      </c>
      <c r="Z2320" s="2" t="s">
        <v>117</v>
      </c>
      <c r="AA2320" s="2" t="s">
        <v>190</v>
      </c>
      <c r="AB2320" s="2" t="s">
        <v>189</v>
      </c>
      <c r="AC2320" s="2" t="s">
        <v>40</v>
      </c>
      <c r="AF2320" s="2">
        <f t="shared" si="325"/>
        <v>0</v>
      </c>
      <c r="AJ2320" s="2">
        <f t="shared" si="326"/>
        <v>0</v>
      </c>
      <c r="AK2320" s="2">
        <f t="shared" si="322"/>
        <v>30</v>
      </c>
      <c r="AL2320" s="5">
        <f t="shared" si="323"/>
        <v>0.6</v>
      </c>
    </row>
    <row r="2321" spans="1:38" x14ac:dyDescent="0.2">
      <c r="A2321" s="2">
        <v>2025</v>
      </c>
      <c r="B2321" s="2">
        <v>12</v>
      </c>
      <c r="D2321" s="2" t="s">
        <v>2096</v>
      </c>
      <c r="M2321" s="2" t="s">
        <v>40</v>
      </c>
      <c r="P2321" s="2" t="s">
        <v>187</v>
      </c>
      <c r="Q2321" s="2" t="s">
        <v>191</v>
      </c>
      <c r="R2321" s="2" t="s">
        <v>190</v>
      </c>
      <c r="S2321" s="2">
        <v>1</v>
      </c>
      <c r="T2321" s="2">
        <v>50</v>
      </c>
      <c r="U2321" s="2">
        <v>11.5</v>
      </c>
      <c r="V2321" s="2">
        <v>61.5</v>
      </c>
      <c r="W2321" s="2">
        <f>T2321*50%</f>
        <v>25</v>
      </c>
      <c r="X2321" s="5">
        <f t="shared" si="324"/>
        <v>0.5</v>
      </c>
      <c r="Z2321" s="2" t="s">
        <v>117</v>
      </c>
      <c r="AA2321" s="2" t="s">
        <v>190</v>
      </c>
      <c r="AB2321" s="2" t="s">
        <v>190</v>
      </c>
      <c r="AC2321" s="2" t="s">
        <v>40</v>
      </c>
      <c r="AF2321" s="2">
        <f t="shared" si="325"/>
        <v>0</v>
      </c>
      <c r="AJ2321" s="2">
        <f t="shared" si="326"/>
        <v>0</v>
      </c>
      <c r="AK2321" s="2">
        <f t="shared" si="322"/>
        <v>25</v>
      </c>
      <c r="AL2321" s="5">
        <f t="shared" si="323"/>
        <v>0.5</v>
      </c>
    </row>
    <row r="2322" spans="1:38" x14ac:dyDescent="0.2">
      <c r="A2322" s="2">
        <v>2025</v>
      </c>
      <c r="B2322" s="2">
        <v>12</v>
      </c>
      <c r="D2322" s="2" t="s">
        <v>2096</v>
      </c>
      <c r="P2322" s="2" t="s">
        <v>40</v>
      </c>
      <c r="Q2322" s="2" t="s">
        <v>363</v>
      </c>
      <c r="R2322" s="2" t="s">
        <v>364</v>
      </c>
      <c r="S2322" s="2">
        <v>1</v>
      </c>
      <c r="T2322" s="2">
        <v>297</v>
      </c>
      <c r="U2322" s="2">
        <v>68.31</v>
      </c>
      <c r="V2322" s="2">
        <v>365.31</v>
      </c>
      <c r="X2322" s="5">
        <f t="shared" si="324"/>
        <v>1</v>
      </c>
      <c r="Z2322" s="2" t="s">
        <v>119</v>
      </c>
      <c r="AA2322" s="2" t="s">
        <v>3380</v>
      </c>
      <c r="AF2322" s="2">
        <f t="shared" si="325"/>
        <v>0</v>
      </c>
      <c r="AJ2322" s="2">
        <f t="shared" si="326"/>
        <v>0</v>
      </c>
      <c r="AK2322" s="2">
        <f t="shared" si="322"/>
        <v>297</v>
      </c>
      <c r="AL2322" s="5">
        <f t="shared" si="323"/>
        <v>1</v>
      </c>
    </row>
    <row r="2323" spans="1:38" x14ac:dyDescent="0.2">
      <c r="A2323" s="2">
        <v>2025</v>
      </c>
      <c r="B2323" s="2">
        <v>12</v>
      </c>
      <c r="D2323" s="2" t="s">
        <v>1476</v>
      </c>
      <c r="E2323" s="2" t="s">
        <v>752</v>
      </c>
      <c r="F2323" s="2" t="s">
        <v>1477</v>
      </c>
      <c r="G2323" s="2">
        <v>506123758</v>
      </c>
      <c r="H2323" s="2" t="s">
        <v>109</v>
      </c>
      <c r="I2323" s="2" t="s">
        <v>1478</v>
      </c>
      <c r="J2323" s="2" t="s">
        <v>1479</v>
      </c>
      <c r="K2323" s="2">
        <v>936406952</v>
      </c>
      <c r="L2323" s="2" t="s">
        <v>461</v>
      </c>
      <c r="M2323" s="2" t="s">
        <v>40</v>
      </c>
      <c r="O2323" s="2" t="s">
        <v>2097</v>
      </c>
      <c r="P2323" s="2" t="s">
        <v>187</v>
      </c>
      <c r="Q2323" s="2" t="s">
        <v>188</v>
      </c>
      <c r="R2323" s="2" t="s">
        <v>189</v>
      </c>
      <c r="S2323" s="2">
        <v>1</v>
      </c>
      <c r="T2323" s="2">
        <v>186</v>
      </c>
      <c r="U2323" s="2">
        <v>42.78</v>
      </c>
      <c r="V2323" s="2">
        <v>228.78</v>
      </c>
      <c r="W2323" s="2">
        <f>T2323*40%</f>
        <v>74.400000000000006</v>
      </c>
      <c r="X2323" s="5">
        <f t="shared" si="324"/>
        <v>0.6</v>
      </c>
      <c r="Z2323" s="2" t="s">
        <v>117</v>
      </c>
      <c r="AA2323" s="2" t="s">
        <v>190</v>
      </c>
      <c r="AB2323" s="2" t="s">
        <v>189</v>
      </c>
      <c r="AC2323" s="2" t="s">
        <v>40</v>
      </c>
      <c r="AF2323" s="2">
        <f t="shared" si="325"/>
        <v>0</v>
      </c>
      <c r="AJ2323" s="2">
        <f t="shared" si="326"/>
        <v>0</v>
      </c>
      <c r="AK2323" s="2">
        <f t="shared" si="322"/>
        <v>111.6</v>
      </c>
      <c r="AL2323" s="5">
        <f t="shared" si="323"/>
        <v>0.6</v>
      </c>
    </row>
    <row r="2324" spans="1:38" x14ac:dyDescent="0.2">
      <c r="A2324" s="2">
        <v>2025</v>
      </c>
      <c r="B2324" s="2">
        <v>12</v>
      </c>
      <c r="D2324" s="2" t="s">
        <v>1476</v>
      </c>
      <c r="E2324" s="2" t="s">
        <v>752</v>
      </c>
      <c r="F2324" s="2" t="s">
        <v>1477</v>
      </c>
      <c r="G2324" s="2">
        <v>506123758</v>
      </c>
      <c r="H2324" s="2" t="s">
        <v>109</v>
      </c>
      <c r="I2324" s="2" t="s">
        <v>1478</v>
      </c>
      <c r="J2324" s="2" t="s">
        <v>1479</v>
      </c>
      <c r="K2324" s="2">
        <v>936406952</v>
      </c>
      <c r="L2324" s="2" t="s">
        <v>461</v>
      </c>
      <c r="M2324" s="2" t="s">
        <v>40</v>
      </c>
      <c r="O2324" s="2" t="s">
        <v>2097</v>
      </c>
      <c r="P2324" s="2" t="s">
        <v>187</v>
      </c>
      <c r="Q2324" s="2" t="s">
        <v>191</v>
      </c>
      <c r="R2324" s="2" t="s">
        <v>190</v>
      </c>
      <c r="S2324" s="2">
        <v>1</v>
      </c>
      <c r="T2324" s="2">
        <v>50</v>
      </c>
      <c r="U2324" s="2">
        <v>11.5</v>
      </c>
      <c r="V2324" s="2">
        <v>61.5</v>
      </c>
      <c r="W2324" s="2">
        <f>T2324*50%</f>
        <v>25</v>
      </c>
      <c r="X2324" s="5">
        <f t="shared" si="324"/>
        <v>0.5</v>
      </c>
      <c r="Z2324" s="2" t="s">
        <v>117</v>
      </c>
      <c r="AA2324" s="2" t="s">
        <v>190</v>
      </c>
      <c r="AB2324" s="2" t="s">
        <v>190</v>
      </c>
      <c r="AC2324" s="2" t="s">
        <v>40</v>
      </c>
      <c r="AF2324" s="2">
        <f t="shared" si="325"/>
        <v>0</v>
      </c>
      <c r="AJ2324" s="2">
        <f t="shared" si="326"/>
        <v>0</v>
      </c>
      <c r="AK2324" s="2">
        <f t="shared" ref="AK2324:AK2350" si="327">T2324-W2324</f>
        <v>25</v>
      </c>
      <c r="AL2324" s="5">
        <f t="shared" ref="AL2324:AL2334" si="328">(T2324-W2324)/T2324</f>
        <v>0.5</v>
      </c>
    </row>
    <row r="2325" spans="1:38" x14ac:dyDescent="0.2">
      <c r="A2325" s="2">
        <v>2025</v>
      </c>
      <c r="B2325" s="2">
        <v>12</v>
      </c>
      <c r="D2325" s="2" t="s">
        <v>687</v>
      </c>
      <c r="E2325" s="2" t="s">
        <v>38</v>
      </c>
      <c r="F2325" s="2" t="s">
        <v>39</v>
      </c>
      <c r="G2325" s="2">
        <v>501726519</v>
      </c>
      <c r="H2325" s="2" t="s">
        <v>290</v>
      </c>
      <c r="I2325" s="2" t="s">
        <v>437</v>
      </c>
      <c r="J2325" s="2" t="s">
        <v>688</v>
      </c>
      <c r="L2325" s="2" t="s">
        <v>339</v>
      </c>
      <c r="P2325" s="2" t="s">
        <v>114</v>
      </c>
      <c r="Q2325" s="2" t="s">
        <v>823</v>
      </c>
      <c r="R2325" s="2" t="s">
        <v>824</v>
      </c>
      <c r="S2325" s="2">
        <v>1</v>
      </c>
      <c r="T2325" s="2">
        <v>273.13</v>
      </c>
      <c r="U2325" s="2">
        <v>62.819899999999997</v>
      </c>
      <c r="V2325" s="2">
        <v>335.94990000000001</v>
      </c>
      <c r="X2325" s="5">
        <f t="shared" si="324"/>
        <v>1</v>
      </c>
      <c r="Z2325" s="2" t="s">
        <v>117</v>
      </c>
      <c r="AA2325" s="2" t="s">
        <v>118</v>
      </c>
      <c r="AB2325" s="2" t="s">
        <v>119</v>
      </c>
      <c r="AC2325" s="2" t="s">
        <v>114</v>
      </c>
      <c r="AF2325" s="2">
        <f t="shared" si="325"/>
        <v>0</v>
      </c>
      <c r="AJ2325" s="2">
        <f t="shared" si="326"/>
        <v>0</v>
      </c>
      <c r="AK2325" s="2">
        <f t="shared" si="327"/>
        <v>273.13</v>
      </c>
      <c r="AL2325" s="5">
        <f t="shared" si="328"/>
        <v>1</v>
      </c>
    </row>
    <row r="2326" spans="1:38" x14ac:dyDescent="0.2">
      <c r="A2326" s="2">
        <v>2025</v>
      </c>
      <c r="B2326" s="2">
        <v>12</v>
      </c>
      <c r="D2326" s="2" t="s">
        <v>689</v>
      </c>
      <c r="E2326" s="2" t="s">
        <v>108</v>
      </c>
      <c r="F2326" s="2" t="s">
        <v>39</v>
      </c>
      <c r="G2326" s="2">
        <v>503589950</v>
      </c>
      <c r="H2326" s="2" t="s">
        <v>41</v>
      </c>
      <c r="I2326" s="2" t="s">
        <v>610</v>
      </c>
      <c r="J2326" s="2" t="s">
        <v>690</v>
      </c>
      <c r="K2326" s="2">
        <v>913036545</v>
      </c>
      <c r="L2326" s="2" t="s">
        <v>177</v>
      </c>
      <c r="M2326" s="2" t="s">
        <v>40</v>
      </c>
      <c r="O2326" s="2" t="s">
        <v>2098</v>
      </c>
      <c r="P2326" s="2" t="s">
        <v>114</v>
      </c>
      <c r="Q2326" s="2" t="s">
        <v>2099</v>
      </c>
      <c r="R2326" s="2" t="s">
        <v>2100</v>
      </c>
      <c r="S2326" s="2">
        <v>1</v>
      </c>
      <c r="T2326" s="2">
        <v>55.13</v>
      </c>
      <c r="U2326" s="2">
        <v>12.6799</v>
      </c>
      <c r="V2326" s="2">
        <v>67.809899999999999</v>
      </c>
      <c r="W2326" s="2">
        <v>42.23</v>
      </c>
      <c r="X2326" s="5">
        <f t="shared" ref="X2326:X2334" si="329">(T2326-W2326)/T2326</f>
        <v>0.23399238164338845</v>
      </c>
      <c r="Z2326" s="2" t="s">
        <v>117</v>
      </c>
      <c r="AA2326" s="2" t="s">
        <v>118</v>
      </c>
      <c r="AB2326" s="2" t="s">
        <v>119</v>
      </c>
      <c r="AC2326" s="2" t="s">
        <v>114</v>
      </c>
      <c r="AF2326" s="2">
        <f t="shared" si="325"/>
        <v>0</v>
      </c>
      <c r="AG2326" s="2">
        <v>42.23</v>
      </c>
      <c r="AJ2326" s="2">
        <f t="shared" si="326"/>
        <v>0</v>
      </c>
      <c r="AK2326" s="2">
        <f t="shared" si="327"/>
        <v>12.900000000000006</v>
      </c>
      <c r="AL2326" s="5">
        <f t="shared" si="328"/>
        <v>0.23399238164338845</v>
      </c>
    </row>
    <row r="2327" spans="1:38" x14ac:dyDescent="0.2">
      <c r="A2327" s="2">
        <v>2025</v>
      </c>
      <c r="B2327" s="2">
        <v>12</v>
      </c>
      <c r="D2327" s="2" t="s">
        <v>689</v>
      </c>
      <c r="E2327" s="2" t="s">
        <v>108</v>
      </c>
      <c r="F2327" s="2" t="s">
        <v>39</v>
      </c>
      <c r="G2327" s="2">
        <v>503589950</v>
      </c>
      <c r="H2327" s="2" t="s">
        <v>41</v>
      </c>
      <c r="I2327" s="2" t="s">
        <v>610</v>
      </c>
      <c r="J2327" s="2" t="s">
        <v>690</v>
      </c>
      <c r="K2327" s="2">
        <v>913036545</v>
      </c>
      <c r="L2327" s="2" t="s">
        <v>177</v>
      </c>
      <c r="M2327" s="2" t="s">
        <v>40</v>
      </c>
      <c r="O2327" s="2" t="s">
        <v>2098</v>
      </c>
      <c r="P2327" s="2" t="s">
        <v>114</v>
      </c>
      <c r="Q2327" s="2" t="s">
        <v>1424</v>
      </c>
      <c r="R2327" s="2" t="s">
        <v>1425</v>
      </c>
      <c r="S2327" s="2">
        <v>1</v>
      </c>
      <c r="T2327" s="2">
        <v>1867.81</v>
      </c>
      <c r="U2327" s="2">
        <v>429.59629999999999</v>
      </c>
      <c r="V2327" s="2">
        <v>2297.4063000000001</v>
      </c>
      <c r="W2327" s="2">
        <v>862.26</v>
      </c>
      <c r="X2327" s="5">
        <f t="shared" si="329"/>
        <v>0.53835775587452683</v>
      </c>
      <c r="Z2327" s="2" t="s">
        <v>117</v>
      </c>
      <c r="AA2327" s="2" t="s">
        <v>118</v>
      </c>
      <c r="AF2327" s="2">
        <f t="shared" si="325"/>
        <v>0</v>
      </c>
      <c r="AJ2327" s="2">
        <f t="shared" si="326"/>
        <v>0</v>
      </c>
      <c r="AK2327" s="2">
        <f t="shared" si="327"/>
        <v>1005.55</v>
      </c>
      <c r="AL2327" s="5">
        <f t="shared" si="328"/>
        <v>0.53835775587452683</v>
      </c>
    </row>
    <row r="2328" spans="1:38" x14ac:dyDescent="0.2">
      <c r="A2328" s="2">
        <v>2025</v>
      </c>
      <c r="B2328" s="2">
        <v>12</v>
      </c>
      <c r="D2328" s="2" t="s">
        <v>689</v>
      </c>
      <c r="E2328" s="2" t="s">
        <v>108</v>
      </c>
      <c r="F2328" s="2" t="s">
        <v>39</v>
      </c>
      <c r="G2328" s="2">
        <v>503589950</v>
      </c>
      <c r="H2328" s="2" t="s">
        <v>41</v>
      </c>
      <c r="I2328" s="2" t="s">
        <v>610</v>
      </c>
      <c r="J2328" s="2" t="s">
        <v>690</v>
      </c>
      <c r="K2328" s="2">
        <v>913036545</v>
      </c>
      <c r="L2328" s="2" t="s">
        <v>177</v>
      </c>
      <c r="M2328" s="2" t="s">
        <v>41</v>
      </c>
      <c r="O2328" s="2" t="s">
        <v>2101</v>
      </c>
      <c r="P2328" s="2" t="s">
        <v>114</v>
      </c>
      <c r="Q2328" s="2" t="s">
        <v>1885</v>
      </c>
      <c r="R2328" s="2" t="s">
        <v>1886</v>
      </c>
      <c r="S2328" s="2">
        <v>1</v>
      </c>
      <c r="T2328" s="2">
        <v>4700</v>
      </c>
      <c r="U2328" s="2">
        <v>1081</v>
      </c>
      <c r="V2328" s="2">
        <v>5781</v>
      </c>
      <c r="W2328" s="2">
        <f>3197.37+113.01</f>
        <v>3310.38</v>
      </c>
      <c r="X2328" s="5">
        <f t="shared" si="329"/>
        <v>0.29566382978723404</v>
      </c>
      <c r="Z2328" s="2" t="s">
        <v>104</v>
      </c>
      <c r="AA2328" s="2" t="s">
        <v>150</v>
      </c>
      <c r="AB2328" s="2" t="s">
        <v>151</v>
      </c>
      <c r="AC2328" s="2" t="s">
        <v>114</v>
      </c>
      <c r="AF2328" s="2">
        <f t="shared" si="325"/>
        <v>0</v>
      </c>
      <c r="AJ2328" s="2">
        <f t="shared" si="326"/>
        <v>0</v>
      </c>
      <c r="AK2328" s="2">
        <f t="shared" si="327"/>
        <v>1389.62</v>
      </c>
      <c r="AL2328" s="5">
        <f t="shared" si="328"/>
        <v>0.29566382978723404</v>
      </c>
    </row>
    <row r="2329" spans="1:38" x14ac:dyDescent="0.2">
      <c r="A2329" s="2">
        <v>2025</v>
      </c>
      <c r="B2329" s="2">
        <v>12</v>
      </c>
      <c r="D2329" s="2" t="s">
        <v>689</v>
      </c>
      <c r="E2329" s="2" t="s">
        <v>108</v>
      </c>
      <c r="F2329" s="2" t="s">
        <v>39</v>
      </c>
      <c r="G2329" s="2">
        <v>503589950</v>
      </c>
      <c r="H2329" s="2" t="s">
        <v>41</v>
      </c>
      <c r="I2329" s="2" t="s">
        <v>610</v>
      </c>
      <c r="J2329" s="2" t="s">
        <v>690</v>
      </c>
      <c r="K2329" s="2">
        <v>913036545</v>
      </c>
      <c r="L2329" s="2" t="s">
        <v>177</v>
      </c>
      <c r="M2329" s="2" t="s">
        <v>41</v>
      </c>
      <c r="O2329" s="2" t="s">
        <v>2102</v>
      </c>
      <c r="P2329" s="2" t="s">
        <v>282</v>
      </c>
      <c r="Q2329" s="2" t="s">
        <v>1069</v>
      </c>
      <c r="R2329" s="2" t="s">
        <v>1070</v>
      </c>
      <c r="S2329" s="2">
        <v>2</v>
      </c>
      <c r="T2329" s="2">
        <v>18.16</v>
      </c>
      <c r="U2329" s="2">
        <v>4.1768000000000001</v>
      </c>
      <c r="V2329" s="2">
        <v>22.3368</v>
      </c>
      <c r="W2329" s="2">
        <f>6.0484*S2329</f>
        <v>12.0968</v>
      </c>
      <c r="X2329" s="5">
        <f t="shared" si="329"/>
        <v>0.33387665198237887</v>
      </c>
      <c r="Z2329" s="2" t="s">
        <v>3227</v>
      </c>
      <c r="AA2329" s="2" t="s">
        <v>71</v>
      </c>
      <c r="AB2329" s="2" t="s">
        <v>119</v>
      </c>
      <c r="AC2329" s="2" t="s">
        <v>119</v>
      </c>
      <c r="AF2329" s="2">
        <f t="shared" si="325"/>
        <v>0</v>
      </c>
      <c r="AJ2329" s="2">
        <f t="shared" si="326"/>
        <v>0</v>
      </c>
      <c r="AK2329" s="2">
        <f t="shared" si="327"/>
        <v>6.0632000000000001</v>
      </c>
      <c r="AL2329" s="5">
        <f t="shared" si="328"/>
        <v>0.33387665198237887</v>
      </c>
    </row>
    <row r="2330" spans="1:38" x14ac:dyDescent="0.2">
      <c r="A2330" s="2">
        <v>2025</v>
      </c>
      <c r="B2330" s="2">
        <v>12</v>
      </c>
      <c r="D2330" s="2" t="s">
        <v>689</v>
      </c>
      <c r="E2330" s="2" t="s">
        <v>108</v>
      </c>
      <c r="F2330" s="2" t="s">
        <v>39</v>
      </c>
      <c r="G2330" s="2">
        <v>503589950</v>
      </c>
      <c r="H2330" s="2" t="s">
        <v>41</v>
      </c>
      <c r="I2330" s="2" t="s">
        <v>610</v>
      </c>
      <c r="J2330" s="2" t="s">
        <v>690</v>
      </c>
      <c r="K2330" s="2">
        <v>913036545</v>
      </c>
      <c r="L2330" s="2" t="s">
        <v>177</v>
      </c>
      <c r="M2330" s="2" t="s">
        <v>41</v>
      </c>
      <c r="O2330" s="2" t="s">
        <v>2102</v>
      </c>
      <c r="P2330" s="2" t="s">
        <v>43</v>
      </c>
      <c r="Q2330" s="2" t="s">
        <v>50</v>
      </c>
      <c r="R2330" s="2" t="s">
        <v>51</v>
      </c>
      <c r="S2330" s="2">
        <v>2</v>
      </c>
      <c r="T2330" s="2">
        <v>38.4</v>
      </c>
      <c r="U2330" s="2">
        <v>8.8320000000000007</v>
      </c>
      <c r="V2330" s="2">
        <v>47.231999999999999</v>
      </c>
      <c r="W2330" s="2">
        <f>14.4*S2330</f>
        <v>28.8</v>
      </c>
      <c r="X2330" s="5">
        <f t="shared" si="329"/>
        <v>0.24999999999999994</v>
      </c>
      <c r="Z2330" s="2" t="s">
        <v>3227</v>
      </c>
      <c r="AA2330" s="2" t="s">
        <v>46</v>
      </c>
      <c r="AB2330" s="2" t="s">
        <v>47</v>
      </c>
      <c r="AC2330" s="2" t="s">
        <v>57</v>
      </c>
      <c r="AF2330" s="2">
        <f t="shared" si="325"/>
        <v>0</v>
      </c>
      <c r="AG2330" s="2">
        <v>10.2346</v>
      </c>
      <c r="AH2330" s="2">
        <v>18</v>
      </c>
      <c r="AJ2330" s="2">
        <f t="shared" si="326"/>
        <v>0</v>
      </c>
      <c r="AK2330" s="2">
        <f t="shared" si="327"/>
        <v>9.5999999999999979</v>
      </c>
      <c r="AL2330" s="5">
        <f t="shared" si="328"/>
        <v>0.24999999999999994</v>
      </c>
    </row>
    <row r="2331" spans="1:38" x14ac:dyDescent="0.2">
      <c r="A2331" s="2">
        <v>2025</v>
      </c>
      <c r="B2331" s="2">
        <v>12</v>
      </c>
      <c r="D2331" s="2" t="s">
        <v>689</v>
      </c>
      <c r="E2331" s="2" t="s">
        <v>108</v>
      </c>
      <c r="F2331" s="2" t="s">
        <v>39</v>
      </c>
      <c r="G2331" s="2">
        <v>503589950</v>
      </c>
      <c r="H2331" s="2" t="s">
        <v>41</v>
      </c>
      <c r="I2331" s="2" t="s">
        <v>610</v>
      </c>
      <c r="J2331" s="2" t="s">
        <v>690</v>
      </c>
      <c r="K2331" s="2">
        <v>913036545</v>
      </c>
      <c r="L2331" s="2" t="s">
        <v>177</v>
      </c>
      <c r="M2331" s="2" t="s">
        <v>41</v>
      </c>
      <c r="O2331" s="2" t="s">
        <v>2102</v>
      </c>
      <c r="P2331" s="2" t="s">
        <v>43</v>
      </c>
      <c r="Q2331" s="2" t="s">
        <v>859</v>
      </c>
      <c r="R2331" s="2" t="s">
        <v>860</v>
      </c>
      <c r="S2331" s="2">
        <v>2</v>
      </c>
      <c r="T2331" s="2">
        <v>38.4</v>
      </c>
      <c r="U2331" s="2">
        <v>8.8320000000000007</v>
      </c>
      <c r="V2331" s="2">
        <v>47.231999999999999</v>
      </c>
      <c r="W2331" s="2">
        <f>8*S2331</f>
        <v>16</v>
      </c>
      <c r="X2331" s="5">
        <f t="shared" si="329"/>
        <v>0.58333333333333337</v>
      </c>
      <c r="Z2331" s="2" t="s">
        <v>3227</v>
      </c>
      <c r="AA2331" s="2" t="s">
        <v>46</v>
      </c>
      <c r="AB2331" s="2" t="s">
        <v>47</v>
      </c>
      <c r="AC2331" s="2" t="s">
        <v>57</v>
      </c>
      <c r="AF2331" s="2">
        <f t="shared" si="325"/>
        <v>0</v>
      </c>
      <c r="AJ2331" s="2">
        <f t="shared" si="326"/>
        <v>0</v>
      </c>
      <c r="AK2331" s="2">
        <f t="shared" si="327"/>
        <v>22.4</v>
      </c>
      <c r="AL2331" s="5">
        <f t="shared" si="328"/>
        <v>0.58333333333333337</v>
      </c>
    </row>
    <row r="2332" spans="1:38" x14ac:dyDescent="0.2">
      <c r="A2332" s="2">
        <v>2025</v>
      </c>
      <c r="B2332" s="2">
        <v>12</v>
      </c>
      <c r="D2332" s="2" t="s">
        <v>689</v>
      </c>
      <c r="E2332" s="2" t="s">
        <v>108</v>
      </c>
      <c r="F2332" s="2" t="s">
        <v>39</v>
      </c>
      <c r="G2332" s="2">
        <v>503589950</v>
      </c>
      <c r="H2332" s="2" t="s">
        <v>41</v>
      </c>
      <c r="I2332" s="2" t="s">
        <v>610</v>
      </c>
      <c r="J2332" s="2" t="s">
        <v>690</v>
      </c>
      <c r="K2332" s="2">
        <v>913036545</v>
      </c>
      <c r="L2332" s="2" t="s">
        <v>177</v>
      </c>
      <c r="M2332" s="2" t="s">
        <v>41</v>
      </c>
      <c r="O2332" s="2" t="s">
        <v>2102</v>
      </c>
      <c r="P2332" s="2" t="s">
        <v>43</v>
      </c>
      <c r="Q2332" s="2" t="s">
        <v>1165</v>
      </c>
      <c r="R2332" s="2" t="s">
        <v>1166</v>
      </c>
      <c r="S2332" s="2">
        <v>1</v>
      </c>
      <c r="T2332" s="2">
        <v>33</v>
      </c>
      <c r="U2332" s="2">
        <v>7.5900000000000007</v>
      </c>
      <c r="V2332" s="2">
        <v>40.590000000000003</v>
      </c>
      <c r="W2332" s="2">
        <f>18.6</f>
        <v>18.600000000000001</v>
      </c>
      <c r="X2332" s="5">
        <f t="shared" si="329"/>
        <v>0.43636363636363634</v>
      </c>
      <c r="Z2332" s="2" t="s">
        <v>3227</v>
      </c>
      <c r="AA2332" s="2" t="s">
        <v>46</v>
      </c>
      <c r="AB2332" s="2" t="s">
        <v>47</v>
      </c>
      <c r="AC2332" s="2" t="s">
        <v>57</v>
      </c>
      <c r="AF2332" s="2">
        <f t="shared" si="325"/>
        <v>0</v>
      </c>
      <c r="AJ2332" s="2">
        <f t="shared" si="326"/>
        <v>0</v>
      </c>
      <c r="AK2332" s="2">
        <f t="shared" si="327"/>
        <v>14.399999999999999</v>
      </c>
      <c r="AL2332" s="5">
        <f t="shared" si="328"/>
        <v>0.43636363636363634</v>
      </c>
    </row>
    <row r="2333" spans="1:38" x14ac:dyDescent="0.2">
      <c r="A2333" s="2">
        <v>2025</v>
      </c>
      <c r="B2333" s="2">
        <v>12</v>
      </c>
      <c r="D2333" s="2" t="s">
        <v>689</v>
      </c>
      <c r="E2333" s="2" t="s">
        <v>108</v>
      </c>
      <c r="F2333" s="2" t="s">
        <v>39</v>
      </c>
      <c r="G2333" s="2">
        <v>503589950</v>
      </c>
      <c r="H2333" s="2" t="s">
        <v>41</v>
      </c>
      <c r="I2333" s="2" t="s">
        <v>610</v>
      </c>
      <c r="J2333" s="2" t="s">
        <v>690</v>
      </c>
      <c r="K2333" s="2">
        <v>913036545</v>
      </c>
      <c r="L2333" s="2" t="s">
        <v>177</v>
      </c>
      <c r="M2333" s="2" t="s">
        <v>40</v>
      </c>
      <c r="O2333" s="2" t="s">
        <v>2098</v>
      </c>
      <c r="P2333" s="2" t="s">
        <v>187</v>
      </c>
      <c r="Q2333" s="2" t="s">
        <v>188</v>
      </c>
      <c r="R2333" s="2" t="s">
        <v>189</v>
      </c>
      <c r="S2333" s="2">
        <v>1</v>
      </c>
      <c r="T2333" s="2">
        <v>79</v>
      </c>
      <c r="U2333" s="2">
        <v>18.170000000000002</v>
      </c>
      <c r="V2333" s="2">
        <v>97.17</v>
      </c>
      <c r="W2333" s="2">
        <f>T2333*40%</f>
        <v>31.6</v>
      </c>
      <c r="X2333" s="5">
        <f t="shared" si="329"/>
        <v>0.6</v>
      </c>
      <c r="Z2333" s="2" t="s">
        <v>117</v>
      </c>
      <c r="AA2333" s="2" t="s">
        <v>190</v>
      </c>
      <c r="AB2333" s="2" t="s">
        <v>189</v>
      </c>
      <c r="AC2333" s="2" t="s">
        <v>40</v>
      </c>
      <c r="AF2333" s="2">
        <f t="shared" si="325"/>
        <v>0</v>
      </c>
      <c r="AJ2333" s="2">
        <f t="shared" si="326"/>
        <v>0</v>
      </c>
      <c r="AK2333" s="2">
        <f t="shared" si="327"/>
        <v>47.4</v>
      </c>
      <c r="AL2333" s="5">
        <f t="shared" si="328"/>
        <v>0.6</v>
      </c>
    </row>
    <row r="2334" spans="1:38" x14ac:dyDescent="0.2">
      <c r="A2334" s="2">
        <v>2025</v>
      </c>
      <c r="B2334" s="2">
        <v>12</v>
      </c>
      <c r="D2334" s="2" t="s">
        <v>689</v>
      </c>
      <c r="E2334" s="2" t="s">
        <v>108</v>
      </c>
      <c r="F2334" s="2" t="s">
        <v>39</v>
      </c>
      <c r="G2334" s="2">
        <v>503589950</v>
      </c>
      <c r="H2334" s="2" t="s">
        <v>41</v>
      </c>
      <c r="I2334" s="2" t="s">
        <v>610</v>
      </c>
      <c r="J2334" s="2" t="s">
        <v>690</v>
      </c>
      <c r="K2334" s="2">
        <v>913036545</v>
      </c>
      <c r="L2334" s="2" t="s">
        <v>177</v>
      </c>
      <c r="M2334" s="2" t="s">
        <v>40</v>
      </c>
      <c r="O2334" s="2" t="s">
        <v>2098</v>
      </c>
      <c r="P2334" s="2" t="s">
        <v>187</v>
      </c>
      <c r="Q2334" s="2" t="s">
        <v>191</v>
      </c>
      <c r="R2334" s="2" t="s">
        <v>190</v>
      </c>
      <c r="S2334" s="2">
        <v>2</v>
      </c>
      <c r="T2334" s="2">
        <v>100</v>
      </c>
      <c r="U2334" s="2">
        <v>23</v>
      </c>
      <c r="V2334" s="2">
        <v>123</v>
      </c>
      <c r="W2334" s="2">
        <f>T2334*50%</f>
        <v>50</v>
      </c>
      <c r="X2334" s="5">
        <f t="shared" si="329"/>
        <v>0.5</v>
      </c>
      <c r="Z2334" s="2" t="s">
        <v>117</v>
      </c>
      <c r="AA2334" s="2" t="s">
        <v>190</v>
      </c>
      <c r="AB2334" s="2" t="s">
        <v>190</v>
      </c>
      <c r="AC2334" s="2" t="s">
        <v>40</v>
      </c>
      <c r="AF2334" s="2">
        <f t="shared" si="325"/>
        <v>0</v>
      </c>
      <c r="AJ2334" s="2">
        <f t="shared" si="326"/>
        <v>0</v>
      </c>
      <c r="AK2334" s="2">
        <f t="shared" si="327"/>
        <v>50</v>
      </c>
      <c r="AL2334" s="5">
        <f t="shared" si="328"/>
        <v>0.5</v>
      </c>
    </row>
    <row r="2335" spans="1:38" x14ac:dyDescent="0.2">
      <c r="A2335" s="2">
        <v>2025</v>
      </c>
      <c r="B2335" s="2">
        <v>12</v>
      </c>
      <c r="D2335" s="2" t="s">
        <v>689</v>
      </c>
      <c r="E2335" s="2" t="s">
        <v>108</v>
      </c>
      <c r="F2335" s="2" t="s">
        <v>39</v>
      </c>
      <c r="G2335" s="2">
        <v>503589950</v>
      </c>
      <c r="H2335" s="2" t="s">
        <v>41</v>
      </c>
      <c r="I2335" s="2" t="s">
        <v>610</v>
      </c>
      <c r="J2335" s="2" t="s">
        <v>690</v>
      </c>
      <c r="K2335" s="2">
        <v>913036545</v>
      </c>
      <c r="L2335" s="2" t="s">
        <v>177</v>
      </c>
      <c r="M2335" s="2" t="s">
        <v>40</v>
      </c>
      <c r="O2335" s="2" t="s">
        <v>2101</v>
      </c>
      <c r="P2335" s="2" t="s">
        <v>187</v>
      </c>
      <c r="Q2335" s="2" t="s">
        <v>1308</v>
      </c>
      <c r="R2335" s="2" t="s">
        <v>1309</v>
      </c>
      <c r="S2335" s="2">
        <v>12</v>
      </c>
      <c r="T2335" s="2">
        <v>0</v>
      </c>
      <c r="U2335" s="2">
        <v>0</v>
      </c>
      <c r="V2335" s="2">
        <v>0</v>
      </c>
      <c r="X2335" s="18">
        <v>-1</v>
      </c>
      <c r="Z2335" s="2" t="s">
        <v>117</v>
      </c>
      <c r="AA2335" s="2" t="s">
        <v>1310</v>
      </c>
      <c r="AF2335" s="2">
        <f t="shared" si="325"/>
        <v>0</v>
      </c>
      <c r="AJ2335" s="2">
        <f t="shared" si="326"/>
        <v>0</v>
      </c>
      <c r="AK2335" s="2">
        <f t="shared" si="327"/>
        <v>0</v>
      </c>
      <c r="AL2335" s="5">
        <v>-1</v>
      </c>
    </row>
    <row r="2336" spans="1:38" x14ac:dyDescent="0.2">
      <c r="A2336" s="2">
        <v>2025</v>
      </c>
      <c r="B2336" s="2">
        <v>12</v>
      </c>
      <c r="D2336" s="2" t="s">
        <v>192</v>
      </c>
      <c r="E2336" s="2" t="s">
        <v>108</v>
      </c>
      <c r="F2336" s="2" t="s">
        <v>193</v>
      </c>
      <c r="G2336" s="2">
        <v>502044411</v>
      </c>
      <c r="H2336" s="2" t="s">
        <v>40</v>
      </c>
      <c r="I2336" s="2" t="s">
        <v>156</v>
      </c>
      <c r="J2336" s="2" t="s">
        <v>194</v>
      </c>
      <c r="L2336" s="2" t="s">
        <v>99</v>
      </c>
      <c r="M2336" s="2" t="s">
        <v>80</v>
      </c>
      <c r="O2336" s="2" t="s">
        <v>2103</v>
      </c>
      <c r="P2336" s="2" t="s">
        <v>43</v>
      </c>
      <c r="Q2336" s="2" t="s">
        <v>420</v>
      </c>
      <c r="R2336" s="2" t="s">
        <v>421</v>
      </c>
      <c r="S2336" s="2">
        <v>12</v>
      </c>
      <c r="T2336" s="2">
        <v>79.2</v>
      </c>
      <c r="U2336" s="2">
        <v>18.216000000000001</v>
      </c>
      <c r="V2336" s="2">
        <v>97.415999999999997</v>
      </c>
      <c r="W2336" s="2">
        <f>3.7556*S2336</f>
        <v>45.0672</v>
      </c>
      <c r="X2336" s="5">
        <f t="shared" ref="X2336:X2350" si="330">(T2336-W2336)/T2336</f>
        <v>0.430969696969697</v>
      </c>
      <c r="Z2336" s="2" t="s">
        <v>3227</v>
      </c>
      <c r="AA2336" s="2" t="s">
        <v>46</v>
      </c>
      <c r="AB2336" s="2" t="s">
        <v>60</v>
      </c>
      <c r="AC2336" s="2" t="s">
        <v>57</v>
      </c>
      <c r="AF2336" s="2">
        <f t="shared" si="325"/>
        <v>0</v>
      </c>
      <c r="AG2336" s="2">
        <v>3.7555999999999998</v>
      </c>
      <c r="AH2336" s="2">
        <v>7.2</v>
      </c>
      <c r="AJ2336" s="2">
        <f t="shared" si="326"/>
        <v>0</v>
      </c>
      <c r="AK2336" s="2">
        <f t="shared" si="327"/>
        <v>34.132800000000003</v>
      </c>
      <c r="AL2336" s="5">
        <f t="shared" ref="AL2336:AL2350" si="331">(T2336-W2336)/T2336</f>
        <v>0.430969696969697</v>
      </c>
    </row>
    <row r="2337" spans="1:38" x14ac:dyDescent="0.2">
      <c r="A2337" s="2">
        <v>2025</v>
      </c>
      <c r="B2337" s="2">
        <v>12</v>
      </c>
      <c r="D2337" s="2" t="s">
        <v>192</v>
      </c>
      <c r="E2337" s="2" t="s">
        <v>108</v>
      </c>
      <c r="F2337" s="2" t="s">
        <v>193</v>
      </c>
      <c r="G2337" s="2">
        <v>502044411</v>
      </c>
      <c r="H2337" s="2" t="s">
        <v>40</v>
      </c>
      <c r="I2337" s="2" t="s">
        <v>156</v>
      </c>
      <c r="J2337" s="2" t="s">
        <v>194</v>
      </c>
      <c r="L2337" s="2" t="s">
        <v>99</v>
      </c>
      <c r="M2337" s="2" t="s">
        <v>80</v>
      </c>
      <c r="O2337" s="2" t="s">
        <v>2103</v>
      </c>
      <c r="P2337" s="2" t="s">
        <v>43</v>
      </c>
      <c r="Q2337" s="2" t="s">
        <v>63</v>
      </c>
      <c r="R2337" s="2" t="s">
        <v>64</v>
      </c>
      <c r="S2337" s="2">
        <v>12</v>
      </c>
      <c r="T2337" s="2">
        <v>21.6</v>
      </c>
      <c r="U2337" s="2">
        <v>4.9680000000000009</v>
      </c>
      <c r="V2337" s="2">
        <v>26.568000000000001</v>
      </c>
      <c r="W2337" s="2">
        <f>0.8561*S2337</f>
        <v>10.273199999999999</v>
      </c>
      <c r="X2337" s="5">
        <f t="shared" si="330"/>
        <v>0.5243888888888889</v>
      </c>
      <c r="Z2337" s="2" t="s">
        <v>3227</v>
      </c>
      <c r="AA2337" s="2" t="s">
        <v>46</v>
      </c>
      <c r="AB2337" s="2" t="s">
        <v>60</v>
      </c>
      <c r="AC2337" s="2" t="s">
        <v>57</v>
      </c>
      <c r="AF2337" s="2">
        <f t="shared" si="325"/>
        <v>0</v>
      </c>
      <c r="AG2337" s="2">
        <v>0.85609999999999997</v>
      </c>
      <c r="AH2337" s="2">
        <v>1.8</v>
      </c>
      <c r="AJ2337" s="2">
        <f t="shared" si="326"/>
        <v>0</v>
      </c>
      <c r="AK2337" s="2">
        <f t="shared" si="327"/>
        <v>11.326800000000002</v>
      </c>
      <c r="AL2337" s="5">
        <f t="shared" si="331"/>
        <v>0.5243888888888889</v>
      </c>
    </row>
    <row r="2338" spans="1:38" x14ac:dyDescent="0.2">
      <c r="A2338" s="2">
        <v>2025</v>
      </c>
      <c r="B2338" s="2">
        <v>12</v>
      </c>
      <c r="D2338" s="2" t="s">
        <v>192</v>
      </c>
      <c r="E2338" s="2" t="s">
        <v>108</v>
      </c>
      <c r="F2338" s="2" t="s">
        <v>193</v>
      </c>
      <c r="G2338" s="2">
        <v>502044411</v>
      </c>
      <c r="H2338" s="2" t="s">
        <v>40</v>
      </c>
      <c r="I2338" s="2" t="s">
        <v>156</v>
      </c>
      <c r="J2338" s="2" t="s">
        <v>194</v>
      </c>
      <c r="L2338" s="2" t="s">
        <v>99</v>
      </c>
      <c r="M2338" s="2" t="s">
        <v>80</v>
      </c>
      <c r="O2338" s="2" t="s">
        <v>2103</v>
      </c>
      <c r="P2338" s="2" t="s">
        <v>43</v>
      </c>
      <c r="Q2338" s="2" t="s">
        <v>334</v>
      </c>
      <c r="R2338" s="2" t="s">
        <v>335</v>
      </c>
      <c r="S2338" s="2">
        <v>10</v>
      </c>
      <c r="T2338" s="2">
        <v>30</v>
      </c>
      <c r="U2338" s="2">
        <v>6.9</v>
      </c>
      <c r="V2338" s="2">
        <v>36.9</v>
      </c>
      <c r="W2338" s="2">
        <f>1.1122*S2338</f>
        <v>11.122</v>
      </c>
      <c r="X2338" s="5">
        <f t="shared" si="330"/>
        <v>0.62926666666666664</v>
      </c>
      <c r="Z2338" s="2" t="s">
        <v>3227</v>
      </c>
      <c r="AA2338" s="2" t="s">
        <v>46</v>
      </c>
      <c r="AB2338" s="2" t="s">
        <v>60</v>
      </c>
      <c r="AC2338" s="2" t="s">
        <v>57</v>
      </c>
      <c r="AF2338" s="2">
        <f t="shared" si="325"/>
        <v>0</v>
      </c>
      <c r="AG2338" s="2">
        <v>1.1122000000000001</v>
      </c>
      <c r="AH2338" s="2">
        <v>3</v>
      </c>
      <c r="AJ2338" s="2">
        <f t="shared" si="326"/>
        <v>0</v>
      </c>
      <c r="AK2338" s="2">
        <f t="shared" si="327"/>
        <v>18.878</v>
      </c>
      <c r="AL2338" s="5">
        <f t="shared" si="331"/>
        <v>0.62926666666666664</v>
      </c>
    </row>
    <row r="2339" spans="1:38" x14ac:dyDescent="0.2">
      <c r="A2339" s="2">
        <v>2025</v>
      </c>
      <c r="B2339" s="2">
        <v>12</v>
      </c>
      <c r="D2339" s="2" t="s">
        <v>289</v>
      </c>
      <c r="E2339" s="2" t="s">
        <v>108</v>
      </c>
      <c r="F2339" s="2" t="s">
        <v>39</v>
      </c>
      <c r="G2339" s="2">
        <v>508428300</v>
      </c>
      <c r="H2339" s="2" t="s">
        <v>290</v>
      </c>
      <c r="I2339" s="2" t="s">
        <v>291</v>
      </c>
      <c r="J2339" s="2" t="s">
        <v>292</v>
      </c>
      <c r="K2339" s="2">
        <v>917165642</v>
      </c>
      <c r="L2339" s="2" t="s">
        <v>293</v>
      </c>
      <c r="M2339" s="2" t="s">
        <v>40</v>
      </c>
      <c r="O2339" s="2" t="s">
        <v>2104</v>
      </c>
      <c r="P2339" s="2" t="s">
        <v>114</v>
      </c>
      <c r="Q2339" s="2" t="s">
        <v>1514</v>
      </c>
      <c r="R2339" s="2" t="s">
        <v>1515</v>
      </c>
      <c r="S2339" s="2">
        <v>1</v>
      </c>
      <c r="T2339" s="2">
        <v>33.33</v>
      </c>
      <c r="U2339" s="2">
        <v>7.6658999999999997</v>
      </c>
      <c r="V2339" s="2">
        <v>40.995899999999999</v>
      </c>
      <c r="X2339" s="5">
        <f t="shared" si="330"/>
        <v>1</v>
      </c>
      <c r="Z2339" s="2" t="s">
        <v>117</v>
      </c>
      <c r="AA2339" s="2" t="s">
        <v>118</v>
      </c>
      <c r="AB2339" s="2" t="s">
        <v>119</v>
      </c>
      <c r="AC2339" s="2" t="s">
        <v>114</v>
      </c>
      <c r="AF2339" s="2">
        <f t="shared" si="325"/>
        <v>0</v>
      </c>
      <c r="AJ2339" s="2">
        <f t="shared" si="326"/>
        <v>0</v>
      </c>
      <c r="AK2339" s="2">
        <f t="shared" si="327"/>
        <v>33.33</v>
      </c>
      <c r="AL2339" s="5">
        <f t="shared" si="331"/>
        <v>1</v>
      </c>
    </row>
    <row r="2340" spans="1:38" x14ac:dyDescent="0.2">
      <c r="A2340" s="2">
        <v>2025</v>
      </c>
      <c r="B2340" s="2">
        <v>12</v>
      </c>
      <c r="D2340" s="2" t="s">
        <v>289</v>
      </c>
      <c r="E2340" s="2" t="s">
        <v>108</v>
      </c>
      <c r="F2340" s="2" t="s">
        <v>39</v>
      </c>
      <c r="G2340" s="2">
        <v>508428300</v>
      </c>
      <c r="H2340" s="2" t="s">
        <v>290</v>
      </c>
      <c r="I2340" s="2" t="s">
        <v>291</v>
      </c>
      <c r="J2340" s="2" t="s">
        <v>292</v>
      </c>
      <c r="K2340" s="2">
        <v>917165642</v>
      </c>
      <c r="L2340" s="2" t="s">
        <v>293</v>
      </c>
      <c r="M2340" s="2" t="s">
        <v>40</v>
      </c>
      <c r="O2340" s="2" t="s">
        <v>2104</v>
      </c>
      <c r="P2340" s="2" t="s">
        <v>187</v>
      </c>
      <c r="Q2340" s="2" t="s">
        <v>188</v>
      </c>
      <c r="R2340" s="2" t="s">
        <v>189</v>
      </c>
      <c r="S2340" s="2">
        <v>1</v>
      </c>
      <c r="T2340" s="2">
        <v>61</v>
      </c>
      <c r="U2340" s="2">
        <v>14.03</v>
      </c>
      <c r="V2340" s="2">
        <v>75.03</v>
      </c>
      <c r="W2340" s="2">
        <f>T2340*40%</f>
        <v>24.400000000000002</v>
      </c>
      <c r="X2340" s="5">
        <f t="shared" si="330"/>
        <v>0.59999999999999987</v>
      </c>
      <c r="Z2340" s="2" t="s">
        <v>117</v>
      </c>
      <c r="AA2340" s="2" t="s">
        <v>190</v>
      </c>
      <c r="AB2340" s="2" t="s">
        <v>189</v>
      </c>
      <c r="AC2340" s="2" t="s">
        <v>40</v>
      </c>
      <c r="AF2340" s="2">
        <f t="shared" si="325"/>
        <v>0</v>
      </c>
      <c r="AJ2340" s="2">
        <f t="shared" si="326"/>
        <v>0</v>
      </c>
      <c r="AK2340" s="2">
        <f t="shared" si="327"/>
        <v>36.599999999999994</v>
      </c>
      <c r="AL2340" s="5">
        <f t="shared" si="331"/>
        <v>0.59999999999999987</v>
      </c>
    </row>
    <row r="2341" spans="1:38" x14ac:dyDescent="0.2">
      <c r="A2341" s="2">
        <v>2025</v>
      </c>
      <c r="B2341" s="2">
        <v>12</v>
      </c>
      <c r="D2341" s="2" t="s">
        <v>289</v>
      </c>
      <c r="E2341" s="2" t="s">
        <v>108</v>
      </c>
      <c r="F2341" s="2" t="s">
        <v>39</v>
      </c>
      <c r="G2341" s="2">
        <v>508428300</v>
      </c>
      <c r="H2341" s="2" t="s">
        <v>290</v>
      </c>
      <c r="I2341" s="2" t="s">
        <v>291</v>
      </c>
      <c r="J2341" s="2" t="s">
        <v>292</v>
      </c>
      <c r="K2341" s="2">
        <v>917165642</v>
      </c>
      <c r="L2341" s="2" t="s">
        <v>293</v>
      </c>
      <c r="M2341" s="2" t="s">
        <v>40</v>
      </c>
      <c r="O2341" s="2" t="s">
        <v>2104</v>
      </c>
      <c r="P2341" s="2" t="s">
        <v>187</v>
      </c>
      <c r="Q2341" s="2" t="s">
        <v>191</v>
      </c>
      <c r="R2341" s="2" t="s">
        <v>190</v>
      </c>
      <c r="S2341" s="2">
        <v>2.5</v>
      </c>
      <c r="T2341" s="2">
        <v>125</v>
      </c>
      <c r="U2341" s="2">
        <v>28.75</v>
      </c>
      <c r="V2341" s="2">
        <v>153.75</v>
      </c>
      <c r="W2341" s="2">
        <f>T2341*50%</f>
        <v>62.5</v>
      </c>
      <c r="X2341" s="5">
        <f t="shared" si="330"/>
        <v>0.5</v>
      </c>
      <c r="Z2341" s="2" t="s">
        <v>117</v>
      </c>
      <c r="AA2341" s="2" t="s">
        <v>190</v>
      </c>
      <c r="AB2341" s="2" t="s">
        <v>190</v>
      </c>
      <c r="AC2341" s="2" t="s">
        <v>40</v>
      </c>
      <c r="AF2341" s="2">
        <f t="shared" si="325"/>
        <v>0</v>
      </c>
      <c r="AJ2341" s="2">
        <f t="shared" si="326"/>
        <v>0</v>
      </c>
      <c r="AK2341" s="2">
        <f t="shared" si="327"/>
        <v>62.5</v>
      </c>
      <c r="AL2341" s="5">
        <f t="shared" si="331"/>
        <v>0.5</v>
      </c>
    </row>
    <row r="2342" spans="1:38" x14ac:dyDescent="0.2">
      <c r="A2342" s="2">
        <v>2025</v>
      </c>
      <c r="B2342" s="2">
        <v>12</v>
      </c>
      <c r="D2342" s="2" t="s">
        <v>2105</v>
      </c>
      <c r="M2342" s="2" t="s">
        <v>40</v>
      </c>
      <c r="P2342" s="2" t="s">
        <v>187</v>
      </c>
      <c r="Q2342" s="2" t="s">
        <v>188</v>
      </c>
      <c r="R2342" s="2" t="s">
        <v>189</v>
      </c>
      <c r="S2342" s="2">
        <v>1</v>
      </c>
      <c r="T2342" s="2">
        <v>71</v>
      </c>
      <c r="U2342" s="2">
        <v>16.329999999999998</v>
      </c>
      <c r="V2342" s="2">
        <v>87.33</v>
      </c>
      <c r="W2342" s="2">
        <f>T2342*40%</f>
        <v>28.400000000000002</v>
      </c>
      <c r="X2342" s="5">
        <f t="shared" si="330"/>
        <v>0.59999999999999987</v>
      </c>
      <c r="Z2342" s="2" t="s">
        <v>117</v>
      </c>
      <c r="AA2342" s="2" t="s">
        <v>190</v>
      </c>
      <c r="AB2342" s="2" t="s">
        <v>189</v>
      </c>
      <c r="AC2342" s="2" t="s">
        <v>40</v>
      </c>
      <c r="AF2342" s="2">
        <f t="shared" si="325"/>
        <v>0</v>
      </c>
      <c r="AJ2342" s="2">
        <f t="shared" si="326"/>
        <v>0</v>
      </c>
      <c r="AK2342" s="2">
        <f t="shared" si="327"/>
        <v>42.599999999999994</v>
      </c>
      <c r="AL2342" s="5">
        <f t="shared" si="331"/>
        <v>0.59999999999999987</v>
      </c>
    </row>
    <row r="2343" spans="1:38" x14ac:dyDescent="0.2">
      <c r="A2343" s="2">
        <v>2025</v>
      </c>
      <c r="B2343" s="2">
        <v>12</v>
      </c>
      <c r="D2343" s="2" t="s">
        <v>2105</v>
      </c>
      <c r="M2343" s="2" t="s">
        <v>40</v>
      </c>
      <c r="P2343" s="2" t="s">
        <v>187</v>
      </c>
      <c r="Q2343" s="2" t="s">
        <v>191</v>
      </c>
      <c r="R2343" s="2" t="s">
        <v>190</v>
      </c>
      <c r="S2343" s="2">
        <v>1</v>
      </c>
      <c r="T2343" s="2">
        <v>50</v>
      </c>
      <c r="U2343" s="2">
        <v>11.5</v>
      </c>
      <c r="V2343" s="2">
        <v>61.5</v>
      </c>
      <c r="W2343" s="2">
        <f>T2343*50%</f>
        <v>25</v>
      </c>
      <c r="X2343" s="5">
        <f t="shared" si="330"/>
        <v>0.5</v>
      </c>
      <c r="Z2343" s="2" t="s">
        <v>117</v>
      </c>
      <c r="AA2343" s="2" t="s">
        <v>190</v>
      </c>
      <c r="AB2343" s="2" t="s">
        <v>190</v>
      </c>
      <c r="AC2343" s="2" t="s">
        <v>40</v>
      </c>
      <c r="AF2343" s="2">
        <f t="shared" si="325"/>
        <v>0</v>
      </c>
      <c r="AJ2343" s="2">
        <f t="shared" si="326"/>
        <v>0</v>
      </c>
      <c r="AK2343" s="2">
        <f t="shared" si="327"/>
        <v>25</v>
      </c>
      <c r="AL2343" s="5">
        <f t="shared" si="331"/>
        <v>0.5</v>
      </c>
    </row>
    <row r="2344" spans="1:38" x14ac:dyDescent="0.2">
      <c r="A2344" s="2">
        <v>2025</v>
      </c>
      <c r="B2344" s="2">
        <v>12</v>
      </c>
      <c r="D2344" s="2" t="s">
        <v>2105</v>
      </c>
      <c r="P2344" s="2" t="s">
        <v>187</v>
      </c>
      <c r="Q2344" s="2" t="s">
        <v>1308</v>
      </c>
      <c r="R2344" s="2" t="s">
        <v>1309</v>
      </c>
      <c r="S2344" s="2">
        <v>1</v>
      </c>
      <c r="T2344" s="2">
        <v>45</v>
      </c>
      <c r="U2344" s="2">
        <v>10.35</v>
      </c>
      <c r="V2344" s="2">
        <v>55.35</v>
      </c>
      <c r="X2344" s="5">
        <f t="shared" si="330"/>
        <v>1</v>
      </c>
      <c r="Z2344" s="2" t="s">
        <v>117</v>
      </c>
      <c r="AA2344" s="2" t="s">
        <v>1310</v>
      </c>
      <c r="AF2344" s="2">
        <f t="shared" si="325"/>
        <v>0</v>
      </c>
      <c r="AJ2344" s="2">
        <f t="shared" si="326"/>
        <v>0</v>
      </c>
      <c r="AK2344" s="2">
        <f t="shared" si="327"/>
        <v>45</v>
      </c>
      <c r="AL2344" s="5">
        <f t="shared" si="331"/>
        <v>1</v>
      </c>
    </row>
    <row r="2345" spans="1:38" x14ac:dyDescent="0.2">
      <c r="A2345" s="2">
        <v>2025</v>
      </c>
      <c r="B2345" s="2">
        <v>12</v>
      </c>
      <c r="D2345" s="2" t="s">
        <v>1168</v>
      </c>
      <c r="E2345" s="2" t="s">
        <v>752</v>
      </c>
      <c r="F2345" s="2" t="s">
        <v>1169</v>
      </c>
      <c r="G2345" s="2">
        <v>505760088</v>
      </c>
      <c r="H2345" s="2" t="s">
        <v>290</v>
      </c>
      <c r="I2345" s="2" t="s">
        <v>1170</v>
      </c>
      <c r="J2345" s="2" t="s">
        <v>1171</v>
      </c>
      <c r="L2345" s="2" t="s">
        <v>339</v>
      </c>
      <c r="M2345" s="2" t="s">
        <v>1172</v>
      </c>
      <c r="O2345" s="2" t="s">
        <v>2106</v>
      </c>
      <c r="P2345" s="2" t="s">
        <v>43</v>
      </c>
      <c r="Q2345" s="2" t="s">
        <v>971</v>
      </c>
      <c r="R2345" s="2" t="s">
        <v>972</v>
      </c>
      <c r="S2345" s="2">
        <v>4</v>
      </c>
      <c r="T2345" s="2">
        <v>120</v>
      </c>
      <c r="U2345" s="2">
        <v>27.6</v>
      </c>
      <c r="V2345" s="2">
        <v>147.6</v>
      </c>
      <c r="W2345" s="2">
        <f>18.9342*S2345</f>
        <v>75.736800000000002</v>
      </c>
      <c r="X2345" s="5">
        <f t="shared" si="330"/>
        <v>0.36885999999999997</v>
      </c>
      <c r="Z2345" s="2" t="s">
        <v>3227</v>
      </c>
      <c r="AA2345" s="2" t="s">
        <v>46</v>
      </c>
      <c r="AB2345" s="2" t="s">
        <v>60</v>
      </c>
      <c r="AC2345" s="2" t="s">
        <v>57</v>
      </c>
      <c r="AF2345" s="2">
        <f t="shared" si="325"/>
        <v>0</v>
      </c>
      <c r="AG2345" s="2">
        <v>18.934200000000001</v>
      </c>
      <c r="AH2345" s="2">
        <v>29</v>
      </c>
      <c r="AJ2345" s="2">
        <f t="shared" si="326"/>
        <v>0</v>
      </c>
      <c r="AK2345" s="2">
        <f t="shared" si="327"/>
        <v>44.263199999999998</v>
      </c>
      <c r="AL2345" s="5">
        <f t="shared" si="331"/>
        <v>0.36885999999999997</v>
      </c>
    </row>
    <row r="2346" spans="1:38" x14ac:dyDescent="0.2">
      <c r="A2346" s="2">
        <v>2025</v>
      </c>
      <c r="B2346" s="2">
        <v>12</v>
      </c>
      <c r="D2346" s="2" t="s">
        <v>311</v>
      </c>
      <c r="M2346" s="2" t="s">
        <v>40</v>
      </c>
      <c r="P2346" s="2" t="s">
        <v>187</v>
      </c>
      <c r="Q2346" s="2" t="s">
        <v>188</v>
      </c>
      <c r="R2346" s="2" t="s">
        <v>189</v>
      </c>
      <c r="S2346" s="2">
        <v>1</v>
      </c>
      <c r="T2346" s="2">
        <v>58</v>
      </c>
      <c r="U2346" s="2">
        <v>13.34</v>
      </c>
      <c r="V2346" s="2">
        <v>71.34</v>
      </c>
      <c r="W2346" s="2">
        <f>T2346*40%</f>
        <v>23.200000000000003</v>
      </c>
      <c r="X2346" s="5">
        <f t="shared" si="330"/>
        <v>0.6</v>
      </c>
      <c r="Z2346" s="2" t="s">
        <v>117</v>
      </c>
      <c r="AA2346" s="2" t="s">
        <v>190</v>
      </c>
      <c r="AB2346" s="2" t="s">
        <v>189</v>
      </c>
      <c r="AC2346" s="2" t="s">
        <v>40</v>
      </c>
      <c r="AF2346" s="2">
        <f t="shared" si="325"/>
        <v>0</v>
      </c>
      <c r="AJ2346" s="2">
        <f t="shared" si="326"/>
        <v>0</v>
      </c>
      <c r="AK2346" s="2">
        <f t="shared" si="327"/>
        <v>34.799999999999997</v>
      </c>
      <c r="AL2346" s="5">
        <f t="shared" si="331"/>
        <v>0.6</v>
      </c>
    </row>
    <row r="2347" spans="1:38" x14ac:dyDescent="0.2">
      <c r="A2347" s="2">
        <v>2025</v>
      </c>
      <c r="B2347" s="2">
        <v>12</v>
      </c>
      <c r="D2347" s="2" t="s">
        <v>311</v>
      </c>
      <c r="M2347" s="2" t="s">
        <v>40</v>
      </c>
      <c r="P2347" s="2" t="s">
        <v>187</v>
      </c>
      <c r="Q2347" s="2" t="s">
        <v>191</v>
      </c>
      <c r="R2347" s="2" t="s">
        <v>190</v>
      </c>
      <c r="S2347" s="2">
        <v>0.75</v>
      </c>
      <c r="T2347" s="2">
        <v>37.5</v>
      </c>
      <c r="U2347" s="2">
        <v>8.625</v>
      </c>
      <c r="V2347" s="2">
        <v>46.125</v>
      </c>
      <c r="W2347" s="2">
        <f>T2347*50%</f>
        <v>18.75</v>
      </c>
      <c r="X2347" s="5">
        <f t="shared" si="330"/>
        <v>0.5</v>
      </c>
      <c r="Z2347" s="2" t="s">
        <v>117</v>
      </c>
      <c r="AA2347" s="2" t="s">
        <v>190</v>
      </c>
      <c r="AB2347" s="2" t="s">
        <v>190</v>
      </c>
      <c r="AC2347" s="2" t="s">
        <v>40</v>
      </c>
      <c r="AF2347" s="2">
        <f t="shared" si="325"/>
        <v>0</v>
      </c>
      <c r="AJ2347" s="2">
        <f t="shared" si="326"/>
        <v>0</v>
      </c>
      <c r="AK2347" s="2">
        <f t="shared" si="327"/>
        <v>18.75</v>
      </c>
      <c r="AL2347" s="5">
        <f t="shared" si="331"/>
        <v>0.5</v>
      </c>
    </row>
    <row r="2348" spans="1:38" x14ac:dyDescent="0.2">
      <c r="A2348" s="2">
        <v>2025</v>
      </c>
      <c r="B2348" s="2">
        <v>12</v>
      </c>
      <c r="D2348" s="2" t="s">
        <v>693</v>
      </c>
      <c r="E2348" s="2" t="s">
        <v>38</v>
      </c>
      <c r="F2348" s="2" t="s">
        <v>39</v>
      </c>
      <c r="G2348" s="2">
        <v>508574358</v>
      </c>
      <c r="H2348" s="2" t="s">
        <v>41</v>
      </c>
      <c r="I2348" s="2" t="s">
        <v>694</v>
      </c>
      <c r="J2348" s="2" t="s">
        <v>695</v>
      </c>
      <c r="K2348" s="2">
        <v>917295518</v>
      </c>
      <c r="L2348" s="2" t="s">
        <v>177</v>
      </c>
      <c r="M2348" s="2" t="s">
        <v>41</v>
      </c>
      <c r="P2348" s="2" t="s">
        <v>43</v>
      </c>
      <c r="Q2348" s="2" t="s">
        <v>579</v>
      </c>
      <c r="R2348" s="2" t="s">
        <v>580</v>
      </c>
      <c r="S2348" s="2">
        <v>4</v>
      </c>
      <c r="T2348" s="2">
        <v>9.6</v>
      </c>
      <c r="U2348" s="2">
        <v>2.2080000000000002</v>
      </c>
      <c r="V2348" s="2">
        <v>11.808</v>
      </c>
      <c r="W2348" s="2">
        <f>1.4114*S2348</f>
        <v>5.6456</v>
      </c>
      <c r="X2348" s="5">
        <f t="shared" si="330"/>
        <v>0.41191666666666665</v>
      </c>
      <c r="Z2348" s="2" t="s">
        <v>3227</v>
      </c>
      <c r="AA2348" s="2" t="s">
        <v>46</v>
      </c>
      <c r="AB2348" s="2" t="s">
        <v>60</v>
      </c>
      <c r="AC2348" s="2" t="s">
        <v>57</v>
      </c>
      <c r="AF2348" s="2">
        <f t="shared" si="325"/>
        <v>0</v>
      </c>
      <c r="AG2348" s="2">
        <v>1.4114</v>
      </c>
      <c r="AH2348" s="2">
        <v>3</v>
      </c>
      <c r="AJ2348" s="2">
        <f t="shared" si="326"/>
        <v>0</v>
      </c>
      <c r="AK2348" s="2">
        <f t="shared" si="327"/>
        <v>3.9543999999999997</v>
      </c>
      <c r="AL2348" s="5">
        <f t="shared" si="331"/>
        <v>0.41191666666666665</v>
      </c>
    </row>
    <row r="2349" spans="1:38" x14ac:dyDescent="0.2">
      <c r="A2349" s="2">
        <v>2025</v>
      </c>
      <c r="B2349" s="2">
        <v>12</v>
      </c>
      <c r="D2349" s="2" t="s">
        <v>693</v>
      </c>
      <c r="E2349" s="2" t="s">
        <v>38</v>
      </c>
      <c r="F2349" s="2" t="s">
        <v>39</v>
      </c>
      <c r="G2349" s="2">
        <v>508574358</v>
      </c>
      <c r="H2349" s="2" t="s">
        <v>41</v>
      </c>
      <c r="I2349" s="2" t="s">
        <v>694</v>
      </c>
      <c r="J2349" s="2" t="s">
        <v>695</v>
      </c>
      <c r="K2349" s="2">
        <v>917295518</v>
      </c>
      <c r="L2349" s="2" t="s">
        <v>177</v>
      </c>
      <c r="M2349" s="2" t="s">
        <v>41</v>
      </c>
      <c r="O2349" s="2" t="s">
        <v>2107</v>
      </c>
      <c r="P2349" s="2" t="s">
        <v>43</v>
      </c>
      <c r="Q2349" s="2" t="s">
        <v>2108</v>
      </c>
      <c r="R2349" s="2" t="s">
        <v>2109</v>
      </c>
      <c r="S2349" s="2">
        <v>4</v>
      </c>
      <c r="T2349" s="2">
        <v>9.6</v>
      </c>
      <c r="U2349" s="2">
        <v>2.2080000000000002</v>
      </c>
      <c r="V2349" s="2">
        <v>11.808</v>
      </c>
      <c r="W2349" s="2">
        <f>1.219*S2349</f>
        <v>4.8760000000000003</v>
      </c>
      <c r="X2349" s="5">
        <f t="shared" si="330"/>
        <v>0.49208333333333326</v>
      </c>
      <c r="Z2349" s="2" t="s">
        <v>3227</v>
      </c>
      <c r="AA2349" s="2" t="s">
        <v>46</v>
      </c>
      <c r="AB2349" s="2" t="s">
        <v>60</v>
      </c>
      <c r="AC2349" s="2" t="s">
        <v>57</v>
      </c>
      <c r="AF2349" s="2">
        <f t="shared" si="325"/>
        <v>0</v>
      </c>
      <c r="AG2349" s="2">
        <v>1.2190000000000001</v>
      </c>
      <c r="AH2349" s="2">
        <v>3</v>
      </c>
      <c r="AJ2349" s="2">
        <f t="shared" si="326"/>
        <v>0</v>
      </c>
      <c r="AK2349" s="2">
        <f t="shared" si="327"/>
        <v>4.7239999999999993</v>
      </c>
      <c r="AL2349" s="5">
        <f t="shared" si="331"/>
        <v>0.49208333333333326</v>
      </c>
    </row>
    <row r="2350" spans="1:38" x14ac:dyDescent="0.2">
      <c r="A2350" s="2">
        <v>2025</v>
      </c>
      <c r="B2350" s="2">
        <v>12</v>
      </c>
      <c r="D2350" s="2" t="s">
        <v>2110</v>
      </c>
      <c r="P2350" s="2" t="s">
        <v>40</v>
      </c>
      <c r="Q2350" s="2" t="s">
        <v>363</v>
      </c>
      <c r="R2350" s="2" t="s">
        <v>364</v>
      </c>
      <c r="S2350" s="2">
        <v>1</v>
      </c>
      <c r="T2350" s="2">
        <v>18.260000000000002</v>
      </c>
      <c r="U2350" s="2">
        <v>4.1998000000000006</v>
      </c>
      <c r="V2350" s="2">
        <v>22.459800000000001</v>
      </c>
      <c r="X2350" s="5">
        <f t="shared" si="330"/>
        <v>1</v>
      </c>
      <c r="Z2350" s="2" t="s">
        <v>119</v>
      </c>
      <c r="AA2350" s="2" t="s">
        <v>3380</v>
      </c>
      <c r="AF2350" s="2">
        <f t="shared" si="325"/>
        <v>0</v>
      </c>
      <c r="AJ2350" s="2">
        <f t="shared" si="326"/>
        <v>0</v>
      </c>
      <c r="AK2350" s="2">
        <f t="shared" si="327"/>
        <v>18.260000000000002</v>
      </c>
      <c r="AL2350" s="5">
        <f t="shared" si="331"/>
        <v>1</v>
      </c>
    </row>
    <row r="2351" spans="1:38" x14ac:dyDescent="0.2">
      <c r="A2351" s="2">
        <v>2025</v>
      </c>
      <c r="B2351" s="2">
        <v>12</v>
      </c>
      <c r="D2351" s="2" t="s">
        <v>2111</v>
      </c>
      <c r="P2351" s="2" t="s">
        <v>40</v>
      </c>
      <c r="Q2351" s="2" t="s">
        <v>363</v>
      </c>
      <c r="R2351" s="2" t="s">
        <v>364</v>
      </c>
      <c r="S2351" s="2">
        <v>-1</v>
      </c>
      <c r="T2351" s="2">
        <v>-1520</v>
      </c>
      <c r="U2351" s="2">
        <v>-349.6</v>
      </c>
      <c r="V2351" s="2">
        <v>-1869.6</v>
      </c>
      <c r="Z2351" s="2" t="s">
        <v>119</v>
      </c>
      <c r="AA2351" s="2" t="s">
        <v>3380</v>
      </c>
      <c r="AF2351" s="2">
        <f t="shared" si="325"/>
        <v>0</v>
      </c>
      <c r="AJ2351" s="2">
        <f t="shared" si="326"/>
        <v>0</v>
      </c>
    </row>
    <row r="2352" spans="1:38" x14ac:dyDescent="0.2">
      <c r="A2352" s="2">
        <v>2025</v>
      </c>
      <c r="B2352" s="2">
        <v>12</v>
      </c>
      <c r="D2352" s="2" t="s">
        <v>716</v>
      </c>
      <c r="E2352" s="2" t="s">
        <v>108</v>
      </c>
      <c r="F2352" s="2" t="s">
        <v>717</v>
      </c>
      <c r="G2352" s="2">
        <v>500042063</v>
      </c>
      <c r="H2352" s="2" t="s">
        <v>109</v>
      </c>
      <c r="I2352" s="2" t="s">
        <v>112</v>
      </c>
      <c r="J2352" s="2" t="s">
        <v>718</v>
      </c>
      <c r="L2352" s="2" t="s">
        <v>112</v>
      </c>
      <c r="M2352" s="2" t="s">
        <v>40</v>
      </c>
      <c r="O2352" s="2" t="s">
        <v>2112</v>
      </c>
      <c r="P2352" s="2" t="s">
        <v>187</v>
      </c>
      <c r="Q2352" s="2" t="s">
        <v>188</v>
      </c>
      <c r="R2352" s="2" t="s">
        <v>189</v>
      </c>
      <c r="S2352" s="2">
        <v>1</v>
      </c>
      <c r="T2352" s="2">
        <v>98.25</v>
      </c>
      <c r="U2352" s="2">
        <v>22.5975</v>
      </c>
      <c r="V2352" s="2">
        <v>120.8475</v>
      </c>
      <c r="W2352" s="2">
        <f>T2352*40%</f>
        <v>39.300000000000004</v>
      </c>
      <c r="X2352" s="5">
        <f>(T2352-W2352)/T2352</f>
        <v>0.6</v>
      </c>
      <c r="Z2352" s="2" t="s">
        <v>117</v>
      </c>
      <c r="AA2352" s="2" t="s">
        <v>190</v>
      </c>
      <c r="AB2352" s="2" t="s">
        <v>189</v>
      </c>
      <c r="AC2352" s="2" t="s">
        <v>40</v>
      </c>
      <c r="AF2352" s="2">
        <f t="shared" si="325"/>
        <v>0</v>
      </c>
      <c r="AJ2352" s="2">
        <f t="shared" si="326"/>
        <v>0</v>
      </c>
      <c r="AK2352" s="2">
        <f t="shared" ref="AK2352:AK2383" si="332">T2352-W2352</f>
        <v>58.949999999999996</v>
      </c>
      <c r="AL2352" s="5">
        <f t="shared" ref="AL2352:AL2377" si="333">(T2352-W2352)/T2352</f>
        <v>0.6</v>
      </c>
    </row>
    <row r="2353" spans="1:38" x14ac:dyDescent="0.2">
      <c r="A2353" s="2">
        <v>2025</v>
      </c>
      <c r="B2353" s="2">
        <v>12</v>
      </c>
      <c r="D2353" s="2" t="s">
        <v>716</v>
      </c>
      <c r="E2353" s="2" t="s">
        <v>108</v>
      </c>
      <c r="F2353" s="2" t="s">
        <v>717</v>
      </c>
      <c r="G2353" s="2">
        <v>500042063</v>
      </c>
      <c r="H2353" s="2" t="s">
        <v>109</v>
      </c>
      <c r="I2353" s="2" t="s">
        <v>112</v>
      </c>
      <c r="J2353" s="2" t="s">
        <v>718</v>
      </c>
      <c r="L2353" s="2" t="s">
        <v>112</v>
      </c>
      <c r="M2353" s="2" t="s">
        <v>40</v>
      </c>
      <c r="O2353" s="2" t="s">
        <v>2112</v>
      </c>
      <c r="P2353" s="2" t="s">
        <v>187</v>
      </c>
      <c r="Q2353" s="2" t="s">
        <v>191</v>
      </c>
      <c r="R2353" s="2" t="s">
        <v>190</v>
      </c>
      <c r="S2353" s="2">
        <v>0.75</v>
      </c>
      <c r="T2353" s="2">
        <v>33.75</v>
      </c>
      <c r="U2353" s="2">
        <v>7.7625000000000002</v>
      </c>
      <c r="V2353" s="2">
        <v>41.512500000000003</v>
      </c>
      <c r="W2353" s="2">
        <f>T2353*50%</f>
        <v>16.875</v>
      </c>
      <c r="X2353" s="5">
        <f>(T2353-W2353)/T2353</f>
        <v>0.5</v>
      </c>
      <c r="Z2353" s="2" t="s">
        <v>117</v>
      </c>
      <c r="AA2353" s="2" t="s">
        <v>190</v>
      </c>
      <c r="AB2353" s="2" t="s">
        <v>190</v>
      </c>
      <c r="AC2353" s="2" t="s">
        <v>40</v>
      </c>
      <c r="AF2353" s="2">
        <f t="shared" si="325"/>
        <v>0</v>
      </c>
      <c r="AJ2353" s="2">
        <f t="shared" si="326"/>
        <v>0</v>
      </c>
      <c r="AK2353" s="2">
        <f t="shared" si="332"/>
        <v>16.875</v>
      </c>
      <c r="AL2353" s="5">
        <f t="shared" si="333"/>
        <v>0.5</v>
      </c>
    </row>
    <row r="2354" spans="1:38" x14ac:dyDescent="0.2">
      <c r="A2354" s="2">
        <v>2025</v>
      </c>
      <c r="B2354" s="2">
        <v>12</v>
      </c>
      <c r="D2354" s="2" t="s">
        <v>2113</v>
      </c>
      <c r="P2354" s="2" t="s">
        <v>114</v>
      </c>
      <c r="Q2354" s="2" t="s">
        <v>834</v>
      </c>
      <c r="R2354" s="2" t="s">
        <v>835</v>
      </c>
      <c r="S2354" s="2">
        <v>1</v>
      </c>
      <c r="T2354" s="2">
        <v>0</v>
      </c>
      <c r="U2354" s="2">
        <v>0</v>
      </c>
      <c r="V2354" s="2">
        <v>0</v>
      </c>
      <c r="X2354" s="5">
        <v>0</v>
      </c>
      <c r="AF2354" s="2">
        <f t="shared" si="325"/>
        <v>0</v>
      </c>
      <c r="AJ2354" s="2">
        <f t="shared" si="326"/>
        <v>0</v>
      </c>
      <c r="AK2354" s="2">
        <f t="shared" si="332"/>
        <v>0</v>
      </c>
      <c r="AL2354" s="5" t="e">
        <f t="shared" si="333"/>
        <v>#DIV/0!</v>
      </c>
    </row>
    <row r="2355" spans="1:38" x14ac:dyDescent="0.2">
      <c r="A2355" s="2">
        <v>2025</v>
      </c>
      <c r="B2355" s="2">
        <v>12</v>
      </c>
      <c r="D2355" s="2" t="s">
        <v>2113</v>
      </c>
      <c r="P2355" s="2" t="s">
        <v>114</v>
      </c>
      <c r="Q2355" s="2" t="s">
        <v>2114</v>
      </c>
      <c r="R2355" s="2" t="s">
        <v>2115</v>
      </c>
      <c r="S2355" s="2">
        <v>1</v>
      </c>
      <c r="T2355" s="2">
        <v>669.3</v>
      </c>
      <c r="U2355" s="2">
        <v>153.93899999999999</v>
      </c>
      <c r="V2355" s="2">
        <v>823.23899999999992</v>
      </c>
      <c r="X2355" s="5">
        <f t="shared" ref="X2355:X2367" si="334">(T2355-W2355)/T2355</f>
        <v>1</v>
      </c>
      <c r="AF2355" s="2">
        <f t="shared" si="325"/>
        <v>0</v>
      </c>
      <c r="AJ2355" s="2">
        <f t="shared" si="326"/>
        <v>0</v>
      </c>
      <c r="AK2355" s="2">
        <f t="shared" si="332"/>
        <v>669.3</v>
      </c>
      <c r="AL2355" s="5">
        <f t="shared" si="333"/>
        <v>1</v>
      </c>
    </row>
    <row r="2356" spans="1:38" x14ac:dyDescent="0.2">
      <c r="A2356" s="2">
        <v>2025</v>
      </c>
      <c r="B2356" s="2">
        <v>12</v>
      </c>
      <c r="D2356" s="2" t="s">
        <v>2113</v>
      </c>
      <c r="P2356" s="2" t="s">
        <v>114</v>
      </c>
      <c r="Q2356" s="2" t="s">
        <v>1183</v>
      </c>
      <c r="R2356" s="2" t="s">
        <v>1184</v>
      </c>
      <c r="S2356" s="2">
        <v>1</v>
      </c>
      <c r="T2356" s="2">
        <v>11834</v>
      </c>
      <c r="U2356" s="2">
        <v>2721.82</v>
      </c>
      <c r="V2356" s="2">
        <v>14555.82</v>
      </c>
      <c r="X2356" s="5">
        <f t="shared" si="334"/>
        <v>1</v>
      </c>
      <c r="Z2356" s="2" t="s">
        <v>104</v>
      </c>
      <c r="AF2356" s="2">
        <f t="shared" si="325"/>
        <v>0</v>
      </c>
      <c r="AJ2356" s="2">
        <f t="shared" si="326"/>
        <v>0</v>
      </c>
      <c r="AK2356" s="2">
        <f t="shared" si="332"/>
        <v>11834</v>
      </c>
      <c r="AL2356" s="5">
        <f t="shared" si="333"/>
        <v>1</v>
      </c>
    </row>
    <row r="2357" spans="1:38" x14ac:dyDescent="0.2">
      <c r="A2357" s="2">
        <v>2025</v>
      </c>
      <c r="B2357" s="2">
        <v>12</v>
      </c>
      <c r="D2357" s="2" t="s">
        <v>2116</v>
      </c>
      <c r="Q2357" s="2" t="s">
        <v>2117</v>
      </c>
      <c r="R2357" s="2" t="s">
        <v>2118</v>
      </c>
      <c r="S2357" s="2">
        <v>1</v>
      </c>
      <c r="T2357" s="2">
        <v>0</v>
      </c>
      <c r="U2357" s="2">
        <v>0</v>
      </c>
      <c r="V2357" s="2">
        <v>0</v>
      </c>
      <c r="X2357" s="5" t="e">
        <f t="shared" si="334"/>
        <v>#DIV/0!</v>
      </c>
      <c r="Z2357" s="2" t="s">
        <v>104</v>
      </c>
      <c r="AF2357" s="2">
        <f t="shared" si="325"/>
        <v>0</v>
      </c>
      <c r="AJ2357" s="2">
        <f t="shared" si="326"/>
        <v>0</v>
      </c>
      <c r="AK2357" s="2">
        <f t="shared" si="332"/>
        <v>0</v>
      </c>
      <c r="AL2357" s="5" t="e">
        <f t="shared" si="333"/>
        <v>#DIV/0!</v>
      </c>
    </row>
    <row r="2358" spans="1:38" x14ac:dyDescent="0.2">
      <c r="A2358" s="2">
        <v>2025</v>
      </c>
      <c r="B2358" s="2">
        <v>12</v>
      </c>
      <c r="D2358" s="2" t="s">
        <v>2116</v>
      </c>
      <c r="P2358" s="2" t="s">
        <v>40</v>
      </c>
      <c r="Q2358" s="2" t="s">
        <v>363</v>
      </c>
      <c r="R2358" s="2" t="s">
        <v>364</v>
      </c>
      <c r="S2358" s="2">
        <v>1</v>
      </c>
      <c r="T2358" s="2">
        <v>5000</v>
      </c>
      <c r="U2358" s="2">
        <v>1150</v>
      </c>
      <c r="V2358" s="2">
        <v>6150</v>
      </c>
      <c r="X2358" s="5">
        <f t="shared" si="334"/>
        <v>1</v>
      </c>
      <c r="Z2358" s="2" t="s">
        <v>119</v>
      </c>
      <c r="AA2358" s="2" t="s">
        <v>3380</v>
      </c>
      <c r="AF2358" s="2">
        <f t="shared" si="325"/>
        <v>0</v>
      </c>
      <c r="AJ2358" s="2">
        <f t="shared" si="326"/>
        <v>0</v>
      </c>
      <c r="AK2358" s="2">
        <f t="shared" si="332"/>
        <v>5000</v>
      </c>
      <c r="AL2358" s="5">
        <f t="shared" si="333"/>
        <v>1</v>
      </c>
    </row>
    <row r="2359" spans="1:38" x14ac:dyDescent="0.2">
      <c r="A2359" s="2">
        <v>2025</v>
      </c>
      <c r="B2359" s="2">
        <v>12</v>
      </c>
      <c r="D2359" s="2" t="s">
        <v>314</v>
      </c>
      <c r="E2359" s="2" t="s">
        <v>108</v>
      </c>
      <c r="G2359" s="2">
        <v>503270520</v>
      </c>
      <c r="H2359" s="2" t="s">
        <v>40</v>
      </c>
      <c r="I2359" s="2" t="s">
        <v>315</v>
      </c>
      <c r="J2359" s="2" t="s">
        <v>316</v>
      </c>
      <c r="L2359" s="2" t="s">
        <v>99</v>
      </c>
      <c r="M2359" s="2" t="s">
        <v>40</v>
      </c>
      <c r="P2359" s="2" t="s">
        <v>187</v>
      </c>
      <c r="Q2359" s="2" t="s">
        <v>188</v>
      </c>
      <c r="R2359" s="2" t="s">
        <v>189</v>
      </c>
      <c r="S2359" s="2">
        <v>1</v>
      </c>
      <c r="T2359" s="2">
        <v>37.5</v>
      </c>
      <c r="U2359" s="2">
        <v>8.625</v>
      </c>
      <c r="V2359" s="2">
        <v>46.125</v>
      </c>
      <c r="W2359" s="2">
        <f>T2359*40%</f>
        <v>15</v>
      </c>
      <c r="X2359" s="5">
        <f t="shared" si="334"/>
        <v>0.6</v>
      </c>
      <c r="Z2359" s="2" t="s">
        <v>117</v>
      </c>
      <c r="AA2359" s="2" t="s">
        <v>190</v>
      </c>
      <c r="AB2359" s="2" t="s">
        <v>189</v>
      </c>
      <c r="AC2359" s="2" t="s">
        <v>40</v>
      </c>
      <c r="AF2359" s="2">
        <f t="shared" si="325"/>
        <v>0</v>
      </c>
      <c r="AJ2359" s="2">
        <f t="shared" si="326"/>
        <v>0</v>
      </c>
      <c r="AK2359" s="2">
        <f t="shared" si="332"/>
        <v>22.5</v>
      </c>
      <c r="AL2359" s="5">
        <f t="shared" si="333"/>
        <v>0.6</v>
      </c>
    </row>
    <row r="2360" spans="1:38" x14ac:dyDescent="0.2">
      <c r="A2360" s="2">
        <v>2025</v>
      </c>
      <c r="B2360" s="2">
        <v>12</v>
      </c>
      <c r="D2360" s="2" t="s">
        <v>314</v>
      </c>
      <c r="E2360" s="2" t="s">
        <v>108</v>
      </c>
      <c r="G2360" s="2">
        <v>503270520</v>
      </c>
      <c r="H2360" s="2" t="s">
        <v>40</v>
      </c>
      <c r="I2360" s="2" t="s">
        <v>315</v>
      </c>
      <c r="J2360" s="2" t="s">
        <v>316</v>
      </c>
      <c r="L2360" s="2" t="s">
        <v>99</v>
      </c>
      <c r="M2360" s="2" t="s">
        <v>40</v>
      </c>
      <c r="P2360" s="2" t="s">
        <v>187</v>
      </c>
      <c r="Q2360" s="2" t="s">
        <v>191</v>
      </c>
      <c r="R2360" s="2" t="s">
        <v>190</v>
      </c>
      <c r="S2360" s="2">
        <v>0.8</v>
      </c>
      <c r="T2360" s="2">
        <v>36</v>
      </c>
      <c r="U2360" s="2">
        <v>8.2800000000000011</v>
      </c>
      <c r="V2360" s="2">
        <v>44.28</v>
      </c>
      <c r="W2360" s="2">
        <f>T2360*50%</f>
        <v>18</v>
      </c>
      <c r="X2360" s="5">
        <f t="shared" si="334"/>
        <v>0.5</v>
      </c>
      <c r="Z2360" s="2" t="s">
        <v>117</v>
      </c>
      <c r="AA2360" s="2" t="s">
        <v>190</v>
      </c>
      <c r="AB2360" s="2" t="s">
        <v>190</v>
      </c>
      <c r="AC2360" s="2" t="s">
        <v>40</v>
      </c>
      <c r="AF2360" s="2">
        <f t="shared" si="325"/>
        <v>0</v>
      </c>
      <c r="AJ2360" s="2">
        <f t="shared" si="326"/>
        <v>0</v>
      </c>
      <c r="AK2360" s="2">
        <f t="shared" si="332"/>
        <v>18</v>
      </c>
      <c r="AL2360" s="5">
        <f t="shared" si="333"/>
        <v>0.5</v>
      </c>
    </row>
    <row r="2361" spans="1:38" x14ac:dyDescent="0.2">
      <c r="A2361" s="2">
        <v>2025</v>
      </c>
      <c r="B2361" s="2">
        <v>12</v>
      </c>
      <c r="D2361" s="2" t="s">
        <v>319</v>
      </c>
      <c r="E2361" s="2" t="s">
        <v>38</v>
      </c>
      <c r="F2361" s="2" t="s">
        <v>39</v>
      </c>
      <c r="G2361" s="2">
        <v>500883262</v>
      </c>
      <c r="H2361" s="2" t="s">
        <v>40</v>
      </c>
      <c r="I2361" s="2" t="s">
        <v>99</v>
      </c>
      <c r="J2361" s="2" t="s">
        <v>320</v>
      </c>
      <c r="L2361" s="2" t="s">
        <v>99</v>
      </c>
      <c r="M2361" s="2" t="s">
        <v>80</v>
      </c>
      <c r="O2361" s="2" t="s">
        <v>2119</v>
      </c>
      <c r="P2361" s="2" t="s">
        <v>43</v>
      </c>
      <c r="Q2361" s="2" t="s">
        <v>969</v>
      </c>
      <c r="R2361" s="2" t="s">
        <v>970</v>
      </c>
      <c r="S2361" s="2">
        <v>24</v>
      </c>
      <c r="T2361" s="2">
        <v>648</v>
      </c>
      <c r="U2361" s="2">
        <v>149.04</v>
      </c>
      <c r="V2361" s="2">
        <v>797.04</v>
      </c>
      <c r="W2361" s="2">
        <f>18.3719*S2361</f>
        <v>440.92560000000003</v>
      </c>
      <c r="X2361" s="5">
        <f t="shared" si="334"/>
        <v>0.31955925925925921</v>
      </c>
      <c r="Z2361" s="2" t="s">
        <v>3227</v>
      </c>
      <c r="AA2361" s="2" t="s">
        <v>46</v>
      </c>
      <c r="AB2361" s="2" t="s">
        <v>60</v>
      </c>
      <c r="AC2361" s="2" t="s">
        <v>57</v>
      </c>
      <c r="AF2361" s="2">
        <f t="shared" si="325"/>
        <v>0</v>
      </c>
      <c r="AJ2361" s="2">
        <f t="shared" si="326"/>
        <v>0</v>
      </c>
      <c r="AK2361" s="2">
        <f t="shared" si="332"/>
        <v>207.07439999999997</v>
      </c>
      <c r="AL2361" s="5">
        <f t="shared" si="333"/>
        <v>0.31955925925925921</v>
      </c>
    </row>
    <row r="2362" spans="1:38" x14ac:dyDescent="0.2">
      <c r="A2362" s="2">
        <v>2025</v>
      </c>
      <c r="B2362" s="2">
        <v>12</v>
      </c>
      <c r="D2362" s="2" t="s">
        <v>319</v>
      </c>
      <c r="E2362" s="2" t="s">
        <v>38</v>
      </c>
      <c r="F2362" s="2" t="s">
        <v>39</v>
      </c>
      <c r="G2362" s="2">
        <v>500883262</v>
      </c>
      <c r="H2362" s="2" t="s">
        <v>40</v>
      </c>
      <c r="I2362" s="2" t="s">
        <v>99</v>
      </c>
      <c r="J2362" s="2" t="s">
        <v>320</v>
      </c>
      <c r="L2362" s="2" t="s">
        <v>99</v>
      </c>
      <c r="M2362" s="2" t="s">
        <v>80</v>
      </c>
      <c r="O2362" s="2" t="s">
        <v>2120</v>
      </c>
      <c r="P2362" s="2" t="s">
        <v>43</v>
      </c>
      <c r="Q2362" s="2" t="s">
        <v>971</v>
      </c>
      <c r="R2362" s="2" t="s">
        <v>972</v>
      </c>
      <c r="S2362" s="2">
        <v>24</v>
      </c>
      <c r="T2362" s="2">
        <v>648</v>
      </c>
      <c r="U2362" s="2">
        <v>149.04</v>
      </c>
      <c r="V2362" s="2">
        <v>797.04</v>
      </c>
      <c r="W2362" s="2">
        <f>18.9342*S2362</f>
        <v>454.42079999999999</v>
      </c>
      <c r="X2362" s="5">
        <f t="shared" si="334"/>
        <v>0.29873333333333335</v>
      </c>
      <c r="Z2362" s="2" t="s">
        <v>3227</v>
      </c>
      <c r="AA2362" s="2" t="s">
        <v>46</v>
      </c>
      <c r="AB2362" s="2" t="s">
        <v>60</v>
      </c>
      <c r="AC2362" s="2" t="s">
        <v>57</v>
      </c>
      <c r="AF2362" s="2">
        <f t="shared" si="325"/>
        <v>0</v>
      </c>
      <c r="AJ2362" s="2">
        <f t="shared" si="326"/>
        <v>0</v>
      </c>
      <c r="AK2362" s="2">
        <f t="shared" si="332"/>
        <v>193.57920000000001</v>
      </c>
      <c r="AL2362" s="5">
        <f t="shared" si="333"/>
        <v>0.29873333333333335</v>
      </c>
    </row>
    <row r="2363" spans="1:38" x14ac:dyDescent="0.2">
      <c r="A2363" s="2">
        <v>2025</v>
      </c>
      <c r="B2363" s="2">
        <v>12</v>
      </c>
      <c r="D2363" s="2" t="s">
        <v>2121</v>
      </c>
      <c r="P2363" s="2" t="s">
        <v>282</v>
      </c>
      <c r="Q2363" s="2" t="s">
        <v>1547</v>
      </c>
      <c r="R2363" s="2" t="s">
        <v>1548</v>
      </c>
      <c r="S2363" s="2">
        <v>1</v>
      </c>
      <c r="T2363" s="2">
        <v>406</v>
      </c>
      <c r="U2363" s="2">
        <v>93.38000000000001</v>
      </c>
      <c r="V2363" s="2">
        <v>499.38</v>
      </c>
      <c r="W2363" s="2">
        <v>297</v>
      </c>
      <c r="X2363" s="5">
        <f t="shared" si="334"/>
        <v>0.26847290640394089</v>
      </c>
      <c r="Z2363" s="2" t="s">
        <v>104</v>
      </c>
      <c r="AA2363" s="2" t="s">
        <v>387</v>
      </c>
      <c r="AB2363" s="2" t="s">
        <v>388</v>
      </c>
      <c r="AC2363" s="2" t="s">
        <v>389</v>
      </c>
      <c r="AF2363" s="2">
        <f t="shared" si="325"/>
        <v>0</v>
      </c>
      <c r="AJ2363" s="2">
        <f t="shared" si="326"/>
        <v>0</v>
      </c>
      <c r="AK2363" s="2">
        <f t="shared" si="332"/>
        <v>109</v>
      </c>
      <c r="AL2363" s="5">
        <f t="shared" si="333"/>
        <v>0.26847290640394089</v>
      </c>
    </row>
    <row r="2364" spans="1:38" x14ac:dyDescent="0.2">
      <c r="A2364" s="2">
        <v>2025</v>
      </c>
      <c r="B2364" s="2">
        <v>12</v>
      </c>
      <c r="D2364" s="2" t="s">
        <v>2122</v>
      </c>
      <c r="P2364" s="2" t="s">
        <v>114</v>
      </c>
      <c r="Q2364" s="2" t="s">
        <v>412</v>
      </c>
      <c r="R2364" s="2" t="s">
        <v>413</v>
      </c>
      <c r="S2364" s="2">
        <v>1</v>
      </c>
      <c r="T2364" s="2">
        <v>14990</v>
      </c>
      <c r="U2364" s="2">
        <v>3447.7</v>
      </c>
      <c r="V2364" s="2">
        <v>18437.7</v>
      </c>
      <c r="W2364" s="2">
        <v>10669.4</v>
      </c>
      <c r="X2364" s="5">
        <f t="shared" si="334"/>
        <v>0.28823215476984659</v>
      </c>
      <c r="Z2364" s="2" t="s">
        <v>104</v>
      </c>
      <c r="AA2364" s="2" t="s">
        <v>414</v>
      </c>
      <c r="AB2364" s="2" t="s">
        <v>151</v>
      </c>
      <c r="AC2364" s="2" t="s">
        <v>114</v>
      </c>
      <c r="AF2364" s="2">
        <f t="shared" si="325"/>
        <v>0</v>
      </c>
      <c r="AJ2364" s="2">
        <f t="shared" si="326"/>
        <v>0</v>
      </c>
      <c r="AK2364" s="2">
        <f t="shared" si="332"/>
        <v>4320.6000000000004</v>
      </c>
      <c r="AL2364" s="5">
        <f t="shared" si="333"/>
        <v>0.28823215476984659</v>
      </c>
    </row>
    <row r="2365" spans="1:38" x14ac:dyDescent="0.2">
      <c r="A2365" s="2">
        <v>2025</v>
      </c>
      <c r="B2365" s="2">
        <v>12</v>
      </c>
      <c r="D2365" s="2" t="s">
        <v>2123</v>
      </c>
      <c r="P2365" s="2" t="s">
        <v>282</v>
      </c>
      <c r="Q2365" s="2" t="s">
        <v>2124</v>
      </c>
      <c r="R2365" s="2" t="s">
        <v>2125</v>
      </c>
      <c r="S2365" s="2">
        <v>2</v>
      </c>
      <c r="T2365" s="2">
        <v>239.8</v>
      </c>
      <c r="U2365" s="2">
        <v>55.154000000000003</v>
      </c>
      <c r="V2365" s="2">
        <v>294.95400000000001</v>
      </c>
      <c r="X2365" s="5">
        <f t="shared" si="334"/>
        <v>1</v>
      </c>
      <c r="Z2365" s="2" t="s">
        <v>3227</v>
      </c>
      <c r="AF2365" s="2">
        <f t="shared" si="325"/>
        <v>0</v>
      </c>
      <c r="AJ2365" s="2">
        <f t="shared" si="326"/>
        <v>0</v>
      </c>
      <c r="AK2365" s="2">
        <f t="shared" si="332"/>
        <v>239.8</v>
      </c>
      <c r="AL2365" s="5">
        <f t="shared" si="333"/>
        <v>1</v>
      </c>
    </row>
    <row r="2366" spans="1:38" x14ac:dyDescent="0.2">
      <c r="A2366" s="2">
        <v>2025</v>
      </c>
      <c r="B2366" s="2">
        <v>12</v>
      </c>
      <c r="D2366" s="2" t="s">
        <v>2123</v>
      </c>
      <c r="P2366" s="2" t="s">
        <v>282</v>
      </c>
      <c r="Q2366" s="2" t="s">
        <v>1702</v>
      </c>
      <c r="R2366" s="2" t="s">
        <v>1703</v>
      </c>
      <c r="S2366" s="2">
        <v>1</v>
      </c>
      <c r="T2366" s="2">
        <v>759</v>
      </c>
      <c r="U2366" s="2">
        <v>174.57</v>
      </c>
      <c r="V2366" s="2">
        <v>933.57</v>
      </c>
      <c r="X2366" s="5">
        <f t="shared" si="334"/>
        <v>1</v>
      </c>
      <c r="Z2366" s="2" t="s">
        <v>3227</v>
      </c>
      <c r="AF2366" s="2">
        <f t="shared" si="325"/>
        <v>0</v>
      </c>
      <c r="AJ2366" s="2">
        <f t="shared" si="326"/>
        <v>0</v>
      </c>
      <c r="AK2366" s="2">
        <f t="shared" si="332"/>
        <v>759</v>
      </c>
      <c r="AL2366" s="5">
        <f t="shared" si="333"/>
        <v>1</v>
      </c>
    </row>
    <row r="2367" spans="1:38" x14ac:dyDescent="0.2">
      <c r="A2367" s="2">
        <v>2025</v>
      </c>
      <c r="B2367" s="2">
        <v>12</v>
      </c>
      <c r="D2367" s="2" t="s">
        <v>2126</v>
      </c>
      <c r="P2367" s="2" t="s">
        <v>282</v>
      </c>
      <c r="Q2367" s="2" t="s">
        <v>1154</v>
      </c>
      <c r="R2367" s="2" t="s">
        <v>1155</v>
      </c>
      <c r="S2367" s="2">
        <v>1</v>
      </c>
      <c r="T2367" s="2">
        <v>3150</v>
      </c>
      <c r="U2367" s="2">
        <v>724.5</v>
      </c>
      <c r="V2367" s="2">
        <v>3874.5</v>
      </c>
      <c r="W2367" s="2">
        <v>2190</v>
      </c>
      <c r="X2367" s="5">
        <f t="shared" si="334"/>
        <v>0.30476190476190479</v>
      </c>
      <c r="Z2367" s="2" t="s">
        <v>104</v>
      </c>
      <c r="AA2367" s="2" t="s">
        <v>1574</v>
      </c>
      <c r="AB2367" s="2" t="s">
        <v>388</v>
      </c>
      <c r="AC2367" s="2" t="s">
        <v>1327</v>
      </c>
      <c r="AF2367" s="2">
        <f t="shared" si="325"/>
        <v>0</v>
      </c>
      <c r="AJ2367" s="2">
        <f t="shared" si="326"/>
        <v>0</v>
      </c>
      <c r="AK2367" s="2">
        <f t="shared" si="332"/>
        <v>960</v>
      </c>
      <c r="AL2367" s="5">
        <f t="shared" si="333"/>
        <v>0.30476190476190479</v>
      </c>
    </row>
    <row r="2368" spans="1:38" x14ac:dyDescent="0.2">
      <c r="A2368" s="2">
        <v>2025</v>
      </c>
      <c r="B2368" s="2">
        <v>12</v>
      </c>
      <c r="D2368" s="2" t="s">
        <v>2126</v>
      </c>
      <c r="P2368" s="2" t="s">
        <v>282</v>
      </c>
      <c r="Q2368" s="2" t="s">
        <v>1158</v>
      </c>
      <c r="R2368" s="2" t="s">
        <v>1159</v>
      </c>
      <c r="S2368" s="2">
        <v>1</v>
      </c>
      <c r="T2368" s="2">
        <v>0</v>
      </c>
      <c r="U2368" s="2">
        <v>0</v>
      </c>
      <c r="V2368" s="2">
        <v>0</v>
      </c>
      <c r="X2368" s="5">
        <v>0</v>
      </c>
      <c r="AF2368" s="2">
        <f t="shared" si="325"/>
        <v>0</v>
      </c>
      <c r="AJ2368" s="2">
        <f t="shared" si="326"/>
        <v>0</v>
      </c>
      <c r="AK2368" s="2">
        <f t="shared" si="332"/>
        <v>0</v>
      </c>
      <c r="AL2368" s="5" t="e">
        <f t="shared" si="333"/>
        <v>#DIV/0!</v>
      </c>
    </row>
    <row r="2369" spans="1:38" x14ac:dyDescent="0.2">
      <c r="A2369" s="2">
        <v>2025</v>
      </c>
      <c r="B2369" s="2">
        <v>12</v>
      </c>
      <c r="D2369" s="2" t="s">
        <v>332</v>
      </c>
      <c r="E2369" s="2" t="s">
        <v>108</v>
      </c>
      <c r="F2369" s="2" t="s">
        <v>39</v>
      </c>
      <c r="G2369" s="2">
        <v>513493557</v>
      </c>
      <c r="H2369" s="2" t="s">
        <v>41</v>
      </c>
      <c r="I2369" s="2" t="s">
        <v>279</v>
      </c>
      <c r="J2369" s="2" t="s">
        <v>333</v>
      </c>
      <c r="L2369" s="2" t="s">
        <v>177</v>
      </c>
      <c r="M2369" s="2" t="s">
        <v>41</v>
      </c>
      <c r="P2369" s="2" t="s">
        <v>43</v>
      </c>
      <c r="Q2369" s="2" t="s">
        <v>63</v>
      </c>
      <c r="R2369" s="2" t="s">
        <v>64</v>
      </c>
      <c r="S2369" s="2">
        <v>20</v>
      </c>
      <c r="T2369" s="2">
        <v>36</v>
      </c>
      <c r="U2369" s="2">
        <v>8.2800000000000011</v>
      </c>
      <c r="V2369" s="2">
        <v>44.28</v>
      </c>
      <c r="W2369" s="2">
        <f>0.8561*S2369</f>
        <v>17.122</v>
      </c>
      <c r="X2369" s="5">
        <f t="shared" ref="X2369:X2377" si="335">(T2369-W2369)/T2369</f>
        <v>0.5243888888888889</v>
      </c>
      <c r="Z2369" s="2" t="s">
        <v>3227</v>
      </c>
      <c r="AA2369" s="2" t="s">
        <v>46</v>
      </c>
      <c r="AB2369" s="2" t="s">
        <v>60</v>
      </c>
      <c r="AC2369" s="2" t="s">
        <v>57</v>
      </c>
      <c r="AF2369" s="2">
        <f t="shared" si="325"/>
        <v>0</v>
      </c>
      <c r="AG2369" s="2">
        <v>0.85609999999999997</v>
      </c>
      <c r="AH2369" s="2">
        <v>1.8</v>
      </c>
      <c r="AJ2369" s="2">
        <f t="shared" si="326"/>
        <v>0</v>
      </c>
      <c r="AK2369" s="2">
        <f t="shared" si="332"/>
        <v>18.878</v>
      </c>
      <c r="AL2369" s="5">
        <f t="shared" si="333"/>
        <v>0.5243888888888889</v>
      </c>
    </row>
    <row r="2370" spans="1:38" x14ac:dyDescent="0.2">
      <c r="A2370" s="2">
        <v>2025</v>
      </c>
      <c r="B2370" s="2">
        <v>12</v>
      </c>
      <c r="D2370" s="2" t="s">
        <v>332</v>
      </c>
      <c r="E2370" s="2" t="s">
        <v>108</v>
      </c>
      <c r="F2370" s="2" t="s">
        <v>39</v>
      </c>
      <c r="G2370" s="2">
        <v>513493557</v>
      </c>
      <c r="H2370" s="2" t="s">
        <v>41</v>
      </c>
      <c r="I2370" s="2" t="s">
        <v>279</v>
      </c>
      <c r="J2370" s="2" t="s">
        <v>333</v>
      </c>
      <c r="L2370" s="2" t="s">
        <v>177</v>
      </c>
      <c r="M2370" s="2" t="s">
        <v>41</v>
      </c>
      <c r="P2370" s="2" t="s">
        <v>43</v>
      </c>
      <c r="Q2370" s="2" t="s">
        <v>65</v>
      </c>
      <c r="R2370" s="2" t="s">
        <v>66</v>
      </c>
      <c r="S2370" s="2">
        <v>4</v>
      </c>
      <c r="T2370" s="2">
        <v>92</v>
      </c>
      <c r="U2370" s="2">
        <v>21.16</v>
      </c>
      <c r="V2370" s="2">
        <v>113.16</v>
      </c>
      <c r="W2370" s="2">
        <f>15.0203*S2370</f>
        <v>60.081200000000003</v>
      </c>
      <c r="X2370" s="5">
        <f t="shared" si="335"/>
        <v>0.34694347826086952</v>
      </c>
      <c r="Z2370" s="2" t="s">
        <v>3227</v>
      </c>
      <c r="AA2370" s="2" t="s">
        <v>46</v>
      </c>
      <c r="AB2370" s="2" t="s">
        <v>67</v>
      </c>
      <c r="AC2370" s="2" t="s">
        <v>57</v>
      </c>
      <c r="AF2370" s="2">
        <f t="shared" ref="AF2370:AF2433" si="336">AJ2370</f>
        <v>0</v>
      </c>
      <c r="AG2370" s="2">
        <v>15.020300000000001</v>
      </c>
      <c r="AH2370" s="2">
        <v>27.6</v>
      </c>
      <c r="AJ2370" s="2">
        <f t="shared" ref="AJ2370:AJ2433" si="337">AI2370*T2370</f>
        <v>0</v>
      </c>
      <c r="AK2370" s="2">
        <f t="shared" si="332"/>
        <v>31.918799999999997</v>
      </c>
      <c r="AL2370" s="5">
        <f t="shared" si="333"/>
        <v>0.34694347826086952</v>
      </c>
    </row>
    <row r="2371" spans="1:38" x14ac:dyDescent="0.2">
      <c r="A2371" s="2">
        <v>2025</v>
      </c>
      <c r="B2371" s="2">
        <v>12</v>
      </c>
      <c r="D2371" s="2" t="s">
        <v>336</v>
      </c>
      <c r="E2371" s="2" t="s">
        <v>108</v>
      </c>
      <c r="F2371" s="2" t="s">
        <v>39</v>
      </c>
      <c r="G2371" s="2">
        <v>503373494</v>
      </c>
      <c r="H2371" s="2" t="s">
        <v>290</v>
      </c>
      <c r="I2371" s="2" t="s">
        <v>337</v>
      </c>
      <c r="J2371" s="2" t="s">
        <v>338</v>
      </c>
      <c r="K2371" s="2">
        <v>965852001</v>
      </c>
      <c r="L2371" s="2" t="s">
        <v>339</v>
      </c>
      <c r="M2371" s="2" t="s">
        <v>80</v>
      </c>
      <c r="P2371" s="2" t="s">
        <v>43</v>
      </c>
      <c r="Q2371" s="2" t="s">
        <v>592</v>
      </c>
      <c r="R2371" s="2" t="s">
        <v>593</v>
      </c>
      <c r="S2371" s="2">
        <v>1</v>
      </c>
      <c r="T2371" s="2">
        <v>30</v>
      </c>
      <c r="U2371" s="2">
        <v>6.9</v>
      </c>
      <c r="V2371" s="2">
        <v>36.9</v>
      </c>
      <c r="W2371" s="2">
        <f>11.295*S2371</f>
        <v>11.295</v>
      </c>
      <c r="X2371" s="5">
        <f t="shared" si="335"/>
        <v>0.62349999999999994</v>
      </c>
      <c r="Z2371" s="2" t="s">
        <v>3227</v>
      </c>
      <c r="AA2371" s="2" t="s">
        <v>46</v>
      </c>
      <c r="AB2371" s="2" t="s">
        <v>47</v>
      </c>
      <c r="AC2371" s="2" t="s">
        <v>57</v>
      </c>
      <c r="AF2371" s="2">
        <f t="shared" si="336"/>
        <v>0</v>
      </c>
      <c r="AG2371" s="2">
        <v>11.295</v>
      </c>
      <c r="AJ2371" s="2">
        <f t="shared" si="337"/>
        <v>0</v>
      </c>
      <c r="AK2371" s="2">
        <f t="shared" si="332"/>
        <v>18.704999999999998</v>
      </c>
      <c r="AL2371" s="5">
        <f t="shared" si="333"/>
        <v>0.62349999999999994</v>
      </c>
    </row>
    <row r="2372" spans="1:38" x14ac:dyDescent="0.2">
      <c r="A2372" s="2">
        <v>2025</v>
      </c>
      <c r="B2372" s="2">
        <v>12</v>
      </c>
      <c r="D2372" s="2" t="s">
        <v>336</v>
      </c>
      <c r="E2372" s="2" t="s">
        <v>108</v>
      </c>
      <c r="F2372" s="2" t="s">
        <v>39</v>
      </c>
      <c r="G2372" s="2">
        <v>503373494</v>
      </c>
      <c r="H2372" s="2" t="s">
        <v>290</v>
      </c>
      <c r="I2372" s="2" t="s">
        <v>337</v>
      </c>
      <c r="J2372" s="2" t="s">
        <v>338</v>
      </c>
      <c r="K2372" s="2">
        <v>965852001</v>
      </c>
      <c r="L2372" s="2" t="s">
        <v>339</v>
      </c>
      <c r="M2372" s="2" t="s">
        <v>80</v>
      </c>
      <c r="P2372" s="2" t="s">
        <v>43</v>
      </c>
      <c r="Q2372" s="2" t="s">
        <v>234</v>
      </c>
      <c r="R2372" s="2" t="s">
        <v>235</v>
      </c>
      <c r="S2372" s="2">
        <v>1</v>
      </c>
      <c r="T2372" s="2">
        <v>13.2</v>
      </c>
      <c r="U2372" s="2">
        <v>3.036</v>
      </c>
      <c r="V2372" s="2">
        <v>16.236000000000001</v>
      </c>
      <c r="W2372" s="2">
        <v>7.2217000000000002</v>
      </c>
      <c r="X2372" s="5">
        <f t="shared" si="335"/>
        <v>0.45290151515151511</v>
      </c>
      <c r="Z2372" s="2" t="s">
        <v>3227</v>
      </c>
      <c r="AA2372" s="2" t="s">
        <v>46</v>
      </c>
      <c r="AB2372" s="2" t="s">
        <v>56</v>
      </c>
      <c r="AC2372" s="2" t="s">
        <v>57</v>
      </c>
      <c r="AF2372" s="2">
        <f t="shared" si="336"/>
        <v>0</v>
      </c>
      <c r="AG2372" s="2">
        <v>7.2217000000000002</v>
      </c>
      <c r="AH2372" s="2">
        <v>14.4</v>
      </c>
      <c r="AJ2372" s="2">
        <f t="shared" si="337"/>
        <v>0</v>
      </c>
      <c r="AK2372" s="2">
        <f t="shared" si="332"/>
        <v>5.9782999999999991</v>
      </c>
      <c r="AL2372" s="5">
        <f t="shared" si="333"/>
        <v>0.45290151515151511</v>
      </c>
    </row>
    <row r="2373" spans="1:38" x14ac:dyDescent="0.2">
      <c r="A2373" s="2">
        <v>2025</v>
      </c>
      <c r="B2373" s="2">
        <v>12</v>
      </c>
      <c r="D2373" s="2" t="s">
        <v>336</v>
      </c>
      <c r="E2373" s="2" t="s">
        <v>108</v>
      </c>
      <c r="F2373" s="2" t="s">
        <v>39</v>
      </c>
      <c r="G2373" s="2">
        <v>503373494</v>
      </c>
      <c r="H2373" s="2" t="s">
        <v>290</v>
      </c>
      <c r="I2373" s="2" t="s">
        <v>337</v>
      </c>
      <c r="J2373" s="2" t="s">
        <v>338</v>
      </c>
      <c r="K2373" s="2">
        <v>965852001</v>
      </c>
      <c r="L2373" s="2" t="s">
        <v>339</v>
      </c>
      <c r="M2373" s="2" t="s">
        <v>80</v>
      </c>
      <c r="P2373" s="2" t="s">
        <v>43</v>
      </c>
      <c r="Q2373" s="2" t="s">
        <v>240</v>
      </c>
      <c r="R2373" s="2" t="s">
        <v>241</v>
      </c>
      <c r="S2373" s="2">
        <v>1</v>
      </c>
      <c r="T2373" s="2">
        <v>24</v>
      </c>
      <c r="U2373" s="2">
        <v>5.52</v>
      </c>
      <c r="V2373" s="2">
        <v>29.52</v>
      </c>
      <c r="W2373" s="2">
        <f>13.4067*S2373</f>
        <v>13.406700000000001</v>
      </c>
      <c r="X2373" s="5">
        <f t="shared" si="335"/>
        <v>0.44138749999999999</v>
      </c>
      <c r="Z2373" s="2" t="s">
        <v>3227</v>
      </c>
      <c r="AA2373" s="2" t="s">
        <v>46</v>
      </c>
      <c r="AB2373" s="2" t="s">
        <v>56</v>
      </c>
      <c r="AC2373" s="2" t="s">
        <v>57</v>
      </c>
      <c r="AF2373" s="2">
        <f t="shared" si="336"/>
        <v>0</v>
      </c>
      <c r="AJ2373" s="2">
        <f t="shared" si="337"/>
        <v>0</v>
      </c>
      <c r="AK2373" s="2">
        <f t="shared" si="332"/>
        <v>10.593299999999999</v>
      </c>
      <c r="AL2373" s="5">
        <f t="shared" si="333"/>
        <v>0.44138749999999999</v>
      </c>
    </row>
    <row r="2374" spans="1:38" x14ac:dyDescent="0.2">
      <c r="A2374" s="2">
        <v>2025</v>
      </c>
      <c r="B2374" s="2">
        <v>12</v>
      </c>
      <c r="D2374" s="2" t="s">
        <v>336</v>
      </c>
      <c r="E2374" s="2" t="s">
        <v>108</v>
      </c>
      <c r="F2374" s="2" t="s">
        <v>39</v>
      </c>
      <c r="G2374" s="2">
        <v>503373494</v>
      </c>
      <c r="H2374" s="2" t="s">
        <v>290</v>
      </c>
      <c r="I2374" s="2" t="s">
        <v>337</v>
      </c>
      <c r="J2374" s="2" t="s">
        <v>338</v>
      </c>
      <c r="K2374" s="2">
        <v>965852001</v>
      </c>
      <c r="L2374" s="2" t="s">
        <v>339</v>
      </c>
      <c r="M2374" s="2" t="s">
        <v>80</v>
      </c>
      <c r="P2374" s="2" t="s">
        <v>43</v>
      </c>
      <c r="Q2374" s="2" t="s">
        <v>242</v>
      </c>
      <c r="R2374" s="2" t="s">
        <v>243</v>
      </c>
      <c r="S2374" s="2">
        <v>2</v>
      </c>
      <c r="T2374" s="2">
        <v>57.6</v>
      </c>
      <c r="U2374" s="2">
        <v>13.247999999999999</v>
      </c>
      <c r="V2374" s="2">
        <v>70.847999999999999</v>
      </c>
      <c r="W2374" s="2">
        <f>16.2249*S2374</f>
        <v>32.449800000000003</v>
      </c>
      <c r="X2374" s="5">
        <f t="shared" si="335"/>
        <v>0.43663541666666661</v>
      </c>
      <c r="Z2374" s="2" t="s">
        <v>3227</v>
      </c>
      <c r="AA2374" s="2" t="s">
        <v>46</v>
      </c>
      <c r="AB2374" s="2" t="s">
        <v>56</v>
      </c>
      <c r="AC2374" s="2" t="s">
        <v>57</v>
      </c>
      <c r="AF2374" s="2">
        <f t="shared" si="336"/>
        <v>0</v>
      </c>
      <c r="AJ2374" s="2">
        <f t="shared" si="337"/>
        <v>0</v>
      </c>
      <c r="AK2374" s="2">
        <f t="shared" si="332"/>
        <v>25.150199999999998</v>
      </c>
      <c r="AL2374" s="5">
        <f t="shared" si="333"/>
        <v>0.43663541666666661</v>
      </c>
    </row>
    <row r="2375" spans="1:38" x14ac:dyDescent="0.2">
      <c r="A2375" s="2">
        <v>2025</v>
      </c>
      <c r="B2375" s="2">
        <v>12</v>
      </c>
      <c r="D2375" s="2" t="s">
        <v>336</v>
      </c>
      <c r="E2375" s="2" t="s">
        <v>108</v>
      </c>
      <c r="F2375" s="2" t="s">
        <v>39</v>
      </c>
      <c r="G2375" s="2">
        <v>503373494</v>
      </c>
      <c r="H2375" s="2" t="s">
        <v>290</v>
      </c>
      <c r="I2375" s="2" t="s">
        <v>337</v>
      </c>
      <c r="J2375" s="2" t="s">
        <v>338</v>
      </c>
      <c r="K2375" s="2">
        <v>965852001</v>
      </c>
      <c r="L2375" s="2" t="s">
        <v>339</v>
      </c>
      <c r="M2375" s="2" t="s">
        <v>80</v>
      </c>
      <c r="P2375" s="2" t="s">
        <v>43</v>
      </c>
      <c r="Q2375" s="2" t="s">
        <v>244</v>
      </c>
      <c r="R2375" s="2" t="s">
        <v>245</v>
      </c>
      <c r="S2375" s="2">
        <v>2</v>
      </c>
      <c r="T2375" s="2">
        <v>33.6</v>
      </c>
      <c r="U2375" s="2">
        <v>7.7280000000000006</v>
      </c>
      <c r="V2375" s="2">
        <v>41.328000000000003</v>
      </c>
      <c r="W2375" s="2">
        <f>9.2346*S2375</f>
        <v>18.469200000000001</v>
      </c>
      <c r="X2375" s="5">
        <f t="shared" si="335"/>
        <v>0.45032142857142859</v>
      </c>
      <c r="Z2375" s="2" t="s">
        <v>3227</v>
      </c>
      <c r="AA2375" s="2" t="s">
        <v>46</v>
      </c>
      <c r="AB2375" s="2" t="s">
        <v>56</v>
      </c>
      <c r="AC2375" s="2" t="s">
        <v>57</v>
      </c>
      <c r="AF2375" s="2">
        <f t="shared" si="336"/>
        <v>0</v>
      </c>
      <c r="AJ2375" s="2">
        <f t="shared" si="337"/>
        <v>0</v>
      </c>
      <c r="AK2375" s="2">
        <f t="shared" si="332"/>
        <v>15.130800000000001</v>
      </c>
      <c r="AL2375" s="5">
        <f t="shared" si="333"/>
        <v>0.45032142857142859</v>
      </c>
    </row>
    <row r="2376" spans="1:38" x14ac:dyDescent="0.2">
      <c r="A2376" s="2">
        <v>2025</v>
      </c>
      <c r="B2376" s="2">
        <v>12</v>
      </c>
      <c r="D2376" s="2" t="s">
        <v>336</v>
      </c>
      <c r="E2376" s="2" t="s">
        <v>108</v>
      </c>
      <c r="F2376" s="2" t="s">
        <v>39</v>
      </c>
      <c r="G2376" s="2">
        <v>503373494</v>
      </c>
      <c r="H2376" s="2" t="s">
        <v>290</v>
      </c>
      <c r="I2376" s="2" t="s">
        <v>337</v>
      </c>
      <c r="J2376" s="2" t="s">
        <v>338</v>
      </c>
      <c r="K2376" s="2">
        <v>965852001</v>
      </c>
      <c r="L2376" s="2" t="s">
        <v>339</v>
      </c>
      <c r="M2376" s="2" t="s">
        <v>80</v>
      </c>
      <c r="P2376" s="2" t="s">
        <v>43</v>
      </c>
      <c r="Q2376" s="2" t="s">
        <v>256</v>
      </c>
      <c r="R2376" s="2" t="s">
        <v>257</v>
      </c>
      <c r="S2376" s="2">
        <v>1</v>
      </c>
      <c r="T2376" s="2">
        <v>5</v>
      </c>
      <c r="U2376" s="2">
        <v>1.1499999999999999</v>
      </c>
      <c r="V2376" s="2">
        <v>6.15</v>
      </c>
      <c r="W2376" s="2">
        <v>0.98</v>
      </c>
      <c r="X2376" s="5">
        <f t="shared" si="335"/>
        <v>0.80399999999999994</v>
      </c>
      <c r="Z2376" s="2" t="s">
        <v>3227</v>
      </c>
      <c r="AA2376" s="2" t="s">
        <v>46</v>
      </c>
      <c r="AB2376" s="2" t="s">
        <v>90</v>
      </c>
      <c r="AC2376" s="2" t="s">
        <v>57</v>
      </c>
      <c r="AF2376" s="2">
        <f t="shared" si="336"/>
        <v>0</v>
      </c>
      <c r="AG2376" s="2">
        <v>0.98</v>
      </c>
      <c r="AH2376" s="2">
        <v>3</v>
      </c>
      <c r="AJ2376" s="2">
        <f t="shared" si="337"/>
        <v>0</v>
      </c>
      <c r="AK2376" s="2">
        <f t="shared" si="332"/>
        <v>4.0199999999999996</v>
      </c>
      <c r="AL2376" s="5">
        <f t="shared" si="333"/>
        <v>0.80399999999999994</v>
      </c>
    </row>
    <row r="2377" spans="1:38" x14ac:dyDescent="0.2">
      <c r="A2377" s="2">
        <v>2025</v>
      </c>
      <c r="B2377" s="2">
        <v>12</v>
      </c>
      <c r="D2377" s="2" t="s">
        <v>336</v>
      </c>
      <c r="E2377" s="2" t="s">
        <v>108</v>
      </c>
      <c r="F2377" s="2" t="s">
        <v>39</v>
      </c>
      <c r="G2377" s="2">
        <v>503373494</v>
      </c>
      <c r="H2377" s="2" t="s">
        <v>290</v>
      </c>
      <c r="I2377" s="2" t="s">
        <v>337</v>
      </c>
      <c r="J2377" s="2" t="s">
        <v>338</v>
      </c>
      <c r="K2377" s="2">
        <v>965852001</v>
      </c>
      <c r="L2377" s="2" t="s">
        <v>339</v>
      </c>
      <c r="P2377" s="2" t="s">
        <v>84</v>
      </c>
      <c r="Q2377" s="2" t="s">
        <v>1971</v>
      </c>
      <c r="R2377" s="2" t="s">
        <v>1972</v>
      </c>
      <c r="S2377" s="2">
        <v>1</v>
      </c>
      <c r="T2377" s="2">
        <v>15</v>
      </c>
      <c r="U2377" s="2">
        <v>3.45</v>
      </c>
      <c r="V2377" s="2">
        <v>18.45</v>
      </c>
      <c r="W2377" s="2">
        <v>6.8949999999999996</v>
      </c>
      <c r="X2377" s="5">
        <f t="shared" si="335"/>
        <v>0.54033333333333333</v>
      </c>
      <c r="Z2377" s="2" t="s">
        <v>3227</v>
      </c>
      <c r="AA2377" s="2" t="s">
        <v>87</v>
      </c>
      <c r="AB2377" s="2" t="s">
        <v>90</v>
      </c>
      <c r="AC2377" s="2" t="s">
        <v>84</v>
      </c>
      <c r="AF2377" s="2">
        <f t="shared" si="336"/>
        <v>0</v>
      </c>
      <c r="AG2377" s="2">
        <v>6.8949999999999996</v>
      </c>
      <c r="AJ2377" s="2">
        <f t="shared" si="337"/>
        <v>0</v>
      </c>
      <c r="AK2377" s="2">
        <f t="shared" si="332"/>
        <v>8.1050000000000004</v>
      </c>
      <c r="AL2377" s="5">
        <f t="shared" si="333"/>
        <v>0.54033333333333333</v>
      </c>
    </row>
    <row r="2378" spans="1:38" x14ac:dyDescent="0.2">
      <c r="A2378" s="2">
        <v>2025</v>
      </c>
      <c r="B2378" s="2">
        <v>12</v>
      </c>
      <c r="D2378" s="2" t="s">
        <v>1354</v>
      </c>
      <c r="M2378" s="2" t="s">
        <v>40</v>
      </c>
      <c r="P2378" s="2" t="s">
        <v>187</v>
      </c>
      <c r="Q2378" s="2" t="s">
        <v>188</v>
      </c>
      <c r="R2378" s="2" t="s">
        <v>189</v>
      </c>
      <c r="S2378" s="2">
        <v>1</v>
      </c>
      <c r="T2378" s="2">
        <v>0</v>
      </c>
      <c r="U2378" s="2">
        <v>0</v>
      </c>
      <c r="V2378" s="2">
        <v>0</v>
      </c>
      <c r="W2378" s="2">
        <f>T2378*40%</f>
        <v>0</v>
      </c>
      <c r="X2378" s="5">
        <v>0</v>
      </c>
      <c r="Z2378" s="2" t="s">
        <v>117</v>
      </c>
      <c r="AA2378" s="2" t="s">
        <v>190</v>
      </c>
      <c r="AB2378" s="2" t="s">
        <v>189</v>
      </c>
      <c r="AC2378" s="2" t="s">
        <v>40</v>
      </c>
      <c r="AF2378" s="2">
        <f t="shared" si="336"/>
        <v>0</v>
      </c>
      <c r="AJ2378" s="2">
        <f t="shared" si="337"/>
        <v>0</v>
      </c>
      <c r="AK2378" s="2">
        <f t="shared" si="332"/>
        <v>0</v>
      </c>
      <c r="AL2378" s="5">
        <v>0</v>
      </c>
    </row>
    <row r="2379" spans="1:38" x14ac:dyDescent="0.2">
      <c r="A2379" s="2">
        <v>2025</v>
      </c>
      <c r="B2379" s="2">
        <v>12</v>
      </c>
      <c r="D2379" s="2" t="s">
        <v>1354</v>
      </c>
      <c r="M2379" s="2" t="s">
        <v>40</v>
      </c>
      <c r="P2379" s="2" t="s">
        <v>187</v>
      </c>
      <c r="Q2379" s="2" t="s">
        <v>191</v>
      </c>
      <c r="R2379" s="2" t="s">
        <v>190</v>
      </c>
      <c r="S2379" s="2">
        <v>0.5</v>
      </c>
      <c r="T2379" s="2">
        <v>25</v>
      </c>
      <c r="U2379" s="2">
        <v>5.75</v>
      </c>
      <c r="V2379" s="2">
        <v>30.75</v>
      </c>
      <c r="W2379" s="2">
        <f>T2379*50%</f>
        <v>12.5</v>
      </c>
      <c r="X2379" s="5">
        <f>(T2379-W2379)/T2379</f>
        <v>0.5</v>
      </c>
      <c r="Z2379" s="2" t="s">
        <v>117</v>
      </c>
      <c r="AA2379" s="2" t="s">
        <v>190</v>
      </c>
      <c r="AB2379" s="2" t="s">
        <v>190</v>
      </c>
      <c r="AC2379" s="2" t="s">
        <v>40</v>
      </c>
      <c r="AF2379" s="2">
        <f t="shared" si="336"/>
        <v>0</v>
      </c>
      <c r="AJ2379" s="2">
        <f t="shared" si="337"/>
        <v>0</v>
      </c>
      <c r="AK2379" s="2">
        <f t="shared" si="332"/>
        <v>12.5</v>
      </c>
      <c r="AL2379" s="5">
        <f t="shared" ref="AL2379:AL2393" si="338">(T2379-W2379)/T2379</f>
        <v>0.5</v>
      </c>
    </row>
    <row r="2380" spans="1:38" x14ac:dyDescent="0.2">
      <c r="A2380" s="2">
        <v>2025</v>
      </c>
      <c r="B2380" s="2">
        <v>12</v>
      </c>
      <c r="D2380" s="2" t="s">
        <v>1355</v>
      </c>
      <c r="E2380" s="2" t="s">
        <v>752</v>
      </c>
      <c r="F2380" s="2" t="s">
        <v>39</v>
      </c>
      <c r="G2380" s="2">
        <v>518238334</v>
      </c>
      <c r="H2380" s="2" t="s">
        <v>41</v>
      </c>
      <c r="I2380" s="2" t="s">
        <v>762</v>
      </c>
      <c r="J2380" s="2" t="s">
        <v>1356</v>
      </c>
      <c r="L2380" s="2" t="s">
        <v>418</v>
      </c>
      <c r="P2380" s="2" t="s">
        <v>282</v>
      </c>
      <c r="Q2380" s="2" t="s">
        <v>1662</v>
      </c>
      <c r="R2380" s="2" t="s">
        <v>1663</v>
      </c>
      <c r="S2380" s="2">
        <v>1</v>
      </c>
      <c r="T2380" s="2">
        <v>5500</v>
      </c>
      <c r="U2380" s="2">
        <v>1265</v>
      </c>
      <c r="V2380" s="2">
        <v>6765</v>
      </c>
      <c r="W2380" s="2">
        <v>3290</v>
      </c>
      <c r="X2380" s="5">
        <f>(T2380-W2380)/T2380</f>
        <v>0.4018181818181818</v>
      </c>
      <c r="Z2380" s="2" t="s">
        <v>104</v>
      </c>
      <c r="AA2380" s="2" t="s">
        <v>387</v>
      </c>
      <c r="AB2380" s="2" t="s">
        <v>2641</v>
      </c>
      <c r="AC2380" s="2" t="s">
        <v>1327</v>
      </c>
      <c r="AF2380" s="2">
        <f t="shared" si="336"/>
        <v>0</v>
      </c>
      <c r="AJ2380" s="2">
        <f t="shared" si="337"/>
        <v>0</v>
      </c>
      <c r="AK2380" s="2">
        <f t="shared" si="332"/>
        <v>2210</v>
      </c>
      <c r="AL2380" s="5">
        <f t="shared" si="338"/>
        <v>0.4018181818181818</v>
      </c>
    </row>
    <row r="2381" spans="1:38" x14ac:dyDescent="0.2">
      <c r="A2381" s="2">
        <v>2025</v>
      </c>
      <c r="B2381" s="2">
        <v>12</v>
      </c>
      <c r="D2381" s="2" t="s">
        <v>1355</v>
      </c>
      <c r="E2381" s="2" t="s">
        <v>752</v>
      </c>
      <c r="F2381" s="2" t="s">
        <v>39</v>
      </c>
      <c r="G2381" s="2">
        <v>518238334</v>
      </c>
      <c r="H2381" s="2" t="s">
        <v>41</v>
      </c>
      <c r="I2381" s="2" t="s">
        <v>762</v>
      </c>
      <c r="J2381" s="2" t="s">
        <v>1356</v>
      </c>
      <c r="L2381" s="2" t="s">
        <v>418</v>
      </c>
      <c r="P2381" s="2" t="s">
        <v>282</v>
      </c>
      <c r="Q2381" s="2" t="s">
        <v>1664</v>
      </c>
      <c r="R2381" s="2" t="s">
        <v>1665</v>
      </c>
      <c r="S2381" s="2">
        <v>1</v>
      </c>
      <c r="T2381" s="2">
        <v>0</v>
      </c>
      <c r="U2381" s="2">
        <v>0</v>
      </c>
      <c r="V2381" s="2">
        <v>0</v>
      </c>
      <c r="X2381" s="5">
        <v>0</v>
      </c>
      <c r="Z2381" s="2" t="s">
        <v>104</v>
      </c>
      <c r="AA2381" s="2" t="s">
        <v>387</v>
      </c>
      <c r="AB2381" s="2" t="s">
        <v>2641</v>
      </c>
      <c r="AC2381" s="2" t="s">
        <v>1327</v>
      </c>
      <c r="AF2381" s="2">
        <f t="shared" si="336"/>
        <v>0</v>
      </c>
      <c r="AJ2381" s="2">
        <f t="shared" si="337"/>
        <v>0</v>
      </c>
      <c r="AK2381" s="2">
        <f t="shared" si="332"/>
        <v>0</v>
      </c>
      <c r="AL2381" s="5" t="e">
        <f t="shared" si="338"/>
        <v>#DIV/0!</v>
      </c>
    </row>
    <row r="2382" spans="1:38" x14ac:dyDescent="0.2">
      <c r="A2382" s="2">
        <v>2025</v>
      </c>
      <c r="B2382" s="2">
        <v>12</v>
      </c>
      <c r="D2382" s="2" t="s">
        <v>1355</v>
      </c>
      <c r="E2382" s="2" t="s">
        <v>752</v>
      </c>
      <c r="F2382" s="2" t="s">
        <v>39</v>
      </c>
      <c r="G2382" s="2">
        <v>518238334</v>
      </c>
      <c r="H2382" s="2" t="s">
        <v>41</v>
      </c>
      <c r="I2382" s="2" t="s">
        <v>762</v>
      </c>
      <c r="J2382" s="2" t="s">
        <v>1356</v>
      </c>
      <c r="L2382" s="2" t="s">
        <v>418</v>
      </c>
      <c r="M2382" s="2" t="s">
        <v>41</v>
      </c>
      <c r="P2382" s="2" t="s">
        <v>43</v>
      </c>
      <c r="Q2382" s="2" t="s">
        <v>48</v>
      </c>
      <c r="R2382" s="2" t="s">
        <v>49</v>
      </c>
      <c r="S2382" s="2">
        <v>1</v>
      </c>
      <c r="T2382" s="2">
        <v>13</v>
      </c>
      <c r="U2382" s="2">
        <v>2.99</v>
      </c>
      <c r="V2382" s="2">
        <v>15.99</v>
      </c>
      <c r="W2382" s="2">
        <f>6.6267*S2382</f>
        <v>6.6266999999999996</v>
      </c>
      <c r="X2382" s="5">
        <f t="shared" ref="X2382:X2393" si="339">(T2382-W2382)/T2382</f>
        <v>0.49025384615384621</v>
      </c>
      <c r="Z2382" s="2" t="s">
        <v>3227</v>
      </c>
      <c r="AA2382" s="2" t="s">
        <v>46</v>
      </c>
      <c r="AB2382" s="2" t="s">
        <v>47</v>
      </c>
      <c r="AC2382" s="2" t="s">
        <v>57</v>
      </c>
      <c r="AF2382" s="2">
        <f t="shared" si="336"/>
        <v>0</v>
      </c>
      <c r="AG2382" s="2">
        <v>6.6266999999999996</v>
      </c>
      <c r="AH2382" s="2">
        <v>12</v>
      </c>
      <c r="AJ2382" s="2">
        <f t="shared" si="337"/>
        <v>0</v>
      </c>
      <c r="AK2382" s="2">
        <f t="shared" si="332"/>
        <v>6.3733000000000004</v>
      </c>
      <c r="AL2382" s="5">
        <f t="shared" si="338"/>
        <v>0.49025384615384621</v>
      </c>
    </row>
    <row r="2383" spans="1:38" x14ac:dyDescent="0.2">
      <c r="A2383" s="2">
        <v>2025</v>
      </c>
      <c r="B2383" s="2">
        <v>12</v>
      </c>
      <c r="D2383" s="2" t="s">
        <v>1355</v>
      </c>
      <c r="E2383" s="2" t="s">
        <v>752</v>
      </c>
      <c r="F2383" s="2" t="s">
        <v>39</v>
      </c>
      <c r="G2383" s="2">
        <v>518238334</v>
      </c>
      <c r="H2383" s="2" t="s">
        <v>41</v>
      </c>
      <c r="I2383" s="2" t="s">
        <v>762</v>
      </c>
      <c r="J2383" s="2" t="s">
        <v>1356</v>
      </c>
      <c r="L2383" s="2" t="s">
        <v>418</v>
      </c>
      <c r="P2383" s="2" t="s">
        <v>84</v>
      </c>
      <c r="Q2383" s="2" t="s">
        <v>274</v>
      </c>
      <c r="R2383" s="2" t="s">
        <v>275</v>
      </c>
      <c r="S2383" s="2">
        <v>1</v>
      </c>
      <c r="T2383" s="2">
        <v>7</v>
      </c>
      <c r="U2383" s="2">
        <v>1.61</v>
      </c>
      <c r="V2383" s="2">
        <v>8.61</v>
      </c>
      <c r="W2383" s="2">
        <v>2.94</v>
      </c>
      <c r="X2383" s="5">
        <f t="shared" si="339"/>
        <v>0.58000000000000007</v>
      </c>
      <c r="Z2383" s="2" t="s">
        <v>3227</v>
      </c>
      <c r="AA2383" s="2" t="s">
        <v>87</v>
      </c>
      <c r="AB2383" s="2" t="s">
        <v>90</v>
      </c>
      <c r="AC2383" s="2" t="s">
        <v>84</v>
      </c>
      <c r="AF2383" s="2">
        <f t="shared" si="336"/>
        <v>0</v>
      </c>
      <c r="AJ2383" s="2">
        <f t="shared" si="337"/>
        <v>0</v>
      </c>
      <c r="AK2383" s="2">
        <f t="shared" si="332"/>
        <v>4.0600000000000005</v>
      </c>
      <c r="AL2383" s="5">
        <f t="shared" si="338"/>
        <v>0.58000000000000007</v>
      </c>
    </row>
    <row r="2384" spans="1:38" x14ac:dyDescent="0.2">
      <c r="A2384" s="2">
        <v>2025</v>
      </c>
      <c r="B2384" s="2">
        <v>12</v>
      </c>
      <c r="D2384" s="2" t="s">
        <v>1355</v>
      </c>
      <c r="E2384" s="2" t="s">
        <v>752</v>
      </c>
      <c r="F2384" s="2" t="s">
        <v>39</v>
      </c>
      <c r="G2384" s="2">
        <v>518238334</v>
      </c>
      <c r="H2384" s="2" t="s">
        <v>41</v>
      </c>
      <c r="I2384" s="2" t="s">
        <v>762</v>
      </c>
      <c r="J2384" s="2" t="s">
        <v>1356</v>
      </c>
      <c r="L2384" s="2" t="s">
        <v>418</v>
      </c>
      <c r="P2384" s="2" t="s">
        <v>84</v>
      </c>
      <c r="Q2384" s="2" t="s">
        <v>276</v>
      </c>
      <c r="R2384" s="2" t="s">
        <v>277</v>
      </c>
      <c r="S2384" s="2">
        <v>1</v>
      </c>
      <c r="T2384" s="2">
        <v>7</v>
      </c>
      <c r="U2384" s="2">
        <v>1.61</v>
      </c>
      <c r="V2384" s="2">
        <v>8.61</v>
      </c>
      <c r="W2384" s="2">
        <v>2.5051000000000001</v>
      </c>
      <c r="X2384" s="5">
        <f t="shared" si="339"/>
        <v>0.64212857142857138</v>
      </c>
      <c r="Z2384" s="2" t="s">
        <v>3227</v>
      </c>
      <c r="AA2384" s="2" t="s">
        <v>87</v>
      </c>
      <c r="AB2384" s="2" t="s">
        <v>90</v>
      </c>
      <c r="AC2384" s="2" t="s">
        <v>84</v>
      </c>
      <c r="AF2384" s="2">
        <f t="shared" si="336"/>
        <v>0</v>
      </c>
      <c r="AJ2384" s="2">
        <f t="shared" si="337"/>
        <v>0</v>
      </c>
      <c r="AK2384" s="2">
        <f t="shared" ref="AK2384:AK2415" si="340">T2384-W2384</f>
        <v>4.4948999999999995</v>
      </c>
      <c r="AL2384" s="5">
        <f t="shared" si="338"/>
        <v>0.64212857142857138</v>
      </c>
    </row>
    <row r="2385" spans="1:38" x14ac:dyDescent="0.2">
      <c r="A2385" s="2">
        <v>2025</v>
      </c>
      <c r="B2385" s="2">
        <v>12</v>
      </c>
      <c r="D2385" s="2" t="s">
        <v>744</v>
      </c>
      <c r="E2385" s="2" t="s">
        <v>108</v>
      </c>
      <c r="F2385" s="2" t="s">
        <v>39</v>
      </c>
      <c r="G2385" s="2">
        <v>509181163</v>
      </c>
      <c r="H2385" s="2" t="s">
        <v>40</v>
      </c>
      <c r="I2385" s="2" t="s">
        <v>745</v>
      </c>
      <c r="J2385" s="2" t="s">
        <v>746</v>
      </c>
      <c r="K2385" s="2">
        <v>962372760</v>
      </c>
      <c r="L2385" s="2" t="s">
        <v>201</v>
      </c>
      <c r="P2385" s="2" t="s">
        <v>40</v>
      </c>
      <c r="Q2385" s="2" t="s">
        <v>363</v>
      </c>
      <c r="R2385" s="2" t="s">
        <v>364</v>
      </c>
      <c r="S2385" s="2">
        <v>1</v>
      </c>
      <c r="T2385" s="2">
        <v>440</v>
      </c>
      <c r="U2385" s="2">
        <v>101.2</v>
      </c>
      <c r="V2385" s="2">
        <v>541.20000000000005</v>
      </c>
      <c r="X2385" s="5">
        <f t="shared" si="339"/>
        <v>1</v>
      </c>
      <c r="Z2385" s="2" t="s">
        <v>119</v>
      </c>
      <c r="AA2385" s="2" t="s">
        <v>3380</v>
      </c>
      <c r="AF2385" s="2">
        <f t="shared" si="336"/>
        <v>0</v>
      </c>
      <c r="AJ2385" s="2">
        <f t="shared" si="337"/>
        <v>0</v>
      </c>
      <c r="AK2385" s="2">
        <f t="shared" si="340"/>
        <v>440</v>
      </c>
      <c r="AL2385" s="5">
        <f t="shared" si="338"/>
        <v>1</v>
      </c>
    </row>
    <row r="2386" spans="1:38" x14ac:dyDescent="0.2">
      <c r="A2386" s="2">
        <v>2025</v>
      </c>
      <c r="B2386" s="2">
        <v>12</v>
      </c>
      <c r="D2386" s="2" t="s">
        <v>2127</v>
      </c>
      <c r="M2386" s="2" t="s">
        <v>40</v>
      </c>
      <c r="P2386" s="2" t="s">
        <v>187</v>
      </c>
      <c r="Q2386" s="2" t="s">
        <v>188</v>
      </c>
      <c r="R2386" s="2" t="s">
        <v>189</v>
      </c>
      <c r="S2386" s="2">
        <v>1</v>
      </c>
      <c r="T2386" s="2">
        <v>170</v>
      </c>
      <c r="U2386" s="2">
        <v>39.1</v>
      </c>
      <c r="V2386" s="2">
        <v>209.1</v>
      </c>
      <c r="W2386" s="2">
        <f>T2386*40%</f>
        <v>68</v>
      </c>
      <c r="X2386" s="5">
        <f t="shared" si="339"/>
        <v>0.6</v>
      </c>
      <c r="Z2386" s="2" t="s">
        <v>117</v>
      </c>
      <c r="AA2386" s="2" t="s">
        <v>190</v>
      </c>
      <c r="AB2386" s="2" t="s">
        <v>189</v>
      </c>
      <c r="AC2386" s="2" t="s">
        <v>40</v>
      </c>
      <c r="AF2386" s="2">
        <f t="shared" si="336"/>
        <v>0</v>
      </c>
      <c r="AJ2386" s="2">
        <f t="shared" si="337"/>
        <v>0</v>
      </c>
      <c r="AK2386" s="2">
        <f t="shared" si="340"/>
        <v>102</v>
      </c>
      <c r="AL2386" s="5">
        <f t="shared" si="338"/>
        <v>0.6</v>
      </c>
    </row>
    <row r="2387" spans="1:38" x14ac:dyDescent="0.2">
      <c r="A2387" s="2">
        <v>2025</v>
      </c>
      <c r="B2387" s="2">
        <v>12</v>
      </c>
      <c r="D2387" s="2" t="s">
        <v>2127</v>
      </c>
      <c r="M2387" s="2" t="s">
        <v>40</v>
      </c>
      <c r="P2387" s="2" t="s">
        <v>187</v>
      </c>
      <c r="Q2387" s="2" t="s">
        <v>191</v>
      </c>
      <c r="R2387" s="2" t="s">
        <v>190</v>
      </c>
      <c r="S2387" s="2">
        <v>0.75</v>
      </c>
      <c r="T2387" s="2">
        <v>37.5</v>
      </c>
      <c r="U2387" s="2">
        <v>8.625</v>
      </c>
      <c r="V2387" s="2">
        <v>46.125</v>
      </c>
      <c r="W2387" s="2">
        <f>T2387*50%</f>
        <v>18.75</v>
      </c>
      <c r="X2387" s="5">
        <f t="shared" si="339"/>
        <v>0.5</v>
      </c>
      <c r="Z2387" s="2" t="s">
        <v>117</v>
      </c>
      <c r="AA2387" s="2" t="s">
        <v>190</v>
      </c>
      <c r="AB2387" s="2" t="s">
        <v>190</v>
      </c>
      <c r="AC2387" s="2" t="s">
        <v>40</v>
      </c>
      <c r="AF2387" s="2">
        <f t="shared" si="336"/>
        <v>0</v>
      </c>
      <c r="AJ2387" s="2">
        <f t="shared" si="337"/>
        <v>0</v>
      </c>
      <c r="AK2387" s="2">
        <f t="shared" si="340"/>
        <v>18.75</v>
      </c>
      <c r="AL2387" s="5">
        <f t="shared" si="338"/>
        <v>0.5</v>
      </c>
    </row>
    <row r="2388" spans="1:38" x14ac:dyDescent="0.2">
      <c r="A2388" s="2">
        <v>2025</v>
      </c>
      <c r="B2388" s="2">
        <v>12</v>
      </c>
      <c r="D2388" s="2" t="s">
        <v>749</v>
      </c>
      <c r="E2388" s="2" t="s">
        <v>108</v>
      </c>
      <c r="F2388" s="2" t="s">
        <v>39</v>
      </c>
      <c r="G2388" s="2">
        <v>510039537</v>
      </c>
      <c r="H2388" s="2" t="s">
        <v>40</v>
      </c>
      <c r="I2388" s="2" t="s">
        <v>571</v>
      </c>
      <c r="J2388" s="2" t="s">
        <v>750</v>
      </c>
      <c r="K2388" s="2">
        <v>969042927</v>
      </c>
      <c r="L2388" s="2" t="s">
        <v>571</v>
      </c>
      <c r="M2388" s="2" t="s">
        <v>40</v>
      </c>
      <c r="P2388" s="2" t="s">
        <v>187</v>
      </c>
      <c r="Q2388" s="2" t="s">
        <v>188</v>
      </c>
      <c r="R2388" s="2" t="s">
        <v>189</v>
      </c>
      <c r="S2388" s="2">
        <v>1</v>
      </c>
      <c r="T2388" s="2">
        <v>184</v>
      </c>
      <c r="U2388" s="2">
        <v>42.32</v>
      </c>
      <c r="V2388" s="2">
        <v>226.32</v>
      </c>
      <c r="W2388" s="2">
        <f>T2388*40%</f>
        <v>73.600000000000009</v>
      </c>
      <c r="X2388" s="5">
        <f t="shared" si="339"/>
        <v>0.6</v>
      </c>
      <c r="Z2388" s="2" t="s">
        <v>117</v>
      </c>
      <c r="AA2388" s="2" t="s">
        <v>190</v>
      </c>
      <c r="AB2388" s="2" t="s">
        <v>189</v>
      </c>
      <c r="AC2388" s="2" t="s">
        <v>40</v>
      </c>
      <c r="AF2388" s="2">
        <f t="shared" si="336"/>
        <v>0</v>
      </c>
      <c r="AJ2388" s="2">
        <f t="shared" si="337"/>
        <v>0</v>
      </c>
      <c r="AK2388" s="2">
        <f t="shared" si="340"/>
        <v>110.39999999999999</v>
      </c>
      <c r="AL2388" s="5">
        <f t="shared" si="338"/>
        <v>0.6</v>
      </c>
    </row>
    <row r="2389" spans="1:38" x14ac:dyDescent="0.2">
      <c r="A2389" s="2">
        <v>2025</v>
      </c>
      <c r="B2389" s="2">
        <v>12</v>
      </c>
      <c r="D2389" s="2" t="s">
        <v>749</v>
      </c>
      <c r="E2389" s="2" t="s">
        <v>108</v>
      </c>
      <c r="F2389" s="2" t="s">
        <v>39</v>
      </c>
      <c r="G2389" s="2">
        <v>510039537</v>
      </c>
      <c r="H2389" s="2" t="s">
        <v>40</v>
      </c>
      <c r="I2389" s="2" t="s">
        <v>571</v>
      </c>
      <c r="J2389" s="2" t="s">
        <v>750</v>
      </c>
      <c r="K2389" s="2">
        <v>969042927</v>
      </c>
      <c r="L2389" s="2" t="s">
        <v>571</v>
      </c>
      <c r="M2389" s="2" t="s">
        <v>40</v>
      </c>
      <c r="P2389" s="2" t="s">
        <v>187</v>
      </c>
      <c r="Q2389" s="2" t="s">
        <v>191</v>
      </c>
      <c r="R2389" s="2" t="s">
        <v>190</v>
      </c>
      <c r="S2389" s="2">
        <v>2.5</v>
      </c>
      <c r="T2389" s="2">
        <v>125</v>
      </c>
      <c r="U2389" s="2">
        <v>28.75</v>
      </c>
      <c r="V2389" s="2">
        <v>153.75</v>
      </c>
      <c r="W2389" s="2">
        <f>T2389*50%</f>
        <v>62.5</v>
      </c>
      <c r="X2389" s="5">
        <f t="shared" si="339"/>
        <v>0.5</v>
      </c>
      <c r="Z2389" s="2" t="s">
        <v>117</v>
      </c>
      <c r="AA2389" s="2" t="s">
        <v>190</v>
      </c>
      <c r="AB2389" s="2" t="s">
        <v>190</v>
      </c>
      <c r="AC2389" s="2" t="s">
        <v>40</v>
      </c>
      <c r="AF2389" s="2">
        <f t="shared" si="336"/>
        <v>0</v>
      </c>
      <c r="AJ2389" s="2">
        <f t="shared" si="337"/>
        <v>0</v>
      </c>
      <c r="AK2389" s="2">
        <f t="shared" si="340"/>
        <v>62.5</v>
      </c>
      <c r="AL2389" s="5">
        <f t="shared" si="338"/>
        <v>0.5</v>
      </c>
    </row>
    <row r="2390" spans="1:38" x14ac:dyDescent="0.2">
      <c r="A2390" s="2">
        <v>2025</v>
      </c>
      <c r="B2390" s="2">
        <v>12</v>
      </c>
      <c r="D2390" s="2" t="s">
        <v>1693</v>
      </c>
      <c r="M2390" s="2" t="s">
        <v>40</v>
      </c>
      <c r="P2390" s="2" t="s">
        <v>187</v>
      </c>
      <c r="Q2390" s="2" t="s">
        <v>188</v>
      </c>
      <c r="R2390" s="2" t="s">
        <v>189</v>
      </c>
      <c r="S2390" s="2">
        <v>1</v>
      </c>
      <c r="T2390" s="2">
        <v>95</v>
      </c>
      <c r="U2390" s="2">
        <v>21.85</v>
      </c>
      <c r="V2390" s="2">
        <v>116.85</v>
      </c>
      <c r="W2390" s="2">
        <f>T2390*40%</f>
        <v>38</v>
      </c>
      <c r="X2390" s="5">
        <f t="shared" si="339"/>
        <v>0.6</v>
      </c>
      <c r="Z2390" s="2" t="s">
        <v>117</v>
      </c>
      <c r="AA2390" s="2" t="s">
        <v>190</v>
      </c>
      <c r="AB2390" s="2" t="s">
        <v>189</v>
      </c>
      <c r="AC2390" s="2" t="s">
        <v>40</v>
      </c>
      <c r="AF2390" s="2">
        <f t="shared" si="336"/>
        <v>0</v>
      </c>
      <c r="AJ2390" s="2">
        <f t="shared" si="337"/>
        <v>0</v>
      </c>
      <c r="AK2390" s="2">
        <f t="shared" si="340"/>
        <v>57</v>
      </c>
      <c r="AL2390" s="5">
        <f t="shared" si="338"/>
        <v>0.6</v>
      </c>
    </row>
    <row r="2391" spans="1:38" x14ac:dyDescent="0.2">
      <c r="A2391" s="2">
        <v>2025</v>
      </c>
      <c r="B2391" s="2">
        <v>12</v>
      </c>
      <c r="D2391" s="2" t="s">
        <v>1693</v>
      </c>
      <c r="M2391" s="2" t="s">
        <v>40</v>
      </c>
      <c r="P2391" s="2" t="s">
        <v>187</v>
      </c>
      <c r="Q2391" s="2" t="s">
        <v>191</v>
      </c>
      <c r="R2391" s="2" t="s">
        <v>190</v>
      </c>
      <c r="S2391" s="2">
        <v>1</v>
      </c>
      <c r="T2391" s="2">
        <v>50</v>
      </c>
      <c r="U2391" s="2">
        <v>11.5</v>
      </c>
      <c r="V2391" s="2">
        <v>61.5</v>
      </c>
      <c r="W2391" s="2">
        <f>T2391*50%</f>
        <v>25</v>
      </c>
      <c r="X2391" s="5">
        <f t="shared" si="339"/>
        <v>0.5</v>
      </c>
      <c r="Z2391" s="2" t="s">
        <v>117</v>
      </c>
      <c r="AA2391" s="2" t="s">
        <v>190</v>
      </c>
      <c r="AB2391" s="2" t="s">
        <v>190</v>
      </c>
      <c r="AC2391" s="2" t="s">
        <v>40</v>
      </c>
      <c r="AF2391" s="2">
        <f t="shared" si="336"/>
        <v>0</v>
      </c>
      <c r="AJ2391" s="2">
        <f t="shared" si="337"/>
        <v>0</v>
      </c>
      <c r="AK2391" s="2">
        <f t="shared" si="340"/>
        <v>25</v>
      </c>
      <c r="AL2391" s="5">
        <f t="shared" si="338"/>
        <v>0.5</v>
      </c>
    </row>
    <row r="2392" spans="1:38" x14ac:dyDescent="0.2">
      <c r="A2392" s="2">
        <v>2025</v>
      </c>
      <c r="B2392" s="2">
        <v>12</v>
      </c>
      <c r="D2392" s="2" t="s">
        <v>1693</v>
      </c>
      <c r="P2392" s="2" t="s">
        <v>40</v>
      </c>
      <c r="Q2392" s="2" t="s">
        <v>363</v>
      </c>
      <c r="R2392" s="2" t="s">
        <v>364</v>
      </c>
      <c r="S2392" s="2">
        <v>1</v>
      </c>
      <c r="T2392" s="2">
        <v>99.75</v>
      </c>
      <c r="U2392" s="2">
        <v>22.942499999999999</v>
      </c>
      <c r="V2392" s="2">
        <v>122.6925</v>
      </c>
      <c r="X2392" s="5">
        <f t="shared" si="339"/>
        <v>1</v>
      </c>
      <c r="Z2392" s="2" t="s">
        <v>119</v>
      </c>
      <c r="AA2392" s="2" t="s">
        <v>3380</v>
      </c>
      <c r="AF2392" s="2">
        <f t="shared" si="336"/>
        <v>0</v>
      </c>
      <c r="AJ2392" s="2">
        <f t="shared" si="337"/>
        <v>0</v>
      </c>
      <c r="AK2392" s="2">
        <f t="shared" si="340"/>
        <v>99.75</v>
      </c>
      <c r="AL2392" s="5">
        <f t="shared" si="338"/>
        <v>1</v>
      </c>
    </row>
    <row r="2393" spans="1:38" x14ac:dyDescent="0.2">
      <c r="A2393" s="2">
        <v>2025</v>
      </c>
      <c r="B2393" s="2">
        <v>12</v>
      </c>
      <c r="D2393" s="2" t="s">
        <v>358</v>
      </c>
      <c r="E2393" s="2" t="s">
        <v>38</v>
      </c>
      <c r="F2393" s="2" t="s">
        <v>39</v>
      </c>
      <c r="G2393" s="2">
        <v>514618906</v>
      </c>
      <c r="H2393" s="2" t="s">
        <v>41</v>
      </c>
      <c r="I2393" s="2" t="s">
        <v>461</v>
      </c>
      <c r="J2393" s="2" t="s">
        <v>3120</v>
      </c>
      <c r="K2393" s="2">
        <v>917575485</v>
      </c>
      <c r="L2393" s="2" t="s">
        <v>461</v>
      </c>
      <c r="M2393" s="2" t="s">
        <v>40</v>
      </c>
      <c r="O2393" s="2" t="s">
        <v>3121</v>
      </c>
      <c r="P2393" s="2" t="s">
        <v>187</v>
      </c>
      <c r="Q2393" s="2" t="s">
        <v>317</v>
      </c>
      <c r="R2393" s="2" t="s">
        <v>318</v>
      </c>
      <c r="S2393" s="2">
        <v>1</v>
      </c>
      <c r="T2393" s="2">
        <v>723.1</v>
      </c>
      <c r="U2393" s="2">
        <v>166.31299999999999</v>
      </c>
      <c r="V2393" s="2">
        <v>889.41300000000001</v>
      </c>
      <c r="X2393" s="5">
        <f t="shared" si="339"/>
        <v>1</v>
      </c>
      <c r="Z2393" s="2" t="s">
        <v>117</v>
      </c>
      <c r="AA2393" s="2" t="s">
        <v>317</v>
      </c>
      <c r="AF2393" s="2">
        <f t="shared" si="336"/>
        <v>0</v>
      </c>
      <c r="AJ2393" s="2">
        <f t="shared" si="337"/>
        <v>0</v>
      </c>
      <c r="AK2393" s="2">
        <f t="shared" si="340"/>
        <v>723.1</v>
      </c>
      <c r="AL2393" s="5">
        <f t="shared" si="338"/>
        <v>1</v>
      </c>
    </row>
    <row r="2394" spans="1:38" x14ac:dyDescent="0.2">
      <c r="A2394" s="2">
        <v>2025</v>
      </c>
      <c r="B2394" s="2">
        <v>12</v>
      </c>
      <c r="D2394" s="2" t="s">
        <v>358</v>
      </c>
      <c r="E2394" s="2" t="s">
        <v>38</v>
      </c>
      <c r="F2394" s="2" t="s">
        <v>39</v>
      </c>
      <c r="G2394" s="2">
        <v>514618906</v>
      </c>
      <c r="H2394" s="2" t="s">
        <v>41</v>
      </c>
      <c r="I2394" s="2" t="s">
        <v>461</v>
      </c>
      <c r="J2394" s="2" t="s">
        <v>3120</v>
      </c>
      <c r="K2394" s="2">
        <v>917575485</v>
      </c>
      <c r="L2394" s="2" t="s">
        <v>461</v>
      </c>
      <c r="M2394" s="2" t="s">
        <v>40</v>
      </c>
      <c r="O2394" s="2" t="s">
        <v>3121</v>
      </c>
      <c r="P2394" s="2" t="s">
        <v>114</v>
      </c>
      <c r="Q2394" s="2" t="s">
        <v>408</v>
      </c>
      <c r="R2394" s="2" t="s">
        <v>409</v>
      </c>
      <c r="S2394" s="2">
        <v>1</v>
      </c>
      <c r="T2394" s="2">
        <v>0</v>
      </c>
      <c r="U2394" s="2">
        <v>0</v>
      </c>
      <c r="V2394" s="2">
        <v>0</v>
      </c>
      <c r="X2394" s="5">
        <v>0</v>
      </c>
      <c r="Z2394" s="2" t="s">
        <v>117</v>
      </c>
      <c r="AA2394" s="2" t="s">
        <v>181</v>
      </c>
      <c r="AB2394" s="2" t="s">
        <v>119</v>
      </c>
      <c r="AC2394" s="2" t="s">
        <v>114</v>
      </c>
      <c r="AF2394" s="2">
        <f t="shared" si="336"/>
        <v>0</v>
      </c>
      <c r="AJ2394" s="2">
        <f t="shared" si="337"/>
        <v>0</v>
      </c>
      <c r="AK2394" s="2">
        <f t="shared" si="340"/>
        <v>0</v>
      </c>
      <c r="AL2394" s="5">
        <v>0</v>
      </c>
    </row>
    <row r="2395" spans="1:38" x14ac:dyDescent="0.2">
      <c r="A2395" s="2">
        <v>2025</v>
      </c>
      <c r="B2395" s="2">
        <v>12</v>
      </c>
      <c r="D2395" s="2" t="s">
        <v>365</v>
      </c>
      <c r="E2395" s="2" t="s">
        <v>183</v>
      </c>
      <c r="F2395" s="2" t="s">
        <v>366</v>
      </c>
      <c r="G2395" s="2">
        <v>501423192</v>
      </c>
      <c r="H2395" s="2" t="s">
        <v>40</v>
      </c>
      <c r="I2395" s="2" t="s">
        <v>367</v>
      </c>
      <c r="J2395" s="2" t="s">
        <v>368</v>
      </c>
      <c r="L2395" s="2" t="s">
        <v>99</v>
      </c>
      <c r="M2395" s="2" t="s">
        <v>80</v>
      </c>
      <c r="O2395" s="2" t="s">
        <v>2128</v>
      </c>
      <c r="P2395" s="2" t="s">
        <v>72</v>
      </c>
      <c r="Q2395" s="2" t="s">
        <v>73</v>
      </c>
      <c r="R2395" s="2" t="s">
        <v>74</v>
      </c>
      <c r="S2395" s="2">
        <v>1</v>
      </c>
      <c r="T2395" s="2">
        <v>220</v>
      </c>
      <c r="U2395" s="2">
        <v>50.6</v>
      </c>
      <c r="V2395" s="2">
        <v>270.60000000000002</v>
      </c>
      <c r="W2395" s="2">
        <v>117.453</v>
      </c>
      <c r="X2395" s="5">
        <f t="shared" ref="X2395:X2426" si="341">(T2395-W2395)/T2395</f>
        <v>0.46612272727272724</v>
      </c>
      <c r="Z2395" s="2" t="s">
        <v>3227</v>
      </c>
      <c r="AA2395" s="2" t="s">
        <v>75</v>
      </c>
      <c r="AB2395" s="2" t="s">
        <v>76</v>
      </c>
      <c r="AC2395" s="2" t="s">
        <v>77</v>
      </c>
      <c r="AF2395" s="2">
        <f t="shared" si="336"/>
        <v>0</v>
      </c>
      <c r="AG2395" s="2">
        <v>117.453</v>
      </c>
      <c r="AH2395" s="2">
        <v>220</v>
      </c>
      <c r="AJ2395" s="2">
        <f t="shared" si="337"/>
        <v>0</v>
      </c>
      <c r="AK2395" s="2">
        <f t="shared" si="340"/>
        <v>102.547</v>
      </c>
      <c r="AL2395" s="5">
        <f t="shared" ref="AL2395:AL2426" si="342">(T2395-W2395)/T2395</f>
        <v>0.46612272727272724</v>
      </c>
    </row>
    <row r="2396" spans="1:38" x14ac:dyDescent="0.2">
      <c r="A2396" s="2">
        <v>2025</v>
      </c>
      <c r="B2396" s="2">
        <v>12</v>
      </c>
      <c r="D2396" s="2" t="s">
        <v>365</v>
      </c>
      <c r="E2396" s="2" t="s">
        <v>183</v>
      </c>
      <c r="F2396" s="2" t="s">
        <v>366</v>
      </c>
      <c r="G2396" s="2">
        <v>501423192</v>
      </c>
      <c r="H2396" s="2" t="s">
        <v>40</v>
      </c>
      <c r="I2396" s="2" t="s">
        <v>367</v>
      </c>
      <c r="J2396" s="2" t="s">
        <v>368</v>
      </c>
      <c r="L2396" s="2" t="s">
        <v>99</v>
      </c>
      <c r="M2396" s="2" t="s">
        <v>80</v>
      </c>
      <c r="O2396" s="2" t="s">
        <v>2128</v>
      </c>
      <c r="P2396" s="2" t="s">
        <v>93</v>
      </c>
      <c r="Q2396" s="2" t="s">
        <v>94</v>
      </c>
      <c r="R2396" s="2" t="s">
        <v>95</v>
      </c>
      <c r="S2396" s="2">
        <v>1</v>
      </c>
      <c r="T2396" s="2">
        <v>1.1399999999999999</v>
      </c>
      <c r="U2396" s="2">
        <v>0.26219999999999999</v>
      </c>
      <c r="V2396" s="2">
        <v>1.4021999999999999</v>
      </c>
      <c r="W2396" s="2">
        <v>1.1399999999999999</v>
      </c>
      <c r="X2396" s="5">
        <f t="shared" si="341"/>
        <v>0</v>
      </c>
      <c r="Z2396" s="2" t="s">
        <v>3227</v>
      </c>
      <c r="AA2396" s="2" t="s">
        <v>96</v>
      </c>
      <c r="AB2396" s="2" t="s">
        <v>76</v>
      </c>
      <c r="AC2396" s="2" t="s">
        <v>93</v>
      </c>
      <c r="AF2396" s="2">
        <f t="shared" si="336"/>
        <v>0</v>
      </c>
      <c r="AJ2396" s="2">
        <f t="shared" si="337"/>
        <v>0</v>
      </c>
      <c r="AK2396" s="2">
        <f t="shared" si="340"/>
        <v>0</v>
      </c>
      <c r="AL2396" s="5">
        <f t="shared" si="342"/>
        <v>0</v>
      </c>
    </row>
    <row r="2397" spans="1:38" x14ac:dyDescent="0.2">
      <c r="A2397" s="2">
        <v>2025</v>
      </c>
      <c r="B2397" s="2">
        <v>12</v>
      </c>
      <c r="C2397" s="2" t="s">
        <v>3494</v>
      </c>
      <c r="D2397" s="2" t="s">
        <v>370</v>
      </c>
      <c r="E2397" s="2" t="s">
        <v>38</v>
      </c>
      <c r="F2397" s="2" t="s">
        <v>39</v>
      </c>
      <c r="G2397" s="2">
        <v>504498886</v>
      </c>
      <c r="H2397" s="2" t="s">
        <v>41</v>
      </c>
      <c r="I2397" s="2" t="s">
        <v>371</v>
      </c>
      <c r="J2397" s="2" t="s">
        <v>372</v>
      </c>
      <c r="K2397" s="2">
        <v>966932738</v>
      </c>
      <c r="L2397" s="2" t="s">
        <v>177</v>
      </c>
      <c r="M2397" s="2" t="s">
        <v>40</v>
      </c>
      <c r="O2397" s="2" t="s">
        <v>2129</v>
      </c>
      <c r="P2397" s="2" t="s">
        <v>114</v>
      </c>
      <c r="Q2397" s="2" t="s">
        <v>373</v>
      </c>
      <c r="R2397" s="2" t="s">
        <v>374</v>
      </c>
      <c r="S2397" s="2">
        <v>1</v>
      </c>
      <c r="T2397" s="2">
        <v>48.95</v>
      </c>
      <c r="U2397" s="2">
        <v>11.2585</v>
      </c>
      <c r="V2397" s="2">
        <v>60.208500000000001</v>
      </c>
      <c r="W2397" s="2">
        <f>23.042*S2397</f>
        <v>23.042000000000002</v>
      </c>
      <c r="X2397" s="5">
        <f t="shared" si="341"/>
        <v>0.52927477017364655</v>
      </c>
      <c r="Z2397" s="2" t="s">
        <v>117</v>
      </c>
      <c r="AA2397" s="2" t="s">
        <v>118</v>
      </c>
      <c r="AB2397" s="2" t="s">
        <v>119</v>
      </c>
      <c r="AC2397" s="2" t="s">
        <v>114</v>
      </c>
      <c r="AF2397" s="2">
        <f t="shared" si="336"/>
        <v>0</v>
      </c>
      <c r="AJ2397" s="2">
        <f t="shared" si="337"/>
        <v>0</v>
      </c>
      <c r="AK2397" s="2">
        <f t="shared" si="340"/>
        <v>25.908000000000001</v>
      </c>
      <c r="AL2397" s="5">
        <f t="shared" si="342"/>
        <v>0.52927477017364655</v>
      </c>
    </row>
    <row r="2398" spans="1:38" x14ac:dyDescent="0.2">
      <c r="A2398" s="2">
        <v>2025</v>
      </c>
      <c r="B2398" s="2">
        <v>12</v>
      </c>
      <c r="D2398" s="2" t="s">
        <v>765</v>
      </c>
      <c r="E2398" s="2" t="s">
        <v>38</v>
      </c>
      <c r="G2398" s="2">
        <v>513686231</v>
      </c>
      <c r="H2398" s="2" t="s">
        <v>290</v>
      </c>
      <c r="I2398" s="2" t="s">
        <v>766</v>
      </c>
      <c r="J2398" s="2" t="s">
        <v>767</v>
      </c>
      <c r="L2398" s="2" t="s">
        <v>480</v>
      </c>
      <c r="M2398" s="2" t="s">
        <v>80</v>
      </c>
      <c r="O2398" s="2" t="s">
        <v>2130</v>
      </c>
      <c r="P2398" s="2" t="s">
        <v>43</v>
      </c>
      <c r="Q2398" s="2" t="s">
        <v>232</v>
      </c>
      <c r="R2398" s="2" t="s">
        <v>233</v>
      </c>
      <c r="S2398" s="2">
        <v>1</v>
      </c>
      <c r="T2398" s="2">
        <v>11.34</v>
      </c>
      <c r="U2398" s="2">
        <v>2.6082000000000001</v>
      </c>
      <c r="V2398" s="2">
        <v>13.9482</v>
      </c>
      <c r="W2398" s="2">
        <v>5.9066999999999998</v>
      </c>
      <c r="X2398" s="5">
        <f t="shared" si="341"/>
        <v>0.47912698412698412</v>
      </c>
      <c r="Z2398" s="2" t="s">
        <v>3227</v>
      </c>
      <c r="AA2398" s="2" t="s">
        <v>46</v>
      </c>
      <c r="AB2398" s="2" t="s">
        <v>56</v>
      </c>
      <c r="AC2398" s="2" t="s">
        <v>57</v>
      </c>
      <c r="AF2398" s="2">
        <f t="shared" si="336"/>
        <v>0</v>
      </c>
      <c r="AG2398" s="2">
        <v>5.9066999999999998</v>
      </c>
      <c r="AH2398" s="2">
        <v>12.6</v>
      </c>
      <c r="AJ2398" s="2">
        <f t="shared" si="337"/>
        <v>0</v>
      </c>
      <c r="AK2398" s="2">
        <f t="shared" si="340"/>
        <v>5.4333</v>
      </c>
      <c r="AL2398" s="5">
        <f t="shared" si="342"/>
        <v>0.47912698412698412</v>
      </c>
    </row>
    <row r="2399" spans="1:38" x14ac:dyDescent="0.2">
      <c r="A2399" s="2">
        <v>2025</v>
      </c>
      <c r="B2399" s="2">
        <v>12</v>
      </c>
      <c r="D2399" s="2" t="s">
        <v>765</v>
      </c>
      <c r="E2399" s="2" t="s">
        <v>38</v>
      </c>
      <c r="G2399" s="2">
        <v>513686231</v>
      </c>
      <c r="H2399" s="2" t="s">
        <v>290</v>
      </c>
      <c r="I2399" s="2" t="s">
        <v>766</v>
      </c>
      <c r="J2399" s="2" t="s">
        <v>767</v>
      </c>
      <c r="L2399" s="2" t="s">
        <v>480</v>
      </c>
      <c r="M2399" s="2" t="s">
        <v>80</v>
      </c>
      <c r="O2399" s="2" t="s">
        <v>2130</v>
      </c>
      <c r="P2399" s="2" t="s">
        <v>43</v>
      </c>
      <c r="Q2399" s="2" t="s">
        <v>238</v>
      </c>
      <c r="R2399" s="2" t="s">
        <v>239</v>
      </c>
      <c r="S2399" s="2">
        <v>1</v>
      </c>
      <c r="T2399" s="2">
        <v>21.48</v>
      </c>
      <c r="U2399" s="2">
        <v>4.9404000000000003</v>
      </c>
      <c r="V2399" s="2">
        <v>26.420400000000001</v>
      </c>
      <c r="W2399" s="2">
        <f>11.045*S2399</f>
        <v>11.045</v>
      </c>
      <c r="X2399" s="5">
        <f t="shared" si="341"/>
        <v>0.48580074487895719</v>
      </c>
      <c r="Z2399" s="2" t="s">
        <v>3227</v>
      </c>
      <c r="AA2399" s="2" t="s">
        <v>46</v>
      </c>
      <c r="AB2399" s="2" t="s">
        <v>56</v>
      </c>
      <c r="AC2399" s="2" t="s">
        <v>57</v>
      </c>
      <c r="AF2399" s="2">
        <f t="shared" si="336"/>
        <v>0</v>
      </c>
      <c r="AG2399" s="2">
        <v>11.045</v>
      </c>
      <c r="AJ2399" s="2">
        <f t="shared" si="337"/>
        <v>0</v>
      </c>
      <c r="AK2399" s="2">
        <f t="shared" si="340"/>
        <v>10.435</v>
      </c>
      <c r="AL2399" s="5">
        <f t="shared" si="342"/>
        <v>0.48580074487895719</v>
      </c>
    </row>
    <row r="2400" spans="1:38" x14ac:dyDescent="0.2">
      <c r="A2400" s="2">
        <v>2025</v>
      </c>
      <c r="B2400" s="2">
        <v>12</v>
      </c>
      <c r="D2400" s="2" t="s">
        <v>765</v>
      </c>
      <c r="E2400" s="2" t="s">
        <v>38</v>
      </c>
      <c r="G2400" s="2">
        <v>513686231</v>
      </c>
      <c r="H2400" s="2" t="s">
        <v>290</v>
      </c>
      <c r="I2400" s="2" t="s">
        <v>766</v>
      </c>
      <c r="J2400" s="2" t="s">
        <v>767</v>
      </c>
      <c r="L2400" s="2" t="s">
        <v>480</v>
      </c>
      <c r="M2400" s="2" t="s">
        <v>80</v>
      </c>
      <c r="O2400" s="2" t="s">
        <v>2130</v>
      </c>
      <c r="P2400" s="2" t="s">
        <v>43</v>
      </c>
      <c r="Q2400" s="2" t="s">
        <v>54</v>
      </c>
      <c r="R2400" s="2" t="s">
        <v>55</v>
      </c>
      <c r="S2400" s="2">
        <v>10</v>
      </c>
      <c r="T2400" s="2">
        <v>170</v>
      </c>
      <c r="U2400" s="2">
        <v>39.1</v>
      </c>
      <c r="V2400" s="2">
        <v>209.1</v>
      </c>
      <c r="W2400" s="2">
        <f>10.6*S2400</f>
        <v>106</v>
      </c>
      <c r="X2400" s="5">
        <f t="shared" si="341"/>
        <v>0.37647058823529411</v>
      </c>
      <c r="Z2400" s="2" t="s">
        <v>3227</v>
      </c>
      <c r="AA2400" s="2" t="s">
        <v>46</v>
      </c>
      <c r="AB2400" s="2" t="s">
        <v>56</v>
      </c>
      <c r="AC2400" s="2" t="s">
        <v>57</v>
      </c>
      <c r="AF2400" s="2">
        <f t="shared" si="336"/>
        <v>0</v>
      </c>
      <c r="AG2400" s="2">
        <v>10.6</v>
      </c>
      <c r="AH2400" s="2">
        <v>18</v>
      </c>
      <c r="AJ2400" s="2">
        <f t="shared" si="337"/>
        <v>0</v>
      </c>
      <c r="AK2400" s="2">
        <f t="shared" si="340"/>
        <v>64</v>
      </c>
      <c r="AL2400" s="5">
        <f t="shared" si="342"/>
        <v>0.37647058823529411</v>
      </c>
    </row>
    <row r="2401" spans="1:38" x14ac:dyDescent="0.2">
      <c r="A2401" s="2">
        <v>2025</v>
      </c>
      <c r="B2401" s="2">
        <v>12</v>
      </c>
      <c r="D2401" s="2" t="s">
        <v>765</v>
      </c>
      <c r="E2401" s="2" t="s">
        <v>38</v>
      </c>
      <c r="G2401" s="2">
        <v>513686231</v>
      </c>
      <c r="H2401" s="2" t="s">
        <v>290</v>
      </c>
      <c r="I2401" s="2" t="s">
        <v>766</v>
      </c>
      <c r="J2401" s="2" t="s">
        <v>767</v>
      </c>
      <c r="L2401" s="2" t="s">
        <v>480</v>
      </c>
      <c r="M2401" s="2" t="s">
        <v>80</v>
      </c>
      <c r="O2401" s="2" t="s">
        <v>2130</v>
      </c>
      <c r="P2401" s="2" t="s">
        <v>43</v>
      </c>
      <c r="Q2401" s="2" t="s">
        <v>61</v>
      </c>
      <c r="R2401" s="2" t="s">
        <v>62</v>
      </c>
      <c r="S2401" s="2">
        <v>500</v>
      </c>
      <c r="T2401" s="2">
        <v>60</v>
      </c>
      <c r="U2401" s="2">
        <v>13.8</v>
      </c>
      <c r="V2401" s="2">
        <v>73.8</v>
      </c>
      <c r="W2401" s="2">
        <f>0.082*S2401</f>
        <v>41</v>
      </c>
      <c r="X2401" s="5">
        <f t="shared" si="341"/>
        <v>0.31666666666666665</v>
      </c>
      <c r="Z2401" s="2" t="s">
        <v>3227</v>
      </c>
      <c r="AA2401" s="2" t="s">
        <v>46</v>
      </c>
      <c r="AB2401" s="2" t="s">
        <v>60</v>
      </c>
      <c r="AC2401" s="2" t="s">
        <v>57</v>
      </c>
      <c r="AF2401" s="2">
        <f t="shared" si="336"/>
        <v>0</v>
      </c>
      <c r="AG2401" s="2">
        <v>8.1999999999999993</v>
      </c>
      <c r="AH2401" s="2">
        <v>13</v>
      </c>
      <c r="AJ2401" s="2">
        <f t="shared" si="337"/>
        <v>0</v>
      </c>
      <c r="AK2401" s="2">
        <f t="shared" si="340"/>
        <v>19</v>
      </c>
      <c r="AL2401" s="5">
        <f t="shared" si="342"/>
        <v>0.31666666666666665</v>
      </c>
    </row>
    <row r="2402" spans="1:38" x14ac:dyDescent="0.2">
      <c r="A2402" s="2">
        <v>2025</v>
      </c>
      <c r="B2402" s="2">
        <v>12</v>
      </c>
      <c r="D2402" s="2" t="s">
        <v>765</v>
      </c>
      <c r="E2402" s="2" t="s">
        <v>38</v>
      </c>
      <c r="G2402" s="2">
        <v>513686231</v>
      </c>
      <c r="H2402" s="2" t="s">
        <v>290</v>
      </c>
      <c r="I2402" s="2" t="s">
        <v>766</v>
      </c>
      <c r="J2402" s="2" t="s">
        <v>767</v>
      </c>
      <c r="L2402" s="2" t="s">
        <v>480</v>
      </c>
      <c r="M2402" s="2" t="s">
        <v>80</v>
      </c>
      <c r="O2402" s="2" t="s">
        <v>2130</v>
      </c>
      <c r="P2402" s="2" t="s">
        <v>43</v>
      </c>
      <c r="Q2402" s="2" t="s">
        <v>164</v>
      </c>
      <c r="R2402" s="2" t="s">
        <v>165</v>
      </c>
      <c r="S2402" s="2">
        <v>1</v>
      </c>
      <c r="T2402" s="2">
        <v>14.55</v>
      </c>
      <c r="U2402" s="2">
        <v>3.3464999999999998</v>
      </c>
      <c r="V2402" s="2">
        <v>17.8965</v>
      </c>
      <c r="W2402" s="2">
        <f>7.9612*S2402</f>
        <v>7.9611999999999998</v>
      </c>
      <c r="X2402" s="5">
        <f t="shared" si="341"/>
        <v>0.45283848797250864</v>
      </c>
      <c r="Z2402" s="2" t="s">
        <v>3227</v>
      </c>
      <c r="AA2402" s="2" t="s">
        <v>46</v>
      </c>
      <c r="AB2402" s="2" t="s">
        <v>67</v>
      </c>
      <c r="AC2402" s="2" t="s">
        <v>57</v>
      </c>
      <c r="AF2402" s="2">
        <f t="shared" si="336"/>
        <v>0</v>
      </c>
      <c r="AG2402" s="2">
        <v>7.9611999999999998</v>
      </c>
      <c r="AH2402" s="2">
        <v>14.4</v>
      </c>
      <c r="AJ2402" s="2">
        <f t="shared" si="337"/>
        <v>0</v>
      </c>
      <c r="AK2402" s="2">
        <f t="shared" si="340"/>
        <v>6.5888000000000009</v>
      </c>
      <c r="AL2402" s="5">
        <f t="shared" si="342"/>
        <v>0.45283848797250864</v>
      </c>
    </row>
    <row r="2403" spans="1:38" x14ac:dyDescent="0.2">
      <c r="A2403" s="2">
        <v>2025</v>
      </c>
      <c r="B2403" s="2">
        <v>12</v>
      </c>
      <c r="D2403" s="2" t="s">
        <v>2131</v>
      </c>
      <c r="M2403" s="2" t="s">
        <v>40</v>
      </c>
      <c r="P2403" s="2" t="s">
        <v>187</v>
      </c>
      <c r="Q2403" s="2" t="s">
        <v>188</v>
      </c>
      <c r="R2403" s="2" t="s">
        <v>189</v>
      </c>
      <c r="S2403" s="2">
        <v>1</v>
      </c>
      <c r="T2403" s="2">
        <v>274</v>
      </c>
      <c r="U2403" s="2">
        <v>63.02</v>
      </c>
      <c r="V2403" s="2">
        <v>337.02</v>
      </c>
      <c r="W2403" s="2">
        <f>T2403*40%</f>
        <v>109.60000000000001</v>
      </c>
      <c r="X2403" s="5">
        <f t="shared" si="341"/>
        <v>0.59999999999999987</v>
      </c>
      <c r="Z2403" s="2" t="s">
        <v>117</v>
      </c>
      <c r="AA2403" s="2" t="s">
        <v>190</v>
      </c>
      <c r="AB2403" s="2" t="s">
        <v>189</v>
      </c>
      <c r="AC2403" s="2" t="s">
        <v>40</v>
      </c>
      <c r="AF2403" s="2">
        <f t="shared" si="336"/>
        <v>0</v>
      </c>
      <c r="AJ2403" s="2">
        <f t="shared" si="337"/>
        <v>0</v>
      </c>
      <c r="AK2403" s="2">
        <f t="shared" si="340"/>
        <v>164.39999999999998</v>
      </c>
      <c r="AL2403" s="5">
        <f t="shared" si="342"/>
        <v>0.59999999999999987</v>
      </c>
    </row>
    <row r="2404" spans="1:38" x14ac:dyDescent="0.2">
      <c r="A2404" s="2">
        <v>2025</v>
      </c>
      <c r="B2404" s="2">
        <v>12</v>
      </c>
      <c r="D2404" s="2" t="s">
        <v>2131</v>
      </c>
      <c r="M2404" s="2" t="s">
        <v>40</v>
      </c>
      <c r="P2404" s="2" t="s">
        <v>187</v>
      </c>
      <c r="Q2404" s="2" t="s">
        <v>191</v>
      </c>
      <c r="R2404" s="2" t="s">
        <v>190</v>
      </c>
      <c r="S2404" s="2">
        <v>1.25</v>
      </c>
      <c r="T2404" s="2">
        <v>62.5</v>
      </c>
      <c r="U2404" s="2">
        <v>14.375</v>
      </c>
      <c r="V2404" s="2">
        <v>76.875</v>
      </c>
      <c r="W2404" s="2">
        <f>T2404*50%</f>
        <v>31.25</v>
      </c>
      <c r="X2404" s="5">
        <f t="shared" si="341"/>
        <v>0.5</v>
      </c>
      <c r="Z2404" s="2" t="s">
        <v>117</v>
      </c>
      <c r="AA2404" s="2" t="s">
        <v>190</v>
      </c>
      <c r="AB2404" s="2" t="s">
        <v>190</v>
      </c>
      <c r="AC2404" s="2" t="s">
        <v>40</v>
      </c>
      <c r="AF2404" s="2">
        <f t="shared" si="336"/>
        <v>0</v>
      </c>
      <c r="AJ2404" s="2">
        <f t="shared" si="337"/>
        <v>0</v>
      </c>
      <c r="AK2404" s="2">
        <f t="shared" si="340"/>
        <v>31.25</v>
      </c>
      <c r="AL2404" s="5">
        <f t="shared" si="342"/>
        <v>0.5</v>
      </c>
    </row>
    <row r="2405" spans="1:38" x14ac:dyDescent="0.2">
      <c r="A2405" s="2">
        <v>2025</v>
      </c>
      <c r="B2405" s="2">
        <v>12</v>
      </c>
      <c r="D2405" s="2" t="s">
        <v>2132</v>
      </c>
      <c r="M2405" s="2" t="s">
        <v>40</v>
      </c>
      <c r="P2405" s="2" t="s">
        <v>114</v>
      </c>
      <c r="Q2405" s="2" t="s">
        <v>904</v>
      </c>
      <c r="R2405" s="2" t="s">
        <v>905</v>
      </c>
      <c r="S2405" s="2">
        <v>1</v>
      </c>
      <c r="T2405" s="2">
        <v>699.3</v>
      </c>
      <c r="U2405" s="2">
        <v>160.839</v>
      </c>
      <c r="V2405" s="2">
        <v>860.1389999999999</v>
      </c>
      <c r="W2405" s="2">
        <v>345.20339999999999</v>
      </c>
      <c r="X2405" s="5">
        <f t="shared" si="341"/>
        <v>0.50635864435864431</v>
      </c>
      <c r="Z2405" s="2" t="s">
        <v>117</v>
      </c>
      <c r="AA2405" s="2" t="s">
        <v>181</v>
      </c>
      <c r="AB2405" s="2" t="s">
        <v>119</v>
      </c>
      <c r="AC2405" s="2" t="s">
        <v>114</v>
      </c>
      <c r="AF2405" s="2">
        <f t="shared" si="336"/>
        <v>0</v>
      </c>
      <c r="AJ2405" s="2">
        <f t="shared" si="337"/>
        <v>0</v>
      </c>
      <c r="AK2405" s="2">
        <f t="shared" si="340"/>
        <v>354.09659999999997</v>
      </c>
      <c r="AL2405" s="5">
        <f t="shared" si="342"/>
        <v>0.50635864435864431</v>
      </c>
    </row>
    <row r="2406" spans="1:38" x14ac:dyDescent="0.2">
      <c r="A2406" s="2">
        <v>2025</v>
      </c>
      <c r="B2406" s="2">
        <v>12</v>
      </c>
      <c r="D2406" s="2" t="s">
        <v>2132</v>
      </c>
      <c r="M2406" s="2" t="s">
        <v>40</v>
      </c>
      <c r="P2406" s="2" t="s">
        <v>187</v>
      </c>
      <c r="Q2406" s="2" t="s">
        <v>188</v>
      </c>
      <c r="R2406" s="2" t="s">
        <v>189</v>
      </c>
      <c r="S2406" s="2">
        <v>1</v>
      </c>
      <c r="T2406" s="2">
        <v>174</v>
      </c>
      <c r="U2406" s="2">
        <v>40.020000000000003</v>
      </c>
      <c r="V2406" s="2">
        <v>214.02</v>
      </c>
      <c r="W2406" s="2">
        <f>T2406*40%</f>
        <v>69.600000000000009</v>
      </c>
      <c r="X2406" s="5">
        <f t="shared" si="341"/>
        <v>0.6</v>
      </c>
      <c r="Z2406" s="2" t="s">
        <v>117</v>
      </c>
      <c r="AA2406" s="2" t="s">
        <v>190</v>
      </c>
      <c r="AB2406" s="2" t="s">
        <v>189</v>
      </c>
      <c r="AC2406" s="2" t="s">
        <v>40</v>
      </c>
      <c r="AF2406" s="2">
        <f t="shared" si="336"/>
        <v>0</v>
      </c>
      <c r="AJ2406" s="2">
        <f t="shared" si="337"/>
        <v>0</v>
      </c>
      <c r="AK2406" s="2">
        <f t="shared" si="340"/>
        <v>104.39999999999999</v>
      </c>
      <c r="AL2406" s="5">
        <f t="shared" si="342"/>
        <v>0.6</v>
      </c>
    </row>
    <row r="2407" spans="1:38" x14ac:dyDescent="0.2">
      <c r="A2407" s="2">
        <v>2025</v>
      </c>
      <c r="B2407" s="2">
        <v>12</v>
      </c>
      <c r="D2407" s="2" t="s">
        <v>2132</v>
      </c>
      <c r="M2407" s="2" t="s">
        <v>40</v>
      </c>
      <c r="P2407" s="2" t="s">
        <v>187</v>
      </c>
      <c r="Q2407" s="2" t="s">
        <v>191</v>
      </c>
      <c r="R2407" s="2" t="s">
        <v>190</v>
      </c>
      <c r="S2407" s="2">
        <v>2</v>
      </c>
      <c r="T2407" s="2">
        <v>100</v>
      </c>
      <c r="U2407" s="2">
        <v>23</v>
      </c>
      <c r="V2407" s="2">
        <v>123</v>
      </c>
      <c r="W2407" s="2">
        <f>T2407*50%</f>
        <v>50</v>
      </c>
      <c r="X2407" s="5">
        <f t="shared" si="341"/>
        <v>0.5</v>
      </c>
      <c r="Z2407" s="2" t="s">
        <v>117</v>
      </c>
      <c r="AA2407" s="2" t="s">
        <v>190</v>
      </c>
      <c r="AB2407" s="2" t="s">
        <v>190</v>
      </c>
      <c r="AC2407" s="2" t="s">
        <v>40</v>
      </c>
      <c r="AF2407" s="2">
        <f t="shared" si="336"/>
        <v>0</v>
      </c>
      <c r="AJ2407" s="2">
        <f t="shared" si="337"/>
        <v>0</v>
      </c>
      <c r="AK2407" s="2">
        <f t="shared" si="340"/>
        <v>50</v>
      </c>
      <c r="AL2407" s="5">
        <f t="shared" si="342"/>
        <v>0.5</v>
      </c>
    </row>
    <row r="2408" spans="1:38" x14ac:dyDescent="0.2">
      <c r="A2408" s="2">
        <v>2025</v>
      </c>
      <c r="B2408" s="2">
        <v>12</v>
      </c>
      <c r="C2408" s="2" t="s">
        <v>3443</v>
      </c>
      <c r="D2408" s="2" t="s">
        <v>1887</v>
      </c>
      <c r="E2408" s="2" t="s">
        <v>38</v>
      </c>
      <c r="F2408" s="2" t="s">
        <v>39</v>
      </c>
      <c r="L2408" s="2" t="s">
        <v>461</v>
      </c>
      <c r="M2408" s="2" t="s">
        <v>80</v>
      </c>
      <c r="P2408" s="2" t="s">
        <v>84</v>
      </c>
      <c r="Q2408" s="2" t="s">
        <v>276</v>
      </c>
      <c r="R2408" s="2" t="s">
        <v>277</v>
      </c>
      <c r="S2408" s="2">
        <v>1</v>
      </c>
      <c r="T2408" s="2">
        <v>6</v>
      </c>
      <c r="U2408" s="2">
        <v>1.38</v>
      </c>
      <c r="V2408" s="2">
        <v>7.38</v>
      </c>
      <c r="W2408" s="2">
        <v>2.5051000000000001</v>
      </c>
      <c r="X2408" s="5">
        <f t="shared" si="341"/>
        <v>0.58248333333333335</v>
      </c>
      <c r="Z2408" s="2" t="s">
        <v>3227</v>
      </c>
      <c r="AA2408" s="2" t="s">
        <v>87</v>
      </c>
      <c r="AB2408" s="2" t="s">
        <v>90</v>
      </c>
      <c r="AC2408" s="2" t="s">
        <v>84</v>
      </c>
      <c r="AF2408" s="2">
        <f t="shared" si="336"/>
        <v>0</v>
      </c>
      <c r="AJ2408" s="2">
        <f t="shared" si="337"/>
        <v>0</v>
      </c>
      <c r="AK2408" s="2">
        <f t="shared" si="340"/>
        <v>3.4948999999999999</v>
      </c>
      <c r="AL2408" s="5">
        <f t="shared" si="342"/>
        <v>0.58248333333333335</v>
      </c>
    </row>
    <row r="2409" spans="1:38" x14ac:dyDescent="0.2">
      <c r="A2409" s="2">
        <v>2025</v>
      </c>
      <c r="B2409" s="2">
        <v>12</v>
      </c>
      <c r="D2409" s="2" t="s">
        <v>775</v>
      </c>
      <c r="E2409" s="2" t="s">
        <v>38</v>
      </c>
      <c r="F2409" s="2" t="s">
        <v>39</v>
      </c>
      <c r="G2409" s="2">
        <v>507324560</v>
      </c>
      <c r="H2409" s="2" t="s">
        <v>40</v>
      </c>
      <c r="I2409" s="2" t="s">
        <v>776</v>
      </c>
      <c r="J2409" s="2" t="s">
        <v>777</v>
      </c>
      <c r="L2409" s="2" t="s">
        <v>339</v>
      </c>
      <c r="M2409" s="2" t="s">
        <v>40</v>
      </c>
      <c r="O2409" s="2" t="s">
        <v>2133</v>
      </c>
      <c r="P2409" s="2" t="s">
        <v>187</v>
      </c>
      <c r="Q2409" s="2" t="s">
        <v>188</v>
      </c>
      <c r="R2409" s="2" t="s">
        <v>189</v>
      </c>
      <c r="S2409" s="2">
        <v>1</v>
      </c>
      <c r="T2409" s="2">
        <v>50</v>
      </c>
      <c r="U2409" s="2">
        <v>11.5</v>
      </c>
      <c r="V2409" s="2">
        <v>61.5</v>
      </c>
      <c r="W2409" s="2">
        <f>T2409*40%</f>
        <v>20</v>
      </c>
      <c r="X2409" s="5">
        <f t="shared" si="341"/>
        <v>0.6</v>
      </c>
      <c r="Z2409" s="2" t="s">
        <v>117</v>
      </c>
      <c r="AA2409" s="2" t="s">
        <v>190</v>
      </c>
      <c r="AB2409" s="2" t="s">
        <v>189</v>
      </c>
      <c r="AC2409" s="2" t="s">
        <v>40</v>
      </c>
      <c r="AF2409" s="2">
        <f t="shared" si="336"/>
        <v>0</v>
      </c>
      <c r="AJ2409" s="2">
        <f t="shared" si="337"/>
        <v>0</v>
      </c>
      <c r="AK2409" s="2">
        <f t="shared" si="340"/>
        <v>30</v>
      </c>
      <c r="AL2409" s="5">
        <f t="shared" si="342"/>
        <v>0.6</v>
      </c>
    </row>
    <row r="2410" spans="1:38" x14ac:dyDescent="0.2">
      <c r="A2410" s="2">
        <v>2025</v>
      </c>
      <c r="B2410" s="2">
        <v>12</v>
      </c>
      <c r="D2410" s="2" t="s">
        <v>775</v>
      </c>
      <c r="E2410" s="2" t="s">
        <v>38</v>
      </c>
      <c r="F2410" s="2" t="s">
        <v>39</v>
      </c>
      <c r="G2410" s="2">
        <v>507324560</v>
      </c>
      <c r="H2410" s="2" t="s">
        <v>40</v>
      </c>
      <c r="I2410" s="2" t="s">
        <v>776</v>
      </c>
      <c r="J2410" s="2" t="s">
        <v>777</v>
      </c>
      <c r="L2410" s="2" t="s">
        <v>339</v>
      </c>
      <c r="M2410" s="2" t="s">
        <v>40</v>
      </c>
      <c r="O2410" s="2" t="s">
        <v>2133</v>
      </c>
      <c r="P2410" s="2" t="s">
        <v>187</v>
      </c>
      <c r="Q2410" s="2" t="s">
        <v>191</v>
      </c>
      <c r="R2410" s="2" t="s">
        <v>190</v>
      </c>
      <c r="S2410" s="2">
        <v>1.25</v>
      </c>
      <c r="T2410" s="2">
        <v>62.5</v>
      </c>
      <c r="U2410" s="2">
        <v>14.375</v>
      </c>
      <c r="V2410" s="2">
        <v>76.875</v>
      </c>
      <c r="W2410" s="2">
        <f>T2410*50%</f>
        <v>31.25</v>
      </c>
      <c r="X2410" s="5">
        <f t="shared" si="341"/>
        <v>0.5</v>
      </c>
      <c r="Z2410" s="2" t="s">
        <v>117</v>
      </c>
      <c r="AA2410" s="2" t="s">
        <v>190</v>
      </c>
      <c r="AB2410" s="2" t="s">
        <v>190</v>
      </c>
      <c r="AC2410" s="2" t="s">
        <v>40</v>
      </c>
      <c r="AF2410" s="2">
        <f t="shared" si="336"/>
        <v>0</v>
      </c>
      <c r="AJ2410" s="2">
        <f t="shared" si="337"/>
        <v>0</v>
      </c>
      <c r="AK2410" s="2">
        <f t="shared" si="340"/>
        <v>31.25</v>
      </c>
      <c r="AL2410" s="5">
        <f t="shared" si="342"/>
        <v>0.5</v>
      </c>
    </row>
    <row r="2411" spans="1:38" x14ac:dyDescent="0.2">
      <c r="A2411" s="2">
        <v>2025</v>
      </c>
      <c r="B2411" s="2">
        <v>12</v>
      </c>
      <c r="D2411" s="2" t="s">
        <v>2008</v>
      </c>
      <c r="E2411" s="2" t="s">
        <v>38</v>
      </c>
      <c r="F2411" s="2" t="s">
        <v>39</v>
      </c>
      <c r="L2411" s="2" t="s">
        <v>571</v>
      </c>
      <c r="M2411" s="2" t="s">
        <v>40</v>
      </c>
      <c r="P2411" s="2" t="s">
        <v>114</v>
      </c>
      <c r="Q2411" s="2" t="s">
        <v>373</v>
      </c>
      <c r="R2411" s="2" t="s">
        <v>374</v>
      </c>
      <c r="S2411" s="2">
        <v>1</v>
      </c>
      <c r="T2411" s="2">
        <v>48.95</v>
      </c>
      <c r="U2411" s="2">
        <v>11.2585</v>
      </c>
      <c r="V2411" s="2">
        <v>60.208500000000001</v>
      </c>
      <c r="W2411" s="2">
        <f>23.042*S2411</f>
        <v>23.042000000000002</v>
      </c>
      <c r="X2411" s="5">
        <f t="shared" si="341"/>
        <v>0.52927477017364655</v>
      </c>
      <c r="Z2411" s="2" t="s">
        <v>117</v>
      </c>
      <c r="AA2411" s="2" t="s">
        <v>118</v>
      </c>
      <c r="AB2411" s="2" t="s">
        <v>119</v>
      </c>
      <c r="AC2411" s="2" t="s">
        <v>114</v>
      </c>
      <c r="AF2411" s="2">
        <f t="shared" si="336"/>
        <v>0</v>
      </c>
      <c r="AJ2411" s="2">
        <f t="shared" si="337"/>
        <v>0</v>
      </c>
      <c r="AK2411" s="2">
        <f t="shared" si="340"/>
        <v>25.908000000000001</v>
      </c>
      <c r="AL2411" s="5">
        <f t="shared" si="342"/>
        <v>0.52927477017364655</v>
      </c>
    </row>
    <row r="2412" spans="1:38" x14ac:dyDescent="0.2">
      <c r="A2412" s="2">
        <v>2025</v>
      </c>
      <c r="B2412" s="2">
        <v>12</v>
      </c>
      <c r="D2412" s="2" t="s">
        <v>2008</v>
      </c>
      <c r="E2412" s="2" t="s">
        <v>38</v>
      </c>
      <c r="F2412" s="2" t="s">
        <v>39</v>
      </c>
      <c r="L2412" s="2" t="s">
        <v>571</v>
      </c>
      <c r="M2412" s="2" t="s">
        <v>80</v>
      </c>
      <c r="P2412" s="2" t="s">
        <v>72</v>
      </c>
      <c r="Q2412" s="2" t="s">
        <v>557</v>
      </c>
      <c r="R2412" s="2" t="s">
        <v>307</v>
      </c>
      <c r="S2412" s="2">
        <v>1</v>
      </c>
      <c r="T2412" s="2">
        <v>210</v>
      </c>
      <c r="U2412" s="2">
        <v>48.3</v>
      </c>
      <c r="V2412" s="2">
        <v>258.3</v>
      </c>
      <c r="W2412" s="2">
        <v>122.446</v>
      </c>
      <c r="X2412" s="5">
        <f t="shared" si="341"/>
        <v>0.41692380952380953</v>
      </c>
      <c r="Z2412" s="2" t="s">
        <v>3227</v>
      </c>
      <c r="AA2412" s="2" t="s">
        <v>75</v>
      </c>
      <c r="AB2412" s="2" t="s">
        <v>76</v>
      </c>
      <c r="AC2412" s="2" t="s">
        <v>77</v>
      </c>
      <c r="AF2412" s="2">
        <f t="shared" si="336"/>
        <v>0</v>
      </c>
      <c r="AG2412" s="2">
        <v>122.446</v>
      </c>
      <c r="AH2412" s="2">
        <v>230</v>
      </c>
      <c r="AJ2412" s="2">
        <f t="shared" si="337"/>
        <v>0</v>
      </c>
      <c r="AK2412" s="2">
        <f t="shared" si="340"/>
        <v>87.554000000000002</v>
      </c>
      <c r="AL2412" s="5">
        <f t="shared" si="342"/>
        <v>0.41692380952380953</v>
      </c>
    </row>
    <row r="2413" spans="1:38" x14ac:dyDescent="0.2">
      <c r="A2413" s="2">
        <v>2025</v>
      </c>
      <c r="B2413" s="2">
        <v>12</v>
      </c>
      <c r="D2413" s="2" t="s">
        <v>2008</v>
      </c>
      <c r="E2413" s="2" t="s">
        <v>38</v>
      </c>
      <c r="F2413" s="2" t="s">
        <v>39</v>
      </c>
      <c r="L2413" s="2" t="s">
        <v>571</v>
      </c>
      <c r="M2413" s="2" t="s">
        <v>80</v>
      </c>
      <c r="P2413" s="2" t="s">
        <v>1038</v>
      </c>
      <c r="Q2413" s="2" t="s">
        <v>2134</v>
      </c>
      <c r="R2413" s="2" t="s">
        <v>2135</v>
      </c>
      <c r="S2413" s="2">
        <v>1</v>
      </c>
      <c r="T2413" s="2">
        <v>230</v>
      </c>
      <c r="U2413" s="2">
        <v>52.900000000000013</v>
      </c>
      <c r="V2413" s="2">
        <v>282.89999999999998</v>
      </c>
      <c r="W2413" s="2">
        <v>141.16</v>
      </c>
      <c r="X2413" s="5">
        <f t="shared" si="341"/>
        <v>0.38626086956521738</v>
      </c>
      <c r="Z2413" s="2" t="s">
        <v>3227</v>
      </c>
      <c r="AA2413" s="2" t="s">
        <v>75</v>
      </c>
      <c r="AB2413" s="2" t="s">
        <v>76</v>
      </c>
      <c r="AC2413" s="2" t="s">
        <v>1038</v>
      </c>
      <c r="AF2413" s="2">
        <f t="shared" si="336"/>
        <v>0</v>
      </c>
      <c r="AJ2413" s="2">
        <f t="shared" si="337"/>
        <v>0</v>
      </c>
      <c r="AK2413" s="2">
        <f t="shared" si="340"/>
        <v>88.84</v>
      </c>
      <c r="AL2413" s="5">
        <f t="shared" si="342"/>
        <v>0.38626086956521738</v>
      </c>
    </row>
    <row r="2414" spans="1:38" x14ac:dyDescent="0.2">
      <c r="A2414" s="2">
        <v>2025</v>
      </c>
      <c r="B2414" s="2">
        <v>12</v>
      </c>
      <c r="D2414" s="2" t="s">
        <v>2008</v>
      </c>
      <c r="E2414" s="2" t="s">
        <v>38</v>
      </c>
      <c r="F2414" s="2" t="s">
        <v>39</v>
      </c>
      <c r="L2414" s="2" t="s">
        <v>571</v>
      </c>
      <c r="M2414" s="2" t="s">
        <v>80</v>
      </c>
      <c r="P2414" s="2" t="s">
        <v>169</v>
      </c>
      <c r="Q2414" s="2" t="s">
        <v>170</v>
      </c>
      <c r="R2414" s="2" t="s">
        <v>170</v>
      </c>
      <c r="S2414" s="2">
        <v>1</v>
      </c>
      <c r="T2414" s="2">
        <v>40</v>
      </c>
      <c r="U2414" s="2">
        <v>9.2000000000000011</v>
      </c>
      <c r="V2414" s="2">
        <v>49.2</v>
      </c>
      <c r="W2414" s="2">
        <v>30</v>
      </c>
      <c r="X2414" s="5">
        <f t="shared" si="341"/>
        <v>0.25</v>
      </c>
      <c r="Z2414" s="2" t="s">
        <v>169</v>
      </c>
      <c r="AA2414" s="2" t="s">
        <v>169</v>
      </c>
      <c r="AF2414" s="2">
        <f t="shared" si="336"/>
        <v>0</v>
      </c>
      <c r="AJ2414" s="2">
        <f t="shared" si="337"/>
        <v>0</v>
      </c>
      <c r="AK2414" s="2">
        <f t="shared" si="340"/>
        <v>10</v>
      </c>
      <c r="AL2414" s="5">
        <f t="shared" si="342"/>
        <v>0.25</v>
      </c>
    </row>
    <row r="2415" spans="1:38" x14ac:dyDescent="0.2">
      <c r="A2415" s="2">
        <v>2025</v>
      </c>
      <c r="B2415" s="2">
        <v>12</v>
      </c>
      <c r="D2415" s="2" t="s">
        <v>2008</v>
      </c>
      <c r="E2415" s="2" t="s">
        <v>38</v>
      </c>
      <c r="F2415" s="2" t="s">
        <v>39</v>
      </c>
      <c r="L2415" s="2" t="s">
        <v>571</v>
      </c>
      <c r="M2415" s="2" t="s">
        <v>80</v>
      </c>
      <c r="P2415" s="2" t="s">
        <v>93</v>
      </c>
      <c r="Q2415" s="2" t="s">
        <v>94</v>
      </c>
      <c r="R2415" s="2" t="s">
        <v>95</v>
      </c>
      <c r="S2415" s="2">
        <v>2</v>
      </c>
      <c r="T2415" s="2">
        <v>2.2799999999999998</v>
      </c>
      <c r="U2415" s="2">
        <v>0.52439999999999998</v>
      </c>
      <c r="V2415" s="2">
        <v>2.8043999999999998</v>
      </c>
      <c r="W2415" s="2">
        <v>2.2799999999999998</v>
      </c>
      <c r="X2415" s="5">
        <f t="shared" si="341"/>
        <v>0</v>
      </c>
      <c r="Z2415" s="2" t="s">
        <v>3227</v>
      </c>
      <c r="AA2415" s="2" t="s">
        <v>96</v>
      </c>
      <c r="AB2415" s="2" t="s">
        <v>76</v>
      </c>
      <c r="AC2415" s="2" t="s">
        <v>93</v>
      </c>
      <c r="AF2415" s="2">
        <f t="shared" si="336"/>
        <v>0</v>
      </c>
      <c r="AJ2415" s="2">
        <f t="shared" si="337"/>
        <v>0</v>
      </c>
      <c r="AK2415" s="2">
        <f t="shared" si="340"/>
        <v>0</v>
      </c>
      <c r="AL2415" s="5">
        <f t="shared" si="342"/>
        <v>0</v>
      </c>
    </row>
    <row r="2416" spans="1:38" x14ac:dyDescent="0.2">
      <c r="A2416" s="2">
        <v>2025</v>
      </c>
      <c r="B2416" s="2">
        <v>12</v>
      </c>
      <c r="D2416" s="2" t="s">
        <v>1009</v>
      </c>
      <c r="E2416" s="2" t="s">
        <v>108</v>
      </c>
      <c r="F2416" s="2" t="s">
        <v>39</v>
      </c>
      <c r="G2416" s="2">
        <v>507063481</v>
      </c>
      <c r="H2416" s="2" t="s">
        <v>290</v>
      </c>
      <c r="I2416" s="2" t="s">
        <v>1010</v>
      </c>
      <c r="J2416" s="2" t="s">
        <v>1011</v>
      </c>
      <c r="L2416" s="2" t="s">
        <v>293</v>
      </c>
      <c r="M2416" s="2" t="s">
        <v>80</v>
      </c>
      <c r="P2416" s="2" t="s">
        <v>72</v>
      </c>
      <c r="Q2416" s="2" t="s">
        <v>73</v>
      </c>
      <c r="R2416" s="2" t="s">
        <v>74</v>
      </c>
      <c r="S2416" s="2">
        <v>1</v>
      </c>
      <c r="T2416" s="2">
        <v>220</v>
      </c>
      <c r="U2416" s="2">
        <v>50.6</v>
      </c>
      <c r="V2416" s="2">
        <v>270.60000000000002</v>
      </c>
      <c r="W2416" s="2">
        <v>117.453</v>
      </c>
      <c r="X2416" s="5">
        <f t="shared" si="341"/>
        <v>0.46612272727272724</v>
      </c>
      <c r="Z2416" s="2" t="s">
        <v>3227</v>
      </c>
      <c r="AA2416" s="2" t="s">
        <v>75</v>
      </c>
      <c r="AB2416" s="2" t="s">
        <v>76</v>
      </c>
      <c r="AC2416" s="2" t="s">
        <v>77</v>
      </c>
      <c r="AF2416" s="2">
        <f t="shared" si="336"/>
        <v>0</v>
      </c>
      <c r="AG2416" s="2">
        <v>117.453</v>
      </c>
      <c r="AH2416" s="2">
        <v>220</v>
      </c>
      <c r="AJ2416" s="2">
        <f t="shared" si="337"/>
        <v>0</v>
      </c>
      <c r="AK2416" s="2">
        <f t="shared" ref="AK2416:AK2450" si="343">T2416-W2416</f>
        <v>102.547</v>
      </c>
      <c r="AL2416" s="5">
        <f t="shared" si="342"/>
        <v>0.46612272727272724</v>
      </c>
    </row>
    <row r="2417" spans="1:38" x14ac:dyDescent="0.2">
      <c r="A2417" s="2">
        <v>2025</v>
      </c>
      <c r="B2417" s="2">
        <v>12</v>
      </c>
      <c r="D2417" s="2" t="s">
        <v>1009</v>
      </c>
      <c r="E2417" s="2" t="s">
        <v>108</v>
      </c>
      <c r="F2417" s="2" t="s">
        <v>39</v>
      </c>
      <c r="G2417" s="2">
        <v>507063481</v>
      </c>
      <c r="H2417" s="2" t="s">
        <v>290</v>
      </c>
      <c r="I2417" s="2" t="s">
        <v>1010</v>
      </c>
      <c r="J2417" s="2" t="s">
        <v>1011</v>
      </c>
      <c r="L2417" s="2" t="s">
        <v>293</v>
      </c>
      <c r="M2417" s="2" t="s">
        <v>40</v>
      </c>
      <c r="P2417" s="2" t="s">
        <v>187</v>
      </c>
      <c r="Q2417" s="2" t="s">
        <v>188</v>
      </c>
      <c r="R2417" s="2" t="s">
        <v>189</v>
      </c>
      <c r="S2417" s="2">
        <v>1</v>
      </c>
      <c r="T2417" s="2">
        <v>41.25</v>
      </c>
      <c r="U2417" s="2">
        <v>9.4875000000000007</v>
      </c>
      <c r="V2417" s="2">
        <v>50.737499999999997</v>
      </c>
      <c r="W2417" s="2">
        <f>T2417*40%</f>
        <v>16.5</v>
      </c>
      <c r="X2417" s="5">
        <f t="shared" si="341"/>
        <v>0.6</v>
      </c>
      <c r="Z2417" s="2" t="s">
        <v>117</v>
      </c>
      <c r="AA2417" s="2" t="s">
        <v>190</v>
      </c>
      <c r="AB2417" s="2" t="s">
        <v>189</v>
      </c>
      <c r="AC2417" s="2" t="s">
        <v>40</v>
      </c>
      <c r="AF2417" s="2">
        <f t="shared" si="336"/>
        <v>0</v>
      </c>
      <c r="AJ2417" s="2">
        <f t="shared" si="337"/>
        <v>0</v>
      </c>
      <c r="AK2417" s="2">
        <f t="shared" si="343"/>
        <v>24.75</v>
      </c>
      <c r="AL2417" s="5">
        <f t="shared" si="342"/>
        <v>0.6</v>
      </c>
    </row>
    <row r="2418" spans="1:38" x14ac:dyDescent="0.2">
      <c r="A2418" s="2">
        <v>2025</v>
      </c>
      <c r="B2418" s="2">
        <v>12</v>
      </c>
      <c r="D2418" s="2" t="s">
        <v>1009</v>
      </c>
      <c r="E2418" s="2" t="s">
        <v>108</v>
      </c>
      <c r="F2418" s="2" t="s">
        <v>39</v>
      </c>
      <c r="G2418" s="2">
        <v>507063481</v>
      </c>
      <c r="H2418" s="2" t="s">
        <v>290</v>
      </c>
      <c r="I2418" s="2" t="s">
        <v>1010</v>
      </c>
      <c r="J2418" s="2" t="s">
        <v>1011</v>
      </c>
      <c r="L2418" s="2" t="s">
        <v>293</v>
      </c>
      <c r="M2418" s="2" t="s">
        <v>40</v>
      </c>
      <c r="P2418" s="2" t="s">
        <v>187</v>
      </c>
      <c r="Q2418" s="2" t="s">
        <v>191</v>
      </c>
      <c r="R2418" s="2" t="s">
        <v>190</v>
      </c>
      <c r="S2418" s="2">
        <v>1</v>
      </c>
      <c r="T2418" s="2">
        <v>45</v>
      </c>
      <c r="U2418" s="2">
        <v>10.35</v>
      </c>
      <c r="V2418" s="2">
        <v>55.35</v>
      </c>
      <c r="W2418" s="2">
        <f>T2418*50%</f>
        <v>22.5</v>
      </c>
      <c r="X2418" s="5">
        <f t="shared" si="341"/>
        <v>0.5</v>
      </c>
      <c r="Z2418" s="2" t="s">
        <v>117</v>
      </c>
      <c r="AA2418" s="2" t="s">
        <v>190</v>
      </c>
      <c r="AB2418" s="2" t="s">
        <v>190</v>
      </c>
      <c r="AC2418" s="2" t="s">
        <v>40</v>
      </c>
      <c r="AF2418" s="2">
        <f t="shared" si="336"/>
        <v>0</v>
      </c>
      <c r="AJ2418" s="2">
        <f t="shared" si="337"/>
        <v>0</v>
      </c>
      <c r="AK2418" s="2">
        <f t="shared" si="343"/>
        <v>22.5</v>
      </c>
      <c r="AL2418" s="5">
        <f t="shared" si="342"/>
        <v>0.5</v>
      </c>
    </row>
    <row r="2419" spans="1:38" x14ac:dyDescent="0.2">
      <c r="A2419" s="2">
        <v>2025</v>
      </c>
      <c r="B2419" s="2">
        <v>12</v>
      </c>
      <c r="D2419" s="2" t="s">
        <v>1009</v>
      </c>
      <c r="E2419" s="2" t="s">
        <v>108</v>
      </c>
      <c r="F2419" s="2" t="s">
        <v>39</v>
      </c>
      <c r="G2419" s="2">
        <v>507063481</v>
      </c>
      <c r="H2419" s="2" t="s">
        <v>290</v>
      </c>
      <c r="I2419" s="2" t="s">
        <v>1010</v>
      </c>
      <c r="J2419" s="2" t="s">
        <v>1011</v>
      </c>
      <c r="L2419" s="2" t="s">
        <v>293</v>
      </c>
      <c r="M2419" s="2" t="s">
        <v>80</v>
      </c>
      <c r="P2419" s="2" t="s">
        <v>93</v>
      </c>
      <c r="Q2419" s="2" t="s">
        <v>94</v>
      </c>
      <c r="R2419" s="2" t="s">
        <v>95</v>
      </c>
      <c r="S2419" s="2">
        <v>1</v>
      </c>
      <c r="T2419" s="2">
        <v>1.1399999999999999</v>
      </c>
      <c r="U2419" s="2">
        <v>0.26219999999999999</v>
      </c>
      <c r="V2419" s="2">
        <v>1.4021999999999999</v>
      </c>
      <c r="W2419" s="2">
        <v>1.1399999999999999</v>
      </c>
      <c r="X2419" s="5">
        <f t="shared" si="341"/>
        <v>0</v>
      </c>
      <c r="Z2419" s="2" t="s">
        <v>3227</v>
      </c>
      <c r="AA2419" s="2" t="s">
        <v>96</v>
      </c>
      <c r="AB2419" s="2" t="s">
        <v>76</v>
      </c>
      <c r="AC2419" s="2" t="s">
        <v>93</v>
      </c>
      <c r="AF2419" s="2">
        <f t="shared" si="336"/>
        <v>0</v>
      </c>
      <c r="AJ2419" s="2">
        <f t="shared" si="337"/>
        <v>0</v>
      </c>
      <c r="AK2419" s="2">
        <f t="shared" si="343"/>
        <v>0</v>
      </c>
      <c r="AL2419" s="5">
        <f t="shared" si="342"/>
        <v>0</v>
      </c>
    </row>
    <row r="2420" spans="1:38" x14ac:dyDescent="0.2">
      <c r="A2420" s="2">
        <v>2025</v>
      </c>
      <c r="B2420" s="2">
        <v>12</v>
      </c>
      <c r="D2420" s="2" t="s">
        <v>1009</v>
      </c>
      <c r="E2420" s="2" t="s">
        <v>108</v>
      </c>
      <c r="F2420" s="2" t="s">
        <v>39</v>
      </c>
      <c r="G2420" s="2">
        <v>507063481</v>
      </c>
      <c r="H2420" s="2" t="s">
        <v>290</v>
      </c>
      <c r="I2420" s="2" t="s">
        <v>1010</v>
      </c>
      <c r="J2420" s="2" t="s">
        <v>1011</v>
      </c>
      <c r="L2420" s="2" t="s">
        <v>293</v>
      </c>
      <c r="P2420" s="2" t="s">
        <v>40</v>
      </c>
      <c r="Q2420" s="2" t="s">
        <v>363</v>
      </c>
      <c r="R2420" s="2" t="s">
        <v>364</v>
      </c>
      <c r="S2420" s="2">
        <v>1</v>
      </c>
      <c r="T2420" s="2">
        <v>28.5</v>
      </c>
      <c r="U2420" s="2">
        <v>6.5550000000000006</v>
      </c>
      <c r="V2420" s="2">
        <v>35.055</v>
      </c>
      <c r="X2420" s="5">
        <f t="shared" si="341"/>
        <v>1</v>
      </c>
      <c r="Z2420" s="2" t="s">
        <v>119</v>
      </c>
      <c r="AA2420" s="2" t="s">
        <v>3380</v>
      </c>
      <c r="AF2420" s="2">
        <f t="shared" si="336"/>
        <v>0</v>
      </c>
      <c r="AJ2420" s="2">
        <f t="shared" si="337"/>
        <v>0</v>
      </c>
      <c r="AK2420" s="2">
        <f t="shared" si="343"/>
        <v>28.5</v>
      </c>
      <c r="AL2420" s="5">
        <f t="shared" si="342"/>
        <v>1</v>
      </c>
    </row>
    <row r="2421" spans="1:38" x14ac:dyDescent="0.2">
      <c r="A2421" s="2">
        <v>2025</v>
      </c>
      <c r="B2421" s="2">
        <v>12</v>
      </c>
      <c r="D2421" s="2" t="s">
        <v>403</v>
      </c>
      <c r="E2421" s="2" t="s">
        <v>38</v>
      </c>
      <c r="F2421" s="2" t="s">
        <v>39</v>
      </c>
      <c r="G2421" s="2">
        <v>109095197</v>
      </c>
      <c r="H2421" s="2" t="s">
        <v>40</v>
      </c>
      <c r="I2421" s="2" t="s">
        <v>2476</v>
      </c>
      <c r="J2421" s="2" t="s">
        <v>3123</v>
      </c>
      <c r="K2421" s="2">
        <v>965864665</v>
      </c>
      <c r="L2421" s="2" t="s">
        <v>344</v>
      </c>
      <c r="M2421" s="2" t="s">
        <v>40</v>
      </c>
      <c r="O2421" s="2" t="s">
        <v>3128</v>
      </c>
      <c r="P2421" s="2" t="s">
        <v>114</v>
      </c>
      <c r="Q2421" s="2" t="s">
        <v>412</v>
      </c>
      <c r="R2421" s="2" t="s">
        <v>413</v>
      </c>
      <c r="S2421" s="2">
        <v>1</v>
      </c>
      <c r="T2421" s="2">
        <v>14990</v>
      </c>
      <c r="U2421" s="2">
        <v>3447.7</v>
      </c>
      <c r="V2421" s="2">
        <v>18437.7</v>
      </c>
      <c r="W2421" s="2">
        <v>10669.4</v>
      </c>
      <c r="X2421" s="5">
        <f t="shared" si="341"/>
        <v>0.28823215476984659</v>
      </c>
      <c r="Z2421" s="2" t="s">
        <v>104</v>
      </c>
      <c r="AA2421" s="2" t="s">
        <v>414</v>
      </c>
      <c r="AB2421" s="2" t="s">
        <v>151</v>
      </c>
      <c r="AC2421" s="2" t="s">
        <v>114</v>
      </c>
      <c r="AF2421" s="2">
        <f t="shared" si="336"/>
        <v>0</v>
      </c>
      <c r="AG2421" s="2">
        <v>10669.4</v>
      </c>
      <c r="AJ2421" s="2">
        <f t="shared" si="337"/>
        <v>0</v>
      </c>
      <c r="AK2421" s="2">
        <f t="shared" si="343"/>
        <v>4320.6000000000004</v>
      </c>
      <c r="AL2421" s="5">
        <f t="shared" si="342"/>
        <v>0.28823215476984659</v>
      </c>
    </row>
    <row r="2422" spans="1:38" x14ac:dyDescent="0.2">
      <c r="A2422" s="2">
        <v>2025</v>
      </c>
      <c r="B2422" s="2">
        <v>12</v>
      </c>
      <c r="D2422" s="2" t="s">
        <v>415</v>
      </c>
      <c r="E2422" s="2" t="s">
        <v>38</v>
      </c>
      <c r="F2422" s="2" t="s">
        <v>39</v>
      </c>
      <c r="G2422" s="2">
        <v>219908800</v>
      </c>
      <c r="H2422" s="2" t="s">
        <v>41</v>
      </c>
      <c r="I2422" s="2" t="s">
        <v>416</v>
      </c>
      <c r="J2422" s="2" t="s">
        <v>417</v>
      </c>
      <c r="L2422" s="2" t="s">
        <v>418</v>
      </c>
      <c r="M2422" s="2" t="s">
        <v>40</v>
      </c>
      <c r="P2422" s="2" t="s">
        <v>114</v>
      </c>
      <c r="Q2422" s="2" t="s">
        <v>373</v>
      </c>
      <c r="R2422" s="2" t="s">
        <v>374</v>
      </c>
      <c r="S2422" s="2">
        <v>1</v>
      </c>
      <c r="T2422" s="2">
        <v>48.95</v>
      </c>
      <c r="U2422" s="2">
        <v>11.2585</v>
      </c>
      <c r="V2422" s="2">
        <v>60.208500000000001</v>
      </c>
      <c r="W2422" s="2">
        <f>23.042*S2422</f>
        <v>23.042000000000002</v>
      </c>
      <c r="X2422" s="5">
        <f t="shared" si="341"/>
        <v>0.52927477017364655</v>
      </c>
      <c r="Z2422" s="2" t="s">
        <v>117</v>
      </c>
      <c r="AA2422" s="2" t="s">
        <v>118</v>
      </c>
      <c r="AB2422" s="2" t="s">
        <v>119</v>
      </c>
      <c r="AC2422" s="2" t="s">
        <v>114</v>
      </c>
      <c r="AF2422" s="2">
        <f t="shared" si="336"/>
        <v>0</v>
      </c>
      <c r="AJ2422" s="2">
        <f t="shared" si="337"/>
        <v>0</v>
      </c>
      <c r="AK2422" s="2">
        <f t="shared" si="343"/>
        <v>25.908000000000001</v>
      </c>
      <c r="AL2422" s="5">
        <f t="shared" si="342"/>
        <v>0.52927477017364655</v>
      </c>
    </row>
    <row r="2423" spans="1:38" x14ac:dyDescent="0.2">
      <c r="A2423" s="2">
        <v>2025</v>
      </c>
      <c r="B2423" s="2">
        <v>12</v>
      </c>
      <c r="D2423" s="2" t="s">
        <v>415</v>
      </c>
      <c r="E2423" s="2" t="s">
        <v>38</v>
      </c>
      <c r="F2423" s="2" t="s">
        <v>39</v>
      </c>
      <c r="G2423" s="2">
        <v>219908800</v>
      </c>
      <c r="H2423" s="2" t="s">
        <v>41</v>
      </c>
      <c r="I2423" s="2" t="s">
        <v>416</v>
      </c>
      <c r="J2423" s="2" t="s">
        <v>417</v>
      </c>
      <c r="L2423" s="2" t="s">
        <v>418</v>
      </c>
      <c r="M2423" s="2" t="s">
        <v>41</v>
      </c>
      <c r="P2423" s="2" t="s">
        <v>43</v>
      </c>
      <c r="Q2423" s="2" t="s">
        <v>420</v>
      </c>
      <c r="R2423" s="2" t="s">
        <v>421</v>
      </c>
      <c r="S2423" s="2">
        <v>8</v>
      </c>
      <c r="T2423" s="2">
        <v>52.8</v>
      </c>
      <c r="U2423" s="2">
        <v>12.144</v>
      </c>
      <c r="V2423" s="2">
        <v>64.944000000000003</v>
      </c>
      <c r="W2423" s="2">
        <f>3.7556*S2423</f>
        <v>30.044799999999999</v>
      </c>
      <c r="X2423" s="5">
        <f t="shared" si="341"/>
        <v>0.43096969696969695</v>
      </c>
      <c r="Z2423" s="2" t="s">
        <v>3227</v>
      </c>
      <c r="AA2423" s="2" t="s">
        <v>46</v>
      </c>
      <c r="AB2423" s="2" t="s">
        <v>60</v>
      </c>
      <c r="AC2423" s="2" t="s">
        <v>57</v>
      </c>
      <c r="AF2423" s="2">
        <f t="shared" si="336"/>
        <v>0</v>
      </c>
      <c r="AG2423" s="2">
        <v>3.7555999999999998</v>
      </c>
      <c r="AH2423" s="2">
        <v>7.2</v>
      </c>
      <c r="AJ2423" s="2">
        <f t="shared" si="337"/>
        <v>0</v>
      </c>
      <c r="AK2423" s="2">
        <f t="shared" si="343"/>
        <v>22.755199999999999</v>
      </c>
      <c r="AL2423" s="5">
        <f t="shared" si="342"/>
        <v>0.43096969696969695</v>
      </c>
    </row>
    <row r="2424" spans="1:38" x14ac:dyDescent="0.2">
      <c r="A2424" s="2">
        <v>2025</v>
      </c>
      <c r="B2424" s="2">
        <v>12</v>
      </c>
      <c r="D2424" s="2" t="s">
        <v>415</v>
      </c>
      <c r="E2424" s="2" t="s">
        <v>38</v>
      </c>
      <c r="F2424" s="2" t="s">
        <v>39</v>
      </c>
      <c r="G2424" s="2">
        <v>219908800</v>
      </c>
      <c r="H2424" s="2" t="s">
        <v>41</v>
      </c>
      <c r="I2424" s="2" t="s">
        <v>416</v>
      </c>
      <c r="J2424" s="2" t="s">
        <v>417</v>
      </c>
      <c r="L2424" s="2" t="s">
        <v>418</v>
      </c>
      <c r="P2424" s="2" t="s">
        <v>169</v>
      </c>
      <c r="Q2424" s="2" t="s">
        <v>170</v>
      </c>
      <c r="R2424" s="2" t="s">
        <v>170</v>
      </c>
      <c r="S2424" s="2">
        <v>2</v>
      </c>
      <c r="T2424" s="2">
        <v>13.5</v>
      </c>
      <c r="U2424" s="2">
        <v>3.105</v>
      </c>
      <c r="V2424" s="2">
        <v>16.605</v>
      </c>
      <c r="W2424" s="2">
        <v>6</v>
      </c>
      <c r="X2424" s="5">
        <f t="shared" si="341"/>
        <v>0.55555555555555558</v>
      </c>
      <c r="Z2424" s="2" t="s">
        <v>169</v>
      </c>
      <c r="AA2424" s="2" t="s">
        <v>169</v>
      </c>
      <c r="AF2424" s="2">
        <f t="shared" si="336"/>
        <v>0</v>
      </c>
      <c r="AJ2424" s="2">
        <f t="shared" si="337"/>
        <v>0</v>
      </c>
      <c r="AK2424" s="2">
        <f t="shared" si="343"/>
        <v>7.5</v>
      </c>
      <c r="AL2424" s="5">
        <f t="shared" si="342"/>
        <v>0.55555555555555558</v>
      </c>
    </row>
    <row r="2425" spans="1:38" x14ac:dyDescent="0.2">
      <c r="A2425" s="2">
        <v>2025</v>
      </c>
      <c r="B2425" s="2">
        <v>12</v>
      </c>
      <c r="D2425" s="2" t="s">
        <v>422</v>
      </c>
      <c r="E2425" s="2" t="s">
        <v>98</v>
      </c>
      <c r="F2425" s="2" t="s">
        <v>39</v>
      </c>
      <c r="G2425" s="2">
        <v>503523470</v>
      </c>
      <c r="H2425" s="2" t="s">
        <v>40</v>
      </c>
      <c r="I2425" s="2" t="s">
        <v>423</v>
      </c>
      <c r="J2425" s="2" t="s">
        <v>424</v>
      </c>
      <c r="L2425" s="2" t="s">
        <v>201</v>
      </c>
      <c r="M2425" s="2" t="s">
        <v>80</v>
      </c>
      <c r="P2425" s="2" t="s">
        <v>43</v>
      </c>
      <c r="Q2425" s="2" t="s">
        <v>61</v>
      </c>
      <c r="R2425" s="2" t="s">
        <v>62</v>
      </c>
      <c r="S2425" s="2">
        <v>200</v>
      </c>
      <c r="T2425" s="2">
        <v>26</v>
      </c>
      <c r="U2425" s="2">
        <v>5.98</v>
      </c>
      <c r="V2425" s="2">
        <v>31.98</v>
      </c>
      <c r="W2425" s="2">
        <f>0.082*S2425</f>
        <v>16.400000000000002</v>
      </c>
      <c r="X2425" s="5">
        <f t="shared" si="341"/>
        <v>0.36923076923076914</v>
      </c>
      <c r="Z2425" s="2" t="s">
        <v>3227</v>
      </c>
      <c r="AA2425" s="2" t="s">
        <v>46</v>
      </c>
      <c r="AB2425" s="2" t="s">
        <v>60</v>
      </c>
      <c r="AC2425" s="2" t="s">
        <v>57</v>
      </c>
      <c r="AF2425" s="2">
        <f t="shared" si="336"/>
        <v>0</v>
      </c>
      <c r="AG2425" s="2">
        <v>8.1999999999999993</v>
      </c>
      <c r="AH2425" s="2">
        <v>13</v>
      </c>
      <c r="AJ2425" s="2">
        <f t="shared" si="337"/>
        <v>0</v>
      </c>
      <c r="AK2425" s="2">
        <f t="shared" si="343"/>
        <v>9.5999999999999979</v>
      </c>
      <c r="AL2425" s="5">
        <f t="shared" si="342"/>
        <v>0.36923076923076914</v>
      </c>
    </row>
    <row r="2426" spans="1:38" x14ac:dyDescent="0.2">
      <c r="A2426" s="2">
        <v>2025</v>
      </c>
      <c r="B2426" s="2">
        <v>12</v>
      </c>
      <c r="D2426" s="2" t="s">
        <v>425</v>
      </c>
      <c r="E2426" s="2" t="s">
        <v>98</v>
      </c>
      <c r="F2426" s="2" t="s">
        <v>39</v>
      </c>
      <c r="G2426" s="2">
        <v>510613888</v>
      </c>
      <c r="H2426" s="2" t="s">
        <v>40</v>
      </c>
      <c r="I2426" s="2" t="s">
        <v>426</v>
      </c>
      <c r="J2426" s="2" t="s">
        <v>427</v>
      </c>
      <c r="L2426" s="2" t="s">
        <v>99</v>
      </c>
      <c r="M2426" s="2" t="s">
        <v>80</v>
      </c>
      <c r="P2426" s="2" t="s">
        <v>43</v>
      </c>
      <c r="Q2426" s="2" t="s">
        <v>54</v>
      </c>
      <c r="R2426" s="2" t="s">
        <v>55</v>
      </c>
      <c r="S2426" s="2">
        <v>1</v>
      </c>
      <c r="T2426" s="2">
        <v>18</v>
      </c>
      <c r="U2426" s="2">
        <v>4.1400000000000006</v>
      </c>
      <c r="V2426" s="2">
        <v>22.14</v>
      </c>
      <c r="W2426" s="2">
        <f>10.6*S2426</f>
        <v>10.6</v>
      </c>
      <c r="X2426" s="5">
        <f t="shared" si="341"/>
        <v>0.41111111111111115</v>
      </c>
      <c r="Z2426" s="2" t="s">
        <v>3227</v>
      </c>
      <c r="AA2426" s="2" t="s">
        <v>46</v>
      </c>
      <c r="AB2426" s="2" t="s">
        <v>56</v>
      </c>
      <c r="AC2426" s="2" t="s">
        <v>57</v>
      </c>
      <c r="AF2426" s="2">
        <f t="shared" si="336"/>
        <v>0</v>
      </c>
      <c r="AG2426" s="2">
        <v>10.6</v>
      </c>
      <c r="AH2426" s="2">
        <v>18</v>
      </c>
      <c r="AJ2426" s="2">
        <f t="shared" si="337"/>
        <v>0</v>
      </c>
      <c r="AK2426" s="2">
        <f t="shared" si="343"/>
        <v>7.4</v>
      </c>
      <c r="AL2426" s="5">
        <f t="shared" si="342"/>
        <v>0.41111111111111115</v>
      </c>
    </row>
    <row r="2427" spans="1:38" x14ac:dyDescent="0.2">
      <c r="A2427" s="2">
        <v>2025</v>
      </c>
      <c r="B2427" s="2">
        <v>12</v>
      </c>
      <c r="D2427" s="2" t="s">
        <v>425</v>
      </c>
      <c r="E2427" s="2" t="s">
        <v>98</v>
      </c>
      <c r="F2427" s="2" t="s">
        <v>39</v>
      </c>
      <c r="G2427" s="2">
        <v>510613888</v>
      </c>
      <c r="H2427" s="2" t="s">
        <v>40</v>
      </c>
      <c r="I2427" s="2" t="s">
        <v>426</v>
      </c>
      <c r="J2427" s="2" t="s">
        <v>427</v>
      </c>
      <c r="L2427" s="2" t="s">
        <v>99</v>
      </c>
      <c r="M2427" s="2" t="s">
        <v>80</v>
      </c>
      <c r="P2427" s="2" t="s">
        <v>43</v>
      </c>
      <c r="Q2427" s="2" t="s">
        <v>61</v>
      </c>
      <c r="R2427" s="2" t="s">
        <v>62</v>
      </c>
      <c r="S2427" s="2">
        <v>100</v>
      </c>
      <c r="T2427" s="2">
        <v>13</v>
      </c>
      <c r="U2427" s="2">
        <v>2.99</v>
      </c>
      <c r="V2427" s="2">
        <v>15.99</v>
      </c>
      <c r="W2427" s="2">
        <f>0.082*S2427</f>
        <v>8.2000000000000011</v>
      </c>
      <c r="X2427" s="5">
        <f t="shared" ref="X2427:X2450" si="344">(T2427-W2427)/T2427</f>
        <v>0.36923076923076914</v>
      </c>
      <c r="Z2427" s="2" t="s">
        <v>3227</v>
      </c>
      <c r="AA2427" s="2" t="s">
        <v>46</v>
      </c>
      <c r="AB2427" s="2" t="s">
        <v>60</v>
      </c>
      <c r="AC2427" s="2" t="s">
        <v>57</v>
      </c>
      <c r="AF2427" s="2">
        <f t="shared" si="336"/>
        <v>0</v>
      </c>
      <c r="AG2427" s="2">
        <v>8.1999999999999993</v>
      </c>
      <c r="AH2427" s="2">
        <v>13</v>
      </c>
      <c r="AJ2427" s="2">
        <f t="shared" si="337"/>
        <v>0</v>
      </c>
      <c r="AK2427" s="2">
        <f t="shared" si="343"/>
        <v>4.7999999999999989</v>
      </c>
      <c r="AL2427" s="5">
        <f t="shared" ref="AL2427:AL2443" si="345">(T2427-W2427)/T2427</f>
        <v>0.36923076923076914</v>
      </c>
    </row>
    <row r="2428" spans="1:38" x14ac:dyDescent="0.2">
      <c r="A2428" s="2">
        <v>2025</v>
      </c>
      <c r="B2428" s="2">
        <v>12</v>
      </c>
      <c r="D2428" s="2" t="s">
        <v>425</v>
      </c>
      <c r="E2428" s="2" t="s">
        <v>98</v>
      </c>
      <c r="F2428" s="2" t="s">
        <v>39</v>
      </c>
      <c r="G2428" s="2">
        <v>510613888</v>
      </c>
      <c r="H2428" s="2" t="s">
        <v>40</v>
      </c>
      <c r="I2428" s="2" t="s">
        <v>426</v>
      </c>
      <c r="J2428" s="2" t="s">
        <v>427</v>
      </c>
      <c r="L2428" s="2" t="s">
        <v>99</v>
      </c>
      <c r="M2428" s="2" t="s">
        <v>80</v>
      </c>
      <c r="P2428" s="2" t="s">
        <v>43</v>
      </c>
      <c r="Q2428" s="2" t="s">
        <v>65</v>
      </c>
      <c r="R2428" s="2" t="s">
        <v>66</v>
      </c>
      <c r="S2428" s="2">
        <v>1</v>
      </c>
      <c r="T2428" s="2">
        <v>26.4</v>
      </c>
      <c r="U2428" s="2">
        <v>6.0720000000000001</v>
      </c>
      <c r="V2428" s="2">
        <v>32.472000000000001</v>
      </c>
      <c r="W2428" s="2">
        <f>15.0203*S2428</f>
        <v>15.020300000000001</v>
      </c>
      <c r="X2428" s="5">
        <f t="shared" si="344"/>
        <v>0.43104924242424236</v>
      </c>
      <c r="Z2428" s="2" t="s">
        <v>3227</v>
      </c>
      <c r="AA2428" s="2" t="s">
        <v>46</v>
      </c>
      <c r="AB2428" s="2" t="s">
        <v>67</v>
      </c>
      <c r="AC2428" s="2" t="s">
        <v>57</v>
      </c>
      <c r="AF2428" s="2">
        <f t="shared" si="336"/>
        <v>0</v>
      </c>
      <c r="AG2428" s="2">
        <v>15.020300000000001</v>
      </c>
      <c r="AH2428" s="2">
        <v>27.6</v>
      </c>
      <c r="AJ2428" s="2">
        <f t="shared" si="337"/>
        <v>0</v>
      </c>
      <c r="AK2428" s="2">
        <f t="shared" si="343"/>
        <v>11.379699999999998</v>
      </c>
      <c r="AL2428" s="5">
        <f t="shared" si="345"/>
        <v>0.43104924242424236</v>
      </c>
    </row>
    <row r="2429" spans="1:38" x14ac:dyDescent="0.2">
      <c r="A2429" s="2">
        <v>2025</v>
      </c>
      <c r="B2429" s="2">
        <v>12</v>
      </c>
      <c r="D2429" s="2" t="s">
        <v>2136</v>
      </c>
      <c r="P2429" s="2" t="s">
        <v>114</v>
      </c>
      <c r="Q2429" s="2" t="s">
        <v>2137</v>
      </c>
      <c r="R2429" s="2" t="s">
        <v>2138</v>
      </c>
      <c r="S2429" s="2">
        <v>1</v>
      </c>
      <c r="T2429" s="2">
        <v>13500</v>
      </c>
      <c r="U2429" s="2">
        <v>3105</v>
      </c>
      <c r="V2429" s="2">
        <v>16605</v>
      </c>
      <c r="X2429" s="5">
        <f t="shared" si="344"/>
        <v>1</v>
      </c>
      <c r="Z2429" s="2" t="s">
        <v>117</v>
      </c>
      <c r="AF2429" s="2">
        <f t="shared" si="336"/>
        <v>0</v>
      </c>
      <c r="AJ2429" s="2">
        <f t="shared" si="337"/>
        <v>0</v>
      </c>
      <c r="AK2429" s="2">
        <f t="shared" si="343"/>
        <v>13500</v>
      </c>
      <c r="AL2429" s="5">
        <f t="shared" si="345"/>
        <v>1</v>
      </c>
    </row>
    <row r="2430" spans="1:38" x14ac:dyDescent="0.2">
      <c r="A2430" s="2">
        <v>2025</v>
      </c>
      <c r="B2430" s="2">
        <v>12</v>
      </c>
      <c r="D2430" s="2" t="s">
        <v>1376</v>
      </c>
      <c r="E2430" s="2" t="s">
        <v>183</v>
      </c>
      <c r="F2430" s="2" t="s">
        <v>366</v>
      </c>
      <c r="L2430" s="2" t="s">
        <v>571</v>
      </c>
      <c r="M2430" s="2" t="s">
        <v>80</v>
      </c>
      <c r="P2430" s="2" t="s">
        <v>72</v>
      </c>
      <c r="Q2430" s="2" t="s">
        <v>73</v>
      </c>
      <c r="R2430" s="2" t="s">
        <v>74</v>
      </c>
      <c r="S2430" s="2">
        <v>1</v>
      </c>
      <c r="T2430" s="2">
        <v>220</v>
      </c>
      <c r="U2430" s="2">
        <v>50.6</v>
      </c>
      <c r="V2430" s="2">
        <v>270.60000000000002</v>
      </c>
      <c r="W2430" s="2">
        <v>117.453</v>
      </c>
      <c r="X2430" s="5">
        <f t="shared" si="344"/>
        <v>0.46612272727272724</v>
      </c>
      <c r="Z2430" s="2" t="s">
        <v>3227</v>
      </c>
      <c r="AA2430" s="2" t="s">
        <v>75</v>
      </c>
      <c r="AB2430" s="2" t="s">
        <v>76</v>
      </c>
      <c r="AC2430" s="2" t="s">
        <v>77</v>
      </c>
      <c r="AF2430" s="2">
        <f t="shared" si="336"/>
        <v>0</v>
      </c>
      <c r="AG2430" s="2">
        <v>117.453</v>
      </c>
      <c r="AH2430" s="2">
        <v>220</v>
      </c>
      <c r="AJ2430" s="2">
        <f t="shared" si="337"/>
        <v>0</v>
      </c>
      <c r="AK2430" s="2">
        <f t="shared" si="343"/>
        <v>102.547</v>
      </c>
      <c r="AL2430" s="5">
        <f t="shared" si="345"/>
        <v>0.46612272727272724</v>
      </c>
    </row>
    <row r="2431" spans="1:38" x14ac:dyDescent="0.2">
      <c r="A2431" s="2">
        <v>2025</v>
      </c>
      <c r="B2431" s="2">
        <v>12</v>
      </c>
      <c r="D2431" s="2" t="s">
        <v>1376</v>
      </c>
      <c r="E2431" s="2" t="s">
        <v>183</v>
      </c>
      <c r="F2431" s="2" t="s">
        <v>366</v>
      </c>
      <c r="L2431" s="2" t="s">
        <v>571</v>
      </c>
      <c r="M2431" s="2" t="s">
        <v>80</v>
      </c>
      <c r="P2431" s="2" t="s">
        <v>93</v>
      </c>
      <c r="Q2431" s="2" t="s">
        <v>94</v>
      </c>
      <c r="R2431" s="2" t="s">
        <v>95</v>
      </c>
      <c r="S2431" s="2">
        <v>1</v>
      </c>
      <c r="T2431" s="2">
        <v>1.1399999999999999</v>
      </c>
      <c r="U2431" s="2">
        <v>0.26219999999999999</v>
      </c>
      <c r="V2431" s="2">
        <v>1.4021999999999999</v>
      </c>
      <c r="W2431" s="2">
        <v>1.1399999999999999</v>
      </c>
      <c r="X2431" s="5">
        <f t="shared" si="344"/>
        <v>0</v>
      </c>
      <c r="Z2431" s="2" t="s">
        <v>3227</v>
      </c>
      <c r="AA2431" s="2" t="s">
        <v>96</v>
      </c>
      <c r="AB2431" s="2" t="s">
        <v>76</v>
      </c>
      <c r="AC2431" s="2" t="s">
        <v>93</v>
      </c>
      <c r="AF2431" s="2">
        <f t="shared" si="336"/>
        <v>0</v>
      </c>
      <c r="AJ2431" s="2">
        <f t="shared" si="337"/>
        <v>0</v>
      </c>
      <c r="AK2431" s="2">
        <f t="shared" si="343"/>
        <v>0</v>
      </c>
      <c r="AL2431" s="5">
        <f t="shared" si="345"/>
        <v>0</v>
      </c>
    </row>
    <row r="2432" spans="1:38" x14ac:dyDescent="0.2">
      <c r="A2432" s="2">
        <v>2025</v>
      </c>
      <c r="B2432" s="2">
        <v>12</v>
      </c>
      <c r="D2432" s="2" t="s">
        <v>2017</v>
      </c>
      <c r="M2432" s="2" t="s">
        <v>40</v>
      </c>
      <c r="P2432" s="2" t="s">
        <v>114</v>
      </c>
      <c r="Q2432" s="2" t="s">
        <v>904</v>
      </c>
      <c r="R2432" s="2" t="s">
        <v>905</v>
      </c>
      <c r="S2432" s="2">
        <v>1</v>
      </c>
      <c r="T2432" s="2">
        <v>699.3</v>
      </c>
      <c r="U2432" s="2">
        <v>160.839</v>
      </c>
      <c r="V2432" s="2">
        <v>860.1389999999999</v>
      </c>
      <c r="W2432" s="2">
        <v>345.20339999999999</v>
      </c>
      <c r="X2432" s="5">
        <f t="shared" si="344"/>
        <v>0.50635864435864431</v>
      </c>
      <c r="Z2432" s="2" t="s">
        <v>117</v>
      </c>
      <c r="AA2432" s="2" t="s">
        <v>181</v>
      </c>
      <c r="AB2432" s="2" t="s">
        <v>119</v>
      </c>
      <c r="AC2432" s="2" t="s">
        <v>114</v>
      </c>
      <c r="AF2432" s="2">
        <f t="shared" si="336"/>
        <v>0</v>
      </c>
      <c r="AJ2432" s="2">
        <f t="shared" si="337"/>
        <v>0</v>
      </c>
      <c r="AK2432" s="2">
        <f t="shared" si="343"/>
        <v>354.09659999999997</v>
      </c>
      <c r="AL2432" s="5">
        <f t="shared" si="345"/>
        <v>0.50635864435864431</v>
      </c>
    </row>
    <row r="2433" spans="1:38" x14ac:dyDescent="0.2">
      <c r="A2433" s="2">
        <v>2025</v>
      </c>
      <c r="B2433" s="2">
        <v>12</v>
      </c>
      <c r="D2433" s="2" t="s">
        <v>2017</v>
      </c>
      <c r="M2433" s="2" t="s">
        <v>41</v>
      </c>
      <c r="O2433" s="2" t="s">
        <v>2139</v>
      </c>
      <c r="P2433" s="2" t="s">
        <v>43</v>
      </c>
      <c r="Q2433" s="2" t="s">
        <v>158</v>
      </c>
      <c r="R2433" s="2" t="s">
        <v>159</v>
      </c>
      <c r="S2433" s="2">
        <v>1</v>
      </c>
      <c r="T2433" s="2">
        <v>17.05</v>
      </c>
      <c r="U2433" s="2">
        <v>3.9215</v>
      </c>
      <c r="V2433" s="2">
        <v>20.971499999999999</v>
      </c>
      <c r="W2433" s="2">
        <f>9.3*S2433</f>
        <v>9.3000000000000007</v>
      </c>
      <c r="X2433" s="5">
        <f t="shared" si="344"/>
        <v>0.45454545454545453</v>
      </c>
      <c r="Z2433" s="2" t="s">
        <v>3227</v>
      </c>
      <c r="AA2433" s="2" t="s">
        <v>46</v>
      </c>
      <c r="AB2433" s="2" t="s">
        <v>47</v>
      </c>
      <c r="AC2433" s="2" t="s">
        <v>57</v>
      </c>
      <c r="AF2433" s="2">
        <f t="shared" si="336"/>
        <v>0</v>
      </c>
      <c r="AG2433" s="2">
        <v>9.3000000000000007</v>
      </c>
      <c r="AH2433" s="2">
        <v>21</v>
      </c>
      <c r="AJ2433" s="2">
        <f t="shared" si="337"/>
        <v>0</v>
      </c>
      <c r="AK2433" s="2">
        <f t="shared" si="343"/>
        <v>7.75</v>
      </c>
      <c r="AL2433" s="5">
        <f t="shared" si="345"/>
        <v>0.45454545454545453</v>
      </c>
    </row>
    <row r="2434" spans="1:38" x14ac:dyDescent="0.2">
      <c r="A2434" s="2">
        <v>2025</v>
      </c>
      <c r="B2434" s="2">
        <v>12</v>
      </c>
      <c r="D2434" s="2" t="s">
        <v>2017</v>
      </c>
      <c r="P2434" s="2" t="s">
        <v>43</v>
      </c>
      <c r="Q2434" s="2" t="s">
        <v>48</v>
      </c>
      <c r="R2434" s="2" t="s">
        <v>49</v>
      </c>
      <c r="S2434" s="2">
        <v>1</v>
      </c>
      <c r="T2434" s="2">
        <v>12</v>
      </c>
      <c r="U2434" s="2">
        <v>2.76</v>
      </c>
      <c r="V2434" s="2">
        <v>14.76</v>
      </c>
      <c r="W2434" s="2">
        <f>6.6267*S2434</f>
        <v>6.6266999999999996</v>
      </c>
      <c r="X2434" s="5">
        <f t="shared" si="344"/>
        <v>0.44777500000000003</v>
      </c>
      <c r="Z2434" s="2" t="s">
        <v>3227</v>
      </c>
      <c r="AA2434" s="2" t="s">
        <v>46</v>
      </c>
      <c r="AB2434" s="2" t="s">
        <v>47</v>
      </c>
      <c r="AC2434" s="2" t="s">
        <v>57</v>
      </c>
      <c r="AF2434" s="2">
        <f t="shared" ref="AF2434:AF2497" si="346">AJ2434</f>
        <v>0</v>
      </c>
      <c r="AG2434" s="2">
        <v>6.6266999999999996</v>
      </c>
      <c r="AH2434" s="2">
        <v>12</v>
      </c>
      <c r="AJ2434" s="2">
        <f t="shared" ref="AJ2434:AJ2497" si="347">AI2434*T2434</f>
        <v>0</v>
      </c>
      <c r="AK2434" s="2">
        <f t="shared" si="343"/>
        <v>5.3733000000000004</v>
      </c>
      <c r="AL2434" s="5">
        <f t="shared" si="345"/>
        <v>0.44777500000000003</v>
      </c>
    </row>
    <row r="2435" spans="1:38" x14ac:dyDescent="0.2">
      <c r="A2435" s="2">
        <v>2025</v>
      </c>
      <c r="B2435" s="2">
        <v>12</v>
      </c>
      <c r="D2435" s="2" t="s">
        <v>2017</v>
      </c>
      <c r="P2435" s="2" t="s">
        <v>43</v>
      </c>
      <c r="Q2435" s="2" t="s">
        <v>54</v>
      </c>
      <c r="R2435" s="2" t="s">
        <v>55</v>
      </c>
      <c r="S2435" s="2">
        <v>2</v>
      </c>
      <c r="T2435" s="2">
        <v>36</v>
      </c>
      <c r="U2435" s="2">
        <v>8.2800000000000011</v>
      </c>
      <c r="V2435" s="2">
        <v>44.28</v>
      </c>
      <c r="W2435" s="2">
        <f>10.6*S2435</f>
        <v>21.2</v>
      </c>
      <c r="X2435" s="5">
        <f t="shared" si="344"/>
        <v>0.41111111111111115</v>
      </c>
      <c r="Z2435" s="2" t="s">
        <v>3227</v>
      </c>
      <c r="AA2435" s="2" t="s">
        <v>46</v>
      </c>
      <c r="AB2435" s="2" t="s">
        <v>56</v>
      </c>
      <c r="AC2435" s="2" t="s">
        <v>57</v>
      </c>
      <c r="AF2435" s="2">
        <f t="shared" si="346"/>
        <v>0</v>
      </c>
      <c r="AG2435" s="2">
        <v>10.6</v>
      </c>
      <c r="AH2435" s="2">
        <v>18</v>
      </c>
      <c r="AJ2435" s="2">
        <f t="shared" si="347"/>
        <v>0</v>
      </c>
      <c r="AK2435" s="2">
        <f t="shared" si="343"/>
        <v>14.8</v>
      </c>
      <c r="AL2435" s="5">
        <f t="shared" si="345"/>
        <v>0.41111111111111115</v>
      </c>
    </row>
    <row r="2436" spans="1:38" x14ac:dyDescent="0.2">
      <c r="A2436" s="2">
        <v>2025</v>
      </c>
      <c r="B2436" s="2">
        <v>12</v>
      </c>
      <c r="D2436" s="2" t="s">
        <v>2017</v>
      </c>
      <c r="M2436" s="2" t="s">
        <v>40</v>
      </c>
      <c r="P2436" s="2" t="s">
        <v>187</v>
      </c>
      <c r="Q2436" s="2" t="s">
        <v>188</v>
      </c>
      <c r="R2436" s="2" t="s">
        <v>189</v>
      </c>
      <c r="S2436" s="2">
        <v>1</v>
      </c>
      <c r="T2436" s="2">
        <v>60</v>
      </c>
      <c r="U2436" s="2">
        <v>13.8</v>
      </c>
      <c r="V2436" s="2">
        <v>73.8</v>
      </c>
      <c r="W2436" s="2">
        <f>T2436*40%</f>
        <v>24</v>
      </c>
      <c r="X2436" s="5">
        <f t="shared" si="344"/>
        <v>0.6</v>
      </c>
      <c r="Z2436" s="2" t="s">
        <v>117</v>
      </c>
      <c r="AA2436" s="2" t="s">
        <v>190</v>
      </c>
      <c r="AB2436" s="2" t="s">
        <v>189</v>
      </c>
      <c r="AC2436" s="2" t="s">
        <v>40</v>
      </c>
      <c r="AF2436" s="2">
        <f t="shared" si="346"/>
        <v>0</v>
      </c>
      <c r="AJ2436" s="2">
        <f t="shared" si="347"/>
        <v>0</v>
      </c>
      <c r="AK2436" s="2">
        <f t="shared" si="343"/>
        <v>36</v>
      </c>
      <c r="AL2436" s="5">
        <f t="shared" si="345"/>
        <v>0.6</v>
      </c>
    </row>
    <row r="2437" spans="1:38" x14ac:dyDescent="0.2">
      <c r="A2437" s="2">
        <v>2025</v>
      </c>
      <c r="B2437" s="2">
        <v>12</v>
      </c>
      <c r="D2437" s="2" t="s">
        <v>2017</v>
      </c>
      <c r="M2437" s="2" t="s">
        <v>40</v>
      </c>
      <c r="P2437" s="2" t="s">
        <v>187</v>
      </c>
      <c r="Q2437" s="2" t="s">
        <v>191</v>
      </c>
      <c r="R2437" s="2" t="s">
        <v>190</v>
      </c>
      <c r="S2437" s="2">
        <v>1</v>
      </c>
      <c r="T2437" s="2">
        <v>50</v>
      </c>
      <c r="U2437" s="2">
        <v>11.5</v>
      </c>
      <c r="V2437" s="2">
        <v>61.5</v>
      </c>
      <c r="W2437" s="2">
        <f>T2437*50%</f>
        <v>25</v>
      </c>
      <c r="X2437" s="5">
        <f t="shared" si="344"/>
        <v>0.5</v>
      </c>
      <c r="Z2437" s="2" t="s">
        <v>117</v>
      </c>
      <c r="AA2437" s="2" t="s">
        <v>190</v>
      </c>
      <c r="AB2437" s="2" t="s">
        <v>190</v>
      </c>
      <c r="AC2437" s="2" t="s">
        <v>40</v>
      </c>
      <c r="AF2437" s="2">
        <f t="shared" si="346"/>
        <v>0</v>
      </c>
      <c r="AJ2437" s="2">
        <f t="shared" si="347"/>
        <v>0</v>
      </c>
      <c r="AK2437" s="2">
        <f t="shared" si="343"/>
        <v>25</v>
      </c>
      <c r="AL2437" s="5">
        <f t="shared" si="345"/>
        <v>0.5</v>
      </c>
    </row>
    <row r="2438" spans="1:38" x14ac:dyDescent="0.2">
      <c r="A2438" s="2">
        <v>2025</v>
      </c>
      <c r="B2438" s="2">
        <v>12</v>
      </c>
      <c r="D2438" s="2" t="s">
        <v>2140</v>
      </c>
      <c r="M2438" s="2" t="s">
        <v>40</v>
      </c>
      <c r="P2438" s="2" t="s">
        <v>114</v>
      </c>
      <c r="Q2438" s="2" t="s">
        <v>179</v>
      </c>
      <c r="R2438" s="2" t="s">
        <v>180</v>
      </c>
      <c r="S2438" s="2">
        <v>1</v>
      </c>
      <c r="T2438" s="2">
        <v>699.3</v>
      </c>
      <c r="U2438" s="2">
        <v>160.839</v>
      </c>
      <c r="V2438" s="2">
        <v>860.1389999999999</v>
      </c>
      <c r="W2438" s="2">
        <v>346.57</v>
      </c>
      <c r="X2438" s="5">
        <f t="shared" si="344"/>
        <v>0.50440440440440437</v>
      </c>
      <c r="Z2438" s="2" t="s">
        <v>117</v>
      </c>
      <c r="AA2438" s="2" t="s">
        <v>181</v>
      </c>
      <c r="AB2438" s="2" t="s">
        <v>119</v>
      </c>
      <c r="AC2438" s="2" t="s">
        <v>114</v>
      </c>
      <c r="AF2438" s="2">
        <f t="shared" si="346"/>
        <v>0</v>
      </c>
      <c r="AJ2438" s="2">
        <f t="shared" si="347"/>
        <v>0</v>
      </c>
      <c r="AK2438" s="2">
        <f t="shared" si="343"/>
        <v>352.72999999999996</v>
      </c>
      <c r="AL2438" s="5">
        <f t="shared" si="345"/>
        <v>0.50440440440440437</v>
      </c>
    </row>
    <row r="2439" spans="1:38" x14ac:dyDescent="0.2">
      <c r="A2439" s="2">
        <v>2025</v>
      </c>
      <c r="B2439" s="2">
        <v>12</v>
      </c>
      <c r="D2439" s="2" t="s">
        <v>2140</v>
      </c>
      <c r="M2439" s="2" t="s">
        <v>40</v>
      </c>
      <c r="P2439" s="2" t="s">
        <v>187</v>
      </c>
      <c r="Q2439" s="2" t="s">
        <v>188</v>
      </c>
      <c r="R2439" s="2" t="s">
        <v>189</v>
      </c>
      <c r="S2439" s="2">
        <v>1</v>
      </c>
      <c r="T2439" s="2">
        <v>171</v>
      </c>
      <c r="U2439" s="2">
        <v>39.33</v>
      </c>
      <c r="V2439" s="2">
        <v>210.33</v>
      </c>
      <c r="W2439" s="2">
        <f>T2439*40%</f>
        <v>68.400000000000006</v>
      </c>
      <c r="X2439" s="5">
        <f t="shared" si="344"/>
        <v>0.6</v>
      </c>
      <c r="Z2439" s="2" t="s">
        <v>117</v>
      </c>
      <c r="AA2439" s="2" t="s">
        <v>190</v>
      </c>
      <c r="AB2439" s="2" t="s">
        <v>189</v>
      </c>
      <c r="AC2439" s="2" t="s">
        <v>40</v>
      </c>
      <c r="AF2439" s="2">
        <f t="shared" si="346"/>
        <v>0</v>
      </c>
      <c r="AJ2439" s="2">
        <f t="shared" si="347"/>
        <v>0</v>
      </c>
      <c r="AK2439" s="2">
        <f t="shared" si="343"/>
        <v>102.6</v>
      </c>
      <c r="AL2439" s="5">
        <f t="shared" si="345"/>
        <v>0.6</v>
      </c>
    </row>
    <row r="2440" spans="1:38" x14ac:dyDescent="0.2">
      <c r="A2440" s="2">
        <v>2025</v>
      </c>
      <c r="B2440" s="2">
        <v>12</v>
      </c>
      <c r="D2440" s="2" t="s">
        <v>2140</v>
      </c>
      <c r="M2440" s="2" t="s">
        <v>40</v>
      </c>
      <c r="P2440" s="2" t="s">
        <v>187</v>
      </c>
      <c r="Q2440" s="2" t="s">
        <v>191</v>
      </c>
      <c r="R2440" s="2" t="s">
        <v>190</v>
      </c>
      <c r="S2440" s="2">
        <v>1</v>
      </c>
      <c r="T2440" s="2">
        <v>50</v>
      </c>
      <c r="U2440" s="2">
        <v>11.5</v>
      </c>
      <c r="V2440" s="2">
        <v>61.5</v>
      </c>
      <c r="W2440" s="2">
        <f>T2440*50%</f>
        <v>25</v>
      </c>
      <c r="X2440" s="5">
        <f t="shared" si="344"/>
        <v>0.5</v>
      </c>
      <c r="Z2440" s="2" t="s">
        <v>117</v>
      </c>
      <c r="AA2440" s="2" t="s">
        <v>190</v>
      </c>
      <c r="AB2440" s="2" t="s">
        <v>190</v>
      </c>
      <c r="AC2440" s="2" t="s">
        <v>40</v>
      </c>
      <c r="AF2440" s="2">
        <f t="shared" si="346"/>
        <v>0</v>
      </c>
      <c r="AJ2440" s="2">
        <f t="shared" si="347"/>
        <v>0</v>
      </c>
      <c r="AK2440" s="2">
        <f t="shared" si="343"/>
        <v>25</v>
      </c>
      <c r="AL2440" s="5">
        <f t="shared" si="345"/>
        <v>0.5</v>
      </c>
    </row>
    <row r="2441" spans="1:38" x14ac:dyDescent="0.2">
      <c r="A2441" s="2">
        <v>2025</v>
      </c>
      <c r="B2441" s="2">
        <v>12</v>
      </c>
      <c r="D2441" s="2" t="s">
        <v>451</v>
      </c>
      <c r="E2441" s="2" t="s">
        <v>108</v>
      </c>
      <c r="F2441" s="2" t="s">
        <v>39</v>
      </c>
      <c r="G2441" s="2">
        <v>506085686</v>
      </c>
      <c r="H2441" s="2" t="s">
        <v>40</v>
      </c>
      <c r="I2441" s="2" t="s">
        <v>452</v>
      </c>
      <c r="J2441" s="2" t="s">
        <v>453</v>
      </c>
      <c r="K2441" s="2">
        <v>917241919</v>
      </c>
      <c r="L2441" s="2" t="s">
        <v>398</v>
      </c>
      <c r="P2441" s="2" t="s">
        <v>698</v>
      </c>
      <c r="Q2441" s="2" t="s">
        <v>2141</v>
      </c>
      <c r="R2441" s="2" t="s">
        <v>2142</v>
      </c>
      <c r="S2441" s="2">
        <v>1</v>
      </c>
      <c r="T2441" s="2">
        <v>25662</v>
      </c>
      <c r="U2441" s="2">
        <v>5902.26</v>
      </c>
      <c r="V2441" s="2">
        <v>31564.26</v>
      </c>
      <c r="W2441" s="2">
        <v>19000</v>
      </c>
      <c r="X2441" s="5">
        <f t="shared" si="344"/>
        <v>0.25960564258436597</v>
      </c>
      <c r="Z2441" s="2" t="s">
        <v>104</v>
      </c>
      <c r="AA2441" s="2" t="s">
        <v>414</v>
      </c>
      <c r="AB2441" s="2" t="s">
        <v>1112</v>
      </c>
      <c r="AC2441" s="2" t="s">
        <v>698</v>
      </c>
      <c r="AF2441" s="2">
        <f t="shared" si="346"/>
        <v>0</v>
      </c>
      <c r="AJ2441" s="2">
        <f t="shared" si="347"/>
        <v>0</v>
      </c>
      <c r="AK2441" s="2">
        <f t="shared" si="343"/>
        <v>6662</v>
      </c>
      <c r="AL2441" s="5">
        <f t="shared" si="345"/>
        <v>0.25960564258436597</v>
      </c>
    </row>
    <row r="2442" spans="1:38" x14ac:dyDescent="0.2">
      <c r="A2442" s="2">
        <v>2025</v>
      </c>
      <c r="B2442" s="2">
        <v>12</v>
      </c>
      <c r="D2442" s="2" t="s">
        <v>833</v>
      </c>
      <c r="M2442" s="2" t="s">
        <v>40</v>
      </c>
      <c r="P2442" s="2" t="s">
        <v>114</v>
      </c>
      <c r="Q2442" s="2" t="s">
        <v>179</v>
      </c>
      <c r="R2442" s="2" t="s">
        <v>180</v>
      </c>
      <c r="S2442" s="2">
        <v>1</v>
      </c>
      <c r="T2442" s="2">
        <v>629.37</v>
      </c>
      <c r="U2442" s="2">
        <v>144.7551</v>
      </c>
      <c r="V2442" s="2">
        <v>774.12509999999997</v>
      </c>
      <c r="W2442" s="2">
        <v>346.57</v>
      </c>
      <c r="X2442" s="5">
        <f t="shared" si="344"/>
        <v>0.44933822711600491</v>
      </c>
      <c r="Z2442" s="2" t="s">
        <v>117</v>
      </c>
      <c r="AA2442" s="2" t="s">
        <v>181</v>
      </c>
      <c r="AB2442" s="2" t="s">
        <v>119</v>
      </c>
      <c r="AC2442" s="2" t="s">
        <v>114</v>
      </c>
      <c r="AF2442" s="2">
        <f t="shared" si="346"/>
        <v>0</v>
      </c>
      <c r="AJ2442" s="2">
        <f t="shared" si="347"/>
        <v>0</v>
      </c>
      <c r="AK2442" s="2">
        <f t="shared" si="343"/>
        <v>282.8</v>
      </c>
      <c r="AL2442" s="5">
        <f t="shared" si="345"/>
        <v>0.44933822711600491</v>
      </c>
    </row>
    <row r="2443" spans="1:38" x14ac:dyDescent="0.2">
      <c r="A2443" s="2">
        <v>2025</v>
      </c>
      <c r="B2443" s="2">
        <v>12</v>
      </c>
      <c r="D2443" s="2" t="s">
        <v>833</v>
      </c>
      <c r="M2443" s="2" t="s">
        <v>40</v>
      </c>
      <c r="P2443" s="2" t="s">
        <v>187</v>
      </c>
      <c r="Q2443" s="2" t="s">
        <v>188</v>
      </c>
      <c r="R2443" s="2" t="s">
        <v>189</v>
      </c>
      <c r="S2443" s="2">
        <v>1</v>
      </c>
      <c r="T2443" s="2">
        <v>71</v>
      </c>
      <c r="U2443" s="2">
        <v>16.329999999999998</v>
      </c>
      <c r="V2443" s="2">
        <v>87.33</v>
      </c>
      <c r="W2443" s="2">
        <f>T2443*40%</f>
        <v>28.400000000000002</v>
      </c>
      <c r="X2443" s="5">
        <f t="shared" si="344"/>
        <v>0.59999999999999987</v>
      </c>
      <c r="Z2443" s="2" t="s">
        <v>117</v>
      </c>
      <c r="AA2443" s="2" t="s">
        <v>190</v>
      </c>
      <c r="AB2443" s="2" t="s">
        <v>189</v>
      </c>
      <c r="AC2443" s="2" t="s">
        <v>40</v>
      </c>
      <c r="AF2443" s="2">
        <f t="shared" si="346"/>
        <v>0</v>
      </c>
      <c r="AJ2443" s="2">
        <f t="shared" si="347"/>
        <v>0</v>
      </c>
      <c r="AK2443" s="2">
        <f t="shared" si="343"/>
        <v>42.599999999999994</v>
      </c>
      <c r="AL2443" s="5">
        <f t="shared" si="345"/>
        <v>0.59999999999999987</v>
      </c>
    </row>
    <row r="2444" spans="1:38" x14ac:dyDescent="0.2">
      <c r="A2444" s="2">
        <v>2025</v>
      </c>
      <c r="B2444" s="2">
        <v>12</v>
      </c>
      <c r="D2444" s="2" t="s">
        <v>833</v>
      </c>
      <c r="M2444" s="2" t="s">
        <v>40</v>
      </c>
      <c r="P2444" s="2" t="s">
        <v>187</v>
      </c>
      <c r="Q2444" s="2" t="s">
        <v>191</v>
      </c>
      <c r="R2444" s="2" t="s">
        <v>190</v>
      </c>
      <c r="S2444" s="2">
        <v>2</v>
      </c>
      <c r="T2444" s="2">
        <v>0</v>
      </c>
      <c r="U2444" s="2">
        <v>0</v>
      </c>
      <c r="V2444" s="2">
        <v>0</v>
      </c>
      <c r="W2444" s="2">
        <f>T2444*50%</f>
        <v>0</v>
      </c>
      <c r="X2444" s="5" t="e">
        <f t="shared" si="344"/>
        <v>#DIV/0!</v>
      </c>
      <c r="Z2444" s="2" t="s">
        <v>117</v>
      </c>
      <c r="AA2444" s="2" t="s">
        <v>190</v>
      </c>
      <c r="AB2444" s="2" t="s">
        <v>190</v>
      </c>
      <c r="AC2444" s="2" t="s">
        <v>40</v>
      </c>
      <c r="AF2444" s="2">
        <f t="shared" si="346"/>
        <v>0</v>
      </c>
      <c r="AJ2444" s="2">
        <f t="shared" si="347"/>
        <v>0</v>
      </c>
      <c r="AK2444" s="2">
        <f t="shared" si="343"/>
        <v>0</v>
      </c>
      <c r="AL2444" s="5">
        <v>0</v>
      </c>
    </row>
    <row r="2445" spans="1:38" x14ac:dyDescent="0.2">
      <c r="A2445" s="2">
        <v>2025</v>
      </c>
      <c r="B2445" s="2">
        <v>12</v>
      </c>
      <c r="D2445" s="2" t="s">
        <v>833</v>
      </c>
      <c r="P2445" s="2" t="s">
        <v>40</v>
      </c>
      <c r="Q2445" s="2" t="s">
        <v>363</v>
      </c>
      <c r="R2445" s="2" t="s">
        <v>364</v>
      </c>
      <c r="S2445" s="2">
        <v>1</v>
      </c>
      <c r="T2445" s="2">
        <v>629.37</v>
      </c>
      <c r="U2445" s="2">
        <v>144.7551</v>
      </c>
      <c r="V2445" s="2">
        <v>774.12509999999997</v>
      </c>
      <c r="X2445" s="5">
        <f t="shared" si="344"/>
        <v>1</v>
      </c>
      <c r="Z2445" s="2" t="s">
        <v>119</v>
      </c>
      <c r="AA2445" s="2" t="s">
        <v>3380</v>
      </c>
      <c r="AF2445" s="2">
        <f t="shared" si="346"/>
        <v>0</v>
      </c>
      <c r="AJ2445" s="2">
        <f t="shared" si="347"/>
        <v>0</v>
      </c>
      <c r="AK2445" s="2">
        <f t="shared" si="343"/>
        <v>629.37</v>
      </c>
      <c r="AL2445" s="5">
        <f t="shared" ref="AL2445:AL2450" si="348">(T2445-W2445)/T2445</f>
        <v>1</v>
      </c>
    </row>
    <row r="2446" spans="1:38" x14ac:dyDescent="0.2">
      <c r="A2446" s="2">
        <v>2025</v>
      </c>
      <c r="B2446" s="2">
        <v>12</v>
      </c>
      <c r="D2446" s="2" t="s">
        <v>458</v>
      </c>
      <c r="E2446" s="2" t="s">
        <v>108</v>
      </c>
      <c r="F2446" s="2" t="s">
        <v>477</v>
      </c>
      <c r="G2446" s="2">
        <v>507016173</v>
      </c>
      <c r="H2446" s="2" t="s">
        <v>109</v>
      </c>
      <c r="I2446" s="2" t="s">
        <v>459</v>
      </c>
      <c r="J2446" s="2" t="s">
        <v>460</v>
      </c>
      <c r="L2446" s="2" t="s">
        <v>461</v>
      </c>
      <c r="M2446" s="2" t="s">
        <v>41</v>
      </c>
      <c r="P2446" s="2" t="s">
        <v>43</v>
      </c>
      <c r="Q2446" s="2" t="s">
        <v>61</v>
      </c>
      <c r="R2446" s="2" t="s">
        <v>62</v>
      </c>
      <c r="S2446" s="2">
        <v>1000</v>
      </c>
      <c r="T2446" s="2">
        <v>110</v>
      </c>
      <c r="U2446" s="2">
        <v>25.3</v>
      </c>
      <c r="V2446" s="2">
        <v>135.30000000000001</v>
      </c>
      <c r="W2446" s="2">
        <f>0.082*S2446</f>
        <v>82</v>
      </c>
      <c r="X2446" s="5">
        <f t="shared" si="344"/>
        <v>0.25454545454545452</v>
      </c>
      <c r="Z2446" s="2" t="s">
        <v>3227</v>
      </c>
      <c r="AA2446" s="2" t="s">
        <v>46</v>
      </c>
      <c r="AB2446" s="2" t="s">
        <v>60</v>
      </c>
      <c r="AC2446" s="2" t="s">
        <v>57</v>
      </c>
      <c r="AF2446" s="2">
        <f t="shared" si="346"/>
        <v>0</v>
      </c>
      <c r="AG2446" s="2">
        <v>8.1999999999999993</v>
      </c>
      <c r="AH2446" s="2">
        <v>13</v>
      </c>
      <c r="AJ2446" s="2">
        <f t="shared" si="347"/>
        <v>0</v>
      </c>
      <c r="AK2446" s="2">
        <f t="shared" si="343"/>
        <v>28</v>
      </c>
      <c r="AL2446" s="5">
        <f t="shared" si="348"/>
        <v>0.25454545454545452</v>
      </c>
    </row>
    <row r="2447" spans="1:38" x14ac:dyDescent="0.2">
      <c r="A2447" s="2">
        <v>2025</v>
      </c>
      <c r="B2447" s="2">
        <v>12</v>
      </c>
      <c r="D2447" s="2" t="s">
        <v>2143</v>
      </c>
      <c r="I2447" s="2" t="s">
        <v>315</v>
      </c>
      <c r="L2447" s="2" t="s">
        <v>99</v>
      </c>
      <c r="M2447" s="2" t="s">
        <v>80</v>
      </c>
      <c r="P2447" s="2" t="s">
        <v>72</v>
      </c>
      <c r="Q2447" s="2" t="s">
        <v>73</v>
      </c>
      <c r="R2447" s="2" t="s">
        <v>74</v>
      </c>
      <c r="S2447" s="2">
        <v>1</v>
      </c>
      <c r="T2447" s="2">
        <v>220</v>
      </c>
      <c r="U2447" s="2">
        <v>50.6</v>
      </c>
      <c r="V2447" s="2">
        <v>270.60000000000002</v>
      </c>
      <c r="W2447" s="2">
        <v>117.453</v>
      </c>
      <c r="X2447" s="5">
        <f t="shared" si="344"/>
        <v>0.46612272727272724</v>
      </c>
      <c r="Z2447" s="2" t="s">
        <v>3227</v>
      </c>
      <c r="AA2447" s="2" t="s">
        <v>75</v>
      </c>
      <c r="AB2447" s="2" t="s">
        <v>76</v>
      </c>
      <c r="AC2447" s="2" t="s">
        <v>77</v>
      </c>
      <c r="AF2447" s="2">
        <f t="shared" si="346"/>
        <v>0</v>
      </c>
      <c r="AG2447" s="2">
        <v>117.453</v>
      </c>
      <c r="AH2447" s="2">
        <v>220</v>
      </c>
      <c r="AJ2447" s="2">
        <f t="shared" si="347"/>
        <v>0</v>
      </c>
      <c r="AK2447" s="2">
        <f t="shared" si="343"/>
        <v>102.547</v>
      </c>
      <c r="AL2447" s="5">
        <f t="shared" si="348"/>
        <v>0.46612272727272724</v>
      </c>
    </row>
    <row r="2448" spans="1:38" x14ac:dyDescent="0.2">
      <c r="A2448" s="2">
        <v>2025</v>
      </c>
      <c r="B2448" s="2">
        <v>12</v>
      </c>
      <c r="D2448" s="2" t="s">
        <v>2143</v>
      </c>
      <c r="I2448" s="2" t="s">
        <v>315</v>
      </c>
      <c r="L2448" s="2" t="s">
        <v>99</v>
      </c>
      <c r="M2448" s="2" t="s">
        <v>80</v>
      </c>
      <c r="P2448" s="2" t="s">
        <v>93</v>
      </c>
      <c r="Q2448" s="2" t="s">
        <v>94</v>
      </c>
      <c r="R2448" s="2" t="s">
        <v>95</v>
      </c>
      <c r="S2448" s="2">
        <v>1</v>
      </c>
      <c r="T2448" s="2">
        <v>1.1399999999999999</v>
      </c>
      <c r="U2448" s="2">
        <v>0.26219999999999999</v>
      </c>
      <c r="V2448" s="2">
        <v>1.4021999999999999</v>
      </c>
      <c r="W2448" s="2">
        <v>1.1399999999999999</v>
      </c>
      <c r="X2448" s="5">
        <f t="shared" si="344"/>
        <v>0</v>
      </c>
      <c r="Z2448" s="2" t="s">
        <v>3227</v>
      </c>
      <c r="AA2448" s="2" t="s">
        <v>96</v>
      </c>
      <c r="AB2448" s="2" t="s">
        <v>76</v>
      </c>
      <c r="AC2448" s="2" t="s">
        <v>93</v>
      </c>
      <c r="AF2448" s="2">
        <f t="shared" si="346"/>
        <v>0</v>
      </c>
      <c r="AJ2448" s="2">
        <f t="shared" si="347"/>
        <v>0</v>
      </c>
      <c r="AK2448" s="2">
        <f t="shared" si="343"/>
        <v>0</v>
      </c>
      <c r="AL2448" s="5">
        <f t="shared" si="348"/>
        <v>0</v>
      </c>
    </row>
    <row r="2449" spans="1:38" x14ac:dyDescent="0.2">
      <c r="A2449" s="2">
        <v>2025</v>
      </c>
      <c r="B2449" s="2">
        <v>12</v>
      </c>
      <c r="C2449" s="2" t="s">
        <v>3326</v>
      </c>
      <c r="D2449" s="2" t="s">
        <v>3461</v>
      </c>
      <c r="E2449" s="2" t="s">
        <v>108</v>
      </c>
      <c r="F2449" s="2" t="s">
        <v>39</v>
      </c>
      <c r="L2449" s="2" t="s">
        <v>418</v>
      </c>
      <c r="M2449" s="2" t="s">
        <v>41</v>
      </c>
      <c r="P2449" s="2" t="s">
        <v>114</v>
      </c>
      <c r="Q2449" s="2" t="s">
        <v>955</v>
      </c>
      <c r="R2449" s="2" t="s">
        <v>956</v>
      </c>
      <c r="S2449" s="2">
        <v>1</v>
      </c>
      <c r="T2449" s="2">
        <v>9459.2099999999991</v>
      </c>
      <c r="U2449" s="2">
        <v>2175.6183000000001</v>
      </c>
      <c r="V2449" s="2">
        <v>11634.828299999999</v>
      </c>
      <c r="W2449" s="2">
        <v>6468.73</v>
      </c>
      <c r="X2449" s="5">
        <f t="shared" si="344"/>
        <v>0.31614479433271908</v>
      </c>
      <c r="Z2449" s="2" t="s">
        <v>104</v>
      </c>
      <c r="AA2449" s="2" t="s">
        <v>616</v>
      </c>
      <c r="AB2449" s="2" t="s">
        <v>957</v>
      </c>
      <c r="AC2449" s="2" t="s">
        <v>114</v>
      </c>
      <c r="AF2449" s="2">
        <f t="shared" si="346"/>
        <v>0</v>
      </c>
      <c r="AG2449" s="2">
        <v>6468.73</v>
      </c>
      <c r="AJ2449" s="2">
        <f t="shared" si="347"/>
        <v>0</v>
      </c>
      <c r="AK2449" s="2">
        <f t="shared" si="343"/>
        <v>2990.4799999999996</v>
      </c>
      <c r="AL2449" s="5">
        <f t="shared" si="348"/>
        <v>0.31614479433271908</v>
      </c>
    </row>
    <row r="2450" spans="1:38" x14ac:dyDescent="0.2">
      <c r="A2450" s="2">
        <v>2025</v>
      </c>
      <c r="B2450" s="2">
        <v>12</v>
      </c>
      <c r="C2450" s="2" t="s">
        <v>3460</v>
      </c>
      <c r="D2450" s="15" t="s">
        <v>3415</v>
      </c>
      <c r="E2450" s="2" t="s">
        <v>108</v>
      </c>
      <c r="F2450" s="2" t="s">
        <v>39</v>
      </c>
      <c r="L2450" s="2" t="s">
        <v>133</v>
      </c>
      <c r="M2450" s="2" t="s">
        <v>109</v>
      </c>
      <c r="O2450" s="2" t="s">
        <v>2144</v>
      </c>
      <c r="P2450" s="2" t="s">
        <v>282</v>
      </c>
      <c r="Q2450" s="2" t="s">
        <v>1282</v>
      </c>
      <c r="R2450" s="2" t="s">
        <v>1283</v>
      </c>
      <c r="S2450" s="2">
        <v>1</v>
      </c>
      <c r="T2450" s="2">
        <v>1510</v>
      </c>
      <c r="U2450" s="2">
        <v>347.3</v>
      </c>
      <c r="V2450" s="2">
        <v>1857.3</v>
      </c>
      <c r="W2450" s="2">
        <v>1389</v>
      </c>
      <c r="X2450" s="5">
        <f t="shared" si="344"/>
        <v>8.0132450331125829E-2</v>
      </c>
      <c r="Z2450" s="2" t="s">
        <v>104</v>
      </c>
      <c r="AA2450" s="2" t="s">
        <v>1574</v>
      </c>
      <c r="AB2450" s="2" t="s">
        <v>388</v>
      </c>
      <c r="AC2450" s="2" t="s">
        <v>1327</v>
      </c>
      <c r="AF2450" s="2">
        <f t="shared" si="346"/>
        <v>0</v>
      </c>
      <c r="AG2450" s="2">
        <f>1294+95</f>
        <v>1389</v>
      </c>
      <c r="AJ2450" s="2">
        <f t="shared" si="347"/>
        <v>0</v>
      </c>
      <c r="AK2450" s="2">
        <f t="shared" si="343"/>
        <v>121</v>
      </c>
      <c r="AL2450" s="5">
        <f t="shared" si="348"/>
        <v>8.0132450331125829E-2</v>
      </c>
    </row>
    <row r="2451" spans="1:38" x14ac:dyDescent="0.2">
      <c r="A2451" s="2">
        <v>2025</v>
      </c>
      <c r="B2451" s="2">
        <v>12</v>
      </c>
      <c r="C2451" s="2" t="s">
        <v>3460</v>
      </c>
      <c r="D2451" s="15" t="s">
        <v>3415</v>
      </c>
      <c r="E2451" s="2" t="s">
        <v>108</v>
      </c>
      <c r="F2451" s="2" t="s">
        <v>39</v>
      </c>
      <c r="L2451" s="2" t="s">
        <v>133</v>
      </c>
      <c r="M2451" s="2" t="s">
        <v>109</v>
      </c>
      <c r="O2451" s="2" t="s">
        <v>2144</v>
      </c>
      <c r="P2451" s="2" t="s">
        <v>282</v>
      </c>
      <c r="Q2451" s="2" t="s">
        <v>1284</v>
      </c>
      <c r="R2451" s="2" t="s">
        <v>1285</v>
      </c>
      <c r="S2451" s="2">
        <v>1</v>
      </c>
      <c r="T2451" s="2">
        <v>0</v>
      </c>
      <c r="U2451" s="2">
        <v>0</v>
      </c>
      <c r="V2451" s="2">
        <v>0</v>
      </c>
      <c r="W2451" s="2">
        <v>0</v>
      </c>
      <c r="X2451" s="5">
        <v>0</v>
      </c>
      <c r="Z2451" s="2" t="s">
        <v>104</v>
      </c>
      <c r="AA2451" s="2" t="s">
        <v>1574</v>
      </c>
      <c r="AB2451" s="2" t="s">
        <v>388</v>
      </c>
      <c r="AC2451" s="2" t="s">
        <v>1327</v>
      </c>
      <c r="AF2451" s="2">
        <f t="shared" si="346"/>
        <v>0</v>
      </c>
      <c r="AJ2451" s="2">
        <f t="shared" si="347"/>
        <v>0</v>
      </c>
      <c r="AK2451" s="2">
        <v>0</v>
      </c>
      <c r="AL2451" s="5">
        <v>0</v>
      </c>
    </row>
    <row r="2452" spans="1:38" x14ac:dyDescent="0.2">
      <c r="A2452" s="2">
        <v>2025</v>
      </c>
      <c r="B2452" s="2">
        <v>12</v>
      </c>
      <c r="C2452" s="2" t="s">
        <v>3460</v>
      </c>
      <c r="D2452" s="15" t="s">
        <v>3415</v>
      </c>
      <c r="E2452" s="2" t="s">
        <v>108</v>
      </c>
      <c r="F2452" s="2" t="s">
        <v>39</v>
      </c>
      <c r="L2452" s="2" t="s">
        <v>133</v>
      </c>
      <c r="M2452" s="2" t="s">
        <v>109</v>
      </c>
      <c r="O2452" s="2" t="s">
        <v>2144</v>
      </c>
      <c r="P2452" s="2" t="s">
        <v>282</v>
      </c>
      <c r="Q2452" s="2" t="s">
        <v>1154</v>
      </c>
      <c r="R2452" s="2" t="s">
        <v>1155</v>
      </c>
      <c r="S2452" s="2">
        <v>1</v>
      </c>
      <c r="T2452" s="2">
        <v>2990</v>
      </c>
      <c r="U2452" s="2">
        <v>687.7</v>
      </c>
      <c r="V2452" s="2">
        <v>3677.7</v>
      </c>
      <c r="W2452" s="2">
        <v>2190</v>
      </c>
      <c r="X2452" s="5">
        <f>(T2452-W2452)/T2452</f>
        <v>0.26755852842809363</v>
      </c>
      <c r="Z2452" s="2" t="s">
        <v>104</v>
      </c>
      <c r="AA2452" s="2" t="s">
        <v>1574</v>
      </c>
      <c r="AB2452" s="2" t="s">
        <v>388</v>
      </c>
      <c r="AC2452" s="2" t="s">
        <v>1327</v>
      </c>
      <c r="AF2452" s="2">
        <f t="shared" si="346"/>
        <v>0</v>
      </c>
      <c r="AG2452" s="2">
        <v>2190</v>
      </c>
      <c r="AJ2452" s="2">
        <f t="shared" si="347"/>
        <v>0</v>
      </c>
      <c r="AK2452" s="2">
        <f>T2452-W2452</f>
        <v>800</v>
      </c>
      <c r="AL2452" s="5">
        <f>(T2452-W2452)/T2452</f>
        <v>0.26755852842809363</v>
      </c>
    </row>
    <row r="2453" spans="1:38" x14ac:dyDescent="0.2">
      <c r="A2453" s="2">
        <v>2025</v>
      </c>
      <c r="B2453" s="2">
        <v>12</v>
      </c>
      <c r="C2453" s="2" t="s">
        <v>3460</v>
      </c>
      <c r="D2453" s="15" t="s">
        <v>3415</v>
      </c>
      <c r="E2453" s="2" t="s">
        <v>108</v>
      </c>
      <c r="F2453" s="2" t="s">
        <v>39</v>
      </c>
      <c r="L2453" s="2" t="s">
        <v>133</v>
      </c>
      <c r="M2453" s="2" t="s">
        <v>109</v>
      </c>
      <c r="O2453" s="2" t="s">
        <v>2144</v>
      </c>
      <c r="P2453" s="2" t="s">
        <v>282</v>
      </c>
      <c r="Q2453" s="2" t="s">
        <v>1158</v>
      </c>
      <c r="R2453" s="2" t="s">
        <v>1159</v>
      </c>
      <c r="S2453" s="2">
        <v>1</v>
      </c>
      <c r="T2453" s="2">
        <v>0</v>
      </c>
      <c r="U2453" s="2">
        <v>0</v>
      </c>
      <c r="V2453" s="2">
        <v>0</v>
      </c>
      <c r="W2453" s="2">
        <v>0</v>
      </c>
      <c r="X2453" s="5">
        <v>0</v>
      </c>
      <c r="Z2453" s="2" t="s">
        <v>104</v>
      </c>
      <c r="AA2453" s="2" t="s">
        <v>1574</v>
      </c>
      <c r="AB2453" s="2" t="s">
        <v>388</v>
      </c>
      <c r="AC2453" s="2" t="s">
        <v>1327</v>
      </c>
      <c r="AF2453" s="2">
        <f t="shared" si="346"/>
        <v>0</v>
      </c>
      <c r="AJ2453" s="2">
        <f t="shared" si="347"/>
        <v>0</v>
      </c>
      <c r="AK2453" s="2">
        <v>0</v>
      </c>
      <c r="AL2453" s="5">
        <v>0</v>
      </c>
    </row>
    <row r="2454" spans="1:38" x14ac:dyDescent="0.2">
      <c r="A2454" s="2">
        <v>2025</v>
      </c>
      <c r="B2454" s="2">
        <v>12</v>
      </c>
      <c r="D2454" s="2" t="s">
        <v>476</v>
      </c>
      <c r="E2454" s="2" t="s">
        <v>108</v>
      </c>
      <c r="F2454" s="2" t="s">
        <v>477</v>
      </c>
      <c r="G2454" s="2">
        <v>500864365</v>
      </c>
      <c r="H2454" s="2" t="s">
        <v>41</v>
      </c>
      <c r="I2454" s="2" t="s">
        <v>478</v>
      </c>
      <c r="J2454" s="2" t="s">
        <v>479</v>
      </c>
      <c r="L2454" s="2" t="s">
        <v>480</v>
      </c>
      <c r="M2454" s="2" t="s">
        <v>41</v>
      </c>
      <c r="O2454" s="2" t="s">
        <v>3164</v>
      </c>
      <c r="P2454" s="2" t="s">
        <v>1038</v>
      </c>
      <c r="Q2454" s="2" t="s">
        <v>2145</v>
      </c>
      <c r="R2454" s="2" t="s">
        <v>2146</v>
      </c>
      <c r="S2454" s="2">
        <v>1</v>
      </c>
      <c r="T2454" s="2">
        <v>220.8</v>
      </c>
      <c r="U2454" s="2">
        <v>50.784000000000013</v>
      </c>
      <c r="V2454" s="2">
        <v>271.584</v>
      </c>
      <c r="W2454" s="2">
        <v>107.72</v>
      </c>
      <c r="X2454" s="5">
        <f>(T2454-W2454)/T2454</f>
        <v>0.51213768115942027</v>
      </c>
      <c r="Z2454" s="2" t="s">
        <v>3227</v>
      </c>
      <c r="AA2454" s="2" t="s">
        <v>75</v>
      </c>
      <c r="AB2454" s="2" t="s">
        <v>76</v>
      </c>
      <c r="AC2454" s="2" t="s">
        <v>1038</v>
      </c>
      <c r="AF2454" s="2">
        <f t="shared" si="346"/>
        <v>0</v>
      </c>
      <c r="AG2454" s="2">
        <v>107.72</v>
      </c>
      <c r="AJ2454" s="2">
        <f t="shared" si="347"/>
        <v>0</v>
      </c>
      <c r="AK2454" s="2">
        <f t="shared" ref="AK2454:AK2487" si="349">T2454-W2454</f>
        <v>113.08000000000001</v>
      </c>
      <c r="AL2454" s="5">
        <f t="shared" ref="AL2454:AL2487" si="350">(T2454-W2454)/T2454</f>
        <v>0.51213768115942027</v>
      </c>
    </row>
    <row r="2455" spans="1:38" x14ac:dyDescent="0.2">
      <c r="A2455" s="2">
        <v>2025</v>
      </c>
      <c r="B2455" s="2">
        <v>12</v>
      </c>
      <c r="D2455" s="2" t="s">
        <v>476</v>
      </c>
      <c r="E2455" s="2" t="s">
        <v>108</v>
      </c>
      <c r="F2455" s="2" t="s">
        <v>477</v>
      </c>
      <c r="G2455" s="2">
        <v>500864365</v>
      </c>
      <c r="H2455" s="2" t="s">
        <v>41</v>
      </c>
      <c r="I2455" s="2" t="s">
        <v>478</v>
      </c>
      <c r="J2455" s="2" t="s">
        <v>479</v>
      </c>
      <c r="L2455" s="2" t="s">
        <v>480</v>
      </c>
      <c r="M2455" s="2" t="s">
        <v>41</v>
      </c>
      <c r="P2455" s="2" t="s">
        <v>169</v>
      </c>
      <c r="Q2455" s="2" t="s">
        <v>170</v>
      </c>
      <c r="R2455" s="2" t="s">
        <v>170</v>
      </c>
      <c r="S2455" s="2">
        <v>1</v>
      </c>
      <c r="T2455" s="2">
        <v>25</v>
      </c>
      <c r="U2455" s="2">
        <v>5.75</v>
      </c>
      <c r="V2455" s="2">
        <v>30.75</v>
      </c>
      <c r="W2455" s="2">
        <v>23</v>
      </c>
      <c r="X2455" s="5">
        <f>(T2455-W2455)/T2455</f>
        <v>0.08</v>
      </c>
      <c r="Z2455" s="2" t="s">
        <v>169</v>
      </c>
      <c r="AA2455" s="2" t="s">
        <v>169</v>
      </c>
      <c r="AF2455" s="2">
        <f t="shared" si="346"/>
        <v>0</v>
      </c>
      <c r="AJ2455" s="2">
        <f t="shared" si="347"/>
        <v>0</v>
      </c>
      <c r="AK2455" s="2">
        <f t="shared" si="349"/>
        <v>2</v>
      </c>
      <c r="AL2455" s="5">
        <f t="shared" si="350"/>
        <v>0.08</v>
      </c>
    </row>
    <row r="2456" spans="1:38" x14ac:dyDescent="0.2">
      <c r="A2456" s="2">
        <v>2025</v>
      </c>
      <c r="B2456" s="2">
        <v>12</v>
      </c>
      <c r="D2456" s="2" t="s">
        <v>476</v>
      </c>
      <c r="E2456" s="2" t="s">
        <v>108</v>
      </c>
      <c r="F2456" s="2" t="s">
        <v>477</v>
      </c>
      <c r="G2456" s="2">
        <v>500864365</v>
      </c>
      <c r="H2456" s="2" t="s">
        <v>41</v>
      </c>
      <c r="I2456" s="2" t="s">
        <v>478</v>
      </c>
      <c r="J2456" s="2" t="s">
        <v>479</v>
      </c>
      <c r="L2456" s="2" t="s">
        <v>480</v>
      </c>
      <c r="P2456" s="2" t="s">
        <v>93</v>
      </c>
      <c r="Q2456" s="2" t="s">
        <v>94</v>
      </c>
      <c r="R2456" s="2" t="s">
        <v>95</v>
      </c>
      <c r="S2456" s="2">
        <v>1</v>
      </c>
      <c r="T2456" s="2">
        <v>1.1399999999999999</v>
      </c>
      <c r="U2456" s="2">
        <v>0.26219999999999999</v>
      </c>
      <c r="V2456" s="2">
        <v>1.4021999999999999</v>
      </c>
      <c r="W2456" s="2">
        <v>1.1399999999999999</v>
      </c>
      <c r="X2456" s="5">
        <f>(T2456-W2456)/T2456</f>
        <v>0</v>
      </c>
      <c r="Z2456" s="2" t="s">
        <v>3227</v>
      </c>
      <c r="AA2456" s="2" t="s">
        <v>96</v>
      </c>
      <c r="AB2456" s="2" t="s">
        <v>76</v>
      </c>
      <c r="AC2456" s="2" t="s">
        <v>93</v>
      </c>
      <c r="AF2456" s="2">
        <f t="shared" si="346"/>
        <v>0</v>
      </c>
      <c r="AJ2456" s="2">
        <f t="shared" si="347"/>
        <v>0</v>
      </c>
      <c r="AK2456" s="2">
        <f t="shared" si="349"/>
        <v>0</v>
      </c>
      <c r="AL2456" s="5">
        <f t="shared" si="350"/>
        <v>0</v>
      </c>
    </row>
    <row r="2457" spans="1:38" x14ac:dyDescent="0.2">
      <c r="A2457" s="2">
        <v>2025</v>
      </c>
      <c r="B2457" s="2">
        <v>12</v>
      </c>
      <c r="D2457" s="2" t="s">
        <v>488</v>
      </c>
      <c r="E2457" s="2" t="s">
        <v>38</v>
      </c>
      <c r="F2457" s="2" t="s">
        <v>39</v>
      </c>
      <c r="G2457" s="2">
        <v>507380312</v>
      </c>
      <c r="H2457" s="2" t="s">
        <v>40</v>
      </c>
      <c r="I2457" s="2" t="s">
        <v>489</v>
      </c>
      <c r="J2457" s="2" t="s">
        <v>490</v>
      </c>
      <c r="K2457" s="2">
        <v>912293443</v>
      </c>
      <c r="L2457" s="2" t="s">
        <v>99</v>
      </c>
      <c r="M2457" s="2" t="s">
        <v>40</v>
      </c>
      <c r="P2457" s="2" t="s">
        <v>40</v>
      </c>
      <c r="Q2457" s="2" t="s">
        <v>491</v>
      </c>
      <c r="R2457" s="2" t="s">
        <v>492</v>
      </c>
      <c r="S2457" s="2">
        <v>1</v>
      </c>
      <c r="T2457" s="2">
        <v>664.04</v>
      </c>
      <c r="U2457" s="2">
        <v>152.72919999999999</v>
      </c>
      <c r="V2457" s="2">
        <v>816.76919999999996</v>
      </c>
      <c r="X2457" s="5">
        <f>(T2457-W2457)/T2457</f>
        <v>1</v>
      </c>
      <c r="Z2457" s="2" t="s">
        <v>119</v>
      </c>
      <c r="AA2457" s="2" t="s">
        <v>492</v>
      </c>
      <c r="AF2457" s="2">
        <f t="shared" si="346"/>
        <v>0</v>
      </c>
      <c r="AJ2457" s="2">
        <f t="shared" si="347"/>
        <v>0</v>
      </c>
      <c r="AK2457" s="2">
        <f t="shared" si="349"/>
        <v>664.04</v>
      </c>
      <c r="AL2457" s="5">
        <f t="shared" si="350"/>
        <v>1</v>
      </c>
    </row>
    <row r="2458" spans="1:38" x14ac:dyDescent="0.2">
      <c r="A2458" s="2">
        <v>2025</v>
      </c>
      <c r="B2458" s="2">
        <v>12</v>
      </c>
      <c r="D2458" s="2" t="s">
        <v>1256</v>
      </c>
      <c r="P2458" s="2" t="s">
        <v>114</v>
      </c>
      <c r="Q2458" s="2" t="s">
        <v>926</v>
      </c>
      <c r="R2458" s="2" t="s">
        <v>927</v>
      </c>
      <c r="S2458" s="2">
        <v>1</v>
      </c>
      <c r="T2458" s="2">
        <v>0</v>
      </c>
      <c r="U2458" s="2">
        <v>0</v>
      </c>
      <c r="V2458" s="2">
        <v>0</v>
      </c>
      <c r="X2458" s="5">
        <v>0</v>
      </c>
      <c r="Z2458" s="2" t="s">
        <v>117</v>
      </c>
      <c r="AF2458" s="2">
        <f t="shared" si="346"/>
        <v>0</v>
      </c>
      <c r="AJ2458" s="2">
        <f t="shared" si="347"/>
        <v>0</v>
      </c>
      <c r="AK2458" s="2">
        <f t="shared" si="349"/>
        <v>0</v>
      </c>
      <c r="AL2458" s="5" t="e">
        <f t="shared" si="350"/>
        <v>#DIV/0!</v>
      </c>
    </row>
    <row r="2459" spans="1:38" x14ac:dyDescent="0.2">
      <c r="A2459" s="2">
        <v>2025</v>
      </c>
      <c r="B2459" s="2">
        <v>12</v>
      </c>
      <c r="D2459" s="2" t="s">
        <v>1256</v>
      </c>
      <c r="P2459" s="2" t="s">
        <v>114</v>
      </c>
      <c r="Q2459" s="2" t="s">
        <v>2147</v>
      </c>
      <c r="R2459" s="2" t="s">
        <v>2148</v>
      </c>
      <c r="S2459" s="2">
        <v>1</v>
      </c>
      <c r="T2459" s="2">
        <v>8500</v>
      </c>
      <c r="U2459" s="2">
        <v>1955</v>
      </c>
      <c r="V2459" s="2">
        <v>10455</v>
      </c>
      <c r="X2459" s="5">
        <f t="shared" ref="X2459:X2487" si="351">(T2459-W2459)/T2459</f>
        <v>1</v>
      </c>
      <c r="Z2459" s="2" t="s">
        <v>104</v>
      </c>
      <c r="AF2459" s="2">
        <f t="shared" si="346"/>
        <v>0</v>
      </c>
      <c r="AJ2459" s="2">
        <f t="shared" si="347"/>
        <v>0</v>
      </c>
      <c r="AK2459" s="2">
        <f t="shared" si="349"/>
        <v>8500</v>
      </c>
      <c r="AL2459" s="5">
        <f t="shared" si="350"/>
        <v>1</v>
      </c>
    </row>
    <row r="2460" spans="1:38" x14ac:dyDescent="0.2">
      <c r="A2460" s="2">
        <v>2025</v>
      </c>
      <c r="B2460" s="2">
        <v>12</v>
      </c>
      <c r="D2460" s="2" t="s">
        <v>1257</v>
      </c>
      <c r="P2460" s="2" t="s">
        <v>114</v>
      </c>
      <c r="Q2460" s="2" t="s">
        <v>412</v>
      </c>
      <c r="R2460" s="2" t="s">
        <v>413</v>
      </c>
      <c r="S2460" s="2">
        <v>1</v>
      </c>
      <c r="T2460" s="2">
        <v>14990</v>
      </c>
      <c r="U2460" s="2">
        <v>3447.7</v>
      </c>
      <c r="V2460" s="2">
        <v>18437.7</v>
      </c>
      <c r="W2460" s="2">
        <v>10669.4</v>
      </c>
      <c r="X2460" s="5">
        <f t="shared" si="351"/>
        <v>0.28823215476984659</v>
      </c>
      <c r="Z2460" s="2" t="s">
        <v>104</v>
      </c>
      <c r="AA2460" s="2" t="s">
        <v>414</v>
      </c>
      <c r="AB2460" s="2" t="s">
        <v>151</v>
      </c>
      <c r="AC2460" s="2" t="s">
        <v>114</v>
      </c>
      <c r="AF2460" s="2">
        <f t="shared" si="346"/>
        <v>0</v>
      </c>
      <c r="AJ2460" s="2">
        <f t="shared" si="347"/>
        <v>0</v>
      </c>
      <c r="AK2460" s="2">
        <f t="shared" si="349"/>
        <v>4320.6000000000004</v>
      </c>
      <c r="AL2460" s="5">
        <f t="shared" si="350"/>
        <v>0.28823215476984659</v>
      </c>
    </row>
    <row r="2461" spans="1:38" x14ac:dyDescent="0.2">
      <c r="A2461" s="2">
        <v>2025</v>
      </c>
      <c r="B2461" s="2">
        <v>12</v>
      </c>
      <c r="D2461" s="2" t="s">
        <v>1049</v>
      </c>
      <c r="E2461" s="2" t="s">
        <v>108</v>
      </c>
      <c r="F2461" s="2" t="s">
        <v>531</v>
      </c>
      <c r="G2461" s="2">
        <v>504586351</v>
      </c>
      <c r="H2461" s="2" t="s">
        <v>290</v>
      </c>
      <c r="I2461" s="2" t="s">
        <v>1050</v>
      </c>
      <c r="J2461" s="2" t="s">
        <v>1051</v>
      </c>
      <c r="L2461" s="2" t="s">
        <v>339</v>
      </c>
      <c r="M2461" s="2" t="s">
        <v>40</v>
      </c>
      <c r="O2461" s="2" t="s">
        <v>2149</v>
      </c>
      <c r="P2461" s="2" t="s">
        <v>187</v>
      </c>
      <c r="Q2461" s="2" t="s">
        <v>188</v>
      </c>
      <c r="R2461" s="2" t="s">
        <v>189</v>
      </c>
      <c r="S2461" s="2">
        <v>1</v>
      </c>
      <c r="T2461" s="2">
        <v>50</v>
      </c>
      <c r="U2461" s="2">
        <v>11.5</v>
      </c>
      <c r="V2461" s="2">
        <v>61.5</v>
      </c>
      <c r="W2461" s="2">
        <f>T2461*40%</f>
        <v>20</v>
      </c>
      <c r="X2461" s="5">
        <f t="shared" si="351"/>
        <v>0.6</v>
      </c>
      <c r="Z2461" s="2" t="s">
        <v>117</v>
      </c>
      <c r="AA2461" s="2" t="s">
        <v>190</v>
      </c>
      <c r="AB2461" s="2" t="s">
        <v>189</v>
      </c>
      <c r="AC2461" s="2" t="s">
        <v>40</v>
      </c>
      <c r="AF2461" s="2">
        <f t="shared" si="346"/>
        <v>0</v>
      </c>
      <c r="AJ2461" s="2">
        <f t="shared" si="347"/>
        <v>0</v>
      </c>
      <c r="AK2461" s="2">
        <f t="shared" si="349"/>
        <v>30</v>
      </c>
      <c r="AL2461" s="5">
        <f t="shared" si="350"/>
        <v>0.6</v>
      </c>
    </row>
    <row r="2462" spans="1:38" x14ac:dyDescent="0.2">
      <c r="A2462" s="2">
        <v>2025</v>
      </c>
      <c r="B2462" s="2">
        <v>12</v>
      </c>
      <c r="D2462" s="2" t="s">
        <v>1049</v>
      </c>
      <c r="E2462" s="2" t="s">
        <v>108</v>
      </c>
      <c r="F2462" s="2" t="s">
        <v>531</v>
      </c>
      <c r="G2462" s="2">
        <v>504586351</v>
      </c>
      <c r="H2462" s="2" t="s">
        <v>290</v>
      </c>
      <c r="I2462" s="2" t="s">
        <v>1050</v>
      </c>
      <c r="J2462" s="2" t="s">
        <v>1051</v>
      </c>
      <c r="L2462" s="2" t="s">
        <v>339</v>
      </c>
      <c r="M2462" s="2" t="s">
        <v>40</v>
      </c>
      <c r="O2462" s="2" t="s">
        <v>2149</v>
      </c>
      <c r="P2462" s="2" t="s">
        <v>187</v>
      </c>
      <c r="Q2462" s="2" t="s">
        <v>191</v>
      </c>
      <c r="R2462" s="2" t="s">
        <v>190</v>
      </c>
      <c r="S2462" s="2">
        <v>1</v>
      </c>
      <c r="T2462" s="2">
        <v>50</v>
      </c>
      <c r="U2462" s="2">
        <v>11.5</v>
      </c>
      <c r="V2462" s="2">
        <v>61.5</v>
      </c>
      <c r="W2462" s="2">
        <f>T2462*50%</f>
        <v>25</v>
      </c>
      <c r="X2462" s="5">
        <f t="shared" si="351"/>
        <v>0.5</v>
      </c>
      <c r="Z2462" s="2" t="s">
        <v>117</v>
      </c>
      <c r="AA2462" s="2" t="s">
        <v>190</v>
      </c>
      <c r="AB2462" s="2" t="s">
        <v>190</v>
      </c>
      <c r="AC2462" s="2" t="s">
        <v>40</v>
      </c>
      <c r="AF2462" s="2">
        <f t="shared" si="346"/>
        <v>0</v>
      </c>
      <c r="AJ2462" s="2">
        <f t="shared" si="347"/>
        <v>0</v>
      </c>
      <c r="AK2462" s="2">
        <f t="shared" si="349"/>
        <v>25</v>
      </c>
      <c r="AL2462" s="5">
        <f t="shared" si="350"/>
        <v>0.5</v>
      </c>
    </row>
    <row r="2463" spans="1:38" x14ac:dyDescent="0.2">
      <c r="A2463" s="2">
        <v>2025</v>
      </c>
      <c r="B2463" s="2">
        <v>12</v>
      </c>
      <c r="D2463" s="2" t="s">
        <v>1049</v>
      </c>
      <c r="E2463" s="2" t="s">
        <v>108</v>
      </c>
      <c r="F2463" s="2" t="s">
        <v>531</v>
      </c>
      <c r="G2463" s="2">
        <v>504586351</v>
      </c>
      <c r="H2463" s="2" t="s">
        <v>290</v>
      </c>
      <c r="I2463" s="2" t="s">
        <v>1050</v>
      </c>
      <c r="J2463" s="2" t="s">
        <v>1051</v>
      </c>
      <c r="L2463" s="2" t="s">
        <v>339</v>
      </c>
      <c r="M2463" s="2" t="s">
        <v>40</v>
      </c>
      <c r="O2463" s="2" t="s">
        <v>2149</v>
      </c>
      <c r="P2463" s="2" t="s">
        <v>40</v>
      </c>
      <c r="Q2463" s="2" t="s">
        <v>363</v>
      </c>
      <c r="R2463" s="2" t="s">
        <v>364</v>
      </c>
      <c r="S2463" s="2">
        <v>1</v>
      </c>
      <c r="T2463" s="2">
        <v>699.3</v>
      </c>
      <c r="U2463" s="2">
        <v>160.839</v>
      </c>
      <c r="V2463" s="2">
        <v>860.1389999999999</v>
      </c>
      <c r="X2463" s="5">
        <f t="shared" si="351"/>
        <v>1</v>
      </c>
      <c r="Z2463" s="2" t="s">
        <v>117</v>
      </c>
      <c r="AA2463" s="2" t="s">
        <v>181</v>
      </c>
      <c r="AB2463" s="2" t="s">
        <v>119</v>
      </c>
      <c r="AC2463" s="2" t="s">
        <v>114</v>
      </c>
      <c r="AF2463" s="2">
        <f t="shared" si="346"/>
        <v>0</v>
      </c>
      <c r="AJ2463" s="2">
        <f t="shared" si="347"/>
        <v>0</v>
      </c>
      <c r="AK2463" s="2">
        <f t="shared" si="349"/>
        <v>699.3</v>
      </c>
      <c r="AL2463" s="5">
        <f t="shared" si="350"/>
        <v>1</v>
      </c>
    </row>
    <row r="2464" spans="1:38" x14ac:dyDescent="0.2">
      <c r="A2464" s="2">
        <v>2025</v>
      </c>
      <c r="B2464" s="2">
        <v>12</v>
      </c>
      <c r="C2464" s="2" t="s">
        <v>3326</v>
      </c>
      <c r="D2464" s="2" t="s">
        <v>2150</v>
      </c>
      <c r="E2464" s="2" t="s">
        <v>38</v>
      </c>
      <c r="F2464" s="2" t="s">
        <v>39</v>
      </c>
      <c r="G2464" s="2">
        <v>513368523</v>
      </c>
      <c r="H2464" s="2" t="s">
        <v>41</v>
      </c>
      <c r="L2464" s="2" t="s">
        <v>177</v>
      </c>
      <c r="M2464" s="2" t="s">
        <v>40</v>
      </c>
      <c r="P2464" s="2" t="s">
        <v>114</v>
      </c>
      <c r="Q2464" s="2" t="s">
        <v>904</v>
      </c>
      <c r="R2464" s="2" t="s">
        <v>905</v>
      </c>
      <c r="S2464" s="2">
        <v>1</v>
      </c>
      <c r="T2464" s="2">
        <v>599.4</v>
      </c>
      <c r="U2464" s="2">
        <v>137.86199999999999</v>
      </c>
      <c r="V2464" s="2">
        <v>737.26199999999994</v>
      </c>
      <c r="W2464" s="2">
        <v>345.20339999999999</v>
      </c>
      <c r="X2464" s="5">
        <f t="shared" si="351"/>
        <v>0.42408508508508508</v>
      </c>
      <c r="Z2464" s="2" t="s">
        <v>117</v>
      </c>
      <c r="AA2464" s="2" t="s">
        <v>181</v>
      </c>
      <c r="AB2464" s="2" t="s">
        <v>119</v>
      </c>
      <c r="AC2464" s="2" t="s">
        <v>114</v>
      </c>
      <c r="AF2464" s="2">
        <f t="shared" si="346"/>
        <v>0</v>
      </c>
      <c r="AJ2464" s="2">
        <f t="shared" si="347"/>
        <v>0</v>
      </c>
      <c r="AK2464" s="2">
        <f t="shared" si="349"/>
        <v>254.19659999999999</v>
      </c>
      <c r="AL2464" s="5">
        <f t="shared" si="350"/>
        <v>0.42408508508508508</v>
      </c>
    </row>
    <row r="2465" spans="1:38" x14ac:dyDescent="0.2">
      <c r="A2465" s="2">
        <v>2025</v>
      </c>
      <c r="B2465" s="2">
        <v>12</v>
      </c>
      <c r="C2465" s="2" t="s">
        <v>3326</v>
      </c>
      <c r="D2465" s="2" t="s">
        <v>2150</v>
      </c>
      <c r="E2465" s="2" t="s">
        <v>38</v>
      </c>
      <c r="F2465" s="2" t="s">
        <v>39</v>
      </c>
      <c r="G2465" s="2">
        <v>513368523</v>
      </c>
      <c r="H2465" s="2" t="s">
        <v>41</v>
      </c>
      <c r="L2465" s="2" t="s">
        <v>177</v>
      </c>
      <c r="M2465" s="2" t="s">
        <v>40</v>
      </c>
      <c r="P2465" s="2" t="s">
        <v>187</v>
      </c>
      <c r="Q2465" s="2" t="s">
        <v>188</v>
      </c>
      <c r="R2465" s="2" t="s">
        <v>189</v>
      </c>
      <c r="S2465" s="2">
        <v>1</v>
      </c>
      <c r="T2465" s="2">
        <v>67</v>
      </c>
      <c r="U2465" s="2">
        <v>15.41</v>
      </c>
      <c r="V2465" s="2">
        <v>82.41</v>
      </c>
      <c r="W2465" s="2">
        <f>T2465*40%</f>
        <v>26.8</v>
      </c>
      <c r="X2465" s="5">
        <f t="shared" si="351"/>
        <v>0.60000000000000009</v>
      </c>
      <c r="Z2465" s="2" t="s">
        <v>117</v>
      </c>
      <c r="AA2465" s="2" t="s">
        <v>190</v>
      </c>
      <c r="AB2465" s="2" t="s">
        <v>189</v>
      </c>
      <c r="AC2465" s="2" t="s">
        <v>40</v>
      </c>
      <c r="AF2465" s="2">
        <f t="shared" si="346"/>
        <v>0</v>
      </c>
      <c r="AJ2465" s="2">
        <f t="shared" si="347"/>
        <v>0</v>
      </c>
      <c r="AK2465" s="2">
        <f t="shared" si="349"/>
        <v>40.200000000000003</v>
      </c>
      <c r="AL2465" s="5">
        <f t="shared" si="350"/>
        <v>0.60000000000000009</v>
      </c>
    </row>
    <row r="2466" spans="1:38" x14ac:dyDescent="0.2">
      <c r="A2466" s="2">
        <v>2025</v>
      </c>
      <c r="B2466" s="2">
        <v>12</v>
      </c>
      <c r="C2466" s="2" t="s">
        <v>3326</v>
      </c>
      <c r="D2466" s="2" t="s">
        <v>2150</v>
      </c>
      <c r="E2466" s="2" t="s">
        <v>38</v>
      </c>
      <c r="F2466" s="2" t="s">
        <v>39</v>
      </c>
      <c r="G2466" s="2">
        <v>513368523</v>
      </c>
      <c r="H2466" s="2" t="s">
        <v>41</v>
      </c>
      <c r="L2466" s="2" t="s">
        <v>177</v>
      </c>
      <c r="M2466" s="2" t="s">
        <v>40</v>
      </c>
      <c r="P2466" s="2" t="s">
        <v>187</v>
      </c>
      <c r="Q2466" s="2" t="s">
        <v>191</v>
      </c>
      <c r="R2466" s="2" t="s">
        <v>190</v>
      </c>
      <c r="S2466" s="2">
        <v>1</v>
      </c>
      <c r="T2466" s="2">
        <v>50</v>
      </c>
      <c r="U2466" s="2">
        <v>11.5</v>
      </c>
      <c r="V2466" s="2">
        <v>61.5</v>
      </c>
      <c r="W2466" s="2">
        <f>T2466*50%</f>
        <v>25</v>
      </c>
      <c r="X2466" s="5">
        <f t="shared" si="351"/>
        <v>0.5</v>
      </c>
      <c r="Z2466" s="2" t="s">
        <v>117</v>
      </c>
      <c r="AA2466" s="2" t="s">
        <v>190</v>
      </c>
      <c r="AB2466" s="2" t="s">
        <v>190</v>
      </c>
      <c r="AC2466" s="2" t="s">
        <v>40</v>
      </c>
      <c r="AF2466" s="2">
        <f t="shared" si="346"/>
        <v>0</v>
      </c>
      <c r="AJ2466" s="2">
        <f t="shared" si="347"/>
        <v>0</v>
      </c>
      <c r="AK2466" s="2">
        <f t="shared" si="349"/>
        <v>25</v>
      </c>
      <c r="AL2466" s="5">
        <f t="shared" si="350"/>
        <v>0.5</v>
      </c>
    </row>
    <row r="2467" spans="1:38" x14ac:dyDescent="0.2">
      <c r="A2467" s="2">
        <v>2025</v>
      </c>
      <c r="B2467" s="2">
        <v>12</v>
      </c>
      <c r="D2467" s="2" t="s">
        <v>853</v>
      </c>
      <c r="E2467" s="2" t="s">
        <v>108</v>
      </c>
      <c r="F2467" s="2" t="s">
        <v>39</v>
      </c>
      <c r="G2467" s="2">
        <v>505128128</v>
      </c>
      <c r="H2467" s="2" t="s">
        <v>41</v>
      </c>
      <c r="I2467" s="2" t="s">
        <v>854</v>
      </c>
      <c r="J2467" s="2" t="s">
        <v>855</v>
      </c>
      <c r="K2467" s="2">
        <v>917665950</v>
      </c>
      <c r="L2467" s="2" t="s">
        <v>99</v>
      </c>
      <c r="M2467" s="2" t="s">
        <v>41</v>
      </c>
      <c r="O2467" s="2" t="s">
        <v>2151</v>
      </c>
      <c r="P2467" s="2" t="s">
        <v>43</v>
      </c>
      <c r="Q2467" s="2" t="s">
        <v>48</v>
      </c>
      <c r="R2467" s="2" t="s">
        <v>49</v>
      </c>
      <c r="S2467" s="2">
        <v>2</v>
      </c>
      <c r="T2467" s="2">
        <v>24</v>
      </c>
      <c r="U2467" s="2">
        <v>5.52</v>
      </c>
      <c r="V2467" s="2">
        <v>29.52</v>
      </c>
      <c r="W2467" s="2">
        <f>6.6267*S2467</f>
        <v>13.253399999999999</v>
      </c>
      <c r="X2467" s="5">
        <f t="shared" si="351"/>
        <v>0.44777500000000003</v>
      </c>
      <c r="Z2467" s="2" t="s">
        <v>3227</v>
      </c>
      <c r="AA2467" s="2" t="s">
        <v>46</v>
      </c>
      <c r="AB2467" s="2" t="s">
        <v>47</v>
      </c>
      <c r="AC2467" s="2" t="s">
        <v>57</v>
      </c>
      <c r="AF2467" s="2">
        <f t="shared" si="346"/>
        <v>0</v>
      </c>
      <c r="AG2467" s="2">
        <v>6.6266999999999996</v>
      </c>
      <c r="AH2467" s="2">
        <v>12</v>
      </c>
      <c r="AJ2467" s="2">
        <f t="shared" si="347"/>
        <v>0</v>
      </c>
      <c r="AK2467" s="2">
        <f t="shared" si="349"/>
        <v>10.746600000000001</v>
      </c>
      <c r="AL2467" s="5">
        <f t="shared" si="350"/>
        <v>0.44777500000000003</v>
      </c>
    </row>
    <row r="2468" spans="1:38" x14ac:dyDescent="0.2">
      <c r="A2468" s="2">
        <v>2025</v>
      </c>
      <c r="B2468" s="2">
        <v>12</v>
      </c>
      <c r="D2468" s="2" t="s">
        <v>853</v>
      </c>
      <c r="E2468" s="2" t="s">
        <v>108</v>
      </c>
      <c r="F2468" s="2" t="s">
        <v>39</v>
      </c>
      <c r="G2468" s="2">
        <v>505128128</v>
      </c>
      <c r="H2468" s="2" t="s">
        <v>41</v>
      </c>
      <c r="I2468" s="2" t="s">
        <v>854</v>
      </c>
      <c r="J2468" s="2" t="s">
        <v>855</v>
      </c>
      <c r="K2468" s="2">
        <v>917665950</v>
      </c>
      <c r="L2468" s="2" t="s">
        <v>99</v>
      </c>
      <c r="M2468" s="2" t="s">
        <v>41</v>
      </c>
      <c r="O2468" s="2" t="s">
        <v>2151</v>
      </c>
      <c r="P2468" s="2" t="s">
        <v>43</v>
      </c>
      <c r="Q2468" s="2" t="s">
        <v>859</v>
      </c>
      <c r="R2468" s="2" t="s">
        <v>860</v>
      </c>
      <c r="S2468" s="2">
        <v>1</v>
      </c>
      <c r="T2468" s="2">
        <v>19.2</v>
      </c>
      <c r="U2468" s="2">
        <v>4.4160000000000004</v>
      </c>
      <c r="V2468" s="2">
        <v>23.616</v>
      </c>
      <c r="W2468" s="2">
        <f>8*S2468</f>
        <v>8</v>
      </c>
      <c r="X2468" s="5">
        <f t="shared" si="351"/>
        <v>0.58333333333333337</v>
      </c>
      <c r="Z2468" s="2" t="s">
        <v>3227</v>
      </c>
      <c r="AA2468" s="2" t="s">
        <v>46</v>
      </c>
      <c r="AB2468" s="2" t="s">
        <v>47</v>
      </c>
      <c r="AC2468" s="2" t="s">
        <v>57</v>
      </c>
      <c r="AF2468" s="2">
        <f t="shared" si="346"/>
        <v>0</v>
      </c>
      <c r="AJ2468" s="2">
        <f t="shared" si="347"/>
        <v>0</v>
      </c>
      <c r="AK2468" s="2">
        <f t="shared" si="349"/>
        <v>11.2</v>
      </c>
      <c r="AL2468" s="5">
        <f t="shared" si="350"/>
        <v>0.58333333333333337</v>
      </c>
    </row>
    <row r="2469" spans="1:38" x14ac:dyDescent="0.2">
      <c r="A2469" s="2">
        <v>2025</v>
      </c>
      <c r="B2469" s="2">
        <v>12</v>
      </c>
      <c r="D2469" s="2" t="s">
        <v>853</v>
      </c>
      <c r="E2469" s="2" t="s">
        <v>108</v>
      </c>
      <c r="F2469" s="2" t="s">
        <v>39</v>
      </c>
      <c r="G2469" s="2">
        <v>505128128</v>
      </c>
      <c r="H2469" s="2" t="s">
        <v>41</v>
      </c>
      <c r="I2469" s="2" t="s">
        <v>854</v>
      </c>
      <c r="J2469" s="2" t="s">
        <v>855</v>
      </c>
      <c r="K2469" s="2">
        <v>917665950</v>
      </c>
      <c r="L2469" s="2" t="s">
        <v>99</v>
      </c>
      <c r="M2469" s="2" t="s">
        <v>41</v>
      </c>
      <c r="O2469" s="2" t="s">
        <v>2151</v>
      </c>
      <c r="P2469" s="2" t="s">
        <v>43</v>
      </c>
      <c r="Q2469" s="2" t="s">
        <v>222</v>
      </c>
      <c r="R2469" s="2" t="s">
        <v>223</v>
      </c>
      <c r="S2469" s="2">
        <v>1</v>
      </c>
      <c r="T2469" s="2">
        <v>27</v>
      </c>
      <c r="U2469" s="2">
        <v>6.21</v>
      </c>
      <c r="V2469" s="2">
        <v>33.21</v>
      </c>
      <c r="W2469" s="2">
        <f>16*S2469</f>
        <v>16</v>
      </c>
      <c r="X2469" s="5">
        <f t="shared" si="351"/>
        <v>0.40740740740740738</v>
      </c>
      <c r="Z2469" s="2" t="s">
        <v>3227</v>
      </c>
      <c r="AA2469" s="2" t="s">
        <v>46</v>
      </c>
      <c r="AB2469" s="2" t="s">
        <v>56</v>
      </c>
      <c r="AC2469" s="2" t="s">
        <v>57</v>
      </c>
      <c r="AF2469" s="2">
        <f t="shared" si="346"/>
        <v>0</v>
      </c>
      <c r="AJ2469" s="2">
        <f t="shared" si="347"/>
        <v>0</v>
      </c>
      <c r="AK2469" s="2">
        <f t="shared" si="349"/>
        <v>11</v>
      </c>
      <c r="AL2469" s="5">
        <f t="shared" si="350"/>
        <v>0.40740740740740738</v>
      </c>
    </row>
    <row r="2470" spans="1:38" x14ac:dyDescent="0.2">
      <c r="A2470" s="2">
        <v>2025</v>
      </c>
      <c r="B2470" s="2">
        <v>12</v>
      </c>
      <c r="D2470" s="2" t="s">
        <v>853</v>
      </c>
      <c r="E2470" s="2" t="s">
        <v>108</v>
      </c>
      <c r="F2470" s="2" t="s">
        <v>39</v>
      </c>
      <c r="G2470" s="2">
        <v>505128128</v>
      </c>
      <c r="H2470" s="2" t="s">
        <v>41</v>
      </c>
      <c r="I2470" s="2" t="s">
        <v>854</v>
      </c>
      <c r="J2470" s="2" t="s">
        <v>855</v>
      </c>
      <c r="K2470" s="2">
        <v>917665950</v>
      </c>
      <c r="L2470" s="2" t="s">
        <v>99</v>
      </c>
      <c r="M2470" s="2" t="s">
        <v>41</v>
      </c>
      <c r="O2470" s="2" t="s">
        <v>2151</v>
      </c>
      <c r="P2470" s="2" t="s">
        <v>43</v>
      </c>
      <c r="Q2470" s="2" t="s">
        <v>232</v>
      </c>
      <c r="R2470" s="2" t="s">
        <v>233</v>
      </c>
      <c r="S2470" s="2">
        <v>1</v>
      </c>
      <c r="T2470" s="2">
        <v>12</v>
      </c>
      <c r="U2470" s="2">
        <v>2.76</v>
      </c>
      <c r="V2470" s="2">
        <v>14.76</v>
      </c>
      <c r="W2470" s="2">
        <v>5.9066999999999998</v>
      </c>
      <c r="X2470" s="5">
        <f t="shared" si="351"/>
        <v>0.50777499999999998</v>
      </c>
      <c r="Z2470" s="2" t="s">
        <v>3227</v>
      </c>
      <c r="AA2470" s="2" t="s">
        <v>46</v>
      </c>
      <c r="AB2470" s="2" t="s">
        <v>56</v>
      </c>
      <c r="AC2470" s="2" t="s">
        <v>57</v>
      </c>
      <c r="AF2470" s="2">
        <f t="shared" si="346"/>
        <v>0</v>
      </c>
      <c r="AG2470" s="2">
        <v>5.9066999999999998</v>
      </c>
      <c r="AH2470" s="2">
        <v>12.6</v>
      </c>
      <c r="AJ2470" s="2">
        <f t="shared" si="347"/>
        <v>0</v>
      </c>
      <c r="AK2470" s="2">
        <f t="shared" si="349"/>
        <v>6.0933000000000002</v>
      </c>
      <c r="AL2470" s="5">
        <f t="shared" si="350"/>
        <v>0.50777499999999998</v>
      </c>
    </row>
    <row r="2471" spans="1:38" x14ac:dyDescent="0.2">
      <c r="A2471" s="2">
        <v>2025</v>
      </c>
      <c r="B2471" s="2">
        <v>12</v>
      </c>
      <c r="D2471" s="2" t="s">
        <v>853</v>
      </c>
      <c r="E2471" s="2" t="s">
        <v>108</v>
      </c>
      <c r="F2471" s="2" t="s">
        <v>39</v>
      </c>
      <c r="G2471" s="2">
        <v>505128128</v>
      </c>
      <c r="H2471" s="2" t="s">
        <v>41</v>
      </c>
      <c r="I2471" s="2" t="s">
        <v>854</v>
      </c>
      <c r="J2471" s="2" t="s">
        <v>855</v>
      </c>
      <c r="K2471" s="2">
        <v>917665950</v>
      </c>
      <c r="L2471" s="2" t="s">
        <v>99</v>
      </c>
      <c r="M2471" s="2" t="s">
        <v>41</v>
      </c>
      <c r="O2471" s="2" t="s">
        <v>2151</v>
      </c>
      <c r="P2471" s="2" t="s">
        <v>43</v>
      </c>
      <c r="Q2471" s="2" t="s">
        <v>234</v>
      </c>
      <c r="R2471" s="2" t="s">
        <v>235</v>
      </c>
      <c r="S2471" s="2">
        <v>1</v>
      </c>
      <c r="T2471" s="2">
        <v>13.2</v>
      </c>
      <c r="U2471" s="2">
        <v>3.036</v>
      </c>
      <c r="V2471" s="2">
        <v>16.236000000000001</v>
      </c>
      <c r="W2471" s="2">
        <v>7.2217000000000002</v>
      </c>
      <c r="X2471" s="5">
        <f t="shared" si="351"/>
        <v>0.45290151515151511</v>
      </c>
      <c r="Z2471" s="2" t="s">
        <v>3227</v>
      </c>
      <c r="AA2471" s="2" t="s">
        <v>46</v>
      </c>
      <c r="AB2471" s="2" t="s">
        <v>56</v>
      </c>
      <c r="AC2471" s="2" t="s">
        <v>57</v>
      </c>
      <c r="AF2471" s="2">
        <f t="shared" si="346"/>
        <v>0</v>
      </c>
      <c r="AG2471" s="2">
        <v>7.2217000000000002</v>
      </c>
      <c r="AH2471" s="2">
        <v>14.4</v>
      </c>
      <c r="AJ2471" s="2">
        <f t="shared" si="347"/>
        <v>0</v>
      </c>
      <c r="AK2471" s="2">
        <f t="shared" si="349"/>
        <v>5.9782999999999991</v>
      </c>
      <c r="AL2471" s="5">
        <f t="shared" si="350"/>
        <v>0.45290151515151511</v>
      </c>
    </row>
    <row r="2472" spans="1:38" x14ac:dyDescent="0.2">
      <c r="A2472" s="2">
        <v>2025</v>
      </c>
      <c r="B2472" s="2">
        <v>12</v>
      </c>
      <c r="D2472" s="2" t="s">
        <v>853</v>
      </c>
      <c r="E2472" s="2" t="s">
        <v>108</v>
      </c>
      <c r="F2472" s="2" t="s">
        <v>39</v>
      </c>
      <c r="G2472" s="2">
        <v>505128128</v>
      </c>
      <c r="H2472" s="2" t="s">
        <v>41</v>
      </c>
      <c r="I2472" s="2" t="s">
        <v>854</v>
      </c>
      <c r="J2472" s="2" t="s">
        <v>855</v>
      </c>
      <c r="K2472" s="2">
        <v>917665950</v>
      </c>
      <c r="L2472" s="2" t="s">
        <v>99</v>
      </c>
      <c r="M2472" s="2" t="s">
        <v>41</v>
      </c>
      <c r="O2472" s="2" t="s">
        <v>2151</v>
      </c>
      <c r="P2472" s="2" t="s">
        <v>43</v>
      </c>
      <c r="Q2472" s="2" t="s">
        <v>240</v>
      </c>
      <c r="R2472" s="2" t="s">
        <v>241</v>
      </c>
      <c r="S2472" s="2">
        <v>1</v>
      </c>
      <c r="T2472" s="2">
        <v>24</v>
      </c>
      <c r="U2472" s="2">
        <v>5.52</v>
      </c>
      <c r="V2472" s="2">
        <v>29.52</v>
      </c>
      <c r="W2472" s="2">
        <f>13.4067*S2472</f>
        <v>13.406700000000001</v>
      </c>
      <c r="X2472" s="5">
        <f t="shared" si="351"/>
        <v>0.44138749999999999</v>
      </c>
      <c r="Z2472" s="2" t="s">
        <v>3227</v>
      </c>
      <c r="AA2472" s="2" t="s">
        <v>46</v>
      </c>
      <c r="AB2472" s="2" t="s">
        <v>56</v>
      </c>
      <c r="AC2472" s="2" t="s">
        <v>57</v>
      </c>
      <c r="AF2472" s="2">
        <f t="shared" si="346"/>
        <v>0</v>
      </c>
      <c r="AJ2472" s="2">
        <f t="shared" si="347"/>
        <v>0</v>
      </c>
      <c r="AK2472" s="2">
        <f t="shared" si="349"/>
        <v>10.593299999999999</v>
      </c>
      <c r="AL2472" s="5">
        <f t="shared" si="350"/>
        <v>0.44138749999999999</v>
      </c>
    </row>
    <row r="2473" spans="1:38" x14ac:dyDescent="0.2">
      <c r="A2473" s="2">
        <v>2025</v>
      </c>
      <c r="B2473" s="2">
        <v>12</v>
      </c>
      <c r="D2473" s="2" t="s">
        <v>853</v>
      </c>
      <c r="E2473" s="2" t="s">
        <v>108</v>
      </c>
      <c r="F2473" s="2" t="s">
        <v>39</v>
      </c>
      <c r="G2473" s="2">
        <v>505128128</v>
      </c>
      <c r="H2473" s="2" t="s">
        <v>41</v>
      </c>
      <c r="I2473" s="2" t="s">
        <v>854</v>
      </c>
      <c r="J2473" s="2" t="s">
        <v>855</v>
      </c>
      <c r="K2473" s="2">
        <v>917665950</v>
      </c>
      <c r="L2473" s="2" t="s">
        <v>99</v>
      </c>
      <c r="M2473" s="2" t="s">
        <v>41</v>
      </c>
      <c r="O2473" s="2" t="s">
        <v>2151</v>
      </c>
      <c r="P2473" s="2" t="s">
        <v>43</v>
      </c>
      <c r="Q2473" s="2" t="s">
        <v>54</v>
      </c>
      <c r="R2473" s="2" t="s">
        <v>55</v>
      </c>
      <c r="S2473" s="2">
        <v>2</v>
      </c>
      <c r="T2473" s="2">
        <v>45.6</v>
      </c>
      <c r="U2473" s="2">
        <v>10.488</v>
      </c>
      <c r="V2473" s="2">
        <v>56.088000000000001</v>
      </c>
      <c r="W2473" s="2">
        <f>10.6*S2473</f>
        <v>21.2</v>
      </c>
      <c r="X2473" s="5">
        <f t="shared" si="351"/>
        <v>0.53508771929824561</v>
      </c>
      <c r="Z2473" s="2" t="s">
        <v>3227</v>
      </c>
      <c r="AA2473" s="2" t="s">
        <v>46</v>
      </c>
      <c r="AB2473" s="2" t="s">
        <v>56</v>
      </c>
      <c r="AC2473" s="2" t="s">
        <v>57</v>
      </c>
      <c r="AF2473" s="2">
        <f t="shared" si="346"/>
        <v>0</v>
      </c>
      <c r="AG2473" s="2">
        <v>10.6</v>
      </c>
      <c r="AH2473" s="2">
        <v>18</v>
      </c>
      <c r="AJ2473" s="2">
        <f t="shared" si="347"/>
        <v>0</v>
      </c>
      <c r="AK2473" s="2">
        <f t="shared" si="349"/>
        <v>24.400000000000002</v>
      </c>
      <c r="AL2473" s="5">
        <f t="shared" si="350"/>
        <v>0.53508771929824561</v>
      </c>
    </row>
    <row r="2474" spans="1:38" x14ac:dyDescent="0.2">
      <c r="A2474" s="2">
        <v>2025</v>
      </c>
      <c r="B2474" s="2">
        <v>12</v>
      </c>
      <c r="D2474" s="2" t="s">
        <v>2152</v>
      </c>
      <c r="M2474" s="2" t="s">
        <v>40</v>
      </c>
      <c r="P2474" s="2" t="s">
        <v>114</v>
      </c>
      <c r="Q2474" s="2" t="s">
        <v>904</v>
      </c>
      <c r="R2474" s="2" t="s">
        <v>905</v>
      </c>
      <c r="S2474" s="2">
        <v>1</v>
      </c>
      <c r="T2474" s="2">
        <v>699.3</v>
      </c>
      <c r="U2474" s="2">
        <v>160.839</v>
      </c>
      <c r="V2474" s="2">
        <v>860.1389999999999</v>
      </c>
      <c r="W2474" s="2">
        <v>345.20339999999999</v>
      </c>
      <c r="X2474" s="5">
        <f t="shared" si="351"/>
        <v>0.50635864435864431</v>
      </c>
      <c r="Z2474" s="2" t="s">
        <v>117</v>
      </c>
      <c r="AA2474" s="2" t="s">
        <v>181</v>
      </c>
      <c r="AB2474" s="2" t="s">
        <v>119</v>
      </c>
      <c r="AC2474" s="2" t="s">
        <v>114</v>
      </c>
      <c r="AF2474" s="2">
        <f t="shared" si="346"/>
        <v>0</v>
      </c>
      <c r="AJ2474" s="2">
        <f t="shared" si="347"/>
        <v>0</v>
      </c>
      <c r="AK2474" s="2">
        <f t="shared" si="349"/>
        <v>354.09659999999997</v>
      </c>
      <c r="AL2474" s="5">
        <f t="shared" si="350"/>
        <v>0.50635864435864431</v>
      </c>
    </row>
    <row r="2475" spans="1:38" x14ac:dyDescent="0.2">
      <c r="A2475" s="2">
        <v>2025</v>
      </c>
      <c r="B2475" s="2">
        <v>12</v>
      </c>
      <c r="D2475" s="2" t="s">
        <v>2152</v>
      </c>
      <c r="M2475" s="2" t="s">
        <v>40</v>
      </c>
      <c r="P2475" s="2" t="s">
        <v>187</v>
      </c>
      <c r="Q2475" s="2" t="s">
        <v>188</v>
      </c>
      <c r="R2475" s="2" t="s">
        <v>189</v>
      </c>
      <c r="S2475" s="2">
        <v>1</v>
      </c>
      <c r="T2475" s="2">
        <v>115</v>
      </c>
      <c r="U2475" s="2">
        <v>26.45</v>
      </c>
      <c r="V2475" s="2">
        <v>141.44999999999999</v>
      </c>
      <c r="W2475" s="2">
        <f>T2475*40%</f>
        <v>46</v>
      </c>
      <c r="X2475" s="5">
        <f t="shared" si="351"/>
        <v>0.6</v>
      </c>
      <c r="Z2475" s="2" t="s">
        <v>117</v>
      </c>
      <c r="AA2475" s="2" t="s">
        <v>190</v>
      </c>
      <c r="AB2475" s="2" t="s">
        <v>189</v>
      </c>
      <c r="AC2475" s="2" t="s">
        <v>40</v>
      </c>
      <c r="AF2475" s="2">
        <f t="shared" si="346"/>
        <v>0</v>
      </c>
      <c r="AJ2475" s="2">
        <f t="shared" si="347"/>
        <v>0</v>
      </c>
      <c r="AK2475" s="2">
        <f t="shared" si="349"/>
        <v>69</v>
      </c>
      <c r="AL2475" s="5">
        <f t="shared" si="350"/>
        <v>0.6</v>
      </c>
    </row>
    <row r="2476" spans="1:38" x14ac:dyDescent="0.2">
      <c r="A2476" s="2">
        <v>2025</v>
      </c>
      <c r="B2476" s="2">
        <v>12</v>
      </c>
      <c r="D2476" s="2" t="s">
        <v>2152</v>
      </c>
      <c r="M2476" s="2" t="s">
        <v>40</v>
      </c>
      <c r="P2476" s="2" t="s">
        <v>187</v>
      </c>
      <c r="Q2476" s="2" t="s">
        <v>191</v>
      </c>
      <c r="R2476" s="2" t="s">
        <v>190</v>
      </c>
      <c r="S2476" s="2">
        <v>1</v>
      </c>
      <c r="T2476" s="2">
        <v>50</v>
      </c>
      <c r="U2476" s="2">
        <v>11.5</v>
      </c>
      <c r="V2476" s="2">
        <v>61.5</v>
      </c>
      <c r="W2476" s="2">
        <f>T2476*50%</f>
        <v>25</v>
      </c>
      <c r="X2476" s="5">
        <f t="shared" si="351"/>
        <v>0.5</v>
      </c>
      <c r="Z2476" s="2" t="s">
        <v>117</v>
      </c>
      <c r="AA2476" s="2" t="s">
        <v>190</v>
      </c>
      <c r="AB2476" s="2" t="s">
        <v>190</v>
      </c>
      <c r="AC2476" s="2" t="s">
        <v>40</v>
      </c>
      <c r="AF2476" s="2">
        <f t="shared" si="346"/>
        <v>0</v>
      </c>
      <c r="AJ2476" s="2">
        <f t="shared" si="347"/>
        <v>0</v>
      </c>
      <c r="AK2476" s="2">
        <f t="shared" si="349"/>
        <v>25</v>
      </c>
      <c r="AL2476" s="5">
        <f t="shared" si="350"/>
        <v>0.5</v>
      </c>
    </row>
    <row r="2477" spans="1:38" x14ac:dyDescent="0.2">
      <c r="A2477" s="2">
        <v>2025</v>
      </c>
      <c r="B2477" s="2">
        <v>12</v>
      </c>
      <c r="D2477" s="2" t="s">
        <v>1065</v>
      </c>
      <c r="E2477" s="2" t="s">
        <v>108</v>
      </c>
      <c r="F2477" s="2" t="s">
        <v>39</v>
      </c>
      <c r="L2477" s="2" t="s">
        <v>99</v>
      </c>
      <c r="M2477" s="2" t="s">
        <v>41</v>
      </c>
      <c r="P2477" s="2" t="s">
        <v>43</v>
      </c>
      <c r="Q2477" s="2" t="s">
        <v>65</v>
      </c>
      <c r="R2477" s="2" t="s">
        <v>66</v>
      </c>
      <c r="S2477" s="2">
        <v>10</v>
      </c>
      <c r="T2477" s="2">
        <v>215</v>
      </c>
      <c r="U2477" s="2">
        <v>49.45</v>
      </c>
      <c r="V2477" s="2">
        <v>264.45</v>
      </c>
      <c r="W2477" s="2">
        <f>15.0203*S2477</f>
        <v>150.203</v>
      </c>
      <c r="X2477" s="5">
        <f t="shared" si="351"/>
        <v>0.30138139534883718</v>
      </c>
      <c r="Z2477" s="2" t="s">
        <v>3227</v>
      </c>
      <c r="AA2477" s="2" t="s">
        <v>46</v>
      </c>
      <c r="AB2477" s="2" t="s">
        <v>67</v>
      </c>
      <c r="AC2477" s="2" t="s">
        <v>57</v>
      </c>
      <c r="AF2477" s="2">
        <f t="shared" si="346"/>
        <v>0</v>
      </c>
      <c r="AG2477" s="2">
        <v>15.020300000000001</v>
      </c>
      <c r="AH2477" s="2">
        <v>27.6</v>
      </c>
      <c r="AJ2477" s="2">
        <f t="shared" si="347"/>
        <v>0</v>
      </c>
      <c r="AK2477" s="2">
        <f t="shared" si="349"/>
        <v>64.796999999999997</v>
      </c>
      <c r="AL2477" s="5">
        <f t="shared" si="350"/>
        <v>0.30138139534883718</v>
      </c>
    </row>
    <row r="2478" spans="1:38" x14ac:dyDescent="0.2">
      <c r="A2478" s="2">
        <v>2025</v>
      </c>
      <c r="B2478" s="2">
        <v>12</v>
      </c>
      <c r="D2478" s="2" t="s">
        <v>508</v>
      </c>
      <c r="P2478" s="2" t="s">
        <v>43</v>
      </c>
      <c r="Q2478" s="2" t="s">
        <v>54</v>
      </c>
      <c r="R2478" s="2" t="s">
        <v>55</v>
      </c>
      <c r="S2478" s="2">
        <v>4</v>
      </c>
      <c r="T2478" s="2">
        <v>72</v>
      </c>
      <c r="U2478" s="2">
        <v>16.559999999999999</v>
      </c>
      <c r="V2478" s="2">
        <v>88.56</v>
      </c>
      <c r="W2478" s="2">
        <f>10.6*S2478</f>
        <v>42.4</v>
      </c>
      <c r="X2478" s="5">
        <f t="shared" si="351"/>
        <v>0.41111111111111115</v>
      </c>
      <c r="Z2478" s="2" t="s">
        <v>3227</v>
      </c>
      <c r="AA2478" s="2" t="s">
        <v>46</v>
      </c>
      <c r="AB2478" s="2" t="s">
        <v>56</v>
      </c>
      <c r="AC2478" s="2" t="s">
        <v>57</v>
      </c>
      <c r="AF2478" s="2">
        <f t="shared" si="346"/>
        <v>0</v>
      </c>
      <c r="AG2478" s="2">
        <v>10.6</v>
      </c>
      <c r="AH2478" s="2">
        <v>18</v>
      </c>
      <c r="AJ2478" s="2">
        <f t="shared" si="347"/>
        <v>0</v>
      </c>
      <c r="AK2478" s="2">
        <f t="shared" si="349"/>
        <v>29.6</v>
      </c>
      <c r="AL2478" s="5">
        <f t="shared" si="350"/>
        <v>0.41111111111111115</v>
      </c>
    </row>
    <row r="2479" spans="1:38" x14ac:dyDescent="0.2">
      <c r="A2479" s="2">
        <v>2025</v>
      </c>
      <c r="B2479" s="2">
        <v>12</v>
      </c>
      <c r="D2479" s="2" t="s">
        <v>508</v>
      </c>
      <c r="P2479" s="2" t="s">
        <v>43</v>
      </c>
      <c r="Q2479" s="2" t="s">
        <v>61</v>
      </c>
      <c r="R2479" s="2" t="s">
        <v>62</v>
      </c>
      <c r="S2479" s="2">
        <v>400</v>
      </c>
      <c r="T2479" s="2">
        <v>48</v>
      </c>
      <c r="U2479" s="2">
        <v>11.04</v>
      </c>
      <c r="V2479" s="2">
        <v>59.04</v>
      </c>
      <c r="W2479" s="2">
        <f>0.082*S2479</f>
        <v>32.800000000000004</v>
      </c>
      <c r="X2479" s="5">
        <f t="shared" si="351"/>
        <v>0.3166666666666666</v>
      </c>
      <c r="Z2479" s="2" t="s">
        <v>3227</v>
      </c>
      <c r="AA2479" s="2" t="s">
        <v>46</v>
      </c>
      <c r="AB2479" s="2" t="s">
        <v>60</v>
      </c>
      <c r="AC2479" s="2" t="s">
        <v>57</v>
      </c>
      <c r="AF2479" s="2">
        <f t="shared" si="346"/>
        <v>0</v>
      </c>
      <c r="AG2479" s="2">
        <v>8.1999999999999993</v>
      </c>
      <c r="AH2479" s="2">
        <v>13</v>
      </c>
      <c r="AJ2479" s="2">
        <f t="shared" si="347"/>
        <v>0</v>
      </c>
      <c r="AK2479" s="2">
        <f t="shared" si="349"/>
        <v>15.199999999999996</v>
      </c>
      <c r="AL2479" s="5">
        <f t="shared" si="350"/>
        <v>0.3166666666666666</v>
      </c>
    </row>
    <row r="2480" spans="1:38" x14ac:dyDescent="0.2">
      <c r="A2480" s="2">
        <v>2025</v>
      </c>
      <c r="B2480" s="2">
        <v>12</v>
      </c>
      <c r="D2480" s="2" t="s">
        <v>508</v>
      </c>
      <c r="P2480" s="2" t="s">
        <v>43</v>
      </c>
      <c r="Q2480" s="2" t="s">
        <v>164</v>
      </c>
      <c r="R2480" s="2" t="s">
        <v>165</v>
      </c>
      <c r="S2480" s="2">
        <v>2</v>
      </c>
      <c r="T2480" s="2">
        <v>29</v>
      </c>
      <c r="U2480" s="2">
        <v>6.67</v>
      </c>
      <c r="V2480" s="2">
        <v>35.67</v>
      </c>
      <c r="W2480" s="2">
        <f>7.9612*S2480</f>
        <v>15.9224</v>
      </c>
      <c r="X2480" s="5">
        <f t="shared" si="351"/>
        <v>0.45095172413793105</v>
      </c>
      <c r="Z2480" s="2" t="s">
        <v>3227</v>
      </c>
      <c r="AA2480" s="2" t="s">
        <v>46</v>
      </c>
      <c r="AB2480" s="2" t="s">
        <v>67</v>
      </c>
      <c r="AC2480" s="2" t="s">
        <v>57</v>
      </c>
      <c r="AF2480" s="2">
        <f t="shared" si="346"/>
        <v>0</v>
      </c>
      <c r="AG2480" s="2">
        <v>7.9611999999999998</v>
      </c>
      <c r="AH2480" s="2">
        <v>14.4</v>
      </c>
      <c r="AJ2480" s="2">
        <f t="shared" si="347"/>
        <v>0</v>
      </c>
      <c r="AK2480" s="2">
        <f t="shared" si="349"/>
        <v>13.0776</v>
      </c>
      <c r="AL2480" s="5">
        <f t="shared" si="350"/>
        <v>0.45095172413793105</v>
      </c>
    </row>
    <row r="2481" spans="1:38" x14ac:dyDescent="0.2">
      <c r="A2481" s="2">
        <v>2025</v>
      </c>
      <c r="B2481" s="2">
        <v>12</v>
      </c>
      <c r="D2481" s="2" t="s">
        <v>2153</v>
      </c>
      <c r="P2481" s="2" t="s">
        <v>114</v>
      </c>
      <c r="Q2481" s="2" t="s">
        <v>2154</v>
      </c>
      <c r="R2481" s="2" t="s">
        <v>2155</v>
      </c>
      <c r="S2481" s="2">
        <v>4</v>
      </c>
      <c r="T2481" s="2">
        <v>65.72</v>
      </c>
      <c r="U2481" s="2">
        <v>15.115600000000001</v>
      </c>
      <c r="V2481" s="2">
        <v>80.835599999999999</v>
      </c>
      <c r="X2481" s="5">
        <f t="shared" si="351"/>
        <v>1</v>
      </c>
      <c r="Z2481" s="2" t="s">
        <v>117</v>
      </c>
      <c r="AF2481" s="2">
        <f t="shared" si="346"/>
        <v>0</v>
      </c>
      <c r="AJ2481" s="2">
        <f t="shared" si="347"/>
        <v>0</v>
      </c>
      <c r="AK2481" s="2">
        <f t="shared" si="349"/>
        <v>65.72</v>
      </c>
      <c r="AL2481" s="5">
        <f t="shared" si="350"/>
        <v>1</v>
      </c>
    </row>
    <row r="2482" spans="1:38" x14ac:dyDescent="0.2">
      <c r="A2482" s="2">
        <v>2025</v>
      </c>
      <c r="B2482" s="2">
        <v>12</v>
      </c>
      <c r="D2482" s="2" t="s">
        <v>2153</v>
      </c>
      <c r="P2482" s="2" t="s">
        <v>114</v>
      </c>
      <c r="Q2482" s="2" t="s">
        <v>561</v>
      </c>
      <c r="R2482" s="2" t="s">
        <v>562</v>
      </c>
      <c r="S2482" s="2">
        <v>2</v>
      </c>
      <c r="T2482" s="2">
        <v>28.57</v>
      </c>
      <c r="U2482" s="2">
        <v>6.5711000000000004</v>
      </c>
      <c r="V2482" s="2">
        <v>35.141100000000002</v>
      </c>
      <c r="X2482" s="5">
        <f t="shared" si="351"/>
        <v>1</v>
      </c>
      <c r="Z2482" s="2" t="s">
        <v>117</v>
      </c>
      <c r="AF2482" s="2">
        <f t="shared" si="346"/>
        <v>0</v>
      </c>
      <c r="AJ2482" s="2">
        <f t="shared" si="347"/>
        <v>0</v>
      </c>
      <c r="AK2482" s="2">
        <f t="shared" si="349"/>
        <v>28.57</v>
      </c>
      <c r="AL2482" s="5">
        <f t="shared" si="350"/>
        <v>1</v>
      </c>
    </row>
    <row r="2483" spans="1:38" x14ac:dyDescent="0.2">
      <c r="A2483" s="2">
        <v>2025</v>
      </c>
      <c r="B2483" s="2">
        <v>12</v>
      </c>
      <c r="D2483" s="2" t="s">
        <v>1590</v>
      </c>
      <c r="M2483" s="2" t="s">
        <v>40</v>
      </c>
      <c r="P2483" s="2" t="s">
        <v>187</v>
      </c>
      <c r="Q2483" s="2" t="s">
        <v>188</v>
      </c>
      <c r="R2483" s="2" t="s">
        <v>189</v>
      </c>
      <c r="S2483" s="2">
        <v>1</v>
      </c>
      <c r="T2483" s="2">
        <v>184</v>
      </c>
      <c r="U2483" s="2">
        <v>42.32</v>
      </c>
      <c r="V2483" s="2">
        <v>226.32</v>
      </c>
      <c r="W2483" s="2">
        <f>T2483*40%</f>
        <v>73.600000000000009</v>
      </c>
      <c r="X2483" s="5">
        <f t="shared" si="351"/>
        <v>0.6</v>
      </c>
      <c r="Z2483" s="2" t="s">
        <v>117</v>
      </c>
      <c r="AA2483" s="2" t="s">
        <v>190</v>
      </c>
      <c r="AB2483" s="2" t="s">
        <v>189</v>
      </c>
      <c r="AC2483" s="2" t="s">
        <v>40</v>
      </c>
      <c r="AF2483" s="2">
        <f t="shared" si="346"/>
        <v>0</v>
      </c>
      <c r="AJ2483" s="2">
        <f t="shared" si="347"/>
        <v>0</v>
      </c>
      <c r="AK2483" s="2">
        <f t="shared" si="349"/>
        <v>110.39999999999999</v>
      </c>
      <c r="AL2483" s="5">
        <f t="shared" si="350"/>
        <v>0.6</v>
      </c>
    </row>
    <row r="2484" spans="1:38" x14ac:dyDescent="0.2">
      <c r="A2484" s="2">
        <v>2025</v>
      </c>
      <c r="B2484" s="2">
        <v>12</v>
      </c>
      <c r="D2484" s="2" t="s">
        <v>1590</v>
      </c>
      <c r="M2484" s="2" t="s">
        <v>40</v>
      </c>
      <c r="P2484" s="2" t="s">
        <v>187</v>
      </c>
      <c r="Q2484" s="2" t="s">
        <v>191</v>
      </c>
      <c r="R2484" s="2" t="s">
        <v>190</v>
      </c>
      <c r="S2484" s="2">
        <v>1.25</v>
      </c>
      <c r="T2484" s="2">
        <v>62.5</v>
      </c>
      <c r="U2484" s="2">
        <v>14.375</v>
      </c>
      <c r="V2484" s="2">
        <v>76.875</v>
      </c>
      <c r="W2484" s="2">
        <f>T2484*50%</f>
        <v>31.25</v>
      </c>
      <c r="X2484" s="5">
        <f t="shared" si="351"/>
        <v>0.5</v>
      </c>
      <c r="Z2484" s="2" t="s">
        <v>117</v>
      </c>
      <c r="AA2484" s="2" t="s">
        <v>190</v>
      </c>
      <c r="AB2484" s="2" t="s">
        <v>190</v>
      </c>
      <c r="AC2484" s="2" t="s">
        <v>40</v>
      </c>
      <c r="AF2484" s="2">
        <f t="shared" si="346"/>
        <v>0</v>
      </c>
      <c r="AJ2484" s="2">
        <f t="shared" si="347"/>
        <v>0</v>
      </c>
      <c r="AK2484" s="2">
        <f t="shared" si="349"/>
        <v>31.25</v>
      </c>
      <c r="AL2484" s="5">
        <f t="shared" si="350"/>
        <v>0.5</v>
      </c>
    </row>
    <row r="2485" spans="1:38" x14ac:dyDescent="0.2">
      <c r="A2485" s="2">
        <v>2025</v>
      </c>
      <c r="B2485" s="2">
        <v>12</v>
      </c>
      <c r="D2485" s="2" t="s">
        <v>525</v>
      </c>
      <c r="E2485" s="2" t="s">
        <v>108</v>
      </c>
      <c r="F2485" s="2" t="s">
        <v>39</v>
      </c>
      <c r="G2485" s="2">
        <v>509391583</v>
      </c>
      <c r="H2485" s="2" t="s">
        <v>40</v>
      </c>
      <c r="I2485" s="2" t="s">
        <v>526</v>
      </c>
      <c r="J2485" s="2" t="s">
        <v>527</v>
      </c>
      <c r="L2485" s="2" t="s">
        <v>344</v>
      </c>
      <c r="P2485" s="2" t="s">
        <v>114</v>
      </c>
      <c r="Q2485" s="2" t="s">
        <v>955</v>
      </c>
      <c r="R2485" s="2" t="s">
        <v>956</v>
      </c>
      <c r="S2485" s="2">
        <v>1</v>
      </c>
      <c r="T2485" s="2">
        <v>9930</v>
      </c>
      <c r="U2485" s="2">
        <v>2283.9</v>
      </c>
      <c r="V2485" s="2">
        <v>12213.9</v>
      </c>
      <c r="W2485" s="2">
        <v>6468.73</v>
      </c>
      <c r="X2485" s="5">
        <f t="shared" si="351"/>
        <v>0.34856696878147031</v>
      </c>
      <c r="Z2485" s="2" t="s">
        <v>104</v>
      </c>
      <c r="AA2485" s="2" t="s">
        <v>616</v>
      </c>
      <c r="AB2485" s="2" t="s">
        <v>957</v>
      </c>
      <c r="AC2485" s="2" t="s">
        <v>114</v>
      </c>
      <c r="AF2485" s="2">
        <f t="shared" si="346"/>
        <v>0</v>
      </c>
      <c r="AG2485" s="2">
        <v>6468.73</v>
      </c>
      <c r="AJ2485" s="2">
        <f t="shared" si="347"/>
        <v>0</v>
      </c>
      <c r="AK2485" s="2">
        <f t="shared" si="349"/>
        <v>3461.2700000000004</v>
      </c>
      <c r="AL2485" s="5">
        <f t="shared" si="350"/>
        <v>0.34856696878147031</v>
      </c>
    </row>
    <row r="2486" spans="1:38" x14ac:dyDescent="0.2">
      <c r="A2486" s="2">
        <v>2025</v>
      </c>
      <c r="B2486" s="2">
        <v>12</v>
      </c>
      <c r="D2486" s="2" t="s">
        <v>530</v>
      </c>
      <c r="E2486" s="2" t="s">
        <v>108</v>
      </c>
      <c r="F2486" s="2" t="s">
        <v>531</v>
      </c>
      <c r="G2486" s="2">
        <v>502139552</v>
      </c>
      <c r="H2486" s="2" t="s">
        <v>40</v>
      </c>
      <c r="I2486" s="2" t="s">
        <v>339</v>
      </c>
      <c r="J2486" s="2" t="s">
        <v>532</v>
      </c>
      <c r="L2486" s="2" t="s">
        <v>339</v>
      </c>
      <c r="M2486" s="2" t="s">
        <v>80</v>
      </c>
      <c r="P2486" s="2" t="s">
        <v>72</v>
      </c>
      <c r="Q2486" s="2" t="s">
        <v>73</v>
      </c>
      <c r="R2486" s="2" t="s">
        <v>74</v>
      </c>
      <c r="S2486" s="2">
        <v>1</v>
      </c>
      <c r="T2486" s="2">
        <v>219.88</v>
      </c>
      <c r="U2486" s="2">
        <v>50.572400000000002</v>
      </c>
      <c r="V2486" s="2">
        <v>270.45240000000001</v>
      </c>
      <c r="W2486" s="2">
        <v>117.453</v>
      </c>
      <c r="X2486" s="5">
        <f t="shared" si="351"/>
        <v>0.46583136256139712</v>
      </c>
      <c r="Z2486" s="2" t="s">
        <v>3227</v>
      </c>
      <c r="AA2486" s="2" t="s">
        <v>75</v>
      </c>
      <c r="AB2486" s="2" t="s">
        <v>76</v>
      </c>
      <c r="AC2486" s="2" t="s">
        <v>77</v>
      </c>
      <c r="AF2486" s="2">
        <f t="shared" si="346"/>
        <v>0</v>
      </c>
      <c r="AG2486" s="2">
        <v>117.453</v>
      </c>
      <c r="AH2486" s="2">
        <v>220</v>
      </c>
      <c r="AJ2486" s="2">
        <f t="shared" si="347"/>
        <v>0</v>
      </c>
      <c r="AK2486" s="2">
        <f t="shared" si="349"/>
        <v>102.42699999999999</v>
      </c>
      <c r="AL2486" s="5">
        <f t="shared" si="350"/>
        <v>0.46583136256139712</v>
      </c>
    </row>
    <row r="2487" spans="1:38" x14ac:dyDescent="0.2">
      <c r="A2487" s="2">
        <v>2025</v>
      </c>
      <c r="B2487" s="2">
        <v>12</v>
      </c>
      <c r="D2487" s="2" t="s">
        <v>530</v>
      </c>
      <c r="E2487" s="2" t="s">
        <v>108</v>
      </c>
      <c r="F2487" s="2" t="s">
        <v>531</v>
      </c>
      <c r="G2487" s="2">
        <v>502139552</v>
      </c>
      <c r="H2487" s="2" t="s">
        <v>40</v>
      </c>
      <c r="I2487" s="2" t="s">
        <v>339</v>
      </c>
      <c r="J2487" s="2" t="s">
        <v>532</v>
      </c>
      <c r="L2487" s="2" t="s">
        <v>339</v>
      </c>
      <c r="M2487" s="2" t="s">
        <v>80</v>
      </c>
      <c r="P2487" s="2" t="s">
        <v>72</v>
      </c>
      <c r="Q2487" s="2" t="s">
        <v>1345</v>
      </c>
      <c r="R2487" s="2" t="s">
        <v>79</v>
      </c>
      <c r="S2487" s="2">
        <v>1</v>
      </c>
      <c r="T2487" s="2">
        <v>209.76</v>
      </c>
      <c r="U2487" s="2">
        <v>48.244799999999998</v>
      </c>
      <c r="V2487" s="2">
        <v>258.00479999999999</v>
      </c>
      <c r="W2487" s="2">
        <v>96.15</v>
      </c>
      <c r="X2487" s="5">
        <f t="shared" si="351"/>
        <v>0.54161899313501138</v>
      </c>
      <c r="Z2487" s="2" t="s">
        <v>3227</v>
      </c>
      <c r="AA2487" s="2" t="s">
        <v>75</v>
      </c>
      <c r="AB2487" s="2" t="s">
        <v>76</v>
      </c>
      <c r="AC2487" s="2" t="s">
        <v>77</v>
      </c>
      <c r="AF2487" s="2">
        <f t="shared" si="346"/>
        <v>0</v>
      </c>
      <c r="AJ2487" s="2">
        <f t="shared" si="347"/>
        <v>0</v>
      </c>
      <c r="AK2487" s="2">
        <f t="shared" si="349"/>
        <v>113.60999999999999</v>
      </c>
      <c r="AL2487" s="5">
        <f t="shared" si="350"/>
        <v>0.54161899313501138</v>
      </c>
    </row>
    <row r="2488" spans="1:38" x14ac:dyDescent="0.2">
      <c r="A2488" s="2">
        <v>2025</v>
      </c>
      <c r="B2488" s="2">
        <v>12</v>
      </c>
      <c r="D2488" s="2" t="s">
        <v>530</v>
      </c>
      <c r="E2488" s="2" t="s">
        <v>108</v>
      </c>
      <c r="F2488" s="2" t="s">
        <v>531</v>
      </c>
      <c r="G2488" s="2">
        <v>502139552</v>
      </c>
      <c r="H2488" s="2" t="s">
        <v>40</v>
      </c>
      <c r="I2488" s="2" t="s">
        <v>339</v>
      </c>
      <c r="J2488" s="2" t="s">
        <v>532</v>
      </c>
      <c r="L2488" s="2" t="s">
        <v>339</v>
      </c>
      <c r="M2488" s="2" t="s">
        <v>40</v>
      </c>
      <c r="P2488" s="2" t="s">
        <v>40</v>
      </c>
      <c r="Q2488" s="2" t="s">
        <v>140</v>
      </c>
      <c r="R2488" s="2" t="s">
        <v>141</v>
      </c>
      <c r="S2488" s="2">
        <v>-1</v>
      </c>
      <c r="T2488" s="2">
        <v>-7.03</v>
      </c>
      <c r="U2488" s="2">
        <v>-1.6169</v>
      </c>
      <c r="V2488" s="2">
        <v>-8.6469000000000005</v>
      </c>
      <c r="Z2488" s="2" t="s">
        <v>119</v>
      </c>
      <c r="AA2488" s="2" t="s">
        <v>142</v>
      </c>
      <c r="AF2488" s="2">
        <f t="shared" si="346"/>
        <v>0</v>
      </c>
      <c r="AJ2488" s="2">
        <f t="shared" si="347"/>
        <v>0</v>
      </c>
    </row>
    <row r="2489" spans="1:38" x14ac:dyDescent="0.2">
      <c r="A2489" s="2">
        <v>2025</v>
      </c>
      <c r="B2489" s="2">
        <v>12</v>
      </c>
      <c r="D2489" s="2" t="s">
        <v>530</v>
      </c>
      <c r="E2489" s="2" t="s">
        <v>108</v>
      </c>
      <c r="F2489" s="2" t="s">
        <v>531</v>
      </c>
      <c r="G2489" s="2">
        <v>502139552</v>
      </c>
      <c r="H2489" s="2" t="s">
        <v>40</v>
      </c>
      <c r="I2489" s="2" t="s">
        <v>339</v>
      </c>
      <c r="J2489" s="2" t="s">
        <v>532</v>
      </c>
      <c r="L2489" s="2" t="s">
        <v>339</v>
      </c>
      <c r="M2489" s="2" t="s">
        <v>80</v>
      </c>
      <c r="P2489" s="2" t="s">
        <v>93</v>
      </c>
      <c r="Q2489" s="2" t="s">
        <v>94</v>
      </c>
      <c r="R2489" s="2" t="s">
        <v>95</v>
      </c>
      <c r="S2489" s="2">
        <v>2</v>
      </c>
      <c r="T2489" s="2">
        <v>2.2799999999999998</v>
      </c>
      <c r="U2489" s="2">
        <v>0.52439999999999998</v>
      </c>
      <c r="V2489" s="2">
        <v>2.8043999999999998</v>
      </c>
      <c r="W2489" s="2">
        <v>2.2799999999999998</v>
      </c>
      <c r="X2489" s="5">
        <f>(T2489-W2489)/T2489</f>
        <v>0</v>
      </c>
      <c r="Z2489" s="2" t="s">
        <v>3227</v>
      </c>
      <c r="AA2489" s="2" t="s">
        <v>96</v>
      </c>
      <c r="AB2489" s="2" t="s">
        <v>76</v>
      </c>
      <c r="AC2489" s="2" t="s">
        <v>93</v>
      </c>
      <c r="AF2489" s="2">
        <f t="shared" si="346"/>
        <v>0</v>
      </c>
      <c r="AJ2489" s="2">
        <f t="shared" si="347"/>
        <v>0</v>
      </c>
      <c r="AK2489" s="2">
        <f>T2489-W2489</f>
        <v>0</v>
      </c>
      <c r="AL2489" s="5">
        <f>(T2489-W2489)/T2489</f>
        <v>0</v>
      </c>
    </row>
    <row r="2490" spans="1:38" x14ac:dyDescent="0.2">
      <c r="A2490" s="2">
        <v>2025</v>
      </c>
      <c r="B2490" s="2">
        <v>12</v>
      </c>
      <c r="D2490" s="2" t="s">
        <v>535</v>
      </c>
      <c r="E2490" s="2" t="s">
        <v>108</v>
      </c>
      <c r="F2490" s="2" t="s">
        <v>39</v>
      </c>
      <c r="G2490" s="2">
        <v>500973903</v>
      </c>
      <c r="H2490" s="2" t="s">
        <v>41</v>
      </c>
      <c r="I2490" s="2" t="s">
        <v>536</v>
      </c>
      <c r="J2490" s="2" t="s">
        <v>537</v>
      </c>
      <c r="L2490" s="2" t="s">
        <v>461</v>
      </c>
      <c r="M2490" s="2" t="s">
        <v>40</v>
      </c>
      <c r="O2490" s="2" t="s">
        <v>2156</v>
      </c>
      <c r="P2490" s="2" t="s">
        <v>114</v>
      </c>
      <c r="Q2490" s="2" t="s">
        <v>467</v>
      </c>
      <c r="R2490" s="2" t="s">
        <v>468</v>
      </c>
      <c r="S2490" s="2">
        <v>1</v>
      </c>
      <c r="T2490" s="2">
        <v>488.82</v>
      </c>
      <c r="U2490" s="2">
        <v>112.4286</v>
      </c>
      <c r="V2490" s="2">
        <v>601.24860000000001</v>
      </c>
      <c r="X2490" s="5">
        <f>(T2490-W2490)/T2490</f>
        <v>1</v>
      </c>
      <c r="AF2490" s="2">
        <f t="shared" si="346"/>
        <v>0</v>
      </c>
      <c r="AJ2490" s="2">
        <f t="shared" si="347"/>
        <v>0</v>
      </c>
      <c r="AK2490" s="2">
        <f>T2490-W2490</f>
        <v>488.82</v>
      </c>
      <c r="AL2490" s="5">
        <f>(T2490-W2490)/T2490</f>
        <v>1</v>
      </c>
    </row>
    <row r="2491" spans="1:38" x14ac:dyDescent="0.2">
      <c r="A2491" s="2">
        <v>2025</v>
      </c>
      <c r="B2491" s="2">
        <v>12</v>
      </c>
      <c r="D2491" s="2" t="s">
        <v>535</v>
      </c>
      <c r="E2491" s="2" t="s">
        <v>108</v>
      </c>
      <c r="F2491" s="2" t="s">
        <v>39</v>
      </c>
      <c r="G2491" s="2">
        <v>500973903</v>
      </c>
      <c r="H2491" s="2" t="s">
        <v>41</v>
      </c>
      <c r="I2491" s="2" t="s">
        <v>536</v>
      </c>
      <c r="J2491" s="2" t="s">
        <v>537</v>
      </c>
      <c r="L2491" s="2" t="s">
        <v>461</v>
      </c>
      <c r="M2491" s="2" t="s">
        <v>40</v>
      </c>
      <c r="O2491" s="2" t="s">
        <v>2156</v>
      </c>
      <c r="P2491" s="2" t="s">
        <v>187</v>
      </c>
      <c r="Q2491" s="2" t="s">
        <v>188</v>
      </c>
      <c r="R2491" s="2" t="s">
        <v>189</v>
      </c>
      <c r="S2491" s="2">
        <v>1</v>
      </c>
      <c r="T2491" s="2">
        <v>134</v>
      </c>
      <c r="U2491" s="2">
        <v>30.82</v>
      </c>
      <c r="V2491" s="2">
        <v>164.82</v>
      </c>
      <c r="W2491" s="2">
        <f>T2491*40%</f>
        <v>53.6</v>
      </c>
      <c r="X2491" s="5">
        <f>(T2491-W2491)/T2491</f>
        <v>0.60000000000000009</v>
      </c>
      <c r="Z2491" s="2" t="s">
        <v>117</v>
      </c>
      <c r="AA2491" s="2" t="s">
        <v>190</v>
      </c>
      <c r="AB2491" s="2" t="s">
        <v>189</v>
      </c>
      <c r="AC2491" s="2" t="s">
        <v>40</v>
      </c>
      <c r="AF2491" s="2">
        <f t="shared" si="346"/>
        <v>0</v>
      </c>
      <c r="AJ2491" s="2">
        <f t="shared" si="347"/>
        <v>0</v>
      </c>
      <c r="AK2491" s="2">
        <f>T2491-W2491</f>
        <v>80.400000000000006</v>
      </c>
      <c r="AL2491" s="5">
        <f>(T2491-W2491)/T2491</f>
        <v>0.60000000000000009</v>
      </c>
    </row>
    <row r="2492" spans="1:38" x14ac:dyDescent="0.2">
      <c r="A2492" s="2">
        <v>2025</v>
      </c>
      <c r="B2492" s="2">
        <v>12</v>
      </c>
      <c r="D2492" s="2" t="s">
        <v>535</v>
      </c>
      <c r="E2492" s="2" t="s">
        <v>108</v>
      </c>
      <c r="F2492" s="2" t="s">
        <v>39</v>
      </c>
      <c r="G2492" s="2">
        <v>500973903</v>
      </c>
      <c r="H2492" s="2" t="s">
        <v>41</v>
      </c>
      <c r="I2492" s="2" t="s">
        <v>536</v>
      </c>
      <c r="J2492" s="2" t="s">
        <v>537</v>
      </c>
      <c r="L2492" s="2" t="s">
        <v>461</v>
      </c>
      <c r="M2492" s="2" t="s">
        <v>40</v>
      </c>
      <c r="O2492" s="2" t="s">
        <v>2156</v>
      </c>
      <c r="P2492" s="2" t="s">
        <v>187</v>
      </c>
      <c r="Q2492" s="2" t="s">
        <v>191</v>
      </c>
      <c r="R2492" s="2" t="s">
        <v>190</v>
      </c>
      <c r="S2492" s="2">
        <v>1</v>
      </c>
      <c r="T2492" s="2">
        <v>50</v>
      </c>
      <c r="U2492" s="2">
        <v>11.5</v>
      </c>
      <c r="V2492" s="2">
        <v>61.5</v>
      </c>
      <c r="W2492" s="2">
        <f>T2492*50%</f>
        <v>25</v>
      </c>
      <c r="X2492" s="5">
        <f>(T2492-W2492)/T2492</f>
        <v>0.5</v>
      </c>
      <c r="Z2492" s="2" t="s">
        <v>117</v>
      </c>
      <c r="AA2492" s="2" t="s">
        <v>190</v>
      </c>
      <c r="AB2492" s="2" t="s">
        <v>190</v>
      </c>
      <c r="AC2492" s="2" t="s">
        <v>40</v>
      </c>
      <c r="AF2492" s="2">
        <f t="shared" si="346"/>
        <v>0</v>
      </c>
      <c r="AJ2492" s="2">
        <f t="shared" si="347"/>
        <v>0</v>
      </c>
      <c r="AK2492" s="2">
        <f>T2492-W2492</f>
        <v>25</v>
      </c>
      <c r="AL2492" s="5">
        <f>(T2492-W2492)/T2492</f>
        <v>0.5</v>
      </c>
    </row>
    <row r="2493" spans="1:38" x14ac:dyDescent="0.2">
      <c r="A2493" s="2">
        <v>2025</v>
      </c>
      <c r="B2493" s="2">
        <v>12</v>
      </c>
      <c r="D2493" s="2" t="s">
        <v>1418</v>
      </c>
      <c r="E2493" s="2" t="s">
        <v>108</v>
      </c>
      <c r="F2493" s="2" t="s">
        <v>39</v>
      </c>
      <c r="G2493" s="2">
        <v>502696338</v>
      </c>
      <c r="H2493" s="2" t="s">
        <v>40</v>
      </c>
      <c r="I2493" s="2" t="s">
        <v>2411</v>
      </c>
      <c r="J2493" s="2" t="s">
        <v>2412</v>
      </c>
      <c r="L2493" s="2" t="s">
        <v>201</v>
      </c>
      <c r="M2493" s="2" t="s">
        <v>80</v>
      </c>
      <c r="P2493" s="2" t="s">
        <v>1038</v>
      </c>
      <c r="Q2493" s="2" t="s">
        <v>1918</v>
      </c>
      <c r="R2493" s="2" t="s">
        <v>1919</v>
      </c>
      <c r="S2493" s="2">
        <v>-4</v>
      </c>
      <c r="T2493" s="2">
        <v>-691.06</v>
      </c>
      <c r="U2493" s="2">
        <v>-158.94380000000001</v>
      </c>
      <c r="V2493" s="2">
        <v>-850.00379999999996</v>
      </c>
      <c r="W2493" s="2">
        <f>108.6*4</f>
        <v>434.4</v>
      </c>
      <c r="X2493" s="18">
        <f>SIGN(T2493)*((ABS(T2493)-W2493)/ABS(T2493))</f>
        <v>-0.37140045726854398</v>
      </c>
      <c r="Z2493" s="2" t="s">
        <v>3227</v>
      </c>
      <c r="AA2493" s="2" t="s">
        <v>1041</v>
      </c>
      <c r="AB2493" s="2" t="s">
        <v>1318</v>
      </c>
      <c r="AC2493" s="2" t="s">
        <v>1038</v>
      </c>
      <c r="AF2493" s="2">
        <f t="shared" si="346"/>
        <v>0</v>
      </c>
      <c r="AJ2493" s="2">
        <f t="shared" si="347"/>
        <v>0</v>
      </c>
      <c r="AK2493" s="2">
        <f>T2493+(W2493)</f>
        <v>-256.65999999999997</v>
      </c>
      <c r="AL2493" s="18">
        <f>SIGN(T2493)*((ABS(T2493)-W2493)/ABS(T2493))</f>
        <v>-0.37140045726854398</v>
      </c>
    </row>
    <row r="2494" spans="1:38" x14ac:dyDescent="0.2">
      <c r="A2494" s="2">
        <v>2025</v>
      </c>
      <c r="B2494" s="2">
        <v>12</v>
      </c>
      <c r="D2494" s="2" t="s">
        <v>1418</v>
      </c>
      <c r="E2494" s="2" t="s">
        <v>108</v>
      </c>
      <c r="F2494" s="2" t="s">
        <v>39</v>
      </c>
      <c r="G2494" s="2">
        <v>502696338</v>
      </c>
      <c r="H2494" s="2" t="s">
        <v>40</v>
      </c>
      <c r="I2494" s="2" t="s">
        <v>2411</v>
      </c>
      <c r="J2494" s="2" t="s">
        <v>2412</v>
      </c>
      <c r="L2494" s="2" t="s">
        <v>201</v>
      </c>
      <c r="M2494" s="2" t="s">
        <v>80</v>
      </c>
      <c r="P2494" s="2" t="s">
        <v>1038</v>
      </c>
      <c r="Q2494" s="2" t="s">
        <v>2157</v>
      </c>
      <c r="R2494" s="2" t="s">
        <v>2158</v>
      </c>
      <c r="S2494" s="2">
        <v>4</v>
      </c>
      <c r="T2494" s="2">
        <v>528.46</v>
      </c>
      <c r="U2494" s="2">
        <v>121.5458</v>
      </c>
      <c r="V2494" s="2">
        <v>650.00580000000002</v>
      </c>
      <c r="W2494" s="2">
        <f>88.66*4</f>
        <v>354.64</v>
      </c>
      <c r="X2494" s="5">
        <f t="shared" ref="X2494:X2513" si="352">(T2494-W2494)/T2494</f>
        <v>0.32891798811641382</v>
      </c>
      <c r="Z2494" s="2" t="s">
        <v>3227</v>
      </c>
      <c r="AA2494" s="2" t="s">
        <v>1041</v>
      </c>
      <c r="AB2494" s="2" t="s">
        <v>1318</v>
      </c>
      <c r="AC2494" s="2" t="s">
        <v>1038</v>
      </c>
      <c r="AF2494" s="2">
        <f t="shared" si="346"/>
        <v>0</v>
      </c>
      <c r="AJ2494" s="2">
        <f t="shared" si="347"/>
        <v>0</v>
      </c>
      <c r="AK2494" s="2">
        <f t="shared" ref="AK2494:AK2513" si="353">T2494-W2494</f>
        <v>173.82000000000005</v>
      </c>
      <c r="AL2494" s="5">
        <f t="shared" ref="AL2494:AL2513" si="354">(T2494-W2494)/T2494</f>
        <v>0.32891798811641382</v>
      </c>
    </row>
    <row r="2495" spans="1:38" x14ac:dyDescent="0.2">
      <c r="A2495" s="2">
        <v>2025</v>
      </c>
      <c r="B2495" s="2">
        <v>12</v>
      </c>
      <c r="D2495" s="2" t="s">
        <v>558</v>
      </c>
      <c r="E2495" s="2" t="s">
        <v>108</v>
      </c>
      <c r="F2495" s="2" t="s">
        <v>39</v>
      </c>
      <c r="G2495" s="2">
        <v>506517233</v>
      </c>
      <c r="H2495" s="2" t="s">
        <v>80</v>
      </c>
      <c r="I2495" s="2" t="s">
        <v>559</v>
      </c>
      <c r="J2495" s="2" t="s">
        <v>560</v>
      </c>
      <c r="L2495" s="2" t="s">
        <v>133</v>
      </c>
      <c r="M2495" s="2" t="s">
        <v>40</v>
      </c>
      <c r="P2495" s="2" t="s">
        <v>114</v>
      </c>
      <c r="Q2495" s="2" t="s">
        <v>1214</v>
      </c>
      <c r="R2495" s="2" t="s">
        <v>1215</v>
      </c>
      <c r="S2495" s="2">
        <v>1</v>
      </c>
      <c r="T2495" s="2">
        <v>49.71</v>
      </c>
      <c r="U2495" s="2">
        <v>11.433299999999999</v>
      </c>
      <c r="V2495" s="2">
        <v>61.143300000000004</v>
      </c>
      <c r="W2495" s="2">
        <v>23.836400000000001</v>
      </c>
      <c r="X2495" s="5">
        <f t="shared" si="352"/>
        <v>0.52049084691209013</v>
      </c>
      <c r="Z2495" s="2" t="s">
        <v>117</v>
      </c>
      <c r="AA2495" s="2" t="s">
        <v>118</v>
      </c>
      <c r="AB2495" s="2" t="s">
        <v>119</v>
      </c>
      <c r="AC2495" s="2" t="s">
        <v>114</v>
      </c>
      <c r="AF2495" s="2">
        <f t="shared" si="346"/>
        <v>0</v>
      </c>
      <c r="AJ2495" s="2">
        <f t="shared" si="347"/>
        <v>0</v>
      </c>
      <c r="AK2495" s="2">
        <f t="shared" si="353"/>
        <v>25.8736</v>
      </c>
      <c r="AL2495" s="5">
        <f t="shared" si="354"/>
        <v>0.52049084691209013</v>
      </c>
    </row>
    <row r="2496" spans="1:38" x14ac:dyDescent="0.2">
      <c r="A2496" s="2">
        <v>2025</v>
      </c>
      <c r="B2496" s="2">
        <v>12</v>
      </c>
      <c r="D2496" s="2" t="s">
        <v>558</v>
      </c>
      <c r="E2496" s="2" t="s">
        <v>108</v>
      </c>
      <c r="F2496" s="2" t="s">
        <v>39</v>
      </c>
      <c r="G2496" s="2">
        <v>506517233</v>
      </c>
      <c r="H2496" s="2" t="s">
        <v>80</v>
      </c>
      <c r="I2496" s="2" t="s">
        <v>559</v>
      </c>
      <c r="J2496" s="2" t="s">
        <v>560</v>
      </c>
      <c r="L2496" s="2" t="s">
        <v>133</v>
      </c>
      <c r="P2496" s="2" t="s">
        <v>114</v>
      </c>
      <c r="Q2496" s="2" t="s">
        <v>1566</v>
      </c>
      <c r="R2496" s="2" t="s">
        <v>1567</v>
      </c>
      <c r="S2496" s="2">
        <v>1</v>
      </c>
      <c r="T2496" s="2">
        <v>845.25</v>
      </c>
      <c r="U2496" s="2">
        <v>194.4075</v>
      </c>
      <c r="V2496" s="2">
        <v>1039.6575</v>
      </c>
      <c r="X2496" s="5">
        <f t="shared" si="352"/>
        <v>1</v>
      </c>
      <c r="AF2496" s="2">
        <f t="shared" si="346"/>
        <v>0</v>
      </c>
      <c r="AJ2496" s="2">
        <f t="shared" si="347"/>
        <v>0</v>
      </c>
      <c r="AK2496" s="2">
        <f t="shared" si="353"/>
        <v>845.25</v>
      </c>
      <c r="AL2496" s="5">
        <f t="shared" si="354"/>
        <v>1</v>
      </c>
    </row>
    <row r="2497" spans="1:38" x14ac:dyDescent="0.2">
      <c r="A2497" s="2">
        <v>2025</v>
      </c>
      <c r="B2497" s="2">
        <v>12</v>
      </c>
      <c r="D2497" s="2" t="s">
        <v>558</v>
      </c>
      <c r="E2497" s="2" t="s">
        <v>108</v>
      </c>
      <c r="F2497" s="2" t="s">
        <v>39</v>
      </c>
      <c r="G2497" s="2">
        <v>506517233</v>
      </c>
      <c r="H2497" s="2" t="s">
        <v>80</v>
      </c>
      <c r="I2497" s="2" t="s">
        <v>559</v>
      </c>
      <c r="J2497" s="2" t="s">
        <v>560</v>
      </c>
      <c r="L2497" s="2" t="s">
        <v>133</v>
      </c>
      <c r="P2497" s="2" t="s">
        <v>114</v>
      </c>
      <c r="Q2497" s="2" t="s">
        <v>2159</v>
      </c>
      <c r="R2497" s="2" t="s">
        <v>2160</v>
      </c>
      <c r="S2497" s="2">
        <v>1</v>
      </c>
      <c r="T2497" s="2">
        <v>886.2</v>
      </c>
      <c r="U2497" s="2">
        <v>203.82599999999999</v>
      </c>
      <c r="V2497" s="2">
        <v>1090.0260000000001</v>
      </c>
      <c r="X2497" s="5">
        <f t="shared" si="352"/>
        <v>1</v>
      </c>
      <c r="AF2497" s="2">
        <f t="shared" si="346"/>
        <v>0</v>
      </c>
      <c r="AJ2497" s="2">
        <f t="shared" si="347"/>
        <v>0</v>
      </c>
      <c r="AK2497" s="2">
        <f t="shared" si="353"/>
        <v>886.2</v>
      </c>
      <c r="AL2497" s="5">
        <f t="shared" si="354"/>
        <v>1</v>
      </c>
    </row>
    <row r="2498" spans="1:38" x14ac:dyDescent="0.2">
      <c r="A2498" s="2">
        <v>2025</v>
      </c>
      <c r="B2498" s="2">
        <v>12</v>
      </c>
      <c r="D2498" s="2" t="s">
        <v>558</v>
      </c>
      <c r="E2498" s="2" t="s">
        <v>108</v>
      </c>
      <c r="F2498" s="2" t="s">
        <v>39</v>
      </c>
      <c r="G2498" s="2">
        <v>506517233</v>
      </c>
      <c r="H2498" s="2" t="s">
        <v>80</v>
      </c>
      <c r="I2498" s="2" t="s">
        <v>559</v>
      </c>
      <c r="J2498" s="2" t="s">
        <v>560</v>
      </c>
      <c r="L2498" s="2" t="s">
        <v>133</v>
      </c>
      <c r="P2498" s="2" t="s">
        <v>114</v>
      </c>
      <c r="Q2498" s="2" t="s">
        <v>309</v>
      </c>
      <c r="R2498" s="2" t="s">
        <v>310</v>
      </c>
      <c r="S2498" s="2">
        <v>1</v>
      </c>
      <c r="T2498" s="2">
        <v>631.04999999999995</v>
      </c>
      <c r="U2498" s="2">
        <v>145.14150000000001</v>
      </c>
      <c r="V2498" s="2">
        <v>776.19149999999991</v>
      </c>
      <c r="X2498" s="5">
        <f t="shared" si="352"/>
        <v>1</v>
      </c>
      <c r="AF2498" s="2">
        <f t="shared" ref="AF2498:AF2561" si="355">AJ2498</f>
        <v>0</v>
      </c>
      <c r="AJ2498" s="2">
        <f t="shared" ref="AJ2498:AJ2561" si="356">AI2498*T2498</f>
        <v>0</v>
      </c>
      <c r="AK2498" s="2">
        <f t="shared" si="353"/>
        <v>631.04999999999995</v>
      </c>
      <c r="AL2498" s="5">
        <f t="shared" si="354"/>
        <v>1</v>
      </c>
    </row>
    <row r="2499" spans="1:38" x14ac:dyDescent="0.2">
      <c r="A2499" s="2">
        <v>2025</v>
      </c>
      <c r="B2499" s="2">
        <v>12</v>
      </c>
      <c r="D2499" s="2" t="s">
        <v>558</v>
      </c>
      <c r="E2499" s="2" t="s">
        <v>108</v>
      </c>
      <c r="F2499" s="2" t="s">
        <v>39</v>
      </c>
      <c r="G2499" s="2">
        <v>506517233</v>
      </c>
      <c r="H2499" s="2" t="s">
        <v>80</v>
      </c>
      <c r="I2499" s="2" t="s">
        <v>559</v>
      </c>
      <c r="J2499" s="2" t="s">
        <v>560</v>
      </c>
      <c r="L2499" s="2" t="s">
        <v>133</v>
      </c>
      <c r="M2499" s="2" t="s">
        <v>80</v>
      </c>
      <c r="P2499" s="2" t="s">
        <v>1038</v>
      </c>
      <c r="Q2499" s="2" t="s">
        <v>2161</v>
      </c>
      <c r="R2499" s="2" t="s">
        <v>2162</v>
      </c>
      <c r="S2499" s="2">
        <v>4</v>
      </c>
      <c r="T2499" s="2">
        <v>499.55</v>
      </c>
      <c r="U2499" s="2">
        <v>114.8965</v>
      </c>
      <c r="V2499" s="2">
        <v>614.44650000000001</v>
      </c>
      <c r="W2499" s="2">
        <f>108.815*4</f>
        <v>435.26</v>
      </c>
      <c r="X2499" s="5">
        <f t="shared" si="352"/>
        <v>0.1286958262436193</v>
      </c>
      <c r="Z2499" s="2" t="s">
        <v>3227</v>
      </c>
      <c r="AA2499" s="2" t="s">
        <v>1041</v>
      </c>
      <c r="AB2499" s="2" t="s">
        <v>1318</v>
      </c>
      <c r="AC2499" s="2" t="s">
        <v>1038</v>
      </c>
      <c r="AF2499" s="2">
        <f t="shared" si="355"/>
        <v>0</v>
      </c>
      <c r="AJ2499" s="2">
        <f t="shared" si="356"/>
        <v>0</v>
      </c>
      <c r="AK2499" s="2">
        <f t="shared" si="353"/>
        <v>64.29000000000002</v>
      </c>
      <c r="AL2499" s="5">
        <f t="shared" si="354"/>
        <v>0.1286958262436193</v>
      </c>
    </row>
    <row r="2500" spans="1:38" x14ac:dyDescent="0.2">
      <c r="A2500" s="2">
        <v>2025</v>
      </c>
      <c r="B2500" s="2">
        <v>12</v>
      </c>
      <c r="D2500" s="2" t="s">
        <v>558</v>
      </c>
      <c r="E2500" s="2" t="s">
        <v>108</v>
      </c>
      <c r="F2500" s="2" t="s">
        <v>39</v>
      </c>
      <c r="G2500" s="2">
        <v>506517233</v>
      </c>
      <c r="H2500" s="2" t="s">
        <v>80</v>
      </c>
      <c r="I2500" s="2" t="s">
        <v>559</v>
      </c>
      <c r="J2500" s="2" t="s">
        <v>560</v>
      </c>
      <c r="L2500" s="2" t="s">
        <v>133</v>
      </c>
      <c r="M2500" s="2" t="s">
        <v>80</v>
      </c>
      <c r="P2500" s="2" t="s">
        <v>1038</v>
      </c>
      <c r="Q2500" s="2" t="s">
        <v>1922</v>
      </c>
      <c r="R2500" s="2" t="s">
        <v>1923</v>
      </c>
      <c r="S2500" s="2">
        <v>8</v>
      </c>
      <c r="T2500" s="2">
        <v>927.71</v>
      </c>
      <c r="U2500" s="2">
        <v>213.3733</v>
      </c>
      <c r="V2500" s="2">
        <v>1141.0833</v>
      </c>
      <c r="W2500" s="2">
        <f>95.9175*8</f>
        <v>767.34</v>
      </c>
      <c r="X2500" s="5">
        <f t="shared" si="352"/>
        <v>0.17286652078774617</v>
      </c>
      <c r="Z2500" s="2" t="s">
        <v>3227</v>
      </c>
      <c r="AA2500" s="2" t="s">
        <v>1041</v>
      </c>
      <c r="AB2500" s="2" t="s">
        <v>1270</v>
      </c>
      <c r="AC2500" s="2" t="s">
        <v>1038</v>
      </c>
      <c r="AF2500" s="2">
        <f t="shared" si="355"/>
        <v>0</v>
      </c>
      <c r="AJ2500" s="2">
        <f t="shared" si="356"/>
        <v>0</v>
      </c>
      <c r="AK2500" s="2">
        <f t="shared" si="353"/>
        <v>160.37</v>
      </c>
      <c r="AL2500" s="5">
        <f t="shared" si="354"/>
        <v>0.17286652078774617</v>
      </c>
    </row>
    <row r="2501" spans="1:38" x14ac:dyDescent="0.2">
      <c r="A2501" s="2">
        <v>2025</v>
      </c>
      <c r="B2501" s="2">
        <v>12</v>
      </c>
      <c r="D2501" s="2" t="s">
        <v>558</v>
      </c>
      <c r="E2501" s="2" t="s">
        <v>108</v>
      </c>
      <c r="F2501" s="2" t="s">
        <v>39</v>
      </c>
      <c r="G2501" s="2">
        <v>506517233</v>
      </c>
      <c r="H2501" s="2" t="s">
        <v>80</v>
      </c>
      <c r="I2501" s="2" t="s">
        <v>559</v>
      </c>
      <c r="J2501" s="2" t="s">
        <v>560</v>
      </c>
      <c r="L2501" s="2" t="s">
        <v>133</v>
      </c>
      <c r="M2501" s="2" t="s">
        <v>80</v>
      </c>
      <c r="P2501" s="2" t="s">
        <v>1038</v>
      </c>
      <c r="Q2501" s="2" t="s">
        <v>2163</v>
      </c>
      <c r="R2501" s="2" t="s">
        <v>2164</v>
      </c>
      <c r="S2501" s="2">
        <v>8</v>
      </c>
      <c r="T2501" s="2">
        <v>875.1</v>
      </c>
      <c r="U2501" s="2">
        <v>201.273</v>
      </c>
      <c r="V2501" s="2">
        <v>1076.373</v>
      </c>
      <c r="W2501" s="2">
        <f>89.175*8</f>
        <v>713.4</v>
      </c>
      <c r="X2501" s="5">
        <f t="shared" si="352"/>
        <v>0.18477888241343851</v>
      </c>
      <c r="Z2501" s="2" t="s">
        <v>3227</v>
      </c>
      <c r="AA2501" s="2" t="s">
        <v>1041</v>
      </c>
      <c r="AB2501" s="2" t="s">
        <v>1270</v>
      </c>
      <c r="AC2501" s="2" t="s">
        <v>1038</v>
      </c>
      <c r="AF2501" s="2">
        <f t="shared" si="355"/>
        <v>0</v>
      </c>
      <c r="AJ2501" s="2">
        <f t="shared" si="356"/>
        <v>0</v>
      </c>
      <c r="AK2501" s="2">
        <f t="shared" si="353"/>
        <v>161.70000000000005</v>
      </c>
      <c r="AL2501" s="5">
        <f t="shared" si="354"/>
        <v>0.18477888241343851</v>
      </c>
    </row>
    <row r="2502" spans="1:38" x14ac:dyDescent="0.2">
      <c r="A2502" s="2">
        <v>2025</v>
      </c>
      <c r="B2502" s="2">
        <v>12</v>
      </c>
      <c r="D2502" s="2" t="s">
        <v>558</v>
      </c>
      <c r="E2502" s="2" t="s">
        <v>108</v>
      </c>
      <c r="F2502" s="2" t="s">
        <v>39</v>
      </c>
      <c r="G2502" s="2">
        <v>506517233</v>
      </c>
      <c r="H2502" s="2" t="s">
        <v>80</v>
      </c>
      <c r="I2502" s="2" t="s">
        <v>559</v>
      </c>
      <c r="J2502" s="2" t="s">
        <v>560</v>
      </c>
      <c r="L2502" s="2" t="s">
        <v>133</v>
      </c>
      <c r="M2502" s="2" t="s">
        <v>80</v>
      </c>
      <c r="P2502" s="2" t="s">
        <v>1038</v>
      </c>
      <c r="Q2502" s="2" t="s">
        <v>1926</v>
      </c>
      <c r="R2502" s="2" t="s">
        <v>1927</v>
      </c>
      <c r="S2502" s="2">
        <v>4</v>
      </c>
      <c r="T2502" s="2">
        <v>499.94</v>
      </c>
      <c r="U2502" s="2">
        <v>114.9862</v>
      </c>
      <c r="V2502" s="2">
        <v>614.92619999999999</v>
      </c>
      <c r="W2502" s="2">
        <f>108.815*4</f>
        <v>435.26</v>
      </c>
      <c r="X2502" s="5">
        <f t="shared" si="352"/>
        <v>0.12937552506300756</v>
      </c>
      <c r="Z2502" s="2" t="s">
        <v>3227</v>
      </c>
      <c r="AA2502" s="2" t="s">
        <v>1041</v>
      </c>
      <c r="AB2502" s="2" t="s">
        <v>1318</v>
      </c>
      <c r="AC2502" s="2" t="s">
        <v>1038</v>
      </c>
      <c r="AF2502" s="2">
        <f t="shared" si="355"/>
        <v>0</v>
      </c>
      <c r="AJ2502" s="2">
        <f t="shared" si="356"/>
        <v>0</v>
      </c>
      <c r="AK2502" s="2">
        <f t="shared" si="353"/>
        <v>64.680000000000007</v>
      </c>
      <c r="AL2502" s="5">
        <f t="shared" si="354"/>
        <v>0.12937552506300756</v>
      </c>
    </row>
    <row r="2503" spans="1:38" x14ac:dyDescent="0.2">
      <c r="A2503" s="2">
        <v>2025</v>
      </c>
      <c r="B2503" s="2">
        <v>12</v>
      </c>
      <c r="D2503" s="2" t="s">
        <v>558</v>
      </c>
      <c r="E2503" s="2" t="s">
        <v>108</v>
      </c>
      <c r="F2503" s="2" t="s">
        <v>39</v>
      </c>
      <c r="G2503" s="2">
        <v>506517233</v>
      </c>
      <c r="H2503" s="2" t="s">
        <v>80</v>
      </c>
      <c r="I2503" s="2" t="s">
        <v>559</v>
      </c>
      <c r="J2503" s="2" t="s">
        <v>560</v>
      </c>
      <c r="L2503" s="2" t="s">
        <v>133</v>
      </c>
      <c r="M2503" s="2" t="s">
        <v>40</v>
      </c>
      <c r="O2503" s="2" t="s">
        <v>40</v>
      </c>
      <c r="P2503" s="2" t="s">
        <v>3386</v>
      </c>
      <c r="Q2503" s="2" t="s">
        <v>2165</v>
      </c>
      <c r="R2503" s="2" t="s">
        <v>2166</v>
      </c>
      <c r="S2503" s="2">
        <v>4</v>
      </c>
      <c r="T2503" s="2">
        <v>519.96</v>
      </c>
      <c r="U2503" s="2">
        <v>119.5908</v>
      </c>
      <c r="V2503" s="2">
        <v>639.55080000000009</v>
      </c>
      <c r="W2503" s="2">
        <f>129.99*4</f>
        <v>519.96</v>
      </c>
      <c r="X2503" s="5">
        <f t="shared" si="352"/>
        <v>0</v>
      </c>
      <c r="Z2503" s="2" t="s">
        <v>3227</v>
      </c>
      <c r="AA2503" s="2" t="s">
        <v>2167</v>
      </c>
      <c r="AB2503" s="2" t="s">
        <v>2168</v>
      </c>
      <c r="AC2503" s="2" t="s">
        <v>3386</v>
      </c>
      <c r="AF2503" s="2">
        <f t="shared" si="355"/>
        <v>0</v>
      </c>
      <c r="AJ2503" s="2">
        <f t="shared" si="356"/>
        <v>0</v>
      </c>
      <c r="AK2503" s="2">
        <f t="shared" si="353"/>
        <v>0</v>
      </c>
      <c r="AL2503" s="5">
        <f t="shared" si="354"/>
        <v>0</v>
      </c>
    </row>
    <row r="2504" spans="1:38" x14ac:dyDescent="0.2">
      <c r="A2504" s="2">
        <v>2025</v>
      </c>
      <c r="B2504" s="2">
        <v>12</v>
      </c>
      <c r="D2504" s="2" t="s">
        <v>558</v>
      </c>
      <c r="E2504" s="2" t="s">
        <v>108</v>
      </c>
      <c r="F2504" s="2" t="s">
        <v>39</v>
      </c>
      <c r="G2504" s="2">
        <v>506517233</v>
      </c>
      <c r="H2504" s="2" t="s">
        <v>80</v>
      </c>
      <c r="I2504" s="2" t="s">
        <v>559</v>
      </c>
      <c r="J2504" s="2" t="s">
        <v>560</v>
      </c>
      <c r="L2504" s="2" t="s">
        <v>133</v>
      </c>
      <c r="M2504" s="2" t="s">
        <v>40</v>
      </c>
      <c r="O2504" s="2" t="s">
        <v>40</v>
      </c>
      <c r="P2504" s="2" t="s">
        <v>3396</v>
      </c>
      <c r="Q2504" s="2" t="s">
        <v>2169</v>
      </c>
      <c r="R2504" s="2" t="s">
        <v>2170</v>
      </c>
      <c r="S2504" s="2">
        <v>2</v>
      </c>
      <c r="T2504" s="2">
        <v>182.09</v>
      </c>
      <c r="U2504" s="2">
        <v>41.880699999999997</v>
      </c>
      <c r="V2504" s="2">
        <v>223.97069999999999</v>
      </c>
      <c r="W2504" s="2">
        <f>90.9*2</f>
        <v>181.8</v>
      </c>
      <c r="X2504" s="5">
        <f t="shared" si="352"/>
        <v>1.5926190345433139E-3</v>
      </c>
      <c r="Z2504" s="2" t="s">
        <v>3227</v>
      </c>
      <c r="AA2504" s="2" t="s">
        <v>2167</v>
      </c>
      <c r="AB2504" s="2" t="s">
        <v>2031</v>
      </c>
      <c r="AC2504" s="2" t="s">
        <v>3396</v>
      </c>
      <c r="AF2504" s="2">
        <f t="shared" si="355"/>
        <v>0</v>
      </c>
      <c r="AJ2504" s="2">
        <f t="shared" si="356"/>
        <v>0</v>
      </c>
      <c r="AK2504" s="2">
        <f t="shared" si="353"/>
        <v>0.28999999999999204</v>
      </c>
      <c r="AL2504" s="5">
        <f t="shared" si="354"/>
        <v>1.5926190345433139E-3</v>
      </c>
    </row>
    <row r="2505" spans="1:38" x14ac:dyDescent="0.2">
      <c r="A2505" s="2">
        <v>2025</v>
      </c>
      <c r="B2505" s="2">
        <v>12</v>
      </c>
      <c r="D2505" s="2" t="s">
        <v>558</v>
      </c>
      <c r="E2505" s="2" t="s">
        <v>108</v>
      </c>
      <c r="F2505" s="2" t="s">
        <v>39</v>
      </c>
      <c r="G2505" s="2">
        <v>506517233</v>
      </c>
      <c r="H2505" s="2" t="s">
        <v>80</v>
      </c>
      <c r="I2505" s="2" t="s">
        <v>559</v>
      </c>
      <c r="J2505" s="2" t="s">
        <v>560</v>
      </c>
      <c r="L2505" s="2" t="s">
        <v>133</v>
      </c>
      <c r="M2505" s="2" t="s">
        <v>40</v>
      </c>
      <c r="O2505" s="2" t="s">
        <v>40</v>
      </c>
      <c r="P2505" s="2" t="s">
        <v>3396</v>
      </c>
      <c r="Q2505" s="2" t="s">
        <v>2171</v>
      </c>
      <c r="R2505" s="2" t="s">
        <v>2172</v>
      </c>
      <c r="S2505" s="2">
        <v>2</v>
      </c>
      <c r="T2505" s="2">
        <v>182.09</v>
      </c>
      <c r="U2505" s="2">
        <v>41.880699999999997</v>
      </c>
      <c r="V2505" s="2">
        <v>223.97069999999999</v>
      </c>
      <c r="W2505" s="2">
        <f>90.9*2</f>
        <v>181.8</v>
      </c>
      <c r="X2505" s="5">
        <f t="shared" si="352"/>
        <v>1.5926190345433139E-3</v>
      </c>
      <c r="Z2505" s="2" t="s">
        <v>3227</v>
      </c>
      <c r="AA2505" s="2" t="s">
        <v>2167</v>
      </c>
      <c r="AB2505" s="2" t="s">
        <v>2031</v>
      </c>
      <c r="AC2505" s="2" t="s">
        <v>3396</v>
      </c>
      <c r="AF2505" s="2">
        <f t="shared" si="355"/>
        <v>0</v>
      </c>
      <c r="AJ2505" s="2">
        <f t="shared" si="356"/>
        <v>0</v>
      </c>
      <c r="AK2505" s="2">
        <f t="shared" si="353"/>
        <v>0.28999999999999204</v>
      </c>
      <c r="AL2505" s="5">
        <f t="shared" si="354"/>
        <v>1.5926190345433139E-3</v>
      </c>
    </row>
    <row r="2506" spans="1:38" x14ac:dyDescent="0.2">
      <c r="A2506" s="2">
        <v>2025</v>
      </c>
      <c r="B2506" s="2">
        <v>12</v>
      </c>
      <c r="D2506" s="2" t="s">
        <v>558</v>
      </c>
      <c r="E2506" s="2" t="s">
        <v>108</v>
      </c>
      <c r="F2506" s="2" t="s">
        <v>39</v>
      </c>
      <c r="G2506" s="2">
        <v>506517233</v>
      </c>
      <c r="H2506" s="2" t="s">
        <v>80</v>
      </c>
      <c r="I2506" s="2" t="s">
        <v>559</v>
      </c>
      <c r="J2506" s="2" t="s">
        <v>560</v>
      </c>
      <c r="L2506" s="2" t="s">
        <v>133</v>
      </c>
      <c r="M2506" s="2" t="s">
        <v>80</v>
      </c>
      <c r="P2506" s="2" t="s">
        <v>169</v>
      </c>
      <c r="Q2506" s="2" t="s">
        <v>170</v>
      </c>
      <c r="R2506" s="2" t="s">
        <v>170</v>
      </c>
      <c r="S2506" s="2">
        <v>1</v>
      </c>
      <c r="T2506" s="2">
        <v>115</v>
      </c>
      <c r="U2506" s="2">
        <v>26.45</v>
      </c>
      <c r="V2506" s="2">
        <v>141.44999999999999</v>
      </c>
      <c r="W2506" s="2">
        <v>190</v>
      </c>
      <c r="X2506" s="5">
        <f t="shared" si="352"/>
        <v>-0.65217391304347827</v>
      </c>
      <c r="Z2506" s="2" t="s">
        <v>169</v>
      </c>
      <c r="AA2506" s="2" t="s">
        <v>169</v>
      </c>
      <c r="AF2506" s="2">
        <f t="shared" si="355"/>
        <v>0</v>
      </c>
      <c r="AJ2506" s="2">
        <f t="shared" si="356"/>
        <v>0</v>
      </c>
      <c r="AK2506" s="2">
        <f t="shared" si="353"/>
        <v>-75</v>
      </c>
      <c r="AL2506" s="5">
        <f t="shared" si="354"/>
        <v>-0.65217391304347827</v>
      </c>
    </row>
    <row r="2507" spans="1:38" x14ac:dyDescent="0.2">
      <c r="A2507" s="2">
        <v>2025</v>
      </c>
      <c r="B2507" s="2">
        <v>12</v>
      </c>
      <c r="D2507" s="2" t="s">
        <v>2173</v>
      </c>
      <c r="P2507" s="2" t="s">
        <v>114</v>
      </c>
      <c r="Q2507" s="2" t="s">
        <v>2174</v>
      </c>
      <c r="R2507" s="2" t="s">
        <v>2175</v>
      </c>
      <c r="S2507" s="2">
        <v>1</v>
      </c>
      <c r="T2507" s="2">
        <v>10.78</v>
      </c>
      <c r="U2507" s="2">
        <v>2.4794</v>
      </c>
      <c r="V2507" s="2">
        <v>13.259399999999999</v>
      </c>
      <c r="X2507" s="5">
        <f t="shared" si="352"/>
        <v>1</v>
      </c>
      <c r="Z2507" s="2" t="s">
        <v>117</v>
      </c>
      <c r="AF2507" s="2">
        <f t="shared" si="355"/>
        <v>0</v>
      </c>
      <c r="AJ2507" s="2">
        <f t="shared" si="356"/>
        <v>0</v>
      </c>
      <c r="AK2507" s="2">
        <f t="shared" si="353"/>
        <v>10.78</v>
      </c>
      <c r="AL2507" s="5">
        <f t="shared" si="354"/>
        <v>1</v>
      </c>
    </row>
    <row r="2508" spans="1:38" x14ac:dyDescent="0.2">
      <c r="A2508" s="2">
        <v>2025</v>
      </c>
      <c r="B2508" s="2">
        <v>12</v>
      </c>
      <c r="D2508" s="2" t="s">
        <v>2173</v>
      </c>
      <c r="M2508" s="2" t="s">
        <v>40</v>
      </c>
      <c r="P2508" s="2" t="s">
        <v>187</v>
      </c>
      <c r="Q2508" s="2" t="s">
        <v>188</v>
      </c>
      <c r="R2508" s="2" t="s">
        <v>189</v>
      </c>
      <c r="S2508" s="2">
        <v>1</v>
      </c>
      <c r="T2508" s="2">
        <v>73</v>
      </c>
      <c r="U2508" s="2">
        <v>16.79</v>
      </c>
      <c r="V2508" s="2">
        <v>89.789999999999992</v>
      </c>
      <c r="W2508" s="2">
        <f>T2508*40%</f>
        <v>29.200000000000003</v>
      </c>
      <c r="X2508" s="5">
        <f t="shared" si="352"/>
        <v>0.6</v>
      </c>
      <c r="Z2508" s="2" t="s">
        <v>117</v>
      </c>
      <c r="AA2508" s="2" t="s">
        <v>190</v>
      </c>
      <c r="AB2508" s="2" t="s">
        <v>189</v>
      </c>
      <c r="AC2508" s="2" t="s">
        <v>40</v>
      </c>
      <c r="AF2508" s="2">
        <f t="shared" si="355"/>
        <v>0</v>
      </c>
      <c r="AJ2508" s="2">
        <f t="shared" si="356"/>
        <v>0</v>
      </c>
      <c r="AK2508" s="2">
        <f t="shared" si="353"/>
        <v>43.8</v>
      </c>
      <c r="AL2508" s="5">
        <f t="shared" si="354"/>
        <v>0.6</v>
      </c>
    </row>
    <row r="2509" spans="1:38" x14ac:dyDescent="0.2">
      <c r="A2509" s="2">
        <v>2025</v>
      </c>
      <c r="B2509" s="2">
        <v>12</v>
      </c>
      <c r="D2509" s="2" t="s">
        <v>2173</v>
      </c>
      <c r="M2509" s="2" t="s">
        <v>40</v>
      </c>
      <c r="P2509" s="2" t="s">
        <v>187</v>
      </c>
      <c r="Q2509" s="2" t="s">
        <v>191</v>
      </c>
      <c r="R2509" s="2" t="s">
        <v>190</v>
      </c>
      <c r="S2509" s="2">
        <v>1</v>
      </c>
      <c r="T2509" s="2">
        <v>50</v>
      </c>
      <c r="U2509" s="2">
        <v>11.5</v>
      </c>
      <c r="V2509" s="2">
        <v>61.5</v>
      </c>
      <c r="W2509" s="2">
        <f>T2509*50%</f>
        <v>25</v>
      </c>
      <c r="X2509" s="5">
        <f t="shared" si="352"/>
        <v>0.5</v>
      </c>
      <c r="Z2509" s="2" t="s">
        <v>117</v>
      </c>
      <c r="AA2509" s="2" t="s">
        <v>190</v>
      </c>
      <c r="AB2509" s="2" t="s">
        <v>190</v>
      </c>
      <c r="AC2509" s="2" t="s">
        <v>40</v>
      </c>
      <c r="AF2509" s="2">
        <f t="shared" si="355"/>
        <v>0</v>
      </c>
      <c r="AJ2509" s="2">
        <f t="shared" si="356"/>
        <v>0</v>
      </c>
      <c r="AK2509" s="2">
        <f t="shared" si="353"/>
        <v>25</v>
      </c>
      <c r="AL2509" s="5">
        <f t="shared" si="354"/>
        <v>0.5</v>
      </c>
    </row>
    <row r="2510" spans="1:38" x14ac:dyDescent="0.2">
      <c r="A2510" s="2">
        <v>2025</v>
      </c>
      <c r="B2510" s="2">
        <v>12</v>
      </c>
      <c r="D2510" s="2" t="s">
        <v>2173</v>
      </c>
      <c r="P2510" s="2" t="s">
        <v>40</v>
      </c>
      <c r="Q2510" s="2" t="s">
        <v>363</v>
      </c>
      <c r="R2510" s="2" t="s">
        <v>364</v>
      </c>
      <c r="S2510" s="2">
        <v>1</v>
      </c>
      <c r="T2510" s="2">
        <v>50.05</v>
      </c>
      <c r="U2510" s="2">
        <v>11.5115</v>
      </c>
      <c r="V2510" s="2">
        <v>61.561500000000002</v>
      </c>
      <c r="X2510" s="5">
        <f t="shared" si="352"/>
        <v>1</v>
      </c>
      <c r="Z2510" s="2" t="s">
        <v>119</v>
      </c>
      <c r="AA2510" s="2" t="s">
        <v>3380</v>
      </c>
      <c r="AF2510" s="2">
        <f t="shared" si="355"/>
        <v>0</v>
      </c>
      <c r="AJ2510" s="2">
        <f t="shared" si="356"/>
        <v>0</v>
      </c>
      <c r="AK2510" s="2">
        <f t="shared" si="353"/>
        <v>50.05</v>
      </c>
      <c r="AL2510" s="5">
        <f t="shared" si="354"/>
        <v>1</v>
      </c>
    </row>
    <row r="2511" spans="1:38" x14ac:dyDescent="0.2">
      <c r="A2511" s="2">
        <v>2025</v>
      </c>
      <c r="B2511" s="2">
        <v>12</v>
      </c>
      <c r="D2511" s="2" t="s">
        <v>1622</v>
      </c>
      <c r="E2511" s="2" t="s">
        <v>108</v>
      </c>
      <c r="F2511" s="2" t="s">
        <v>477</v>
      </c>
      <c r="G2511" s="2">
        <v>504161342</v>
      </c>
      <c r="H2511" s="2" t="s">
        <v>290</v>
      </c>
      <c r="I2511" s="2" t="s">
        <v>1623</v>
      </c>
      <c r="J2511" s="2" t="s">
        <v>1624</v>
      </c>
      <c r="L2511" s="2" t="s">
        <v>293</v>
      </c>
      <c r="M2511" s="2" t="s">
        <v>1172</v>
      </c>
      <c r="O2511" s="2" t="s">
        <v>2176</v>
      </c>
      <c r="P2511" s="2" t="s">
        <v>114</v>
      </c>
      <c r="Q2511" s="2" t="s">
        <v>2177</v>
      </c>
      <c r="R2511" s="2" t="s">
        <v>2178</v>
      </c>
      <c r="S2511" s="2">
        <v>1</v>
      </c>
      <c r="T2511" s="2">
        <v>16990</v>
      </c>
      <c r="U2511" s="2">
        <v>3907.7</v>
      </c>
      <c r="V2511" s="2">
        <v>20897.7</v>
      </c>
      <c r="W2511" s="2">
        <v>11472.65</v>
      </c>
      <c r="X2511" s="5">
        <f t="shared" si="352"/>
        <v>0.3247410241318423</v>
      </c>
      <c r="Z2511" s="2" t="s">
        <v>104</v>
      </c>
      <c r="AA2511" s="2" t="s">
        <v>150</v>
      </c>
      <c r="AB2511" s="2" t="s">
        <v>1112</v>
      </c>
      <c r="AC2511" s="2" t="s">
        <v>114</v>
      </c>
      <c r="AF2511" s="2">
        <f t="shared" si="355"/>
        <v>0</v>
      </c>
      <c r="AG2511" s="2">
        <f>10972.65+500</f>
        <v>11472.65</v>
      </c>
      <c r="AJ2511" s="2">
        <f t="shared" si="356"/>
        <v>0</v>
      </c>
      <c r="AK2511" s="2">
        <f t="shared" si="353"/>
        <v>5517.35</v>
      </c>
      <c r="AL2511" s="5">
        <f t="shared" si="354"/>
        <v>0.3247410241318423</v>
      </c>
    </row>
    <row r="2512" spans="1:38" x14ac:dyDescent="0.2">
      <c r="A2512" s="2">
        <v>2025</v>
      </c>
      <c r="B2512" s="2">
        <v>12</v>
      </c>
      <c r="D2512" s="2" t="s">
        <v>1942</v>
      </c>
      <c r="P2512" s="2" t="s">
        <v>114</v>
      </c>
      <c r="Q2512" s="2" t="s">
        <v>1385</v>
      </c>
      <c r="R2512" s="2" t="s">
        <v>1080</v>
      </c>
      <c r="S2512" s="2">
        <v>1</v>
      </c>
      <c r="T2512" s="2">
        <v>94.68</v>
      </c>
      <c r="U2512" s="2">
        <v>21.776399999999999</v>
      </c>
      <c r="V2512" s="2">
        <v>116.4564</v>
      </c>
      <c r="X2512" s="5">
        <f t="shared" si="352"/>
        <v>1</v>
      </c>
      <c r="Z2512" s="2" t="s">
        <v>117</v>
      </c>
      <c r="AF2512" s="2">
        <f t="shared" si="355"/>
        <v>0</v>
      </c>
      <c r="AJ2512" s="2">
        <f t="shared" si="356"/>
        <v>0</v>
      </c>
      <c r="AK2512" s="2">
        <f t="shared" si="353"/>
        <v>94.68</v>
      </c>
      <c r="AL2512" s="5">
        <f t="shared" si="354"/>
        <v>1</v>
      </c>
    </row>
    <row r="2513" spans="1:38" x14ac:dyDescent="0.2">
      <c r="A2513" s="2">
        <v>2025</v>
      </c>
      <c r="B2513" s="2">
        <v>12</v>
      </c>
      <c r="D2513" s="2" t="s">
        <v>582</v>
      </c>
      <c r="E2513" s="2" t="s">
        <v>108</v>
      </c>
      <c r="G2513" s="2">
        <v>503850276</v>
      </c>
      <c r="H2513" s="2" t="s">
        <v>40</v>
      </c>
      <c r="I2513" s="2" t="s">
        <v>583</v>
      </c>
      <c r="J2513" s="2" t="s">
        <v>584</v>
      </c>
      <c r="L2513" s="2" t="s">
        <v>201</v>
      </c>
      <c r="M2513" s="2" t="s">
        <v>40</v>
      </c>
      <c r="P2513" s="2" t="s">
        <v>114</v>
      </c>
      <c r="Q2513" s="2" t="s">
        <v>1904</v>
      </c>
      <c r="R2513" s="2" t="s">
        <v>1905</v>
      </c>
      <c r="S2513" s="2">
        <v>1</v>
      </c>
      <c r="T2513" s="2">
        <v>27850</v>
      </c>
      <c r="U2513" s="2">
        <v>6405.5</v>
      </c>
      <c r="V2513" s="2">
        <v>34255.5</v>
      </c>
      <c r="W2513" s="2">
        <v>17000.97</v>
      </c>
      <c r="X2513" s="5">
        <f t="shared" si="352"/>
        <v>0.38955224416517054</v>
      </c>
      <c r="Z2513" s="2" t="s">
        <v>104</v>
      </c>
      <c r="AA2513" s="2" t="s">
        <v>414</v>
      </c>
      <c r="AB2513" s="2" t="s">
        <v>151</v>
      </c>
      <c r="AC2513" s="2" t="s">
        <v>114</v>
      </c>
      <c r="AF2513" s="2">
        <f t="shared" si="355"/>
        <v>0</v>
      </c>
      <c r="AJ2513" s="2">
        <f t="shared" si="356"/>
        <v>0</v>
      </c>
      <c r="AK2513" s="2">
        <f t="shared" si="353"/>
        <v>10849.029999999999</v>
      </c>
      <c r="AL2513" s="5">
        <f t="shared" si="354"/>
        <v>0.38955224416517054</v>
      </c>
    </row>
    <row r="2514" spans="1:38" x14ac:dyDescent="0.2">
      <c r="A2514" s="2">
        <v>2025</v>
      </c>
      <c r="B2514" s="2">
        <v>12</v>
      </c>
      <c r="D2514" s="2" t="s">
        <v>582</v>
      </c>
      <c r="E2514" s="2" t="s">
        <v>108</v>
      </c>
      <c r="G2514" s="2">
        <v>503850276</v>
      </c>
      <c r="H2514" s="2" t="s">
        <v>40</v>
      </c>
      <c r="I2514" s="2" t="s">
        <v>583</v>
      </c>
      <c r="J2514" s="2" t="s">
        <v>584</v>
      </c>
      <c r="L2514" s="2" t="s">
        <v>201</v>
      </c>
      <c r="M2514" s="2" t="s">
        <v>80</v>
      </c>
      <c r="P2514" s="2" t="s">
        <v>72</v>
      </c>
      <c r="Q2514" s="2" t="s">
        <v>1075</v>
      </c>
      <c r="R2514" s="2" t="s">
        <v>83</v>
      </c>
      <c r="S2514" s="2">
        <v>-1</v>
      </c>
      <c r="T2514" s="2">
        <v>-248.4</v>
      </c>
      <c r="U2514" s="2">
        <v>-57.132000000000012</v>
      </c>
      <c r="V2514" s="2">
        <v>-305.53199999999998</v>
      </c>
      <c r="W2514" s="2">
        <v>159.54</v>
      </c>
      <c r="X2514" s="18">
        <f>SIGN(T2514)*((ABS(T2514)-W2514)/ABS(T2514))</f>
        <v>-0.35772946859903387</v>
      </c>
      <c r="Z2514" s="2" t="s">
        <v>3227</v>
      </c>
      <c r="AA2514" s="2" t="s">
        <v>75</v>
      </c>
      <c r="AB2514" s="2" t="s">
        <v>76</v>
      </c>
      <c r="AC2514" s="2" t="s">
        <v>77</v>
      </c>
      <c r="AF2514" s="2">
        <f t="shared" si="355"/>
        <v>0</v>
      </c>
      <c r="AG2514" s="2">
        <f>144.14+15.4</f>
        <v>159.54</v>
      </c>
      <c r="AH2514" s="2">
        <v>280</v>
      </c>
      <c r="AJ2514" s="2">
        <f t="shared" si="356"/>
        <v>0</v>
      </c>
      <c r="AK2514" s="2">
        <f>T2514+(W2514)</f>
        <v>-88.860000000000014</v>
      </c>
      <c r="AL2514" s="18">
        <f>SIGN(T2514)*((ABS(T2514)-W2514)/ABS(T2514))</f>
        <v>-0.35772946859903387</v>
      </c>
    </row>
    <row r="2515" spans="1:38" x14ac:dyDescent="0.2">
      <c r="A2515" s="2">
        <v>2025</v>
      </c>
      <c r="B2515" s="2">
        <v>12</v>
      </c>
      <c r="D2515" s="2" t="s">
        <v>582</v>
      </c>
      <c r="E2515" s="2" t="s">
        <v>108</v>
      </c>
      <c r="G2515" s="2">
        <v>503850276</v>
      </c>
      <c r="H2515" s="2" t="s">
        <v>40</v>
      </c>
      <c r="I2515" s="2" t="s">
        <v>583</v>
      </c>
      <c r="J2515" s="2" t="s">
        <v>584</v>
      </c>
      <c r="L2515" s="2" t="s">
        <v>201</v>
      </c>
      <c r="M2515" s="2" t="s">
        <v>80</v>
      </c>
      <c r="P2515" s="2" t="s">
        <v>93</v>
      </c>
      <c r="Q2515" s="2" t="s">
        <v>94</v>
      </c>
      <c r="R2515" s="2" t="s">
        <v>95</v>
      </c>
      <c r="S2515" s="2">
        <v>-1</v>
      </c>
      <c r="T2515" s="2">
        <v>-1.1399999999999999</v>
      </c>
      <c r="U2515" s="2">
        <v>-0.26219999999999999</v>
      </c>
      <c r="V2515" s="2">
        <v>-1.4021999999999999</v>
      </c>
      <c r="W2515" s="2">
        <v>1.1399999999999999</v>
      </c>
      <c r="X2515" s="18">
        <f>SIGN(T2515)*((ABS(T2515)-W2515)/ABS(T2515))</f>
        <v>0</v>
      </c>
      <c r="Z2515" s="2" t="s">
        <v>3227</v>
      </c>
      <c r="AA2515" s="2" t="s">
        <v>96</v>
      </c>
      <c r="AB2515" s="2" t="s">
        <v>76</v>
      </c>
      <c r="AC2515" s="2" t="s">
        <v>93</v>
      </c>
      <c r="AF2515" s="2">
        <f t="shared" si="355"/>
        <v>0</v>
      </c>
      <c r="AJ2515" s="2">
        <f t="shared" si="356"/>
        <v>0</v>
      </c>
      <c r="AK2515" s="2">
        <f>T2515+(W2515)</f>
        <v>0</v>
      </c>
      <c r="AL2515" s="18">
        <f>SIGN(T2515)*((ABS(T2515)-W2515)/ABS(T2515))</f>
        <v>0</v>
      </c>
    </row>
    <row r="2516" spans="1:38" x14ac:dyDescent="0.2">
      <c r="A2516" s="2">
        <v>2025</v>
      </c>
      <c r="B2516" s="2">
        <v>12</v>
      </c>
      <c r="D2516" s="2" t="s">
        <v>588</v>
      </c>
      <c r="E2516" s="2" t="s">
        <v>38</v>
      </c>
      <c r="F2516" s="2" t="s">
        <v>39</v>
      </c>
      <c r="G2516" s="2">
        <v>510339298</v>
      </c>
      <c r="H2516" s="2" t="s">
        <v>41</v>
      </c>
      <c r="I2516" s="2" t="s">
        <v>177</v>
      </c>
      <c r="J2516" s="2" t="s">
        <v>589</v>
      </c>
      <c r="L2516" s="2" t="s">
        <v>177</v>
      </c>
      <c r="P2516" s="2" t="s">
        <v>282</v>
      </c>
      <c r="Q2516" s="2" t="s">
        <v>1069</v>
      </c>
      <c r="R2516" s="2" t="s">
        <v>1070</v>
      </c>
      <c r="S2516" s="2">
        <v>2</v>
      </c>
      <c r="T2516" s="2">
        <v>18.16</v>
      </c>
      <c r="U2516" s="2">
        <v>4.1768000000000001</v>
      </c>
      <c r="V2516" s="2">
        <v>22.3368</v>
      </c>
      <c r="W2516" s="2">
        <f>6.0484*S2516</f>
        <v>12.0968</v>
      </c>
      <c r="X2516" s="5">
        <f>(T2516-W2516)/T2516</f>
        <v>0.33387665198237887</v>
      </c>
      <c r="Z2516" s="2" t="s">
        <v>3227</v>
      </c>
      <c r="AA2516" s="2" t="s">
        <v>71</v>
      </c>
      <c r="AB2516" s="2" t="s">
        <v>119</v>
      </c>
      <c r="AC2516" s="2" t="s">
        <v>119</v>
      </c>
      <c r="AF2516" s="2">
        <f t="shared" si="355"/>
        <v>0</v>
      </c>
      <c r="AJ2516" s="2">
        <f t="shared" si="356"/>
        <v>0</v>
      </c>
      <c r="AK2516" s="2">
        <f t="shared" ref="AK2516:AK2579" si="357">T2516-W2516</f>
        <v>6.0632000000000001</v>
      </c>
      <c r="AL2516" s="5">
        <f>(T2516-W2516)/T2516</f>
        <v>0.33387665198237887</v>
      </c>
    </row>
    <row r="2517" spans="1:38" x14ac:dyDescent="0.2">
      <c r="A2517" s="2">
        <v>2025</v>
      </c>
      <c r="B2517" s="2">
        <v>12</v>
      </c>
      <c r="D2517" s="2" t="s">
        <v>588</v>
      </c>
      <c r="E2517" s="2" t="s">
        <v>38</v>
      </c>
      <c r="F2517" s="2" t="s">
        <v>39</v>
      </c>
      <c r="G2517" s="2">
        <v>510339298</v>
      </c>
      <c r="H2517" s="2" t="s">
        <v>41</v>
      </c>
      <c r="I2517" s="2" t="s">
        <v>177</v>
      </c>
      <c r="J2517" s="2" t="s">
        <v>589</v>
      </c>
      <c r="L2517" s="2" t="s">
        <v>177</v>
      </c>
      <c r="M2517" s="2" t="s">
        <v>41</v>
      </c>
      <c r="P2517" s="2" t="s">
        <v>43</v>
      </c>
      <c r="Q2517" s="2" t="s">
        <v>48</v>
      </c>
      <c r="R2517" s="2" t="s">
        <v>49</v>
      </c>
      <c r="S2517" s="2">
        <v>2</v>
      </c>
      <c r="T2517" s="2">
        <v>26</v>
      </c>
      <c r="U2517" s="2">
        <v>5.98</v>
      </c>
      <c r="V2517" s="2">
        <v>31.98</v>
      </c>
      <c r="W2517" s="2">
        <f>6.6267*S2517</f>
        <v>13.253399999999999</v>
      </c>
      <c r="X2517" s="5">
        <f>(T2517-W2517)/T2517</f>
        <v>0.49025384615384621</v>
      </c>
      <c r="Z2517" s="2" t="s">
        <v>3227</v>
      </c>
      <c r="AA2517" s="2" t="s">
        <v>46</v>
      </c>
      <c r="AB2517" s="2" t="s">
        <v>47</v>
      </c>
      <c r="AC2517" s="2" t="s">
        <v>57</v>
      </c>
      <c r="AF2517" s="2">
        <f t="shared" si="355"/>
        <v>0</v>
      </c>
      <c r="AG2517" s="2">
        <v>6.6266999999999996</v>
      </c>
      <c r="AH2517" s="2">
        <v>12</v>
      </c>
      <c r="AJ2517" s="2">
        <f t="shared" si="356"/>
        <v>0</v>
      </c>
      <c r="AK2517" s="2">
        <f t="shared" si="357"/>
        <v>12.746600000000001</v>
      </c>
      <c r="AL2517" s="5">
        <f>(T2517-W2517)/T2517</f>
        <v>0.49025384615384621</v>
      </c>
    </row>
    <row r="2518" spans="1:38" x14ac:dyDescent="0.2">
      <c r="A2518" s="2">
        <v>2025</v>
      </c>
      <c r="B2518" s="2">
        <v>12</v>
      </c>
      <c r="D2518" s="2" t="s">
        <v>588</v>
      </c>
      <c r="E2518" s="2" t="s">
        <v>38</v>
      </c>
      <c r="F2518" s="2" t="s">
        <v>39</v>
      </c>
      <c r="G2518" s="2">
        <v>510339298</v>
      </c>
      <c r="H2518" s="2" t="s">
        <v>41</v>
      </c>
      <c r="I2518" s="2" t="s">
        <v>177</v>
      </c>
      <c r="J2518" s="2" t="s">
        <v>589</v>
      </c>
      <c r="L2518" s="2" t="s">
        <v>177</v>
      </c>
      <c r="M2518" s="2" t="s">
        <v>41</v>
      </c>
      <c r="P2518" s="2" t="s">
        <v>43</v>
      </c>
      <c r="Q2518" s="2" t="s">
        <v>160</v>
      </c>
      <c r="R2518" s="2" t="s">
        <v>161</v>
      </c>
      <c r="S2518" s="2">
        <v>1</v>
      </c>
      <c r="T2518" s="2">
        <v>7.8</v>
      </c>
      <c r="U2518" s="2">
        <v>1.794</v>
      </c>
      <c r="V2518" s="2">
        <v>9.5939999999999994</v>
      </c>
      <c r="W2518" s="2">
        <f>3.7358*S2518</f>
        <v>3.7357999999999998</v>
      </c>
      <c r="X2518" s="5">
        <f>(T2518-W2518)/T2518</f>
        <v>0.52105128205128204</v>
      </c>
      <c r="Z2518" s="2" t="s">
        <v>3227</v>
      </c>
      <c r="AA2518" s="2" t="s">
        <v>46</v>
      </c>
      <c r="AB2518" s="2" t="s">
        <v>47</v>
      </c>
      <c r="AC2518" s="2" t="s">
        <v>57</v>
      </c>
      <c r="AF2518" s="2">
        <f t="shared" si="355"/>
        <v>0</v>
      </c>
      <c r="AG2518" s="2">
        <v>3.7357999999999998</v>
      </c>
      <c r="AH2518" s="2">
        <v>9</v>
      </c>
      <c r="AJ2518" s="2">
        <f t="shared" si="356"/>
        <v>0</v>
      </c>
      <c r="AK2518" s="2">
        <f t="shared" si="357"/>
        <v>4.0641999999999996</v>
      </c>
      <c r="AL2518" s="5">
        <f>(T2518-W2518)/T2518</f>
        <v>0.52105128205128204</v>
      </c>
    </row>
    <row r="2519" spans="1:38" x14ac:dyDescent="0.2">
      <c r="A2519" s="2">
        <v>2025</v>
      </c>
      <c r="B2519" s="2">
        <v>12</v>
      </c>
      <c r="D2519" s="2" t="s">
        <v>594</v>
      </c>
      <c r="E2519" s="2" t="s">
        <v>108</v>
      </c>
      <c r="F2519" s="2" t="s">
        <v>395</v>
      </c>
      <c r="G2519" s="2">
        <v>507476352</v>
      </c>
      <c r="H2519" s="2" t="s">
        <v>109</v>
      </c>
      <c r="I2519" s="2" t="s">
        <v>112</v>
      </c>
      <c r="J2519" s="2" t="s">
        <v>595</v>
      </c>
      <c r="L2519" s="2" t="s">
        <v>112</v>
      </c>
      <c r="M2519" s="2" t="s">
        <v>40</v>
      </c>
      <c r="O2519" s="2" t="s">
        <v>2179</v>
      </c>
      <c r="P2519" s="2" t="s">
        <v>187</v>
      </c>
      <c r="Q2519" s="2" t="s">
        <v>188</v>
      </c>
      <c r="R2519" s="2" t="s">
        <v>189</v>
      </c>
      <c r="S2519" s="2">
        <v>1</v>
      </c>
      <c r="T2519" s="2">
        <v>131</v>
      </c>
      <c r="U2519" s="2">
        <v>30.13</v>
      </c>
      <c r="V2519" s="2">
        <v>161.13</v>
      </c>
      <c r="W2519" s="2">
        <f>T2519*40%</f>
        <v>52.400000000000006</v>
      </c>
      <c r="X2519" s="5">
        <f>(T2519-W2519)/T2519</f>
        <v>0.6</v>
      </c>
      <c r="Z2519" s="2" t="s">
        <v>117</v>
      </c>
      <c r="AA2519" s="2" t="s">
        <v>190</v>
      </c>
      <c r="AB2519" s="2" t="s">
        <v>189</v>
      </c>
      <c r="AC2519" s="2" t="s">
        <v>40</v>
      </c>
      <c r="AF2519" s="2">
        <f t="shared" si="355"/>
        <v>0</v>
      </c>
      <c r="AJ2519" s="2">
        <f t="shared" si="356"/>
        <v>0</v>
      </c>
      <c r="AK2519" s="2">
        <f t="shared" si="357"/>
        <v>78.599999999999994</v>
      </c>
      <c r="AL2519" s="5">
        <f>(T2519-W2519)/T2519</f>
        <v>0.6</v>
      </c>
    </row>
    <row r="2520" spans="1:38" x14ac:dyDescent="0.2">
      <c r="A2520" s="2">
        <v>2025</v>
      </c>
      <c r="B2520" s="2">
        <v>12</v>
      </c>
      <c r="D2520" s="2" t="s">
        <v>594</v>
      </c>
      <c r="E2520" s="2" t="s">
        <v>108</v>
      </c>
      <c r="F2520" s="2" t="s">
        <v>395</v>
      </c>
      <c r="G2520" s="2">
        <v>507476352</v>
      </c>
      <c r="H2520" s="2" t="s">
        <v>109</v>
      </c>
      <c r="I2520" s="2" t="s">
        <v>112</v>
      </c>
      <c r="J2520" s="2" t="s">
        <v>595</v>
      </c>
      <c r="L2520" s="2" t="s">
        <v>112</v>
      </c>
      <c r="M2520" s="2" t="s">
        <v>40</v>
      </c>
      <c r="O2520" s="2" t="s">
        <v>2179</v>
      </c>
      <c r="P2520" s="2" t="s">
        <v>187</v>
      </c>
      <c r="Q2520" s="2" t="s">
        <v>191</v>
      </c>
      <c r="R2520" s="2" t="s">
        <v>190</v>
      </c>
      <c r="S2520" s="2">
        <v>2</v>
      </c>
      <c r="T2520" s="2">
        <v>100</v>
      </c>
      <c r="U2520" s="2">
        <v>23</v>
      </c>
      <c r="V2520" s="2">
        <v>123</v>
      </c>
      <c r="W2520" s="2">
        <f>T2520*50%</f>
        <v>50</v>
      </c>
      <c r="X2520" s="5">
        <f>(T2520-W2520)/T2520</f>
        <v>0.5</v>
      </c>
      <c r="Z2520" s="2" t="s">
        <v>117</v>
      </c>
      <c r="AA2520" s="2" t="s">
        <v>190</v>
      </c>
      <c r="AB2520" s="2" t="s">
        <v>190</v>
      </c>
      <c r="AC2520" s="2" t="s">
        <v>40</v>
      </c>
      <c r="AF2520" s="2">
        <f t="shared" si="355"/>
        <v>0</v>
      </c>
      <c r="AJ2520" s="2">
        <f t="shared" si="356"/>
        <v>0</v>
      </c>
      <c r="AK2520" s="2">
        <f t="shared" si="357"/>
        <v>50</v>
      </c>
      <c r="AL2520" s="5">
        <f>(T2520-W2520)/T2520</f>
        <v>0.5</v>
      </c>
    </row>
    <row r="2521" spans="1:38" x14ac:dyDescent="0.2">
      <c r="A2521" s="2">
        <v>2025</v>
      </c>
      <c r="B2521" s="2">
        <v>12</v>
      </c>
      <c r="D2521" s="2" t="s">
        <v>597</v>
      </c>
      <c r="E2521" s="2" t="s">
        <v>38</v>
      </c>
      <c r="F2521" s="2" t="s">
        <v>39</v>
      </c>
      <c r="G2521" s="2">
        <v>509680364</v>
      </c>
      <c r="H2521" s="2" t="s">
        <v>41</v>
      </c>
      <c r="I2521" s="2" t="s">
        <v>598</v>
      </c>
      <c r="J2521" s="2" t="s">
        <v>599</v>
      </c>
      <c r="K2521" s="2">
        <v>919603867</v>
      </c>
      <c r="L2521" s="2" t="s">
        <v>600</v>
      </c>
      <c r="M2521" s="2" t="s">
        <v>41</v>
      </c>
      <c r="O2521" s="2" t="s">
        <v>2180</v>
      </c>
      <c r="P2521" s="2" t="s">
        <v>43</v>
      </c>
      <c r="Q2521" s="2" t="s">
        <v>58</v>
      </c>
      <c r="R2521" s="2" t="s">
        <v>59</v>
      </c>
      <c r="S2521" s="2">
        <v>200</v>
      </c>
      <c r="T2521" s="2">
        <v>0</v>
      </c>
      <c r="U2521" s="2">
        <v>0</v>
      </c>
      <c r="V2521" s="2">
        <v>0</v>
      </c>
      <c r="W2521" s="2">
        <f>0.0914*S2521</f>
        <v>18.279999999999998</v>
      </c>
      <c r="X2521" s="18">
        <f>IF(T2521=0,IF(W2521&gt;0,-100%,0%),(T2521-W2521)/T2521)</f>
        <v>-1</v>
      </c>
      <c r="Z2521" s="2" t="s">
        <v>3227</v>
      </c>
      <c r="AA2521" s="2" t="s">
        <v>46</v>
      </c>
      <c r="AB2521" s="2" t="s">
        <v>60</v>
      </c>
      <c r="AC2521" s="2" t="s">
        <v>57</v>
      </c>
      <c r="AF2521" s="2">
        <f t="shared" si="355"/>
        <v>0</v>
      </c>
      <c r="AG2521" s="2">
        <v>9.14</v>
      </c>
      <c r="AH2521" s="2">
        <v>16</v>
      </c>
      <c r="AJ2521" s="2">
        <f t="shared" si="356"/>
        <v>0</v>
      </c>
      <c r="AK2521" s="2">
        <f t="shared" si="357"/>
        <v>-18.279999999999998</v>
      </c>
      <c r="AL2521" s="18">
        <f>IF(T2521=0,IF(W2521&gt;0,-100%,0%),(T2521-W2521)/T2521)</f>
        <v>-1</v>
      </c>
    </row>
    <row r="2522" spans="1:38" x14ac:dyDescent="0.2">
      <c r="A2522" s="2">
        <v>2025</v>
      </c>
      <c r="B2522" s="2">
        <v>12</v>
      </c>
      <c r="D2522" s="2" t="s">
        <v>597</v>
      </c>
      <c r="E2522" s="2" t="s">
        <v>38</v>
      </c>
      <c r="F2522" s="2" t="s">
        <v>39</v>
      </c>
      <c r="G2522" s="2">
        <v>509680364</v>
      </c>
      <c r="H2522" s="2" t="s">
        <v>41</v>
      </c>
      <c r="I2522" s="2" t="s">
        <v>598</v>
      </c>
      <c r="J2522" s="2" t="s">
        <v>599</v>
      </c>
      <c r="K2522" s="2">
        <v>919603867</v>
      </c>
      <c r="L2522" s="2" t="s">
        <v>600</v>
      </c>
      <c r="M2522" s="2" t="s">
        <v>41</v>
      </c>
      <c r="O2522" s="2" t="s">
        <v>2180</v>
      </c>
      <c r="P2522" s="2" t="s">
        <v>43</v>
      </c>
      <c r="Q2522" s="2" t="s">
        <v>61</v>
      </c>
      <c r="R2522" s="2" t="s">
        <v>62</v>
      </c>
      <c r="S2522" s="2">
        <v>200</v>
      </c>
      <c r="T2522" s="2">
        <v>0</v>
      </c>
      <c r="U2522" s="2">
        <v>0</v>
      </c>
      <c r="V2522" s="2">
        <v>0</v>
      </c>
      <c r="W2522" s="2">
        <f>0.082*S2522</f>
        <v>16.400000000000002</v>
      </c>
      <c r="X2522" s="5">
        <f>IF(T2522=0,IF(W2522&gt;0,-100%,0%),(T2522-W2522)/T2522)</f>
        <v>-1</v>
      </c>
      <c r="Z2522" s="2" t="s">
        <v>3227</v>
      </c>
      <c r="AA2522" s="2" t="s">
        <v>46</v>
      </c>
      <c r="AB2522" s="2" t="s">
        <v>60</v>
      </c>
      <c r="AC2522" s="2" t="s">
        <v>57</v>
      </c>
      <c r="AF2522" s="2">
        <f t="shared" si="355"/>
        <v>0</v>
      </c>
      <c r="AG2522" s="2">
        <v>8.1999999999999993</v>
      </c>
      <c r="AH2522" s="2">
        <v>13</v>
      </c>
      <c r="AJ2522" s="2">
        <f t="shared" si="356"/>
        <v>0</v>
      </c>
      <c r="AK2522" s="2">
        <f t="shared" si="357"/>
        <v>-16.400000000000002</v>
      </c>
      <c r="AL2522" s="5">
        <f>IF(T2522=0,IF(W2522&gt;0,-100%,0%),(T2522-W2522)/T2522)</f>
        <v>-1</v>
      </c>
    </row>
    <row r="2523" spans="1:38" x14ac:dyDescent="0.2">
      <c r="A2523" s="2">
        <v>2025</v>
      </c>
      <c r="B2523" s="2">
        <v>12</v>
      </c>
      <c r="D2523" s="2" t="s">
        <v>597</v>
      </c>
      <c r="E2523" s="2" t="s">
        <v>38</v>
      </c>
      <c r="F2523" s="2" t="s">
        <v>39</v>
      </c>
      <c r="G2523" s="2">
        <v>509680364</v>
      </c>
      <c r="H2523" s="2" t="s">
        <v>41</v>
      </c>
      <c r="I2523" s="2" t="s">
        <v>598</v>
      </c>
      <c r="J2523" s="2" t="s">
        <v>599</v>
      </c>
      <c r="K2523" s="2">
        <v>919603867</v>
      </c>
      <c r="L2523" s="2" t="s">
        <v>600</v>
      </c>
      <c r="M2523" s="2" t="s">
        <v>41</v>
      </c>
      <c r="O2523" s="2" t="s">
        <v>2180</v>
      </c>
      <c r="P2523" s="2" t="s">
        <v>43</v>
      </c>
      <c r="Q2523" s="2" t="s">
        <v>254</v>
      </c>
      <c r="R2523" s="2" t="s">
        <v>255</v>
      </c>
      <c r="S2523" s="2">
        <v>200</v>
      </c>
      <c r="T2523" s="2">
        <v>0</v>
      </c>
      <c r="U2523" s="2">
        <v>0</v>
      </c>
      <c r="V2523" s="2">
        <v>0</v>
      </c>
      <c r="W2523" s="2">
        <f>0.0914*S2523</f>
        <v>18.279999999999998</v>
      </c>
      <c r="X2523" s="18">
        <f>IF(T2523=0,IF(W2523&gt;0,-100%,0%),(T2523-W2523)/T2523)</f>
        <v>-1</v>
      </c>
      <c r="Z2523" s="2" t="s">
        <v>3227</v>
      </c>
      <c r="AA2523" s="2" t="s">
        <v>46</v>
      </c>
      <c r="AB2523" s="2" t="s">
        <v>60</v>
      </c>
      <c r="AC2523" s="2" t="s">
        <v>57</v>
      </c>
      <c r="AF2523" s="2">
        <f t="shared" si="355"/>
        <v>0</v>
      </c>
      <c r="AJ2523" s="2">
        <f t="shared" si="356"/>
        <v>0</v>
      </c>
      <c r="AK2523" s="2">
        <f t="shared" si="357"/>
        <v>-18.279999999999998</v>
      </c>
      <c r="AL2523" s="18">
        <f>IF(T2523=0,IF(W2523&gt;0,-100%,0%),(T2523-W2523)/T2523)</f>
        <v>-1</v>
      </c>
    </row>
    <row r="2524" spans="1:38" x14ac:dyDescent="0.2">
      <c r="A2524" s="2">
        <v>2025</v>
      </c>
      <c r="B2524" s="2">
        <v>12</v>
      </c>
      <c r="D2524" s="2" t="s">
        <v>597</v>
      </c>
      <c r="E2524" s="2" t="s">
        <v>38</v>
      </c>
      <c r="F2524" s="2" t="s">
        <v>39</v>
      </c>
      <c r="G2524" s="2">
        <v>509680364</v>
      </c>
      <c r="H2524" s="2" t="s">
        <v>41</v>
      </c>
      <c r="I2524" s="2" t="s">
        <v>598</v>
      </c>
      <c r="J2524" s="2" t="s">
        <v>599</v>
      </c>
      <c r="K2524" s="2">
        <v>919603867</v>
      </c>
      <c r="L2524" s="2" t="s">
        <v>600</v>
      </c>
      <c r="M2524" s="2" t="s">
        <v>41</v>
      </c>
      <c r="O2524" s="2" t="s">
        <v>2180</v>
      </c>
      <c r="P2524" s="2" t="s">
        <v>43</v>
      </c>
      <c r="Q2524" s="2" t="s">
        <v>65</v>
      </c>
      <c r="R2524" s="2" t="s">
        <v>66</v>
      </c>
      <c r="S2524" s="2">
        <v>3</v>
      </c>
      <c r="T2524" s="2">
        <v>0</v>
      </c>
      <c r="U2524" s="2">
        <v>0</v>
      </c>
      <c r="V2524" s="2">
        <v>0</v>
      </c>
      <c r="W2524" s="2">
        <f>15.0203*S2524</f>
        <v>45.060900000000004</v>
      </c>
      <c r="X2524" s="18">
        <f>IF(T2524=0,IF(W2524&gt;0,-100%,0%),(T2524-W2524)/T2524)</f>
        <v>-1</v>
      </c>
      <c r="Z2524" s="2" t="s">
        <v>3227</v>
      </c>
      <c r="AA2524" s="2" t="s">
        <v>46</v>
      </c>
      <c r="AB2524" s="2" t="s">
        <v>67</v>
      </c>
      <c r="AC2524" s="2" t="s">
        <v>57</v>
      </c>
      <c r="AF2524" s="2">
        <f t="shared" si="355"/>
        <v>0</v>
      </c>
      <c r="AG2524" s="2">
        <v>15.020300000000001</v>
      </c>
      <c r="AH2524" s="2">
        <v>27.6</v>
      </c>
      <c r="AJ2524" s="2">
        <f t="shared" si="356"/>
        <v>0</v>
      </c>
      <c r="AK2524" s="2">
        <f t="shared" si="357"/>
        <v>-45.060900000000004</v>
      </c>
      <c r="AL2524" s="18">
        <f>IF(T2524=0,IF(W2524&gt;0,-100%,0%),(T2524-W2524)/T2524)</f>
        <v>-1</v>
      </c>
    </row>
    <row r="2525" spans="1:38" x14ac:dyDescent="0.2">
      <c r="A2525" s="2">
        <v>2025</v>
      </c>
      <c r="B2525" s="2">
        <v>12</v>
      </c>
      <c r="D2525" s="2" t="s">
        <v>597</v>
      </c>
      <c r="E2525" s="2" t="s">
        <v>38</v>
      </c>
      <c r="F2525" s="2" t="s">
        <v>39</v>
      </c>
      <c r="G2525" s="2">
        <v>509680364</v>
      </c>
      <c r="H2525" s="2" t="s">
        <v>41</v>
      </c>
      <c r="I2525" s="2" t="s">
        <v>598</v>
      </c>
      <c r="J2525" s="2" t="s">
        <v>599</v>
      </c>
      <c r="K2525" s="2">
        <v>919603867</v>
      </c>
      <c r="L2525" s="2" t="s">
        <v>600</v>
      </c>
      <c r="M2525" s="2" t="s">
        <v>41</v>
      </c>
      <c r="O2525" s="2" t="s">
        <v>2180</v>
      </c>
      <c r="P2525" s="2" t="s">
        <v>166</v>
      </c>
      <c r="Q2525" s="2" t="s">
        <v>2181</v>
      </c>
      <c r="R2525" s="2" t="s">
        <v>2182</v>
      </c>
      <c r="S2525" s="2">
        <v>10</v>
      </c>
      <c r="T2525" s="2">
        <v>0</v>
      </c>
      <c r="U2525" s="2">
        <v>0</v>
      </c>
      <c r="V2525" s="2">
        <v>0</v>
      </c>
      <c r="X2525" s="5">
        <v>0</v>
      </c>
      <c r="Z2525" s="2" t="s">
        <v>3227</v>
      </c>
      <c r="AA2525" s="2" t="s">
        <v>87</v>
      </c>
      <c r="AB2525" s="2" t="s">
        <v>119</v>
      </c>
      <c r="AC2525" s="2" t="s">
        <v>166</v>
      </c>
      <c r="AF2525" s="2">
        <f t="shared" si="355"/>
        <v>0</v>
      </c>
      <c r="AJ2525" s="2">
        <f t="shared" si="356"/>
        <v>0</v>
      </c>
      <c r="AK2525" s="2">
        <f t="shared" si="357"/>
        <v>0</v>
      </c>
      <c r="AL2525" s="5" t="e">
        <f t="shared" ref="AL2525:AL2588" si="358">(T2525-W2525)/T2525</f>
        <v>#DIV/0!</v>
      </c>
    </row>
    <row r="2526" spans="1:38" x14ac:dyDescent="0.2">
      <c r="A2526" s="2">
        <v>2025</v>
      </c>
      <c r="B2526" s="2">
        <v>12</v>
      </c>
      <c r="D2526" s="2" t="s">
        <v>597</v>
      </c>
      <c r="E2526" s="2" t="s">
        <v>38</v>
      </c>
      <c r="F2526" s="2" t="s">
        <v>39</v>
      </c>
      <c r="G2526" s="2">
        <v>509680364</v>
      </c>
      <c r="H2526" s="2" t="s">
        <v>41</v>
      </c>
      <c r="I2526" s="2" t="s">
        <v>598</v>
      </c>
      <c r="J2526" s="2" t="s">
        <v>599</v>
      </c>
      <c r="K2526" s="2">
        <v>919603867</v>
      </c>
      <c r="L2526" s="2" t="s">
        <v>600</v>
      </c>
      <c r="M2526" s="2" t="s">
        <v>41</v>
      </c>
      <c r="O2526" s="2" t="s">
        <v>2180</v>
      </c>
      <c r="P2526" s="2" t="s">
        <v>84</v>
      </c>
      <c r="Q2526" s="2" t="s">
        <v>1209</v>
      </c>
      <c r="R2526" s="2" t="s">
        <v>1210</v>
      </c>
      <c r="S2526" s="2">
        <v>10</v>
      </c>
      <c r="T2526" s="2">
        <v>0</v>
      </c>
      <c r="U2526" s="2">
        <v>0</v>
      </c>
      <c r="V2526" s="2">
        <v>0</v>
      </c>
      <c r="X2526" s="5">
        <v>0</v>
      </c>
      <c r="Z2526" s="2" t="s">
        <v>3227</v>
      </c>
      <c r="AA2526" s="2" t="s">
        <v>87</v>
      </c>
      <c r="AB2526" s="2" t="s">
        <v>60</v>
      </c>
      <c r="AC2526" s="2" t="s">
        <v>84</v>
      </c>
      <c r="AF2526" s="2">
        <f t="shared" si="355"/>
        <v>0</v>
      </c>
      <c r="AJ2526" s="2">
        <f t="shared" si="356"/>
        <v>0</v>
      </c>
      <c r="AK2526" s="2">
        <f t="shared" si="357"/>
        <v>0</v>
      </c>
      <c r="AL2526" s="5" t="e">
        <f t="shared" si="358"/>
        <v>#DIV/0!</v>
      </c>
    </row>
    <row r="2527" spans="1:38" x14ac:dyDescent="0.2">
      <c r="A2527" s="2">
        <v>2025</v>
      </c>
      <c r="B2527" s="2">
        <v>12</v>
      </c>
      <c r="D2527" s="2" t="s">
        <v>597</v>
      </c>
      <c r="E2527" s="2" t="s">
        <v>38</v>
      </c>
      <c r="F2527" s="2" t="s">
        <v>39</v>
      </c>
      <c r="G2527" s="2">
        <v>509680364</v>
      </c>
      <c r="H2527" s="2" t="s">
        <v>41</v>
      </c>
      <c r="I2527" s="2" t="s">
        <v>598</v>
      </c>
      <c r="J2527" s="2" t="s">
        <v>599</v>
      </c>
      <c r="K2527" s="2">
        <v>919603867</v>
      </c>
      <c r="L2527" s="2" t="s">
        <v>600</v>
      </c>
      <c r="M2527" s="2" t="s">
        <v>41</v>
      </c>
      <c r="O2527" s="2" t="s">
        <v>2180</v>
      </c>
      <c r="P2527" s="2" t="s">
        <v>84</v>
      </c>
      <c r="Q2527" s="2" t="s">
        <v>1971</v>
      </c>
      <c r="R2527" s="2" t="s">
        <v>1972</v>
      </c>
      <c r="S2527" s="2">
        <v>1</v>
      </c>
      <c r="T2527" s="2">
        <v>0</v>
      </c>
      <c r="U2527" s="2">
        <v>0</v>
      </c>
      <c r="V2527" s="2">
        <v>0</v>
      </c>
      <c r="X2527" s="5">
        <v>0</v>
      </c>
      <c r="Z2527" s="2" t="s">
        <v>3227</v>
      </c>
      <c r="AA2527" s="2" t="s">
        <v>87</v>
      </c>
      <c r="AB2527" s="2" t="s">
        <v>90</v>
      </c>
      <c r="AC2527" s="2" t="s">
        <v>84</v>
      </c>
      <c r="AF2527" s="2">
        <f t="shared" si="355"/>
        <v>0</v>
      </c>
      <c r="AJ2527" s="2">
        <f t="shared" si="356"/>
        <v>0</v>
      </c>
      <c r="AK2527" s="2">
        <f t="shared" si="357"/>
        <v>0</v>
      </c>
      <c r="AL2527" s="5" t="e">
        <f t="shared" si="358"/>
        <v>#DIV/0!</v>
      </c>
    </row>
    <row r="2528" spans="1:38" x14ac:dyDescent="0.2">
      <c r="A2528" s="2">
        <v>2025</v>
      </c>
      <c r="B2528" s="2">
        <v>12</v>
      </c>
      <c r="D2528" s="2" t="s">
        <v>606</v>
      </c>
      <c r="E2528" s="2" t="s">
        <v>108</v>
      </c>
      <c r="F2528" s="2" t="s">
        <v>39</v>
      </c>
      <c r="G2528" s="2">
        <v>504822187</v>
      </c>
      <c r="H2528" s="2" t="s">
        <v>109</v>
      </c>
      <c r="I2528" s="2" t="s">
        <v>607</v>
      </c>
      <c r="J2528" s="2" t="s">
        <v>608</v>
      </c>
      <c r="K2528" s="2">
        <v>966216853</v>
      </c>
      <c r="L2528" s="2" t="s">
        <v>461</v>
      </c>
      <c r="P2528" s="2" t="s">
        <v>282</v>
      </c>
      <c r="Q2528" s="2" t="s">
        <v>1205</v>
      </c>
      <c r="R2528" s="2" t="s">
        <v>1206</v>
      </c>
      <c r="S2528" s="2">
        <v>1</v>
      </c>
      <c r="T2528" s="2">
        <v>23.9</v>
      </c>
      <c r="U2528" s="2">
        <v>5.4969999999999999</v>
      </c>
      <c r="V2528" s="2">
        <v>29.396999999999998</v>
      </c>
      <c r="W2528" s="2">
        <v>14.34</v>
      </c>
      <c r="X2528" s="5">
        <f t="shared" ref="X2528:X2549" si="359">(T2528-W2528)/T2528</f>
        <v>0.39999999999999997</v>
      </c>
      <c r="Z2528" s="2" t="s">
        <v>3227</v>
      </c>
      <c r="AA2528" s="2" t="s">
        <v>71</v>
      </c>
      <c r="AB2528" s="2" t="s">
        <v>119</v>
      </c>
      <c r="AC2528" s="2" t="s">
        <v>119</v>
      </c>
      <c r="AF2528" s="2">
        <f t="shared" si="355"/>
        <v>0</v>
      </c>
      <c r="AJ2528" s="2">
        <f t="shared" si="356"/>
        <v>0</v>
      </c>
      <c r="AK2528" s="2">
        <f t="shared" si="357"/>
        <v>9.5599999999999987</v>
      </c>
      <c r="AL2528" s="5">
        <f t="shared" si="358"/>
        <v>0.39999999999999997</v>
      </c>
    </row>
    <row r="2529" spans="1:38" x14ac:dyDescent="0.2">
      <c r="A2529" s="2">
        <v>2025</v>
      </c>
      <c r="B2529" s="2">
        <v>12</v>
      </c>
      <c r="D2529" s="2" t="s">
        <v>606</v>
      </c>
      <c r="E2529" s="2" t="s">
        <v>108</v>
      </c>
      <c r="F2529" s="2" t="s">
        <v>39</v>
      </c>
      <c r="G2529" s="2">
        <v>504822187</v>
      </c>
      <c r="H2529" s="2" t="s">
        <v>109</v>
      </c>
      <c r="I2529" s="2" t="s">
        <v>607</v>
      </c>
      <c r="J2529" s="2" t="s">
        <v>608</v>
      </c>
      <c r="K2529" s="2">
        <v>966216853</v>
      </c>
      <c r="L2529" s="2" t="s">
        <v>461</v>
      </c>
      <c r="M2529" s="2" t="s">
        <v>41</v>
      </c>
      <c r="P2529" s="2" t="s">
        <v>43</v>
      </c>
      <c r="Q2529" s="2" t="s">
        <v>54</v>
      </c>
      <c r="R2529" s="2" t="s">
        <v>55</v>
      </c>
      <c r="S2529" s="2">
        <v>5</v>
      </c>
      <c r="T2529" s="2">
        <v>80</v>
      </c>
      <c r="U2529" s="2">
        <v>18.399999999999999</v>
      </c>
      <c r="V2529" s="2">
        <v>98.4</v>
      </c>
      <c r="W2529" s="2">
        <f>10.6*S2529</f>
        <v>53</v>
      </c>
      <c r="X2529" s="5">
        <f t="shared" si="359"/>
        <v>0.33750000000000002</v>
      </c>
      <c r="Z2529" s="2" t="s">
        <v>3227</v>
      </c>
      <c r="AA2529" s="2" t="s">
        <v>46</v>
      </c>
      <c r="AB2529" s="2" t="s">
        <v>56</v>
      </c>
      <c r="AC2529" s="2" t="s">
        <v>57</v>
      </c>
      <c r="AF2529" s="2">
        <f t="shared" si="355"/>
        <v>0</v>
      </c>
      <c r="AG2529" s="2">
        <v>10.6</v>
      </c>
      <c r="AH2529" s="2">
        <v>18</v>
      </c>
      <c r="AJ2529" s="2">
        <f t="shared" si="356"/>
        <v>0</v>
      </c>
      <c r="AK2529" s="2">
        <f t="shared" si="357"/>
        <v>27</v>
      </c>
      <c r="AL2529" s="5">
        <f t="shared" si="358"/>
        <v>0.33750000000000002</v>
      </c>
    </row>
    <row r="2530" spans="1:38" x14ac:dyDescent="0.2">
      <c r="A2530" s="2">
        <v>2025</v>
      </c>
      <c r="B2530" s="2">
        <v>12</v>
      </c>
      <c r="D2530" s="2" t="s">
        <v>606</v>
      </c>
      <c r="E2530" s="2" t="s">
        <v>108</v>
      </c>
      <c r="F2530" s="2" t="s">
        <v>39</v>
      </c>
      <c r="G2530" s="2">
        <v>504822187</v>
      </c>
      <c r="H2530" s="2" t="s">
        <v>109</v>
      </c>
      <c r="I2530" s="2" t="s">
        <v>607</v>
      </c>
      <c r="J2530" s="2" t="s">
        <v>608</v>
      </c>
      <c r="K2530" s="2">
        <v>966216853</v>
      </c>
      <c r="L2530" s="2" t="s">
        <v>461</v>
      </c>
      <c r="M2530" s="2" t="s">
        <v>41</v>
      </c>
      <c r="P2530" s="2" t="s">
        <v>43</v>
      </c>
      <c r="Q2530" s="2" t="s">
        <v>65</v>
      </c>
      <c r="R2530" s="2" t="s">
        <v>66</v>
      </c>
      <c r="S2530" s="2">
        <v>1</v>
      </c>
      <c r="T2530" s="2">
        <v>25</v>
      </c>
      <c r="U2530" s="2">
        <v>5.75</v>
      </c>
      <c r="V2530" s="2">
        <v>30.75</v>
      </c>
      <c r="W2530" s="2">
        <f>15.0203*S2530</f>
        <v>15.020300000000001</v>
      </c>
      <c r="X2530" s="5">
        <f t="shared" si="359"/>
        <v>0.39918799999999999</v>
      </c>
      <c r="Z2530" s="2" t="s">
        <v>3227</v>
      </c>
      <c r="AA2530" s="2" t="s">
        <v>46</v>
      </c>
      <c r="AB2530" s="2" t="s">
        <v>67</v>
      </c>
      <c r="AC2530" s="2" t="s">
        <v>57</v>
      </c>
      <c r="AF2530" s="2">
        <f t="shared" si="355"/>
        <v>0</v>
      </c>
      <c r="AG2530" s="2">
        <v>15.020300000000001</v>
      </c>
      <c r="AH2530" s="2">
        <v>27.6</v>
      </c>
      <c r="AJ2530" s="2">
        <f t="shared" si="356"/>
        <v>0</v>
      </c>
      <c r="AK2530" s="2">
        <f t="shared" si="357"/>
        <v>9.9796999999999993</v>
      </c>
      <c r="AL2530" s="5">
        <f t="shared" si="358"/>
        <v>0.39918799999999999</v>
      </c>
    </row>
    <row r="2531" spans="1:38" x14ac:dyDescent="0.2">
      <c r="A2531" s="2">
        <v>2025</v>
      </c>
      <c r="B2531" s="2">
        <v>12</v>
      </c>
      <c r="D2531" s="2" t="s">
        <v>606</v>
      </c>
      <c r="E2531" s="2" t="s">
        <v>108</v>
      </c>
      <c r="F2531" s="2" t="s">
        <v>39</v>
      </c>
      <c r="G2531" s="2">
        <v>504822187</v>
      </c>
      <c r="H2531" s="2" t="s">
        <v>109</v>
      </c>
      <c r="I2531" s="2" t="s">
        <v>607</v>
      </c>
      <c r="J2531" s="2" t="s">
        <v>608</v>
      </c>
      <c r="K2531" s="2">
        <v>966216853</v>
      </c>
      <c r="L2531" s="2" t="s">
        <v>461</v>
      </c>
      <c r="P2531" s="2" t="s">
        <v>169</v>
      </c>
      <c r="Q2531" s="2" t="s">
        <v>170</v>
      </c>
      <c r="R2531" s="2" t="s">
        <v>170</v>
      </c>
      <c r="S2531" s="2">
        <v>1</v>
      </c>
      <c r="T2531" s="2">
        <v>5</v>
      </c>
      <c r="U2531" s="2">
        <v>1.1499999999999999</v>
      </c>
      <c r="V2531" s="2">
        <v>6.15</v>
      </c>
      <c r="W2531" s="2">
        <v>6</v>
      </c>
      <c r="X2531" s="5">
        <f t="shared" si="359"/>
        <v>-0.2</v>
      </c>
      <c r="Z2531" s="2" t="s">
        <v>169</v>
      </c>
      <c r="AA2531" s="2" t="s">
        <v>169</v>
      </c>
      <c r="AF2531" s="2">
        <f t="shared" si="355"/>
        <v>0</v>
      </c>
      <c r="AJ2531" s="2">
        <f t="shared" si="356"/>
        <v>0</v>
      </c>
      <c r="AK2531" s="2">
        <f t="shared" si="357"/>
        <v>-1</v>
      </c>
      <c r="AL2531" s="5">
        <f t="shared" si="358"/>
        <v>-0.2</v>
      </c>
    </row>
    <row r="2532" spans="1:38" x14ac:dyDescent="0.2">
      <c r="A2532" s="2">
        <v>2025</v>
      </c>
      <c r="B2532" s="2">
        <v>12</v>
      </c>
      <c r="D2532" s="2" t="s">
        <v>2072</v>
      </c>
      <c r="P2532" s="2" t="s">
        <v>282</v>
      </c>
      <c r="Q2532" s="2" t="s">
        <v>1530</v>
      </c>
      <c r="R2532" s="2" t="s">
        <v>1531</v>
      </c>
      <c r="S2532" s="2">
        <v>1</v>
      </c>
      <c r="T2532" s="2">
        <v>54</v>
      </c>
      <c r="U2532" s="2">
        <v>12.42</v>
      </c>
      <c r="V2532" s="2">
        <v>66.42</v>
      </c>
      <c r="W2532" s="2">
        <v>6.3</v>
      </c>
      <c r="X2532" s="5">
        <f t="shared" si="359"/>
        <v>0.88333333333333341</v>
      </c>
      <c r="Z2532" s="2" t="s">
        <v>3227</v>
      </c>
      <c r="AA2532" s="2" t="s">
        <v>155</v>
      </c>
      <c r="AB2532" s="2" t="s">
        <v>3403</v>
      </c>
      <c r="AC2532" s="2" t="s">
        <v>1327</v>
      </c>
      <c r="AF2532" s="2">
        <f t="shared" si="355"/>
        <v>0</v>
      </c>
      <c r="AJ2532" s="2">
        <f t="shared" si="356"/>
        <v>0</v>
      </c>
      <c r="AK2532" s="2">
        <f t="shared" si="357"/>
        <v>47.7</v>
      </c>
      <c r="AL2532" s="5">
        <f t="shared" si="358"/>
        <v>0.88333333333333341</v>
      </c>
    </row>
    <row r="2533" spans="1:38" x14ac:dyDescent="0.2">
      <c r="A2533" s="2">
        <v>2025</v>
      </c>
      <c r="B2533" s="2">
        <v>12</v>
      </c>
      <c r="D2533" s="2" t="s">
        <v>2072</v>
      </c>
      <c r="P2533" s="2" t="s">
        <v>282</v>
      </c>
      <c r="Q2533" s="2" t="s">
        <v>2183</v>
      </c>
      <c r="R2533" s="2" t="s">
        <v>2184</v>
      </c>
      <c r="S2533" s="2">
        <v>1</v>
      </c>
      <c r="T2533" s="2">
        <v>32</v>
      </c>
      <c r="U2533" s="2">
        <v>7.36</v>
      </c>
      <c r="V2533" s="2">
        <v>39.36</v>
      </c>
      <c r="W2533" s="2">
        <v>22.4</v>
      </c>
      <c r="X2533" s="5">
        <f t="shared" si="359"/>
        <v>0.30000000000000004</v>
      </c>
      <c r="Z2533" s="2" t="s">
        <v>3227</v>
      </c>
      <c r="AA2533" s="2" t="s">
        <v>155</v>
      </c>
      <c r="AB2533" s="2" t="s">
        <v>3403</v>
      </c>
      <c r="AC2533" s="2" t="s">
        <v>1327</v>
      </c>
      <c r="AF2533" s="2">
        <f t="shared" si="355"/>
        <v>0</v>
      </c>
      <c r="AJ2533" s="2">
        <f t="shared" si="356"/>
        <v>0</v>
      </c>
      <c r="AK2533" s="2">
        <f t="shared" si="357"/>
        <v>9.6000000000000014</v>
      </c>
      <c r="AL2533" s="5">
        <f t="shared" si="358"/>
        <v>0.30000000000000004</v>
      </c>
    </row>
    <row r="2534" spans="1:38" x14ac:dyDescent="0.2">
      <c r="A2534" s="2">
        <v>2025</v>
      </c>
      <c r="B2534" s="2">
        <v>12</v>
      </c>
      <c r="D2534" s="2" t="s">
        <v>1295</v>
      </c>
      <c r="E2534" s="2" t="s">
        <v>183</v>
      </c>
      <c r="F2534" s="2" t="s">
        <v>366</v>
      </c>
      <c r="G2534" s="2">
        <v>500625654</v>
      </c>
      <c r="H2534" s="2" t="s">
        <v>290</v>
      </c>
      <c r="I2534" s="2" t="s">
        <v>339</v>
      </c>
      <c r="J2534" s="2" t="s">
        <v>1296</v>
      </c>
      <c r="L2534" s="2" t="s">
        <v>339</v>
      </c>
      <c r="P2534" s="2" t="s">
        <v>72</v>
      </c>
      <c r="Q2534" s="2" t="s">
        <v>346</v>
      </c>
      <c r="R2534" s="2" t="s">
        <v>74</v>
      </c>
      <c r="S2534" s="2">
        <v>1</v>
      </c>
      <c r="T2534" s="2">
        <v>213.4</v>
      </c>
      <c r="U2534" s="2">
        <v>49.082000000000001</v>
      </c>
      <c r="V2534" s="2">
        <v>262.48200000000003</v>
      </c>
      <c r="W2534" s="2">
        <v>124.4</v>
      </c>
      <c r="X2534" s="5">
        <f t="shared" si="359"/>
        <v>0.41705716963448919</v>
      </c>
      <c r="Z2534" s="2" t="s">
        <v>3227</v>
      </c>
      <c r="AA2534" s="2" t="s">
        <v>75</v>
      </c>
      <c r="AB2534" s="2" t="s">
        <v>76</v>
      </c>
      <c r="AC2534" s="2" t="s">
        <v>77</v>
      </c>
      <c r="AF2534" s="2">
        <f t="shared" si="355"/>
        <v>0</v>
      </c>
      <c r="AG2534" s="2">
        <v>124.4</v>
      </c>
      <c r="AH2534" s="2">
        <v>200</v>
      </c>
      <c r="AJ2534" s="2">
        <f t="shared" si="356"/>
        <v>0</v>
      </c>
      <c r="AK2534" s="2">
        <f t="shared" si="357"/>
        <v>89</v>
      </c>
      <c r="AL2534" s="5">
        <f t="shared" si="358"/>
        <v>0.41705716963448919</v>
      </c>
    </row>
    <row r="2535" spans="1:38" x14ac:dyDescent="0.2">
      <c r="A2535" s="2">
        <v>2025</v>
      </c>
      <c r="B2535" s="2">
        <v>12</v>
      </c>
      <c r="D2535" s="2" t="s">
        <v>1295</v>
      </c>
      <c r="E2535" s="2" t="s">
        <v>183</v>
      </c>
      <c r="F2535" s="2" t="s">
        <v>366</v>
      </c>
      <c r="G2535" s="2">
        <v>500625654</v>
      </c>
      <c r="H2535" s="2" t="s">
        <v>290</v>
      </c>
      <c r="I2535" s="2" t="s">
        <v>339</v>
      </c>
      <c r="J2535" s="2" t="s">
        <v>1296</v>
      </c>
      <c r="L2535" s="2" t="s">
        <v>339</v>
      </c>
      <c r="P2535" s="2" t="s">
        <v>1038</v>
      </c>
      <c r="Q2535" s="2" t="s">
        <v>1953</v>
      </c>
      <c r="R2535" s="2" t="s">
        <v>1954</v>
      </c>
      <c r="S2535" s="2">
        <v>1</v>
      </c>
      <c r="T2535" s="2">
        <v>213.4</v>
      </c>
      <c r="U2535" s="2">
        <v>49.082000000000001</v>
      </c>
      <c r="V2535" s="2">
        <v>262.48200000000003</v>
      </c>
      <c r="W2535" s="2">
        <v>120.395</v>
      </c>
      <c r="X2535" s="5">
        <f t="shared" si="359"/>
        <v>0.43582474226804124</v>
      </c>
      <c r="Z2535" s="2" t="s">
        <v>3227</v>
      </c>
      <c r="AA2535" s="2" t="s">
        <v>75</v>
      </c>
      <c r="AB2535" s="2" t="s">
        <v>76</v>
      </c>
      <c r="AC2535" s="2" t="s">
        <v>1038</v>
      </c>
      <c r="AF2535" s="2">
        <f t="shared" si="355"/>
        <v>0</v>
      </c>
      <c r="AJ2535" s="2">
        <f t="shared" si="356"/>
        <v>0</v>
      </c>
      <c r="AK2535" s="2">
        <f t="shared" si="357"/>
        <v>93.00500000000001</v>
      </c>
      <c r="AL2535" s="5">
        <f t="shared" si="358"/>
        <v>0.43582474226804124</v>
      </c>
    </row>
    <row r="2536" spans="1:38" x14ac:dyDescent="0.2">
      <c r="A2536" s="2">
        <v>2025</v>
      </c>
      <c r="B2536" s="2">
        <v>12</v>
      </c>
      <c r="D2536" s="2" t="s">
        <v>1295</v>
      </c>
      <c r="E2536" s="2" t="s">
        <v>183</v>
      </c>
      <c r="F2536" s="2" t="s">
        <v>366</v>
      </c>
      <c r="G2536" s="2">
        <v>500625654</v>
      </c>
      <c r="H2536" s="2" t="s">
        <v>290</v>
      </c>
      <c r="I2536" s="2" t="s">
        <v>339</v>
      </c>
      <c r="J2536" s="2" t="s">
        <v>1296</v>
      </c>
      <c r="L2536" s="2" t="s">
        <v>339</v>
      </c>
      <c r="M2536" s="2" t="s">
        <v>80</v>
      </c>
      <c r="P2536" s="2" t="s">
        <v>169</v>
      </c>
      <c r="Q2536" s="2" t="s">
        <v>170</v>
      </c>
      <c r="R2536" s="2" t="s">
        <v>170</v>
      </c>
      <c r="S2536" s="2">
        <v>1</v>
      </c>
      <c r="T2536" s="2">
        <v>30</v>
      </c>
      <c r="U2536" s="2">
        <v>6.9</v>
      </c>
      <c r="V2536" s="2">
        <v>36.9</v>
      </c>
      <c r="W2536" s="2">
        <v>23</v>
      </c>
      <c r="X2536" s="5">
        <f t="shared" si="359"/>
        <v>0.23333333333333334</v>
      </c>
      <c r="Z2536" s="2" t="s">
        <v>169</v>
      </c>
      <c r="AA2536" s="2" t="s">
        <v>169</v>
      </c>
      <c r="AF2536" s="2">
        <f t="shared" si="355"/>
        <v>0</v>
      </c>
      <c r="AJ2536" s="2">
        <f t="shared" si="356"/>
        <v>0</v>
      </c>
      <c r="AK2536" s="2">
        <f t="shared" si="357"/>
        <v>7</v>
      </c>
      <c r="AL2536" s="5">
        <f t="shared" si="358"/>
        <v>0.23333333333333334</v>
      </c>
    </row>
    <row r="2537" spans="1:38" x14ac:dyDescent="0.2">
      <c r="A2537" s="2">
        <v>2025</v>
      </c>
      <c r="B2537" s="2">
        <v>12</v>
      </c>
      <c r="D2537" s="2" t="s">
        <v>1295</v>
      </c>
      <c r="E2537" s="2" t="s">
        <v>183</v>
      </c>
      <c r="F2537" s="2" t="s">
        <v>366</v>
      </c>
      <c r="G2537" s="2">
        <v>500625654</v>
      </c>
      <c r="H2537" s="2" t="s">
        <v>290</v>
      </c>
      <c r="I2537" s="2" t="s">
        <v>339</v>
      </c>
      <c r="J2537" s="2" t="s">
        <v>1296</v>
      </c>
      <c r="L2537" s="2" t="s">
        <v>339</v>
      </c>
      <c r="P2537" s="2" t="s">
        <v>93</v>
      </c>
      <c r="Q2537" s="2" t="s">
        <v>94</v>
      </c>
      <c r="R2537" s="2" t="s">
        <v>95</v>
      </c>
      <c r="S2537" s="2">
        <v>2</v>
      </c>
      <c r="T2537" s="2">
        <v>2.2799999999999998</v>
      </c>
      <c r="U2537" s="2">
        <v>0.52439999999999998</v>
      </c>
      <c r="V2537" s="2">
        <v>2.8043999999999998</v>
      </c>
      <c r="W2537" s="2">
        <v>2.2799999999999998</v>
      </c>
      <c r="X2537" s="5">
        <f t="shared" si="359"/>
        <v>0</v>
      </c>
      <c r="Z2537" s="2" t="s">
        <v>3227</v>
      </c>
      <c r="AA2537" s="2" t="s">
        <v>96</v>
      </c>
      <c r="AB2537" s="2" t="s">
        <v>76</v>
      </c>
      <c r="AC2537" s="2" t="s">
        <v>93</v>
      </c>
      <c r="AF2537" s="2">
        <f t="shared" si="355"/>
        <v>0</v>
      </c>
      <c r="AJ2537" s="2">
        <f t="shared" si="356"/>
        <v>0</v>
      </c>
      <c r="AK2537" s="2">
        <f t="shared" si="357"/>
        <v>0</v>
      </c>
      <c r="AL2537" s="5">
        <f t="shared" si="358"/>
        <v>0</v>
      </c>
    </row>
    <row r="2538" spans="1:38" x14ac:dyDescent="0.2">
      <c r="A2538" s="2">
        <v>2025</v>
      </c>
      <c r="B2538" s="2">
        <v>12</v>
      </c>
      <c r="D2538" s="2" t="s">
        <v>617</v>
      </c>
      <c r="E2538" s="2" t="s">
        <v>38</v>
      </c>
      <c r="F2538" s="2" t="s">
        <v>39</v>
      </c>
      <c r="G2538" s="2">
        <v>513759654</v>
      </c>
      <c r="H2538" s="2" t="s">
        <v>41</v>
      </c>
      <c r="I2538" s="2" t="s">
        <v>618</v>
      </c>
      <c r="J2538" s="2" t="s">
        <v>619</v>
      </c>
      <c r="L2538" s="2" t="s">
        <v>418</v>
      </c>
      <c r="M2538" s="2" t="s">
        <v>41</v>
      </c>
      <c r="P2538" s="2" t="s">
        <v>43</v>
      </c>
      <c r="Q2538" s="2" t="s">
        <v>1363</v>
      </c>
      <c r="R2538" s="2" t="s">
        <v>1364</v>
      </c>
      <c r="S2538" s="2">
        <v>1</v>
      </c>
      <c r="T2538" s="2">
        <v>28.2</v>
      </c>
      <c r="U2538" s="2">
        <v>6.4859999999999998</v>
      </c>
      <c r="V2538" s="2">
        <v>34.686</v>
      </c>
      <c r="W2538" s="2">
        <f>9.75*S2538</f>
        <v>9.75</v>
      </c>
      <c r="X2538" s="5">
        <f t="shared" si="359"/>
        <v>0.6542553191489362</v>
      </c>
      <c r="Z2538" s="2" t="s">
        <v>3227</v>
      </c>
      <c r="AA2538" s="2" t="s">
        <v>46</v>
      </c>
      <c r="AB2538" s="2" t="s">
        <v>47</v>
      </c>
      <c r="AC2538" s="2" t="s">
        <v>57</v>
      </c>
      <c r="AF2538" s="2">
        <f t="shared" si="355"/>
        <v>0</v>
      </c>
      <c r="AJ2538" s="2">
        <f t="shared" si="356"/>
        <v>0</v>
      </c>
      <c r="AK2538" s="2">
        <f t="shared" si="357"/>
        <v>18.45</v>
      </c>
      <c r="AL2538" s="5">
        <f t="shared" si="358"/>
        <v>0.6542553191489362</v>
      </c>
    </row>
    <row r="2539" spans="1:38" x14ac:dyDescent="0.2">
      <c r="A2539" s="2">
        <v>2025</v>
      </c>
      <c r="B2539" s="2">
        <v>12</v>
      </c>
      <c r="D2539" s="2" t="s">
        <v>617</v>
      </c>
      <c r="E2539" s="2" t="s">
        <v>38</v>
      </c>
      <c r="F2539" s="2" t="s">
        <v>39</v>
      </c>
      <c r="G2539" s="2">
        <v>513759654</v>
      </c>
      <c r="H2539" s="2" t="s">
        <v>41</v>
      </c>
      <c r="I2539" s="2" t="s">
        <v>618</v>
      </c>
      <c r="J2539" s="2" t="s">
        <v>619</v>
      </c>
      <c r="L2539" s="2" t="s">
        <v>418</v>
      </c>
      <c r="M2539" s="2" t="s">
        <v>41</v>
      </c>
      <c r="P2539" s="2" t="s">
        <v>43</v>
      </c>
      <c r="Q2539" s="2" t="s">
        <v>54</v>
      </c>
      <c r="R2539" s="2" t="s">
        <v>55</v>
      </c>
      <c r="S2539" s="2">
        <v>10</v>
      </c>
      <c r="T2539" s="2">
        <v>140</v>
      </c>
      <c r="U2539" s="2">
        <v>32.200000000000003</v>
      </c>
      <c r="V2539" s="2">
        <v>172.2</v>
      </c>
      <c r="W2539" s="2">
        <f>10.6*S2539</f>
        <v>106</v>
      </c>
      <c r="X2539" s="5">
        <f t="shared" si="359"/>
        <v>0.24285714285714285</v>
      </c>
      <c r="Z2539" s="2" t="s">
        <v>3227</v>
      </c>
      <c r="AA2539" s="2" t="s">
        <v>46</v>
      </c>
      <c r="AB2539" s="2" t="s">
        <v>56</v>
      </c>
      <c r="AC2539" s="2" t="s">
        <v>57</v>
      </c>
      <c r="AF2539" s="2">
        <f t="shared" si="355"/>
        <v>0</v>
      </c>
      <c r="AG2539" s="2">
        <v>10.6</v>
      </c>
      <c r="AH2539" s="2">
        <v>18</v>
      </c>
      <c r="AJ2539" s="2">
        <f t="shared" si="356"/>
        <v>0</v>
      </c>
      <c r="AK2539" s="2">
        <f t="shared" si="357"/>
        <v>34</v>
      </c>
      <c r="AL2539" s="5">
        <f t="shared" si="358"/>
        <v>0.24285714285714285</v>
      </c>
    </row>
    <row r="2540" spans="1:38" x14ac:dyDescent="0.2">
      <c r="A2540" s="2">
        <v>2025</v>
      </c>
      <c r="B2540" s="2">
        <v>12</v>
      </c>
      <c r="D2540" s="2" t="s">
        <v>617</v>
      </c>
      <c r="E2540" s="2" t="s">
        <v>38</v>
      </c>
      <c r="F2540" s="2" t="s">
        <v>39</v>
      </c>
      <c r="G2540" s="2">
        <v>513759654</v>
      </c>
      <c r="H2540" s="2" t="s">
        <v>41</v>
      </c>
      <c r="I2540" s="2" t="s">
        <v>618</v>
      </c>
      <c r="J2540" s="2" t="s">
        <v>619</v>
      </c>
      <c r="L2540" s="2" t="s">
        <v>418</v>
      </c>
      <c r="M2540" s="2" t="s">
        <v>41</v>
      </c>
      <c r="P2540" s="2" t="s">
        <v>43</v>
      </c>
      <c r="Q2540" s="2" t="s">
        <v>58</v>
      </c>
      <c r="R2540" s="2" t="s">
        <v>59</v>
      </c>
      <c r="S2540" s="2">
        <v>300</v>
      </c>
      <c r="T2540" s="2">
        <v>39</v>
      </c>
      <c r="U2540" s="2">
        <v>8.9700000000000006</v>
      </c>
      <c r="V2540" s="2">
        <v>47.97</v>
      </c>
      <c r="W2540" s="2">
        <f>0.0914*S2540</f>
        <v>27.419999999999998</v>
      </c>
      <c r="X2540" s="5">
        <f t="shared" si="359"/>
        <v>0.29692307692307696</v>
      </c>
      <c r="Z2540" s="2" t="s">
        <v>3227</v>
      </c>
      <c r="AA2540" s="2" t="s">
        <v>46</v>
      </c>
      <c r="AB2540" s="2" t="s">
        <v>60</v>
      </c>
      <c r="AC2540" s="2" t="s">
        <v>57</v>
      </c>
      <c r="AF2540" s="2">
        <f t="shared" si="355"/>
        <v>0</v>
      </c>
      <c r="AG2540" s="2">
        <v>9.14</v>
      </c>
      <c r="AH2540" s="2">
        <v>16</v>
      </c>
      <c r="AJ2540" s="2">
        <f t="shared" si="356"/>
        <v>0</v>
      </c>
      <c r="AK2540" s="2">
        <f t="shared" si="357"/>
        <v>11.580000000000002</v>
      </c>
      <c r="AL2540" s="5">
        <f t="shared" si="358"/>
        <v>0.29692307692307696</v>
      </c>
    </row>
    <row r="2541" spans="1:38" x14ac:dyDescent="0.2">
      <c r="A2541" s="2">
        <v>2025</v>
      </c>
      <c r="B2541" s="2">
        <v>12</v>
      </c>
      <c r="D2541" s="2" t="s">
        <v>617</v>
      </c>
      <c r="E2541" s="2" t="s">
        <v>38</v>
      </c>
      <c r="F2541" s="2" t="s">
        <v>39</v>
      </c>
      <c r="G2541" s="2">
        <v>513759654</v>
      </c>
      <c r="H2541" s="2" t="s">
        <v>41</v>
      </c>
      <c r="I2541" s="2" t="s">
        <v>618</v>
      </c>
      <c r="J2541" s="2" t="s">
        <v>619</v>
      </c>
      <c r="L2541" s="2" t="s">
        <v>418</v>
      </c>
      <c r="M2541" s="2" t="s">
        <v>41</v>
      </c>
      <c r="P2541" s="2" t="s">
        <v>43</v>
      </c>
      <c r="Q2541" s="2" t="s">
        <v>61</v>
      </c>
      <c r="R2541" s="2" t="s">
        <v>62</v>
      </c>
      <c r="S2541" s="2">
        <v>300</v>
      </c>
      <c r="T2541" s="2">
        <v>39</v>
      </c>
      <c r="U2541" s="2">
        <v>8.9700000000000006</v>
      </c>
      <c r="V2541" s="2">
        <v>47.97</v>
      </c>
      <c r="W2541" s="2">
        <f>0.082*S2541</f>
        <v>24.6</v>
      </c>
      <c r="X2541" s="5">
        <f t="shared" si="359"/>
        <v>0.3692307692307692</v>
      </c>
      <c r="Z2541" s="2" t="s">
        <v>3227</v>
      </c>
      <c r="AA2541" s="2" t="s">
        <v>46</v>
      </c>
      <c r="AB2541" s="2" t="s">
        <v>60</v>
      </c>
      <c r="AC2541" s="2" t="s">
        <v>57</v>
      </c>
      <c r="AF2541" s="2">
        <f t="shared" si="355"/>
        <v>0</v>
      </c>
      <c r="AG2541" s="2">
        <v>8.1999999999999993</v>
      </c>
      <c r="AH2541" s="2">
        <v>13</v>
      </c>
      <c r="AJ2541" s="2">
        <f t="shared" si="356"/>
        <v>0</v>
      </c>
      <c r="AK2541" s="2">
        <f t="shared" si="357"/>
        <v>14.399999999999999</v>
      </c>
      <c r="AL2541" s="5">
        <f t="shared" si="358"/>
        <v>0.3692307692307692</v>
      </c>
    </row>
    <row r="2542" spans="1:38" x14ac:dyDescent="0.2">
      <c r="A2542" s="2">
        <v>2025</v>
      </c>
      <c r="B2542" s="2">
        <v>12</v>
      </c>
      <c r="D2542" s="2" t="s">
        <v>624</v>
      </c>
      <c r="E2542" s="2" t="s">
        <v>38</v>
      </c>
      <c r="F2542" s="2" t="s">
        <v>39</v>
      </c>
      <c r="G2542" s="2" t="s">
        <v>625</v>
      </c>
      <c r="H2542" s="2" t="s">
        <v>40</v>
      </c>
      <c r="I2542" s="2" t="s">
        <v>626</v>
      </c>
      <c r="J2542" s="2" t="s">
        <v>627</v>
      </c>
      <c r="L2542" s="2" t="s">
        <v>626</v>
      </c>
      <c r="M2542" s="2" t="s">
        <v>40</v>
      </c>
      <c r="P2542" s="2" t="s">
        <v>114</v>
      </c>
      <c r="Q2542" s="2" t="s">
        <v>1879</v>
      </c>
      <c r="R2542" s="2" t="s">
        <v>1880</v>
      </c>
      <c r="S2542" s="2">
        <v>1</v>
      </c>
      <c r="T2542" s="2">
        <v>975.21</v>
      </c>
      <c r="V2542" s="2">
        <f>T2542</f>
        <v>975.21</v>
      </c>
      <c r="W2542" s="2">
        <f>595.37+8.99</f>
        <v>604.36</v>
      </c>
      <c r="X2542" s="5">
        <f t="shared" si="359"/>
        <v>0.3802770685288297</v>
      </c>
      <c r="Z2542" s="2" t="s">
        <v>117</v>
      </c>
      <c r="AA2542" s="2" t="s">
        <v>118</v>
      </c>
      <c r="AB2542" s="2" t="s">
        <v>119</v>
      </c>
      <c r="AC2542" s="2" t="s">
        <v>114</v>
      </c>
      <c r="AF2542" s="2">
        <f t="shared" si="355"/>
        <v>0</v>
      </c>
      <c r="AJ2542" s="2">
        <f t="shared" si="356"/>
        <v>0</v>
      </c>
      <c r="AK2542" s="2">
        <f t="shared" si="357"/>
        <v>370.85</v>
      </c>
      <c r="AL2542" s="5">
        <f t="shared" si="358"/>
        <v>0.3802770685288297</v>
      </c>
    </row>
    <row r="2543" spans="1:38" x14ac:dyDescent="0.2">
      <c r="A2543" s="2">
        <v>2025</v>
      </c>
      <c r="B2543" s="2">
        <v>12</v>
      </c>
      <c r="D2543" s="2" t="s">
        <v>1651</v>
      </c>
      <c r="E2543" s="2" t="s">
        <v>38</v>
      </c>
      <c r="F2543" s="2" t="s">
        <v>39</v>
      </c>
      <c r="H2543" s="2" t="s">
        <v>41</v>
      </c>
      <c r="I2543" s="2" t="s">
        <v>1652</v>
      </c>
      <c r="J2543" s="2" t="s">
        <v>1653</v>
      </c>
      <c r="L2543" s="2" t="s">
        <v>112</v>
      </c>
      <c r="M2543" s="2" t="s">
        <v>40</v>
      </c>
      <c r="O2543" s="2" t="s">
        <v>2185</v>
      </c>
      <c r="P2543" s="2" t="s">
        <v>187</v>
      </c>
      <c r="Q2543" s="2" t="s">
        <v>188</v>
      </c>
      <c r="R2543" s="2" t="s">
        <v>189</v>
      </c>
      <c r="S2543" s="2">
        <v>5</v>
      </c>
      <c r="T2543" s="2">
        <v>134</v>
      </c>
      <c r="U2543" s="2">
        <v>30.82</v>
      </c>
      <c r="V2543" s="2">
        <v>164.82</v>
      </c>
      <c r="W2543" s="2">
        <f>T2543*40%</f>
        <v>53.6</v>
      </c>
      <c r="X2543" s="5">
        <f t="shared" si="359"/>
        <v>0.60000000000000009</v>
      </c>
      <c r="Z2543" s="2" t="s">
        <v>117</v>
      </c>
      <c r="AA2543" s="2" t="s">
        <v>190</v>
      </c>
      <c r="AB2543" s="2" t="s">
        <v>189</v>
      </c>
      <c r="AC2543" s="2" t="s">
        <v>40</v>
      </c>
      <c r="AF2543" s="2">
        <f t="shared" si="355"/>
        <v>0</v>
      </c>
      <c r="AJ2543" s="2">
        <f t="shared" si="356"/>
        <v>0</v>
      </c>
      <c r="AK2543" s="2">
        <f t="shared" si="357"/>
        <v>80.400000000000006</v>
      </c>
      <c r="AL2543" s="5">
        <f t="shared" si="358"/>
        <v>0.60000000000000009</v>
      </c>
    </row>
    <row r="2544" spans="1:38" x14ac:dyDescent="0.2">
      <c r="A2544" s="2">
        <v>2025</v>
      </c>
      <c r="B2544" s="2">
        <v>12</v>
      </c>
      <c r="D2544" s="2" t="s">
        <v>1651</v>
      </c>
      <c r="E2544" s="2" t="s">
        <v>38</v>
      </c>
      <c r="F2544" s="2" t="s">
        <v>39</v>
      </c>
      <c r="H2544" s="2" t="s">
        <v>41</v>
      </c>
      <c r="I2544" s="2" t="s">
        <v>1652</v>
      </c>
      <c r="J2544" s="2" t="s">
        <v>1653</v>
      </c>
      <c r="L2544" s="2" t="s">
        <v>112</v>
      </c>
      <c r="M2544" s="2" t="s">
        <v>40</v>
      </c>
      <c r="O2544" s="2" t="s">
        <v>2185</v>
      </c>
      <c r="P2544" s="2" t="s">
        <v>187</v>
      </c>
      <c r="Q2544" s="2" t="s">
        <v>191</v>
      </c>
      <c r="R2544" s="2" t="s">
        <v>190</v>
      </c>
      <c r="S2544" s="2">
        <v>13</v>
      </c>
      <c r="T2544" s="2">
        <v>100</v>
      </c>
      <c r="U2544" s="2">
        <v>23</v>
      </c>
      <c r="V2544" s="2">
        <v>123</v>
      </c>
      <c r="W2544" s="2">
        <f>T2544*50%</f>
        <v>50</v>
      </c>
      <c r="X2544" s="5">
        <f t="shared" si="359"/>
        <v>0.5</v>
      </c>
      <c r="Z2544" s="2" t="s">
        <v>117</v>
      </c>
      <c r="AA2544" s="2" t="s">
        <v>190</v>
      </c>
      <c r="AB2544" s="2" t="s">
        <v>190</v>
      </c>
      <c r="AC2544" s="2" t="s">
        <v>40</v>
      </c>
      <c r="AF2544" s="2">
        <f t="shared" si="355"/>
        <v>0</v>
      </c>
      <c r="AJ2544" s="2">
        <f t="shared" si="356"/>
        <v>0</v>
      </c>
      <c r="AK2544" s="2">
        <f t="shared" si="357"/>
        <v>50</v>
      </c>
      <c r="AL2544" s="5">
        <f t="shared" si="358"/>
        <v>0.5</v>
      </c>
    </row>
    <row r="2545" spans="1:38" x14ac:dyDescent="0.2">
      <c r="A2545" s="2">
        <v>2025</v>
      </c>
      <c r="B2545" s="2">
        <v>12</v>
      </c>
      <c r="D2545" s="2" t="s">
        <v>1651</v>
      </c>
      <c r="E2545" s="2" t="s">
        <v>38</v>
      </c>
      <c r="F2545" s="2" t="s">
        <v>39</v>
      </c>
      <c r="H2545" s="2" t="s">
        <v>41</v>
      </c>
      <c r="I2545" s="2" t="s">
        <v>1652</v>
      </c>
      <c r="J2545" s="2" t="s">
        <v>1653</v>
      </c>
      <c r="L2545" s="2" t="s">
        <v>112</v>
      </c>
      <c r="M2545" s="2" t="s">
        <v>40</v>
      </c>
      <c r="O2545" s="2" t="s">
        <v>2185</v>
      </c>
      <c r="P2545" s="2" t="s">
        <v>40</v>
      </c>
      <c r="Q2545" s="2" t="s">
        <v>363</v>
      </c>
      <c r="R2545" s="2" t="s">
        <v>364</v>
      </c>
      <c r="S2545" s="2">
        <v>6</v>
      </c>
      <c r="T2545" s="2">
        <v>1165.2</v>
      </c>
      <c r="U2545" s="2">
        <v>267.99599999999998</v>
      </c>
      <c r="V2545" s="2">
        <v>1433.1959999999999</v>
      </c>
      <c r="X2545" s="5">
        <f t="shared" si="359"/>
        <v>1</v>
      </c>
      <c r="Z2545" s="2" t="s">
        <v>117</v>
      </c>
      <c r="AA2545" s="2" t="s">
        <v>118</v>
      </c>
      <c r="AB2545" s="2" t="s">
        <v>119</v>
      </c>
      <c r="AC2545" s="2" t="s">
        <v>114</v>
      </c>
      <c r="AF2545" s="2">
        <f t="shared" si="355"/>
        <v>0</v>
      </c>
      <c r="AJ2545" s="2">
        <f t="shared" si="356"/>
        <v>0</v>
      </c>
      <c r="AK2545" s="2">
        <f t="shared" si="357"/>
        <v>1165.2</v>
      </c>
      <c r="AL2545" s="5">
        <f t="shared" si="358"/>
        <v>1</v>
      </c>
    </row>
    <row r="2546" spans="1:38" x14ac:dyDescent="0.2">
      <c r="A2546" s="2">
        <v>2025</v>
      </c>
      <c r="B2546" s="2">
        <v>12</v>
      </c>
      <c r="D2546" s="2" t="s">
        <v>2186</v>
      </c>
      <c r="M2546" s="2" t="s">
        <v>40</v>
      </c>
      <c r="P2546" s="2" t="s">
        <v>187</v>
      </c>
      <c r="Q2546" s="2" t="s">
        <v>188</v>
      </c>
      <c r="R2546" s="2" t="s">
        <v>189</v>
      </c>
      <c r="S2546" s="2">
        <v>1</v>
      </c>
      <c r="T2546" s="2">
        <v>50</v>
      </c>
      <c r="U2546" s="2">
        <v>11.5</v>
      </c>
      <c r="V2546" s="2">
        <v>61.5</v>
      </c>
      <c r="W2546" s="2">
        <f>T2546*40%</f>
        <v>20</v>
      </c>
      <c r="X2546" s="5">
        <f t="shared" si="359"/>
        <v>0.6</v>
      </c>
      <c r="Z2546" s="2" t="s">
        <v>117</v>
      </c>
      <c r="AA2546" s="2" t="s">
        <v>190</v>
      </c>
      <c r="AB2546" s="2" t="s">
        <v>189</v>
      </c>
      <c r="AC2546" s="2" t="s">
        <v>40</v>
      </c>
      <c r="AF2546" s="2">
        <f t="shared" si="355"/>
        <v>0</v>
      </c>
      <c r="AJ2546" s="2">
        <f t="shared" si="356"/>
        <v>0</v>
      </c>
      <c r="AK2546" s="2">
        <f t="shared" si="357"/>
        <v>30</v>
      </c>
      <c r="AL2546" s="5">
        <f t="shared" si="358"/>
        <v>0.6</v>
      </c>
    </row>
    <row r="2547" spans="1:38" x14ac:dyDescent="0.2">
      <c r="A2547" s="2">
        <v>2025</v>
      </c>
      <c r="B2547" s="2">
        <v>12</v>
      </c>
      <c r="D2547" s="2" t="s">
        <v>2186</v>
      </c>
      <c r="M2547" s="2" t="s">
        <v>40</v>
      </c>
      <c r="P2547" s="2" t="s">
        <v>187</v>
      </c>
      <c r="Q2547" s="2" t="s">
        <v>191</v>
      </c>
      <c r="R2547" s="2" t="s">
        <v>190</v>
      </c>
      <c r="S2547" s="2">
        <v>2</v>
      </c>
      <c r="T2547" s="2">
        <v>100</v>
      </c>
      <c r="U2547" s="2">
        <v>23</v>
      </c>
      <c r="V2547" s="2">
        <v>123</v>
      </c>
      <c r="W2547" s="2">
        <f>T2547*50%</f>
        <v>50</v>
      </c>
      <c r="X2547" s="5">
        <f t="shared" si="359"/>
        <v>0.5</v>
      </c>
      <c r="Z2547" s="2" t="s">
        <v>117</v>
      </c>
      <c r="AA2547" s="2" t="s">
        <v>190</v>
      </c>
      <c r="AB2547" s="2" t="s">
        <v>190</v>
      </c>
      <c r="AC2547" s="2" t="s">
        <v>40</v>
      </c>
      <c r="AF2547" s="2">
        <f t="shared" si="355"/>
        <v>0</v>
      </c>
      <c r="AJ2547" s="2">
        <f t="shared" si="356"/>
        <v>0</v>
      </c>
      <c r="AK2547" s="2">
        <f t="shared" si="357"/>
        <v>50</v>
      </c>
      <c r="AL2547" s="5">
        <f t="shared" si="358"/>
        <v>0.5</v>
      </c>
    </row>
    <row r="2548" spans="1:38" x14ac:dyDescent="0.2">
      <c r="A2548" s="2">
        <v>2025</v>
      </c>
      <c r="B2548" s="2">
        <v>12</v>
      </c>
      <c r="C2548" s="2" t="s">
        <v>3443</v>
      </c>
      <c r="D2548" s="2" t="s">
        <v>909</v>
      </c>
      <c r="E2548" s="2" t="s">
        <v>38</v>
      </c>
      <c r="F2548" s="2" t="s">
        <v>39</v>
      </c>
      <c r="G2548" s="2">
        <v>514401788</v>
      </c>
      <c r="H2548" s="2" t="s">
        <v>109</v>
      </c>
      <c r="I2548" s="2" t="s">
        <v>133</v>
      </c>
      <c r="J2548" s="2" t="s">
        <v>910</v>
      </c>
      <c r="K2548" s="2">
        <v>914878988</v>
      </c>
      <c r="L2548" s="2" t="s">
        <v>133</v>
      </c>
      <c r="M2548" s="2" t="s">
        <v>40</v>
      </c>
      <c r="O2548" s="2" t="s">
        <v>2187</v>
      </c>
      <c r="P2548" s="2" t="s">
        <v>40</v>
      </c>
      <c r="Q2548" s="2" t="s">
        <v>363</v>
      </c>
      <c r="R2548" s="2" t="s">
        <v>364</v>
      </c>
      <c r="S2548" s="2">
        <v>1</v>
      </c>
      <c r="T2548" s="2">
        <v>166.25</v>
      </c>
      <c r="U2548" s="2">
        <v>38.237499999999997</v>
      </c>
      <c r="V2548" s="2">
        <v>204.48750000000001</v>
      </c>
      <c r="X2548" s="5">
        <f t="shared" si="359"/>
        <v>1</v>
      </c>
      <c r="Z2548" s="2" t="s">
        <v>119</v>
      </c>
      <c r="AA2548" s="2" t="s">
        <v>3467</v>
      </c>
      <c r="AB2548" s="2" t="s">
        <v>3468</v>
      </c>
      <c r="AC2548" s="2" t="s">
        <v>698</v>
      </c>
      <c r="AF2548" s="2">
        <f t="shared" si="355"/>
        <v>0</v>
      </c>
      <c r="AJ2548" s="2">
        <f t="shared" si="356"/>
        <v>0</v>
      </c>
      <c r="AK2548" s="2">
        <f t="shared" si="357"/>
        <v>166.25</v>
      </c>
      <c r="AL2548" s="5">
        <f t="shared" si="358"/>
        <v>1</v>
      </c>
    </row>
    <row r="2549" spans="1:38" x14ac:dyDescent="0.2">
      <c r="A2549" s="2">
        <v>2025</v>
      </c>
      <c r="B2549" s="2">
        <v>12</v>
      </c>
      <c r="D2549" s="2" t="s">
        <v>643</v>
      </c>
      <c r="E2549" s="2" t="s">
        <v>108</v>
      </c>
      <c r="F2549" s="2" t="s">
        <v>477</v>
      </c>
      <c r="G2549" s="2">
        <v>509056946</v>
      </c>
      <c r="H2549" s="2" t="s">
        <v>109</v>
      </c>
      <c r="I2549" s="2" t="s">
        <v>644</v>
      </c>
      <c r="J2549" s="2" t="s">
        <v>645</v>
      </c>
      <c r="K2549" s="2">
        <v>964495536</v>
      </c>
      <c r="L2549" s="2" t="s">
        <v>112</v>
      </c>
      <c r="P2549" s="2" t="s">
        <v>282</v>
      </c>
      <c r="Q2549" s="2" t="s">
        <v>1436</v>
      </c>
      <c r="R2549" s="2" t="s">
        <v>1437</v>
      </c>
      <c r="S2549" s="2">
        <v>10</v>
      </c>
      <c r="T2549" s="2">
        <v>79</v>
      </c>
      <c r="U2549" s="2">
        <v>18.170000000000002</v>
      </c>
      <c r="V2549" s="2">
        <v>97.17</v>
      </c>
      <c r="W2549" s="2">
        <f>5.135*S2549</f>
        <v>51.349999999999994</v>
      </c>
      <c r="X2549" s="5">
        <f t="shared" si="359"/>
        <v>0.35000000000000009</v>
      </c>
      <c r="Z2549" s="2" t="s">
        <v>3227</v>
      </c>
      <c r="AA2549" s="2" t="s">
        <v>71</v>
      </c>
      <c r="AB2549" s="2" t="s">
        <v>119</v>
      </c>
      <c r="AC2549" s="2" t="s">
        <v>119</v>
      </c>
      <c r="AF2549" s="2">
        <f t="shared" si="355"/>
        <v>0</v>
      </c>
      <c r="AJ2549" s="2">
        <f t="shared" si="356"/>
        <v>0</v>
      </c>
      <c r="AK2549" s="2">
        <f t="shared" si="357"/>
        <v>27.650000000000006</v>
      </c>
      <c r="AL2549" s="5">
        <f t="shared" si="358"/>
        <v>0.35000000000000009</v>
      </c>
    </row>
    <row r="2550" spans="1:38" x14ac:dyDescent="0.2">
      <c r="A2550" s="2">
        <v>2025</v>
      </c>
      <c r="B2550" s="2">
        <v>12</v>
      </c>
      <c r="D2550" s="2" t="s">
        <v>2188</v>
      </c>
      <c r="P2550" s="2" t="s">
        <v>114</v>
      </c>
      <c r="Q2550" s="2" t="s">
        <v>2189</v>
      </c>
      <c r="R2550" s="2" t="s">
        <v>2190</v>
      </c>
      <c r="S2550" s="2">
        <v>1</v>
      </c>
      <c r="T2550" s="2">
        <v>0</v>
      </c>
      <c r="U2550" s="2">
        <v>0</v>
      </c>
      <c r="V2550" s="2">
        <v>0</v>
      </c>
      <c r="X2550" s="5">
        <v>0</v>
      </c>
      <c r="Z2550" s="2" t="s">
        <v>117</v>
      </c>
      <c r="AF2550" s="2">
        <f t="shared" si="355"/>
        <v>0</v>
      </c>
      <c r="AJ2550" s="2">
        <f t="shared" si="356"/>
        <v>0</v>
      </c>
      <c r="AK2550" s="2">
        <f t="shared" si="357"/>
        <v>0</v>
      </c>
      <c r="AL2550" s="5" t="e">
        <f t="shared" si="358"/>
        <v>#DIV/0!</v>
      </c>
    </row>
    <row r="2551" spans="1:38" x14ac:dyDescent="0.2">
      <c r="A2551" s="2">
        <v>2025</v>
      </c>
      <c r="B2551" s="2">
        <v>12</v>
      </c>
      <c r="D2551" s="2" t="s">
        <v>2188</v>
      </c>
      <c r="P2551" s="2" t="s">
        <v>114</v>
      </c>
      <c r="Q2551" s="2" t="s">
        <v>836</v>
      </c>
      <c r="R2551" s="2" t="s">
        <v>837</v>
      </c>
      <c r="S2551" s="2">
        <v>1</v>
      </c>
      <c r="T2551" s="2">
        <v>14990</v>
      </c>
      <c r="U2551" s="2">
        <v>3447.7</v>
      </c>
      <c r="V2551" s="2">
        <v>18437.7</v>
      </c>
      <c r="X2551" s="5">
        <f t="shared" ref="X2551:X2582" si="360">(T2551-W2551)/T2551</f>
        <v>1</v>
      </c>
      <c r="Z2551" s="2" t="s">
        <v>104</v>
      </c>
      <c r="AF2551" s="2">
        <f t="shared" si="355"/>
        <v>0</v>
      </c>
      <c r="AJ2551" s="2">
        <f t="shared" si="356"/>
        <v>0</v>
      </c>
      <c r="AK2551" s="2">
        <f t="shared" si="357"/>
        <v>14990</v>
      </c>
      <c r="AL2551" s="5">
        <f t="shared" si="358"/>
        <v>1</v>
      </c>
    </row>
    <row r="2552" spans="1:38" x14ac:dyDescent="0.2">
      <c r="A2552" s="2">
        <v>2025</v>
      </c>
      <c r="B2552" s="2">
        <v>12</v>
      </c>
      <c r="D2552" s="2" t="s">
        <v>2188</v>
      </c>
      <c r="P2552" s="2" t="s">
        <v>3230</v>
      </c>
      <c r="Q2552" s="2" t="s">
        <v>1882</v>
      </c>
      <c r="R2552" s="2" t="s">
        <v>1883</v>
      </c>
      <c r="S2552" s="2">
        <v>1</v>
      </c>
      <c r="T2552" s="2">
        <v>2435</v>
      </c>
      <c r="U2552" s="2">
        <v>560.05000000000007</v>
      </c>
      <c r="V2552" s="2">
        <v>2995.05</v>
      </c>
      <c r="W2552" s="2">
        <v>987.72270000000003</v>
      </c>
      <c r="X2552" s="5">
        <f t="shared" si="360"/>
        <v>0.59436439425051335</v>
      </c>
      <c r="Z2552" s="2" t="s">
        <v>104</v>
      </c>
      <c r="AA2552" s="2" t="s">
        <v>105</v>
      </c>
      <c r="AB2552" s="2" t="s">
        <v>106</v>
      </c>
      <c r="AC2552" s="2" t="s">
        <v>3230</v>
      </c>
      <c r="AF2552" s="2">
        <f t="shared" si="355"/>
        <v>0</v>
      </c>
      <c r="AJ2552" s="2">
        <f t="shared" si="356"/>
        <v>0</v>
      </c>
      <c r="AK2552" s="2">
        <f t="shared" si="357"/>
        <v>1447.2773</v>
      </c>
      <c r="AL2552" s="5">
        <f t="shared" si="358"/>
        <v>0.59436439425051335</v>
      </c>
    </row>
    <row r="2553" spans="1:38" x14ac:dyDescent="0.2">
      <c r="A2553" s="2">
        <v>2025</v>
      </c>
      <c r="B2553" s="2">
        <v>12</v>
      </c>
      <c r="D2553" s="2" t="s">
        <v>2191</v>
      </c>
      <c r="P2553" s="2" t="s">
        <v>43</v>
      </c>
      <c r="Q2553" s="2" t="s">
        <v>63</v>
      </c>
      <c r="R2553" s="2" t="s">
        <v>64</v>
      </c>
      <c r="S2553" s="2">
        <v>20</v>
      </c>
      <c r="T2553" s="2">
        <v>36</v>
      </c>
      <c r="U2553" s="2">
        <v>8.2800000000000011</v>
      </c>
      <c r="V2553" s="2">
        <v>44.28</v>
      </c>
      <c r="W2553" s="2">
        <f>0.8561*S2553</f>
        <v>17.122</v>
      </c>
      <c r="X2553" s="5">
        <f t="shared" si="360"/>
        <v>0.5243888888888889</v>
      </c>
      <c r="Z2553" s="2" t="s">
        <v>3227</v>
      </c>
      <c r="AA2553" s="2" t="s">
        <v>46</v>
      </c>
      <c r="AB2553" s="2" t="s">
        <v>60</v>
      </c>
      <c r="AC2553" s="2" t="s">
        <v>57</v>
      </c>
      <c r="AF2553" s="2">
        <f t="shared" si="355"/>
        <v>0</v>
      </c>
      <c r="AG2553" s="2">
        <v>0.85609999999999997</v>
      </c>
      <c r="AH2553" s="2">
        <v>1.8</v>
      </c>
      <c r="AJ2553" s="2">
        <f t="shared" si="356"/>
        <v>0</v>
      </c>
      <c r="AK2553" s="2">
        <f t="shared" si="357"/>
        <v>18.878</v>
      </c>
      <c r="AL2553" s="5">
        <f t="shared" si="358"/>
        <v>0.5243888888888889</v>
      </c>
    </row>
    <row r="2554" spans="1:38" x14ac:dyDescent="0.2">
      <c r="A2554" s="2">
        <v>2025</v>
      </c>
      <c r="B2554" s="2">
        <v>12</v>
      </c>
      <c r="D2554" s="2" t="s">
        <v>2191</v>
      </c>
      <c r="P2554" s="2" t="s">
        <v>169</v>
      </c>
      <c r="Q2554" s="2" t="s">
        <v>170</v>
      </c>
      <c r="R2554" s="2" t="s">
        <v>170</v>
      </c>
      <c r="S2554" s="2">
        <v>1</v>
      </c>
      <c r="T2554" s="2">
        <v>8</v>
      </c>
      <c r="U2554" s="2">
        <v>1.84</v>
      </c>
      <c r="V2554" s="2">
        <v>9.84</v>
      </c>
      <c r="W2554" s="2">
        <v>6</v>
      </c>
      <c r="X2554" s="5">
        <f t="shared" si="360"/>
        <v>0.25</v>
      </c>
      <c r="Z2554" s="2" t="s">
        <v>169</v>
      </c>
      <c r="AA2554" s="2" t="s">
        <v>169</v>
      </c>
      <c r="AF2554" s="2">
        <f t="shared" si="355"/>
        <v>0</v>
      </c>
      <c r="AJ2554" s="2">
        <f t="shared" si="356"/>
        <v>0</v>
      </c>
      <c r="AK2554" s="2">
        <f t="shared" si="357"/>
        <v>2</v>
      </c>
      <c r="AL2554" s="5">
        <f t="shared" si="358"/>
        <v>0.25</v>
      </c>
    </row>
    <row r="2555" spans="1:38" x14ac:dyDescent="0.2">
      <c r="A2555" s="2">
        <v>2025</v>
      </c>
      <c r="B2555" s="2">
        <v>12</v>
      </c>
      <c r="D2555" s="2" t="s">
        <v>1312</v>
      </c>
      <c r="E2555" s="2" t="s">
        <v>38</v>
      </c>
      <c r="F2555" s="2" t="s">
        <v>39</v>
      </c>
      <c r="G2555" s="2">
        <v>509512739</v>
      </c>
      <c r="H2555" s="2" t="s">
        <v>41</v>
      </c>
      <c r="I2555" s="2" t="s">
        <v>177</v>
      </c>
      <c r="J2555" s="2" t="s">
        <v>1313</v>
      </c>
      <c r="L2555" s="2" t="s">
        <v>177</v>
      </c>
      <c r="M2555" s="2" t="s">
        <v>40</v>
      </c>
      <c r="O2555" s="2" t="s">
        <v>2192</v>
      </c>
      <c r="P2555" s="2" t="s">
        <v>114</v>
      </c>
      <c r="Q2555" s="2" t="s">
        <v>2193</v>
      </c>
      <c r="R2555" s="2" t="s">
        <v>2194</v>
      </c>
      <c r="S2555" s="2">
        <v>1</v>
      </c>
      <c r="T2555" s="2">
        <v>15.88</v>
      </c>
      <c r="U2555" s="2">
        <v>3.652400000000001</v>
      </c>
      <c r="V2555" s="2">
        <v>19.532399999999999</v>
      </c>
      <c r="W2555" s="2">
        <v>7.2733999999999996</v>
      </c>
      <c r="X2555" s="5">
        <f t="shared" si="360"/>
        <v>0.54197732997481107</v>
      </c>
      <c r="Z2555" s="2" t="s">
        <v>117</v>
      </c>
      <c r="AA2555" s="2" t="s">
        <v>118</v>
      </c>
      <c r="AB2555" s="2" t="s">
        <v>119</v>
      </c>
      <c r="AC2555" s="2" t="s">
        <v>114</v>
      </c>
      <c r="AF2555" s="2">
        <f t="shared" si="355"/>
        <v>0</v>
      </c>
      <c r="AG2555" s="2">
        <v>7.2733999999999996</v>
      </c>
      <c r="AJ2555" s="2">
        <f t="shared" si="356"/>
        <v>0</v>
      </c>
      <c r="AK2555" s="2">
        <f t="shared" si="357"/>
        <v>8.6066000000000003</v>
      </c>
      <c r="AL2555" s="5">
        <f t="shared" si="358"/>
        <v>0.54197732997481107</v>
      </c>
    </row>
    <row r="2556" spans="1:38" x14ac:dyDescent="0.2">
      <c r="A2556" s="2">
        <v>2025</v>
      </c>
      <c r="B2556" s="2">
        <v>12</v>
      </c>
      <c r="D2556" s="2" t="s">
        <v>1312</v>
      </c>
      <c r="E2556" s="2" t="s">
        <v>38</v>
      </c>
      <c r="F2556" s="2" t="s">
        <v>39</v>
      </c>
      <c r="G2556" s="2">
        <v>509512739</v>
      </c>
      <c r="H2556" s="2" t="s">
        <v>41</v>
      </c>
      <c r="I2556" s="2" t="s">
        <v>177</v>
      </c>
      <c r="J2556" s="2" t="s">
        <v>1313</v>
      </c>
      <c r="L2556" s="2" t="s">
        <v>177</v>
      </c>
      <c r="M2556" s="2" t="s">
        <v>41</v>
      </c>
      <c r="O2556" s="2" t="s">
        <v>2192</v>
      </c>
      <c r="P2556" s="2" t="s">
        <v>43</v>
      </c>
      <c r="Q2556" s="2" t="s">
        <v>54</v>
      </c>
      <c r="R2556" s="2" t="s">
        <v>55</v>
      </c>
      <c r="S2556" s="2">
        <v>2</v>
      </c>
      <c r="T2556" s="2">
        <v>36</v>
      </c>
      <c r="U2556" s="2">
        <v>8.2800000000000011</v>
      </c>
      <c r="V2556" s="2">
        <v>44.28</v>
      </c>
      <c r="W2556" s="2">
        <f>10.6*S2556</f>
        <v>21.2</v>
      </c>
      <c r="X2556" s="5">
        <f t="shared" si="360"/>
        <v>0.41111111111111115</v>
      </c>
      <c r="Z2556" s="2" t="s">
        <v>3227</v>
      </c>
      <c r="AA2556" s="2" t="s">
        <v>46</v>
      </c>
      <c r="AB2556" s="2" t="s">
        <v>56</v>
      </c>
      <c r="AC2556" s="2" t="s">
        <v>57</v>
      </c>
      <c r="AF2556" s="2">
        <f t="shared" si="355"/>
        <v>0</v>
      </c>
      <c r="AG2556" s="2">
        <v>10.6</v>
      </c>
      <c r="AH2556" s="2">
        <v>18</v>
      </c>
      <c r="AJ2556" s="2">
        <f t="shared" si="356"/>
        <v>0</v>
      </c>
      <c r="AK2556" s="2">
        <f t="shared" si="357"/>
        <v>14.8</v>
      </c>
      <c r="AL2556" s="5">
        <f t="shared" si="358"/>
        <v>0.41111111111111115</v>
      </c>
    </row>
    <row r="2557" spans="1:38" x14ac:dyDescent="0.2">
      <c r="A2557" s="2">
        <v>2025</v>
      </c>
      <c r="B2557" s="2">
        <v>12</v>
      </c>
      <c r="D2557" s="2" t="s">
        <v>1312</v>
      </c>
      <c r="E2557" s="2" t="s">
        <v>38</v>
      </c>
      <c r="F2557" s="2" t="s">
        <v>39</v>
      </c>
      <c r="G2557" s="2">
        <v>509512739</v>
      </c>
      <c r="H2557" s="2" t="s">
        <v>41</v>
      </c>
      <c r="I2557" s="2" t="s">
        <v>177</v>
      </c>
      <c r="J2557" s="2" t="s">
        <v>1313</v>
      </c>
      <c r="L2557" s="2" t="s">
        <v>177</v>
      </c>
      <c r="M2557" s="2" t="s">
        <v>41</v>
      </c>
      <c r="O2557" s="2" t="s">
        <v>2195</v>
      </c>
      <c r="P2557" s="2" t="s">
        <v>43</v>
      </c>
      <c r="Q2557" s="2" t="s">
        <v>250</v>
      </c>
      <c r="R2557" s="2" t="s">
        <v>251</v>
      </c>
      <c r="S2557" s="2">
        <v>1</v>
      </c>
      <c r="T2557" s="2">
        <v>60</v>
      </c>
      <c r="U2557" s="2">
        <v>13.8</v>
      </c>
      <c r="V2557" s="2">
        <v>73.8</v>
      </c>
      <c r="W2557" s="2">
        <f>25.0958*S2557</f>
        <v>25.095800000000001</v>
      </c>
      <c r="X2557" s="5">
        <f t="shared" si="360"/>
        <v>0.58173666666666668</v>
      </c>
      <c r="Z2557" s="2" t="s">
        <v>3227</v>
      </c>
      <c r="AA2557" s="2" t="s">
        <v>46</v>
      </c>
      <c r="AB2557" s="2" t="s">
        <v>90</v>
      </c>
      <c r="AC2557" s="2" t="s">
        <v>57</v>
      </c>
      <c r="AF2557" s="2">
        <f t="shared" si="355"/>
        <v>0</v>
      </c>
      <c r="AG2557" s="2">
        <v>25.79</v>
      </c>
      <c r="AJ2557" s="2">
        <f t="shared" si="356"/>
        <v>0</v>
      </c>
      <c r="AK2557" s="2">
        <f t="shared" si="357"/>
        <v>34.904200000000003</v>
      </c>
      <c r="AL2557" s="5">
        <f t="shared" si="358"/>
        <v>0.58173666666666668</v>
      </c>
    </row>
    <row r="2558" spans="1:38" x14ac:dyDescent="0.2">
      <c r="A2558" s="2">
        <v>2025</v>
      </c>
      <c r="B2558" s="2">
        <v>12</v>
      </c>
      <c r="D2558" s="2" t="s">
        <v>1312</v>
      </c>
      <c r="E2558" s="2" t="s">
        <v>38</v>
      </c>
      <c r="F2558" s="2" t="s">
        <v>39</v>
      </c>
      <c r="G2558" s="2">
        <v>509512739</v>
      </c>
      <c r="H2558" s="2" t="s">
        <v>41</v>
      </c>
      <c r="I2558" s="2" t="s">
        <v>177</v>
      </c>
      <c r="J2558" s="2" t="s">
        <v>1313</v>
      </c>
      <c r="L2558" s="2" t="s">
        <v>177</v>
      </c>
      <c r="M2558" s="2" t="s">
        <v>41</v>
      </c>
      <c r="O2558" s="2" t="s">
        <v>2195</v>
      </c>
      <c r="P2558" s="2" t="s">
        <v>43</v>
      </c>
      <c r="Q2558" s="2" t="s">
        <v>58</v>
      </c>
      <c r="R2558" s="2" t="s">
        <v>59</v>
      </c>
      <c r="S2558" s="2">
        <v>100</v>
      </c>
      <c r="T2558" s="2">
        <v>14</v>
      </c>
      <c r="U2558" s="2">
        <v>3.22</v>
      </c>
      <c r="V2558" s="2">
        <v>17.22</v>
      </c>
      <c r="W2558" s="2">
        <f>0.0914*S2558</f>
        <v>9.1399999999999988</v>
      </c>
      <c r="X2558" s="5">
        <f t="shared" si="360"/>
        <v>0.34714285714285725</v>
      </c>
      <c r="Z2558" s="2" t="s">
        <v>3227</v>
      </c>
      <c r="AA2558" s="2" t="s">
        <v>46</v>
      </c>
      <c r="AB2558" s="2" t="s">
        <v>60</v>
      </c>
      <c r="AC2558" s="2" t="s">
        <v>57</v>
      </c>
      <c r="AF2558" s="2">
        <f t="shared" si="355"/>
        <v>0</v>
      </c>
      <c r="AG2558" s="2">
        <v>9.14</v>
      </c>
      <c r="AH2558" s="2">
        <v>16</v>
      </c>
      <c r="AJ2558" s="2">
        <f t="shared" si="356"/>
        <v>0</v>
      </c>
      <c r="AK2558" s="2">
        <f t="shared" si="357"/>
        <v>4.8600000000000012</v>
      </c>
      <c r="AL2558" s="5">
        <f t="shared" si="358"/>
        <v>0.34714285714285725</v>
      </c>
    </row>
    <row r="2559" spans="1:38" x14ac:dyDescent="0.2">
      <c r="A2559" s="2">
        <v>2025</v>
      </c>
      <c r="B2559" s="2">
        <v>12</v>
      </c>
      <c r="D2559" s="2" t="s">
        <v>1312</v>
      </c>
      <c r="E2559" s="2" t="s">
        <v>38</v>
      </c>
      <c r="F2559" s="2" t="s">
        <v>39</v>
      </c>
      <c r="G2559" s="2">
        <v>509512739</v>
      </c>
      <c r="H2559" s="2" t="s">
        <v>41</v>
      </c>
      <c r="I2559" s="2" t="s">
        <v>177</v>
      </c>
      <c r="J2559" s="2" t="s">
        <v>1313</v>
      </c>
      <c r="L2559" s="2" t="s">
        <v>177</v>
      </c>
      <c r="M2559" s="2" t="s">
        <v>41</v>
      </c>
      <c r="O2559" s="2" t="s">
        <v>2195</v>
      </c>
      <c r="P2559" s="2" t="s">
        <v>43</v>
      </c>
      <c r="Q2559" s="2" t="s">
        <v>61</v>
      </c>
      <c r="R2559" s="2" t="s">
        <v>62</v>
      </c>
      <c r="S2559" s="2">
        <v>200</v>
      </c>
      <c r="T2559" s="2">
        <v>26</v>
      </c>
      <c r="U2559" s="2">
        <v>5.98</v>
      </c>
      <c r="V2559" s="2">
        <v>31.98</v>
      </c>
      <c r="W2559" s="2">
        <f>0.082*S2559</f>
        <v>16.400000000000002</v>
      </c>
      <c r="X2559" s="5">
        <f t="shared" si="360"/>
        <v>0.36923076923076914</v>
      </c>
      <c r="Z2559" s="2" t="s">
        <v>3227</v>
      </c>
      <c r="AA2559" s="2" t="s">
        <v>46</v>
      </c>
      <c r="AB2559" s="2" t="s">
        <v>60</v>
      </c>
      <c r="AC2559" s="2" t="s">
        <v>57</v>
      </c>
      <c r="AF2559" s="2">
        <f t="shared" si="355"/>
        <v>0</v>
      </c>
      <c r="AG2559" s="2">
        <v>8.1999999999999993</v>
      </c>
      <c r="AH2559" s="2">
        <v>13</v>
      </c>
      <c r="AJ2559" s="2">
        <f t="shared" si="356"/>
        <v>0</v>
      </c>
      <c r="AK2559" s="2">
        <f t="shared" si="357"/>
        <v>9.5999999999999979</v>
      </c>
      <c r="AL2559" s="5">
        <f t="shared" si="358"/>
        <v>0.36923076923076914</v>
      </c>
    </row>
    <row r="2560" spans="1:38" x14ac:dyDescent="0.2">
      <c r="A2560" s="2">
        <v>2025</v>
      </c>
      <c r="B2560" s="2">
        <v>12</v>
      </c>
      <c r="D2560" s="2" t="s">
        <v>1312</v>
      </c>
      <c r="E2560" s="2" t="s">
        <v>38</v>
      </c>
      <c r="F2560" s="2" t="s">
        <v>39</v>
      </c>
      <c r="G2560" s="2">
        <v>509512739</v>
      </c>
      <c r="H2560" s="2" t="s">
        <v>41</v>
      </c>
      <c r="I2560" s="2" t="s">
        <v>177</v>
      </c>
      <c r="J2560" s="2" t="s">
        <v>1313</v>
      </c>
      <c r="L2560" s="2" t="s">
        <v>177</v>
      </c>
      <c r="M2560" s="2" t="s">
        <v>41</v>
      </c>
      <c r="O2560" s="2" t="s">
        <v>2195</v>
      </c>
      <c r="P2560" s="2" t="s">
        <v>43</v>
      </c>
      <c r="Q2560" s="2" t="s">
        <v>254</v>
      </c>
      <c r="R2560" s="2" t="s">
        <v>255</v>
      </c>
      <c r="S2560" s="2">
        <v>100</v>
      </c>
      <c r="T2560" s="2">
        <v>14</v>
      </c>
      <c r="U2560" s="2">
        <v>3.22</v>
      </c>
      <c r="V2560" s="2">
        <v>17.22</v>
      </c>
      <c r="W2560" s="2">
        <f>0.0914*S2560</f>
        <v>9.1399999999999988</v>
      </c>
      <c r="X2560" s="5">
        <f t="shared" si="360"/>
        <v>0.34714285714285725</v>
      </c>
      <c r="Z2560" s="2" t="s">
        <v>3227</v>
      </c>
      <c r="AA2560" s="2" t="s">
        <v>46</v>
      </c>
      <c r="AB2560" s="2" t="s">
        <v>60</v>
      </c>
      <c r="AC2560" s="2" t="s">
        <v>57</v>
      </c>
      <c r="AF2560" s="2">
        <f t="shared" si="355"/>
        <v>0</v>
      </c>
      <c r="AJ2560" s="2">
        <f t="shared" si="356"/>
        <v>0</v>
      </c>
      <c r="AK2560" s="2">
        <f t="shared" si="357"/>
        <v>4.8600000000000012</v>
      </c>
      <c r="AL2560" s="5">
        <f t="shared" si="358"/>
        <v>0.34714285714285725</v>
      </c>
    </row>
    <row r="2561" spans="1:38" x14ac:dyDescent="0.2">
      <c r="A2561" s="2">
        <v>2025</v>
      </c>
      <c r="B2561" s="2">
        <v>12</v>
      </c>
      <c r="D2561" s="2" t="s">
        <v>1312</v>
      </c>
      <c r="E2561" s="2" t="s">
        <v>38</v>
      </c>
      <c r="F2561" s="2" t="s">
        <v>39</v>
      </c>
      <c r="G2561" s="2">
        <v>509512739</v>
      </c>
      <c r="H2561" s="2" t="s">
        <v>41</v>
      </c>
      <c r="I2561" s="2" t="s">
        <v>177</v>
      </c>
      <c r="J2561" s="2" t="s">
        <v>1313</v>
      </c>
      <c r="L2561" s="2" t="s">
        <v>177</v>
      </c>
      <c r="M2561" s="2" t="s">
        <v>41</v>
      </c>
      <c r="O2561" s="2" t="s">
        <v>2192</v>
      </c>
      <c r="P2561" s="2" t="s">
        <v>43</v>
      </c>
      <c r="Q2561" s="2" t="s">
        <v>204</v>
      </c>
      <c r="R2561" s="2" t="s">
        <v>205</v>
      </c>
      <c r="S2561" s="2">
        <v>4</v>
      </c>
      <c r="T2561" s="2">
        <v>11.2</v>
      </c>
      <c r="U2561" s="2">
        <v>2.5760000000000001</v>
      </c>
      <c r="V2561" s="2">
        <v>13.776</v>
      </c>
      <c r="W2561" s="2">
        <f>1.832*S2561</f>
        <v>7.3280000000000003</v>
      </c>
      <c r="X2561" s="5">
        <f t="shared" si="360"/>
        <v>0.34571428571428564</v>
      </c>
      <c r="Z2561" s="2" t="s">
        <v>3227</v>
      </c>
      <c r="AA2561" s="2" t="s">
        <v>46</v>
      </c>
      <c r="AB2561" s="2" t="s">
        <v>60</v>
      </c>
      <c r="AC2561" s="2" t="s">
        <v>57</v>
      </c>
      <c r="AF2561" s="2">
        <f t="shared" si="355"/>
        <v>0</v>
      </c>
      <c r="AG2561" s="2">
        <v>1.8320000000000001</v>
      </c>
      <c r="AH2561" s="2">
        <v>2.4</v>
      </c>
      <c r="AJ2561" s="2">
        <f t="shared" si="356"/>
        <v>0</v>
      </c>
      <c r="AK2561" s="2">
        <f t="shared" si="357"/>
        <v>3.871999999999999</v>
      </c>
      <c r="AL2561" s="5">
        <f t="shared" si="358"/>
        <v>0.34571428571428564</v>
      </c>
    </row>
    <row r="2562" spans="1:38" x14ac:dyDescent="0.2">
      <c r="A2562" s="2">
        <v>2025</v>
      </c>
      <c r="B2562" s="2">
        <v>12</v>
      </c>
      <c r="D2562" s="2" t="s">
        <v>2196</v>
      </c>
      <c r="M2562" s="2" t="s">
        <v>40</v>
      </c>
      <c r="P2562" s="2" t="s">
        <v>114</v>
      </c>
      <c r="Q2562" s="2" t="s">
        <v>904</v>
      </c>
      <c r="R2562" s="2" t="s">
        <v>905</v>
      </c>
      <c r="S2562" s="2">
        <v>1</v>
      </c>
      <c r="T2562" s="2">
        <v>599.4</v>
      </c>
      <c r="U2562" s="2">
        <v>137.86199999999999</v>
      </c>
      <c r="V2562" s="2">
        <v>737.26199999999994</v>
      </c>
      <c r="W2562" s="2">
        <v>345.20339999999999</v>
      </c>
      <c r="X2562" s="5">
        <f t="shared" si="360"/>
        <v>0.42408508508508508</v>
      </c>
      <c r="Z2562" s="2" t="s">
        <v>117</v>
      </c>
      <c r="AA2562" s="2" t="s">
        <v>181</v>
      </c>
      <c r="AB2562" s="2" t="s">
        <v>119</v>
      </c>
      <c r="AC2562" s="2" t="s">
        <v>114</v>
      </c>
      <c r="AF2562" s="2">
        <f t="shared" ref="AF2562:AF2625" si="361">AJ2562</f>
        <v>0</v>
      </c>
      <c r="AJ2562" s="2">
        <f t="shared" ref="AJ2562:AJ2625" si="362">AI2562*T2562</f>
        <v>0</v>
      </c>
      <c r="AK2562" s="2">
        <f t="shared" si="357"/>
        <v>254.19659999999999</v>
      </c>
      <c r="AL2562" s="5">
        <f t="shared" si="358"/>
        <v>0.42408508508508508</v>
      </c>
    </row>
    <row r="2563" spans="1:38" x14ac:dyDescent="0.2">
      <c r="A2563" s="2">
        <v>2025</v>
      </c>
      <c r="B2563" s="2">
        <v>12</v>
      </c>
      <c r="D2563" s="2" t="s">
        <v>2196</v>
      </c>
      <c r="M2563" s="2" t="s">
        <v>40</v>
      </c>
      <c r="P2563" s="2" t="s">
        <v>187</v>
      </c>
      <c r="Q2563" s="2" t="s">
        <v>188</v>
      </c>
      <c r="R2563" s="2" t="s">
        <v>189</v>
      </c>
      <c r="S2563" s="2">
        <v>1</v>
      </c>
      <c r="T2563" s="2">
        <v>261</v>
      </c>
      <c r="U2563" s="2">
        <v>60.03</v>
      </c>
      <c r="V2563" s="2">
        <v>321.02999999999997</v>
      </c>
      <c r="W2563" s="2">
        <f>T2563*40%</f>
        <v>104.4</v>
      </c>
      <c r="X2563" s="5">
        <f t="shared" si="360"/>
        <v>0.6</v>
      </c>
      <c r="Z2563" s="2" t="s">
        <v>117</v>
      </c>
      <c r="AA2563" s="2" t="s">
        <v>190</v>
      </c>
      <c r="AB2563" s="2" t="s">
        <v>189</v>
      </c>
      <c r="AC2563" s="2" t="s">
        <v>40</v>
      </c>
      <c r="AF2563" s="2">
        <f t="shared" si="361"/>
        <v>0</v>
      </c>
      <c r="AJ2563" s="2">
        <f t="shared" si="362"/>
        <v>0</v>
      </c>
      <c r="AK2563" s="2">
        <f t="shared" si="357"/>
        <v>156.6</v>
      </c>
      <c r="AL2563" s="5">
        <f t="shared" si="358"/>
        <v>0.6</v>
      </c>
    </row>
    <row r="2564" spans="1:38" x14ac:dyDescent="0.2">
      <c r="A2564" s="2">
        <v>2025</v>
      </c>
      <c r="B2564" s="2">
        <v>12</v>
      </c>
      <c r="D2564" s="2" t="s">
        <v>2196</v>
      </c>
      <c r="M2564" s="2" t="s">
        <v>40</v>
      </c>
      <c r="P2564" s="2" t="s">
        <v>187</v>
      </c>
      <c r="Q2564" s="2" t="s">
        <v>191</v>
      </c>
      <c r="R2564" s="2" t="s">
        <v>190</v>
      </c>
      <c r="S2564" s="2">
        <v>3</v>
      </c>
      <c r="T2564" s="2">
        <v>150</v>
      </c>
      <c r="U2564" s="2">
        <v>34.5</v>
      </c>
      <c r="V2564" s="2">
        <v>184.5</v>
      </c>
      <c r="W2564" s="2">
        <f>T2564*50%</f>
        <v>75</v>
      </c>
      <c r="X2564" s="5">
        <f t="shared" si="360"/>
        <v>0.5</v>
      </c>
      <c r="Z2564" s="2" t="s">
        <v>117</v>
      </c>
      <c r="AA2564" s="2" t="s">
        <v>190</v>
      </c>
      <c r="AB2564" s="2" t="s">
        <v>190</v>
      </c>
      <c r="AC2564" s="2" t="s">
        <v>40</v>
      </c>
      <c r="AF2564" s="2">
        <f t="shared" si="361"/>
        <v>0</v>
      </c>
      <c r="AJ2564" s="2">
        <f t="shared" si="362"/>
        <v>0</v>
      </c>
      <c r="AK2564" s="2">
        <f t="shared" si="357"/>
        <v>75</v>
      </c>
      <c r="AL2564" s="5">
        <f t="shared" si="358"/>
        <v>0.5</v>
      </c>
    </row>
    <row r="2565" spans="1:38" x14ac:dyDescent="0.2">
      <c r="A2565" s="2">
        <v>2025</v>
      </c>
      <c r="B2565" s="2">
        <v>12</v>
      </c>
      <c r="D2565" s="2" t="s">
        <v>2082</v>
      </c>
      <c r="P2565" s="2" t="s">
        <v>1038</v>
      </c>
      <c r="Q2565" s="2" t="s">
        <v>2197</v>
      </c>
      <c r="R2565" s="2" t="s">
        <v>2198</v>
      </c>
      <c r="S2565" s="2">
        <v>1</v>
      </c>
      <c r="T2565" s="2">
        <v>260</v>
      </c>
      <c r="U2565" s="2">
        <v>59.8</v>
      </c>
      <c r="V2565" s="2">
        <v>319.8</v>
      </c>
      <c r="W2565" s="2">
        <v>153.34</v>
      </c>
      <c r="X2565" s="5">
        <f t="shared" si="360"/>
        <v>0.41023076923076923</v>
      </c>
      <c r="Z2565" s="2" t="s">
        <v>3227</v>
      </c>
      <c r="AA2565" s="2" t="s">
        <v>75</v>
      </c>
      <c r="AB2565" s="2" t="s">
        <v>76</v>
      </c>
      <c r="AC2565" s="2" t="s">
        <v>1038</v>
      </c>
      <c r="AF2565" s="2">
        <f t="shared" si="361"/>
        <v>0</v>
      </c>
      <c r="AJ2565" s="2">
        <f t="shared" si="362"/>
        <v>0</v>
      </c>
      <c r="AK2565" s="2">
        <f t="shared" si="357"/>
        <v>106.66</v>
      </c>
      <c r="AL2565" s="5">
        <f t="shared" si="358"/>
        <v>0.41023076923076923</v>
      </c>
    </row>
    <row r="2566" spans="1:38" x14ac:dyDescent="0.2">
      <c r="A2566" s="2">
        <v>2025</v>
      </c>
      <c r="B2566" s="2">
        <v>12</v>
      </c>
      <c r="D2566" s="2" t="s">
        <v>2082</v>
      </c>
      <c r="P2566" s="2" t="s">
        <v>169</v>
      </c>
      <c r="Q2566" s="2" t="s">
        <v>170</v>
      </c>
      <c r="R2566" s="2" t="s">
        <v>170</v>
      </c>
      <c r="S2566" s="2">
        <v>1</v>
      </c>
      <c r="T2566" s="2">
        <v>40</v>
      </c>
      <c r="U2566" s="2">
        <v>9.2000000000000011</v>
      </c>
      <c r="V2566" s="2">
        <v>49.2</v>
      </c>
      <c r="W2566" s="2">
        <v>30</v>
      </c>
      <c r="X2566" s="5">
        <f t="shared" si="360"/>
        <v>0.25</v>
      </c>
      <c r="Z2566" s="2" t="s">
        <v>169</v>
      </c>
      <c r="AA2566" s="2" t="s">
        <v>169</v>
      </c>
      <c r="AF2566" s="2">
        <f t="shared" si="361"/>
        <v>0</v>
      </c>
      <c r="AJ2566" s="2">
        <f t="shared" si="362"/>
        <v>0</v>
      </c>
      <c r="AK2566" s="2">
        <f t="shared" si="357"/>
        <v>10</v>
      </c>
      <c r="AL2566" s="5">
        <f t="shared" si="358"/>
        <v>0.25</v>
      </c>
    </row>
    <row r="2567" spans="1:38" x14ac:dyDescent="0.2">
      <c r="A2567" s="2">
        <v>2025</v>
      </c>
      <c r="B2567" s="2">
        <v>12</v>
      </c>
      <c r="D2567" s="2" t="s">
        <v>2082</v>
      </c>
      <c r="P2567" s="2" t="s">
        <v>93</v>
      </c>
      <c r="Q2567" s="2" t="s">
        <v>94</v>
      </c>
      <c r="R2567" s="2" t="s">
        <v>95</v>
      </c>
      <c r="S2567" s="2">
        <v>1</v>
      </c>
      <c r="T2567" s="2">
        <v>1.1399999999999999</v>
      </c>
      <c r="U2567" s="2">
        <v>0.26219999999999999</v>
      </c>
      <c r="V2567" s="2">
        <v>1.4021999999999999</v>
      </c>
      <c r="W2567" s="2">
        <v>1.1399999999999999</v>
      </c>
      <c r="X2567" s="5">
        <f t="shared" si="360"/>
        <v>0</v>
      </c>
      <c r="Z2567" s="2" t="s">
        <v>3227</v>
      </c>
      <c r="AA2567" s="2" t="s">
        <v>96</v>
      </c>
      <c r="AB2567" s="2" t="s">
        <v>76</v>
      </c>
      <c r="AC2567" s="2" t="s">
        <v>93</v>
      </c>
      <c r="AF2567" s="2">
        <f t="shared" si="361"/>
        <v>0</v>
      </c>
      <c r="AJ2567" s="2">
        <f t="shared" si="362"/>
        <v>0</v>
      </c>
      <c r="AK2567" s="2">
        <f t="shared" si="357"/>
        <v>0</v>
      </c>
      <c r="AL2567" s="5">
        <f t="shared" si="358"/>
        <v>0</v>
      </c>
    </row>
    <row r="2568" spans="1:38" x14ac:dyDescent="0.2">
      <c r="A2568" s="2">
        <v>2025</v>
      </c>
      <c r="B2568" s="2">
        <v>9</v>
      </c>
      <c r="D2568" s="2" t="s">
        <v>37</v>
      </c>
      <c r="E2568" s="2" t="s">
        <v>38</v>
      </c>
      <c r="F2568" s="2" t="s">
        <v>39</v>
      </c>
      <c r="H2568" s="2" t="s">
        <v>40</v>
      </c>
      <c r="P2568" s="2" t="s">
        <v>43</v>
      </c>
      <c r="Q2568" s="2" t="s">
        <v>54</v>
      </c>
      <c r="R2568" s="2" t="s">
        <v>55</v>
      </c>
      <c r="S2568" s="2">
        <v>10</v>
      </c>
      <c r="T2568" s="2">
        <v>140</v>
      </c>
      <c r="U2568" s="2">
        <v>32.200000000000003</v>
      </c>
      <c r="V2568" s="2">
        <v>172.2</v>
      </c>
      <c r="W2568" s="2">
        <f>10.6*S2568</f>
        <v>106</v>
      </c>
      <c r="X2568" s="5">
        <f t="shared" si="360"/>
        <v>0.24285714285714285</v>
      </c>
      <c r="Z2568" s="2" t="s">
        <v>3227</v>
      </c>
      <c r="AA2568" s="2" t="s">
        <v>46</v>
      </c>
      <c r="AB2568" s="2" t="s">
        <v>56</v>
      </c>
      <c r="AC2568" s="2" t="s">
        <v>57</v>
      </c>
      <c r="AF2568" s="2">
        <f t="shared" si="361"/>
        <v>0</v>
      </c>
      <c r="AG2568" s="2">
        <v>10.6</v>
      </c>
      <c r="AH2568" s="2">
        <v>18</v>
      </c>
      <c r="AJ2568" s="2">
        <f t="shared" si="362"/>
        <v>0</v>
      </c>
      <c r="AK2568" s="2">
        <f t="shared" si="357"/>
        <v>34</v>
      </c>
      <c r="AL2568" s="5">
        <f t="shared" si="358"/>
        <v>0.24285714285714285</v>
      </c>
    </row>
    <row r="2569" spans="1:38" x14ac:dyDescent="0.2">
      <c r="A2569" s="2">
        <v>2025</v>
      </c>
      <c r="B2569" s="2">
        <v>9</v>
      </c>
      <c r="D2569" s="2" t="s">
        <v>37</v>
      </c>
      <c r="E2569" s="2" t="s">
        <v>38</v>
      </c>
      <c r="F2569" s="2" t="s">
        <v>39</v>
      </c>
      <c r="H2569" s="2" t="s">
        <v>40</v>
      </c>
      <c r="P2569" s="2" t="s">
        <v>43</v>
      </c>
      <c r="Q2569" s="2" t="s">
        <v>58</v>
      </c>
      <c r="R2569" s="2" t="s">
        <v>59</v>
      </c>
      <c r="S2569" s="2">
        <v>500</v>
      </c>
      <c r="T2569" s="2">
        <v>65</v>
      </c>
      <c r="U2569" s="2">
        <v>14.95</v>
      </c>
      <c r="V2569" s="2">
        <v>79.95</v>
      </c>
      <c r="W2569" s="2">
        <f>0.0914*S2569</f>
        <v>45.699999999999996</v>
      </c>
      <c r="X2569" s="5">
        <f t="shared" si="360"/>
        <v>0.29692307692307701</v>
      </c>
      <c r="Z2569" s="2" t="s">
        <v>3227</v>
      </c>
      <c r="AA2569" s="2" t="s">
        <v>46</v>
      </c>
      <c r="AB2569" s="2" t="s">
        <v>60</v>
      </c>
      <c r="AC2569" s="2" t="s">
        <v>57</v>
      </c>
      <c r="AF2569" s="2">
        <f t="shared" si="361"/>
        <v>0</v>
      </c>
      <c r="AG2569" s="2">
        <v>9.14</v>
      </c>
      <c r="AH2569" s="2">
        <v>16</v>
      </c>
      <c r="AJ2569" s="2">
        <f t="shared" si="362"/>
        <v>0</v>
      </c>
      <c r="AK2569" s="2">
        <f t="shared" si="357"/>
        <v>19.300000000000004</v>
      </c>
      <c r="AL2569" s="5">
        <f t="shared" si="358"/>
        <v>0.29692307692307701</v>
      </c>
    </row>
    <row r="2570" spans="1:38" x14ac:dyDescent="0.2">
      <c r="A2570" s="2">
        <v>2025</v>
      </c>
      <c r="B2570" s="2">
        <v>9</v>
      </c>
      <c r="D2570" s="2" t="s">
        <v>37</v>
      </c>
      <c r="E2570" s="2" t="s">
        <v>38</v>
      </c>
      <c r="F2570" s="2" t="s">
        <v>39</v>
      </c>
      <c r="H2570" s="2" t="s">
        <v>40</v>
      </c>
      <c r="P2570" s="2" t="s">
        <v>43</v>
      </c>
      <c r="Q2570" s="2" t="s">
        <v>61</v>
      </c>
      <c r="R2570" s="2" t="s">
        <v>62</v>
      </c>
      <c r="S2570" s="2">
        <v>2000</v>
      </c>
      <c r="T2570" s="2">
        <v>210</v>
      </c>
      <c r="U2570" s="2">
        <v>48.3</v>
      </c>
      <c r="V2570" s="2">
        <v>258.3</v>
      </c>
      <c r="W2570" s="2">
        <f>0.082*S2570</f>
        <v>164</v>
      </c>
      <c r="X2570" s="5">
        <f t="shared" si="360"/>
        <v>0.21904761904761905</v>
      </c>
      <c r="Z2570" s="2" t="s">
        <v>3227</v>
      </c>
      <c r="AA2570" s="2" t="s">
        <v>46</v>
      </c>
      <c r="AB2570" s="2" t="s">
        <v>60</v>
      </c>
      <c r="AC2570" s="2" t="s">
        <v>57</v>
      </c>
      <c r="AF2570" s="2">
        <f t="shared" si="361"/>
        <v>0</v>
      </c>
      <c r="AG2570" s="2">
        <v>8.1999999999999993</v>
      </c>
      <c r="AH2570" s="2">
        <v>13</v>
      </c>
      <c r="AJ2570" s="2">
        <f t="shared" si="362"/>
        <v>0</v>
      </c>
      <c r="AK2570" s="2">
        <f t="shared" si="357"/>
        <v>46</v>
      </c>
      <c r="AL2570" s="5">
        <f t="shared" si="358"/>
        <v>0.21904761904761905</v>
      </c>
    </row>
    <row r="2571" spans="1:38" x14ac:dyDescent="0.2">
      <c r="A2571" s="2">
        <v>2025</v>
      </c>
      <c r="B2571" s="2">
        <v>9</v>
      </c>
      <c r="D2571" s="2" t="s">
        <v>37</v>
      </c>
      <c r="E2571" s="2" t="s">
        <v>38</v>
      </c>
      <c r="F2571" s="2" t="s">
        <v>39</v>
      </c>
      <c r="H2571" s="2" t="s">
        <v>40</v>
      </c>
      <c r="P2571" s="2" t="s">
        <v>43</v>
      </c>
      <c r="Q2571" s="2" t="s">
        <v>164</v>
      </c>
      <c r="R2571" s="2" t="s">
        <v>165</v>
      </c>
      <c r="S2571" s="2">
        <v>1</v>
      </c>
      <c r="T2571" s="2">
        <v>22</v>
      </c>
      <c r="U2571" s="2">
        <v>5.0599999999999996</v>
      </c>
      <c r="V2571" s="2">
        <v>27.06</v>
      </c>
      <c r="W2571" s="2">
        <f>7.9612*S2571</f>
        <v>7.9611999999999998</v>
      </c>
      <c r="X2571" s="5">
        <f t="shared" si="360"/>
        <v>0.63812727272727277</v>
      </c>
      <c r="Z2571" s="2" t="s">
        <v>3227</v>
      </c>
      <c r="AA2571" s="2" t="s">
        <v>46</v>
      </c>
      <c r="AB2571" s="2" t="s">
        <v>67</v>
      </c>
      <c r="AC2571" s="2" t="s">
        <v>57</v>
      </c>
      <c r="AF2571" s="2">
        <f t="shared" si="361"/>
        <v>0</v>
      </c>
      <c r="AG2571" s="2">
        <v>7.9611999999999998</v>
      </c>
      <c r="AH2571" s="2">
        <v>14.4</v>
      </c>
      <c r="AJ2571" s="2">
        <f t="shared" si="362"/>
        <v>0</v>
      </c>
      <c r="AK2571" s="2">
        <f t="shared" si="357"/>
        <v>14.0388</v>
      </c>
      <c r="AL2571" s="5">
        <f t="shared" si="358"/>
        <v>0.63812727272727277</v>
      </c>
    </row>
    <row r="2572" spans="1:38" x14ac:dyDescent="0.2">
      <c r="A2572" s="2">
        <v>2025</v>
      </c>
      <c r="B2572" s="2">
        <v>9</v>
      </c>
      <c r="D2572" s="2" t="s">
        <v>37</v>
      </c>
      <c r="E2572" s="2" t="s">
        <v>38</v>
      </c>
      <c r="F2572" s="2" t="s">
        <v>39</v>
      </c>
      <c r="H2572" s="2" t="s">
        <v>40</v>
      </c>
      <c r="P2572" s="2" t="s">
        <v>43</v>
      </c>
      <c r="Q2572" s="2" t="s">
        <v>65</v>
      </c>
      <c r="R2572" s="2" t="s">
        <v>66</v>
      </c>
      <c r="S2572" s="2">
        <v>1</v>
      </c>
      <c r="T2572" s="2">
        <v>22</v>
      </c>
      <c r="U2572" s="2">
        <v>5.0599999999999996</v>
      </c>
      <c r="V2572" s="2">
        <v>27.06</v>
      </c>
      <c r="W2572" s="2">
        <f>15.0203*S2572</f>
        <v>15.020300000000001</v>
      </c>
      <c r="X2572" s="5">
        <f t="shared" si="360"/>
        <v>0.31725909090909088</v>
      </c>
      <c r="Z2572" s="2" t="s">
        <v>3227</v>
      </c>
      <c r="AA2572" s="2" t="s">
        <v>46</v>
      </c>
      <c r="AB2572" s="2" t="s">
        <v>67</v>
      </c>
      <c r="AC2572" s="2" t="s">
        <v>57</v>
      </c>
      <c r="AF2572" s="2">
        <f t="shared" si="361"/>
        <v>0</v>
      </c>
      <c r="AG2572" s="2">
        <v>15.020300000000001</v>
      </c>
      <c r="AH2572" s="2">
        <v>27.6</v>
      </c>
      <c r="AJ2572" s="2">
        <f t="shared" si="362"/>
        <v>0</v>
      </c>
      <c r="AK2572" s="2">
        <f t="shared" si="357"/>
        <v>6.9796999999999993</v>
      </c>
      <c r="AL2572" s="5">
        <f t="shared" si="358"/>
        <v>0.31725909090909088</v>
      </c>
    </row>
    <row r="2573" spans="1:38" x14ac:dyDescent="0.2">
      <c r="A2573" s="2">
        <v>2025</v>
      </c>
      <c r="B2573" s="2">
        <v>9</v>
      </c>
      <c r="D2573" s="2" t="s">
        <v>37</v>
      </c>
      <c r="E2573" s="2" t="s">
        <v>38</v>
      </c>
      <c r="F2573" s="2" t="s">
        <v>39</v>
      </c>
      <c r="H2573" s="2" t="s">
        <v>40</v>
      </c>
      <c r="I2573" s="2" t="s">
        <v>2199</v>
      </c>
      <c r="L2573" s="2" t="s">
        <v>99</v>
      </c>
      <c r="M2573" s="2" t="s">
        <v>80</v>
      </c>
      <c r="O2573" s="2" t="s">
        <v>2200</v>
      </c>
      <c r="P2573" s="2" t="s">
        <v>72</v>
      </c>
      <c r="Q2573" s="2" t="s">
        <v>330</v>
      </c>
      <c r="R2573" s="2" t="s">
        <v>331</v>
      </c>
      <c r="S2573" s="2">
        <v>1</v>
      </c>
      <c r="T2573" s="2">
        <v>210.24</v>
      </c>
      <c r="U2573" s="2">
        <v>48.355200000000004</v>
      </c>
      <c r="V2573" s="2">
        <v>258.59519999999998</v>
      </c>
      <c r="W2573" s="2">
        <v>111.11</v>
      </c>
      <c r="X2573" s="5">
        <f t="shared" si="360"/>
        <v>0.47150875190258756</v>
      </c>
      <c r="Z2573" s="2" t="s">
        <v>3227</v>
      </c>
      <c r="AA2573" s="2" t="s">
        <v>75</v>
      </c>
      <c r="AB2573" s="2" t="s">
        <v>76</v>
      </c>
      <c r="AC2573" s="2" t="s">
        <v>77</v>
      </c>
      <c r="AF2573" s="2">
        <f t="shared" si="361"/>
        <v>0</v>
      </c>
      <c r="AG2573" s="2">
        <v>101.30500000000001</v>
      </c>
      <c r="AH2573" s="2">
        <v>190</v>
      </c>
      <c r="AJ2573" s="2">
        <f t="shared" si="362"/>
        <v>0</v>
      </c>
      <c r="AK2573" s="2">
        <f t="shared" si="357"/>
        <v>99.13000000000001</v>
      </c>
      <c r="AL2573" s="5">
        <f t="shared" si="358"/>
        <v>0.47150875190258756</v>
      </c>
    </row>
    <row r="2574" spans="1:38" x14ac:dyDescent="0.2">
      <c r="A2574" s="2">
        <v>2025</v>
      </c>
      <c r="B2574" s="2">
        <v>9</v>
      </c>
      <c r="D2574" s="2" t="s">
        <v>37</v>
      </c>
      <c r="E2574" s="2" t="s">
        <v>38</v>
      </c>
      <c r="F2574" s="2" t="s">
        <v>39</v>
      </c>
      <c r="H2574" s="2" t="s">
        <v>40</v>
      </c>
      <c r="P2574" s="2" t="s">
        <v>72</v>
      </c>
      <c r="Q2574" s="2" t="s">
        <v>556</v>
      </c>
      <c r="R2574" s="2" t="s">
        <v>381</v>
      </c>
      <c r="S2574" s="2">
        <v>1</v>
      </c>
      <c r="T2574" s="2">
        <v>226.5</v>
      </c>
      <c r="U2574" s="2">
        <v>52.094999999999999</v>
      </c>
      <c r="V2574" s="2">
        <v>278.59500000000003</v>
      </c>
      <c r="W2574" s="2">
        <v>143.91999999999999</v>
      </c>
      <c r="X2574" s="5">
        <f t="shared" si="360"/>
        <v>0.36459161147902874</v>
      </c>
      <c r="Z2574" s="2" t="s">
        <v>3227</v>
      </c>
      <c r="AA2574" s="2" t="s">
        <v>75</v>
      </c>
      <c r="AB2574" s="2" t="s">
        <v>76</v>
      </c>
      <c r="AC2574" s="2" t="s">
        <v>77</v>
      </c>
      <c r="AF2574" s="2">
        <f t="shared" si="361"/>
        <v>0</v>
      </c>
      <c r="AJ2574" s="2">
        <f t="shared" si="362"/>
        <v>0</v>
      </c>
      <c r="AK2574" s="2">
        <f t="shared" si="357"/>
        <v>82.580000000000013</v>
      </c>
      <c r="AL2574" s="5">
        <f t="shared" si="358"/>
        <v>0.36459161147902874</v>
      </c>
    </row>
    <row r="2575" spans="1:38" x14ac:dyDescent="0.2">
      <c r="A2575" s="2">
        <v>2025</v>
      </c>
      <c r="B2575" s="2">
        <v>9</v>
      </c>
      <c r="D2575" s="2" t="s">
        <v>37</v>
      </c>
      <c r="E2575" s="2" t="s">
        <v>38</v>
      </c>
      <c r="F2575" s="2" t="s">
        <v>39</v>
      </c>
      <c r="H2575" s="2" t="s">
        <v>40</v>
      </c>
      <c r="P2575" s="2" t="s">
        <v>93</v>
      </c>
      <c r="Q2575" s="2" t="s">
        <v>94</v>
      </c>
      <c r="R2575" s="2" t="s">
        <v>95</v>
      </c>
      <c r="S2575" s="2">
        <v>2</v>
      </c>
      <c r="T2575" s="2">
        <v>2.2799999999999998</v>
      </c>
      <c r="U2575" s="2">
        <v>0.52439999999999998</v>
      </c>
      <c r="V2575" s="2">
        <v>2.8043999999999998</v>
      </c>
      <c r="W2575" s="2">
        <v>2.2799999999999998</v>
      </c>
      <c r="X2575" s="5">
        <f t="shared" si="360"/>
        <v>0</v>
      </c>
      <c r="Z2575" s="2" t="s">
        <v>3227</v>
      </c>
      <c r="AA2575" s="2" t="s">
        <v>96</v>
      </c>
      <c r="AB2575" s="2" t="s">
        <v>76</v>
      </c>
      <c r="AC2575" s="2" t="s">
        <v>93</v>
      </c>
      <c r="AF2575" s="2">
        <f t="shared" si="361"/>
        <v>0</v>
      </c>
      <c r="AJ2575" s="2">
        <f t="shared" si="362"/>
        <v>0</v>
      </c>
      <c r="AK2575" s="2">
        <f t="shared" si="357"/>
        <v>0</v>
      </c>
      <c r="AL2575" s="5">
        <f t="shared" si="358"/>
        <v>0</v>
      </c>
    </row>
    <row r="2576" spans="1:38" x14ac:dyDescent="0.2">
      <c r="A2576" s="2">
        <v>2025</v>
      </c>
      <c r="B2576" s="2">
        <v>9</v>
      </c>
      <c r="D2576" s="2" t="s">
        <v>1858</v>
      </c>
      <c r="E2576" s="2" t="s">
        <v>108</v>
      </c>
      <c r="G2576" s="2">
        <v>515549134</v>
      </c>
      <c r="H2576" s="2" t="s">
        <v>41</v>
      </c>
      <c r="I2576" s="2" t="s">
        <v>1859</v>
      </c>
      <c r="J2576" s="2" t="s">
        <v>1860</v>
      </c>
      <c r="L2576" s="2" t="s">
        <v>177</v>
      </c>
      <c r="M2576" s="2" t="s">
        <v>41</v>
      </c>
      <c r="O2576" s="2" t="s">
        <v>2201</v>
      </c>
      <c r="P2576" s="2" t="s">
        <v>43</v>
      </c>
      <c r="Q2576" s="2" t="s">
        <v>214</v>
      </c>
      <c r="R2576" s="2" t="s">
        <v>215</v>
      </c>
      <c r="S2576" s="2">
        <v>1</v>
      </c>
      <c r="T2576" s="2">
        <v>13.8</v>
      </c>
      <c r="U2576" s="2">
        <v>3.1739999999999999</v>
      </c>
      <c r="V2576" s="2">
        <v>16.974</v>
      </c>
      <c r="W2576" s="2">
        <f>7.915*S2576</f>
        <v>7.915</v>
      </c>
      <c r="X2576" s="5">
        <f t="shared" si="360"/>
        <v>0.42644927536231886</v>
      </c>
      <c r="Z2576" s="2" t="s">
        <v>3227</v>
      </c>
      <c r="AA2576" s="2" t="s">
        <v>46</v>
      </c>
      <c r="AB2576" s="2" t="s">
        <v>56</v>
      </c>
      <c r="AC2576" s="2" t="s">
        <v>57</v>
      </c>
      <c r="AF2576" s="2">
        <f t="shared" si="361"/>
        <v>0</v>
      </c>
      <c r="AG2576" s="2">
        <v>7.915</v>
      </c>
      <c r="AJ2576" s="2">
        <f t="shared" si="362"/>
        <v>0</v>
      </c>
      <c r="AK2576" s="2">
        <f t="shared" si="357"/>
        <v>5.8850000000000007</v>
      </c>
      <c r="AL2576" s="5">
        <f t="shared" si="358"/>
        <v>0.42644927536231886</v>
      </c>
    </row>
    <row r="2577" spans="1:38" x14ac:dyDescent="0.2">
      <c r="A2577" s="2">
        <v>2025</v>
      </c>
      <c r="B2577" s="2">
        <v>9</v>
      </c>
      <c r="D2577" s="2" t="s">
        <v>1858</v>
      </c>
      <c r="E2577" s="2" t="s">
        <v>108</v>
      </c>
      <c r="G2577" s="2">
        <v>515549134</v>
      </c>
      <c r="H2577" s="2" t="s">
        <v>41</v>
      </c>
      <c r="I2577" s="2" t="s">
        <v>1859</v>
      </c>
      <c r="J2577" s="2" t="s">
        <v>1860</v>
      </c>
      <c r="L2577" s="2" t="s">
        <v>177</v>
      </c>
      <c r="M2577" s="2" t="s">
        <v>41</v>
      </c>
      <c r="O2577" s="2" t="s">
        <v>2201</v>
      </c>
      <c r="P2577" s="2" t="s">
        <v>43</v>
      </c>
      <c r="Q2577" s="2" t="s">
        <v>216</v>
      </c>
      <c r="R2577" s="2" t="s">
        <v>217</v>
      </c>
      <c r="S2577" s="2">
        <v>1</v>
      </c>
      <c r="T2577" s="2">
        <v>17.399999999999999</v>
      </c>
      <c r="U2577" s="2">
        <v>4.0019999999999998</v>
      </c>
      <c r="V2577" s="2">
        <v>21.402000000000001</v>
      </c>
      <c r="W2577" s="2">
        <v>10.035</v>
      </c>
      <c r="X2577" s="5">
        <f t="shared" si="360"/>
        <v>0.42327586206896545</v>
      </c>
      <c r="Z2577" s="2" t="s">
        <v>3227</v>
      </c>
      <c r="AA2577" s="2" t="s">
        <v>46</v>
      </c>
      <c r="AB2577" s="2" t="s">
        <v>56</v>
      </c>
      <c r="AC2577" s="2" t="s">
        <v>57</v>
      </c>
      <c r="AF2577" s="2">
        <f t="shared" si="361"/>
        <v>0</v>
      </c>
      <c r="AG2577" s="2">
        <v>10.035</v>
      </c>
      <c r="AJ2577" s="2">
        <f t="shared" si="362"/>
        <v>0</v>
      </c>
      <c r="AK2577" s="2">
        <f t="shared" si="357"/>
        <v>7.3649999999999984</v>
      </c>
      <c r="AL2577" s="5">
        <f t="shared" si="358"/>
        <v>0.42327586206896545</v>
      </c>
    </row>
    <row r="2578" spans="1:38" x14ac:dyDescent="0.2">
      <c r="A2578" s="2">
        <v>2025</v>
      </c>
      <c r="B2578" s="2">
        <v>9</v>
      </c>
      <c r="D2578" s="2" t="s">
        <v>1858</v>
      </c>
      <c r="E2578" s="2" t="s">
        <v>108</v>
      </c>
      <c r="G2578" s="2">
        <v>515549134</v>
      </c>
      <c r="H2578" s="2" t="s">
        <v>41</v>
      </c>
      <c r="I2578" s="2" t="s">
        <v>1859</v>
      </c>
      <c r="J2578" s="2" t="s">
        <v>1860</v>
      </c>
      <c r="L2578" s="2" t="s">
        <v>177</v>
      </c>
      <c r="M2578" s="2" t="s">
        <v>41</v>
      </c>
      <c r="O2578" s="2" t="s">
        <v>2201</v>
      </c>
      <c r="P2578" s="2" t="s">
        <v>43</v>
      </c>
      <c r="Q2578" s="2" t="s">
        <v>218</v>
      </c>
      <c r="R2578" s="2" t="s">
        <v>219</v>
      </c>
      <c r="S2578" s="2">
        <v>1</v>
      </c>
      <c r="T2578" s="2">
        <v>21</v>
      </c>
      <c r="U2578" s="2">
        <v>4.83</v>
      </c>
      <c r="V2578" s="2">
        <v>25.83</v>
      </c>
      <c r="W2578" s="2">
        <v>12.4434</v>
      </c>
      <c r="X2578" s="5">
        <f t="shared" si="360"/>
        <v>0.40745714285714285</v>
      </c>
      <c r="Z2578" s="2" t="s">
        <v>3227</v>
      </c>
      <c r="AA2578" s="2" t="s">
        <v>46</v>
      </c>
      <c r="AB2578" s="2" t="s">
        <v>56</v>
      </c>
      <c r="AC2578" s="2" t="s">
        <v>57</v>
      </c>
      <c r="AF2578" s="2">
        <f t="shared" si="361"/>
        <v>0</v>
      </c>
      <c r="AG2578" s="2">
        <v>12.4434</v>
      </c>
      <c r="AJ2578" s="2">
        <f t="shared" si="362"/>
        <v>0</v>
      </c>
      <c r="AK2578" s="2">
        <f t="shared" si="357"/>
        <v>8.5565999999999995</v>
      </c>
      <c r="AL2578" s="5">
        <f t="shared" si="358"/>
        <v>0.40745714285714285</v>
      </c>
    </row>
    <row r="2579" spans="1:38" x14ac:dyDescent="0.2">
      <c r="A2579" s="2">
        <v>2025</v>
      </c>
      <c r="B2579" s="2">
        <v>9</v>
      </c>
      <c r="D2579" s="2" t="s">
        <v>1858</v>
      </c>
      <c r="E2579" s="2" t="s">
        <v>108</v>
      </c>
      <c r="G2579" s="2">
        <v>515549134</v>
      </c>
      <c r="H2579" s="2" t="s">
        <v>41</v>
      </c>
      <c r="I2579" s="2" t="s">
        <v>1859</v>
      </c>
      <c r="J2579" s="2" t="s">
        <v>1860</v>
      </c>
      <c r="L2579" s="2" t="s">
        <v>177</v>
      </c>
      <c r="M2579" s="2" t="s">
        <v>41</v>
      </c>
      <c r="O2579" s="2" t="s">
        <v>2202</v>
      </c>
      <c r="P2579" s="2" t="s">
        <v>43</v>
      </c>
      <c r="Q2579" s="2" t="s">
        <v>238</v>
      </c>
      <c r="R2579" s="2" t="s">
        <v>239</v>
      </c>
      <c r="S2579" s="2">
        <v>1</v>
      </c>
      <c r="T2579" s="2">
        <v>19.8</v>
      </c>
      <c r="U2579" s="2">
        <v>4.5540000000000003</v>
      </c>
      <c r="V2579" s="2">
        <v>24.353999999999999</v>
      </c>
      <c r="W2579" s="2">
        <f>11.045*S2579</f>
        <v>11.045</v>
      </c>
      <c r="X2579" s="5">
        <f t="shared" si="360"/>
        <v>0.44217171717171722</v>
      </c>
      <c r="Z2579" s="2" t="s">
        <v>3227</v>
      </c>
      <c r="AA2579" s="2" t="s">
        <v>46</v>
      </c>
      <c r="AB2579" s="2" t="s">
        <v>56</v>
      </c>
      <c r="AC2579" s="2" t="s">
        <v>57</v>
      </c>
      <c r="AF2579" s="2">
        <f t="shared" si="361"/>
        <v>0</v>
      </c>
      <c r="AG2579" s="2">
        <v>11.087999999999999</v>
      </c>
      <c r="AJ2579" s="2">
        <f t="shared" si="362"/>
        <v>0</v>
      </c>
      <c r="AK2579" s="2">
        <f t="shared" si="357"/>
        <v>8.7550000000000008</v>
      </c>
      <c r="AL2579" s="5">
        <f t="shared" si="358"/>
        <v>0.44217171717171722</v>
      </c>
    </row>
    <row r="2580" spans="1:38" x14ac:dyDescent="0.2">
      <c r="A2580" s="2">
        <v>2025</v>
      </c>
      <c r="B2580" s="2">
        <v>9</v>
      </c>
      <c r="D2580" s="2" t="s">
        <v>107</v>
      </c>
      <c r="E2580" s="2" t="s">
        <v>108</v>
      </c>
      <c r="F2580" s="2" t="s">
        <v>39</v>
      </c>
      <c r="G2580" s="2">
        <v>507499760</v>
      </c>
      <c r="H2580" s="2" t="s">
        <v>109</v>
      </c>
      <c r="I2580" s="2" t="s">
        <v>110</v>
      </c>
      <c r="J2580" s="2" t="s">
        <v>111</v>
      </c>
      <c r="K2580" s="2">
        <v>962002636</v>
      </c>
      <c r="L2580" s="2" t="s">
        <v>112</v>
      </c>
      <c r="M2580" s="2" t="s">
        <v>40</v>
      </c>
      <c r="O2580" s="2" t="s">
        <v>2203</v>
      </c>
      <c r="P2580" s="2" t="s">
        <v>40</v>
      </c>
      <c r="Q2580" s="2" t="s">
        <v>363</v>
      </c>
      <c r="R2580" s="2" t="s">
        <v>364</v>
      </c>
      <c r="S2580" s="2">
        <v>1</v>
      </c>
      <c r="T2580" s="2">
        <v>3500</v>
      </c>
      <c r="U2580" s="2">
        <v>805</v>
      </c>
      <c r="V2580" s="2">
        <v>4305</v>
      </c>
      <c r="W2580" s="2">
        <f>T2580*75%</f>
        <v>2625</v>
      </c>
      <c r="X2580" s="5">
        <f t="shared" si="360"/>
        <v>0.25</v>
      </c>
      <c r="Z2580" s="2" t="s">
        <v>104</v>
      </c>
      <c r="AA2580" s="2" t="s">
        <v>414</v>
      </c>
      <c r="AB2580" s="2" t="s">
        <v>475</v>
      </c>
      <c r="AC2580" s="2" t="s">
        <v>114</v>
      </c>
      <c r="AF2580" s="2">
        <f t="shared" si="361"/>
        <v>0</v>
      </c>
      <c r="AJ2580" s="2">
        <f t="shared" si="362"/>
        <v>0</v>
      </c>
      <c r="AK2580" s="2">
        <f t="shared" ref="AK2580:AK2643" si="363">T2580-W2580</f>
        <v>875</v>
      </c>
      <c r="AL2580" s="5">
        <f t="shared" si="358"/>
        <v>0.25</v>
      </c>
    </row>
    <row r="2581" spans="1:38" x14ac:dyDescent="0.2">
      <c r="A2581" s="2">
        <v>2025</v>
      </c>
      <c r="B2581" s="2">
        <v>9</v>
      </c>
      <c r="D2581" s="2" t="s">
        <v>1140</v>
      </c>
      <c r="E2581" s="2" t="s">
        <v>108</v>
      </c>
      <c r="F2581" s="2" t="s">
        <v>477</v>
      </c>
      <c r="G2581" s="2">
        <v>504576658</v>
      </c>
      <c r="H2581" s="2" t="s">
        <v>41</v>
      </c>
      <c r="I2581" s="2" t="s">
        <v>1141</v>
      </c>
      <c r="J2581" s="2" t="s">
        <v>1142</v>
      </c>
      <c r="L2581" s="2" t="s">
        <v>99</v>
      </c>
      <c r="M2581" s="2" t="s">
        <v>41</v>
      </c>
      <c r="O2581" s="2" t="s">
        <v>2204</v>
      </c>
      <c r="P2581" s="2" t="s">
        <v>43</v>
      </c>
      <c r="Q2581" s="2" t="s">
        <v>61</v>
      </c>
      <c r="R2581" s="2" t="s">
        <v>62</v>
      </c>
      <c r="S2581" s="2">
        <v>1000</v>
      </c>
      <c r="T2581" s="2">
        <v>105</v>
      </c>
      <c r="U2581" s="2">
        <v>24.15</v>
      </c>
      <c r="V2581" s="2">
        <v>129.15</v>
      </c>
      <c r="W2581" s="2">
        <f>0.082*S2581</f>
        <v>82</v>
      </c>
      <c r="X2581" s="5">
        <f t="shared" si="360"/>
        <v>0.21904761904761905</v>
      </c>
      <c r="Z2581" s="2" t="s">
        <v>3227</v>
      </c>
      <c r="AA2581" s="2" t="s">
        <v>46</v>
      </c>
      <c r="AB2581" s="2" t="s">
        <v>60</v>
      </c>
      <c r="AC2581" s="2" t="s">
        <v>57</v>
      </c>
      <c r="AF2581" s="2">
        <f t="shared" si="361"/>
        <v>0</v>
      </c>
      <c r="AG2581" s="2">
        <v>8.1999999999999993</v>
      </c>
      <c r="AH2581" s="2">
        <v>13</v>
      </c>
      <c r="AJ2581" s="2">
        <f t="shared" si="362"/>
        <v>0</v>
      </c>
      <c r="AK2581" s="2">
        <f t="shared" si="363"/>
        <v>23</v>
      </c>
      <c r="AL2581" s="5">
        <f t="shared" si="358"/>
        <v>0.21904761904761905</v>
      </c>
    </row>
    <row r="2582" spans="1:38" x14ac:dyDescent="0.2">
      <c r="A2582" s="2">
        <v>2025</v>
      </c>
      <c r="B2582" s="2">
        <v>9</v>
      </c>
      <c r="D2582" s="2" t="s">
        <v>1140</v>
      </c>
      <c r="E2582" s="2" t="s">
        <v>108</v>
      </c>
      <c r="F2582" s="2" t="s">
        <v>477</v>
      </c>
      <c r="G2582" s="2">
        <v>504576658</v>
      </c>
      <c r="H2582" s="2" t="s">
        <v>41</v>
      </c>
      <c r="I2582" s="2" t="s">
        <v>1141</v>
      </c>
      <c r="J2582" s="2" t="s">
        <v>1142</v>
      </c>
      <c r="L2582" s="2" t="s">
        <v>99</v>
      </c>
      <c r="M2582" s="2" t="s">
        <v>41</v>
      </c>
      <c r="O2582" s="2" t="s">
        <v>2204</v>
      </c>
      <c r="P2582" s="2" t="s">
        <v>169</v>
      </c>
      <c r="Q2582" s="2" t="s">
        <v>170</v>
      </c>
      <c r="R2582" s="2" t="s">
        <v>170</v>
      </c>
      <c r="S2582" s="2">
        <v>1</v>
      </c>
      <c r="T2582" s="2">
        <v>8</v>
      </c>
      <c r="U2582" s="2">
        <v>1.84</v>
      </c>
      <c r="V2582" s="2">
        <v>9.84</v>
      </c>
      <c r="W2582" s="2">
        <v>6</v>
      </c>
      <c r="X2582" s="5">
        <f t="shared" si="360"/>
        <v>0.25</v>
      </c>
      <c r="Z2582" s="2" t="s">
        <v>169</v>
      </c>
      <c r="AA2582" s="2" t="s">
        <v>169</v>
      </c>
      <c r="AF2582" s="2">
        <f t="shared" si="361"/>
        <v>0</v>
      </c>
      <c r="AJ2582" s="2">
        <f t="shared" si="362"/>
        <v>0</v>
      </c>
      <c r="AK2582" s="2">
        <f t="shared" si="363"/>
        <v>2</v>
      </c>
      <c r="AL2582" s="5">
        <f t="shared" si="358"/>
        <v>0.25</v>
      </c>
    </row>
    <row r="2583" spans="1:38" x14ac:dyDescent="0.2">
      <c r="A2583" s="2">
        <v>2025</v>
      </c>
      <c r="B2583" s="2">
        <v>9</v>
      </c>
      <c r="D2583" s="2" t="s">
        <v>2205</v>
      </c>
      <c r="M2583" s="2" t="s">
        <v>40</v>
      </c>
      <c r="P2583" s="2" t="s">
        <v>187</v>
      </c>
      <c r="Q2583" s="2" t="s">
        <v>188</v>
      </c>
      <c r="R2583" s="2" t="s">
        <v>189</v>
      </c>
      <c r="S2583" s="2">
        <v>1</v>
      </c>
      <c r="T2583" s="2">
        <v>37.5</v>
      </c>
      <c r="U2583" s="2">
        <v>8.625</v>
      </c>
      <c r="V2583" s="2">
        <v>46.125</v>
      </c>
      <c r="W2583" s="2">
        <f>T2583*40%</f>
        <v>15</v>
      </c>
      <c r="X2583" s="5">
        <f t="shared" ref="X2583:X2614" si="364">(T2583-W2583)/T2583</f>
        <v>0.6</v>
      </c>
      <c r="Z2583" s="2" t="s">
        <v>117</v>
      </c>
      <c r="AA2583" s="2" t="s">
        <v>190</v>
      </c>
      <c r="AB2583" s="2" t="s">
        <v>189</v>
      </c>
      <c r="AC2583" s="2" t="s">
        <v>40</v>
      </c>
      <c r="AF2583" s="2">
        <f t="shared" si="361"/>
        <v>0</v>
      </c>
      <c r="AJ2583" s="2">
        <f t="shared" si="362"/>
        <v>0</v>
      </c>
      <c r="AK2583" s="2">
        <f t="shared" si="363"/>
        <v>22.5</v>
      </c>
      <c r="AL2583" s="5">
        <f t="shared" si="358"/>
        <v>0.6</v>
      </c>
    </row>
    <row r="2584" spans="1:38" x14ac:dyDescent="0.2">
      <c r="A2584" s="2">
        <v>2025</v>
      </c>
      <c r="B2584" s="2">
        <v>9</v>
      </c>
      <c r="D2584" s="2" t="s">
        <v>2205</v>
      </c>
      <c r="M2584" s="2" t="s">
        <v>40</v>
      </c>
      <c r="P2584" s="2" t="s">
        <v>187</v>
      </c>
      <c r="Q2584" s="2" t="s">
        <v>191</v>
      </c>
      <c r="R2584" s="2" t="s">
        <v>190</v>
      </c>
      <c r="S2584" s="2">
        <v>2</v>
      </c>
      <c r="T2584" s="2">
        <v>90</v>
      </c>
      <c r="U2584" s="2">
        <v>20.7</v>
      </c>
      <c r="V2584" s="2">
        <v>110.7</v>
      </c>
      <c r="W2584" s="2">
        <f>T2584*50%</f>
        <v>45</v>
      </c>
      <c r="X2584" s="5">
        <f t="shared" si="364"/>
        <v>0.5</v>
      </c>
      <c r="Z2584" s="2" t="s">
        <v>117</v>
      </c>
      <c r="AA2584" s="2" t="s">
        <v>190</v>
      </c>
      <c r="AB2584" s="2" t="s">
        <v>190</v>
      </c>
      <c r="AC2584" s="2" t="s">
        <v>40</v>
      </c>
      <c r="AF2584" s="2">
        <f t="shared" si="361"/>
        <v>0</v>
      </c>
      <c r="AJ2584" s="2">
        <f t="shared" si="362"/>
        <v>0</v>
      </c>
      <c r="AK2584" s="2">
        <f t="shared" si="363"/>
        <v>45</v>
      </c>
      <c r="AL2584" s="5">
        <f t="shared" si="358"/>
        <v>0.5</v>
      </c>
    </row>
    <row r="2585" spans="1:38" x14ac:dyDescent="0.2">
      <c r="A2585" s="2">
        <v>2025</v>
      </c>
      <c r="B2585" s="2">
        <v>9</v>
      </c>
      <c r="D2585" s="2" t="s">
        <v>2205</v>
      </c>
      <c r="P2585" s="2" t="s">
        <v>40</v>
      </c>
      <c r="Q2585" s="2" t="s">
        <v>363</v>
      </c>
      <c r="R2585" s="2" t="s">
        <v>364</v>
      </c>
      <c r="S2585" s="2">
        <v>1</v>
      </c>
      <c r="T2585" s="2">
        <v>255</v>
      </c>
      <c r="U2585" s="2">
        <v>58.650000000000013</v>
      </c>
      <c r="V2585" s="2">
        <v>313.64999999999998</v>
      </c>
      <c r="X2585" s="5">
        <f t="shared" si="364"/>
        <v>1</v>
      </c>
      <c r="Z2585" s="2" t="s">
        <v>119</v>
      </c>
      <c r="AA2585" s="2" t="s">
        <v>3380</v>
      </c>
      <c r="AF2585" s="2">
        <f t="shared" si="361"/>
        <v>0</v>
      </c>
      <c r="AJ2585" s="2">
        <f t="shared" si="362"/>
        <v>0</v>
      </c>
      <c r="AK2585" s="2">
        <f t="shared" si="363"/>
        <v>255</v>
      </c>
      <c r="AL2585" s="5">
        <f t="shared" si="358"/>
        <v>1</v>
      </c>
    </row>
    <row r="2586" spans="1:38" x14ac:dyDescent="0.2">
      <c r="A2586" s="2">
        <v>2025</v>
      </c>
      <c r="B2586" s="2">
        <v>9</v>
      </c>
      <c r="D2586" s="2" t="s">
        <v>2206</v>
      </c>
      <c r="P2586" s="2" t="s">
        <v>72</v>
      </c>
      <c r="Q2586" s="2" t="s">
        <v>1075</v>
      </c>
      <c r="R2586" s="2" t="s">
        <v>83</v>
      </c>
      <c r="S2586" s="2">
        <v>1</v>
      </c>
      <c r="T2586" s="2">
        <v>270</v>
      </c>
      <c r="U2586" s="2">
        <v>62.1</v>
      </c>
      <c r="V2586" s="2">
        <v>332.1</v>
      </c>
      <c r="W2586" s="2">
        <v>159.54</v>
      </c>
      <c r="X2586" s="5">
        <f t="shared" si="364"/>
        <v>0.40911111111111115</v>
      </c>
      <c r="Z2586" s="2" t="s">
        <v>3227</v>
      </c>
      <c r="AA2586" s="2" t="s">
        <v>75</v>
      </c>
      <c r="AB2586" s="2" t="s">
        <v>76</v>
      </c>
      <c r="AC2586" s="2" t="s">
        <v>77</v>
      </c>
      <c r="AF2586" s="2">
        <f t="shared" si="361"/>
        <v>0</v>
      </c>
      <c r="AG2586" s="2">
        <f>144.14+15.4</f>
        <v>159.54</v>
      </c>
      <c r="AH2586" s="2">
        <v>280</v>
      </c>
      <c r="AJ2586" s="2">
        <f t="shared" si="362"/>
        <v>0</v>
      </c>
      <c r="AK2586" s="2">
        <f t="shared" si="363"/>
        <v>110.46000000000001</v>
      </c>
      <c r="AL2586" s="5">
        <f t="shared" si="358"/>
        <v>0.40911111111111115</v>
      </c>
    </row>
    <row r="2587" spans="1:38" x14ac:dyDescent="0.2">
      <c r="A2587" s="2">
        <v>2025</v>
      </c>
      <c r="B2587" s="2">
        <v>9</v>
      </c>
      <c r="D2587" s="2" t="s">
        <v>2206</v>
      </c>
      <c r="P2587" s="2" t="s">
        <v>93</v>
      </c>
      <c r="Q2587" s="2" t="s">
        <v>94</v>
      </c>
      <c r="R2587" s="2" t="s">
        <v>95</v>
      </c>
      <c r="S2587" s="2">
        <v>1</v>
      </c>
      <c r="T2587" s="2">
        <v>1.1399999999999999</v>
      </c>
      <c r="U2587" s="2">
        <v>0.26219999999999999</v>
      </c>
      <c r="V2587" s="2">
        <v>1.4021999999999999</v>
      </c>
      <c r="W2587" s="2">
        <v>1.1399999999999999</v>
      </c>
      <c r="X2587" s="5">
        <f t="shared" si="364"/>
        <v>0</v>
      </c>
      <c r="Z2587" s="2" t="s">
        <v>3227</v>
      </c>
      <c r="AA2587" s="2" t="s">
        <v>96</v>
      </c>
      <c r="AB2587" s="2" t="s">
        <v>76</v>
      </c>
      <c r="AC2587" s="2" t="s">
        <v>93</v>
      </c>
      <c r="AF2587" s="2">
        <f t="shared" si="361"/>
        <v>0</v>
      </c>
      <c r="AJ2587" s="2">
        <f t="shared" si="362"/>
        <v>0</v>
      </c>
      <c r="AK2587" s="2">
        <f t="shared" si="363"/>
        <v>0</v>
      </c>
      <c r="AL2587" s="5">
        <f t="shared" si="358"/>
        <v>0</v>
      </c>
    </row>
    <row r="2588" spans="1:38" x14ac:dyDescent="0.2">
      <c r="A2588" s="2">
        <v>2025</v>
      </c>
      <c r="B2588" s="2">
        <v>9</v>
      </c>
      <c r="D2588" s="2" t="s">
        <v>939</v>
      </c>
      <c r="P2588" s="2" t="s">
        <v>114</v>
      </c>
      <c r="Q2588" s="2" t="s">
        <v>561</v>
      </c>
      <c r="R2588" s="2" t="s">
        <v>562</v>
      </c>
      <c r="S2588" s="2">
        <v>2</v>
      </c>
      <c r="T2588" s="2">
        <v>28.57</v>
      </c>
      <c r="U2588" s="2">
        <v>6.5711000000000004</v>
      </c>
      <c r="V2588" s="2">
        <v>35.141100000000002</v>
      </c>
      <c r="X2588" s="5">
        <f t="shared" si="364"/>
        <v>1</v>
      </c>
      <c r="Z2588" s="2" t="s">
        <v>117</v>
      </c>
      <c r="AF2588" s="2">
        <f t="shared" si="361"/>
        <v>0</v>
      </c>
      <c r="AJ2588" s="2">
        <f t="shared" si="362"/>
        <v>0</v>
      </c>
      <c r="AK2588" s="2">
        <f t="shared" si="363"/>
        <v>28.57</v>
      </c>
      <c r="AL2588" s="5">
        <f t="shared" si="358"/>
        <v>1</v>
      </c>
    </row>
    <row r="2589" spans="1:38" x14ac:dyDescent="0.2">
      <c r="A2589" s="2">
        <v>2025</v>
      </c>
      <c r="B2589" s="2">
        <v>9</v>
      </c>
      <c r="D2589" s="2" t="s">
        <v>174</v>
      </c>
      <c r="E2589" s="2" t="s">
        <v>38</v>
      </c>
      <c r="G2589" s="2">
        <v>507685261</v>
      </c>
      <c r="H2589" s="2" t="s">
        <v>41</v>
      </c>
      <c r="I2589" s="2" t="s">
        <v>175</v>
      </c>
      <c r="J2589" s="2" t="s">
        <v>176</v>
      </c>
      <c r="K2589" s="2">
        <v>932748418</v>
      </c>
      <c r="L2589" s="2" t="s">
        <v>177</v>
      </c>
      <c r="M2589" s="2" t="s">
        <v>40</v>
      </c>
      <c r="O2589" s="2" t="s">
        <v>2207</v>
      </c>
      <c r="P2589" s="2" t="s">
        <v>187</v>
      </c>
      <c r="Q2589" s="2" t="s">
        <v>188</v>
      </c>
      <c r="R2589" s="2" t="s">
        <v>189</v>
      </c>
      <c r="S2589" s="2">
        <v>1</v>
      </c>
      <c r="T2589" s="2">
        <v>60</v>
      </c>
      <c r="U2589" s="2">
        <v>13.8</v>
      </c>
      <c r="V2589" s="2">
        <v>73.8</v>
      </c>
      <c r="W2589" s="2">
        <f>T2589*40%</f>
        <v>24</v>
      </c>
      <c r="X2589" s="5">
        <f t="shared" si="364"/>
        <v>0.6</v>
      </c>
      <c r="Z2589" s="2" t="s">
        <v>117</v>
      </c>
      <c r="AA2589" s="2" t="s">
        <v>190</v>
      </c>
      <c r="AB2589" s="2" t="s">
        <v>189</v>
      </c>
      <c r="AC2589" s="2" t="s">
        <v>40</v>
      </c>
      <c r="AF2589" s="2">
        <f t="shared" si="361"/>
        <v>0</v>
      </c>
      <c r="AJ2589" s="2">
        <f t="shared" si="362"/>
        <v>0</v>
      </c>
      <c r="AK2589" s="2">
        <f t="shared" si="363"/>
        <v>36</v>
      </c>
      <c r="AL2589" s="5">
        <f t="shared" ref="AL2589:AL2652" si="365">(T2589-W2589)/T2589</f>
        <v>0.6</v>
      </c>
    </row>
    <row r="2590" spans="1:38" x14ac:dyDescent="0.2">
      <c r="A2590" s="2">
        <v>2025</v>
      </c>
      <c r="B2590" s="2">
        <v>9</v>
      </c>
      <c r="D2590" s="2" t="s">
        <v>174</v>
      </c>
      <c r="E2590" s="2" t="s">
        <v>38</v>
      </c>
      <c r="G2590" s="2">
        <v>507685261</v>
      </c>
      <c r="H2590" s="2" t="s">
        <v>41</v>
      </c>
      <c r="I2590" s="2" t="s">
        <v>175</v>
      </c>
      <c r="J2590" s="2" t="s">
        <v>176</v>
      </c>
      <c r="K2590" s="2">
        <v>932748418</v>
      </c>
      <c r="L2590" s="2" t="s">
        <v>177</v>
      </c>
      <c r="M2590" s="2" t="s">
        <v>40</v>
      </c>
      <c r="O2590" s="2" t="s">
        <v>2207</v>
      </c>
      <c r="P2590" s="2" t="s">
        <v>187</v>
      </c>
      <c r="Q2590" s="2" t="s">
        <v>191</v>
      </c>
      <c r="R2590" s="2" t="s">
        <v>190</v>
      </c>
      <c r="S2590" s="2">
        <v>1</v>
      </c>
      <c r="T2590" s="2">
        <v>50</v>
      </c>
      <c r="U2590" s="2">
        <v>11.5</v>
      </c>
      <c r="V2590" s="2">
        <v>61.5</v>
      </c>
      <c r="W2590" s="2">
        <f>T2590*50%</f>
        <v>25</v>
      </c>
      <c r="X2590" s="5">
        <f t="shared" si="364"/>
        <v>0.5</v>
      </c>
      <c r="Z2590" s="2" t="s">
        <v>117</v>
      </c>
      <c r="AA2590" s="2" t="s">
        <v>190</v>
      </c>
      <c r="AB2590" s="2" t="s">
        <v>190</v>
      </c>
      <c r="AC2590" s="2" t="s">
        <v>40</v>
      </c>
      <c r="AF2590" s="2">
        <f t="shared" si="361"/>
        <v>0</v>
      </c>
      <c r="AJ2590" s="2">
        <f t="shared" si="362"/>
        <v>0</v>
      </c>
      <c r="AK2590" s="2">
        <f t="shared" si="363"/>
        <v>25</v>
      </c>
      <c r="AL2590" s="5">
        <f t="shared" si="365"/>
        <v>0.5</v>
      </c>
    </row>
    <row r="2591" spans="1:38" x14ac:dyDescent="0.2">
      <c r="A2591" s="2">
        <v>2025</v>
      </c>
      <c r="B2591" s="2">
        <v>9</v>
      </c>
      <c r="D2591" s="2" t="s">
        <v>174</v>
      </c>
      <c r="E2591" s="2" t="s">
        <v>38</v>
      </c>
      <c r="G2591" s="2">
        <v>507685261</v>
      </c>
      <c r="H2591" s="2" t="s">
        <v>41</v>
      </c>
      <c r="I2591" s="2" t="s">
        <v>175</v>
      </c>
      <c r="J2591" s="2" t="s">
        <v>176</v>
      </c>
      <c r="K2591" s="2">
        <v>932748418</v>
      </c>
      <c r="L2591" s="2" t="s">
        <v>177</v>
      </c>
      <c r="M2591" s="2" t="s">
        <v>41</v>
      </c>
      <c r="O2591" s="2" t="s">
        <v>2207</v>
      </c>
      <c r="P2591" s="2" t="s">
        <v>40</v>
      </c>
      <c r="Q2591" s="2" t="s">
        <v>363</v>
      </c>
      <c r="R2591" s="2" t="s">
        <v>364</v>
      </c>
      <c r="S2591" s="2">
        <v>1</v>
      </c>
      <c r="T2591" s="2">
        <v>99.75</v>
      </c>
      <c r="U2591" s="2">
        <v>22.942499999999999</v>
      </c>
      <c r="V2591" s="2">
        <v>122.6925</v>
      </c>
      <c r="X2591" s="5">
        <f t="shared" si="364"/>
        <v>1</v>
      </c>
      <c r="Z2591" s="2" t="s">
        <v>119</v>
      </c>
      <c r="AA2591" s="2" t="s">
        <v>3380</v>
      </c>
      <c r="AF2591" s="2">
        <f t="shared" si="361"/>
        <v>0</v>
      </c>
      <c r="AJ2591" s="2">
        <f t="shared" si="362"/>
        <v>0</v>
      </c>
      <c r="AK2591" s="2">
        <f t="shared" si="363"/>
        <v>99.75</v>
      </c>
      <c r="AL2591" s="5">
        <f t="shared" si="365"/>
        <v>1</v>
      </c>
    </row>
    <row r="2592" spans="1:38" x14ac:dyDescent="0.2">
      <c r="A2592" s="2">
        <v>2025</v>
      </c>
      <c r="B2592" s="2">
        <v>9</v>
      </c>
      <c r="D2592" s="2" t="s">
        <v>2208</v>
      </c>
      <c r="M2592" s="2" t="s">
        <v>40</v>
      </c>
      <c r="P2592" s="2" t="s">
        <v>187</v>
      </c>
      <c r="Q2592" s="2" t="s">
        <v>188</v>
      </c>
      <c r="R2592" s="2" t="s">
        <v>189</v>
      </c>
      <c r="S2592" s="2">
        <v>1</v>
      </c>
      <c r="T2592" s="2">
        <v>60</v>
      </c>
      <c r="U2592" s="2">
        <v>13.8</v>
      </c>
      <c r="V2592" s="2">
        <v>73.8</v>
      </c>
      <c r="W2592" s="2">
        <f>T2592*40%</f>
        <v>24</v>
      </c>
      <c r="X2592" s="5">
        <f t="shared" si="364"/>
        <v>0.6</v>
      </c>
      <c r="Z2592" s="2" t="s">
        <v>117</v>
      </c>
      <c r="AA2592" s="2" t="s">
        <v>190</v>
      </c>
      <c r="AB2592" s="2" t="s">
        <v>189</v>
      </c>
      <c r="AC2592" s="2" t="s">
        <v>40</v>
      </c>
      <c r="AF2592" s="2">
        <f t="shared" si="361"/>
        <v>0</v>
      </c>
      <c r="AJ2592" s="2">
        <f t="shared" si="362"/>
        <v>0</v>
      </c>
      <c r="AK2592" s="2">
        <f t="shared" si="363"/>
        <v>36</v>
      </c>
      <c r="AL2592" s="5">
        <f t="shared" si="365"/>
        <v>0.6</v>
      </c>
    </row>
    <row r="2593" spans="1:38" x14ac:dyDescent="0.2">
      <c r="A2593" s="2">
        <v>2025</v>
      </c>
      <c r="B2593" s="2">
        <v>9</v>
      </c>
      <c r="D2593" s="2" t="s">
        <v>2208</v>
      </c>
      <c r="M2593" s="2" t="s">
        <v>40</v>
      </c>
      <c r="P2593" s="2" t="s">
        <v>187</v>
      </c>
      <c r="Q2593" s="2" t="s">
        <v>191</v>
      </c>
      <c r="R2593" s="2" t="s">
        <v>190</v>
      </c>
      <c r="S2593" s="2">
        <v>1.5</v>
      </c>
      <c r="T2593" s="2">
        <v>75</v>
      </c>
      <c r="U2593" s="2">
        <v>17.25</v>
      </c>
      <c r="V2593" s="2">
        <v>92.25</v>
      </c>
      <c r="W2593" s="2">
        <f>T2593*50%</f>
        <v>37.5</v>
      </c>
      <c r="X2593" s="5">
        <f t="shared" si="364"/>
        <v>0.5</v>
      </c>
      <c r="Z2593" s="2" t="s">
        <v>117</v>
      </c>
      <c r="AA2593" s="2" t="s">
        <v>190</v>
      </c>
      <c r="AB2593" s="2" t="s">
        <v>190</v>
      </c>
      <c r="AC2593" s="2" t="s">
        <v>40</v>
      </c>
      <c r="AF2593" s="2">
        <f t="shared" si="361"/>
        <v>0</v>
      </c>
      <c r="AJ2593" s="2">
        <f t="shared" si="362"/>
        <v>0</v>
      </c>
      <c r="AK2593" s="2">
        <f t="shared" si="363"/>
        <v>37.5</v>
      </c>
      <c r="AL2593" s="5">
        <f t="shared" si="365"/>
        <v>0.5</v>
      </c>
    </row>
    <row r="2594" spans="1:38" x14ac:dyDescent="0.2">
      <c r="A2594" s="2">
        <v>2025</v>
      </c>
      <c r="B2594" s="2">
        <v>9</v>
      </c>
      <c r="D2594" s="2" t="s">
        <v>2208</v>
      </c>
      <c r="P2594" s="2" t="s">
        <v>40</v>
      </c>
      <c r="Q2594" s="2" t="s">
        <v>363</v>
      </c>
      <c r="R2594" s="2" t="s">
        <v>364</v>
      </c>
      <c r="S2594" s="2">
        <v>5</v>
      </c>
      <c r="T2594" s="2">
        <v>66.97</v>
      </c>
      <c r="U2594" s="2">
        <v>15.4031</v>
      </c>
      <c r="V2594" s="2">
        <v>82.373099999999994</v>
      </c>
      <c r="X2594" s="5">
        <f t="shared" si="364"/>
        <v>1</v>
      </c>
      <c r="Z2594" s="2" t="s">
        <v>119</v>
      </c>
      <c r="AA2594" s="2" t="s">
        <v>3380</v>
      </c>
      <c r="AF2594" s="2">
        <f t="shared" si="361"/>
        <v>0</v>
      </c>
      <c r="AJ2594" s="2">
        <f t="shared" si="362"/>
        <v>0</v>
      </c>
      <c r="AK2594" s="2">
        <f t="shared" si="363"/>
        <v>66.97</v>
      </c>
      <c r="AL2594" s="5">
        <f t="shared" si="365"/>
        <v>1</v>
      </c>
    </row>
    <row r="2595" spans="1:38" x14ac:dyDescent="0.2">
      <c r="A2595" s="2">
        <v>2025</v>
      </c>
      <c r="B2595" s="2">
        <v>9</v>
      </c>
      <c r="D2595" s="2" t="s">
        <v>2209</v>
      </c>
      <c r="P2595" s="2" t="s">
        <v>72</v>
      </c>
      <c r="Q2595" s="2" t="s">
        <v>325</v>
      </c>
      <c r="R2595" s="2" t="s">
        <v>79</v>
      </c>
      <c r="S2595" s="2">
        <v>1</v>
      </c>
      <c r="T2595" s="2">
        <v>210</v>
      </c>
      <c r="U2595" s="2">
        <v>48.3</v>
      </c>
      <c r="V2595" s="2">
        <v>258.3</v>
      </c>
      <c r="W2595" s="2">
        <f>110.68*S2595</f>
        <v>110.68</v>
      </c>
      <c r="X2595" s="5">
        <f t="shared" si="364"/>
        <v>0.4729523809523809</v>
      </c>
      <c r="Z2595" s="2" t="s">
        <v>3227</v>
      </c>
      <c r="AA2595" s="2" t="s">
        <v>75</v>
      </c>
      <c r="AB2595" s="2" t="s">
        <v>76</v>
      </c>
      <c r="AC2595" s="2" t="s">
        <v>77</v>
      </c>
      <c r="AF2595" s="2">
        <f t="shared" si="361"/>
        <v>0</v>
      </c>
      <c r="AG2595" s="2">
        <v>110.68</v>
      </c>
      <c r="AH2595" s="2">
        <v>210</v>
      </c>
      <c r="AJ2595" s="2">
        <f t="shared" si="362"/>
        <v>0</v>
      </c>
      <c r="AK2595" s="2">
        <f t="shared" si="363"/>
        <v>99.32</v>
      </c>
      <c r="AL2595" s="5">
        <f t="shared" si="365"/>
        <v>0.4729523809523809</v>
      </c>
    </row>
    <row r="2596" spans="1:38" x14ac:dyDescent="0.2">
      <c r="A2596" s="2">
        <v>2025</v>
      </c>
      <c r="B2596" s="2">
        <v>9</v>
      </c>
      <c r="D2596" s="2" t="s">
        <v>2209</v>
      </c>
      <c r="P2596" s="2" t="s">
        <v>93</v>
      </c>
      <c r="Q2596" s="2" t="s">
        <v>94</v>
      </c>
      <c r="R2596" s="2" t="s">
        <v>95</v>
      </c>
      <c r="S2596" s="2">
        <v>1</v>
      </c>
      <c r="T2596" s="2">
        <v>1.1399999999999999</v>
      </c>
      <c r="U2596" s="2">
        <v>0.26219999999999999</v>
      </c>
      <c r="V2596" s="2">
        <v>1.4021999999999999</v>
      </c>
      <c r="W2596" s="2">
        <v>1.1399999999999999</v>
      </c>
      <c r="X2596" s="5">
        <f t="shared" si="364"/>
        <v>0</v>
      </c>
      <c r="Z2596" s="2" t="s">
        <v>3227</v>
      </c>
      <c r="AA2596" s="2" t="s">
        <v>96</v>
      </c>
      <c r="AB2596" s="2" t="s">
        <v>76</v>
      </c>
      <c r="AC2596" s="2" t="s">
        <v>93</v>
      </c>
      <c r="AF2596" s="2">
        <f t="shared" si="361"/>
        <v>0</v>
      </c>
      <c r="AJ2596" s="2">
        <f t="shared" si="362"/>
        <v>0</v>
      </c>
      <c r="AK2596" s="2">
        <f t="shared" si="363"/>
        <v>0</v>
      </c>
      <c r="AL2596" s="5">
        <f t="shared" si="365"/>
        <v>0</v>
      </c>
    </row>
    <row r="2597" spans="1:38" x14ac:dyDescent="0.2">
      <c r="A2597" s="2">
        <v>2025</v>
      </c>
      <c r="B2597" s="2">
        <v>9</v>
      </c>
      <c r="D2597" s="2" t="s">
        <v>289</v>
      </c>
      <c r="E2597" s="2" t="s">
        <v>108</v>
      </c>
      <c r="F2597" s="2" t="s">
        <v>39</v>
      </c>
      <c r="G2597" s="2">
        <v>508428300</v>
      </c>
      <c r="H2597" s="2" t="s">
        <v>290</v>
      </c>
      <c r="I2597" s="2" t="s">
        <v>291</v>
      </c>
      <c r="J2597" s="2" t="s">
        <v>292</v>
      </c>
      <c r="K2597" s="2">
        <v>917165642</v>
      </c>
      <c r="L2597" s="2" t="s">
        <v>293</v>
      </c>
      <c r="M2597" s="2" t="s">
        <v>40</v>
      </c>
      <c r="O2597" s="2" t="s">
        <v>2210</v>
      </c>
      <c r="P2597" s="2" t="s">
        <v>114</v>
      </c>
      <c r="Q2597" s="2" t="s">
        <v>2211</v>
      </c>
      <c r="R2597" s="2" t="s">
        <v>2212</v>
      </c>
      <c r="S2597" s="2">
        <v>1</v>
      </c>
      <c r="T2597" s="2">
        <v>131.16</v>
      </c>
      <c r="U2597" s="2">
        <v>30.166799999999999</v>
      </c>
      <c r="V2597" s="2">
        <v>161.32679999999999</v>
      </c>
      <c r="W2597" s="2">
        <v>78.570099999999996</v>
      </c>
      <c r="X2597" s="5">
        <f t="shared" si="364"/>
        <v>0.40095989630985057</v>
      </c>
      <c r="Z2597" s="2" t="s">
        <v>117</v>
      </c>
      <c r="AA2597" s="2" t="s">
        <v>118</v>
      </c>
      <c r="AB2597" s="2" t="s">
        <v>119</v>
      </c>
      <c r="AC2597" s="2" t="s">
        <v>114</v>
      </c>
      <c r="AF2597" s="2">
        <f t="shared" si="361"/>
        <v>0</v>
      </c>
      <c r="AG2597" s="2">
        <v>78.570099999999996</v>
      </c>
      <c r="AJ2597" s="2">
        <f t="shared" si="362"/>
        <v>0</v>
      </c>
      <c r="AK2597" s="2">
        <f t="shared" si="363"/>
        <v>52.5899</v>
      </c>
      <c r="AL2597" s="5">
        <f t="shared" si="365"/>
        <v>0.40095989630985057</v>
      </c>
    </row>
    <row r="2598" spans="1:38" x14ac:dyDescent="0.2">
      <c r="A2598" s="2">
        <v>2025</v>
      </c>
      <c r="B2598" s="2">
        <v>9</v>
      </c>
      <c r="D2598" s="2" t="s">
        <v>693</v>
      </c>
      <c r="E2598" s="2" t="s">
        <v>38</v>
      </c>
      <c r="F2598" s="2" t="s">
        <v>39</v>
      </c>
      <c r="G2598" s="2">
        <v>508574358</v>
      </c>
      <c r="H2598" s="2" t="s">
        <v>41</v>
      </c>
      <c r="I2598" s="2" t="s">
        <v>694</v>
      </c>
      <c r="J2598" s="2" t="s">
        <v>695</v>
      </c>
      <c r="K2598" s="2">
        <v>917295518</v>
      </c>
      <c r="L2598" s="2" t="s">
        <v>177</v>
      </c>
      <c r="M2598" s="2" t="s">
        <v>41</v>
      </c>
      <c r="P2598" s="2" t="s">
        <v>43</v>
      </c>
      <c r="Q2598" s="2" t="s">
        <v>63</v>
      </c>
      <c r="R2598" s="2" t="s">
        <v>64</v>
      </c>
      <c r="S2598" s="2">
        <v>20</v>
      </c>
      <c r="T2598" s="2">
        <v>36</v>
      </c>
      <c r="U2598" s="2">
        <v>8.2800000000000011</v>
      </c>
      <c r="V2598" s="2">
        <v>44.28</v>
      </c>
      <c r="W2598" s="2">
        <f>0.8561*S2598</f>
        <v>17.122</v>
      </c>
      <c r="X2598" s="5">
        <f t="shared" si="364"/>
        <v>0.5243888888888889</v>
      </c>
      <c r="Z2598" s="2" t="s">
        <v>3227</v>
      </c>
      <c r="AA2598" s="2" t="s">
        <v>46</v>
      </c>
      <c r="AB2598" s="2" t="s">
        <v>60</v>
      </c>
      <c r="AC2598" s="2" t="s">
        <v>57</v>
      </c>
      <c r="AF2598" s="2">
        <f t="shared" si="361"/>
        <v>0</v>
      </c>
      <c r="AG2598" s="2">
        <v>0.85609999999999997</v>
      </c>
      <c r="AH2598" s="2">
        <v>1.8</v>
      </c>
      <c r="AJ2598" s="2">
        <f t="shared" si="362"/>
        <v>0</v>
      </c>
      <c r="AK2598" s="2">
        <f t="shared" si="363"/>
        <v>18.878</v>
      </c>
      <c r="AL2598" s="5">
        <f t="shared" si="365"/>
        <v>0.5243888888888889</v>
      </c>
    </row>
    <row r="2599" spans="1:38" x14ac:dyDescent="0.2">
      <c r="A2599" s="2">
        <v>2025</v>
      </c>
      <c r="B2599" s="2">
        <v>9</v>
      </c>
      <c r="D2599" s="2" t="s">
        <v>693</v>
      </c>
      <c r="E2599" s="2" t="s">
        <v>38</v>
      </c>
      <c r="F2599" s="2" t="s">
        <v>39</v>
      </c>
      <c r="G2599" s="2">
        <v>508574358</v>
      </c>
      <c r="H2599" s="2" t="s">
        <v>41</v>
      </c>
      <c r="I2599" s="2" t="s">
        <v>694</v>
      </c>
      <c r="J2599" s="2" t="s">
        <v>695</v>
      </c>
      <c r="K2599" s="2">
        <v>917295518</v>
      </c>
      <c r="L2599" s="2" t="s">
        <v>177</v>
      </c>
      <c r="M2599" s="2" t="s">
        <v>41</v>
      </c>
      <c r="P2599" s="2" t="s">
        <v>43</v>
      </c>
      <c r="Q2599" s="2" t="s">
        <v>334</v>
      </c>
      <c r="R2599" s="2" t="s">
        <v>335</v>
      </c>
      <c r="S2599" s="2">
        <v>10</v>
      </c>
      <c r="T2599" s="2">
        <v>30</v>
      </c>
      <c r="U2599" s="2">
        <v>6.9</v>
      </c>
      <c r="V2599" s="2">
        <v>36.9</v>
      </c>
      <c r="W2599" s="2">
        <f>1.1122*S2599</f>
        <v>11.122</v>
      </c>
      <c r="X2599" s="5">
        <f t="shared" si="364"/>
        <v>0.62926666666666664</v>
      </c>
      <c r="Z2599" s="2" t="s">
        <v>3227</v>
      </c>
      <c r="AA2599" s="2" t="s">
        <v>46</v>
      </c>
      <c r="AB2599" s="2" t="s">
        <v>60</v>
      </c>
      <c r="AC2599" s="2" t="s">
        <v>57</v>
      </c>
      <c r="AF2599" s="2">
        <f t="shared" si="361"/>
        <v>0</v>
      </c>
      <c r="AG2599" s="2">
        <v>1.1122000000000001</v>
      </c>
      <c r="AH2599" s="2">
        <v>3</v>
      </c>
      <c r="AJ2599" s="2">
        <f t="shared" si="362"/>
        <v>0</v>
      </c>
      <c r="AK2599" s="2">
        <f t="shared" si="363"/>
        <v>18.878</v>
      </c>
      <c r="AL2599" s="5">
        <f t="shared" si="365"/>
        <v>0.62926666666666664</v>
      </c>
    </row>
    <row r="2600" spans="1:38" x14ac:dyDescent="0.2">
      <c r="A2600" s="2">
        <v>2025</v>
      </c>
      <c r="B2600" s="2">
        <v>9</v>
      </c>
      <c r="D2600" s="2" t="s">
        <v>693</v>
      </c>
      <c r="E2600" s="2" t="s">
        <v>38</v>
      </c>
      <c r="F2600" s="2" t="s">
        <v>39</v>
      </c>
      <c r="G2600" s="2">
        <v>508574358</v>
      </c>
      <c r="H2600" s="2" t="s">
        <v>41</v>
      </c>
      <c r="I2600" s="2" t="s">
        <v>694</v>
      </c>
      <c r="J2600" s="2" t="s">
        <v>695</v>
      </c>
      <c r="K2600" s="2">
        <v>917295518</v>
      </c>
      <c r="L2600" s="2" t="s">
        <v>177</v>
      </c>
      <c r="M2600" s="2" t="s">
        <v>41</v>
      </c>
      <c r="P2600" s="2" t="s">
        <v>169</v>
      </c>
      <c r="Q2600" s="2" t="s">
        <v>170</v>
      </c>
      <c r="R2600" s="2" t="s">
        <v>170</v>
      </c>
      <c r="S2600" s="2">
        <v>1</v>
      </c>
      <c r="T2600" s="2">
        <v>8</v>
      </c>
      <c r="U2600" s="2">
        <v>1.84</v>
      </c>
      <c r="V2600" s="2">
        <v>9.84</v>
      </c>
      <c r="W2600" s="2">
        <v>6</v>
      </c>
      <c r="X2600" s="5">
        <f t="shared" si="364"/>
        <v>0.25</v>
      </c>
      <c r="Z2600" s="2" t="s">
        <v>169</v>
      </c>
      <c r="AA2600" s="2" t="s">
        <v>169</v>
      </c>
      <c r="AF2600" s="2">
        <f t="shared" si="361"/>
        <v>0</v>
      </c>
      <c r="AJ2600" s="2">
        <f t="shared" si="362"/>
        <v>0</v>
      </c>
      <c r="AK2600" s="2">
        <f t="shared" si="363"/>
        <v>2</v>
      </c>
      <c r="AL2600" s="5">
        <f t="shared" si="365"/>
        <v>0.25</v>
      </c>
    </row>
    <row r="2601" spans="1:38" x14ac:dyDescent="0.2">
      <c r="A2601" s="2">
        <v>2025</v>
      </c>
      <c r="B2601" s="2">
        <v>9</v>
      </c>
      <c r="D2601" s="2" t="s">
        <v>2213</v>
      </c>
      <c r="P2601" s="2" t="s">
        <v>72</v>
      </c>
      <c r="Q2601" s="2" t="s">
        <v>1074</v>
      </c>
      <c r="R2601" s="2" t="s">
        <v>307</v>
      </c>
      <c r="S2601" s="2">
        <v>1</v>
      </c>
      <c r="T2601" s="2">
        <v>220</v>
      </c>
      <c r="U2601" s="2">
        <v>50.6</v>
      </c>
      <c r="V2601" s="2">
        <v>270.60000000000002</v>
      </c>
      <c r="W2601" s="2">
        <v>119.43</v>
      </c>
      <c r="X2601" s="5">
        <f t="shared" si="364"/>
        <v>0.45713636363636362</v>
      </c>
      <c r="Z2601" s="2" t="s">
        <v>3227</v>
      </c>
      <c r="AA2601" s="2" t="s">
        <v>75</v>
      </c>
      <c r="AB2601" s="2" t="s">
        <v>76</v>
      </c>
      <c r="AC2601" s="2" t="s">
        <v>77</v>
      </c>
      <c r="AF2601" s="2">
        <f t="shared" si="361"/>
        <v>0</v>
      </c>
      <c r="AJ2601" s="2">
        <f t="shared" si="362"/>
        <v>0</v>
      </c>
      <c r="AK2601" s="2">
        <f t="shared" si="363"/>
        <v>100.57</v>
      </c>
      <c r="AL2601" s="5">
        <f t="shared" si="365"/>
        <v>0.45713636363636362</v>
      </c>
    </row>
    <row r="2602" spans="1:38" x14ac:dyDescent="0.2">
      <c r="A2602" s="2">
        <v>2025</v>
      </c>
      <c r="B2602" s="2">
        <v>9</v>
      </c>
      <c r="D2602" s="2" t="s">
        <v>2213</v>
      </c>
      <c r="P2602" s="2" t="s">
        <v>93</v>
      </c>
      <c r="Q2602" s="2" t="s">
        <v>94</v>
      </c>
      <c r="R2602" s="2" t="s">
        <v>95</v>
      </c>
      <c r="S2602" s="2">
        <v>1</v>
      </c>
      <c r="T2602" s="2">
        <v>1.1399999999999999</v>
      </c>
      <c r="U2602" s="2">
        <v>0.26219999999999999</v>
      </c>
      <c r="V2602" s="2">
        <v>1.4021999999999999</v>
      </c>
      <c r="W2602" s="2">
        <v>1.1399999999999999</v>
      </c>
      <c r="X2602" s="5">
        <f t="shared" si="364"/>
        <v>0</v>
      </c>
      <c r="Z2602" s="2" t="s">
        <v>3227</v>
      </c>
      <c r="AA2602" s="2" t="s">
        <v>96</v>
      </c>
      <c r="AB2602" s="2" t="s">
        <v>76</v>
      </c>
      <c r="AC2602" s="2" t="s">
        <v>93</v>
      </c>
      <c r="AF2602" s="2">
        <f t="shared" si="361"/>
        <v>0</v>
      </c>
      <c r="AJ2602" s="2">
        <f t="shared" si="362"/>
        <v>0</v>
      </c>
      <c r="AK2602" s="2">
        <f t="shared" si="363"/>
        <v>0</v>
      </c>
      <c r="AL2602" s="5">
        <f t="shared" si="365"/>
        <v>0</v>
      </c>
    </row>
    <row r="2603" spans="1:38" x14ac:dyDescent="0.2">
      <c r="A2603" s="2">
        <v>2025</v>
      </c>
      <c r="B2603" s="2">
        <v>9</v>
      </c>
      <c r="D2603" s="2" t="s">
        <v>1486</v>
      </c>
      <c r="P2603" s="2" t="s">
        <v>40</v>
      </c>
      <c r="Q2603" s="2" t="s">
        <v>363</v>
      </c>
      <c r="R2603" s="2" t="s">
        <v>364</v>
      </c>
      <c r="S2603" s="2">
        <v>1</v>
      </c>
      <c r="T2603" s="2">
        <v>99.75</v>
      </c>
      <c r="U2603" s="2">
        <v>22.942499999999999</v>
      </c>
      <c r="V2603" s="2">
        <v>122.6925</v>
      </c>
      <c r="X2603" s="5">
        <f t="shared" si="364"/>
        <v>1</v>
      </c>
      <c r="Z2603" s="2" t="s">
        <v>119</v>
      </c>
      <c r="AA2603" s="2" t="s">
        <v>3380</v>
      </c>
      <c r="AF2603" s="2">
        <f t="shared" si="361"/>
        <v>0</v>
      </c>
      <c r="AJ2603" s="2">
        <f t="shared" si="362"/>
        <v>0</v>
      </c>
      <c r="AK2603" s="2">
        <f t="shared" si="363"/>
        <v>99.75</v>
      </c>
      <c r="AL2603" s="5">
        <f t="shared" si="365"/>
        <v>1</v>
      </c>
    </row>
    <row r="2604" spans="1:38" x14ac:dyDescent="0.2">
      <c r="A2604" s="2">
        <v>2025</v>
      </c>
      <c r="B2604" s="2">
        <v>9</v>
      </c>
      <c r="D2604" s="2" t="s">
        <v>2214</v>
      </c>
      <c r="P2604" s="2" t="s">
        <v>43</v>
      </c>
      <c r="Q2604" s="2" t="s">
        <v>48</v>
      </c>
      <c r="R2604" s="2" t="s">
        <v>49</v>
      </c>
      <c r="S2604" s="2">
        <v>2</v>
      </c>
      <c r="T2604" s="2">
        <v>26</v>
      </c>
      <c r="U2604" s="2">
        <v>5.98</v>
      </c>
      <c r="V2604" s="2">
        <v>31.98</v>
      </c>
      <c r="W2604" s="2">
        <f>6.6267*S2604</f>
        <v>13.253399999999999</v>
      </c>
      <c r="X2604" s="5">
        <f t="shared" si="364"/>
        <v>0.49025384615384621</v>
      </c>
      <c r="Z2604" s="2" t="s">
        <v>3227</v>
      </c>
      <c r="AA2604" s="2" t="s">
        <v>46</v>
      </c>
      <c r="AB2604" s="2" t="s">
        <v>47</v>
      </c>
      <c r="AC2604" s="2" t="s">
        <v>57</v>
      </c>
      <c r="AF2604" s="2">
        <f t="shared" si="361"/>
        <v>0</v>
      </c>
      <c r="AG2604" s="2">
        <v>6.6266999999999996</v>
      </c>
      <c r="AH2604" s="2">
        <v>12</v>
      </c>
      <c r="AJ2604" s="2">
        <f t="shared" si="362"/>
        <v>0</v>
      </c>
      <c r="AK2604" s="2">
        <f t="shared" si="363"/>
        <v>12.746600000000001</v>
      </c>
      <c r="AL2604" s="5">
        <f t="shared" si="365"/>
        <v>0.49025384615384621</v>
      </c>
    </row>
    <row r="2605" spans="1:38" x14ac:dyDescent="0.2">
      <c r="A2605" s="2">
        <v>2025</v>
      </c>
      <c r="B2605" s="2">
        <v>9</v>
      </c>
      <c r="D2605" s="2" t="s">
        <v>2214</v>
      </c>
      <c r="P2605" s="2" t="s">
        <v>43</v>
      </c>
      <c r="Q2605" s="2" t="s">
        <v>54</v>
      </c>
      <c r="R2605" s="2" t="s">
        <v>55</v>
      </c>
      <c r="S2605" s="2">
        <v>2</v>
      </c>
      <c r="T2605" s="2">
        <v>36</v>
      </c>
      <c r="U2605" s="2">
        <v>8.2800000000000011</v>
      </c>
      <c r="V2605" s="2">
        <v>44.28</v>
      </c>
      <c r="W2605" s="2">
        <f>10.6*S2605</f>
        <v>21.2</v>
      </c>
      <c r="X2605" s="5">
        <f t="shared" si="364"/>
        <v>0.41111111111111115</v>
      </c>
      <c r="Z2605" s="2" t="s">
        <v>3227</v>
      </c>
      <c r="AA2605" s="2" t="s">
        <v>46</v>
      </c>
      <c r="AB2605" s="2" t="s">
        <v>56</v>
      </c>
      <c r="AC2605" s="2" t="s">
        <v>57</v>
      </c>
      <c r="AF2605" s="2">
        <f t="shared" si="361"/>
        <v>0</v>
      </c>
      <c r="AG2605" s="2">
        <v>10.6</v>
      </c>
      <c r="AH2605" s="2">
        <v>18</v>
      </c>
      <c r="AJ2605" s="2">
        <f t="shared" si="362"/>
        <v>0</v>
      </c>
      <c r="AK2605" s="2">
        <f t="shared" si="363"/>
        <v>14.8</v>
      </c>
      <c r="AL2605" s="5">
        <f t="shared" si="365"/>
        <v>0.41111111111111115</v>
      </c>
    </row>
    <row r="2606" spans="1:38" x14ac:dyDescent="0.2">
      <c r="A2606" s="2">
        <v>2025</v>
      </c>
      <c r="B2606" s="2">
        <v>9</v>
      </c>
      <c r="D2606" s="2" t="s">
        <v>1489</v>
      </c>
      <c r="P2606" s="2" t="s">
        <v>114</v>
      </c>
      <c r="Q2606" s="2" t="s">
        <v>779</v>
      </c>
      <c r="R2606" s="2" t="s">
        <v>780</v>
      </c>
      <c r="S2606" s="2">
        <v>2</v>
      </c>
      <c r="T2606" s="2">
        <v>131.44</v>
      </c>
      <c r="U2606" s="2">
        <v>30.231200000000001</v>
      </c>
      <c r="V2606" s="2">
        <v>161.6712</v>
      </c>
      <c r="X2606" s="5">
        <f t="shared" si="364"/>
        <v>1</v>
      </c>
      <c r="Z2606" s="2" t="s">
        <v>117</v>
      </c>
      <c r="AF2606" s="2">
        <f t="shared" si="361"/>
        <v>0</v>
      </c>
      <c r="AJ2606" s="2">
        <f t="shared" si="362"/>
        <v>0</v>
      </c>
      <c r="AK2606" s="2">
        <f t="shared" si="363"/>
        <v>131.44</v>
      </c>
      <c r="AL2606" s="5">
        <f t="shared" si="365"/>
        <v>1</v>
      </c>
    </row>
    <row r="2607" spans="1:38" x14ac:dyDescent="0.2">
      <c r="A2607" s="2">
        <v>2025</v>
      </c>
      <c r="B2607" s="2">
        <v>9</v>
      </c>
      <c r="C2607" s="2" t="s">
        <v>3488</v>
      </c>
      <c r="D2607" s="2" t="s">
        <v>3487</v>
      </c>
      <c r="E2607" s="2" t="s">
        <v>108</v>
      </c>
      <c r="F2607" s="2" t="s">
        <v>39</v>
      </c>
      <c r="L2607" s="2" t="s">
        <v>99</v>
      </c>
      <c r="M2607" s="2" t="s">
        <v>41</v>
      </c>
      <c r="P2607" s="2" t="s">
        <v>114</v>
      </c>
      <c r="Q2607" s="2" t="s">
        <v>1578</v>
      </c>
      <c r="R2607" s="2" t="s">
        <v>1579</v>
      </c>
      <c r="S2607" s="2">
        <v>1</v>
      </c>
      <c r="T2607" s="2">
        <v>6680</v>
      </c>
      <c r="U2607" s="2">
        <v>1536.4</v>
      </c>
      <c r="V2607" s="2">
        <v>8216.4</v>
      </c>
      <c r="W2607" s="2">
        <f>4893.23+171</f>
        <v>5064.2299999999996</v>
      </c>
      <c r="X2607" s="5">
        <f t="shared" si="364"/>
        <v>0.24188173652694617</v>
      </c>
      <c r="Z2607" s="2" t="s">
        <v>104</v>
      </c>
      <c r="AA2607" s="2" t="s">
        <v>150</v>
      </c>
      <c r="AB2607" s="2" t="s">
        <v>151</v>
      </c>
      <c r="AC2607" s="2" t="s">
        <v>114</v>
      </c>
      <c r="AF2607" s="2">
        <f t="shared" si="361"/>
        <v>0</v>
      </c>
      <c r="AJ2607" s="2">
        <f t="shared" si="362"/>
        <v>0</v>
      </c>
      <c r="AK2607" s="2">
        <f t="shared" si="363"/>
        <v>1615.7700000000004</v>
      </c>
      <c r="AL2607" s="5">
        <f t="shared" si="365"/>
        <v>0.24188173652694617</v>
      </c>
    </row>
    <row r="2608" spans="1:38" x14ac:dyDescent="0.2">
      <c r="A2608" s="2">
        <v>2025</v>
      </c>
      <c r="B2608" s="2">
        <v>9</v>
      </c>
      <c r="C2608" s="2" t="s">
        <v>3488</v>
      </c>
      <c r="D2608" s="2" t="s">
        <v>3487</v>
      </c>
      <c r="E2608" s="2" t="s">
        <v>108</v>
      </c>
      <c r="F2608" s="2" t="s">
        <v>39</v>
      </c>
      <c r="L2608" s="2" t="s">
        <v>99</v>
      </c>
      <c r="M2608" s="2" t="s">
        <v>41</v>
      </c>
      <c r="P2608" s="2" t="s">
        <v>187</v>
      </c>
      <c r="Q2608" s="2" t="s">
        <v>1308</v>
      </c>
      <c r="R2608" s="2" t="s">
        <v>1309</v>
      </c>
      <c r="S2608" s="2">
        <v>1</v>
      </c>
      <c r="T2608" s="2">
        <v>0</v>
      </c>
      <c r="U2608" s="2">
        <v>0</v>
      </c>
      <c r="V2608" s="2">
        <v>0</v>
      </c>
      <c r="W2608" s="2">
        <v>0</v>
      </c>
      <c r="Z2608" s="2" t="s">
        <v>104</v>
      </c>
      <c r="AA2608" s="2" t="s">
        <v>578</v>
      </c>
      <c r="AB2608" s="2" t="s">
        <v>701</v>
      </c>
      <c r="AC2608" s="2" t="s">
        <v>114</v>
      </c>
      <c r="AF2608" s="2">
        <f t="shared" si="361"/>
        <v>0</v>
      </c>
      <c r="AJ2608" s="2">
        <f t="shared" si="362"/>
        <v>0</v>
      </c>
      <c r="AK2608" s="2">
        <f t="shared" si="363"/>
        <v>0</v>
      </c>
      <c r="AL2608" s="5">
        <v>0</v>
      </c>
    </row>
    <row r="2609" spans="1:38" x14ac:dyDescent="0.2">
      <c r="A2609" s="2">
        <v>2025</v>
      </c>
      <c r="B2609" s="2">
        <v>9</v>
      </c>
      <c r="D2609" s="2" t="s">
        <v>2111</v>
      </c>
      <c r="P2609" s="2" t="s">
        <v>40</v>
      </c>
      <c r="Q2609" s="2" t="s">
        <v>363</v>
      </c>
      <c r="R2609" s="2" t="s">
        <v>364</v>
      </c>
      <c r="S2609" s="2">
        <v>1</v>
      </c>
      <c r="T2609" s="2">
        <v>1520</v>
      </c>
      <c r="U2609" s="2">
        <v>349.6</v>
      </c>
      <c r="V2609" s="2">
        <v>1869.6</v>
      </c>
      <c r="X2609" s="5">
        <f t="shared" si="364"/>
        <v>1</v>
      </c>
      <c r="Z2609" s="2" t="s">
        <v>119</v>
      </c>
      <c r="AA2609" s="2" t="s">
        <v>3380</v>
      </c>
      <c r="AF2609" s="2">
        <f t="shared" si="361"/>
        <v>0</v>
      </c>
      <c r="AJ2609" s="2">
        <f t="shared" si="362"/>
        <v>0</v>
      </c>
      <c r="AK2609" s="2">
        <f t="shared" si="363"/>
        <v>1520</v>
      </c>
      <c r="AL2609" s="5">
        <f t="shared" si="365"/>
        <v>1</v>
      </c>
    </row>
    <row r="2610" spans="1:38" x14ac:dyDescent="0.2">
      <c r="A2610" s="2">
        <v>2025</v>
      </c>
      <c r="B2610" s="2">
        <v>9</v>
      </c>
      <c r="D2610" s="2" t="s">
        <v>297</v>
      </c>
      <c r="E2610" s="2" t="s">
        <v>38</v>
      </c>
      <c r="F2610" s="2" t="s">
        <v>39</v>
      </c>
      <c r="G2610" s="2">
        <v>510939570</v>
      </c>
      <c r="H2610" s="2" t="s">
        <v>41</v>
      </c>
      <c r="I2610" s="2" t="s">
        <v>298</v>
      </c>
      <c r="J2610" s="2" t="s">
        <v>299</v>
      </c>
      <c r="K2610" s="2">
        <v>962678129</v>
      </c>
      <c r="L2610" s="2" t="s">
        <v>177</v>
      </c>
      <c r="O2610" s="2" t="s">
        <v>2215</v>
      </c>
      <c r="P2610" s="2" t="s">
        <v>114</v>
      </c>
      <c r="Q2610" s="2" t="s">
        <v>2216</v>
      </c>
      <c r="R2610" s="2" t="s">
        <v>1429</v>
      </c>
      <c r="S2610" s="2">
        <v>1</v>
      </c>
      <c r="T2610" s="2">
        <v>39.049999999999997</v>
      </c>
      <c r="U2610" s="2">
        <v>8.9815000000000005</v>
      </c>
      <c r="V2610" s="2">
        <v>48.031499999999987</v>
      </c>
      <c r="X2610" s="5">
        <f t="shared" si="364"/>
        <v>1</v>
      </c>
      <c r="AF2610" s="2">
        <f t="shared" si="361"/>
        <v>0</v>
      </c>
      <c r="AJ2610" s="2">
        <f t="shared" si="362"/>
        <v>0</v>
      </c>
      <c r="AK2610" s="2">
        <f t="shared" si="363"/>
        <v>39.049999999999997</v>
      </c>
      <c r="AL2610" s="5">
        <f t="shared" si="365"/>
        <v>1</v>
      </c>
    </row>
    <row r="2611" spans="1:38" x14ac:dyDescent="0.2">
      <c r="A2611" s="2">
        <v>2025</v>
      </c>
      <c r="B2611" s="2">
        <v>9</v>
      </c>
      <c r="D2611" s="2" t="s">
        <v>297</v>
      </c>
      <c r="E2611" s="2" t="s">
        <v>38</v>
      </c>
      <c r="F2611" s="2" t="s">
        <v>39</v>
      </c>
      <c r="G2611" s="2">
        <v>510939570</v>
      </c>
      <c r="H2611" s="2" t="s">
        <v>41</v>
      </c>
      <c r="I2611" s="2" t="s">
        <v>298</v>
      </c>
      <c r="J2611" s="2" t="s">
        <v>299</v>
      </c>
      <c r="K2611" s="2">
        <v>962678129</v>
      </c>
      <c r="L2611" s="2" t="s">
        <v>177</v>
      </c>
      <c r="M2611" s="2" t="s">
        <v>40</v>
      </c>
      <c r="O2611" s="2" t="s">
        <v>2217</v>
      </c>
      <c r="P2611" s="2" t="s">
        <v>114</v>
      </c>
      <c r="Q2611" s="2" t="s">
        <v>373</v>
      </c>
      <c r="R2611" s="2" t="s">
        <v>374</v>
      </c>
      <c r="S2611" s="2">
        <v>1</v>
      </c>
      <c r="T2611" s="2">
        <v>41.96</v>
      </c>
      <c r="U2611" s="2">
        <v>9.6508000000000003</v>
      </c>
      <c r="V2611" s="2">
        <v>51.610799999999998</v>
      </c>
      <c r="W2611" s="2">
        <f>23.042*S2611</f>
        <v>23.042000000000002</v>
      </c>
      <c r="X2611" s="5">
        <f t="shared" si="364"/>
        <v>0.45085795996186839</v>
      </c>
      <c r="Z2611" s="2" t="s">
        <v>117</v>
      </c>
      <c r="AA2611" s="2" t="s">
        <v>118</v>
      </c>
      <c r="AB2611" s="2" t="s">
        <v>119</v>
      </c>
      <c r="AC2611" s="2" t="s">
        <v>114</v>
      </c>
      <c r="AF2611" s="2">
        <f t="shared" si="361"/>
        <v>0</v>
      </c>
      <c r="AJ2611" s="2">
        <f t="shared" si="362"/>
        <v>0</v>
      </c>
      <c r="AK2611" s="2">
        <f t="shared" si="363"/>
        <v>18.917999999999999</v>
      </c>
      <c r="AL2611" s="5">
        <f t="shared" si="365"/>
        <v>0.45085795996186839</v>
      </c>
    </row>
    <row r="2612" spans="1:38" x14ac:dyDescent="0.2">
      <c r="A2612" s="2">
        <v>2025</v>
      </c>
      <c r="B2612" s="2">
        <v>9</v>
      </c>
      <c r="D2612" s="2" t="s">
        <v>297</v>
      </c>
      <c r="E2612" s="2" t="s">
        <v>38</v>
      </c>
      <c r="F2612" s="2" t="s">
        <v>39</v>
      </c>
      <c r="G2612" s="2">
        <v>510939570</v>
      </c>
      <c r="H2612" s="2" t="s">
        <v>41</v>
      </c>
      <c r="I2612" s="2" t="s">
        <v>298</v>
      </c>
      <c r="J2612" s="2" t="s">
        <v>299</v>
      </c>
      <c r="K2612" s="2">
        <v>962678129</v>
      </c>
      <c r="L2612" s="2" t="s">
        <v>177</v>
      </c>
      <c r="O2612" s="2" t="s">
        <v>2218</v>
      </c>
      <c r="P2612" s="2" t="s">
        <v>114</v>
      </c>
      <c r="Q2612" s="2" t="s">
        <v>467</v>
      </c>
      <c r="R2612" s="2" t="s">
        <v>468</v>
      </c>
      <c r="S2612" s="2">
        <v>1</v>
      </c>
      <c r="T2612" s="2">
        <v>488.82</v>
      </c>
      <c r="U2612" s="2">
        <v>112.4286</v>
      </c>
      <c r="V2612" s="2">
        <v>601.24860000000001</v>
      </c>
      <c r="X2612" s="5">
        <f t="shared" si="364"/>
        <v>1</v>
      </c>
      <c r="AF2612" s="2">
        <f t="shared" si="361"/>
        <v>0</v>
      </c>
      <c r="AJ2612" s="2">
        <f t="shared" si="362"/>
        <v>0</v>
      </c>
      <c r="AK2612" s="2">
        <f t="shared" si="363"/>
        <v>488.82</v>
      </c>
      <c r="AL2612" s="5">
        <f t="shared" si="365"/>
        <v>1</v>
      </c>
    </row>
    <row r="2613" spans="1:38" x14ac:dyDescent="0.2">
      <c r="A2613" s="2">
        <v>2025</v>
      </c>
      <c r="B2613" s="2">
        <v>9</v>
      </c>
      <c r="D2613" s="2" t="s">
        <v>297</v>
      </c>
      <c r="E2613" s="2" t="s">
        <v>38</v>
      </c>
      <c r="F2613" s="2" t="s">
        <v>39</v>
      </c>
      <c r="G2613" s="2">
        <v>510939570</v>
      </c>
      <c r="H2613" s="2" t="s">
        <v>41</v>
      </c>
      <c r="I2613" s="2" t="s">
        <v>298</v>
      </c>
      <c r="J2613" s="2" t="s">
        <v>299</v>
      </c>
      <c r="K2613" s="2">
        <v>962678129</v>
      </c>
      <c r="L2613" s="2" t="s">
        <v>177</v>
      </c>
      <c r="M2613" s="2" t="s">
        <v>41</v>
      </c>
      <c r="O2613" s="2" t="s">
        <v>2217</v>
      </c>
      <c r="P2613" s="2" t="s">
        <v>43</v>
      </c>
      <c r="Q2613" s="2" t="s">
        <v>52</v>
      </c>
      <c r="R2613" s="2" t="s">
        <v>53</v>
      </c>
      <c r="S2613" s="2">
        <v>2</v>
      </c>
      <c r="T2613" s="2">
        <v>19.2</v>
      </c>
      <c r="U2613" s="2">
        <v>4.4160000000000004</v>
      </c>
      <c r="V2613" s="2">
        <v>23.616</v>
      </c>
      <c r="W2613" s="2">
        <f>5.2973*S2613</f>
        <v>10.5946</v>
      </c>
      <c r="X2613" s="5">
        <f t="shared" si="364"/>
        <v>0.44819791666666664</v>
      </c>
      <c r="Z2613" s="2" t="s">
        <v>3227</v>
      </c>
      <c r="AA2613" s="2" t="s">
        <v>46</v>
      </c>
      <c r="AB2613" s="2" t="s">
        <v>47</v>
      </c>
      <c r="AC2613" s="2" t="s">
        <v>57</v>
      </c>
      <c r="AF2613" s="2">
        <f t="shared" si="361"/>
        <v>0</v>
      </c>
      <c r="AG2613" s="2">
        <v>5.2972999999999999</v>
      </c>
      <c r="AH2613" s="2">
        <v>10.8</v>
      </c>
      <c r="AJ2613" s="2">
        <f t="shared" si="362"/>
        <v>0</v>
      </c>
      <c r="AK2613" s="2">
        <f t="shared" si="363"/>
        <v>8.6053999999999995</v>
      </c>
      <c r="AL2613" s="5">
        <f t="shared" si="365"/>
        <v>0.44819791666666664</v>
      </c>
    </row>
    <row r="2614" spans="1:38" x14ac:dyDescent="0.2">
      <c r="A2614" s="2">
        <v>2025</v>
      </c>
      <c r="B2614" s="2">
        <v>9</v>
      </c>
      <c r="D2614" s="2" t="s">
        <v>297</v>
      </c>
      <c r="E2614" s="2" t="s">
        <v>38</v>
      </c>
      <c r="F2614" s="2" t="s">
        <v>39</v>
      </c>
      <c r="G2614" s="2">
        <v>510939570</v>
      </c>
      <c r="H2614" s="2" t="s">
        <v>41</v>
      </c>
      <c r="I2614" s="2" t="s">
        <v>298</v>
      </c>
      <c r="J2614" s="2" t="s">
        <v>299</v>
      </c>
      <c r="K2614" s="2">
        <v>962678129</v>
      </c>
      <c r="L2614" s="2" t="s">
        <v>177</v>
      </c>
      <c r="M2614" s="2" t="s">
        <v>40</v>
      </c>
      <c r="O2614" s="2" t="s">
        <v>2218</v>
      </c>
      <c r="P2614" s="2" t="s">
        <v>187</v>
      </c>
      <c r="Q2614" s="2" t="s">
        <v>188</v>
      </c>
      <c r="R2614" s="2" t="s">
        <v>189</v>
      </c>
      <c r="S2614" s="2">
        <v>1</v>
      </c>
      <c r="T2614" s="2">
        <v>79</v>
      </c>
      <c r="U2614" s="2">
        <v>18.170000000000002</v>
      </c>
      <c r="V2614" s="2">
        <v>97.17</v>
      </c>
      <c r="W2614" s="2">
        <f>T2614*40%</f>
        <v>31.6</v>
      </c>
      <c r="X2614" s="5">
        <f t="shared" si="364"/>
        <v>0.6</v>
      </c>
      <c r="Z2614" s="2" t="s">
        <v>117</v>
      </c>
      <c r="AA2614" s="2" t="s">
        <v>190</v>
      </c>
      <c r="AB2614" s="2" t="s">
        <v>189</v>
      </c>
      <c r="AC2614" s="2" t="s">
        <v>40</v>
      </c>
      <c r="AF2614" s="2">
        <f t="shared" si="361"/>
        <v>0</v>
      </c>
      <c r="AJ2614" s="2">
        <f t="shared" si="362"/>
        <v>0</v>
      </c>
      <c r="AK2614" s="2">
        <f t="shared" si="363"/>
        <v>47.4</v>
      </c>
      <c r="AL2614" s="5">
        <f t="shared" si="365"/>
        <v>0.6</v>
      </c>
    </row>
    <row r="2615" spans="1:38" x14ac:dyDescent="0.2">
      <c r="A2615" s="2">
        <v>2025</v>
      </c>
      <c r="B2615" s="2">
        <v>9</v>
      </c>
      <c r="D2615" s="2" t="s">
        <v>297</v>
      </c>
      <c r="E2615" s="2" t="s">
        <v>38</v>
      </c>
      <c r="F2615" s="2" t="s">
        <v>39</v>
      </c>
      <c r="G2615" s="2">
        <v>510939570</v>
      </c>
      <c r="H2615" s="2" t="s">
        <v>41</v>
      </c>
      <c r="I2615" s="2" t="s">
        <v>298</v>
      </c>
      <c r="J2615" s="2" t="s">
        <v>299</v>
      </c>
      <c r="K2615" s="2">
        <v>962678129</v>
      </c>
      <c r="L2615" s="2" t="s">
        <v>177</v>
      </c>
      <c r="M2615" s="2" t="s">
        <v>40</v>
      </c>
      <c r="O2615" s="2" t="s">
        <v>2218</v>
      </c>
      <c r="P2615" s="2" t="s">
        <v>187</v>
      </c>
      <c r="Q2615" s="2" t="s">
        <v>191</v>
      </c>
      <c r="R2615" s="2" t="s">
        <v>190</v>
      </c>
      <c r="S2615" s="2">
        <v>1</v>
      </c>
      <c r="T2615" s="2">
        <v>50</v>
      </c>
      <c r="U2615" s="2">
        <v>11.5</v>
      </c>
      <c r="V2615" s="2">
        <v>61.5</v>
      </c>
      <c r="W2615" s="2">
        <f>T2615*50%</f>
        <v>25</v>
      </c>
      <c r="X2615" s="5">
        <f t="shared" ref="X2615:X2646" si="366">(T2615-W2615)/T2615</f>
        <v>0.5</v>
      </c>
      <c r="Z2615" s="2" t="s">
        <v>117</v>
      </c>
      <c r="AA2615" s="2" t="s">
        <v>190</v>
      </c>
      <c r="AB2615" s="2" t="s">
        <v>190</v>
      </c>
      <c r="AC2615" s="2" t="s">
        <v>40</v>
      </c>
      <c r="AF2615" s="2">
        <f t="shared" si="361"/>
        <v>0</v>
      </c>
      <c r="AJ2615" s="2">
        <f t="shared" si="362"/>
        <v>0</v>
      </c>
      <c r="AK2615" s="2">
        <f t="shared" si="363"/>
        <v>25</v>
      </c>
      <c r="AL2615" s="5">
        <f t="shared" si="365"/>
        <v>0.5</v>
      </c>
    </row>
    <row r="2616" spans="1:38" x14ac:dyDescent="0.2">
      <c r="A2616" s="2">
        <v>2025</v>
      </c>
      <c r="B2616" s="2">
        <v>9</v>
      </c>
      <c r="D2616" s="2" t="s">
        <v>314</v>
      </c>
      <c r="E2616" s="2" t="s">
        <v>108</v>
      </c>
      <c r="G2616" s="2">
        <v>503270520</v>
      </c>
      <c r="H2616" s="2" t="s">
        <v>40</v>
      </c>
      <c r="I2616" s="2" t="s">
        <v>315</v>
      </c>
      <c r="J2616" s="2" t="s">
        <v>316</v>
      </c>
      <c r="L2616" s="2" t="s">
        <v>99</v>
      </c>
      <c r="P2616" s="2" t="s">
        <v>72</v>
      </c>
      <c r="Q2616" s="2" t="s">
        <v>912</v>
      </c>
      <c r="R2616" s="2" t="s">
        <v>74</v>
      </c>
      <c r="S2616" s="2">
        <v>1</v>
      </c>
      <c r="T2616" s="2">
        <v>220</v>
      </c>
      <c r="U2616" s="2">
        <v>50.6</v>
      </c>
      <c r="V2616" s="2">
        <v>270.60000000000002</v>
      </c>
      <c r="W2616" s="2">
        <f>115.92+6.06</f>
        <v>121.98</v>
      </c>
      <c r="X2616" s="5">
        <f t="shared" si="366"/>
        <v>0.44554545454545452</v>
      </c>
      <c r="Z2616" s="2" t="s">
        <v>3227</v>
      </c>
      <c r="AA2616" s="2" t="s">
        <v>75</v>
      </c>
      <c r="AB2616" s="2" t="s">
        <v>76</v>
      </c>
      <c r="AC2616" s="2" t="s">
        <v>77</v>
      </c>
      <c r="AF2616" s="2">
        <f t="shared" si="361"/>
        <v>0</v>
      </c>
      <c r="AJ2616" s="2">
        <f t="shared" si="362"/>
        <v>0</v>
      </c>
      <c r="AK2616" s="2">
        <f t="shared" si="363"/>
        <v>98.02</v>
      </c>
      <c r="AL2616" s="5">
        <f t="shared" si="365"/>
        <v>0.44554545454545452</v>
      </c>
    </row>
    <row r="2617" spans="1:38" x14ac:dyDescent="0.2">
      <c r="A2617" s="2">
        <v>2025</v>
      </c>
      <c r="B2617" s="2">
        <v>9</v>
      </c>
      <c r="D2617" s="2" t="s">
        <v>314</v>
      </c>
      <c r="E2617" s="2" t="s">
        <v>108</v>
      </c>
      <c r="G2617" s="2">
        <v>503270520</v>
      </c>
      <c r="H2617" s="2" t="s">
        <v>40</v>
      </c>
      <c r="I2617" s="2" t="s">
        <v>315</v>
      </c>
      <c r="J2617" s="2" t="s">
        <v>316</v>
      </c>
      <c r="L2617" s="2" t="s">
        <v>99</v>
      </c>
      <c r="P2617" s="2" t="s">
        <v>93</v>
      </c>
      <c r="Q2617" s="2" t="s">
        <v>94</v>
      </c>
      <c r="R2617" s="2" t="s">
        <v>95</v>
      </c>
      <c r="S2617" s="2">
        <v>1</v>
      </c>
      <c r="T2617" s="2">
        <v>1.1399999999999999</v>
      </c>
      <c r="U2617" s="2">
        <v>0.26219999999999999</v>
      </c>
      <c r="V2617" s="2">
        <v>1.4021999999999999</v>
      </c>
      <c r="W2617" s="2">
        <v>1.1399999999999999</v>
      </c>
      <c r="X2617" s="5">
        <f t="shared" si="366"/>
        <v>0</v>
      </c>
      <c r="Z2617" s="2" t="s">
        <v>3227</v>
      </c>
      <c r="AA2617" s="2" t="s">
        <v>96</v>
      </c>
      <c r="AB2617" s="2" t="s">
        <v>76</v>
      </c>
      <c r="AC2617" s="2" t="s">
        <v>93</v>
      </c>
      <c r="AF2617" s="2">
        <f t="shared" si="361"/>
        <v>0</v>
      </c>
      <c r="AJ2617" s="2">
        <f t="shared" si="362"/>
        <v>0</v>
      </c>
      <c r="AK2617" s="2">
        <f t="shared" si="363"/>
        <v>0</v>
      </c>
      <c r="AL2617" s="5">
        <f t="shared" si="365"/>
        <v>0</v>
      </c>
    </row>
    <row r="2618" spans="1:38" x14ac:dyDescent="0.2">
      <c r="A2618" s="2">
        <v>2025</v>
      </c>
      <c r="B2618" s="2">
        <v>9</v>
      </c>
      <c r="D2618" s="2" t="s">
        <v>319</v>
      </c>
      <c r="E2618" s="2" t="s">
        <v>38</v>
      </c>
      <c r="F2618" s="2" t="s">
        <v>39</v>
      </c>
      <c r="G2618" s="2">
        <v>500883262</v>
      </c>
      <c r="H2618" s="2" t="s">
        <v>40</v>
      </c>
      <c r="I2618" s="2" t="s">
        <v>99</v>
      </c>
      <c r="J2618" s="2" t="s">
        <v>320</v>
      </c>
      <c r="L2618" s="2" t="s">
        <v>99</v>
      </c>
      <c r="M2618" s="2" t="s">
        <v>80</v>
      </c>
      <c r="O2618" s="2" t="s">
        <v>2219</v>
      </c>
      <c r="P2618" s="2" t="s">
        <v>43</v>
      </c>
      <c r="Q2618" s="2" t="s">
        <v>969</v>
      </c>
      <c r="R2618" s="2" t="s">
        <v>970</v>
      </c>
      <c r="S2618" s="2">
        <v>8</v>
      </c>
      <c r="T2618" s="2">
        <v>232</v>
      </c>
      <c r="U2618" s="2">
        <v>53.36</v>
      </c>
      <c r="V2618" s="2">
        <v>285.36</v>
      </c>
      <c r="W2618" s="2">
        <f>18.3719*S2618</f>
        <v>146.9752</v>
      </c>
      <c r="X2618" s="5">
        <f t="shared" si="366"/>
        <v>0.3664862068965517</v>
      </c>
      <c r="Z2618" s="2" t="s">
        <v>3227</v>
      </c>
      <c r="AA2618" s="2" t="s">
        <v>46</v>
      </c>
      <c r="AB2618" s="2" t="s">
        <v>60</v>
      </c>
      <c r="AC2618" s="2" t="s">
        <v>57</v>
      </c>
      <c r="AF2618" s="2">
        <f t="shared" si="361"/>
        <v>0</v>
      </c>
      <c r="AJ2618" s="2">
        <f t="shared" si="362"/>
        <v>0</v>
      </c>
      <c r="AK2618" s="2">
        <f t="shared" si="363"/>
        <v>85.024799999999999</v>
      </c>
      <c r="AL2618" s="5">
        <f t="shared" si="365"/>
        <v>0.3664862068965517</v>
      </c>
    </row>
    <row r="2619" spans="1:38" x14ac:dyDescent="0.2">
      <c r="A2619" s="2">
        <v>2025</v>
      </c>
      <c r="B2619" s="2">
        <v>9</v>
      </c>
      <c r="D2619" s="2" t="s">
        <v>319</v>
      </c>
      <c r="E2619" s="2" t="s">
        <v>38</v>
      </c>
      <c r="F2619" s="2" t="s">
        <v>39</v>
      </c>
      <c r="G2619" s="2">
        <v>500883262</v>
      </c>
      <c r="H2619" s="2" t="s">
        <v>40</v>
      </c>
      <c r="I2619" s="2" t="s">
        <v>99</v>
      </c>
      <c r="J2619" s="2" t="s">
        <v>320</v>
      </c>
      <c r="L2619" s="2" t="s">
        <v>99</v>
      </c>
      <c r="M2619" s="2" t="s">
        <v>80</v>
      </c>
      <c r="O2619" s="2" t="s">
        <v>2219</v>
      </c>
      <c r="P2619" s="2" t="s">
        <v>43</v>
      </c>
      <c r="Q2619" s="2" t="s">
        <v>971</v>
      </c>
      <c r="R2619" s="2" t="s">
        <v>972</v>
      </c>
      <c r="S2619" s="2">
        <v>9</v>
      </c>
      <c r="T2619" s="2">
        <v>261</v>
      </c>
      <c r="U2619" s="2">
        <v>60.03</v>
      </c>
      <c r="V2619" s="2">
        <v>321.02999999999997</v>
      </c>
      <c r="W2619" s="2">
        <f>18.9342*S2619</f>
        <v>170.40780000000001</v>
      </c>
      <c r="X2619" s="5">
        <f t="shared" si="366"/>
        <v>0.34709655172413789</v>
      </c>
      <c r="Z2619" s="2" t="s">
        <v>3227</v>
      </c>
      <c r="AA2619" s="2" t="s">
        <v>46</v>
      </c>
      <c r="AB2619" s="2" t="s">
        <v>60</v>
      </c>
      <c r="AC2619" s="2" t="s">
        <v>57</v>
      </c>
      <c r="AF2619" s="2">
        <f t="shared" si="361"/>
        <v>0</v>
      </c>
      <c r="AJ2619" s="2">
        <f t="shared" si="362"/>
        <v>0</v>
      </c>
      <c r="AK2619" s="2">
        <f t="shared" si="363"/>
        <v>90.592199999999991</v>
      </c>
      <c r="AL2619" s="5">
        <f t="shared" si="365"/>
        <v>0.34709655172413789</v>
      </c>
    </row>
    <row r="2620" spans="1:38" x14ac:dyDescent="0.2">
      <c r="A2620" s="2">
        <v>2025</v>
      </c>
      <c r="B2620" s="2">
        <v>9</v>
      </c>
      <c r="D2620" s="2" t="s">
        <v>319</v>
      </c>
      <c r="E2620" s="2" t="s">
        <v>38</v>
      </c>
      <c r="F2620" s="2" t="s">
        <v>39</v>
      </c>
      <c r="G2620" s="2">
        <v>500883262</v>
      </c>
      <c r="H2620" s="2" t="s">
        <v>40</v>
      </c>
      <c r="I2620" s="2" t="s">
        <v>99</v>
      </c>
      <c r="J2620" s="2" t="s">
        <v>320</v>
      </c>
      <c r="L2620" s="2" t="s">
        <v>99</v>
      </c>
      <c r="M2620" s="2" t="s">
        <v>80</v>
      </c>
      <c r="O2620" s="2" t="s">
        <v>2220</v>
      </c>
      <c r="P2620" s="2" t="s">
        <v>72</v>
      </c>
      <c r="Q2620" s="2" t="s">
        <v>73</v>
      </c>
      <c r="R2620" s="2" t="s">
        <v>74</v>
      </c>
      <c r="S2620" s="2">
        <v>2</v>
      </c>
      <c r="T2620" s="2">
        <v>440</v>
      </c>
      <c r="U2620" s="2">
        <v>101.2</v>
      </c>
      <c r="V2620" s="2">
        <v>541.20000000000005</v>
      </c>
      <c r="W2620" s="2">
        <f>117.453*2</f>
        <v>234.90600000000001</v>
      </c>
      <c r="X2620" s="5">
        <f t="shared" si="366"/>
        <v>0.46612272727272724</v>
      </c>
      <c r="Z2620" s="2" t="s">
        <v>3227</v>
      </c>
      <c r="AA2620" s="2" t="s">
        <v>75</v>
      </c>
      <c r="AB2620" s="2" t="s">
        <v>76</v>
      </c>
      <c r="AC2620" s="2" t="s">
        <v>77</v>
      </c>
      <c r="AF2620" s="2">
        <f t="shared" si="361"/>
        <v>0</v>
      </c>
      <c r="AG2620" s="2">
        <v>117.453</v>
      </c>
      <c r="AH2620" s="2">
        <v>220</v>
      </c>
      <c r="AJ2620" s="2">
        <f t="shared" si="362"/>
        <v>0</v>
      </c>
      <c r="AK2620" s="2">
        <f t="shared" si="363"/>
        <v>205.09399999999999</v>
      </c>
      <c r="AL2620" s="5">
        <f t="shared" si="365"/>
        <v>0.46612272727272724</v>
      </c>
    </row>
    <row r="2621" spans="1:38" x14ac:dyDescent="0.2">
      <c r="A2621" s="2">
        <v>2025</v>
      </c>
      <c r="B2621" s="2">
        <v>9</v>
      </c>
      <c r="D2621" s="2" t="s">
        <v>319</v>
      </c>
      <c r="E2621" s="2" t="s">
        <v>38</v>
      </c>
      <c r="F2621" s="2" t="s">
        <v>39</v>
      </c>
      <c r="G2621" s="2">
        <v>500883262</v>
      </c>
      <c r="H2621" s="2" t="s">
        <v>40</v>
      </c>
      <c r="I2621" s="2" t="s">
        <v>99</v>
      </c>
      <c r="J2621" s="2" t="s">
        <v>320</v>
      </c>
      <c r="L2621" s="2" t="s">
        <v>99</v>
      </c>
      <c r="M2621" s="2" t="s">
        <v>80</v>
      </c>
      <c r="O2621" s="2" t="s">
        <v>2220</v>
      </c>
      <c r="P2621" s="2" t="s">
        <v>93</v>
      </c>
      <c r="Q2621" s="2" t="s">
        <v>94</v>
      </c>
      <c r="R2621" s="2" t="s">
        <v>95</v>
      </c>
      <c r="S2621" s="2">
        <v>2</v>
      </c>
      <c r="T2621" s="2">
        <v>2.2799999999999998</v>
      </c>
      <c r="U2621" s="2">
        <v>0.52439999999999998</v>
      </c>
      <c r="V2621" s="2">
        <v>2.8043999999999998</v>
      </c>
      <c r="W2621" s="2">
        <v>2.2799999999999998</v>
      </c>
      <c r="X2621" s="5">
        <f t="shared" si="366"/>
        <v>0</v>
      </c>
      <c r="Z2621" s="2" t="s">
        <v>3227</v>
      </c>
      <c r="AA2621" s="2" t="s">
        <v>96</v>
      </c>
      <c r="AB2621" s="2" t="s">
        <v>76</v>
      </c>
      <c r="AC2621" s="2" t="s">
        <v>93</v>
      </c>
      <c r="AF2621" s="2">
        <f t="shared" si="361"/>
        <v>0</v>
      </c>
      <c r="AJ2621" s="2">
        <f t="shared" si="362"/>
        <v>0</v>
      </c>
      <c r="AK2621" s="2">
        <f t="shared" si="363"/>
        <v>0</v>
      </c>
      <c r="AL2621" s="5">
        <f t="shared" si="365"/>
        <v>0</v>
      </c>
    </row>
    <row r="2622" spans="1:38" x14ac:dyDescent="0.2">
      <c r="A2622" s="2">
        <v>2025</v>
      </c>
      <c r="B2622" s="2">
        <v>9</v>
      </c>
      <c r="D2622" s="2" t="s">
        <v>1759</v>
      </c>
      <c r="P2622" s="2" t="s">
        <v>114</v>
      </c>
      <c r="Q2622" s="2" t="s">
        <v>926</v>
      </c>
      <c r="R2622" s="2" t="s">
        <v>927</v>
      </c>
      <c r="S2622" s="2">
        <v>1</v>
      </c>
      <c r="T2622" s="2">
        <v>430</v>
      </c>
      <c r="U2622" s="2">
        <v>98.9</v>
      </c>
      <c r="V2622" s="2">
        <v>528.9</v>
      </c>
      <c r="X2622" s="5">
        <f t="shared" si="366"/>
        <v>1</v>
      </c>
      <c r="AF2622" s="2">
        <f t="shared" si="361"/>
        <v>0</v>
      </c>
      <c r="AJ2622" s="2">
        <f t="shared" si="362"/>
        <v>0</v>
      </c>
      <c r="AK2622" s="2">
        <f t="shared" si="363"/>
        <v>430</v>
      </c>
      <c r="AL2622" s="5">
        <f t="shared" si="365"/>
        <v>1</v>
      </c>
    </row>
    <row r="2623" spans="1:38" x14ac:dyDescent="0.2">
      <c r="A2623" s="2">
        <v>2025</v>
      </c>
      <c r="B2623" s="2">
        <v>9</v>
      </c>
      <c r="D2623" s="2" t="s">
        <v>2221</v>
      </c>
      <c r="P2623" s="2" t="s">
        <v>114</v>
      </c>
      <c r="Q2623" s="2" t="s">
        <v>135</v>
      </c>
      <c r="R2623" s="2" t="s">
        <v>136</v>
      </c>
      <c r="S2623" s="2">
        <v>1</v>
      </c>
      <c r="T2623" s="2">
        <v>725.58</v>
      </c>
      <c r="U2623" s="2">
        <v>166.88339999999999</v>
      </c>
      <c r="V2623" s="2">
        <v>892.46340000000009</v>
      </c>
      <c r="X2623" s="5">
        <f t="shared" si="366"/>
        <v>1</v>
      </c>
      <c r="AF2623" s="2">
        <f t="shared" si="361"/>
        <v>0</v>
      </c>
      <c r="AJ2623" s="2">
        <f t="shared" si="362"/>
        <v>0</v>
      </c>
      <c r="AK2623" s="2">
        <f t="shared" si="363"/>
        <v>725.58</v>
      </c>
      <c r="AL2623" s="5">
        <f t="shared" si="365"/>
        <v>1</v>
      </c>
    </row>
    <row r="2624" spans="1:38" x14ac:dyDescent="0.2">
      <c r="A2624" s="2">
        <v>2025</v>
      </c>
      <c r="B2624" s="2">
        <v>9</v>
      </c>
      <c r="D2624" s="2" t="s">
        <v>326</v>
      </c>
      <c r="E2624" s="2" t="s">
        <v>108</v>
      </c>
      <c r="F2624" s="2" t="s">
        <v>39</v>
      </c>
      <c r="G2624" s="2">
        <v>501544801</v>
      </c>
      <c r="H2624" s="2" t="s">
        <v>41</v>
      </c>
      <c r="I2624" s="2" t="s">
        <v>327</v>
      </c>
      <c r="J2624" s="2" t="s">
        <v>328</v>
      </c>
      <c r="L2624" s="2" t="s">
        <v>177</v>
      </c>
      <c r="Q2624" s="2" t="s">
        <v>2222</v>
      </c>
      <c r="R2624" s="2" t="s">
        <v>1110</v>
      </c>
      <c r="S2624" s="2">
        <v>1</v>
      </c>
      <c r="T2624" s="2">
        <v>1450</v>
      </c>
      <c r="U2624" s="2">
        <v>333.5</v>
      </c>
      <c r="V2624" s="2">
        <v>1783.5</v>
      </c>
      <c r="X2624" s="5">
        <f t="shared" si="366"/>
        <v>1</v>
      </c>
      <c r="AF2624" s="2">
        <f t="shared" si="361"/>
        <v>0</v>
      </c>
      <c r="AJ2624" s="2">
        <f t="shared" si="362"/>
        <v>0</v>
      </c>
      <c r="AK2624" s="2">
        <f t="shared" si="363"/>
        <v>1450</v>
      </c>
      <c r="AL2624" s="5">
        <f t="shared" si="365"/>
        <v>1</v>
      </c>
    </row>
    <row r="2625" spans="1:38" x14ac:dyDescent="0.2">
      <c r="A2625" s="2">
        <v>2025</v>
      </c>
      <c r="B2625" s="2">
        <v>9</v>
      </c>
      <c r="D2625" s="2" t="s">
        <v>332</v>
      </c>
      <c r="E2625" s="2" t="s">
        <v>108</v>
      </c>
      <c r="F2625" s="2" t="s">
        <v>39</v>
      </c>
      <c r="G2625" s="2">
        <v>513493557</v>
      </c>
      <c r="H2625" s="2" t="s">
        <v>41</v>
      </c>
      <c r="I2625" s="2" t="s">
        <v>279</v>
      </c>
      <c r="J2625" s="2" t="s">
        <v>333</v>
      </c>
      <c r="L2625" s="2" t="s">
        <v>177</v>
      </c>
      <c r="M2625" s="2" t="s">
        <v>41</v>
      </c>
      <c r="P2625" s="2" t="s">
        <v>43</v>
      </c>
      <c r="Q2625" s="2" t="s">
        <v>240</v>
      </c>
      <c r="R2625" s="2" t="s">
        <v>241</v>
      </c>
      <c r="S2625" s="2">
        <v>1</v>
      </c>
      <c r="T2625" s="2">
        <v>24</v>
      </c>
      <c r="U2625" s="2">
        <v>5.52</v>
      </c>
      <c r="V2625" s="2">
        <v>29.52</v>
      </c>
      <c r="W2625" s="2">
        <f>13.4067*S2625</f>
        <v>13.406700000000001</v>
      </c>
      <c r="X2625" s="5">
        <f t="shared" si="366"/>
        <v>0.44138749999999999</v>
      </c>
      <c r="Z2625" s="2" t="s">
        <v>3227</v>
      </c>
      <c r="AA2625" s="2" t="s">
        <v>46</v>
      </c>
      <c r="AB2625" s="2" t="s">
        <v>56</v>
      </c>
      <c r="AC2625" s="2" t="s">
        <v>57</v>
      </c>
      <c r="AF2625" s="2">
        <f t="shared" si="361"/>
        <v>0</v>
      </c>
      <c r="AJ2625" s="2">
        <f t="shared" si="362"/>
        <v>0</v>
      </c>
      <c r="AK2625" s="2">
        <f t="shared" si="363"/>
        <v>10.593299999999999</v>
      </c>
      <c r="AL2625" s="5">
        <f t="shared" si="365"/>
        <v>0.44138749999999999</v>
      </c>
    </row>
    <row r="2626" spans="1:38" x14ac:dyDescent="0.2">
      <c r="A2626" s="2">
        <v>2025</v>
      </c>
      <c r="B2626" s="2">
        <v>9</v>
      </c>
      <c r="D2626" s="2" t="s">
        <v>332</v>
      </c>
      <c r="E2626" s="2" t="s">
        <v>108</v>
      </c>
      <c r="F2626" s="2" t="s">
        <v>39</v>
      </c>
      <c r="G2626" s="2">
        <v>513493557</v>
      </c>
      <c r="H2626" s="2" t="s">
        <v>41</v>
      </c>
      <c r="I2626" s="2" t="s">
        <v>279</v>
      </c>
      <c r="J2626" s="2" t="s">
        <v>333</v>
      </c>
      <c r="L2626" s="2" t="s">
        <v>177</v>
      </c>
      <c r="M2626" s="2" t="s">
        <v>41</v>
      </c>
      <c r="P2626" s="2" t="s">
        <v>43</v>
      </c>
      <c r="Q2626" s="2" t="s">
        <v>58</v>
      </c>
      <c r="R2626" s="2" t="s">
        <v>59</v>
      </c>
      <c r="S2626" s="2">
        <v>500</v>
      </c>
      <c r="T2626" s="2">
        <v>65</v>
      </c>
      <c r="U2626" s="2">
        <v>14.95</v>
      </c>
      <c r="V2626" s="2">
        <v>79.95</v>
      </c>
      <c r="W2626" s="2">
        <f>0.0914*S2626</f>
        <v>45.699999999999996</v>
      </c>
      <c r="X2626" s="5">
        <f t="shared" si="366"/>
        <v>0.29692307692307701</v>
      </c>
      <c r="Z2626" s="2" t="s">
        <v>3227</v>
      </c>
      <c r="AA2626" s="2" t="s">
        <v>46</v>
      </c>
      <c r="AB2626" s="2" t="s">
        <v>60</v>
      </c>
      <c r="AC2626" s="2" t="s">
        <v>57</v>
      </c>
      <c r="AF2626" s="2">
        <f t="shared" ref="AF2626:AF2689" si="367">AJ2626</f>
        <v>0</v>
      </c>
      <c r="AG2626" s="2">
        <v>9.14</v>
      </c>
      <c r="AH2626" s="2">
        <v>16</v>
      </c>
      <c r="AJ2626" s="2">
        <f t="shared" ref="AJ2626:AJ2689" si="368">AI2626*T2626</f>
        <v>0</v>
      </c>
      <c r="AK2626" s="2">
        <f t="shared" si="363"/>
        <v>19.300000000000004</v>
      </c>
      <c r="AL2626" s="5">
        <f t="shared" si="365"/>
        <v>0.29692307692307701</v>
      </c>
    </row>
    <row r="2627" spans="1:38" x14ac:dyDescent="0.2">
      <c r="A2627" s="2">
        <v>2025</v>
      </c>
      <c r="B2627" s="2">
        <v>9</v>
      </c>
      <c r="D2627" s="2" t="s">
        <v>332</v>
      </c>
      <c r="E2627" s="2" t="s">
        <v>108</v>
      </c>
      <c r="F2627" s="2" t="s">
        <v>39</v>
      </c>
      <c r="G2627" s="2">
        <v>513493557</v>
      </c>
      <c r="H2627" s="2" t="s">
        <v>41</v>
      </c>
      <c r="I2627" s="2" t="s">
        <v>279</v>
      </c>
      <c r="J2627" s="2" t="s">
        <v>333</v>
      </c>
      <c r="L2627" s="2" t="s">
        <v>177</v>
      </c>
      <c r="M2627" s="2" t="s">
        <v>41</v>
      </c>
      <c r="P2627" s="2" t="s">
        <v>43</v>
      </c>
      <c r="Q2627" s="2" t="s">
        <v>65</v>
      </c>
      <c r="R2627" s="2" t="s">
        <v>66</v>
      </c>
      <c r="S2627" s="2">
        <v>4</v>
      </c>
      <c r="T2627" s="2">
        <v>88</v>
      </c>
      <c r="U2627" s="2">
        <v>20.239999999999998</v>
      </c>
      <c r="V2627" s="2">
        <v>108.24</v>
      </c>
      <c r="W2627" s="2">
        <f>15.0203*S2627</f>
        <v>60.081200000000003</v>
      </c>
      <c r="X2627" s="5">
        <f t="shared" si="366"/>
        <v>0.31725909090909088</v>
      </c>
      <c r="Z2627" s="2" t="s">
        <v>3227</v>
      </c>
      <c r="AA2627" s="2" t="s">
        <v>46</v>
      </c>
      <c r="AB2627" s="2" t="s">
        <v>67</v>
      </c>
      <c r="AC2627" s="2" t="s">
        <v>57</v>
      </c>
      <c r="AF2627" s="2">
        <f t="shared" si="367"/>
        <v>0</v>
      </c>
      <c r="AG2627" s="2">
        <v>15.020300000000001</v>
      </c>
      <c r="AH2627" s="2">
        <v>27.6</v>
      </c>
      <c r="AJ2627" s="2">
        <f t="shared" si="368"/>
        <v>0</v>
      </c>
      <c r="AK2627" s="2">
        <f t="shared" si="363"/>
        <v>27.918799999999997</v>
      </c>
      <c r="AL2627" s="5">
        <f t="shared" si="365"/>
        <v>0.31725909090909088</v>
      </c>
    </row>
    <row r="2628" spans="1:38" x14ac:dyDescent="0.2">
      <c r="A2628" s="2">
        <v>2025</v>
      </c>
      <c r="B2628" s="2">
        <v>9</v>
      </c>
      <c r="D2628" s="2" t="s">
        <v>332</v>
      </c>
      <c r="E2628" s="2" t="s">
        <v>108</v>
      </c>
      <c r="F2628" s="2" t="s">
        <v>39</v>
      </c>
      <c r="G2628" s="2">
        <v>513493557</v>
      </c>
      <c r="H2628" s="2" t="s">
        <v>41</v>
      </c>
      <c r="I2628" s="2" t="s">
        <v>279</v>
      </c>
      <c r="J2628" s="2" t="s">
        <v>333</v>
      </c>
      <c r="L2628" s="2" t="s">
        <v>177</v>
      </c>
      <c r="M2628" s="2" t="s">
        <v>41</v>
      </c>
      <c r="P2628" s="2" t="s">
        <v>43</v>
      </c>
      <c r="Q2628" s="2" t="s">
        <v>260</v>
      </c>
      <c r="R2628" s="2" t="s">
        <v>261</v>
      </c>
      <c r="S2628" s="2">
        <v>2</v>
      </c>
      <c r="T2628" s="2">
        <v>26</v>
      </c>
      <c r="U2628" s="2">
        <v>5.98</v>
      </c>
      <c r="V2628" s="2">
        <v>31.98</v>
      </c>
      <c r="W2628" s="2">
        <f>8.3145*S2628</f>
        <v>16.629000000000001</v>
      </c>
      <c r="X2628" s="5">
        <f t="shared" si="366"/>
        <v>0.36042307692307685</v>
      </c>
      <c r="Z2628" s="2" t="s">
        <v>3227</v>
      </c>
      <c r="AA2628" s="2" t="s">
        <v>46</v>
      </c>
      <c r="AB2628" s="2" t="s">
        <v>67</v>
      </c>
      <c r="AC2628" s="2" t="s">
        <v>57</v>
      </c>
      <c r="AF2628" s="2">
        <f t="shared" si="367"/>
        <v>0</v>
      </c>
      <c r="AG2628" s="2">
        <v>8.3145000000000007</v>
      </c>
      <c r="AH2628" s="2">
        <v>15</v>
      </c>
      <c r="AJ2628" s="2">
        <f t="shared" si="368"/>
        <v>0</v>
      </c>
      <c r="AK2628" s="2">
        <f t="shared" si="363"/>
        <v>9.3709999999999987</v>
      </c>
      <c r="AL2628" s="5">
        <f t="shared" si="365"/>
        <v>0.36042307692307685</v>
      </c>
    </row>
    <row r="2629" spans="1:38" x14ac:dyDescent="0.2">
      <c r="A2629" s="2">
        <v>2025</v>
      </c>
      <c r="B2629" s="2">
        <v>9</v>
      </c>
      <c r="D2629" s="2" t="s">
        <v>980</v>
      </c>
      <c r="E2629" s="2" t="s">
        <v>38</v>
      </c>
      <c r="F2629" s="2" t="s">
        <v>39</v>
      </c>
      <c r="L2629" s="2" t="s">
        <v>418</v>
      </c>
      <c r="M2629" s="2" t="s">
        <v>41</v>
      </c>
      <c r="P2629" s="2" t="s">
        <v>43</v>
      </c>
      <c r="Q2629" s="2" t="s">
        <v>222</v>
      </c>
      <c r="R2629" s="2" t="s">
        <v>223</v>
      </c>
      <c r="S2629" s="2">
        <v>1</v>
      </c>
      <c r="T2629" s="2">
        <v>45</v>
      </c>
      <c r="U2629" s="2">
        <v>10.35</v>
      </c>
      <c r="V2629" s="2">
        <v>55.35</v>
      </c>
      <c r="W2629" s="2">
        <f>16*S2629</f>
        <v>16</v>
      </c>
      <c r="X2629" s="5">
        <f t="shared" si="366"/>
        <v>0.64444444444444449</v>
      </c>
      <c r="Z2629" s="2" t="s">
        <v>3227</v>
      </c>
      <c r="AA2629" s="2" t="s">
        <v>46</v>
      </c>
      <c r="AB2629" s="2" t="s">
        <v>56</v>
      </c>
      <c r="AC2629" s="2" t="s">
        <v>57</v>
      </c>
      <c r="AF2629" s="2">
        <f t="shared" si="367"/>
        <v>0</v>
      </c>
      <c r="AJ2629" s="2">
        <f t="shared" si="368"/>
        <v>0</v>
      </c>
      <c r="AK2629" s="2">
        <f t="shared" si="363"/>
        <v>29</v>
      </c>
      <c r="AL2629" s="5">
        <f t="shared" si="365"/>
        <v>0.64444444444444449</v>
      </c>
    </row>
    <row r="2630" spans="1:38" x14ac:dyDescent="0.2">
      <c r="A2630" s="2">
        <v>2025</v>
      </c>
      <c r="B2630" s="2">
        <v>9</v>
      </c>
      <c r="D2630" s="2" t="s">
        <v>980</v>
      </c>
      <c r="E2630" s="2" t="s">
        <v>38</v>
      </c>
      <c r="F2630" s="2" t="s">
        <v>39</v>
      </c>
      <c r="L2630" s="2" t="s">
        <v>418</v>
      </c>
      <c r="M2630" s="2" t="s">
        <v>41</v>
      </c>
      <c r="P2630" s="2" t="s">
        <v>43</v>
      </c>
      <c r="Q2630" s="2" t="s">
        <v>58</v>
      </c>
      <c r="R2630" s="2" t="s">
        <v>59</v>
      </c>
      <c r="S2630" s="2">
        <v>100</v>
      </c>
      <c r="T2630" s="2">
        <v>14</v>
      </c>
      <c r="U2630" s="2">
        <v>3.22</v>
      </c>
      <c r="V2630" s="2">
        <v>17.22</v>
      </c>
      <c r="W2630" s="2">
        <f>0.0914*S2630</f>
        <v>9.1399999999999988</v>
      </c>
      <c r="X2630" s="5">
        <f t="shared" si="366"/>
        <v>0.34714285714285725</v>
      </c>
      <c r="Z2630" s="2" t="s">
        <v>3227</v>
      </c>
      <c r="AA2630" s="2" t="s">
        <v>46</v>
      </c>
      <c r="AB2630" s="2" t="s">
        <v>60</v>
      </c>
      <c r="AC2630" s="2" t="s">
        <v>57</v>
      </c>
      <c r="AF2630" s="2">
        <f t="shared" si="367"/>
        <v>0</v>
      </c>
      <c r="AG2630" s="2">
        <v>9.14</v>
      </c>
      <c r="AH2630" s="2">
        <v>16</v>
      </c>
      <c r="AJ2630" s="2">
        <f t="shared" si="368"/>
        <v>0</v>
      </c>
      <c r="AK2630" s="2">
        <f t="shared" si="363"/>
        <v>4.8600000000000012</v>
      </c>
      <c r="AL2630" s="5">
        <f t="shared" si="365"/>
        <v>0.34714285714285725</v>
      </c>
    </row>
    <row r="2631" spans="1:38" x14ac:dyDescent="0.2">
      <c r="A2631" s="2">
        <v>2025</v>
      </c>
      <c r="B2631" s="2">
        <v>9</v>
      </c>
      <c r="D2631" s="2" t="s">
        <v>980</v>
      </c>
      <c r="E2631" s="2" t="s">
        <v>38</v>
      </c>
      <c r="F2631" s="2" t="s">
        <v>39</v>
      </c>
      <c r="L2631" s="2" t="s">
        <v>418</v>
      </c>
      <c r="M2631" s="2" t="s">
        <v>41</v>
      </c>
      <c r="P2631" s="2" t="s">
        <v>43</v>
      </c>
      <c r="Q2631" s="2" t="s">
        <v>61</v>
      </c>
      <c r="R2631" s="2" t="s">
        <v>62</v>
      </c>
      <c r="S2631" s="2">
        <v>100</v>
      </c>
      <c r="T2631" s="2">
        <v>13</v>
      </c>
      <c r="U2631" s="2">
        <v>2.99</v>
      </c>
      <c r="V2631" s="2">
        <v>15.99</v>
      </c>
      <c r="W2631" s="2">
        <f>0.082*S2631</f>
        <v>8.2000000000000011</v>
      </c>
      <c r="X2631" s="5">
        <f t="shared" si="366"/>
        <v>0.36923076923076914</v>
      </c>
      <c r="Z2631" s="2" t="s">
        <v>3227</v>
      </c>
      <c r="AA2631" s="2" t="s">
        <v>46</v>
      </c>
      <c r="AB2631" s="2" t="s">
        <v>60</v>
      </c>
      <c r="AC2631" s="2" t="s">
        <v>57</v>
      </c>
      <c r="AF2631" s="2">
        <f t="shared" si="367"/>
        <v>0</v>
      </c>
      <c r="AG2631" s="2">
        <v>8.1999999999999993</v>
      </c>
      <c r="AH2631" s="2">
        <v>13</v>
      </c>
      <c r="AJ2631" s="2">
        <f t="shared" si="368"/>
        <v>0</v>
      </c>
      <c r="AK2631" s="2">
        <f t="shared" si="363"/>
        <v>4.7999999999999989</v>
      </c>
      <c r="AL2631" s="5">
        <f t="shared" si="365"/>
        <v>0.36923076923076914</v>
      </c>
    </row>
    <row r="2632" spans="1:38" x14ac:dyDescent="0.2">
      <c r="A2632" s="2">
        <v>2025</v>
      </c>
      <c r="B2632" s="2">
        <v>9</v>
      </c>
      <c r="D2632" s="2" t="s">
        <v>980</v>
      </c>
      <c r="E2632" s="2" t="s">
        <v>38</v>
      </c>
      <c r="F2632" s="2" t="s">
        <v>39</v>
      </c>
      <c r="L2632" s="2" t="s">
        <v>418</v>
      </c>
      <c r="M2632" s="2" t="s">
        <v>41</v>
      </c>
      <c r="P2632" s="2" t="s">
        <v>43</v>
      </c>
      <c r="Q2632" s="2" t="s">
        <v>254</v>
      </c>
      <c r="R2632" s="2" t="s">
        <v>255</v>
      </c>
      <c r="S2632" s="2">
        <v>100</v>
      </c>
      <c r="T2632" s="2">
        <v>15</v>
      </c>
      <c r="U2632" s="2">
        <v>3.45</v>
      </c>
      <c r="V2632" s="2">
        <v>18.45</v>
      </c>
      <c r="W2632" s="2">
        <f>0.0914*S2632</f>
        <v>9.1399999999999988</v>
      </c>
      <c r="X2632" s="5">
        <f t="shared" si="366"/>
        <v>0.39066666666666677</v>
      </c>
      <c r="Z2632" s="2" t="s">
        <v>3227</v>
      </c>
      <c r="AA2632" s="2" t="s">
        <v>46</v>
      </c>
      <c r="AB2632" s="2" t="s">
        <v>60</v>
      </c>
      <c r="AC2632" s="2" t="s">
        <v>57</v>
      </c>
      <c r="AF2632" s="2">
        <f t="shared" si="367"/>
        <v>0</v>
      </c>
      <c r="AJ2632" s="2">
        <f t="shared" si="368"/>
        <v>0</v>
      </c>
      <c r="AK2632" s="2">
        <f t="shared" si="363"/>
        <v>5.8600000000000012</v>
      </c>
      <c r="AL2632" s="5">
        <f t="shared" si="365"/>
        <v>0.39066666666666677</v>
      </c>
    </row>
    <row r="2633" spans="1:38" x14ac:dyDescent="0.2">
      <c r="A2633" s="2">
        <v>2025</v>
      </c>
      <c r="B2633" s="2">
        <v>9</v>
      </c>
      <c r="D2633" s="2" t="s">
        <v>981</v>
      </c>
      <c r="E2633" s="2" t="s">
        <v>108</v>
      </c>
      <c r="F2633" s="2" t="s">
        <v>717</v>
      </c>
      <c r="G2633" s="2">
        <v>500594309</v>
      </c>
      <c r="H2633" s="2" t="s">
        <v>290</v>
      </c>
      <c r="I2633" s="2" t="s">
        <v>982</v>
      </c>
      <c r="J2633" s="2" t="s">
        <v>983</v>
      </c>
      <c r="L2633" s="2" t="s">
        <v>293</v>
      </c>
      <c r="M2633" s="2" t="s">
        <v>80</v>
      </c>
      <c r="O2633" s="2" t="s">
        <v>2223</v>
      </c>
      <c r="P2633" s="2" t="s">
        <v>72</v>
      </c>
      <c r="Q2633" s="2" t="s">
        <v>380</v>
      </c>
      <c r="R2633" s="2" t="s">
        <v>381</v>
      </c>
      <c r="S2633" s="2">
        <v>1</v>
      </c>
      <c r="T2633" s="2">
        <v>240</v>
      </c>
      <c r="U2633" s="2">
        <v>55.2</v>
      </c>
      <c r="V2633" s="2">
        <v>295.2</v>
      </c>
      <c r="W2633" s="2">
        <v>139.46</v>
      </c>
      <c r="X2633" s="5">
        <f t="shared" si="366"/>
        <v>0.41891666666666666</v>
      </c>
      <c r="Z2633" s="2" t="s">
        <v>3227</v>
      </c>
      <c r="AA2633" s="2" t="s">
        <v>75</v>
      </c>
      <c r="AB2633" s="2" t="s">
        <v>76</v>
      </c>
      <c r="AC2633" s="2" t="s">
        <v>77</v>
      </c>
      <c r="AF2633" s="2">
        <f t="shared" si="367"/>
        <v>0</v>
      </c>
      <c r="AJ2633" s="2">
        <f t="shared" si="368"/>
        <v>0</v>
      </c>
      <c r="AK2633" s="2">
        <f t="shared" si="363"/>
        <v>100.53999999999999</v>
      </c>
      <c r="AL2633" s="5">
        <f t="shared" si="365"/>
        <v>0.41891666666666666</v>
      </c>
    </row>
    <row r="2634" spans="1:38" x14ac:dyDescent="0.2">
      <c r="A2634" s="2">
        <v>2025</v>
      </c>
      <c r="B2634" s="2">
        <v>9</v>
      </c>
      <c r="D2634" s="2" t="s">
        <v>981</v>
      </c>
      <c r="E2634" s="2" t="s">
        <v>108</v>
      </c>
      <c r="F2634" s="2" t="s">
        <v>717</v>
      </c>
      <c r="G2634" s="2">
        <v>500594309</v>
      </c>
      <c r="H2634" s="2" t="s">
        <v>290</v>
      </c>
      <c r="I2634" s="2" t="s">
        <v>982</v>
      </c>
      <c r="J2634" s="2" t="s">
        <v>983</v>
      </c>
      <c r="L2634" s="2" t="s">
        <v>293</v>
      </c>
      <c r="M2634" s="2" t="s">
        <v>80</v>
      </c>
      <c r="O2634" s="2" t="s">
        <v>2223</v>
      </c>
      <c r="P2634" s="2" t="s">
        <v>93</v>
      </c>
      <c r="Q2634" s="2" t="s">
        <v>94</v>
      </c>
      <c r="R2634" s="2" t="s">
        <v>95</v>
      </c>
      <c r="S2634" s="2">
        <v>1</v>
      </c>
      <c r="T2634" s="2">
        <v>1.1399999999999999</v>
      </c>
      <c r="U2634" s="2">
        <v>0.26219999999999999</v>
      </c>
      <c r="V2634" s="2">
        <v>1.4021999999999999</v>
      </c>
      <c r="W2634" s="2">
        <v>1.1399999999999999</v>
      </c>
      <c r="X2634" s="5">
        <f t="shared" si="366"/>
        <v>0</v>
      </c>
      <c r="Z2634" s="2" t="s">
        <v>3227</v>
      </c>
      <c r="AA2634" s="2" t="s">
        <v>96</v>
      </c>
      <c r="AB2634" s="2" t="s">
        <v>76</v>
      </c>
      <c r="AC2634" s="2" t="s">
        <v>93</v>
      </c>
      <c r="AF2634" s="2">
        <f t="shared" si="367"/>
        <v>0</v>
      </c>
      <c r="AG2634" s="2">
        <v>1.1399999999999999</v>
      </c>
      <c r="AH2634" s="2">
        <v>1.1399999999999999</v>
      </c>
      <c r="AJ2634" s="2">
        <f t="shared" si="368"/>
        <v>0</v>
      </c>
      <c r="AK2634" s="2">
        <f t="shared" si="363"/>
        <v>0</v>
      </c>
      <c r="AL2634" s="5">
        <f t="shared" si="365"/>
        <v>0</v>
      </c>
    </row>
    <row r="2635" spans="1:38" x14ac:dyDescent="0.2">
      <c r="A2635" s="2">
        <v>2025</v>
      </c>
      <c r="B2635" s="2">
        <v>9</v>
      </c>
      <c r="D2635" s="2" t="s">
        <v>744</v>
      </c>
      <c r="E2635" s="2" t="s">
        <v>108</v>
      </c>
      <c r="F2635" s="2" t="s">
        <v>39</v>
      </c>
      <c r="G2635" s="2">
        <v>509181163</v>
      </c>
      <c r="H2635" s="2" t="s">
        <v>40</v>
      </c>
      <c r="I2635" s="2" t="s">
        <v>745</v>
      </c>
      <c r="J2635" s="2" t="s">
        <v>746</v>
      </c>
      <c r="K2635" s="2">
        <v>962372760</v>
      </c>
      <c r="L2635" s="2" t="s">
        <v>201</v>
      </c>
      <c r="M2635" s="2" t="s">
        <v>40</v>
      </c>
      <c r="O2635" s="2" t="s">
        <v>2224</v>
      </c>
      <c r="P2635" s="2" t="s">
        <v>114</v>
      </c>
      <c r="Q2635" s="2" t="s">
        <v>2225</v>
      </c>
      <c r="R2635" s="2" t="s">
        <v>2226</v>
      </c>
      <c r="S2635" s="2">
        <v>1</v>
      </c>
      <c r="T2635" s="2">
        <v>11.25</v>
      </c>
      <c r="U2635" s="2">
        <v>2.5874999999999999</v>
      </c>
      <c r="V2635" s="2">
        <v>13.8375</v>
      </c>
      <c r="W2635" s="2">
        <v>5.35</v>
      </c>
      <c r="X2635" s="5">
        <f t="shared" si="366"/>
        <v>0.52444444444444449</v>
      </c>
      <c r="Z2635" s="2" t="s">
        <v>117</v>
      </c>
      <c r="AA2635" s="2" t="s">
        <v>118</v>
      </c>
      <c r="AB2635" s="2" t="s">
        <v>119</v>
      </c>
      <c r="AC2635" s="2" t="s">
        <v>114</v>
      </c>
      <c r="AF2635" s="2">
        <f t="shared" si="367"/>
        <v>0</v>
      </c>
      <c r="AG2635" s="2">
        <v>5.35</v>
      </c>
      <c r="AJ2635" s="2">
        <f t="shared" si="368"/>
        <v>0</v>
      </c>
      <c r="AK2635" s="2">
        <f t="shared" si="363"/>
        <v>5.9</v>
      </c>
      <c r="AL2635" s="5">
        <f t="shared" si="365"/>
        <v>0.52444444444444449</v>
      </c>
    </row>
    <row r="2636" spans="1:38" x14ac:dyDescent="0.2">
      <c r="A2636" s="2">
        <v>2025</v>
      </c>
      <c r="B2636" s="2">
        <v>9</v>
      </c>
      <c r="D2636" s="2" t="s">
        <v>744</v>
      </c>
      <c r="E2636" s="2" t="s">
        <v>108</v>
      </c>
      <c r="F2636" s="2" t="s">
        <v>39</v>
      </c>
      <c r="G2636" s="2">
        <v>509181163</v>
      </c>
      <c r="H2636" s="2" t="s">
        <v>40</v>
      </c>
      <c r="I2636" s="2" t="s">
        <v>745</v>
      </c>
      <c r="J2636" s="2" t="s">
        <v>746</v>
      </c>
      <c r="K2636" s="2">
        <v>962372760</v>
      </c>
      <c r="L2636" s="2" t="s">
        <v>201</v>
      </c>
      <c r="P2636" s="2" t="s">
        <v>114</v>
      </c>
      <c r="Q2636" s="2" t="s">
        <v>2227</v>
      </c>
      <c r="R2636" s="2" t="s">
        <v>2228</v>
      </c>
      <c r="S2636" s="2">
        <v>3</v>
      </c>
      <c r="T2636" s="2">
        <v>145.26</v>
      </c>
      <c r="U2636" s="2">
        <v>33.409799999999997</v>
      </c>
      <c r="V2636" s="2">
        <v>178.66980000000001</v>
      </c>
      <c r="X2636" s="5">
        <f t="shared" si="366"/>
        <v>1</v>
      </c>
      <c r="AF2636" s="2">
        <f t="shared" si="367"/>
        <v>0</v>
      </c>
      <c r="AJ2636" s="2">
        <f t="shared" si="368"/>
        <v>0</v>
      </c>
      <c r="AK2636" s="2">
        <f t="shared" si="363"/>
        <v>145.26</v>
      </c>
      <c r="AL2636" s="5">
        <f t="shared" si="365"/>
        <v>1</v>
      </c>
    </row>
    <row r="2637" spans="1:38" x14ac:dyDescent="0.2">
      <c r="A2637" s="2">
        <v>2025</v>
      </c>
      <c r="B2637" s="2">
        <v>9</v>
      </c>
      <c r="D2637" s="2" t="s">
        <v>744</v>
      </c>
      <c r="E2637" s="2" t="s">
        <v>108</v>
      </c>
      <c r="F2637" s="2" t="s">
        <v>39</v>
      </c>
      <c r="G2637" s="2">
        <v>509181163</v>
      </c>
      <c r="H2637" s="2" t="s">
        <v>40</v>
      </c>
      <c r="I2637" s="2" t="s">
        <v>745</v>
      </c>
      <c r="J2637" s="2" t="s">
        <v>746</v>
      </c>
      <c r="K2637" s="2">
        <v>962372760</v>
      </c>
      <c r="L2637" s="2" t="s">
        <v>201</v>
      </c>
      <c r="P2637" s="2" t="s">
        <v>114</v>
      </c>
      <c r="Q2637" s="2" t="s">
        <v>1129</v>
      </c>
      <c r="R2637" s="2" t="s">
        <v>1130</v>
      </c>
      <c r="S2637" s="2">
        <v>1</v>
      </c>
      <c r="T2637" s="2">
        <v>9.82</v>
      </c>
      <c r="U2637" s="2">
        <v>2.2585999999999999</v>
      </c>
      <c r="V2637" s="2">
        <v>12.0786</v>
      </c>
      <c r="X2637" s="5">
        <f t="shared" si="366"/>
        <v>1</v>
      </c>
      <c r="AF2637" s="2">
        <f t="shared" si="367"/>
        <v>0</v>
      </c>
      <c r="AJ2637" s="2">
        <f t="shared" si="368"/>
        <v>0</v>
      </c>
      <c r="AK2637" s="2">
        <f t="shared" si="363"/>
        <v>9.82</v>
      </c>
      <c r="AL2637" s="5">
        <f t="shared" si="365"/>
        <v>1</v>
      </c>
    </row>
    <row r="2638" spans="1:38" x14ac:dyDescent="0.2">
      <c r="A2638" s="2">
        <v>2025</v>
      </c>
      <c r="B2638" s="2">
        <v>9</v>
      </c>
      <c r="D2638" s="2" t="s">
        <v>744</v>
      </c>
      <c r="E2638" s="2" t="s">
        <v>108</v>
      </c>
      <c r="F2638" s="2" t="s">
        <v>39</v>
      </c>
      <c r="G2638" s="2">
        <v>509181163</v>
      </c>
      <c r="H2638" s="2" t="s">
        <v>40</v>
      </c>
      <c r="I2638" s="2" t="s">
        <v>745</v>
      </c>
      <c r="J2638" s="2" t="s">
        <v>746</v>
      </c>
      <c r="K2638" s="2">
        <v>962372760</v>
      </c>
      <c r="L2638" s="2" t="s">
        <v>201</v>
      </c>
      <c r="M2638" s="2" t="s">
        <v>40</v>
      </c>
      <c r="P2638" s="2" t="s">
        <v>187</v>
      </c>
      <c r="Q2638" s="2" t="s">
        <v>188</v>
      </c>
      <c r="R2638" s="2" t="s">
        <v>189</v>
      </c>
      <c r="S2638" s="2">
        <v>1</v>
      </c>
      <c r="T2638" s="2">
        <v>50</v>
      </c>
      <c r="U2638" s="2">
        <v>11.5</v>
      </c>
      <c r="V2638" s="2">
        <v>61.5</v>
      </c>
      <c r="W2638" s="2">
        <f>T2638*40%</f>
        <v>20</v>
      </c>
      <c r="X2638" s="5">
        <f t="shared" si="366"/>
        <v>0.6</v>
      </c>
      <c r="Z2638" s="2" t="s">
        <v>117</v>
      </c>
      <c r="AA2638" s="2" t="s">
        <v>190</v>
      </c>
      <c r="AB2638" s="2" t="s">
        <v>189</v>
      </c>
      <c r="AC2638" s="2" t="s">
        <v>40</v>
      </c>
      <c r="AF2638" s="2">
        <f t="shared" si="367"/>
        <v>0</v>
      </c>
      <c r="AJ2638" s="2">
        <f t="shared" si="368"/>
        <v>0</v>
      </c>
      <c r="AK2638" s="2">
        <f t="shared" si="363"/>
        <v>30</v>
      </c>
      <c r="AL2638" s="5">
        <f t="shared" si="365"/>
        <v>0.6</v>
      </c>
    </row>
    <row r="2639" spans="1:38" x14ac:dyDescent="0.2">
      <c r="A2639" s="2">
        <v>2025</v>
      </c>
      <c r="B2639" s="2">
        <v>9</v>
      </c>
      <c r="D2639" s="2" t="s">
        <v>744</v>
      </c>
      <c r="E2639" s="2" t="s">
        <v>108</v>
      </c>
      <c r="F2639" s="2" t="s">
        <v>39</v>
      </c>
      <c r="G2639" s="2">
        <v>509181163</v>
      </c>
      <c r="H2639" s="2" t="s">
        <v>40</v>
      </c>
      <c r="I2639" s="2" t="s">
        <v>745</v>
      </c>
      <c r="J2639" s="2" t="s">
        <v>746</v>
      </c>
      <c r="K2639" s="2">
        <v>962372760</v>
      </c>
      <c r="L2639" s="2" t="s">
        <v>201</v>
      </c>
      <c r="M2639" s="2" t="s">
        <v>40</v>
      </c>
      <c r="P2639" s="2" t="s">
        <v>187</v>
      </c>
      <c r="Q2639" s="2" t="s">
        <v>191</v>
      </c>
      <c r="R2639" s="2" t="s">
        <v>190</v>
      </c>
      <c r="S2639" s="2">
        <v>6</v>
      </c>
      <c r="T2639" s="2">
        <v>100</v>
      </c>
      <c r="U2639" s="2">
        <v>23</v>
      </c>
      <c r="V2639" s="2">
        <v>123</v>
      </c>
      <c r="W2639" s="2">
        <f>T2639*50%</f>
        <v>50</v>
      </c>
      <c r="X2639" s="5">
        <f t="shared" si="366"/>
        <v>0.5</v>
      </c>
      <c r="Z2639" s="2" t="s">
        <v>117</v>
      </c>
      <c r="AA2639" s="2" t="s">
        <v>190</v>
      </c>
      <c r="AB2639" s="2" t="s">
        <v>190</v>
      </c>
      <c r="AC2639" s="2" t="s">
        <v>40</v>
      </c>
      <c r="AF2639" s="2">
        <f t="shared" si="367"/>
        <v>0</v>
      </c>
      <c r="AJ2639" s="2">
        <f t="shared" si="368"/>
        <v>0</v>
      </c>
      <c r="AK2639" s="2">
        <f t="shared" si="363"/>
        <v>50</v>
      </c>
      <c r="AL2639" s="5">
        <f t="shared" si="365"/>
        <v>0.5</v>
      </c>
    </row>
    <row r="2640" spans="1:38" x14ac:dyDescent="0.2">
      <c r="A2640" s="2">
        <v>2025</v>
      </c>
      <c r="B2640" s="2">
        <v>9</v>
      </c>
      <c r="D2640" s="2" t="s">
        <v>744</v>
      </c>
      <c r="E2640" s="2" t="s">
        <v>108</v>
      </c>
      <c r="F2640" s="2" t="s">
        <v>39</v>
      </c>
      <c r="G2640" s="2">
        <v>509181163</v>
      </c>
      <c r="H2640" s="2" t="s">
        <v>40</v>
      </c>
      <c r="I2640" s="2" t="s">
        <v>745</v>
      </c>
      <c r="J2640" s="2" t="s">
        <v>746</v>
      </c>
      <c r="K2640" s="2">
        <v>962372760</v>
      </c>
      <c r="L2640" s="2" t="s">
        <v>201</v>
      </c>
      <c r="P2640" s="2" t="s">
        <v>40</v>
      </c>
      <c r="Q2640" s="2" t="s">
        <v>363</v>
      </c>
      <c r="R2640" s="2" t="s">
        <v>364</v>
      </c>
      <c r="S2640" s="2">
        <v>1</v>
      </c>
      <c r="T2640" s="2">
        <v>278.01</v>
      </c>
      <c r="U2640" s="2">
        <v>63.942300000000003</v>
      </c>
      <c r="V2640" s="2">
        <v>341.95229999999998</v>
      </c>
      <c r="X2640" s="5">
        <f t="shared" si="366"/>
        <v>1</v>
      </c>
      <c r="Z2640" s="2" t="s">
        <v>119</v>
      </c>
      <c r="AA2640" s="2" t="s">
        <v>3380</v>
      </c>
      <c r="AF2640" s="2">
        <f t="shared" si="367"/>
        <v>0</v>
      </c>
      <c r="AJ2640" s="2">
        <f t="shared" si="368"/>
        <v>0</v>
      </c>
      <c r="AK2640" s="2">
        <f t="shared" si="363"/>
        <v>278.01</v>
      </c>
      <c r="AL2640" s="5">
        <f t="shared" si="365"/>
        <v>1</v>
      </c>
    </row>
    <row r="2641" spans="1:38" x14ac:dyDescent="0.2">
      <c r="A2641" s="2">
        <v>2025</v>
      </c>
      <c r="B2641" s="2">
        <v>9</v>
      </c>
      <c r="D2641" s="2" t="s">
        <v>749</v>
      </c>
      <c r="E2641" s="2" t="s">
        <v>108</v>
      </c>
      <c r="F2641" s="2" t="s">
        <v>39</v>
      </c>
      <c r="G2641" s="2">
        <v>510039537</v>
      </c>
      <c r="H2641" s="2" t="s">
        <v>40</v>
      </c>
      <c r="I2641" s="2" t="s">
        <v>571</v>
      </c>
      <c r="J2641" s="2" t="s">
        <v>750</v>
      </c>
      <c r="K2641" s="2">
        <v>969042927</v>
      </c>
      <c r="L2641" s="2" t="s">
        <v>571</v>
      </c>
      <c r="P2641" s="2" t="s">
        <v>72</v>
      </c>
      <c r="Q2641" s="2" t="s">
        <v>1075</v>
      </c>
      <c r="R2641" s="2" t="s">
        <v>83</v>
      </c>
      <c r="S2641" s="2">
        <v>1</v>
      </c>
      <c r="T2641" s="2">
        <v>270</v>
      </c>
      <c r="U2641" s="2">
        <v>62.1</v>
      </c>
      <c r="V2641" s="2">
        <v>332.1</v>
      </c>
      <c r="W2641" s="2">
        <v>159.54</v>
      </c>
      <c r="X2641" s="5">
        <f t="shared" si="366"/>
        <v>0.40911111111111115</v>
      </c>
      <c r="Z2641" s="2" t="s">
        <v>3227</v>
      </c>
      <c r="AA2641" s="2" t="s">
        <v>75</v>
      </c>
      <c r="AB2641" s="2" t="s">
        <v>76</v>
      </c>
      <c r="AC2641" s="2" t="s">
        <v>77</v>
      </c>
      <c r="AF2641" s="2">
        <f t="shared" si="367"/>
        <v>0</v>
      </c>
      <c r="AG2641" s="2">
        <f>144.14+15.4</f>
        <v>159.54</v>
      </c>
      <c r="AH2641" s="2">
        <v>280</v>
      </c>
      <c r="AJ2641" s="2">
        <f t="shared" si="368"/>
        <v>0</v>
      </c>
      <c r="AK2641" s="2">
        <f t="shared" si="363"/>
        <v>110.46000000000001</v>
      </c>
      <c r="AL2641" s="5">
        <f t="shared" si="365"/>
        <v>0.40911111111111115</v>
      </c>
    </row>
    <row r="2642" spans="1:38" x14ac:dyDescent="0.2">
      <c r="A2642" s="2">
        <v>2025</v>
      </c>
      <c r="B2642" s="2">
        <v>9</v>
      </c>
      <c r="D2642" s="2" t="s">
        <v>749</v>
      </c>
      <c r="E2642" s="2" t="s">
        <v>108</v>
      </c>
      <c r="F2642" s="2" t="s">
        <v>39</v>
      </c>
      <c r="G2642" s="2">
        <v>510039537</v>
      </c>
      <c r="H2642" s="2" t="s">
        <v>40</v>
      </c>
      <c r="I2642" s="2" t="s">
        <v>571</v>
      </c>
      <c r="J2642" s="2" t="s">
        <v>750</v>
      </c>
      <c r="K2642" s="2">
        <v>969042927</v>
      </c>
      <c r="L2642" s="2" t="s">
        <v>571</v>
      </c>
      <c r="P2642" s="2" t="s">
        <v>93</v>
      </c>
      <c r="Q2642" s="2" t="s">
        <v>94</v>
      </c>
      <c r="R2642" s="2" t="s">
        <v>95</v>
      </c>
      <c r="S2642" s="2">
        <v>1</v>
      </c>
      <c r="T2642" s="2">
        <v>1.1399999999999999</v>
      </c>
      <c r="U2642" s="2">
        <v>0.26219999999999999</v>
      </c>
      <c r="V2642" s="2">
        <v>1.4021999999999999</v>
      </c>
      <c r="W2642" s="2">
        <v>1.1399999999999999</v>
      </c>
      <c r="X2642" s="5">
        <f t="shared" si="366"/>
        <v>0</v>
      </c>
      <c r="Z2642" s="2" t="s">
        <v>3227</v>
      </c>
      <c r="AA2642" s="2" t="s">
        <v>96</v>
      </c>
      <c r="AB2642" s="2" t="s">
        <v>76</v>
      </c>
      <c r="AC2642" s="2" t="s">
        <v>93</v>
      </c>
      <c r="AF2642" s="2">
        <f t="shared" si="367"/>
        <v>0</v>
      </c>
      <c r="AJ2642" s="2">
        <f t="shared" si="368"/>
        <v>0</v>
      </c>
      <c r="AK2642" s="2">
        <f t="shared" si="363"/>
        <v>0</v>
      </c>
      <c r="AL2642" s="5">
        <f t="shared" si="365"/>
        <v>0</v>
      </c>
    </row>
    <row r="2643" spans="1:38" x14ac:dyDescent="0.2">
      <c r="A2643" s="2">
        <v>2025</v>
      </c>
      <c r="B2643" s="2">
        <v>9</v>
      </c>
      <c r="D2643" s="2" t="s">
        <v>347</v>
      </c>
      <c r="E2643" s="2" t="s">
        <v>108</v>
      </c>
      <c r="F2643" s="2" t="s">
        <v>39</v>
      </c>
      <c r="G2643" s="2">
        <v>517451123</v>
      </c>
      <c r="H2643" s="2" t="s">
        <v>41</v>
      </c>
      <c r="I2643" s="2" t="s">
        <v>348</v>
      </c>
      <c r="J2643" s="2" t="s">
        <v>349</v>
      </c>
      <c r="K2643" s="2">
        <v>915209128</v>
      </c>
      <c r="L2643" s="2" t="s">
        <v>177</v>
      </c>
      <c r="M2643" s="2" t="s">
        <v>41</v>
      </c>
      <c r="O2643" s="2" t="s">
        <v>2229</v>
      </c>
      <c r="P2643" s="2" t="s">
        <v>43</v>
      </c>
      <c r="Q2643" s="2" t="s">
        <v>54</v>
      </c>
      <c r="R2643" s="2" t="s">
        <v>55</v>
      </c>
      <c r="S2643" s="2">
        <v>10</v>
      </c>
      <c r="T2643" s="2">
        <v>140</v>
      </c>
      <c r="U2643" s="2">
        <v>32.200000000000003</v>
      </c>
      <c r="V2643" s="2">
        <v>172.2</v>
      </c>
      <c r="W2643" s="2">
        <f>10.6*S2643</f>
        <v>106</v>
      </c>
      <c r="X2643" s="5">
        <f t="shared" si="366"/>
        <v>0.24285714285714285</v>
      </c>
      <c r="Z2643" s="2" t="s">
        <v>3227</v>
      </c>
      <c r="AA2643" s="2" t="s">
        <v>46</v>
      </c>
      <c r="AB2643" s="2" t="s">
        <v>56</v>
      </c>
      <c r="AC2643" s="2" t="s">
        <v>57</v>
      </c>
      <c r="AF2643" s="2">
        <f t="shared" si="367"/>
        <v>0</v>
      </c>
      <c r="AG2643" s="2">
        <v>10.6</v>
      </c>
      <c r="AH2643" s="2">
        <v>18</v>
      </c>
      <c r="AJ2643" s="2">
        <f t="shared" si="368"/>
        <v>0</v>
      </c>
      <c r="AK2643" s="2">
        <f t="shared" si="363"/>
        <v>34</v>
      </c>
      <c r="AL2643" s="5">
        <f t="shared" si="365"/>
        <v>0.24285714285714285</v>
      </c>
    </row>
    <row r="2644" spans="1:38" x14ac:dyDescent="0.2">
      <c r="A2644" s="2">
        <v>2025</v>
      </c>
      <c r="B2644" s="2">
        <v>9</v>
      </c>
      <c r="D2644" s="2" t="s">
        <v>2230</v>
      </c>
      <c r="P2644" s="2" t="s">
        <v>114</v>
      </c>
      <c r="Q2644" s="2" t="s">
        <v>1291</v>
      </c>
      <c r="R2644" s="2" t="s">
        <v>1292</v>
      </c>
      <c r="S2644" s="2">
        <v>1</v>
      </c>
      <c r="T2644" s="2">
        <v>900</v>
      </c>
      <c r="U2644" s="2">
        <v>207</v>
      </c>
      <c r="V2644" s="2">
        <v>1107</v>
      </c>
      <c r="X2644" s="5">
        <f t="shared" si="366"/>
        <v>1</v>
      </c>
      <c r="AF2644" s="2">
        <f t="shared" si="367"/>
        <v>0</v>
      </c>
      <c r="AJ2644" s="2">
        <f t="shared" si="368"/>
        <v>0</v>
      </c>
      <c r="AK2644" s="2">
        <f t="shared" ref="AK2644:AK2707" si="369">T2644-W2644</f>
        <v>900</v>
      </c>
      <c r="AL2644" s="5">
        <f t="shared" si="365"/>
        <v>1</v>
      </c>
    </row>
    <row r="2645" spans="1:38" x14ac:dyDescent="0.2">
      <c r="A2645" s="2">
        <v>2025</v>
      </c>
      <c r="B2645" s="2">
        <v>9</v>
      </c>
      <c r="D2645" s="2" t="s">
        <v>2231</v>
      </c>
      <c r="P2645" s="2" t="s">
        <v>40</v>
      </c>
      <c r="Q2645" s="2" t="s">
        <v>363</v>
      </c>
      <c r="R2645" s="2" t="s">
        <v>364</v>
      </c>
      <c r="S2645" s="2">
        <v>1</v>
      </c>
      <c r="T2645" s="2">
        <v>100.94</v>
      </c>
      <c r="U2645" s="2">
        <v>23.216200000000001</v>
      </c>
      <c r="V2645" s="2">
        <v>124.1562</v>
      </c>
      <c r="X2645" s="5">
        <f t="shared" si="366"/>
        <v>1</v>
      </c>
      <c r="Z2645" s="2" t="s">
        <v>119</v>
      </c>
      <c r="AA2645" s="2" t="s">
        <v>3380</v>
      </c>
      <c r="AF2645" s="2">
        <f t="shared" si="367"/>
        <v>0</v>
      </c>
      <c r="AJ2645" s="2">
        <f t="shared" si="368"/>
        <v>0</v>
      </c>
      <c r="AK2645" s="2">
        <f t="shared" si="369"/>
        <v>100.94</v>
      </c>
      <c r="AL2645" s="5">
        <f t="shared" si="365"/>
        <v>1</v>
      </c>
    </row>
    <row r="2646" spans="1:38" x14ac:dyDescent="0.2">
      <c r="A2646" s="2">
        <v>2025</v>
      </c>
      <c r="B2646" s="2">
        <v>9</v>
      </c>
      <c r="D2646" s="2" t="s">
        <v>996</v>
      </c>
      <c r="P2646" s="2" t="s">
        <v>72</v>
      </c>
      <c r="Q2646" s="2" t="s">
        <v>664</v>
      </c>
      <c r="R2646" s="2" t="s">
        <v>79</v>
      </c>
      <c r="S2646" s="2">
        <v>1</v>
      </c>
      <c r="T2646" s="2">
        <v>210</v>
      </c>
      <c r="U2646" s="2">
        <v>48.3</v>
      </c>
      <c r="V2646" s="2">
        <v>258.3</v>
      </c>
      <c r="W2646" s="2">
        <f>113.905+11.25</f>
        <v>125.155</v>
      </c>
      <c r="X2646" s="5">
        <f t="shared" si="366"/>
        <v>0.40402380952380951</v>
      </c>
      <c r="Z2646" s="2" t="s">
        <v>3227</v>
      </c>
      <c r="AA2646" s="2" t="s">
        <v>75</v>
      </c>
      <c r="AB2646" s="2" t="s">
        <v>76</v>
      </c>
      <c r="AC2646" s="2" t="s">
        <v>77</v>
      </c>
      <c r="AF2646" s="2">
        <f t="shared" si="367"/>
        <v>0</v>
      </c>
      <c r="AJ2646" s="2">
        <f t="shared" si="368"/>
        <v>0</v>
      </c>
      <c r="AK2646" s="2">
        <f t="shared" si="369"/>
        <v>84.844999999999999</v>
      </c>
      <c r="AL2646" s="5">
        <f t="shared" si="365"/>
        <v>0.40402380952380951</v>
      </c>
    </row>
    <row r="2647" spans="1:38" x14ac:dyDescent="0.2">
      <c r="A2647" s="2">
        <v>2025</v>
      </c>
      <c r="B2647" s="2">
        <v>9</v>
      </c>
      <c r="D2647" s="2" t="s">
        <v>996</v>
      </c>
      <c r="P2647" s="2" t="s">
        <v>93</v>
      </c>
      <c r="Q2647" s="2" t="s">
        <v>94</v>
      </c>
      <c r="R2647" s="2" t="s">
        <v>95</v>
      </c>
      <c r="S2647" s="2">
        <v>1</v>
      </c>
      <c r="T2647" s="2">
        <v>1.1399999999999999</v>
      </c>
      <c r="U2647" s="2">
        <v>0.26219999999999999</v>
      </c>
      <c r="V2647" s="2">
        <v>1.4021999999999999</v>
      </c>
      <c r="W2647" s="2">
        <v>1.1399999999999999</v>
      </c>
      <c r="X2647" s="5">
        <f t="shared" ref="X2647:X2650" si="370">(T2647-W2647)/T2647</f>
        <v>0</v>
      </c>
      <c r="Z2647" s="2" t="s">
        <v>3227</v>
      </c>
      <c r="AA2647" s="2" t="s">
        <v>96</v>
      </c>
      <c r="AB2647" s="2" t="s">
        <v>76</v>
      </c>
      <c r="AC2647" s="2" t="s">
        <v>93</v>
      </c>
      <c r="AF2647" s="2">
        <f t="shared" si="367"/>
        <v>0</v>
      </c>
      <c r="AJ2647" s="2">
        <f t="shared" si="368"/>
        <v>0</v>
      </c>
      <c r="AK2647" s="2">
        <f t="shared" si="369"/>
        <v>0</v>
      </c>
      <c r="AL2647" s="5">
        <f t="shared" si="365"/>
        <v>0</v>
      </c>
    </row>
    <row r="2648" spans="1:38" x14ac:dyDescent="0.2">
      <c r="A2648" s="2">
        <v>2025</v>
      </c>
      <c r="B2648" s="2">
        <v>9</v>
      </c>
      <c r="D2648" s="2" t="s">
        <v>1695</v>
      </c>
      <c r="P2648" s="2" t="s">
        <v>282</v>
      </c>
      <c r="Q2648" s="2" t="s">
        <v>1252</v>
      </c>
      <c r="R2648" s="2" t="s">
        <v>1253</v>
      </c>
      <c r="S2648" s="2">
        <v>1</v>
      </c>
      <c r="T2648" s="2">
        <v>2840</v>
      </c>
      <c r="U2648" s="2">
        <v>653.20000000000005</v>
      </c>
      <c r="V2648" s="2">
        <v>3493.2</v>
      </c>
      <c r="X2648" s="5">
        <f t="shared" si="370"/>
        <v>1</v>
      </c>
      <c r="Z2648" s="2" t="s">
        <v>104</v>
      </c>
      <c r="AF2648" s="2">
        <f t="shared" si="367"/>
        <v>0</v>
      </c>
      <c r="AJ2648" s="2">
        <f t="shared" si="368"/>
        <v>0</v>
      </c>
      <c r="AK2648" s="2">
        <f t="shared" si="369"/>
        <v>2840</v>
      </c>
      <c r="AL2648" s="5">
        <f t="shared" si="365"/>
        <v>1</v>
      </c>
    </row>
    <row r="2649" spans="1:38" x14ac:dyDescent="0.2">
      <c r="A2649" s="2">
        <v>2025</v>
      </c>
      <c r="B2649" s="2">
        <v>9</v>
      </c>
      <c r="D2649" s="2" t="s">
        <v>2131</v>
      </c>
      <c r="M2649" s="2" t="s">
        <v>40</v>
      </c>
      <c r="P2649" s="2" t="s">
        <v>187</v>
      </c>
      <c r="Q2649" s="2" t="s">
        <v>317</v>
      </c>
      <c r="R2649" s="2" t="s">
        <v>318</v>
      </c>
      <c r="S2649" s="2">
        <v>1</v>
      </c>
      <c r="T2649" s="2">
        <v>975</v>
      </c>
      <c r="U2649" s="2">
        <v>224.25</v>
      </c>
      <c r="V2649" s="2">
        <v>1199.25</v>
      </c>
      <c r="X2649" s="5">
        <f t="shared" si="370"/>
        <v>1</v>
      </c>
      <c r="Z2649" s="2" t="s">
        <v>117</v>
      </c>
      <c r="AA2649" s="2" t="s">
        <v>317</v>
      </c>
      <c r="AF2649" s="2">
        <f t="shared" si="367"/>
        <v>0</v>
      </c>
      <c r="AJ2649" s="2">
        <f t="shared" si="368"/>
        <v>0</v>
      </c>
      <c r="AK2649" s="2">
        <f t="shared" si="369"/>
        <v>975</v>
      </c>
      <c r="AL2649" s="5">
        <f t="shared" si="365"/>
        <v>1</v>
      </c>
    </row>
    <row r="2650" spans="1:38" x14ac:dyDescent="0.2">
      <c r="A2650" s="2">
        <v>2025</v>
      </c>
      <c r="B2650" s="2">
        <v>9</v>
      </c>
      <c r="D2650" s="2" t="s">
        <v>2131</v>
      </c>
      <c r="M2650" s="2" t="s">
        <v>40</v>
      </c>
      <c r="P2650" s="2" t="s">
        <v>114</v>
      </c>
      <c r="Q2650" s="2" t="s">
        <v>408</v>
      </c>
      <c r="R2650" s="2" t="s">
        <v>409</v>
      </c>
      <c r="S2650" s="2">
        <v>1</v>
      </c>
      <c r="T2650" s="2">
        <v>0</v>
      </c>
      <c r="U2650" s="2">
        <v>0</v>
      </c>
      <c r="V2650" s="2">
        <v>0</v>
      </c>
      <c r="X2650" s="5" t="e">
        <f t="shared" si="370"/>
        <v>#DIV/0!</v>
      </c>
      <c r="Z2650" s="2" t="s">
        <v>117</v>
      </c>
      <c r="AA2650" s="2" t="s">
        <v>317</v>
      </c>
      <c r="AF2650" s="2">
        <f t="shared" si="367"/>
        <v>0</v>
      </c>
      <c r="AJ2650" s="2">
        <f t="shared" si="368"/>
        <v>0</v>
      </c>
      <c r="AK2650" s="2">
        <f t="shared" si="369"/>
        <v>0</v>
      </c>
      <c r="AL2650" s="5" t="e">
        <f t="shared" si="365"/>
        <v>#DIV/0!</v>
      </c>
    </row>
    <row r="2651" spans="1:38" x14ac:dyDescent="0.2">
      <c r="A2651" s="2">
        <v>2025</v>
      </c>
      <c r="B2651" s="2">
        <v>9</v>
      </c>
      <c r="D2651" s="2" t="s">
        <v>1788</v>
      </c>
      <c r="P2651" s="2" t="s">
        <v>114</v>
      </c>
      <c r="Q2651" s="2" t="s">
        <v>834</v>
      </c>
      <c r="R2651" s="2" t="s">
        <v>835</v>
      </c>
      <c r="S2651" s="2">
        <v>1</v>
      </c>
      <c r="T2651" s="2">
        <v>0</v>
      </c>
      <c r="U2651" s="2">
        <v>0</v>
      </c>
      <c r="V2651" s="2">
        <v>0</v>
      </c>
      <c r="X2651" s="5">
        <v>0</v>
      </c>
      <c r="AF2651" s="2">
        <f t="shared" si="367"/>
        <v>0</v>
      </c>
      <c r="AJ2651" s="2">
        <f t="shared" si="368"/>
        <v>0</v>
      </c>
      <c r="AK2651" s="2">
        <f t="shared" si="369"/>
        <v>0</v>
      </c>
      <c r="AL2651" s="5" t="e">
        <f t="shared" si="365"/>
        <v>#DIV/0!</v>
      </c>
    </row>
    <row r="2652" spans="1:38" x14ac:dyDescent="0.2">
      <c r="A2652" s="2">
        <v>2025</v>
      </c>
      <c r="B2652" s="2">
        <v>9</v>
      </c>
      <c r="D2652" s="2" t="s">
        <v>1788</v>
      </c>
      <c r="P2652" s="2" t="s">
        <v>114</v>
      </c>
      <c r="Q2652" s="2" t="s">
        <v>836</v>
      </c>
      <c r="R2652" s="2" t="s">
        <v>837</v>
      </c>
      <c r="S2652" s="2">
        <v>1</v>
      </c>
      <c r="T2652" s="2">
        <v>15990</v>
      </c>
      <c r="U2652" s="2">
        <v>3677.7</v>
      </c>
      <c r="V2652" s="2">
        <v>19667.7</v>
      </c>
      <c r="X2652" s="5">
        <f t="shared" ref="X2652:X2683" si="371">(T2652-W2652)/T2652</f>
        <v>1</v>
      </c>
      <c r="Z2652" s="2" t="s">
        <v>104</v>
      </c>
      <c r="AF2652" s="2">
        <f t="shared" si="367"/>
        <v>0</v>
      </c>
      <c r="AJ2652" s="2">
        <f t="shared" si="368"/>
        <v>0</v>
      </c>
      <c r="AK2652" s="2">
        <f t="shared" si="369"/>
        <v>15990</v>
      </c>
      <c r="AL2652" s="5">
        <f t="shared" si="365"/>
        <v>1</v>
      </c>
    </row>
    <row r="2653" spans="1:38" x14ac:dyDescent="0.2">
      <c r="A2653" s="2">
        <v>2025</v>
      </c>
      <c r="B2653" s="2">
        <v>9</v>
      </c>
      <c r="D2653" s="2" t="s">
        <v>1788</v>
      </c>
      <c r="P2653" s="2" t="s">
        <v>114</v>
      </c>
      <c r="Q2653" s="2" t="s">
        <v>412</v>
      </c>
      <c r="R2653" s="2" t="s">
        <v>413</v>
      </c>
      <c r="S2653" s="2">
        <v>-1</v>
      </c>
      <c r="T2653" s="2">
        <v>-15990</v>
      </c>
      <c r="U2653" s="2">
        <v>-3677.7</v>
      </c>
      <c r="V2653" s="2">
        <v>-19667.7</v>
      </c>
      <c r="W2653" s="2">
        <v>10669.4</v>
      </c>
      <c r="X2653" s="5">
        <f t="shared" si="371"/>
        <v>1.6672545340838025</v>
      </c>
      <c r="Z2653" s="2" t="s">
        <v>104</v>
      </c>
      <c r="AA2653" s="2" t="s">
        <v>414</v>
      </c>
      <c r="AB2653" s="2" t="s">
        <v>151</v>
      </c>
      <c r="AC2653" s="2" t="s">
        <v>114</v>
      </c>
      <c r="AF2653" s="2">
        <f t="shared" si="367"/>
        <v>0</v>
      </c>
      <c r="AJ2653" s="2">
        <f t="shared" si="368"/>
        <v>0</v>
      </c>
      <c r="AK2653" s="2">
        <f t="shared" si="369"/>
        <v>-26659.4</v>
      </c>
      <c r="AL2653" s="5">
        <f t="shared" ref="AL2653:AL2716" si="372">(T2653-W2653)/T2653</f>
        <v>1.6672545340838025</v>
      </c>
    </row>
    <row r="2654" spans="1:38" x14ac:dyDescent="0.2">
      <c r="A2654" s="2">
        <v>2025</v>
      </c>
      <c r="B2654" s="2">
        <v>9</v>
      </c>
      <c r="C2654" s="2" t="s">
        <v>3441</v>
      </c>
      <c r="D2654" s="2" t="s">
        <v>1887</v>
      </c>
      <c r="E2654" s="2" t="s">
        <v>38</v>
      </c>
      <c r="F2654" s="2" t="s">
        <v>39</v>
      </c>
      <c r="L2654" s="2" t="s">
        <v>461</v>
      </c>
      <c r="M2654" s="2" t="s">
        <v>80</v>
      </c>
      <c r="P2654" s="2" t="s">
        <v>43</v>
      </c>
      <c r="Q2654" s="2" t="s">
        <v>334</v>
      </c>
      <c r="R2654" s="2" t="s">
        <v>335</v>
      </c>
      <c r="S2654" s="2">
        <v>8</v>
      </c>
      <c r="T2654" s="2">
        <v>24</v>
      </c>
      <c r="U2654" s="2">
        <v>5.52</v>
      </c>
      <c r="V2654" s="2">
        <v>29.52</v>
      </c>
      <c r="W2654" s="2">
        <f>1.1122*S2654</f>
        <v>8.8976000000000006</v>
      </c>
      <c r="X2654" s="5">
        <f t="shared" si="371"/>
        <v>0.62926666666666664</v>
      </c>
      <c r="Z2654" s="2" t="s">
        <v>3227</v>
      </c>
      <c r="AA2654" s="2" t="s">
        <v>46</v>
      </c>
      <c r="AB2654" s="2" t="s">
        <v>60</v>
      </c>
      <c r="AC2654" s="2" t="s">
        <v>57</v>
      </c>
      <c r="AF2654" s="2">
        <f t="shared" si="367"/>
        <v>0</v>
      </c>
      <c r="AG2654" s="2">
        <v>1.1122000000000001</v>
      </c>
      <c r="AH2654" s="2">
        <v>3</v>
      </c>
      <c r="AJ2654" s="2">
        <f t="shared" si="368"/>
        <v>0</v>
      </c>
      <c r="AK2654" s="2">
        <f t="shared" si="369"/>
        <v>15.102399999999999</v>
      </c>
      <c r="AL2654" s="5">
        <f t="shared" si="372"/>
        <v>0.62926666666666664</v>
      </c>
    </row>
    <row r="2655" spans="1:38" x14ac:dyDescent="0.2">
      <c r="A2655" s="2">
        <v>2025</v>
      </c>
      <c r="B2655" s="2">
        <v>9</v>
      </c>
      <c r="D2655" s="2" t="s">
        <v>394</v>
      </c>
      <c r="E2655" s="2" t="s">
        <v>108</v>
      </c>
      <c r="F2655" s="2" t="s">
        <v>395</v>
      </c>
      <c r="G2655" s="2">
        <v>501787160</v>
      </c>
      <c r="H2655" s="2" t="s">
        <v>41</v>
      </c>
      <c r="I2655" s="2" t="s">
        <v>396</v>
      </c>
      <c r="J2655" s="2" t="s">
        <v>397</v>
      </c>
      <c r="L2655" s="2" t="s">
        <v>398</v>
      </c>
      <c r="P2655" s="2" t="s">
        <v>282</v>
      </c>
      <c r="Q2655" s="2" t="s">
        <v>399</v>
      </c>
      <c r="R2655" s="2" t="s">
        <v>400</v>
      </c>
      <c r="S2655" s="2">
        <v>10</v>
      </c>
      <c r="T2655" s="2">
        <v>290</v>
      </c>
      <c r="U2655" s="2">
        <v>66.7</v>
      </c>
      <c r="V2655" s="2">
        <v>356.7</v>
      </c>
      <c r="W2655" s="2">
        <f>17.4*S2655</f>
        <v>174</v>
      </c>
      <c r="X2655" s="5">
        <f t="shared" si="371"/>
        <v>0.4</v>
      </c>
      <c r="Z2655" s="2" t="s">
        <v>3227</v>
      </c>
      <c r="AA2655" s="2" t="s">
        <v>46</v>
      </c>
      <c r="AB2655" s="2" t="s">
        <v>60</v>
      </c>
      <c r="AC2655" s="2" t="s">
        <v>3332</v>
      </c>
      <c r="AF2655" s="2">
        <f t="shared" si="367"/>
        <v>0</v>
      </c>
      <c r="AJ2655" s="2">
        <f t="shared" si="368"/>
        <v>0</v>
      </c>
      <c r="AK2655" s="2">
        <f t="shared" si="369"/>
        <v>116</v>
      </c>
      <c r="AL2655" s="5">
        <f t="shared" si="372"/>
        <v>0.4</v>
      </c>
    </row>
    <row r="2656" spans="1:38" x14ac:dyDescent="0.2">
      <c r="A2656" s="2">
        <v>2025</v>
      </c>
      <c r="B2656" s="2">
        <v>9</v>
      </c>
      <c r="D2656" s="2" t="s">
        <v>394</v>
      </c>
      <c r="E2656" s="2" t="s">
        <v>108</v>
      </c>
      <c r="F2656" s="2" t="s">
        <v>395</v>
      </c>
      <c r="G2656" s="2">
        <v>501787160</v>
      </c>
      <c r="H2656" s="2" t="s">
        <v>41</v>
      </c>
      <c r="I2656" s="2" t="s">
        <v>396</v>
      </c>
      <c r="J2656" s="2" t="s">
        <v>397</v>
      </c>
      <c r="L2656" s="2" t="s">
        <v>398</v>
      </c>
      <c r="P2656" s="2" t="s">
        <v>282</v>
      </c>
      <c r="Q2656" s="2" t="s">
        <v>401</v>
      </c>
      <c r="R2656" s="2" t="s">
        <v>402</v>
      </c>
      <c r="S2656" s="2">
        <v>11</v>
      </c>
      <c r="T2656" s="2">
        <v>319</v>
      </c>
      <c r="U2656" s="2">
        <v>73.37</v>
      </c>
      <c r="V2656" s="2">
        <v>392.37</v>
      </c>
      <c r="W2656" s="2">
        <f>17.4*S2656</f>
        <v>191.39999999999998</v>
      </c>
      <c r="X2656" s="5">
        <f t="shared" si="371"/>
        <v>0.40000000000000008</v>
      </c>
      <c r="Z2656" s="2" t="s">
        <v>3227</v>
      </c>
      <c r="AA2656" s="2" t="s">
        <v>46</v>
      </c>
      <c r="AB2656" s="2" t="s">
        <v>60</v>
      </c>
      <c r="AC2656" s="2" t="s">
        <v>3332</v>
      </c>
      <c r="AF2656" s="2">
        <f t="shared" si="367"/>
        <v>0</v>
      </c>
      <c r="AJ2656" s="2">
        <f t="shared" si="368"/>
        <v>0</v>
      </c>
      <c r="AK2656" s="2">
        <f t="shared" si="369"/>
        <v>127.60000000000002</v>
      </c>
      <c r="AL2656" s="5">
        <f t="shared" si="372"/>
        <v>0.40000000000000008</v>
      </c>
    </row>
    <row r="2657" spans="1:38" x14ac:dyDescent="0.2">
      <c r="A2657" s="2">
        <v>2025</v>
      </c>
      <c r="B2657" s="2">
        <v>9</v>
      </c>
      <c r="D2657" s="2" t="s">
        <v>403</v>
      </c>
      <c r="E2657" s="2" t="s">
        <v>38</v>
      </c>
      <c r="F2657" s="2" t="s">
        <v>39</v>
      </c>
      <c r="G2657" s="2">
        <v>109095197</v>
      </c>
      <c r="H2657" s="2" t="s">
        <v>40</v>
      </c>
      <c r="I2657" s="2" t="s">
        <v>2476</v>
      </c>
      <c r="J2657" s="2" t="s">
        <v>3123</v>
      </c>
      <c r="K2657" s="2">
        <v>965864665</v>
      </c>
      <c r="L2657" s="2" t="s">
        <v>344</v>
      </c>
      <c r="M2657" s="2" t="s">
        <v>80</v>
      </c>
      <c r="O2657" s="2" t="s">
        <v>3125</v>
      </c>
      <c r="P2657" s="2" t="s">
        <v>72</v>
      </c>
      <c r="Q2657" s="2" t="s">
        <v>727</v>
      </c>
      <c r="R2657" s="2" t="s">
        <v>197</v>
      </c>
      <c r="S2657" s="2">
        <v>1</v>
      </c>
      <c r="T2657" s="2">
        <v>270</v>
      </c>
      <c r="U2657" s="2">
        <v>62.1</v>
      </c>
      <c r="V2657" s="2">
        <v>332.1</v>
      </c>
      <c r="W2657" s="2">
        <v>140.86000000000001</v>
      </c>
      <c r="X2657" s="5">
        <f t="shared" si="371"/>
        <v>0.47829629629629622</v>
      </c>
      <c r="Z2657" s="2" t="s">
        <v>3227</v>
      </c>
      <c r="AA2657" s="2" t="s">
        <v>75</v>
      </c>
      <c r="AB2657" s="2" t="s">
        <v>76</v>
      </c>
      <c r="AC2657" s="2" t="s">
        <v>77</v>
      </c>
      <c r="AF2657" s="2">
        <f t="shared" si="367"/>
        <v>0</v>
      </c>
      <c r="AG2657" s="2">
        <f>132.55+8.31</f>
        <v>140.86000000000001</v>
      </c>
      <c r="AH2657" s="2">
        <v>250</v>
      </c>
      <c r="AJ2657" s="2">
        <f t="shared" si="368"/>
        <v>0</v>
      </c>
      <c r="AK2657" s="2">
        <f t="shared" si="369"/>
        <v>129.13999999999999</v>
      </c>
      <c r="AL2657" s="5">
        <f t="shared" si="372"/>
        <v>0.47829629629629622</v>
      </c>
    </row>
    <row r="2658" spans="1:38" x14ac:dyDescent="0.2">
      <c r="A2658" s="2">
        <v>2025</v>
      </c>
      <c r="B2658" s="2">
        <v>9</v>
      </c>
      <c r="D2658" s="2" t="s">
        <v>403</v>
      </c>
      <c r="E2658" s="2" t="s">
        <v>38</v>
      </c>
      <c r="F2658" s="2" t="s">
        <v>39</v>
      </c>
      <c r="G2658" s="2">
        <v>109095197</v>
      </c>
      <c r="H2658" s="2" t="s">
        <v>40</v>
      </c>
      <c r="I2658" s="2" t="s">
        <v>2476</v>
      </c>
      <c r="J2658" s="2" t="s">
        <v>3123</v>
      </c>
      <c r="K2658" s="2">
        <v>965864665</v>
      </c>
      <c r="L2658" s="2" t="s">
        <v>344</v>
      </c>
      <c r="M2658" s="2" t="s">
        <v>80</v>
      </c>
      <c r="O2658" s="2" t="s">
        <v>3125</v>
      </c>
      <c r="P2658" s="2" t="s">
        <v>93</v>
      </c>
      <c r="Q2658" s="2" t="s">
        <v>94</v>
      </c>
      <c r="R2658" s="2" t="s">
        <v>95</v>
      </c>
      <c r="S2658" s="2">
        <v>1</v>
      </c>
      <c r="T2658" s="2">
        <v>1.1399999999999999</v>
      </c>
      <c r="U2658" s="2">
        <v>0.26219999999999999</v>
      </c>
      <c r="V2658" s="2">
        <v>1.4021999999999999</v>
      </c>
      <c r="W2658" s="2">
        <v>1.1399999999999999</v>
      </c>
      <c r="X2658" s="5">
        <f t="shared" si="371"/>
        <v>0</v>
      </c>
      <c r="Z2658" s="2" t="s">
        <v>3227</v>
      </c>
      <c r="AA2658" s="2" t="s">
        <v>96</v>
      </c>
      <c r="AB2658" s="2" t="s">
        <v>76</v>
      </c>
      <c r="AC2658" s="2" t="s">
        <v>93</v>
      </c>
      <c r="AF2658" s="2">
        <f t="shared" si="367"/>
        <v>0</v>
      </c>
      <c r="AJ2658" s="2">
        <f t="shared" si="368"/>
        <v>0</v>
      </c>
      <c r="AK2658" s="2">
        <f t="shared" si="369"/>
        <v>0</v>
      </c>
      <c r="AL2658" s="5">
        <f t="shared" si="372"/>
        <v>0</v>
      </c>
    </row>
    <row r="2659" spans="1:38" x14ac:dyDescent="0.2">
      <c r="A2659" s="2">
        <v>2025</v>
      </c>
      <c r="B2659" s="2">
        <v>9</v>
      </c>
      <c r="D2659" s="2" t="s">
        <v>410</v>
      </c>
      <c r="E2659" s="2" t="s">
        <v>38</v>
      </c>
      <c r="F2659" s="2" t="s">
        <v>39</v>
      </c>
      <c r="G2659" s="2">
        <v>510415962</v>
      </c>
      <c r="H2659" s="2" t="s">
        <v>40</v>
      </c>
      <c r="I2659" s="2" t="s">
        <v>344</v>
      </c>
      <c r="J2659" s="2" t="s">
        <v>3129</v>
      </c>
      <c r="K2659" s="2">
        <v>962555043</v>
      </c>
      <c r="L2659" s="2" t="s">
        <v>344</v>
      </c>
      <c r="M2659" s="2" t="s">
        <v>40</v>
      </c>
      <c r="O2659" s="2" t="s">
        <v>3131</v>
      </c>
      <c r="P2659" s="2" t="s">
        <v>187</v>
      </c>
      <c r="Q2659" s="2" t="s">
        <v>317</v>
      </c>
      <c r="R2659" s="2" t="s">
        <v>318</v>
      </c>
      <c r="S2659" s="2">
        <v>-1</v>
      </c>
      <c r="T2659" s="2">
        <v>-975</v>
      </c>
      <c r="U2659" s="2">
        <v>-224.25</v>
      </c>
      <c r="V2659" s="2">
        <v>-1199.25</v>
      </c>
      <c r="X2659" s="5">
        <f t="shared" si="371"/>
        <v>1</v>
      </c>
      <c r="Z2659" s="2" t="s">
        <v>117</v>
      </c>
      <c r="AA2659" s="2" t="s">
        <v>317</v>
      </c>
      <c r="AF2659" s="2">
        <f t="shared" si="367"/>
        <v>0</v>
      </c>
      <c r="AJ2659" s="2">
        <f t="shared" si="368"/>
        <v>0</v>
      </c>
      <c r="AK2659" s="2">
        <f t="shared" si="369"/>
        <v>-975</v>
      </c>
      <c r="AL2659" s="5">
        <f t="shared" si="372"/>
        <v>1</v>
      </c>
    </row>
    <row r="2660" spans="1:38" x14ac:dyDescent="0.2">
      <c r="A2660" s="2">
        <v>2025</v>
      </c>
      <c r="B2660" s="2">
        <v>9</v>
      </c>
      <c r="D2660" s="2" t="s">
        <v>410</v>
      </c>
      <c r="E2660" s="2" t="s">
        <v>38</v>
      </c>
      <c r="F2660" s="2" t="s">
        <v>39</v>
      </c>
      <c r="G2660" s="2">
        <v>510415962</v>
      </c>
      <c r="H2660" s="2" t="s">
        <v>40</v>
      </c>
      <c r="I2660" s="2" t="s">
        <v>344</v>
      </c>
      <c r="J2660" s="2" t="s">
        <v>3129</v>
      </c>
      <c r="K2660" s="2">
        <v>962555043</v>
      </c>
      <c r="L2660" s="2" t="s">
        <v>344</v>
      </c>
      <c r="M2660" s="2" t="s">
        <v>40</v>
      </c>
      <c r="O2660" s="2" t="s">
        <v>3131</v>
      </c>
      <c r="P2660" s="2" t="s">
        <v>114</v>
      </c>
      <c r="Q2660" s="2" t="s">
        <v>408</v>
      </c>
      <c r="R2660" s="2" t="s">
        <v>409</v>
      </c>
      <c r="S2660" s="2">
        <v>-1</v>
      </c>
      <c r="T2660" s="2">
        <v>0</v>
      </c>
      <c r="U2660" s="2">
        <v>0</v>
      </c>
      <c r="V2660" s="2">
        <v>0</v>
      </c>
      <c r="X2660" s="5" t="e">
        <f t="shared" si="371"/>
        <v>#DIV/0!</v>
      </c>
      <c r="Z2660" s="2" t="s">
        <v>117</v>
      </c>
      <c r="AA2660" s="2" t="s">
        <v>317</v>
      </c>
      <c r="AF2660" s="2">
        <f t="shared" si="367"/>
        <v>0</v>
      </c>
      <c r="AJ2660" s="2">
        <f t="shared" si="368"/>
        <v>0</v>
      </c>
      <c r="AK2660" s="2">
        <f t="shared" si="369"/>
        <v>0</v>
      </c>
      <c r="AL2660" s="5" t="e">
        <f t="shared" si="372"/>
        <v>#DIV/0!</v>
      </c>
    </row>
    <row r="2661" spans="1:38" x14ac:dyDescent="0.2">
      <c r="A2661" s="2">
        <v>2025</v>
      </c>
      <c r="B2661" s="2">
        <v>9</v>
      </c>
      <c r="D2661" s="2" t="s">
        <v>788</v>
      </c>
      <c r="E2661" s="2" t="s">
        <v>38</v>
      </c>
      <c r="F2661" s="2" t="s">
        <v>39</v>
      </c>
      <c r="G2661" s="2">
        <v>507389689</v>
      </c>
      <c r="H2661" s="2" t="s">
        <v>40</v>
      </c>
      <c r="I2661" s="2" t="s">
        <v>789</v>
      </c>
      <c r="J2661" s="2" t="s">
        <v>790</v>
      </c>
      <c r="K2661" s="2">
        <v>912216027</v>
      </c>
      <c r="L2661" s="2" t="s">
        <v>293</v>
      </c>
      <c r="M2661" s="2" t="s">
        <v>40</v>
      </c>
      <c r="O2661" s="2" t="s">
        <v>2232</v>
      </c>
      <c r="P2661" s="2" t="s">
        <v>114</v>
      </c>
      <c r="Q2661" s="2" t="s">
        <v>2225</v>
      </c>
      <c r="R2661" s="2" t="s">
        <v>2226</v>
      </c>
      <c r="S2661" s="2">
        <v>1</v>
      </c>
      <c r="T2661" s="2">
        <v>9.64</v>
      </c>
      <c r="U2661" s="2">
        <v>2.2172000000000001</v>
      </c>
      <c r="V2661" s="2">
        <v>11.857200000000001</v>
      </c>
      <c r="W2661" s="2">
        <v>5.35</v>
      </c>
      <c r="X2661" s="5">
        <f t="shared" si="371"/>
        <v>0.44502074688796689</v>
      </c>
      <c r="Z2661" s="2" t="s">
        <v>117</v>
      </c>
      <c r="AA2661" s="2" t="s">
        <v>118</v>
      </c>
      <c r="AB2661" s="2" t="s">
        <v>119</v>
      </c>
      <c r="AC2661" s="2" t="s">
        <v>114</v>
      </c>
      <c r="AF2661" s="2">
        <f t="shared" si="367"/>
        <v>0</v>
      </c>
      <c r="AG2661" s="2">
        <v>5.35</v>
      </c>
      <c r="AJ2661" s="2">
        <f t="shared" si="368"/>
        <v>0</v>
      </c>
      <c r="AK2661" s="2">
        <f t="shared" si="369"/>
        <v>4.2900000000000009</v>
      </c>
      <c r="AL2661" s="5">
        <f t="shared" si="372"/>
        <v>0.44502074688796689</v>
      </c>
    </row>
    <row r="2662" spans="1:38" x14ac:dyDescent="0.2">
      <c r="A2662" s="2">
        <v>2025</v>
      </c>
      <c r="B2662" s="2">
        <v>9</v>
      </c>
      <c r="D2662" s="2" t="s">
        <v>788</v>
      </c>
      <c r="E2662" s="2" t="s">
        <v>38</v>
      </c>
      <c r="F2662" s="2" t="s">
        <v>39</v>
      </c>
      <c r="G2662" s="2">
        <v>507389689</v>
      </c>
      <c r="H2662" s="2" t="s">
        <v>40</v>
      </c>
      <c r="I2662" s="2" t="s">
        <v>789</v>
      </c>
      <c r="J2662" s="2" t="s">
        <v>790</v>
      </c>
      <c r="K2662" s="2">
        <v>912216027</v>
      </c>
      <c r="L2662" s="2" t="s">
        <v>293</v>
      </c>
      <c r="M2662" s="2" t="s">
        <v>40</v>
      </c>
      <c r="P2662" s="2" t="s">
        <v>169</v>
      </c>
      <c r="Q2662" s="2" t="s">
        <v>170</v>
      </c>
      <c r="R2662" s="2" t="s">
        <v>170</v>
      </c>
      <c r="S2662" s="2">
        <v>1</v>
      </c>
      <c r="T2662" s="2">
        <v>8</v>
      </c>
      <c r="U2662" s="2">
        <v>1.84</v>
      </c>
      <c r="V2662" s="2">
        <v>9.84</v>
      </c>
      <c r="W2662" s="2">
        <v>6</v>
      </c>
      <c r="X2662" s="5">
        <f t="shared" si="371"/>
        <v>0.25</v>
      </c>
      <c r="Z2662" s="2" t="s">
        <v>169</v>
      </c>
      <c r="AA2662" s="2" t="s">
        <v>169</v>
      </c>
      <c r="AF2662" s="2">
        <f t="shared" si="367"/>
        <v>0</v>
      </c>
      <c r="AJ2662" s="2">
        <f t="shared" si="368"/>
        <v>0</v>
      </c>
      <c r="AK2662" s="2">
        <f t="shared" si="369"/>
        <v>2</v>
      </c>
      <c r="AL2662" s="5">
        <f t="shared" si="372"/>
        <v>0.25</v>
      </c>
    </row>
    <row r="2663" spans="1:38" x14ac:dyDescent="0.2">
      <c r="A2663" s="2">
        <v>2025</v>
      </c>
      <c r="B2663" s="2">
        <v>9</v>
      </c>
      <c r="D2663" s="2" t="s">
        <v>1015</v>
      </c>
      <c r="E2663" s="2" t="s">
        <v>108</v>
      </c>
      <c r="F2663" s="2" t="s">
        <v>477</v>
      </c>
      <c r="G2663" s="2">
        <v>503815284</v>
      </c>
      <c r="H2663" s="2" t="s">
        <v>40</v>
      </c>
      <c r="I2663" s="2" t="s">
        <v>156</v>
      </c>
      <c r="J2663" s="2" t="s">
        <v>2538</v>
      </c>
      <c r="L2663" s="2" t="s">
        <v>99</v>
      </c>
      <c r="M2663" s="2" t="s">
        <v>80</v>
      </c>
      <c r="P2663" s="2" t="s">
        <v>43</v>
      </c>
      <c r="Q2663" s="2" t="s">
        <v>2233</v>
      </c>
      <c r="R2663" s="2" t="s">
        <v>2234</v>
      </c>
      <c r="S2663" s="2">
        <v>3</v>
      </c>
      <c r="T2663" s="2">
        <v>37.17</v>
      </c>
      <c r="U2663" s="2">
        <v>8.549100000000001</v>
      </c>
      <c r="V2663" s="2">
        <v>45.719099999999997</v>
      </c>
      <c r="W2663" s="2">
        <f>9.01*S2663</f>
        <v>27.03</v>
      </c>
      <c r="X2663" s="5">
        <f t="shared" si="371"/>
        <v>0.27280064568200163</v>
      </c>
      <c r="Z2663" s="2" t="s">
        <v>3227</v>
      </c>
      <c r="AA2663" s="2" t="s">
        <v>46</v>
      </c>
      <c r="AB2663" s="2" t="s">
        <v>47</v>
      </c>
      <c r="AC2663" s="2" t="s">
        <v>57</v>
      </c>
      <c r="AF2663" s="2">
        <f t="shared" si="367"/>
        <v>0</v>
      </c>
      <c r="AJ2663" s="2">
        <f t="shared" si="368"/>
        <v>0</v>
      </c>
      <c r="AK2663" s="2">
        <f t="shared" si="369"/>
        <v>10.14</v>
      </c>
      <c r="AL2663" s="5">
        <f t="shared" si="372"/>
        <v>0.27280064568200163</v>
      </c>
    </row>
    <row r="2664" spans="1:38" x14ac:dyDescent="0.2">
      <c r="A2664" s="2">
        <v>2025</v>
      </c>
      <c r="B2664" s="2">
        <v>9</v>
      </c>
      <c r="D2664" s="2" t="s">
        <v>1015</v>
      </c>
      <c r="E2664" s="2" t="s">
        <v>108</v>
      </c>
      <c r="F2664" s="2" t="s">
        <v>477</v>
      </c>
      <c r="G2664" s="2">
        <v>503815284</v>
      </c>
      <c r="H2664" s="2" t="s">
        <v>40</v>
      </c>
      <c r="I2664" s="2" t="s">
        <v>156</v>
      </c>
      <c r="J2664" s="2" t="s">
        <v>2538</v>
      </c>
      <c r="L2664" s="2" t="s">
        <v>99</v>
      </c>
      <c r="M2664" s="2" t="s">
        <v>80</v>
      </c>
      <c r="P2664" s="2" t="s">
        <v>43</v>
      </c>
      <c r="Q2664" s="2" t="s">
        <v>160</v>
      </c>
      <c r="R2664" s="2" t="s">
        <v>161</v>
      </c>
      <c r="S2664" s="2">
        <v>4</v>
      </c>
      <c r="T2664" s="2">
        <v>31.2</v>
      </c>
      <c r="U2664" s="2">
        <v>7.1760000000000002</v>
      </c>
      <c r="V2664" s="2">
        <v>38.375999999999998</v>
      </c>
      <c r="W2664" s="2">
        <f>3.7358*S2664</f>
        <v>14.943199999999999</v>
      </c>
      <c r="X2664" s="5">
        <f t="shared" si="371"/>
        <v>0.52105128205128204</v>
      </c>
      <c r="Z2664" s="2" t="s">
        <v>3227</v>
      </c>
      <c r="AA2664" s="2" t="s">
        <v>46</v>
      </c>
      <c r="AB2664" s="2" t="s">
        <v>47</v>
      </c>
      <c r="AC2664" s="2" t="s">
        <v>57</v>
      </c>
      <c r="AF2664" s="2">
        <f t="shared" si="367"/>
        <v>0</v>
      </c>
      <c r="AG2664" s="2">
        <v>3.7357999999999998</v>
      </c>
      <c r="AH2664" s="2">
        <v>9</v>
      </c>
      <c r="AJ2664" s="2">
        <f t="shared" si="368"/>
        <v>0</v>
      </c>
      <c r="AK2664" s="2">
        <f t="shared" si="369"/>
        <v>16.256799999999998</v>
      </c>
      <c r="AL2664" s="5">
        <f t="shared" si="372"/>
        <v>0.52105128205128204</v>
      </c>
    </row>
    <row r="2665" spans="1:38" x14ac:dyDescent="0.2">
      <c r="A2665" s="2">
        <v>2025</v>
      </c>
      <c r="B2665" s="2">
        <v>9</v>
      </c>
      <c r="D2665" s="2" t="s">
        <v>428</v>
      </c>
      <c r="E2665" s="2" t="s">
        <v>38</v>
      </c>
      <c r="G2665" s="2">
        <v>500820384</v>
      </c>
      <c r="H2665" s="2" t="s">
        <v>40</v>
      </c>
      <c r="I2665" s="2" t="s">
        <v>429</v>
      </c>
      <c r="J2665" s="2" t="s">
        <v>430</v>
      </c>
      <c r="L2665" s="2" t="s">
        <v>99</v>
      </c>
      <c r="M2665" s="2" t="s">
        <v>80</v>
      </c>
      <c r="O2665" s="2" t="s">
        <v>2235</v>
      </c>
      <c r="P2665" s="2" t="s">
        <v>72</v>
      </c>
      <c r="Q2665" s="2" t="s">
        <v>556</v>
      </c>
      <c r="R2665" s="2" t="s">
        <v>381</v>
      </c>
      <c r="S2665" s="2">
        <v>2</v>
      </c>
      <c r="T2665" s="2">
        <v>446.2</v>
      </c>
      <c r="U2665" s="2">
        <v>102.626</v>
      </c>
      <c r="V2665" s="2">
        <v>548.82600000000002</v>
      </c>
      <c r="W2665" s="2">
        <f>150.9767*S2665</f>
        <v>301.95339999999999</v>
      </c>
      <c r="X2665" s="5">
        <f t="shared" si="371"/>
        <v>0.32327790228597042</v>
      </c>
      <c r="Z2665" s="2" t="s">
        <v>3227</v>
      </c>
      <c r="AA2665" s="2" t="s">
        <v>75</v>
      </c>
      <c r="AB2665" s="2" t="s">
        <v>76</v>
      </c>
      <c r="AC2665" s="2" t="s">
        <v>77</v>
      </c>
      <c r="AF2665" s="2">
        <f t="shared" si="367"/>
        <v>0</v>
      </c>
      <c r="AJ2665" s="2">
        <f t="shared" si="368"/>
        <v>0</v>
      </c>
      <c r="AK2665" s="2">
        <f t="shared" si="369"/>
        <v>144.2466</v>
      </c>
      <c r="AL2665" s="5">
        <f t="shared" si="372"/>
        <v>0.32327790228597042</v>
      </c>
    </row>
    <row r="2666" spans="1:38" x14ac:dyDescent="0.2">
      <c r="A2666" s="2">
        <v>2025</v>
      </c>
      <c r="B2666" s="2">
        <v>9</v>
      </c>
      <c r="D2666" s="2" t="s">
        <v>428</v>
      </c>
      <c r="E2666" s="2" t="s">
        <v>38</v>
      </c>
      <c r="G2666" s="2">
        <v>500820384</v>
      </c>
      <c r="H2666" s="2" t="s">
        <v>40</v>
      </c>
      <c r="I2666" s="2" t="s">
        <v>429</v>
      </c>
      <c r="J2666" s="2" t="s">
        <v>430</v>
      </c>
      <c r="L2666" s="2" t="s">
        <v>99</v>
      </c>
      <c r="M2666" s="2" t="s">
        <v>80</v>
      </c>
      <c r="O2666" s="2" t="s">
        <v>2235</v>
      </c>
      <c r="P2666" s="2" t="s">
        <v>93</v>
      </c>
      <c r="Q2666" s="2" t="s">
        <v>94</v>
      </c>
      <c r="R2666" s="2" t="s">
        <v>95</v>
      </c>
      <c r="S2666" s="2">
        <v>2</v>
      </c>
      <c r="T2666" s="2">
        <v>2.2799999999999998</v>
      </c>
      <c r="U2666" s="2">
        <v>0.52439999999999998</v>
      </c>
      <c r="V2666" s="2">
        <v>2.8043999999999998</v>
      </c>
      <c r="W2666" s="2">
        <v>2.2799999999999998</v>
      </c>
      <c r="X2666" s="5">
        <f t="shared" si="371"/>
        <v>0</v>
      </c>
      <c r="Z2666" s="2" t="s">
        <v>3227</v>
      </c>
      <c r="AA2666" s="2" t="s">
        <v>96</v>
      </c>
      <c r="AB2666" s="2" t="s">
        <v>76</v>
      </c>
      <c r="AC2666" s="2" t="s">
        <v>93</v>
      </c>
      <c r="AF2666" s="2">
        <f t="shared" si="367"/>
        <v>0</v>
      </c>
      <c r="AJ2666" s="2">
        <f t="shared" si="368"/>
        <v>0</v>
      </c>
      <c r="AK2666" s="2">
        <f t="shared" si="369"/>
        <v>0</v>
      </c>
      <c r="AL2666" s="5">
        <f t="shared" si="372"/>
        <v>0</v>
      </c>
    </row>
    <row r="2667" spans="1:38" x14ac:dyDescent="0.2">
      <c r="A2667" s="2">
        <v>2025</v>
      </c>
      <c r="B2667" s="2">
        <v>9</v>
      </c>
      <c r="D2667" s="2" t="s">
        <v>1795</v>
      </c>
      <c r="P2667" s="2" t="s">
        <v>3230</v>
      </c>
      <c r="Q2667" s="2" t="s">
        <v>1786</v>
      </c>
      <c r="R2667" s="2" t="s">
        <v>1787</v>
      </c>
      <c r="S2667" s="2">
        <v>-1</v>
      </c>
      <c r="T2667" s="2">
        <v>-1800</v>
      </c>
      <c r="U2667" s="2">
        <v>-414</v>
      </c>
      <c r="V2667" s="2">
        <v>-2214</v>
      </c>
      <c r="W2667" s="2">
        <v>1036.96</v>
      </c>
      <c r="X2667" s="5">
        <f t="shared" si="371"/>
        <v>1.5760888888888889</v>
      </c>
      <c r="Z2667" s="2" t="s">
        <v>104</v>
      </c>
      <c r="AA2667" s="2" t="s">
        <v>105</v>
      </c>
      <c r="AB2667" s="2" t="s">
        <v>106</v>
      </c>
      <c r="AC2667" s="2" t="s">
        <v>3230</v>
      </c>
      <c r="AF2667" s="2">
        <f t="shared" si="367"/>
        <v>0</v>
      </c>
      <c r="AJ2667" s="2">
        <f t="shared" si="368"/>
        <v>0</v>
      </c>
      <c r="AK2667" s="2">
        <f t="shared" si="369"/>
        <v>-2836.96</v>
      </c>
      <c r="AL2667" s="5">
        <f t="shared" si="372"/>
        <v>1.5760888888888889</v>
      </c>
    </row>
    <row r="2668" spans="1:38" x14ac:dyDescent="0.2">
      <c r="A2668" s="2">
        <v>2025</v>
      </c>
      <c r="B2668" s="2">
        <v>9</v>
      </c>
      <c r="D2668" s="2" t="s">
        <v>2236</v>
      </c>
      <c r="P2668" s="2" t="s">
        <v>3230</v>
      </c>
      <c r="Q2668" s="2" t="s">
        <v>1786</v>
      </c>
      <c r="R2668" s="2" t="s">
        <v>1787</v>
      </c>
      <c r="S2668" s="2">
        <v>1</v>
      </c>
      <c r="T2668" s="2">
        <v>1800</v>
      </c>
      <c r="U2668" s="2">
        <v>414</v>
      </c>
      <c r="V2668" s="2">
        <v>2214</v>
      </c>
      <c r="W2668" s="2">
        <v>1036.96</v>
      </c>
      <c r="X2668" s="5">
        <f t="shared" si="371"/>
        <v>0.42391111111111107</v>
      </c>
      <c r="Z2668" s="2" t="s">
        <v>104</v>
      </c>
      <c r="AA2668" s="2" t="s">
        <v>105</v>
      </c>
      <c r="AB2668" s="2" t="s">
        <v>106</v>
      </c>
      <c r="AC2668" s="2" t="s">
        <v>3230</v>
      </c>
      <c r="AF2668" s="2">
        <f t="shared" si="367"/>
        <v>0</v>
      </c>
      <c r="AJ2668" s="2">
        <f t="shared" si="368"/>
        <v>0</v>
      </c>
      <c r="AK2668" s="2">
        <f t="shared" si="369"/>
        <v>763.04</v>
      </c>
      <c r="AL2668" s="5">
        <f t="shared" si="372"/>
        <v>0.42391111111111107</v>
      </c>
    </row>
    <row r="2669" spans="1:38" x14ac:dyDescent="0.2">
      <c r="A2669" s="2">
        <v>2025</v>
      </c>
      <c r="B2669" s="2">
        <v>9</v>
      </c>
      <c r="D2669" s="2" t="s">
        <v>816</v>
      </c>
      <c r="E2669" s="2" t="s">
        <v>38</v>
      </c>
      <c r="F2669" s="2" t="s">
        <v>39</v>
      </c>
      <c r="L2669" s="2" t="s">
        <v>480</v>
      </c>
      <c r="P2669" s="2" t="s">
        <v>72</v>
      </c>
      <c r="Q2669" s="2" t="s">
        <v>301</v>
      </c>
      <c r="R2669" s="2" t="s">
        <v>74</v>
      </c>
      <c r="S2669" s="2">
        <v>1</v>
      </c>
      <c r="T2669" s="2">
        <v>210</v>
      </c>
      <c r="U2669" s="2">
        <v>48.3</v>
      </c>
      <c r="V2669" s="2">
        <v>258.3</v>
      </c>
      <c r="W2669" s="2">
        <v>121.46</v>
      </c>
      <c r="X2669" s="5">
        <f t="shared" si="371"/>
        <v>0.42161904761904767</v>
      </c>
      <c r="Z2669" s="2" t="s">
        <v>3227</v>
      </c>
      <c r="AA2669" s="2" t="s">
        <v>75</v>
      </c>
      <c r="AB2669" s="2" t="s">
        <v>76</v>
      </c>
      <c r="AC2669" s="2" t="s">
        <v>77</v>
      </c>
      <c r="AF2669" s="2">
        <f t="shared" si="367"/>
        <v>0</v>
      </c>
      <c r="AG2669" s="2">
        <v>121.46</v>
      </c>
      <c r="AH2669" s="2">
        <v>210</v>
      </c>
      <c r="AJ2669" s="2">
        <f t="shared" si="368"/>
        <v>0</v>
      </c>
      <c r="AK2669" s="2">
        <f t="shared" si="369"/>
        <v>88.54</v>
      </c>
      <c r="AL2669" s="5">
        <f t="shared" si="372"/>
        <v>0.42161904761904767</v>
      </c>
    </row>
    <row r="2670" spans="1:38" x14ac:dyDescent="0.2">
      <c r="A2670" s="2">
        <v>2025</v>
      </c>
      <c r="B2670" s="2">
        <v>9</v>
      </c>
      <c r="D2670" s="2" t="s">
        <v>816</v>
      </c>
      <c r="E2670" s="2" t="s">
        <v>38</v>
      </c>
      <c r="F2670" s="2" t="s">
        <v>39</v>
      </c>
      <c r="L2670" s="2" t="s">
        <v>480</v>
      </c>
      <c r="P2670" s="2" t="s">
        <v>93</v>
      </c>
      <c r="Q2670" s="2" t="s">
        <v>94</v>
      </c>
      <c r="R2670" s="2" t="s">
        <v>95</v>
      </c>
      <c r="S2670" s="2">
        <v>1</v>
      </c>
      <c r="T2670" s="2">
        <v>1.1399999999999999</v>
      </c>
      <c r="U2670" s="2">
        <v>0.26219999999999999</v>
      </c>
      <c r="V2670" s="2">
        <v>1.4021999999999999</v>
      </c>
      <c r="W2670" s="2">
        <v>1.1399999999999999</v>
      </c>
      <c r="X2670" s="5">
        <f t="shared" si="371"/>
        <v>0</v>
      </c>
      <c r="Z2670" s="2" t="s">
        <v>3227</v>
      </c>
      <c r="AA2670" s="2" t="s">
        <v>96</v>
      </c>
      <c r="AB2670" s="2" t="s">
        <v>76</v>
      </c>
      <c r="AC2670" s="2" t="s">
        <v>93</v>
      </c>
      <c r="AF2670" s="2">
        <f t="shared" si="367"/>
        <v>0</v>
      </c>
      <c r="AJ2670" s="2">
        <f t="shared" si="368"/>
        <v>0</v>
      </c>
      <c r="AK2670" s="2">
        <f t="shared" si="369"/>
        <v>0</v>
      </c>
      <c r="AL2670" s="5">
        <f t="shared" si="372"/>
        <v>0</v>
      </c>
    </row>
    <row r="2671" spans="1:38" x14ac:dyDescent="0.2">
      <c r="A2671" s="2">
        <v>2025</v>
      </c>
      <c r="B2671" s="2">
        <v>9</v>
      </c>
      <c r="D2671" s="2" t="s">
        <v>2237</v>
      </c>
      <c r="P2671" s="2" t="s">
        <v>72</v>
      </c>
      <c r="Q2671" s="2" t="s">
        <v>484</v>
      </c>
      <c r="R2671" s="2" t="s">
        <v>74</v>
      </c>
      <c r="S2671" s="2">
        <v>1</v>
      </c>
      <c r="T2671" s="2">
        <v>220</v>
      </c>
      <c r="U2671" s="2">
        <v>50.6</v>
      </c>
      <c r="V2671" s="2">
        <v>270.60000000000002</v>
      </c>
      <c r="W2671" s="2">
        <v>131.93</v>
      </c>
      <c r="X2671" s="5">
        <f t="shared" si="371"/>
        <v>0.4003181818181818</v>
      </c>
      <c r="Z2671" s="2" t="s">
        <v>3227</v>
      </c>
      <c r="AA2671" s="2" t="s">
        <v>75</v>
      </c>
      <c r="AB2671" s="2" t="s">
        <v>76</v>
      </c>
      <c r="AC2671" s="2" t="s">
        <v>77</v>
      </c>
      <c r="AF2671" s="2">
        <f t="shared" si="367"/>
        <v>0</v>
      </c>
      <c r="AG2671" s="2">
        <v>131.93</v>
      </c>
      <c r="AH2671" s="2">
        <v>220</v>
      </c>
      <c r="AJ2671" s="2">
        <f t="shared" si="368"/>
        <v>0</v>
      </c>
      <c r="AK2671" s="2">
        <f t="shared" si="369"/>
        <v>88.07</v>
      </c>
      <c r="AL2671" s="5">
        <f t="shared" si="372"/>
        <v>0.4003181818181818</v>
      </c>
    </row>
    <row r="2672" spans="1:38" x14ac:dyDescent="0.2">
      <c r="A2672" s="2">
        <v>2025</v>
      </c>
      <c r="B2672" s="2">
        <v>9</v>
      </c>
      <c r="D2672" s="2" t="s">
        <v>2237</v>
      </c>
      <c r="P2672" s="2" t="s">
        <v>93</v>
      </c>
      <c r="Q2672" s="2" t="s">
        <v>94</v>
      </c>
      <c r="R2672" s="2" t="s">
        <v>95</v>
      </c>
      <c r="S2672" s="2">
        <v>1</v>
      </c>
      <c r="T2672" s="2">
        <v>1.1399999999999999</v>
      </c>
      <c r="U2672" s="2">
        <v>0.26219999999999999</v>
      </c>
      <c r="V2672" s="2">
        <v>1.4021999999999999</v>
      </c>
      <c r="W2672" s="2">
        <v>1.1399999999999999</v>
      </c>
      <c r="X2672" s="5">
        <f t="shared" si="371"/>
        <v>0</v>
      </c>
      <c r="Z2672" s="2" t="s">
        <v>3227</v>
      </c>
      <c r="AA2672" s="2" t="s">
        <v>96</v>
      </c>
      <c r="AB2672" s="2" t="s">
        <v>76</v>
      </c>
      <c r="AC2672" s="2" t="s">
        <v>93</v>
      </c>
      <c r="AF2672" s="2">
        <f t="shared" si="367"/>
        <v>0</v>
      </c>
      <c r="AJ2672" s="2">
        <f t="shared" si="368"/>
        <v>0</v>
      </c>
      <c r="AK2672" s="2">
        <f t="shared" si="369"/>
        <v>0</v>
      </c>
      <c r="AL2672" s="5">
        <f t="shared" si="372"/>
        <v>0</v>
      </c>
    </row>
    <row r="2673" spans="1:38" x14ac:dyDescent="0.2">
      <c r="A2673" s="2">
        <v>2025</v>
      </c>
      <c r="B2673" s="2">
        <v>9</v>
      </c>
      <c r="D2673" s="2" t="s">
        <v>1564</v>
      </c>
      <c r="P2673" s="2" t="s">
        <v>72</v>
      </c>
      <c r="Q2673" s="2" t="s">
        <v>73</v>
      </c>
      <c r="R2673" s="2" t="s">
        <v>74</v>
      </c>
      <c r="S2673" s="2">
        <v>1</v>
      </c>
      <c r="T2673" s="2">
        <v>210</v>
      </c>
      <c r="U2673" s="2">
        <v>48.3</v>
      </c>
      <c r="V2673" s="2">
        <v>258.3</v>
      </c>
      <c r="W2673" s="2">
        <v>117.453</v>
      </c>
      <c r="X2673" s="5">
        <f t="shared" si="371"/>
        <v>0.44069999999999998</v>
      </c>
      <c r="Z2673" s="2" t="s">
        <v>3227</v>
      </c>
      <c r="AA2673" s="2" t="s">
        <v>75</v>
      </c>
      <c r="AB2673" s="2" t="s">
        <v>76</v>
      </c>
      <c r="AC2673" s="2" t="s">
        <v>77</v>
      </c>
      <c r="AF2673" s="2">
        <f t="shared" si="367"/>
        <v>0</v>
      </c>
      <c r="AG2673" s="2">
        <v>117.453</v>
      </c>
      <c r="AH2673" s="2">
        <v>220</v>
      </c>
      <c r="AJ2673" s="2">
        <f t="shared" si="368"/>
        <v>0</v>
      </c>
      <c r="AK2673" s="2">
        <f t="shared" si="369"/>
        <v>92.546999999999997</v>
      </c>
      <c r="AL2673" s="5">
        <f t="shared" si="372"/>
        <v>0.44069999999999998</v>
      </c>
    </row>
    <row r="2674" spans="1:38" x14ac:dyDescent="0.2">
      <c r="A2674" s="2">
        <v>2025</v>
      </c>
      <c r="B2674" s="2">
        <v>9</v>
      </c>
      <c r="D2674" s="2" t="s">
        <v>1564</v>
      </c>
      <c r="P2674" s="2" t="s">
        <v>93</v>
      </c>
      <c r="Q2674" s="2" t="s">
        <v>94</v>
      </c>
      <c r="R2674" s="2" t="s">
        <v>95</v>
      </c>
      <c r="S2674" s="2">
        <v>1</v>
      </c>
      <c r="T2674" s="2">
        <v>1.1399999999999999</v>
      </c>
      <c r="U2674" s="2">
        <v>0.26219999999999999</v>
      </c>
      <c r="V2674" s="2">
        <v>1.4021999999999999</v>
      </c>
      <c r="W2674" s="2">
        <v>1.1399999999999999</v>
      </c>
      <c r="X2674" s="5">
        <f t="shared" si="371"/>
        <v>0</v>
      </c>
      <c r="Z2674" s="2" t="s">
        <v>3227</v>
      </c>
      <c r="AA2674" s="2" t="s">
        <v>96</v>
      </c>
      <c r="AB2674" s="2" t="s">
        <v>76</v>
      </c>
      <c r="AC2674" s="2" t="s">
        <v>93</v>
      </c>
      <c r="AF2674" s="2">
        <f t="shared" si="367"/>
        <v>0</v>
      </c>
      <c r="AJ2674" s="2">
        <f t="shared" si="368"/>
        <v>0</v>
      </c>
      <c r="AK2674" s="2">
        <f t="shared" si="369"/>
        <v>0</v>
      </c>
      <c r="AL2674" s="5">
        <f t="shared" si="372"/>
        <v>0</v>
      </c>
    </row>
    <row r="2675" spans="1:38" x14ac:dyDescent="0.2">
      <c r="A2675" s="2">
        <v>2025</v>
      </c>
      <c r="B2675" s="2">
        <v>9</v>
      </c>
      <c r="D2675" s="2" t="s">
        <v>451</v>
      </c>
      <c r="E2675" s="2" t="s">
        <v>108</v>
      </c>
      <c r="F2675" s="2" t="s">
        <v>39</v>
      </c>
      <c r="G2675" s="2">
        <v>506085686</v>
      </c>
      <c r="H2675" s="2" t="s">
        <v>40</v>
      </c>
      <c r="I2675" s="2" t="s">
        <v>452</v>
      </c>
      <c r="J2675" s="2" t="s">
        <v>453</v>
      </c>
      <c r="K2675" s="2">
        <v>917241919</v>
      </c>
      <c r="L2675" s="2" t="s">
        <v>398</v>
      </c>
      <c r="P2675" s="2" t="s">
        <v>114</v>
      </c>
      <c r="Q2675" s="2" t="s">
        <v>514</v>
      </c>
      <c r="R2675" s="2" t="s">
        <v>515</v>
      </c>
      <c r="S2675" s="2">
        <v>1</v>
      </c>
      <c r="T2675" s="2">
        <v>257.64999999999998</v>
      </c>
      <c r="U2675" s="2">
        <v>59.259500000000003</v>
      </c>
      <c r="V2675" s="2">
        <v>316.90949999999998</v>
      </c>
      <c r="X2675" s="5">
        <f t="shared" si="371"/>
        <v>1</v>
      </c>
      <c r="Z2675" s="2" t="s">
        <v>117</v>
      </c>
      <c r="AF2675" s="2">
        <f t="shared" si="367"/>
        <v>0</v>
      </c>
      <c r="AJ2675" s="2">
        <f t="shared" si="368"/>
        <v>0</v>
      </c>
      <c r="AK2675" s="2">
        <f t="shared" si="369"/>
        <v>257.64999999999998</v>
      </c>
      <c r="AL2675" s="5">
        <f t="shared" si="372"/>
        <v>1</v>
      </c>
    </row>
    <row r="2676" spans="1:38" x14ac:dyDescent="0.2">
      <c r="A2676" s="2">
        <v>2025</v>
      </c>
      <c r="B2676" s="2">
        <v>9</v>
      </c>
      <c r="D2676" s="2" t="s">
        <v>451</v>
      </c>
      <c r="E2676" s="2" t="s">
        <v>108</v>
      </c>
      <c r="F2676" s="2" t="s">
        <v>39</v>
      </c>
      <c r="G2676" s="2">
        <v>506085686</v>
      </c>
      <c r="H2676" s="2" t="s">
        <v>40</v>
      </c>
      <c r="I2676" s="2" t="s">
        <v>452</v>
      </c>
      <c r="J2676" s="2" t="s">
        <v>453</v>
      </c>
      <c r="K2676" s="2">
        <v>917241919</v>
      </c>
      <c r="L2676" s="2" t="s">
        <v>398</v>
      </c>
      <c r="M2676" s="2" t="s">
        <v>40</v>
      </c>
      <c r="P2676" s="2" t="s">
        <v>1108</v>
      </c>
      <c r="Q2676" s="2" t="s">
        <v>1109</v>
      </c>
      <c r="R2676" s="2" t="s">
        <v>1110</v>
      </c>
      <c r="S2676" s="2">
        <v>1</v>
      </c>
      <c r="T2676" s="2">
        <v>2650</v>
      </c>
      <c r="U2676" s="2">
        <v>609.5</v>
      </c>
      <c r="V2676" s="2">
        <v>3259.5</v>
      </c>
      <c r="W2676" s="2">
        <v>2242.31</v>
      </c>
      <c r="X2676" s="5">
        <f t="shared" si="371"/>
        <v>0.15384528301886793</v>
      </c>
      <c r="Z2676" s="2" t="s">
        <v>104</v>
      </c>
      <c r="AA2676" s="2" t="s">
        <v>1111</v>
      </c>
      <c r="AB2676" s="2" t="s">
        <v>1112</v>
      </c>
      <c r="AC2676" s="2" t="s">
        <v>1108</v>
      </c>
      <c r="AF2676" s="2">
        <f t="shared" si="367"/>
        <v>0</v>
      </c>
      <c r="AG2676" s="2">
        <v>2242.31</v>
      </c>
      <c r="AJ2676" s="2">
        <f t="shared" si="368"/>
        <v>0</v>
      </c>
      <c r="AK2676" s="2">
        <f t="shared" si="369"/>
        <v>407.69000000000005</v>
      </c>
      <c r="AL2676" s="5">
        <f t="shared" si="372"/>
        <v>0.15384528301886793</v>
      </c>
    </row>
    <row r="2677" spans="1:38" x14ac:dyDescent="0.2">
      <c r="A2677" s="2">
        <v>2025</v>
      </c>
      <c r="B2677" s="2">
        <v>9</v>
      </c>
      <c r="D2677" s="2" t="s">
        <v>451</v>
      </c>
      <c r="E2677" s="2" t="s">
        <v>108</v>
      </c>
      <c r="F2677" s="2" t="s">
        <v>39</v>
      </c>
      <c r="G2677" s="2">
        <v>506085686</v>
      </c>
      <c r="H2677" s="2" t="s">
        <v>40</v>
      </c>
      <c r="I2677" s="2" t="s">
        <v>452</v>
      </c>
      <c r="J2677" s="2" t="s">
        <v>453</v>
      </c>
      <c r="K2677" s="2">
        <v>917241919</v>
      </c>
      <c r="L2677" s="2" t="s">
        <v>398</v>
      </c>
      <c r="M2677" s="2" t="s">
        <v>40</v>
      </c>
      <c r="P2677" s="2" t="s">
        <v>187</v>
      </c>
      <c r="Q2677" s="2" t="s">
        <v>188</v>
      </c>
      <c r="R2677" s="2" t="s">
        <v>189</v>
      </c>
      <c r="S2677" s="2">
        <v>2</v>
      </c>
      <c r="T2677" s="2">
        <v>221.25</v>
      </c>
      <c r="U2677" s="2">
        <v>50.887500000000003</v>
      </c>
      <c r="V2677" s="2">
        <v>272.13749999999999</v>
      </c>
      <c r="W2677" s="2">
        <f>T2677*40%</f>
        <v>88.5</v>
      </c>
      <c r="X2677" s="5">
        <f t="shared" si="371"/>
        <v>0.6</v>
      </c>
      <c r="Z2677" s="2" t="s">
        <v>117</v>
      </c>
      <c r="AA2677" s="2" t="s">
        <v>190</v>
      </c>
      <c r="AB2677" s="2" t="s">
        <v>189</v>
      </c>
      <c r="AC2677" s="2" t="s">
        <v>40</v>
      </c>
      <c r="AF2677" s="2">
        <f t="shared" si="367"/>
        <v>0</v>
      </c>
      <c r="AJ2677" s="2">
        <f t="shared" si="368"/>
        <v>0</v>
      </c>
      <c r="AK2677" s="2">
        <f t="shared" si="369"/>
        <v>132.75</v>
      </c>
      <c r="AL2677" s="5">
        <f t="shared" si="372"/>
        <v>0.6</v>
      </c>
    </row>
    <row r="2678" spans="1:38" x14ac:dyDescent="0.2">
      <c r="A2678" s="2">
        <v>2025</v>
      </c>
      <c r="B2678" s="2">
        <v>9</v>
      </c>
      <c r="D2678" s="2" t="s">
        <v>451</v>
      </c>
      <c r="E2678" s="2" t="s">
        <v>108</v>
      </c>
      <c r="F2678" s="2" t="s">
        <v>39</v>
      </c>
      <c r="G2678" s="2">
        <v>506085686</v>
      </c>
      <c r="H2678" s="2" t="s">
        <v>40</v>
      </c>
      <c r="I2678" s="2" t="s">
        <v>452</v>
      </c>
      <c r="J2678" s="2" t="s">
        <v>453</v>
      </c>
      <c r="K2678" s="2">
        <v>917241919</v>
      </c>
      <c r="L2678" s="2" t="s">
        <v>398</v>
      </c>
      <c r="M2678" s="2" t="s">
        <v>40</v>
      </c>
      <c r="P2678" s="2" t="s">
        <v>187</v>
      </c>
      <c r="Q2678" s="2" t="s">
        <v>191</v>
      </c>
      <c r="R2678" s="2" t="s">
        <v>190</v>
      </c>
      <c r="S2678" s="2">
        <v>4.5</v>
      </c>
      <c r="T2678" s="2">
        <v>202.5</v>
      </c>
      <c r="U2678" s="2">
        <v>46.575000000000003</v>
      </c>
      <c r="V2678" s="2">
        <v>249.07499999999999</v>
      </c>
      <c r="W2678" s="2">
        <f>T2678*50%</f>
        <v>101.25</v>
      </c>
      <c r="X2678" s="5">
        <f t="shared" si="371"/>
        <v>0.5</v>
      </c>
      <c r="Z2678" s="2" t="s">
        <v>117</v>
      </c>
      <c r="AA2678" s="2" t="s">
        <v>190</v>
      </c>
      <c r="AB2678" s="2" t="s">
        <v>190</v>
      </c>
      <c r="AC2678" s="2" t="s">
        <v>40</v>
      </c>
      <c r="AF2678" s="2">
        <f t="shared" si="367"/>
        <v>0</v>
      </c>
      <c r="AJ2678" s="2">
        <f t="shared" si="368"/>
        <v>0</v>
      </c>
      <c r="AK2678" s="2">
        <f t="shared" si="369"/>
        <v>101.25</v>
      </c>
      <c r="AL2678" s="5">
        <f t="shared" si="372"/>
        <v>0.5</v>
      </c>
    </row>
    <row r="2679" spans="1:38" x14ac:dyDescent="0.2">
      <c r="A2679" s="2">
        <v>2025</v>
      </c>
      <c r="B2679" s="2">
        <v>9</v>
      </c>
      <c r="D2679" s="2" t="s">
        <v>451</v>
      </c>
      <c r="E2679" s="2" t="s">
        <v>108</v>
      </c>
      <c r="F2679" s="2" t="s">
        <v>39</v>
      </c>
      <c r="G2679" s="2">
        <v>506085686</v>
      </c>
      <c r="H2679" s="2" t="s">
        <v>40</v>
      </c>
      <c r="I2679" s="2" t="s">
        <v>452</v>
      </c>
      <c r="J2679" s="2" t="s">
        <v>453</v>
      </c>
      <c r="K2679" s="2">
        <v>917241919</v>
      </c>
      <c r="L2679" s="2" t="s">
        <v>398</v>
      </c>
      <c r="M2679" s="2" t="s">
        <v>40</v>
      </c>
      <c r="P2679" s="2" t="s">
        <v>40</v>
      </c>
      <c r="Q2679" s="2" t="s">
        <v>363</v>
      </c>
      <c r="R2679" s="2" t="s">
        <v>364</v>
      </c>
      <c r="S2679" s="2">
        <v>1</v>
      </c>
      <c r="T2679" s="2">
        <v>75</v>
      </c>
      <c r="U2679" s="2">
        <v>17.25</v>
      </c>
      <c r="V2679" s="2">
        <v>92.25</v>
      </c>
      <c r="X2679" s="5">
        <f t="shared" si="371"/>
        <v>1</v>
      </c>
      <c r="Z2679" s="2" t="s">
        <v>119</v>
      </c>
      <c r="AA2679" s="2" t="s">
        <v>3380</v>
      </c>
      <c r="AF2679" s="2">
        <f t="shared" si="367"/>
        <v>0</v>
      </c>
      <c r="AJ2679" s="2">
        <f t="shared" si="368"/>
        <v>0</v>
      </c>
      <c r="AK2679" s="2">
        <f t="shared" si="369"/>
        <v>75</v>
      </c>
      <c r="AL2679" s="5">
        <f t="shared" si="372"/>
        <v>1</v>
      </c>
    </row>
    <row r="2680" spans="1:38" x14ac:dyDescent="0.2">
      <c r="A2680" s="2">
        <v>2025</v>
      </c>
      <c r="B2680" s="2">
        <v>9</v>
      </c>
      <c r="D2680" s="2" t="s">
        <v>1565</v>
      </c>
      <c r="M2680" s="2" t="s">
        <v>40</v>
      </c>
      <c r="P2680" s="2" t="s">
        <v>187</v>
      </c>
      <c r="Q2680" s="2" t="s">
        <v>191</v>
      </c>
      <c r="R2680" s="2" t="s">
        <v>190</v>
      </c>
      <c r="S2680" s="2">
        <v>1</v>
      </c>
      <c r="T2680" s="2">
        <v>50</v>
      </c>
      <c r="U2680" s="2">
        <v>11.5</v>
      </c>
      <c r="V2680" s="2">
        <v>61.5</v>
      </c>
      <c r="W2680" s="2">
        <f>T2680*50%</f>
        <v>25</v>
      </c>
      <c r="X2680" s="5">
        <f t="shared" si="371"/>
        <v>0.5</v>
      </c>
      <c r="Z2680" s="2" t="s">
        <v>117</v>
      </c>
      <c r="AA2680" s="2" t="s">
        <v>190</v>
      </c>
      <c r="AB2680" s="2" t="s">
        <v>190</v>
      </c>
      <c r="AC2680" s="2" t="s">
        <v>40</v>
      </c>
      <c r="AF2680" s="2">
        <f t="shared" si="367"/>
        <v>0</v>
      </c>
      <c r="AJ2680" s="2">
        <f t="shared" si="368"/>
        <v>0</v>
      </c>
      <c r="AK2680" s="2">
        <f t="shared" si="369"/>
        <v>25</v>
      </c>
      <c r="AL2680" s="5">
        <f t="shared" si="372"/>
        <v>0.5</v>
      </c>
    </row>
    <row r="2681" spans="1:38" x14ac:dyDescent="0.2">
      <c r="A2681" s="2">
        <v>2025</v>
      </c>
      <c r="B2681" s="2">
        <v>9</v>
      </c>
      <c r="D2681" s="2" t="s">
        <v>1565</v>
      </c>
      <c r="P2681" s="2" t="s">
        <v>40</v>
      </c>
      <c r="Q2681" s="2" t="s">
        <v>363</v>
      </c>
      <c r="R2681" s="2" t="s">
        <v>364</v>
      </c>
      <c r="S2681" s="2">
        <v>1</v>
      </c>
      <c r="T2681" s="2">
        <v>178.91</v>
      </c>
      <c r="U2681" s="2">
        <v>41.149299999999997</v>
      </c>
      <c r="V2681" s="2">
        <v>220.05930000000001</v>
      </c>
      <c r="X2681" s="5">
        <f t="shared" si="371"/>
        <v>1</v>
      </c>
      <c r="Z2681" s="2" t="s">
        <v>119</v>
      </c>
      <c r="AA2681" s="2" t="s">
        <v>3380</v>
      </c>
      <c r="AF2681" s="2">
        <f t="shared" si="367"/>
        <v>0</v>
      </c>
      <c r="AJ2681" s="2">
        <f t="shared" si="368"/>
        <v>0</v>
      </c>
      <c r="AK2681" s="2">
        <f t="shared" si="369"/>
        <v>178.91</v>
      </c>
      <c r="AL2681" s="5">
        <f t="shared" si="372"/>
        <v>1</v>
      </c>
    </row>
    <row r="2682" spans="1:38" x14ac:dyDescent="0.2">
      <c r="A2682" s="2">
        <v>2025</v>
      </c>
      <c r="B2682" s="2">
        <v>9</v>
      </c>
      <c r="D2682" s="2" t="s">
        <v>1026</v>
      </c>
      <c r="E2682" s="2" t="s">
        <v>38</v>
      </c>
      <c r="F2682" s="2" t="s">
        <v>39</v>
      </c>
      <c r="G2682" s="2">
        <v>514229829</v>
      </c>
      <c r="H2682" s="2" t="s">
        <v>41</v>
      </c>
      <c r="I2682" s="2" t="s">
        <v>1027</v>
      </c>
      <c r="J2682" s="2" t="s">
        <v>1028</v>
      </c>
      <c r="K2682" s="2">
        <v>963046242</v>
      </c>
      <c r="L2682" s="2" t="s">
        <v>177</v>
      </c>
      <c r="P2682" s="2" t="s">
        <v>282</v>
      </c>
      <c r="Q2682" s="2" t="s">
        <v>434</v>
      </c>
      <c r="R2682" s="2" t="s">
        <v>435</v>
      </c>
      <c r="S2682" s="2">
        <v>1</v>
      </c>
      <c r="T2682" s="2">
        <v>695</v>
      </c>
      <c r="U2682" s="2">
        <v>159.85</v>
      </c>
      <c r="V2682" s="2">
        <v>854.85</v>
      </c>
      <c r="W2682" s="2">
        <v>417</v>
      </c>
      <c r="X2682" s="5">
        <f t="shared" si="371"/>
        <v>0.4</v>
      </c>
      <c r="Z2682" s="2" t="s">
        <v>104</v>
      </c>
      <c r="AA2682" s="2" t="s">
        <v>387</v>
      </c>
      <c r="AB2682" s="2" t="s">
        <v>388</v>
      </c>
      <c r="AC2682" s="2" t="s">
        <v>389</v>
      </c>
      <c r="AF2682" s="2">
        <f t="shared" si="367"/>
        <v>0</v>
      </c>
      <c r="AJ2682" s="2">
        <f t="shared" si="368"/>
        <v>0</v>
      </c>
      <c r="AK2682" s="2">
        <f t="shared" si="369"/>
        <v>278</v>
      </c>
      <c r="AL2682" s="5">
        <f t="shared" si="372"/>
        <v>0.4</v>
      </c>
    </row>
    <row r="2683" spans="1:38" x14ac:dyDescent="0.2">
      <c r="A2683" s="2">
        <v>2025</v>
      </c>
      <c r="B2683" s="2">
        <v>9</v>
      </c>
      <c r="D2683" s="2" t="s">
        <v>833</v>
      </c>
      <c r="P2683" s="2" t="s">
        <v>114</v>
      </c>
      <c r="Q2683" s="2" t="s">
        <v>1332</v>
      </c>
      <c r="R2683" s="2" t="s">
        <v>1333</v>
      </c>
      <c r="S2683" s="2">
        <v>1</v>
      </c>
      <c r="T2683" s="2">
        <v>65.510000000000005</v>
      </c>
      <c r="U2683" s="2">
        <v>15.067299999999999</v>
      </c>
      <c r="V2683" s="2">
        <v>80.577300000000008</v>
      </c>
      <c r="X2683" s="5">
        <f t="shared" si="371"/>
        <v>1</v>
      </c>
      <c r="AF2683" s="2">
        <f t="shared" si="367"/>
        <v>0</v>
      </c>
      <c r="AJ2683" s="2">
        <f t="shared" si="368"/>
        <v>0</v>
      </c>
      <c r="AK2683" s="2">
        <f t="shared" si="369"/>
        <v>65.510000000000005</v>
      </c>
      <c r="AL2683" s="5">
        <f t="shared" si="372"/>
        <v>1</v>
      </c>
    </row>
    <row r="2684" spans="1:38" x14ac:dyDescent="0.2">
      <c r="A2684" s="2">
        <v>2025</v>
      </c>
      <c r="B2684" s="2">
        <v>9</v>
      </c>
      <c r="D2684" s="2" t="s">
        <v>833</v>
      </c>
      <c r="M2684" s="2" t="s">
        <v>40</v>
      </c>
      <c r="P2684" s="2" t="s">
        <v>187</v>
      </c>
      <c r="Q2684" s="2" t="s">
        <v>188</v>
      </c>
      <c r="R2684" s="2" t="s">
        <v>189</v>
      </c>
      <c r="S2684" s="2">
        <v>1</v>
      </c>
      <c r="T2684" s="2">
        <v>71</v>
      </c>
      <c r="U2684" s="2">
        <v>16.329999999999998</v>
      </c>
      <c r="V2684" s="2">
        <v>87.33</v>
      </c>
      <c r="W2684" s="2">
        <f>T2684*40%</f>
        <v>28.400000000000002</v>
      </c>
      <c r="X2684" s="5">
        <f t="shared" ref="X2684:X2715" si="373">(T2684-W2684)/T2684</f>
        <v>0.59999999999999987</v>
      </c>
      <c r="Z2684" s="2" t="s">
        <v>117</v>
      </c>
      <c r="AA2684" s="2" t="s">
        <v>190</v>
      </c>
      <c r="AB2684" s="2" t="s">
        <v>189</v>
      </c>
      <c r="AC2684" s="2" t="s">
        <v>40</v>
      </c>
      <c r="AF2684" s="2">
        <f t="shared" si="367"/>
        <v>0</v>
      </c>
      <c r="AJ2684" s="2">
        <f t="shared" si="368"/>
        <v>0</v>
      </c>
      <c r="AK2684" s="2">
        <f t="shared" si="369"/>
        <v>42.599999999999994</v>
      </c>
      <c r="AL2684" s="5">
        <f t="shared" si="372"/>
        <v>0.59999999999999987</v>
      </c>
    </row>
    <row r="2685" spans="1:38" x14ac:dyDescent="0.2">
      <c r="A2685" s="2">
        <v>2025</v>
      </c>
      <c r="B2685" s="2">
        <v>9</v>
      </c>
      <c r="D2685" s="2" t="s">
        <v>833</v>
      </c>
      <c r="M2685" s="2" t="s">
        <v>40</v>
      </c>
      <c r="P2685" s="2" t="s">
        <v>187</v>
      </c>
      <c r="Q2685" s="2" t="s">
        <v>191</v>
      </c>
      <c r="R2685" s="2" t="s">
        <v>190</v>
      </c>
      <c r="S2685" s="2">
        <v>1</v>
      </c>
      <c r="T2685" s="2">
        <v>50</v>
      </c>
      <c r="U2685" s="2">
        <v>11.5</v>
      </c>
      <c r="V2685" s="2">
        <v>61.5</v>
      </c>
      <c r="W2685" s="2">
        <f>T2685*50%</f>
        <v>25</v>
      </c>
      <c r="X2685" s="5">
        <f t="shared" si="373"/>
        <v>0.5</v>
      </c>
      <c r="Z2685" s="2" t="s">
        <v>117</v>
      </c>
      <c r="AA2685" s="2" t="s">
        <v>190</v>
      </c>
      <c r="AB2685" s="2" t="s">
        <v>190</v>
      </c>
      <c r="AC2685" s="2" t="s">
        <v>40</v>
      </c>
      <c r="AF2685" s="2">
        <f t="shared" si="367"/>
        <v>0</v>
      </c>
      <c r="AJ2685" s="2">
        <f t="shared" si="368"/>
        <v>0</v>
      </c>
      <c r="AK2685" s="2">
        <f t="shared" si="369"/>
        <v>25</v>
      </c>
      <c r="AL2685" s="5">
        <f t="shared" si="372"/>
        <v>0.5</v>
      </c>
    </row>
    <row r="2686" spans="1:38" x14ac:dyDescent="0.2">
      <c r="A2686" s="2">
        <v>2025</v>
      </c>
      <c r="B2686" s="2">
        <v>9</v>
      </c>
      <c r="D2686" s="2" t="s">
        <v>833</v>
      </c>
      <c r="P2686" s="2" t="s">
        <v>40</v>
      </c>
      <c r="Q2686" s="2" t="s">
        <v>363</v>
      </c>
      <c r="R2686" s="2" t="s">
        <v>364</v>
      </c>
      <c r="S2686" s="2">
        <v>1</v>
      </c>
      <c r="T2686" s="2">
        <v>99.75</v>
      </c>
      <c r="U2686" s="2">
        <v>22.942499999999999</v>
      </c>
      <c r="V2686" s="2">
        <v>122.6925</v>
      </c>
      <c r="X2686" s="5">
        <f t="shared" si="373"/>
        <v>1</v>
      </c>
      <c r="Z2686" s="2" t="s">
        <v>119</v>
      </c>
      <c r="AA2686" s="2" t="s">
        <v>3380</v>
      </c>
      <c r="AF2686" s="2">
        <f t="shared" si="367"/>
        <v>0</v>
      </c>
      <c r="AJ2686" s="2">
        <f t="shared" si="368"/>
        <v>0</v>
      </c>
      <c r="AK2686" s="2">
        <f t="shared" si="369"/>
        <v>99.75</v>
      </c>
      <c r="AL2686" s="5">
        <f t="shared" si="372"/>
        <v>1</v>
      </c>
    </row>
    <row r="2687" spans="1:38" x14ac:dyDescent="0.2">
      <c r="A2687" s="2">
        <v>2025</v>
      </c>
      <c r="B2687" s="2">
        <v>9</v>
      </c>
      <c r="D2687" s="2" t="s">
        <v>2238</v>
      </c>
      <c r="P2687" s="2" t="s">
        <v>114</v>
      </c>
      <c r="Q2687" s="2" t="s">
        <v>823</v>
      </c>
      <c r="R2687" s="2" t="s">
        <v>824</v>
      </c>
      <c r="S2687" s="2">
        <v>1</v>
      </c>
      <c r="T2687" s="2">
        <v>234.11</v>
      </c>
      <c r="U2687" s="2">
        <v>53.845300000000009</v>
      </c>
      <c r="V2687" s="2">
        <v>287.95530000000002</v>
      </c>
      <c r="X2687" s="5">
        <f t="shared" si="373"/>
        <v>1</v>
      </c>
      <c r="AF2687" s="2">
        <f t="shared" si="367"/>
        <v>0</v>
      </c>
      <c r="AJ2687" s="2">
        <f t="shared" si="368"/>
        <v>0</v>
      </c>
      <c r="AK2687" s="2">
        <f t="shared" si="369"/>
        <v>234.11</v>
      </c>
      <c r="AL2687" s="5">
        <f t="shared" si="372"/>
        <v>1</v>
      </c>
    </row>
    <row r="2688" spans="1:38" x14ac:dyDescent="0.2">
      <c r="A2688" s="2">
        <v>2025</v>
      </c>
      <c r="B2688" s="2">
        <v>9</v>
      </c>
      <c r="D2688" s="2" t="s">
        <v>458</v>
      </c>
      <c r="E2688" s="2" t="s">
        <v>108</v>
      </c>
      <c r="F2688" s="2" t="s">
        <v>477</v>
      </c>
      <c r="G2688" s="2">
        <v>507016173</v>
      </c>
      <c r="H2688" s="2" t="s">
        <v>109</v>
      </c>
      <c r="I2688" s="2" t="s">
        <v>459</v>
      </c>
      <c r="J2688" s="2" t="s">
        <v>460</v>
      </c>
      <c r="L2688" s="2" t="s">
        <v>461</v>
      </c>
      <c r="P2688" s="2" t="s">
        <v>282</v>
      </c>
      <c r="Q2688" s="2" t="s">
        <v>399</v>
      </c>
      <c r="R2688" s="2" t="s">
        <v>400</v>
      </c>
      <c r="S2688" s="2">
        <v>8</v>
      </c>
      <c r="T2688" s="2">
        <v>232</v>
      </c>
      <c r="U2688" s="2">
        <v>53.36</v>
      </c>
      <c r="V2688" s="2">
        <v>285.36</v>
      </c>
      <c r="W2688" s="2">
        <f>17.4*S2688</f>
        <v>139.19999999999999</v>
      </c>
      <c r="X2688" s="5">
        <f t="shared" si="373"/>
        <v>0.4</v>
      </c>
      <c r="Z2688" s="2" t="s">
        <v>3227</v>
      </c>
      <c r="AA2688" s="2" t="s">
        <v>46</v>
      </c>
      <c r="AB2688" s="2" t="s">
        <v>60</v>
      </c>
      <c r="AC2688" s="2" t="s">
        <v>3332</v>
      </c>
      <c r="AF2688" s="2">
        <f t="shared" si="367"/>
        <v>0</v>
      </c>
      <c r="AJ2688" s="2">
        <f t="shared" si="368"/>
        <v>0</v>
      </c>
      <c r="AK2688" s="2">
        <f t="shared" si="369"/>
        <v>92.800000000000011</v>
      </c>
      <c r="AL2688" s="5">
        <f t="shared" si="372"/>
        <v>0.4</v>
      </c>
    </row>
    <row r="2689" spans="1:38" x14ac:dyDescent="0.2">
      <c r="A2689" s="2">
        <v>2025</v>
      </c>
      <c r="B2689" s="2">
        <v>9</v>
      </c>
      <c r="C2689" s="2" t="s">
        <v>3475</v>
      </c>
      <c r="D2689" s="2" t="s">
        <v>458</v>
      </c>
      <c r="E2689" s="2" t="s">
        <v>108</v>
      </c>
      <c r="F2689" s="2" t="s">
        <v>477</v>
      </c>
      <c r="G2689" s="2">
        <v>507016173</v>
      </c>
      <c r="H2689" s="2" t="s">
        <v>109</v>
      </c>
      <c r="I2689" s="2" t="s">
        <v>459</v>
      </c>
      <c r="J2689" s="2" t="s">
        <v>460</v>
      </c>
      <c r="L2689" s="2" t="s">
        <v>461</v>
      </c>
      <c r="M2689" s="2" t="s">
        <v>41</v>
      </c>
      <c r="P2689" s="2" t="s">
        <v>43</v>
      </c>
      <c r="Q2689" s="2" t="s">
        <v>238</v>
      </c>
      <c r="R2689" s="2" t="s">
        <v>239</v>
      </c>
      <c r="S2689" s="2">
        <v>1</v>
      </c>
      <c r="T2689" s="2">
        <v>28.8</v>
      </c>
      <c r="U2689" s="2">
        <v>6.6240000000000014</v>
      </c>
      <c r="V2689" s="2">
        <v>35.423999999999999</v>
      </c>
      <c r="W2689" s="2">
        <f>11.045*S2689</f>
        <v>11.045</v>
      </c>
      <c r="X2689" s="5">
        <f t="shared" si="373"/>
        <v>0.61649305555555567</v>
      </c>
      <c r="Z2689" s="2" t="s">
        <v>3227</v>
      </c>
      <c r="AA2689" s="2" t="s">
        <v>46</v>
      </c>
      <c r="AB2689" s="2" t="s">
        <v>56</v>
      </c>
      <c r="AC2689" s="2" t="s">
        <v>57</v>
      </c>
      <c r="AF2689" s="2">
        <f t="shared" si="367"/>
        <v>0</v>
      </c>
      <c r="AJ2689" s="2">
        <f t="shared" si="368"/>
        <v>0</v>
      </c>
      <c r="AK2689" s="2">
        <f t="shared" si="369"/>
        <v>17.755000000000003</v>
      </c>
      <c r="AL2689" s="5">
        <f t="shared" si="372"/>
        <v>0.61649305555555567</v>
      </c>
    </row>
    <row r="2690" spans="1:38" x14ac:dyDescent="0.2">
      <c r="A2690" s="2">
        <v>2025</v>
      </c>
      <c r="B2690" s="2">
        <v>9</v>
      </c>
      <c r="C2690" s="2" t="s">
        <v>3475</v>
      </c>
      <c r="D2690" s="2" t="s">
        <v>458</v>
      </c>
      <c r="E2690" s="2" t="s">
        <v>108</v>
      </c>
      <c r="F2690" s="2" t="s">
        <v>477</v>
      </c>
      <c r="G2690" s="2">
        <v>507016173</v>
      </c>
      <c r="H2690" s="2" t="s">
        <v>109</v>
      </c>
      <c r="I2690" s="2" t="s">
        <v>459</v>
      </c>
      <c r="J2690" s="2" t="s">
        <v>460</v>
      </c>
      <c r="L2690" s="2" t="s">
        <v>461</v>
      </c>
      <c r="M2690" s="2" t="s">
        <v>41</v>
      </c>
      <c r="P2690" s="2" t="s">
        <v>43</v>
      </c>
      <c r="Q2690" s="2" t="s">
        <v>240</v>
      </c>
      <c r="R2690" s="2" t="s">
        <v>241</v>
      </c>
      <c r="S2690" s="2">
        <v>1</v>
      </c>
      <c r="T2690" s="2">
        <v>24</v>
      </c>
      <c r="U2690" s="2">
        <v>5.52</v>
      </c>
      <c r="V2690" s="2">
        <v>29.52</v>
      </c>
      <c r="W2690" s="2">
        <f>13.4067*S2690</f>
        <v>13.406700000000001</v>
      </c>
      <c r="X2690" s="5">
        <f t="shared" si="373"/>
        <v>0.44138749999999999</v>
      </c>
      <c r="Z2690" s="2" t="s">
        <v>3227</v>
      </c>
      <c r="AA2690" s="2" t="s">
        <v>46</v>
      </c>
      <c r="AB2690" s="2" t="s">
        <v>56</v>
      </c>
      <c r="AC2690" s="2" t="s">
        <v>57</v>
      </c>
      <c r="AF2690" s="2">
        <f t="shared" ref="AF2690:AF2753" si="374">AJ2690</f>
        <v>0</v>
      </c>
      <c r="AJ2690" s="2">
        <f t="shared" ref="AJ2690:AJ2753" si="375">AI2690*T2690</f>
        <v>0</v>
      </c>
      <c r="AK2690" s="2">
        <f t="shared" si="369"/>
        <v>10.593299999999999</v>
      </c>
      <c r="AL2690" s="5">
        <f t="shared" si="372"/>
        <v>0.44138749999999999</v>
      </c>
    </row>
    <row r="2691" spans="1:38" x14ac:dyDescent="0.2">
      <c r="A2691" s="2">
        <v>2025</v>
      </c>
      <c r="B2691" s="2">
        <v>9</v>
      </c>
      <c r="C2691" s="2" t="s">
        <v>3475</v>
      </c>
      <c r="D2691" s="2" t="s">
        <v>458</v>
      </c>
      <c r="E2691" s="2" t="s">
        <v>108</v>
      </c>
      <c r="F2691" s="2" t="s">
        <v>477</v>
      </c>
      <c r="G2691" s="2">
        <v>507016173</v>
      </c>
      <c r="H2691" s="2" t="s">
        <v>109</v>
      </c>
      <c r="I2691" s="2" t="s">
        <v>459</v>
      </c>
      <c r="J2691" s="2" t="s">
        <v>460</v>
      </c>
      <c r="L2691" s="2" t="s">
        <v>461</v>
      </c>
      <c r="M2691" s="2" t="s">
        <v>41</v>
      </c>
      <c r="P2691" s="2" t="s">
        <v>43</v>
      </c>
      <c r="Q2691" s="2" t="s">
        <v>244</v>
      </c>
      <c r="R2691" s="2" t="s">
        <v>245</v>
      </c>
      <c r="S2691" s="2">
        <v>1</v>
      </c>
      <c r="T2691" s="2">
        <v>16.8</v>
      </c>
      <c r="U2691" s="2">
        <v>3.8639999999999999</v>
      </c>
      <c r="V2691" s="2">
        <v>20.664000000000001</v>
      </c>
      <c r="W2691" s="2">
        <f>9.2346*S2691</f>
        <v>9.2346000000000004</v>
      </c>
      <c r="X2691" s="5">
        <f t="shared" si="373"/>
        <v>0.45032142857142859</v>
      </c>
      <c r="Z2691" s="2" t="s">
        <v>3227</v>
      </c>
      <c r="AA2691" s="2" t="s">
        <v>46</v>
      </c>
      <c r="AB2691" s="2" t="s">
        <v>56</v>
      </c>
      <c r="AC2691" s="2" t="s">
        <v>57</v>
      </c>
      <c r="AF2691" s="2">
        <f t="shared" si="374"/>
        <v>0</v>
      </c>
      <c r="AJ2691" s="2">
        <f t="shared" si="375"/>
        <v>0</v>
      </c>
      <c r="AK2691" s="2">
        <f t="shared" si="369"/>
        <v>7.5654000000000003</v>
      </c>
      <c r="AL2691" s="5">
        <f t="shared" si="372"/>
        <v>0.45032142857142859</v>
      </c>
    </row>
    <row r="2692" spans="1:38" x14ac:dyDescent="0.2">
      <c r="A2692" s="2">
        <v>2025</v>
      </c>
      <c r="B2692" s="2">
        <v>9</v>
      </c>
      <c r="C2692" s="2" t="s">
        <v>3475</v>
      </c>
      <c r="D2692" s="2" t="s">
        <v>458</v>
      </c>
      <c r="E2692" s="2" t="s">
        <v>108</v>
      </c>
      <c r="F2692" s="2" t="s">
        <v>477</v>
      </c>
      <c r="G2692" s="2">
        <v>507016173</v>
      </c>
      <c r="H2692" s="2" t="s">
        <v>109</v>
      </c>
      <c r="I2692" s="2" t="s">
        <v>459</v>
      </c>
      <c r="J2692" s="2" t="s">
        <v>460</v>
      </c>
      <c r="L2692" s="2" t="s">
        <v>461</v>
      </c>
      <c r="M2692" s="2" t="s">
        <v>41</v>
      </c>
      <c r="P2692" s="2" t="s">
        <v>43</v>
      </c>
      <c r="Q2692" s="2" t="s">
        <v>61</v>
      </c>
      <c r="R2692" s="2" t="s">
        <v>62</v>
      </c>
      <c r="S2692" s="2">
        <v>1000</v>
      </c>
      <c r="T2692" s="2">
        <v>110</v>
      </c>
      <c r="U2692" s="2">
        <v>25.3</v>
      </c>
      <c r="V2692" s="2">
        <v>135.30000000000001</v>
      </c>
      <c r="W2692" s="2">
        <f>0.082*S2692</f>
        <v>82</v>
      </c>
      <c r="X2692" s="5">
        <f t="shared" si="373"/>
        <v>0.25454545454545452</v>
      </c>
      <c r="Z2692" s="2" t="s">
        <v>3227</v>
      </c>
      <c r="AA2692" s="2" t="s">
        <v>46</v>
      </c>
      <c r="AB2692" s="2" t="s">
        <v>60</v>
      </c>
      <c r="AC2692" s="2" t="s">
        <v>57</v>
      </c>
      <c r="AF2692" s="2">
        <f t="shared" si="374"/>
        <v>0</v>
      </c>
      <c r="AG2692" s="2">
        <v>8.1999999999999993</v>
      </c>
      <c r="AH2692" s="2">
        <v>13</v>
      </c>
      <c r="AJ2692" s="2">
        <f t="shared" si="375"/>
        <v>0</v>
      </c>
      <c r="AK2692" s="2">
        <f t="shared" si="369"/>
        <v>28</v>
      </c>
      <c r="AL2692" s="5">
        <f t="shared" si="372"/>
        <v>0.25454545454545452</v>
      </c>
    </row>
    <row r="2693" spans="1:38" x14ac:dyDescent="0.2">
      <c r="A2693" s="2">
        <v>2025</v>
      </c>
      <c r="B2693" s="2">
        <v>9</v>
      </c>
      <c r="C2693" s="2" t="s">
        <v>3475</v>
      </c>
      <c r="D2693" s="2" t="s">
        <v>458</v>
      </c>
      <c r="E2693" s="2" t="s">
        <v>108</v>
      </c>
      <c r="F2693" s="2" t="s">
        <v>477</v>
      </c>
      <c r="G2693" s="2">
        <v>507016173</v>
      </c>
      <c r="H2693" s="2" t="s">
        <v>109</v>
      </c>
      <c r="I2693" s="2" t="s">
        <v>459</v>
      </c>
      <c r="J2693" s="2" t="s">
        <v>460</v>
      </c>
      <c r="L2693" s="2" t="s">
        <v>461</v>
      </c>
      <c r="M2693" s="2" t="s">
        <v>41</v>
      </c>
      <c r="P2693" s="2" t="s">
        <v>43</v>
      </c>
      <c r="Q2693" s="2" t="s">
        <v>503</v>
      </c>
      <c r="R2693" s="2" t="s">
        <v>504</v>
      </c>
      <c r="S2693" s="2">
        <v>20</v>
      </c>
      <c r="T2693" s="2">
        <v>18</v>
      </c>
      <c r="U2693" s="2">
        <v>4.1400000000000006</v>
      </c>
      <c r="V2693" s="2">
        <v>22.14</v>
      </c>
      <c r="W2693" s="2">
        <f>0.4795*S2693</f>
        <v>9.59</v>
      </c>
      <c r="X2693" s="5">
        <f t="shared" si="373"/>
        <v>0.46722222222222221</v>
      </c>
      <c r="Z2693" s="2" t="s">
        <v>3227</v>
      </c>
      <c r="AA2693" s="2" t="s">
        <v>46</v>
      </c>
      <c r="AB2693" s="2" t="s">
        <v>60</v>
      </c>
      <c r="AC2693" s="2" t="s">
        <v>57</v>
      </c>
      <c r="AF2693" s="2">
        <f t="shared" si="374"/>
        <v>0</v>
      </c>
      <c r="AJ2693" s="2">
        <f t="shared" si="375"/>
        <v>0</v>
      </c>
      <c r="AK2693" s="2">
        <f t="shared" si="369"/>
        <v>8.41</v>
      </c>
      <c r="AL2693" s="5">
        <f t="shared" si="372"/>
        <v>0.46722222222222221</v>
      </c>
    </row>
    <row r="2694" spans="1:38" x14ac:dyDescent="0.2">
      <c r="A2694" s="2">
        <v>2025</v>
      </c>
      <c r="B2694" s="2">
        <v>9</v>
      </c>
      <c r="D2694" s="2" t="s">
        <v>1573</v>
      </c>
      <c r="E2694" s="2" t="s">
        <v>752</v>
      </c>
      <c r="F2694" s="2" t="s">
        <v>39</v>
      </c>
      <c r="L2694" s="2" t="s">
        <v>461</v>
      </c>
      <c r="M2694" s="2" t="s">
        <v>109</v>
      </c>
      <c r="P2694" s="2" t="s">
        <v>282</v>
      </c>
      <c r="Q2694" s="2" t="s">
        <v>2239</v>
      </c>
      <c r="R2694" s="2" t="s">
        <v>2240</v>
      </c>
      <c r="S2694" s="2">
        <v>1</v>
      </c>
      <c r="T2694" s="2">
        <v>160</v>
      </c>
      <c r="U2694" s="2">
        <v>36.799999999999997</v>
      </c>
      <c r="V2694" s="2">
        <v>196.8</v>
      </c>
      <c r="X2694" s="5">
        <f t="shared" si="373"/>
        <v>1</v>
      </c>
      <c r="Z2694" s="2" t="s">
        <v>104</v>
      </c>
      <c r="AA2694" s="2" t="s">
        <v>1574</v>
      </c>
      <c r="AB2694" s="2" t="s">
        <v>388</v>
      </c>
      <c r="AC2694" s="2" t="s">
        <v>1327</v>
      </c>
      <c r="AF2694" s="2">
        <f t="shared" si="374"/>
        <v>0</v>
      </c>
      <c r="AJ2694" s="2">
        <f t="shared" si="375"/>
        <v>0</v>
      </c>
      <c r="AK2694" s="2">
        <f t="shared" si="369"/>
        <v>160</v>
      </c>
      <c r="AL2694" s="5">
        <f t="shared" si="372"/>
        <v>1</v>
      </c>
    </row>
    <row r="2695" spans="1:38" x14ac:dyDescent="0.2">
      <c r="A2695" s="2">
        <v>2025</v>
      </c>
      <c r="B2695" s="2">
        <v>9</v>
      </c>
      <c r="C2695" s="2" t="s">
        <v>3441</v>
      </c>
      <c r="D2695" s="2" t="s">
        <v>3303</v>
      </c>
      <c r="E2695" s="2" t="s">
        <v>108</v>
      </c>
      <c r="F2695" s="2" t="s">
        <v>477</v>
      </c>
      <c r="L2695" s="2" t="s">
        <v>461</v>
      </c>
      <c r="M2695" s="2" t="s">
        <v>1172</v>
      </c>
      <c r="P2695" s="2" t="s">
        <v>114</v>
      </c>
      <c r="Q2695" s="2" t="s">
        <v>412</v>
      </c>
      <c r="R2695" s="2" t="s">
        <v>413</v>
      </c>
      <c r="S2695" s="2">
        <v>1</v>
      </c>
      <c r="T2695" s="2">
        <v>15000</v>
      </c>
      <c r="U2695" s="2">
        <v>3450</v>
      </c>
      <c r="V2695" s="2">
        <v>18450</v>
      </c>
      <c r="W2695" s="2">
        <v>10669.4</v>
      </c>
      <c r="X2695" s="5">
        <f t="shared" si="373"/>
        <v>0.28870666666666667</v>
      </c>
      <c r="Z2695" s="2" t="s">
        <v>104</v>
      </c>
      <c r="AA2695" s="2" t="s">
        <v>414</v>
      </c>
      <c r="AB2695" s="2" t="s">
        <v>151</v>
      </c>
      <c r="AC2695" s="2" t="s">
        <v>114</v>
      </c>
      <c r="AF2695" s="2">
        <f t="shared" si="374"/>
        <v>0</v>
      </c>
      <c r="AJ2695" s="2">
        <f t="shared" si="375"/>
        <v>0</v>
      </c>
      <c r="AK2695" s="2">
        <f t="shared" si="369"/>
        <v>4330.6000000000004</v>
      </c>
      <c r="AL2695" s="5">
        <f t="shared" si="372"/>
        <v>0.28870666666666667</v>
      </c>
    </row>
    <row r="2696" spans="1:38" x14ac:dyDescent="0.2">
      <c r="A2696" s="2">
        <v>2025</v>
      </c>
      <c r="B2696" s="2">
        <v>9</v>
      </c>
      <c r="C2696" s="2" t="s">
        <v>3411</v>
      </c>
      <c r="D2696" s="2" t="s">
        <v>3459</v>
      </c>
      <c r="E2696" s="2" t="s">
        <v>38</v>
      </c>
      <c r="F2696" s="2" t="s">
        <v>39</v>
      </c>
      <c r="L2696" s="2" t="s">
        <v>99</v>
      </c>
      <c r="M2696" s="2" t="s">
        <v>40</v>
      </c>
      <c r="P2696" s="2" t="s">
        <v>1194</v>
      </c>
      <c r="Q2696" s="2" t="s">
        <v>2241</v>
      </c>
      <c r="R2696" s="2" t="s">
        <v>2242</v>
      </c>
      <c r="S2696" s="2">
        <v>1</v>
      </c>
      <c r="T2696" s="2">
        <v>2400</v>
      </c>
      <c r="U2696" s="2">
        <v>552</v>
      </c>
      <c r="V2696" s="2">
        <v>2952</v>
      </c>
      <c r="X2696" s="5">
        <f t="shared" si="373"/>
        <v>1</v>
      </c>
      <c r="Z2696" s="2" t="s">
        <v>104</v>
      </c>
      <c r="AA2696" s="2" t="s">
        <v>1199</v>
      </c>
      <c r="AB2696" s="2" t="s">
        <v>119</v>
      </c>
      <c r="AC2696" s="2" t="s">
        <v>1194</v>
      </c>
      <c r="AF2696" s="2">
        <f t="shared" si="374"/>
        <v>0</v>
      </c>
      <c r="AJ2696" s="2">
        <f t="shared" si="375"/>
        <v>0</v>
      </c>
      <c r="AK2696" s="2">
        <f t="shared" si="369"/>
        <v>2400</v>
      </c>
      <c r="AL2696" s="5">
        <f t="shared" si="372"/>
        <v>1</v>
      </c>
    </row>
    <row r="2697" spans="1:38" x14ac:dyDescent="0.2">
      <c r="A2697" s="2">
        <v>2025</v>
      </c>
      <c r="B2697" s="2">
        <v>9</v>
      </c>
      <c r="D2697" s="2" t="s">
        <v>840</v>
      </c>
      <c r="E2697" s="2" t="s">
        <v>108</v>
      </c>
      <c r="F2697" s="2" t="s">
        <v>531</v>
      </c>
      <c r="G2697" s="2">
        <v>504981285</v>
      </c>
      <c r="H2697" s="2" t="s">
        <v>290</v>
      </c>
      <c r="I2697" s="2" t="s">
        <v>841</v>
      </c>
      <c r="J2697" s="2" t="s">
        <v>842</v>
      </c>
      <c r="K2697" s="2">
        <v>932209225</v>
      </c>
      <c r="L2697" s="2" t="s">
        <v>339</v>
      </c>
      <c r="M2697" s="2" t="s">
        <v>40</v>
      </c>
      <c r="P2697" s="2" t="s">
        <v>114</v>
      </c>
      <c r="Q2697" s="2" t="s">
        <v>561</v>
      </c>
      <c r="R2697" s="2" t="s">
        <v>562</v>
      </c>
      <c r="S2697" s="2">
        <v>4</v>
      </c>
      <c r="T2697" s="2">
        <v>57.15</v>
      </c>
      <c r="U2697" s="2">
        <v>13.144500000000001</v>
      </c>
      <c r="V2697" s="2">
        <v>70.294499999999999</v>
      </c>
      <c r="X2697" s="5">
        <f t="shared" si="373"/>
        <v>1</v>
      </c>
      <c r="Z2697" s="2" t="s">
        <v>117</v>
      </c>
      <c r="AA2697" s="2" t="s">
        <v>118</v>
      </c>
      <c r="AB2697" s="2" t="s">
        <v>119</v>
      </c>
      <c r="AC2697" s="2" t="s">
        <v>114</v>
      </c>
      <c r="AF2697" s="2">
        <f t="shared" si="374"/>
        <v>0</v>
      </c>
      <c r="AJ2697" s="2">
        <f t="shared" si="375"/>
        <v>0</v>
      </c>
      <c r="AK2697" s="2">
        <f t="shared" si="369"/>
        <v>57.15</v>
      </c>
      <c r="AL2697" s="5">
        <f t="shared" si="372"/>
        <v>1</v>
      </c>
    </row>
    <row r="2698" spans="1:38" x14ac:dyDescent="0.2">
      <c r="A2698" s="2">
        <v>2025</v>
      </c>
      <c r="B2698" s="2">
        <v>9</v>
      </c>
      <c r="D2698" s="2" t="s">
        <v>2243</v>
      </c>
      <c r="P2698" s="2" t="s">
        <v>72</v>
      </c>
      <c r="Q2698" s="2" t="s">
        <v>1390</v>
      </c>
      <c r="R2698" s="2" t="s">
        <v>74</v>
      </c>
      <c r="S2698" s="2">
        <v>1</v>
      </c>
      <c r="T2698" s="2">
        <v>210</v>
      </c>
      <c r="U2698" s="2">
        <v>48.3</v>
      </c>
      <c r="V2698" s="2">
        <v>258.3</v>
      </c>
      <c r="W2698" s="2">
        <v>109.26</v>
      </c>
      <c r="X2698" s="5">
        <f t="shared" si="373"/>
        <v>0.4797142857142857</v>
      </c>
      <c r="Z2698" s="2" t="s">
        <v>3227</v>
      </c>
      <c r="AA2698" s="2" t="s">
        <v>75</v>
      </c>
      <c r="AB2698" s="2" t="s">
        <v>76</v>
      </c>
      <c r="AC2698" s="2" t="s">
        <v>77</v>
      </c>
      <c r="AF2698" s="2">
        <f t="shared" si="374"/>
        <v>0</v>
      </c>
      <c r="AJ2698" s="2">
        <f t="shared" si="375"/>
        <v>0</v>
      </c>
      <c r="AK2698" s="2">
        <f t="shared" si="369"/>
        <v>100.74</v>
      </c>
      <c r="AL2698" s="5">
        <f t="shared" si="372"/>
        <v>0.4797142857142857</v>
      </c>
    </row>
    <row r="2699" spans="1:38" x14ac:dyDescent="0.2">
      <c r="A2699" s="2">
        <v>2025</v>
      </c>
      <c r="B2699" s="2">
        <v>9</v>
      </c>
      <c r="D2699" s="2" t="s">
        <v>2243</v>
      </c>
      <c r="P2699" s="2" t="s">
        <v>93</v>
      </c>
      <c r="Q2699" s="2" t="s">
        <v>94</v>
      </c>
      <c r="R2699" s="2" t="s">
        <v>95</v>
      </c>
      <c r="S2699" s="2">
        <v>1</v>
      </c>
      <c r="T2699" s="2">
        <v>1.1399999999999999</v>
      </c>
      <c r="U2699" s="2">
        <v>0.26219999999999999</v>
      </c>
      <c r="V2699" s="2">
        <v>1.4021999999999999</v>
      </c>
      <c r="W2699" s="2">
        <v>1.1399999999999999</v>
      </c>
      <c r="X2699" s="5">
        <f t="shared" si="373"/>
        <v>0</v>
      </c>
      <c r="Z2699" s="2" t="s">
        <v>3227</v>
      </c>
      <c r="AA2699" s="2" t="s">
        <v>96</v>
      </c>
      <c r="AB2699" s="2" t="s">
        <v>76</v>
      </c>
      <c r="AC2699" s="2" t="s">
        <v>93</v>
      </c>
      <c r="AF2699" s="2">
        <f t="shared" si="374"/>
        <v>0</v>
      </c>
      <c r="AJ2699" s="2">
        <f t="shared" si="375"/>
        <v>0</v>
      </c>
      <c r="AK2699" s="2">
        <f t="shared" si="369"/>
        <v>0</v>
      </c>
      <c r="AL2699" s="5">
        <f t="shared" si="372"/>
        <v>0</v>
      </c>
    </row>
    <row r="2700" spans="1:38" x14ac:dyDescent="0.2">
      <c r="A2700" s="2">
        <v>2025</v>
      </c>
      <c r="B2700" s="2">
        <v>9</v>
      </c>
      <c r="D2700" s="2" t="s">
        <v>485</v>
      </c>
      <c r="E2700" s="2" t="s">
        <v>108</v>
      </c>
      <c r="F2700" s="2" t="s">
        <v>39</v>
      </c>
      <c r="G2700" s="2">
        <v>506834689</v>
      </c>
      <c r="H2700" s="2" t="s">
        <v>41</v>
      </c>
      <c r="I2700" s="2" t="s">
        <v>486</v>
      </c>
      <c r="J2700" s="2" t="s">
        <v>487</v>
      </c>
      <c r="K2700" s="2">
        <v>919866237</v>
      </c>
      <c r="L2700" s="2" t="s">
        <v>461</v>
      </c>
      <c r="M2700" s="2" t="s">
        <v>41</v>
      </c>
      <c r="O2700" s="2" t="s">
        <v>3148</v>
      </c>
      <c r="P2700" s="2" t="s">
        <v>1038</v>
      </c>
      <c r="Q2700" s="2" t="s">
        <v>1039</v>
      </c>
      <c r="R2700" s="2" t="s">
        <v>1040</v>
      </c>
      <c r="S2700" s="2">
        <v>1</v>
      </c>
      <c r="T2700" s="2">
        <v>203.25</v>
      </c>
      <c r="U2700" s="2">
        <v>46.747500000000002</v>
      </c>
      <c r="V2700" s="2">
        <v>249.9975</v>
      </c>
      <c r="W2700" s="2">
        <v>150.37</v>
      </c>
      <c r="X2700" s="5">
        <f t="shared" si="373"/>
        <v>0.26017220172201722</v>
      </c>
      <c r="Z2700" s="2" t="s">
        <v>3227</v>
      </c>
      <c r="AA2700" s="2" t="s">
        <v>1041</v>
      </c>
      <c r="AB2700" s="2" t="s">
        <v>1042</v>
      </c>
      <c r="AC2700" s="2" t="s">
        <v>1038</v>
      </c>
      <c r="AF2700" s="2">
        <f t="shared" si="374"/>
        <v>0</v>
      </c>
      <c r="AG2700" s="2">
        <v>150.37</v>
      </c>
      <c r="AJ2700" s="2">
        <f t="shared" si="375"/>
        <v>0</v>
      </c>
      <c r="AK2700" s="2">
        <f t="shared" si="369"/>
        <v>52.879999999999995</v>
      </c>
      <c r="AL2700" s="5">
        <f t="shared" si="372"/>
        <v>0.26017220172201722</v>
      </c>
    </row>
    <row r="2701" spans="1:38" x14ac:dyDescent="0.2">
      <c r="A2701" s="2">
        <v>2025</v>
      </c>
      <c r="B2701" s="2">
        <v>9</v>
      </c>
      <c r="D2701" s="2" t="s">
        <v>485</v>
      </c>
      <c r="E2701" s="2" t="s">
        <v>108</v>
      </c>
      <c r="F2701" s="2" t="s">
        <v>39</v>
      </c>
      <c r="G2701" s="2">
        <v>506834689</v>
      </c>
      <c r="H2701" s="2" t="s">
        <v>41</v>
      </c>
      <c r="I2701" s="2" t="s">
        <v>486</v>
      </c>
      <c r="J2701" s="2" t="s">
        <v>487</v>
      </c>
      <c r="K2701" s="2">
        <v>919866237</v>
      </c>
      <c r="L2701" s="2" t="s">
        <v>461</v>
      </c>
      <c r="M2701" s="2" t="s">
        <v>41</v>
      </c>
      <c r="P2701" s="2" t="s">
        <v>169</v>
      </c>
      <c r="Q2701" s="2" t="s">
        <v>170</v>
      </c>
      <c r="R2701" s="2" t="s">
        <v>170</v>
      </c>
      <c r="S2701" s="2">
        <v>1</v>
      </c>
      <c r="T2701" s="2">
        <v>30</v>
      </c>
      <c r="U2701" s="2">
        <v>6.9</v>
      </c>
      <c r="V2701" s="2">
        <v>36.9</v>
      </c>
      <c r="W2701" s="2">
        <v>23</v>
      </c>
      <c r="X2701" s="5">
        <f t="shared" si="373"/>
        <v>0.23333333333333334</v>
      </c>
      <c r="Z2701" s="2" t="s">
        <v>169</v>
      </c>
      <c r="AA2701" s="2" t="s">
        <v>169</v>
      </c>
      <c r="AF2701" s="2">
        <f t="shared" si="374"/>
        <v>0</v>
      </c>
      <c r="AJ2701" s="2">
        <f t="shared" si="375"/>
        <v>0</v>
      </c>
      <c r="AK2701" s="2">
        <f t="shared" si="369"/>
        <v>7</v>
      </c>
      <c r="AL2701" s="5">
        <f t="shared" si="372"/>
        <v>0.23333333333333334</v>
      </c>
    </row>
    <row r="2702" spans="1:38" x14ac:dyDescent="0.2">
      <c r="A2702" s="2">
        <v>2025</v>
      </c>
      <c r="B2702" s="2">
        <v>9</v>
      </c>
      <c r="D2702" s="2" t="s">
        <v>2244</v>
      </c>
      <c r="P2702" s="2" t="s">
        <v>72</v>
      </c>
      <c r="Q2702" s="2" t="s">
        <v>306</v>
      </c>
      <c r="R2702" s="2" t="s">
        <v>307</v>
      </c>
      <c r="S2702" s="2">
        <v>1</v>
      </c>
      <c r="T2702" s="2">
        <v>220</v>
      </c>
      <c r="U2702" s="2">
        <v>50.6</v>
      </c>
      <c r="V2702" s="2">
        <v>270.60000000000002</v>
      </c>
      <c r="W2702" s="2">
        <v>119.33</v>
      </c>
      <c r="X2702" s="5">
        <f t="shared" si="373"/>
        <v>0.4575909090909091</v>
      </c>
      <c r="Z2702" s="2" t="s">
        <v>3227</v>
      </c>
      <c r="AA2702" s="2" t="s">
        <v>75</v>
      </c>
      <c r="AB2702" s="2" t="s">
        <v>76</v>
      </c>
      <c r="AC2702" s="2" t="s">
        <v>77</v>
      </c>
      <c r="AF2702" s="2">
        <f t="shared" si="374"/>
        <v>0</v>
      </c>
      <c r="AG2702" s="2">
        <v>119.33</v>
      </c>
      <c r="AH2702" s="2">
        <v>220</v>
      </c>
      <c r="AJ2702" s="2">
        <f t="shared" si="375"/>
        <v>0</v>
      </c>
      <c r="AK2702" s="2">
        <f t="shared" si="369"/>
        <v>100.67</v>
      </c>
      <c r="AL2702" s="5">
        <f t="shared" si="372"/>
        <v>0.4575909090909091</v>
      </c>
    </row>
    <row r="2703" spans="1:38" x14ac:dyDescent="0.2">
      <c r="A2703" s="2">
        <v>2025</v>
      </c>
      <c r="B2703" s="2">
        <v>9</v>
      </c>
      <c r="D2703" s="2" t="s">
        <v>2244</v>
      </c>
      <c r="P2703" s="2" t="s">
        <v>93</v>
      </c>
      <c r="Q2703" s="2" t="s">
        <v>94</v>
      </c>
      <c r="R2703" s="2" t="s">
        <v>95</v>
      </c>
      <c r="S2703" s="2">
        <v>1</v>
      </c>
      <c r="T2703" s="2">
        <v>1.1399999999999999</v>
      </c>
      <c r="U2703" s="2">
        <v>0.26219999999999999</v>
      </c>
      <c r="V2703" s="2">
        <v>1.4021999999999999</v>
      </c>
      <c r="W2703" s="2">
        <v>1.1399999999999999</v>
      </c>
      <c r="X2703" s="5">
        <f t="shared" si="373"/>
        <v>0</v>
      </c>
      <c r="Z2703" s="2" t="s">
        <v>3227</v>
      </c>
      <c r="AA2703" s="2" t="s">
        <v>96</v>
      </c>
      <c r="AB2703" s="2" t="s">
        <v>76</v>
      </c>
      <c r="AC2703" s="2" t="s">
        <v>93</v>
      </c>
      <c r="AF2703" s="2">
        <f t="shared" si="374"/>
        <v>0</v>
      </c>
      <c r="AJ2703" s="2">
        <f t="shared" si="375"/>
        <v>0</v>
      </c>
      <c r="AK2703" s="2">
        <f t="shared" si="369"/>
        <v>0</v>
      </c>
      <c r="AL2703" s="5">
        <f t="shared" si="372"/>
        <v>0</v>
      </c>
    </row>
    <row r="2704" spans="1:38" x14ac:dyDescent="0.2">
      <c r="A2704" s="2">
        <v>2025</v>
      </c>
      <c r="B2704" s="2">
        <v>9</v>
      </c>
      <c r="D2704" s="2" t="s">
        <v>1255</v>
      </c>
      <c r="G2704" s="2">
        <v>513777377</v>
      </c>
      <c r="M2704" s="2" t="s">
        <v>80</v>
      </c>
      <c r="O2704" s="2" t="s">
        <v>3166</v>
      </c>
      <c r="P2704" s="2" t="s">
        <v>1038</v>
      </c>
      <c r="Q2704" s="2" t="s">
        <v>2245</v>
      </c>
      <c r="R2704" s="2" t="s">
        <v>2246</v>
      </c>
      <c r="S2704" s="2">
        <v>4</v>
      </c>
      <c r="T2704" s="2">
        <v>1219.51</v>
      </c>
      <c r="U2704" s="2">
        <v>280.4873</v>
      </c>
      <c r="V2704" s="2">
        <v>1499.9973</v>
      </c>
      <c r="W2704" s="2">
        <f>193.975*S2704</f>
        <v>775.9</v>
      </c>
      <c r="X2704" s="5">
        <f t="shared" si="373"/>
        <v>0.36376085476953862</v>
      </c>
      <c r="Z2704" s="2" t="s">
        <v>3227</v>
      </c>
      <c r="AA2704" s="2" t="s">
        <v>1041</v>
      </c>
      <c r="AB2704" s="2" t="s">
        <v>2247</v>
      </c>
      <c r="AC2704" s="2" t="s">
        <v>1038</v>
      </c>
      <c r="AF2704" s="2">
        <f t="shared" si="374"/>
        <v>0</v>
      </c>
      <c r="AJ2704" s="2">
        <f t="shared" si="375"/>
        <v>0</v>
      </c>
      <c r="AK2704" s="2">
        <f t="shared" si="369"/>
        <v>443.61</v>
      </c>
      <c r="AL2704" s="5">
        <f t="shared" si="372"/>
        <v>0.36376085476953862</v>
      </c>
    </row>
    <row r="2705" spans="1:38" x14ac:dyDescent="0.2">
      <c r="A2705" s="2">
        <v>2025</v>
      </c>
      <c r="B2705" s="2">
        <v>9</v>
      </c>
      <c r="D2705" s="2" t="s">
        <v>488</v>
      </c>
      <c r="E2705" s="2" t="s">
        <v>38</v>
      </c>
      <c r="F2705" s="2" t="s">
        <v>39</v>
      </c>
      <c r="G2705" s="2">
        <v>507380312</v>
      </c>
      <c r="H2705" s="2" t="s">
        <v>40</v>
      </c>
      <c r="I2705" s="2" t="s">
        <v>489</v>
      </c>
      <c r="J2705" s="2" t="s">
        <v>490</v>
      </c>
      <c r="K2705" s="2">
        <v>912293443</v>
      </c>
      <c r="L2705" s="2" t="s">
        <v>99</v>
      </c>
      <c r="M2705" s="2" t="s">
        <v>40</v>
      </c>
      <c r="P2705" s="2" t="s">
        <v>40</v>
      </c>
      <c r="Q2705" s="2" t="s">
        <v>491</v>
      </c>
      <c r="R2705" s="2" t="s">
        <v>492</v>
      </c>
      <c r="S2705" s="2">
        <v>1</v>
      </c>
      <c r="T2705" s="2">
        <v>664.04</v>
      </c>
      <c r="U2705" s="2">
        <v>152.72919999999999</v>
      </c>
      <c r="V2705" s="2">
        <v>816.76919999999996</v>
      </c>
      <c r="X2705" s="5">
        <f t="shared" si="373"/>
        <v>1</v>
      </c>
      <c r="Z2705" s="2" t="s">
        <v>119</v>
      </c>
      <c r="AA2705" s="2" t="s">
        <v>492</v>
      </c>
      <c r="AF2705" s="2">
        <f t="shared" si="374"/>
        <v>0</v>
      </c>
      <c r="AJ2705" s="2">
        <f t="shared" si="375"/>
        <v>0</v>
      </c>
      <c r="AK2705" s="2">
        <f t="shared" si="369"/>
        <v>664.04</v>
      </c>
      <c r="AL2705" s="5">
        <f t="shared" si="372"/>
        <v>1</v>
      </c>
    </row>
    <row r="2706" spans="1:38" x14ac:dyDescent="0.2">
      <c r="A2706" s="2">
        <v>2025</v>
      </c>
      <c r="B2706" s="2">
        <v>9</v>
      </c>
      <c r="D2706" s="2" t="s">
        <v>2248</v>
      </c>
      <c r="P2706" s="2" t="s">
        <v>43</v>
      </c>
      <c r="Q2706" s="2" t="s">
        <v>48</v>
      </c>
      <c r="R2706" s="2" t="s">
        <v>49</v>
      </c>
      <c r="S2706" s="2">
        <v>1</v>
      </c>
      <c r="T2706" s="2">
        <v>12</v>
      </c>
      <c r="U2706" s="2">
        <v>2.76</v>
      </c>
      <c r="V2706" s="2">
        <v>14.76</v>
      </c>
      <c r="W2706" s="2">
        <f>6.6267*S2706</f>
        <v>6.6266999999999996</v>
      </c>
      <c r="X2706" s="5">
        <f t="shared" si="373"/>
        <v>0.44777500000000003</v>
      </c>
      <c r="Z2706" s="2" t="s">
        <v>3227</v>
      </c>
      <c r="AA2706" s="2" t="s">
        <v>46</v>
      </c>
      <c r="AB2706" s="2" t="s">
        <v>47</v>
      </c>
      <c r="AC2706" s="2" t="s">
        <v>57</v>
      </c>
      <c r="AF2706" s="2">
        <f t="shared" si="374"/>
        <v>0</v>
      </c>
      <c r="AG2706" s="2">
        <v>6.6266999999999996</v>
      </c>
      <c r="AH2706" s="2">
        <v>12</v>
      </c>
      <c r="AJ2706" s="2">
        <f t="shared" si="375"/>
        <v>0</v>
      </c>
      <c r="AK2706" s="2">
        <f t="shared" si="369"/>
        <v>5.3733000000000004</v>
      </c>
      <c r="AL2706" s="5">
        <f t="shared" si="372"/>
        <v>0.44777500000000003</v>
      </c>
    </row>
    <row r="2707" spans="1:38" x14ac:dyDescent="0.2">
      <c r="A2707" s="2">
        <v>2025</v>
      </c>
      <c r="B2707" s="2">
        <v>9</v>
      </c>
      <c r="D2707" s="2" t="s">
        <v>2248</v>
      </c>
      <c r="P2707" s="2" t="s">
        <v>43</v>
      </c>
      <c r="Q2707" s="2" t="s">
        <v>160</v>
      </c>
      <c r="R2707" s="2" t="s">
        <v>161</v>
      </c>
      <c r="S2707" s="2">
        <v>1</v>
      </c>
      <c r="T2707" s="2">
        <v>7.8</v>
      </c>
      <c r="U2707" s="2">
        <v>1.794</v>
      </c>
      <c r="V2707" s="2">
        <v>9.5939999999999994</v>
      </c>
      <c r="W2707" s="2">
        <f>3.7358*S2707</f>
        <v>3.7357999999999998</v>
      </c>
      <c r="X2707" s="5">
        <f t="shared" si="373"/>
        <v>0.52105128205128204</v>
      </c>
      <c r="Z2707" s="2" t="s">
        <v>3227</v>
      </c>
      <c r="AA2707" s="2" t="s">
        <v>46</v>
      </c>
      <c r="AB2707" s="2" t="s">
        <v>47</v>
      </c>
      <c r="AC2707" s="2" t="s">
        <v>57</v>
      </c>
      <c r="AF2707" s="2">
        <f t="shared" si="374"/>
        <v>0</v>
      </c>
      <c r="AG2707" s="2">
        <v>3.7357999999999998</v>
      </c>
      <c r="AH2707" s="2">
        <v>9</v>
      </c>
      <c r="AJ2707" s="2">
        <f t="shared" si="375"/>
        <v>0</v>
      </c>
      <c r="AK2707" s="2">
        <f t="shared" si="369"/>
        <v>4.0641999999999996</v>
      </c>
      <c r="AL2707" s="5">
        <f t="shared" si="372"/>
        <v>0.52105128205128204</v>
      </c>
    </row>
    <row r="2708" spans="1:38" x14ac:dyDescent="0.2">
      <c r="A2708" s="2">
        <v>2025</v>
      </c>
      <c r="B2708" s="2">
        <v>9</v>
      </c>
      <c r="D2708" s="2" t="s">
        <v>2249</v>
      </c>
      <c r="P2708" s="2" t="s">
        <v>114</v>
      </c>
      <c r="Q2708" s="2" t="s">
        <v>779</v>
      </c>
      <c r="R2708" s="2" t="s">
        <v>780</v>
      </c>
      <c r="S2708" s="2">
        <v>1</v>
      </c>
      <c r="T2708" s="2">
        <v>65.72</v>
      </c>
      <c r="U2708" s="2">
        <v>15.115600000000001</v>
      </c>
      <c r="V2708" s="2">
        <v>80.835599999999999</v>
      </c>
      <c r="X2708" s="5">
        <f t="shared" si="373"/>
        <v>1</v>
      </c>
      <c r="Z2708" s="2" t="s">
        <v>117</v>
      </c>
      <c r="AF2708" s="2">
        <f t="shared" si="374"/>
        <v>0</v>
      </c>
      <c r="AJ2708" s="2">
        <f t="shared" si="375"/>
        <v>0</v>
      </c>
      <c r="AK2708" s="2">
        <f t="shared" ref="AK2708:AK2771" si="376">T2708-W2708</f>
        <v>65.72</v>
      </c>
      <c r="AL2708" s="5">
        <f t="shared" si="372"/>
        <v>1</v>
      </c>
    </row>
    <row r="2709" spans="1:38" x14ac:dyDescent="0.2">
      <c r="A2709" s="2">
        <v>2025</v>
      </c>
      <c r="B2709" s="2">
        <v>9</v>
      </c>
      <c r="D2709" s="2" t="s">
        <v>2249</v>
      </c>
      <c r="M2709" s="2" t="s">
        <v>40</v>
      </c>
      <c r="P2709" s="2" t="s">
        <v>187</v>
      </c>
      <c r="Q2709" s="2" t="s">
        <v>191</v>
      </c>
      <c r="R2709" s="2" t="s">
        <v>190</v>
      </c>
      <c r="S2709" s="2">
        <v>1</v>
      </c>
      <c r="T2709" s="2">
        <v>45</v>
      </c>
      <c r="U2709" s="2">
        <v>10.35</v>
      </c>
      <c r="V2709" s="2">
        <v>55.35</v>
      </c>
      <c r="W2709" s="2">
        <f>T2709*50%</f>
        <v>22.5</v>
      </c>
      <c r="X2709" s="5">
        <f t="shared" si="373"/>
        <v>0.5</v>
      </c>
      <c r="Z2709" s="2" t="s">
        <v>117</v>
      </c>
      <c r="AA2709" s="2" t="s">
        <v>190</v>
      </c>
      <c r="AB2709" s="2" t="s">
        <v>190</v>
      </c>
      <c r="AC2709" s="2" t="s">
        <v>40</v>
      </c>
      <c r="AF2709" s="2">
        <f t="shared" si="374"/>
        <v>0</v>
      </c>
      <c r="AJ2709" s="2">
        <f t="shared" si="375"/>
        <v>0</v>
      </c>
      <c r="AK2709" s="2">
        <f t="shared" si="376"/>
        <v>22.5</v>
      </c>
      <c r="AL2709" s="5">
        <f t="shared" si="372"/>
        <v>0.5</v>
      </c>
    </row>
    <row r="2710" spans="1:38" x14ac:dyDescent="0.2">
      <c r="A2710" s="2">
        <v>2025</v>
      </c>
      <c r="B2710" s="2">
        <v>9</v>
      </c>
      <c r="D2710" s="2" t="s">
        <v>2249</v>
      </c>
      <c r="P2710" s="2" t="s">
        <v>40</v>
      </c>
      <c r="Q2710" s="2" t="s">
        <v>363</v>
      </c>
      <c r="R2710" s="2" t="s">
        <v>364</v>
      </c>
      <c r="S2710" s="2">
        <v>1</v>
      </c>
      <c r="T2710" s="2">
        <v>418.99</v>
      </c>
      <c r="U2710" s="2">
        <v>96.367699999999999</v>
      </c>
      <c r="V2710" s="2">
        <v>515.35770000000002</v>
      </c>
      <c r="X2710" s="5">
        <f t="shared" si="373"/>
        <v>1</v>
      </c>
      <c r="Z2710" s="2" t="s">
        <v>119</v>
      </c>
      <c r="AA2710" s="2" t="s">
        <v>3380</v>
      </c>
      <c r="AF2710" s="2">
        <f t="shared" si="374"/>
        <v>0</v>
      </c>
      <c r="AJ2710" s="2">
        <f t="shared" si="375"/>
        <v>0</v>
      </c>
      <c r="AK2710" s="2">
        <f t="shared" si="376"/>
        <v>418.99</v>
      </c>
      <c r="AL2710" s="5">
        <f t="shared" si="372"/>
        <v>1</v>
      </c>
    </row>
    <row r="2711" spans="1:38" x14ac:dyDescent="0.2">
      <c r="A2711" s="2">
        <v>2025</v>
      </c>
      <c r="B2711" s="2">
        <v>9</v>
      </c>
      <c r="D2711" s="2" t="s">
        <v>1397</v>
      </c>
      <c r="E2711" s="2" t="s">
        <v>38</v>
      </c>
      <c r="F2711" s="2" t="s">
        <v>39</v>
      </c>
      <c r="G2711" s="2">
        <v>509014313</v>
      </c>
      <c r="H2711" s="2" t="s">
        <v>40</v>
      </c>
      <c r="I2711" s="2" t="s">
        <v>3217</v>
      </c>
      <c r="J2711" s="2" t="s">
        <v>3216</v>
      </c>
      <c r="K2711" s="2">
        <v>913814877</v>
      </c>
      <c r="L2711" s="2" t="s">
        <v>201</v>
      </c>
      <c r="M2711" s="2" t="s">
        <v>80</v>
      </c>
      <c r="O2711" s="2" t="s">
        <v>3210</v>
      </c>
      <c r="P2711" s="2" t="s">
        <v>43</v>
      </c>
      <c r="Q2711" s="2" t="s">
        <v>54</v>
      </c>
      <c r="R2711" s="2" t="s">
        <v>55</v>
      </c>
      <c r="S2711" s="2">
        <v>3</v>
      </c>
      <c r="T2711" s="2">
        <v>54</v>
      </c>
      <c r="U2711" s="2">
        <v>12.42</v>
      </c>
      <c r="V2711" s="2">
        <v>66.42</v>
      </c>
      <c r="W2711" s="2">
        <f>10.6*S2711</f>
        <v>31.799999999999997</v>
      </c>
      <c r="X2711" s="5">
        <f t="shared" si="373"/>
        <v>0.41111111111111115</v>
      </c>
      <c r="Z2711" s="2" t="s">
        <v>3227</v>
      </c>
      <c r="AA2711" s="2" t="s">
        <v>46</v>
      </c>
      <c r="AB2711" s="2" t="s">
        <v>56</v>
      </c>
      <c r="AC2711" s="2" t="s">
        <v>57</v>
      </c>
      <c r="AF2711" s="2">
        <f t="shared" si="374"/>
        <v>0</v>
      </c>
      <c r="AG2711" s="2">
        <v>10.6</v>
      </c>
      <c r="AH2711" s="2">
        <v>18</v>
      </c>
      <c r="AJ2711" s="2">
        <f t="shared" si="375"/>
        <v>0</v>
      </c>
      <c r="AK2711" s="2">
        <f t="shared" si="376"/>
        <v>22.200000000000003</v>
      </c>
      <c r="AL2711" s="5">
        <f t="shared" si="372"/>
        <v>0.41111111111111115</v>
      </c>
    </row>
    <row r="2712" spans="1:38" x14ac:dyDescent="0.2">
      <c r="A2712" s="2">
        <v>2025</v>
      </c>
      <c r="B2712" s="2">
        <v>9</v>
      </c>
      <c r="D2712" s="2" t="s">
        <v>1397</v>
      </c>
      <c r="E2712" s="2" t="s">
        <v>38</v>
      </c>
      <c r="F2712" s="2" t="s">
        <v>39</v>
      </c>
      <c r="G2712" s="2">
        <v>509014313</v>
      </c>
      <c r="H2712" s="2" t="s">
        <v>40</v>
      </c>
      <c r="I2712" s="2" t="s">
        <v>3217</v>
      </c>
      <c r="J2712" s="2" t="s">
        <v>3216</v>
      </c>
      <c r="K2712" s="2">
        <v>913814877</v>
      </c>
      <c r="L2712" s="2" t="s">
        <v>201</v>
      </c>
      <c r="M2712" s="2" t="s">
        <v>80</v>
      </c>
      <c r="O2712" s="2" t="s">
        <v>3210</v>
      </c>
      <c r="P2712" s="2" t="s">
        <v>169</v>
      </c>
      <c r="Q2712" s="2" t="s">
        <v>170</v>
      </c>
      <c r="R2712" s="2" t="s">
        <v>170</v>
      </c>
      <c r="S2712" s="2">
        <v>1</v>
      </c>
      <c r="T2712" s="2">
        <v>8.5</v>
      </c>
      <c r="U2712" s="2">
        <v>1.9550000000000001</v>
      </c>
      <c r="V2712" s="2">
        <v>10.455</v>
      </c>
      <c r="W2712" s="2">
        <v>6</v>
      </c>
      <c r="X2712" s="5">
        <f t="shared" si="373"/>
        <v>0.29411764705882354</v>
      </c>
      <c r="Z2712" s="2" t="s">
        <v>169</v>
      </c>
      <c r="AA2712" s="2" t="s">
        <v>169</v>
      </c>
      <c r="AF2712" s="2">
        <f t="shared" si="374"/>
        <v>0</v>
      </c>
      <c r="AJ2712" s="2">
        <f t="shared" si="375"/>
        <v>0</v>
      </c>
      <c r="AK2712" s="2">
        <f t="shared" si="376"/>
        <v>2.5</v>
      </c>
      <c r="AL2712" s="5">
        <f t="shared" si="372"/>
        <v>0.29411764705882354</v>
      </c>
    </row>
    <row r="2713" spans="1:38" x14ac:dyDescent="0.2">
      <c r="A2713" s="2">
        <v>2025</v>
      </c>
      <c r="B2713" s="2">
        <v>9</v>
      </c>
      <c r="D2713" s="2" t="s">
        <v>850</v>
      </c>
      <c r="P2713" s="2" t="s">
        <v>72</v>
      </c>
      <c r="Q2713" s="2" t="s">
        <v>2250</v>
      </c>
      <c r="R2713" s="2" t="s">
        <v>83</v>
      </c>
      <c r="S2713" s="2">
        <v>1</v>
      </c>
      <c r="T2713" s="2">
        <v>270</v>
      </c>
      <c r="U2713" s="2">
        <v>62.1</v>
      </c>
      <c r="V2713" s="2">
        <v>332.1</v>
      </c>
      <c r="W2713" s="2">
        <v>147.29</v>
      </c>
      <c r="X2713" s="5">
        <f t="shared" si="373"/>
        <v>0.45448148148148149</v>
      </c>
      <c r="Z2713" s="2" t="s">
        <v>3227</v>
      </c>
      <c r="AA2713" s="2" t="s">
        <v>75</v>
      </c>
      <c r="AB2713" s="2" t="s">
        <v>76</v>
      </c>
      <c r="AC2713" s="2" t="s">
        <v>77</v>
      </c>
      <c r="AF2713" s="2">
        <f t="shared" si="374"/>
        <v>0</v>
      </c>
      <c r="AJ2713" s="2">
        <f t="shared" si="375"/>
        <v>0</v>
      </c>
      <c r="AK2713" s="2">
        <f t="shared" si="376"/>
        <v>122.71000000000001</v>
      </c>
      <c r="AL2713" s="5">
        <f t="shared" si="372"/>
        <v>0.45448148148148149</v>
      </c>
    </row>
    <row r="2714" spans="1:38" x14ac:dyDescent="0.2">
      <c r="A2714" s="2">
        <v>2025</v>
      </c>
      <c r="B2714" s="2">
        <v>9</v>
      </c>
      <c r="D2714" s="2" t="s">
        <v>850</v>
      </c>
      <c r="P2714" s="2" t="s">
        <v>93</v>
      </c>
      <c r="Q2714" s="2" t="s">
        <v>94</v>
      </c>
      <c r="R2714" s="2" t="s">
        <v>95</v>
      </c>
      <c r="S2714" s="2">
        <v>1</v>
      </c>
      <c r="T2714" s="2">
        <v>1.1399999999999999</v>
      </c>
      <c r="U2714" s="2">
        <v>0.26219999999999999</v>
      </c>
      <c r="V2714" s="2">
        <v>1.4021999999999999</v>
      </c>
      <c r="W2714" s="2">
        <v>1.1399999999999999</v>
      </c>
      <c r="X2714" s="5">
        <f t="shared" si="373"/>
        <v>0</v>
      </c>
      <c r="Z2714" s="2" t="s">
        <v>3227</v>
      </c>
      <c r="AA2714" s="2" t="s">
        <v>96</v>
      </c>
      <c r="AB2714" s="2" t="s">
        <v>76</v>
      </c>
      <c r="AC2714" s="2" t="s">
        <v>93</v>
      </c>
      <c r="AF2714" s="2">
        <f t="shared" si="374"/>
        <v>0</v>
      </c>
      <c r="AJ2714" s="2">
        <f t="shared" si="375"/>
        <v>0</v>
      </c>
      <c r="AK2714" s="2">
        <f t="shared" si="376"/>
        <v>0</v>
      </c>
      <c r="AL2714" s="5">
        <f t="shared" si="372"/>
        <v>0</v>
      </c>
    </row>
    <row r="2715" spans="1:38" x14ac:dyDescent="0.2">
      <c r="A2715" s="2">
        <v>2025</v>
      </c>
      <c r="B2715" s="2">
        <v>9</v>
      </c>
      <c r="D2715" s="2" t="s">
        <v>853</v>
      </c>
      <c r="E2715" s="2" t="s">
        <v>108</v>
      </c>
      <c r="F2715" s="2" t="s">
        <v>39</v>
      </c>
      <c r="G2715" s="2">
        <v>505128128</v>
      </c>
      <c r="H2715" s="2" t="s">
        <v>41</v>
      </c>
      <c r="I2715" s="2" t="s">
        <v>854</v>
      </c>
      <c r="J2715" s="2" t="s">
        <v>855</v>
      </c>
      <c r="K2715" s="2">
        <v>917665950</v>
      </c>
      <c r="L2715" s="2" t="s">
        <v>99</v>
      </c>
      <c r="M2715" s="2" t="s">
        <v>41</v>
      </c>
      <c r="O2715" s="2" t="s">
        <v>2251</v>
      </c>
      <c r="P2715" s="2" t="s">
        <v>282</v>
      </c>
      <c r="Q2715" s="2" t="s">
        <v>2252</v>
      </c>
      <c r="R2715" s="2" t="s">
        <v>2253</v>
      </c>
      <c r="S2715" s="2">
        <v>1</v>
      </c>
      <c r="T2715" s="2">
        <v>9</v>
      </c>
      <c r="U2715" s="2">
        <v>2.0699999999999998</v>
      </c>
      <c r="V2715" s="2">
        <v>11.07</v>
      </c>
      <c r="W2715" s="2">
        <v>5.93</v>
      </c>
      <c r="X2715" s="5">
        <f t="shared" si="373"/>
        <v>0.34111111111111114</v>
      </c>
      <c r="Z2715" s="2" t="s">
        <v>3227</v>
      </c>
      <c r="AA2715" s="2" t="s">
        <v>71</v>
      </c>
      <c r="AB2715" s="2" t="s">
        <v>119</v>
      </c>
      <c r="AC2715" s="2" t="s">
        <v>119</v>
      </c>
      <c r="AF2715" s="2">
        <f t="shared" si="374"/>
        <v>0</v>
      </c>
      <c r="AG2715" s="2">
        <v>5.93</v>
      </c>
      <c r="AJ2715" s="2">
        <f t="shared" si="375"/>
        <v>0</v>
      </c>
      <c r="AK2715" s="2">
        <f t="shared" si="376"/>
        <v>3.0700000000000003</v>
      </c>
      <c r="AL2715" s="5">
        <f t="shared" si="372"/>
        <v>0.34111111111111114</v>
      </c>
    </row>
    <row r="2716" spans="1:38" x14ac:dyDescent="0.2">
      <c r="A2716" s="2">
        <v>2025</v>
      </c>
      <c r="B2716" s="2">
        <v>9</v>
      </c>
      <c r="D2716" s="2" t="s">
        <v>853</v>
      </c>
      <c r="E2716" s="2" t="s">
        <v>108</v>
      </c>
      <c r="F2716" s="2" t="s">
        <v>39</v>
      </c>
      <c r="G2716" s="2">
        <v>505128128</v>
      </c>
      <c r="H2716" s="2" t="s">
        <v>41</v>
      </c>
      <c r="I2716" s="2" t="s">
        <v>854</v>
      </c>
      <c r="J2716" s="2" t="s">
        <v>855</v>
      </c>
      <c r="K2716" s="2">
        <v>917665950</v>
      </c>
      <c r="L2716" s="2" t="s">
        <v>99</v>
      </c>
      <c r="M2716" s="2" t="s">
        <v>41</v>
      </c>
      <c r="O2716" s="2" t="s">
        <v>2251</v>
      </c>
      <c r="P2716" s="2" t="s">
        <v>43</v>
      </c>
      <c r="Q2716" s="2" t="s">
        <v>857</v>
      </c>
      <c r="R2716" s="2" t="s">
        <v>858</v>
      </c>
      <c r="S2716" s="2">
        <v>1</v>
      </c>
      <c r="T2716" s="2">
        <v>18.600000000000001</v>
      </c>
      <c r="U2716" s="2">
        <v>4.2779999999999996</v>
      </c>
      <c r="V2716" s="2">
        <v>22.878</v>
      </c>
      <c r="W2716" s="2">
        <f>8.735*S2716</f>
        <v>8.7349999999999994</v>
      </c>
      <c r="X2716" s="5">
        <f t="shared" ref="X2716:X2745" si="377">(T2716-W2716)/T2716</f>
        <v>0.53037634408602152</v>
      </c>
      <c r="Z2716" s="2" t="s">
        <v>3227</v>
      </c>
      <c r="AA2716" s="2" t="s">
        <v>46</v>
      </c>
      <c r="AB2716" s="2" t="s">
        <v>47</v>
      </c>
      <c r="AC2716" s="2" t="s">
        <v>57</v>
      </c>
      <c r="AF2716" s="2">
        <f t="shared" si="374"/>
        <v>0</v>
      </c>
      <c r="AJ2716" s="2">
        <f t="shared" si="375"/>
        <v>0</v>
      </c>
      <c r="AK2716" s="2">
        <f t="shared" si="376"/>
        <v>9.865000000000002</v>
      </c>
      <c r="AL2716" s="5">
        <f t="shared" si="372"/>
        <v>0.53037634408602152</v>
      </c>
    </row>
    <row r="2717" spans="1:38" x14ac:dyDescent="0.2">
      <c r="A2717" s="2">
        <v>2025</v>
      </c>
      <c r="B2717" s="2">
        <v>9</v>
      </c>
      <c r="D2717" s="2" t="s">
        <v>853</v>
      </c>
      <c r="E2717" s="2" t="s">
        <v>108</v>
      </c>
      <c r="F2717" s="2" t="s">
        <v>39</v>
      </c>
      <c r="G2717" s="2">
        <v>505128128</v>
      </c>
      <c r="H2717" s="2" t="s">
        <v>41</v>
      </c>
      <c r="I2717" s="2" t="s">
        <v>854</v>
      </c>
      <c r="J2717" s="2" t="s">
        <v>855</v>
      </c>
      <c r="K2717" s="2">
        <v>917665950</v>
      </c>
      <c r="L2717" s="2" t="s">
        <v>99</v>
      </c>
      <c r="M2717" s="2" t="s">
        <v>41</v>
      </c>
      <c r="O2717" s="2" t="s">
        <v>2251</v>
      </c>
      <c r="P2717" s="2" t="s">
        <v>43</v>
      </c>
      <c r="Q2717" s="2" t="s">
        <v>48</v>
      </c>
      <c r="R2717" s="2" t="s">
        <v>49</v>
      </c>
      <c r="S2717" s="2">
        <v>2</v>
      </c>
      <c r="T2717" s="2">
        <v>24</v>
      </c>
      <c r="U2717" s="2">
        <v>5.52</v>
      </c>
      <c r="V2717" s="2">
        <v>29.52</v>
      </c>
      <c r="W2717" s="2">
        <f>6.6267*S2717</f>
        <v>13.253399999999999</v>
      </c>
      <c r="X2717" s="5">
        <f t="shared" si="377"/>
        <v>0.44777500000000003</v>
      </c>
      <c r="Z2717" s="2" t="s">
        <v>3227</v>
      </c>
      <c r="AA2717" s="2" t="s">
        <v>46</v>
      </c>
      <c r="AB2717" s="2" t="s">
        <v>47</v>
      </c>
      <c r="AC2717" s="2" t="s">
        <v>57</v>
      </c>
      <c r="AF2717" s="2">
        <f t="shared" si="374"/>
        <v>0</v>
      </c>
      <c r="AG2717" s="2">
        <v>6.6266999999999996</v>
      </c>
      <c r="AH2717" s="2">
        <v>12</v>
      </c>
      <c r="AJ2717" s="2">
        <f t="shared" si="375"/>
        <v>0</v>
      </c>
      <c r="AK2717" s="2">
        <f t="shared" si="376"/>
        <v>10.746600000000001</v>
      </c>
      <c r="AL2717" s="5">
        <f t="shared" ref="AL2717:AL2773" si="378">(T2717-W2717)/T2717</f>
        <v>0.44777500000000003</v>
      </c>
    </row>
    <row r="2718" spans="1:38" x14ac:dyDescent="0.2">
      <c r="A2718" s="2">
        <v>2025</v>
      </c>
      <c r="B2718" s="2">
        <v>9</v>
      </c>
      <c r="D2718" s="2" t="s">
        <v>853</v>
      </c>
      <c r="E2718" s="2" t="s">
        <v>108</v>
      </c>
      <c r="F2718" s="2" t="s">
        <v>39</v>
      </c>
      <c r="G2718" s="2">
        <v>505128128</v>
      </c>
      <c r="H2718" s="2" t="s">
        <v>41</v>
      </c>
      <c r="I2718" s="2" t="s">
        <v>854</v>
      </c>
      <c r="J2718" s="2" t="s">
        <v>855</v>
      </c>
      <c r="K2718" s="2">
        <v>917665950</v>
      </c>
      <c r="L2718" s="2" t="s">
        <v>99</v>
      </c>
      <c r="M2718" s="2" t="s">
        <v>41</v>
      </c>
      <c r="O2718" s="2" t="s">
        <v>2251</v>
      </c>
      <c r="P2718" s="2" t="s">
        <v>43</v>
      </c>
      <c r="Q2718" s="2" t="s">
        <v>50</v>
      </c>
      <c r="R2718" s="2" t="s">
        <v>51</v>
      </c>
      <c r="S2718" s="2">
        <v>1</v>
      </c>
      <c r="T2718" s="2">
        <v>19.2</v>
      </c>
      <c r="U2718" s="2">
        <v>4.4160000000000004</v>
      </c>
      <c r="V2718" s="2">
        <v>23.616</v>
      </c>
      <c r="W2718" s="2">
        <f>14.4*S2718</f>
        <v>14.4</v>
      </c>
      <c r="X2718" s="5">
        <f t="shared" si="377"/>
        <v>0.24999999999999994</v>
      </c>
      <c r="Z2718" s="2" t="s">
        <v>3227</v>
      </c>
      <c r="AA2718" s="2" t="s">
        <v>46</v>
      </c>
      <c r="AB2718" s="2" t="s">
        <v>47</v>
      </c>
      <c r="AC2718" s="2" t="s">
        <v>57</v>
      </c>
      <c r="AF2718" s="2">
        <f t="shared" si="374"/>
        <v>0</v>
      </c>
      <c r="AG2718" s="2">
        <v>10.2346</v>
      </c>
      <c r="AH2718" s="2">
        <v>18</v>
      </c>
      <c r="AJ2718" s="2">
        <f t="shared" si="375"/>
        <v>0</v>
      </c>
      <c r="AK2718" s="2">
        <f t="shared" si="376"/>
        <v>4.7999999999999989</v>
      </c>
      <c r="AL2718" s="5">
        <f t="shared" si="378"/>
        <v>0.24999999999999994</v>
      </c>
    </row>
    <row r="2719" spans="1:38" x14ac:dyDescent="0.2">
      <c r="A2719" s="2">
        <v>2025</v>
      </c>
      <c r="B2719" s="2">
        <v>9</v>
      </c>
      <c r="D2719" s="2" t="s">
        <v>1053</v>
      </c>
      <c r="E2719" s="2" t="s">
        <v>183</v>
      </c>
      <c r="F2719" s="2" t="s">
        <v>1054</v>
      </c>
      <c r="G2719" s="2">
        <v>500199523</v>
      </c>
      <c r="H2719" s="2" t="s">
        <v>290</v>
      </c>
      <c r="I2719" s="2" t="s">
        <v>293</v>
      </c>
      <c r="J2719" s="2" t="s">
        <v>1055</v>
      </c>
      <c r="L2719" s="2" t="s">
        <v>293</v>
      </c>
      <c r="M2719" s="2" t="s">
        <v>80</v>
      </c>
      <c r="O2719" s="2" t="s">
        <v>2254</v>
      </c>
      <c r="P2719" s="2" t="s">
        <v>72</v>
      </c>
      <c r="Q2719" s="2" t="s">
        <v>1448</v>
      </c>
      <c r="R2719" s="2" t="s">
        <v>381</v>
      </c>
      <c r="S2719" s="2">
        <v>1</v>
      </c>
      <c r="T2719" s="2">
        <v>240</v>
      </c>
      <c r="U2719" s="2">
        <v>55.2</v>
      </c>
      <c r="V2719" s="2">
        <v>295.2</v>
      </c>
      <c r="W2719" s="2">
        <v>133.91669999999999</v>
      </c>
      <c r="X2719" s="5">
        <f t="shared" si="377"/>
        <v>0.44201375000000004</v>
      </c>
      <c r="Z2719" s="2" t="s">
        <v>3227</v>
      </c>
      <c r="AA2719" s="2" t="s">
        <v>75</v>
      </c>
      <c r="AB2719" s="2" t="s">
        <v>76</v>
      </c>
      <c r="AC2719" s="2" t="s">
        <v>77</v>
      </c>
      <c r="AF2719" s="2">
        <f t="shared" si="374"/>
        <v>0</v>
      </c>
      <c r="AG2719" s="2">
        <v>133.91669999999999</v>
      </c>
      <c r="AJ2719" s="2">
        <f t="shared" si="375"/>
        <v>0</v>
      </c>
      <c r="AK2719" s="2">
        <f t="shared" si="376"/>
        <v>106.08330000000001</v>
      </c>
      <c r="AL2719" s="5">
        <f t="shared" si="378"/>
        <v>0.44201375000000004</v>
      </c>
    </row>
    <row r="2720" spans="1:38" x14ac:dyDescent="0.2">
      <c r="A2720" s="2">
        <v>2025</v>
      </c>
      <c r="B2720" s="2">
        <v>9</v>
      </c>
      <c r="D2720" s="2" t="s">
        <v>1053</v>
      </c>
      <c r="E2720" s="2" t="s">
        <v>183</v>
      </c>
      <c r="F2720" s="2" t="s">
        <v>1054</v>
      </c>
      <c r="G2720" s="2">
        <v>500199523</v>
      </c>
      <c r="H2720" s="2" t="s">
        <v>290</v>
      </c>
      <c r="I2720" s="2" t="s">
        <v>293</v>
      </c>
      <c r="J2720" s="2" t="s">
        <v>1055</v>
      </c>
      <c r="L2720" s="2" t="s">
        <v>293</v>
      </c>
      <c r="M2720" s="2" t="s">
        <v>80</v>
      </c>
      <c r="O2720" s="2" t="s">
        <v>2255</v>
      </c>
      <c r="P2720" s="2" t="s">
        <v>72</v>
      </c>
      <c r="Q2720" s="2" t="s">
        <v>2256</v>
      </c>
      <c r="R2720" s="2" t="s">
        <v>79</v>
      </c>
      <c r="S2720" s="2">
        <v>1</v>
      </c>
      <c r="T2720" s="2">
        <v>210</v>
      </c>
      <c r="U2720" s="2">
        <v>48.3</v>
      </c>
      <c r="V2720" s="2">
        <v>258.3</v>
      </c>
      <c r="W2720" s="2">
        <f>99.79+8.33</f>
        <v>108.12</v>
      </c>
      <c r="X2720" s="5">
        <f t="shared" si="377"/>
        <v>0.4851428571428571</v>
      </c>
      <c r="Z2720" s="2" t="s">
        <v>3227</v>
      </c>
      <c r="AA2720" s="2" t="s">
        <v>75</v>
      </c>
      <c r="AB2720" s="2" t="s">
        <v>76</v>
      </c>
      <c r="AC2720" s="2" t="s">
        <v>77</v>
      </c>
      <c r="AF2720" s="2">
        <f t="shared" si="374"/>
        <v>0</v>
      </c>
      <c r="AG2720" s="2">
        <v>108.12</v>
      </c>
      <c r="AJ2720" s="2">
        <f t="shared" si="375"/>
        <v>0</v>
      </c>
      <c r="AK2720" s="2">
        <f t="shared" si="376"/>
        <v>101.88</v>
      </c>
      <c r="AL2720" s="5">
        <f t="shared" si="378"/>
        <v>0.4851428571428571</v>
      </c>
    </row>
    <row r="2721" spans="1:38" x14ac:dyDescent="0.2">
      <c r="A2721" s="2">
        <v>2025</v>
      </c>
      <c r="B2721" s="2">
        <v>9</v>
      </c>
      <c r="D2721" s="2" t="s">
        <v>1053</v>
      </c>
      <c r="E2721" s="2" t="s">
        <v>183</v>
      </c>
      <c r="F2721" s="2" t="s">
        <v>1054</v>
      </c>
      <c r="G2721" s="2">
        <v>500199523</v>
      </c>
      <c r="H2721" s="2" t="s">
        <v>290</v>
      </c>
      <c r="I2721" s="2" t="s">
        <v>293</v>
      </c>
      <c r="J2721" s="2" t="s">
        <v>1055</v>
      </c>
      <c r="L2721" s="2" t="s">
        <v>293</v>
      </c>
      <c r="M2721" s="2" t="s">
        <v>80</v>
      </c>
      <c r="O2721" s="2" t="s">
        <v>2257</v>
      </c>
      <c r="P2721" s="2" t="s">
        <v>93</v>
      </c>
      <c r="Q2721" s="2" t="s">
        <v>94</v>
      </c>
      <c r="R2721" s="2" t="s">
        <v>95</v>
      </c>
      <c r="S2721" s="2">
        <v>2</v>
      </c>
      <c r="T2721" s="2">
        <v>2.2799999999999998</v>
      </c>
      <c r="U2721" s="2">
        <v>0.52439999999999998</v>
      </c>
      <c r="V2721" s="2">
        <v>2.8043999999999998</v>
      </c>
      <c r="W2721" s="2">
        <v>2.2799999999999998</v>
      </c>
      <c r="X2721" s="5">
        <f t="shared" si="377"/>
        <v>0</v>
      </c>
      <c r="Z2721" s="2" t="s">
        <v>3227</v>
      </c>
      <c r="AA2721" s="2" t="s">
        <v>96</v>
      </c>
      <c r="AB2721" s="2" t="s">
        <v>76</v>
      </c>
      <c r="AC2721" s="2" t="s">
        <v>93</v>
      </c>
      <c r="AF2721" s="2">
        <f t="shared" si="374"/>
        <v>0</v>
      </c>
      <c r="AJ2721" s="2">
        <f t="shared" si="375"/>
        <v>0</v>
      </c>
      <c r="AK2721" s="2">
        <f t="shared" si="376"/>
        <v>0</v>
      </c>
      <c r="AL2721" s="5">
        <f t="shared" si="378"/>
        <v>0</v>
      </c>
    </row>
    <row r="2722" spans="1:38" x14ac:dyDescent="0.2">
      <c r="A2722" s="2">
        <v>2025</v>
      </c>
      <c r="B2722" s="2">
        <v>9</v>
      </c>
      <c r="D2722" s="2" t="s">
        <v>2258</v>
      </c>
      <c r="P2722" s="2" t="s">
        <v>114</v>
      </c>
      <c r="Q2722" s="16" t="s">
        <v>709</v>
      </c>
      <c r="R2722" s="2" t="s">
        <v>710</v>
      </c>
      <c r="S2722" s="2">
        <v>1</v>
      </c>
      <c r="T2722" s="2">
        <v>1790</v>
      </c>
      <c r="U2722" s="2">
        <v>411.7</v>
      </c>
      <c r="V2722" s="2">
        <v>2201.6999999999998</v>
      </c>
      <c r="W2722" s="2">
        <f>1244.2445</f>
        <v>1244.2445</v>
      </c>
      <c r="X2722" s="5">
        <f t="shared" si="377"/>
        <v>0.30489134078212288</v>
      </c>
      <c r="Z2722" s="2" t="s">
        <v>104</v>
      </c>
      <c r="AA2722" s="2" t="s">
        <v>578</v>
      </c>
      <c r="AB2722" s="2" t="s">
        <v>701</v>
      </c>
      <c r="AC2722" s="2" t="s">
        <v>114</v>
      </c>
      <c r="AF2722" s="2">
        <f t="shared" si="374"/>
        <v>0</v>
      </c>
      <c r="AJ2722" s="2">
        <f t="shared" si="375"/>
        <v>0</v>
      </c>
      <c r="AK2722" s="2">
        <f t="shared" si="376"/>
        <v>545.75549999999998</v>
      </c>
      <c r="AL2722" s="5">
        <f t="shared" si="378"/>
        <v>0.30489134078212288</v>
      </c>
    </row>
    <row r="2723" spans="1:38" x14ac:dyDescent="0.2">
      <c r="A2723" s="2">
        <v>2025</v>
      </c>
      <c r="B2723" s="2">
        <v>9</v>
      </c>
      <c r="D2723" s="2" t="s">
        <v>2259</v>
      </c>
      <c r="P2723" s="2" t="s">
        <v>282</v>
      </c>
      <c r="Q2723" s="2" t="s">
        <v>997</v>
      </c>
      <c r="R2723" s="2" t="s">
        <v>998</v>
      </c>
      <c r="S2723" s="2">
        <v>1</v>
      </c>
      <c r="T2723" s="2">
        <v>119</v>
      </c>
      <c r="U2723" s="2">
        <v>27.37</v>
      </c>
      <c r="V2723" s="2">
        <v>146.37</v>
      </c>
      <c r="X2723" s="5">
        <f t="shared" si="377"/>
        <v>1</v>
      </c>
      <c r="Z2723" s="2" t="s">
        <v>3227</v>
      </c>
      <c r="AF2723" s="2">
        <f t="shared" si="374"/>
        <v>0</v>
      </c>
      <c r="AJ2723" s="2">
        <f t="shared" si="375"/>
        <v>0</v>
      </c>
      <c r="AK2723" s="2">
        <f t="shared" si="376"/>
        <v>119</v>
      </c>
      <c r="AL2723" s="5">
        <f t="shared" si="378"/>
        <v>1</v>
      </c>
    </row>
    <row r="2724" spans="1:38" x14ac:dyDescent="0.2">
      <c r="A2724" s="2">
        <v>2025</v>
      </c>
      <c r="B2724" s="2">
        <v>9</v>
      </c>
      <c r="D2724" s="2" t="s">
        <v>2259</v>
      </c>
      <c r="P2724" s="2" t="s">
        <v>282</v>
      </c>
      <c r="Q2724" s="2" t="s">
        <v>2233</v>
      </c>
      <c r="R2724" s="2" t="s">
        <v>2234</v>
      </c>
      <c r="S2724" s="2">
        <v>1</v>
      </c>
      <c r="T2724" s="2">
        <v>12.39</v>
      </c>
      <c r="U2724" s="2">
        <v>2.8496999999999999</v>
      </c>
      <c r="V2724" s="2">
        <v>15.239699999999999</v>
      </c>
      <c r="X2724" s="5">
        <f t="shared" si="377"/>
        <v>1</v>
      </c>
      <c r="Z2724" s="2" t="s">
        <v>3227</v>
      </c>
      <c r="AF2724" s="2">
        <f t="shared" si="374"/>
        <v>0</v>
      </c>
      <c r="AJ2724" s="2">
        <f t="shared" si="375"/>
        <v>0</v>
      </c>
      <c r="AK2724" s="2">
        <f t="shared" si="376"/>
        <v>12.39</v>
      </c>
      <c r="AL2724" s="5">
        <f t="shared" si="378"/>
        <v>1</v>
      </c>
    </row>
    <row r="2725" spans="1:38" x14ac:dyDescent="0.2">
      <c r="A2725" s="2">
        <v>2025</v>
      </c>
      <c r="B2725" s="2">
        <v>9</v>
      </c>
      <c r="D2725" s="2" t="s">
        <v>2259</v>
      </c>
      <c r="E2725" s="2" t="s">
        <v>38</v>
      </c>
      <c r="F2725" s="2" t="s">
        <v>39</v>
      </c>
      <c r="G2725" s="2">
        <v>509703496</v>
      </c>
      <c r="H2725" s="2" t="s">
        <v>41</v>
      </c>
      <c r="I2725" s="2" t="s">
        <v>2260</v>
      </c>
      <c r="J2725" s="2" t="s">
        <v>2261</v>
      </c>
      <c r="L2725" s="2" t="s">
        <v>418</v>
      </c>
      <c r="M2725" s="2" t="s">
        <v>41</v>
      </c>
      <c r="O2725" s="2" t="s">
        <v>2262</v>
      </c>
      <c r="P2725" s="2" t="s">
        <v>43</v>
      </c>
      <c r="Q2725" s="2" t="s">
        <v>1104</v>
      </c>
      <c r="R2725" s="2" t="s">
        <v>1105</v>
      </c>
      <c r="S2725" s="2">
        <v>1</v>
      </c>
      <c r="T2725" s="2">
        <v>18.600000000000001</v>
      </c>
      <c r="U2725" s="2">
        <v>4.2779999999999996</v>
      </c>
      <c r="V2725" s="2">
        <v>22.878</v>
      </c>
      <c r="W2725" s="2">
        <v>10</v>
      </c>
      <c r="X2725" s="5">
        <f t="shared" si="377"/>
        <v>0.4623655913978495</v>
      </c>
      <c r="Z2725" s="2" t="s">
        <v>3227</v>
      </c>
      <c r="AA2725" s="2" t="s">
        <v>46</v>
      </c>
      <c r="AB2725" s="2" t="s">
        <v>47</v>
      </c>
      <c r="AC2725" s="2" t="s">
        <v>57</v>
      </c>
      <c r="AF2725" s="2">
        <f t="shared" si="374"/>
        <v>0</v>
      </c>
      <c r="AG2725" s="2">
        <v>10</v>
      </c>
      <c r="AH2725" s="2">
        <v>21</v>
      </c>
      <c r="AJ2725" s="2">
        <f t="shared" si="375"/>
        <v>0</v>
      </c>
      <c r="AK2725" s="2">
        <f t="shared" si="376"/>
        <v>8.6000000000000014</v>
      </c>
      <c r="AL2725" s="5">
        <f t="shared" si="378"/>
        <v>0.4623655913978495</v>
      </c>
    </row>
    <row r="2726" spans="1:38" x14ac:dyDescent="0.2">
      <c r="A2726" s="2">
        <v>2025</v>
      </c>
      <c r="B2726" s="2">
        <v>9</v>
      </c>
      <c r="D2726" s="2" t="s">
        <v>2259</v>
      </c>
      <c r="E2726" s="2" t="s">
        <v>38</v>
      </c>
      <c r="F2726" s="2" t="s">
        <v>39</v>
      </c>
      <c r="G2726" s="2">
        <v>509703496</v>
      </c>
      <c r="H2726" s="2" t="s">
        <v>41</v>
      </c>
      <c r="I2726" s="2" t="s">
        <v>2260</v>
      </c>
      <c r="J2726" s="2" t="s">
        <v>2261</v>
      </c>
      <c r="L2726" s="2" t="s">
        <v>418</v>
      </c>
      <c r="M2726" s="2" t="s">
        <v>41</v>
      </c>
      <c r="O2726" s="2" t="s">
        <v>2262</v>
      </c>
      <c r="P2726" s="2" t="s">
        <v>43</v>
      </c>
      <c r="Q2726" s="2" t="s">
        <v>351</v>
      </c>
      <c r="R2726" s="2" t="s">
        <v>352</v>
      </c>
      <c r="S2726" s="2">
        <v>1</v>
      </c>
      <c r="T2726" s="2">
        <v>18.600000000000001</v>
      </c>
      <c r="U2726" s="2">
        <v>4.2779999999999996</v>
      </c>
      <c r="V2726" s="2">
        <v>22.878</v>
      </c>
      <c r="W2726" s="2">
        <v>10.67</v>
      </c>
      <c r="X2726" s="5">
        <f t="shared" si="377"/>
        <v>0.42634408602150542</v>
      </c>
      <c r="Z2726" s="2" t="s">
        <v>3227</v>
      </c>
      <c r="AA2726" s="2" t="s">
        <v>46</v>
      </c>
      <c r="AB2726" s="2" t="s">
        <v>47</v>
      </c>
      <c r="AC2726" s="2" t="s">
        <v>57</v>
      </c>
      <c r="AF2726" s="2">
        <f t="shared" si="374"/>
        <v>0</v>
      </c>
      <c r="AG2726" s="2">
        <v>10.67</v>
      </c>
      <c r="AH2726" s="2">
        <v>21</v>
      </c>
      <c r="AJ2726" s="2">
        <f t="shared" si="375"/>
        <v>0</v>
      </c>
      <c r="AK2726" s="2">
        <f t="shared" si="376"/>
        <v>7.9300000000000015</v>
      </c>
      <c r="AL2726" s="5">
        <f t="shared" si="378"/>
        <v>0.42634408602150542</v>
      </c>
    </row>
    <row r="2727" spans="1:38" x14ac:dyDescent="0.2">
      <c r="A2727" s="2">
        <v>2025</v>
      </c>
      <c r="B2727" s="2">
        <v>9</v>
      </c>
      <c r="D2727" s="2" t="s">
        <v>2259</v>
      </c>
      <c r="E2727" s="2" t="s">
        <v>38</v>
      </c>
      <c r="F2727" s="2" t="s">
        <v>39</v>
      </c>
      <c r="G2727" s="2">
        <v>509703496</v>
      </c>
      <c r="H2727" s="2" t="s">
        <v>41</v>
      </c>
      <c r="I2727" s="2" t="s">
        <v>2260</v>
      </c>
      <c r="J2727" s="2" t="s">
        <v>2261</v>
      </c>
      <c r="L2727" s="2" t="s">
        <v>418</v>
      </c>
      <c r="M2727" s="2" t="s">
        <v>41</v>
      </c>
      <c r="P2727" s="2" t="s">
        <v>43</v>
      </c>
      <c r="Q2727" s="2" t="s">
        <v>48</v>
      </c>
      <c r="R2727" s="2" t="s">
        <v>49</v>
      </c>
      <c r="S2727" s="2">
        <v>1</v>
      </c>
      <c r="T2727" s="2">
        <v>13</v>
      </c>
      <c r="U2727" s="2">
        <v>2.99</v>
      </c>
      <c r="V2727" s="2">
        <v>15.99</v>
      </c>
      <c r="W2727" s="2">
        <f>6.6267*S2727</f>
        <v>6.6266999999999996</v>
      </c>
      <c r="X2727" s="5">
        <f t="shared" si="377"/>
        <v>0.49025384615384621</v>
      </c>
      <c r="Z2727" s="2" t="s">
        <v>3227</v>
      </c>
      <c r="AA2727" s="2" t="s">
        <v>46</v>
      </c>
      <c r="AB2727" s="2" t="s">
        <v>47</v>
      </c>
      <c r="AC2727" s="2" t="s">
        <v>57</v>
      </c>
      <c r="AF2727" s="2">
        <f t="shared" si="374"/>
        <v>0</v>
      </c>
      <c r="AG2727" s="2">
        <v>6.6266999999999996</v>
      </c>
      <c r="AH2727" s="2">
        <v>12</v>
      </c>
      <c r="AJ2727" s="2">
        <f t="shared" si="375"/>
        <v>0</v>
      </c>
      <c r="AK2727" s="2">
        <f t="shared" si="376"/>
        <v>6.3733000000000004</v>
      </c>
      <c r="AL2727" s="5">
        <f t="shared" si="378"/>
        <v>0.49025384615384621</v>
      </c>
    </row>
    <row r="2728" spans="1:38" x14ac:dyDescent="0.2">
      <c r="A2728" s="2">
        <v>2025</v>
      </c>
      <c r="B2728" s="2">
        <v>9</v>
      </c>
      <c r="D2728" s="2" t="s">
        <v>2259</v>
      </c>
      <c r="E2728" s="2" t="s">
        <v>38</v>
      </c>
      <c r="F2728" s="2" t="s">
        <v>39</v>
      </c>
      <c r="G2728" s="2">
        <v>509703496</v>
      </c>
      <c r="H2728" s="2" t="s">
        <v>41</v>
      </c>
      <c r="I2728" s="2" t="s">
        <v>2260</v>
      </c>
      <c r="J2728" s="2" t="s">
        <v>2261</v>
      </c>
      <c r="L2728" s="2" t="s">
        <v>418</v>
      </c>
      <c r="M2728" s="2" t="s">
        <v>41</v>
      </c>
      <c r="P2728" s="2" t="s">
        <v>43</v>
      </c>
      <c r="Q2728" s="2" t="s">
        <v>54</v>
      </c>
      <c r="R2728" s="2" t="s">
        <v>55</v>
      </c>
      <c r="S2728" s="2">
        <v>1</v>
      </c>
      <c r="T2728" s="2">
        <v>18</v>
      </c>
      <c r="U2728" s="2">
        <v>4.1400000000000006</v>
      </c>
      <c r="V2728" s="2">
        <v>22.14</v>
      </c>
      <c r="W2728" s="2">
        <f>10.6*S2728</f>
        <v>10.6</v>
      </c>
      <c r="X2728" s="5">
        <f t="shared" si="377"/>
        <v>0.41111111111111115</v>
      </c>
      <c r="Z2728" s="2" t="s">
        <v>3227</v>
      </c>
      <c r="AA2728" s="2" t="s">
        <v>46</v>
      </c>
      <c r="AB2728" s="2" t="s">
        <v>56</v>
      </c>
      <c r="AC2728" s="2" t="s">
        <v>57</v>
      </c>
      <c r="AF2728" s="2">
        <f t="shared" si="374"/>
        <v>0</v>
      </c>
      <c r="AG2728" s="2">
        <v>10.6</v>
      </c>
      <c r="AH2728" s="2">
        <v>18</v>
      </c>
      <c r="AJ2728" s="2">
        <f t="shared" si="375"/>
        <v>0</v>
      </c>
      <c r="AK2728" s="2">
        <f t="shared" si="376"/>
        <v>7.4</v>
      </c>
      <c r="AL2728" s="5">
        <f t="shared" si="378"/>
        <v>0.41111111111111115</v>
      </c>
    </row>
    <row r="2729" spans="1:38" x14ac:dyDescent="0.2">
      <c r="A2729" s="2">
        <v>2025</v>
      </c>
      <c r="B2729" s="2">
        <v>9</v>
      </c>
      <c r="D2729" s="2" t="s">
        <v>2259</v>
      </c>
      <c r="E2729" s="2" t="s">
        <v>38</v>
      </c>
      <c r="F2729" s="2" t="s">
        <v>39</v>
      </c>
      <c r="G2729" s="2">
        <v>509703496</v>
      </c>
      <c r="H2729" s="2" t="s">
        <v>41</v>
      </c>
      <c r="I2729" s="2" t="s">
        <v>2260</v>
      </c>
      <c r="J2729" s="2" t="s">
        <v>2261</v>
      </c>
      <c r="L2729" s="2" t="s">
        <v>418</v>
      </c>
      <c r="M2729" s="2" t="s">
        <v>41</v>
      </c>
      <c r="P2729" s="2" t="s">
        <v>43</v>
      </c>
      <c r="Q2729" s="2" t="s">
        <v>61</v>
      </c>
      <c r="R2729" s="2" t="s">
        <v>62</v>
      </c>
      <c r="S2729" s="2">
        <v>100</v>
      </c>
      <c r="T2729" s="2">
        <v>13</v>
      </c>
      <c r="U2729" s="2">
        <v>2.99</v>
      </c>
      <c r="V2729" s="2">
        <v>15.99</v>
      </c>
      <c r="W2729" s="2">
        <f>0.082*S2729</f>
        <v>8.2000000000000011</v>
      </c>
      <c r="X2729" s="5">
        <f t="shared" si="377"/>
        <v>0.36923076923076914</v>
      </c>
      <c r="Z2729" s="2" t="s">
        <v>3227</v>
      </c>
      <c r="AA2729" s="2" t="s">
        <v>46</v>
      </c>
      <c r="AB2729" s="2" t="s">
        <v>60</v>
      </c>
      <c r="AC2729" s="2" t="s">
        <v>57</v>
      </c>
      <c r="AF2729" s="2">
        <f t="shared" si="374"/>
        <v>0</v>
      </c>
      <c r="AG2729" s="2">
        <v>8.1999999999999993</v>
      </c>
      <c r="AH2729" s="2">
        <v>13</v>
      </c>
      <c r="AJ2729" s="2">
        <f t="shared" si="375"/>
        <v>0</v>
      </c>
      <c r="AK2729" s="2">
        <f t="shared" si="376"/>
        <v>4.7999999999999989</v>
      </c>
      <c r="AL2729" s="5">
        <f t="shared" si="378"/>
        <v>0.36923076923076914</v>
      </c>
    </row>
    <row r="2730" spans="1:38" x14ac:dyDescent="0.2">
      <c r="A2730" s="2">
        <v>2025</v>
      </c>
      <c r="B2730" s="2">
        <v>9</v>
      </c>
      <c r="D2730" s="2" t="s">
        <v>1071</v>
      </c>
      <c r="E2730" s="2" t="s">
        <v>38</v>
      </c>
      <c r="F2730" s="2" t="s">
        <v>39</v>
      </c>
      <c r="G2730" s="2">
        <v>503843091</v>
      </c>
      <c r="H2730" s="2" t="s">
        <v>41</v>
      </c>
      <c r="I2730" s="2" t="s">
        <v>1554</v>
      </c>
      <c r="J2730" s="2" t="s">
        <v>1824</v>
      </c>
      <c r="L2730" s="2" t="s">
        <v>177</v>
      </c>
      <c r="P2730" s="2" t="s">
        <v>282</v>
      </c>
      <c r="Q2730" s="2" t="s">
        <v>1536</v>
      </c>
      <c r="R2730" s="2" t="s">
        <v>1537</v>
      </c>
      <c r="S2730" s="2">
        <v>6</v>
      </c>
      <c r="T2730" s="2">
        <v>52.98</v>
      </c>
      <c r="U2730" s="2">
        <v>12.1854</v>
      </c>
      <c r="V2730" s="2">
        <v>65.165399999999991</v>
      </c>
      <c r="W2730" s="2">
        <f>6.1817*S2730</f>
        <v>37.090200000000003</v>
      </c>
      <c r="X2730" s="5">
        <f t="shared" si="377"/>
        <v>0.29992072480181192</v>
      </c>
      <c r="Z2730" s="2" t="s">
        <v>3227</v>
      </c>
      <c r="AA2730" s="2" t="s">
        <v>155</v>
      </c>
      <c r="AB2730" s="2" t="s">
        <v>3403</v>
      </c>
      <c r="AC2730" s="2" t="s">
        <v>1327</v>
      </c>
      <c r="AF2730" s="2">
        <f t="shared" si="374"/>
        <v>0</v>
      </c>
      <c r="AJ2730" s="2">
        <f t="shared" si="375"/>
        <v>0</v>
      </c>
      <c r="AK2730" s="2">
        <f t="shared" si="376"/>
        <v>15.889799999999994</v>
      </c>
      <c r="AL2730" s="5">
        <f t="shared" si="378"/>
        <v>0.29992072480181192</v>
      </c>
    </row>
    <row r="2731" spans="1:38" x14ac:dyDescent="0.2">
      <c r="A2731" s="2">
        <v>2025</v>
      </c>
      <c r="B2731" s="2">
        <v>9</v>
      </c>
      <c r="D2731" s="2" t="s">
        <v>1071</v>
      </c>
      <c r="E2731" s="2" t="s">
        <v>38</v>
      </c>
      <c r="F2731" s="2" t="s">
        <v>39</v>
      </c>
      <c r="G2731" s="2">
        <v>503843091</v>
      </c>
      <c r="H2731" s="2" t="s">
        <v>41</v>
      </c>
      <c r="I2731" s="2" t="s">
        <v>1554</v>
      </c>
      <c r="J2731" s="2" t="s">
        <v>1824</v>
      </c>
      <c r="L2731" s="2" t="s">
        <v>177</v>
      </c>
      <c r="P2731" s="2" t="s">
        <v>282</v>
      </c>
      <c r="Q2731" s="2" t="s">
        <v>2263</v>
      </c>
      <c r="R2731" s="2" t="s">
        <v>2264</v>
      </c>
      <c r="S2731" s="2">
        <v>1</v>
      </c>
      <c r="T2731" s="2">
        <v>42</v>
      </c>
      <c r="U2731" s="2">
        <v>9.66</v>
      </c>
      <c r="V2731" s="2">
        <v>51.66</v>
      </c>
      <c r="W2731" s="2">
        <v>29.4</v>
      </c>
      <c r="X2731" s="5">
        <f t="shared" si="377"/>
        <v>0.30000000000000004</v>
      </c>
      <c r="Z2731" s="2" t="s">
        <v>3227</v>
      </c>
      <c r="AA2731" s="2" t="s">
        <v>155</v>
      </c>
      <c r="AB2731" s="2" t="s">
        <v>3403</v>
      </c>
      <c r="AC2731" s="2" t="s">
        <v>1327</v>
      </c>
      <c r="AF2731" s="2">
        <f t="shared" si="374"/>
        <v>0</v>
      </c>
      <c r="AJ2731" s="2">
        <f t="shared" si="375"/>
        <v>0</v>
      </c>
      <c r="AK2731" s="2">
        <f t="shared" si="376"/>
        <v>12.600000000000001</v>
      </c>
      <c r="AL2731" s="5">
        <f t="shared" si="378"/>
        <v>0.30000000000000004</v>
      </c>
    </row>
    <row r="2732" spans="1:38" x14ac:dyDescent="0.2">
      <c r="A2732" s="2">
        <v>2025</v>
      </c>
      <c r="B2732" s="2">
        <v>9</v>
      </c>
      <c r="D2732" s="2" t="s">
        <v>1071</v>
      </c>
      <c r="E2732" s="2" t="s">
        <v>38</v>
      </c>
      <c r="F2732" s="2" t="s">
        <v>39</v>
      </c>
      <c r="G2732" s="2">
        <v>503843091</v>
      </c>
      <c r="H2732" s="2" t="s">
        <v>41</v>
      </c>
      <c r="I2732" s="2" t="s">
        <v>1554</v>
      </c>
      <c r="J2732" s="2" t="s">
        <v>1824</v>
      </c>
      <c r="L2732" s="2" t="s">
        <v>177</v>
      </c>
      <c r="P2732" s="2" t="s">
        <v>282</v>
      </c>
      <c r="Q2732" s="2" t="s">
        <v>1781</v>
      </c>
      <c r="R2732" s="2" t="s">
        <v>1782</v>
      </c>
      <c r="S2732" s="2">
        <v>1</v>
      </c>
      <c r="T2732" s="2">
        <v>59.95</v>
      </c>
      <c r="U2732" s="2">
        <v>13.788500000000001</v>
      </c>
      <c r="V2732" s="2">
        <v>73.738500000000002</v>
      </c>
      <c r="X2732" s="5">
        <f t="shared" si="377"/>
        <v>1</v>
      </c>
      <c r="Z2732" s="2" t="s">
        <v>3227</v>
      </c>
      <c r="AF2732" s="2">
        <f t="shared" si="374"/>
        <v>0</v>
      </c>
      <c r="AJ2732" s="2">
        <f t="shared" si="375"/>
        <v>0</v>
      </c>
      <c r="AK2732" s="2">
        <f t="shared" si="376"/>
        <v>59.95</v>
      </c>
      <c r="AL2732" s="5">
        <f t="shared" si="378"/>
        <v>1</v>
      </c>
    </row>
    <row r="2733" spans="1:38" x14ac:dyDescent="0.2">
      <c r="A2733" s="2">
        <v>2025</v>
      </c>
      <c r="B2733" s="2">
        <v>9</v>
      </c>
      <c r="D2733" s="2" t="s">
        <v>1071</v>
      </c>
      <c r="E2733" s="2" t="s">
        <v>38</v>
      </c>
      <c r="F2733" s="2" t="s">
        <v>39</v>
      </c>
      <c r="G2733" s="2">
        <v>503843091</v>
      </c>
      <c r="H2733" s="2" t="s">
        <v>41</v>
      </c>
      <c r="I2733" s="2" t="s">
        <v>1554</v>
      </c>
      <c r="J2733" s="2" t="s">
        <v>1824</v>
      </c>
      <c r="L2733" s="2" t="s">
        <v>177</v>
      </c>
      <c r="P2733" s="2" t="s">
        <v>282</v>
      </c>
      <c r="Q2733" s="2" t="s">
        <v>1783</v>
      </c>
      <c r="R2733" s="2" t="s">
        <v>1782</v>
      </c>
      <c r="S2733" s="2">
        <v>1</v>
      </c>
      <c r="T2733" s="2">
        <v>59.95</v>
      </c>
      <c r="U2733" s="2">
        <v>13.788500000000001</v>
      </c>
      <c r="V2733" s="2">
        <v>73.738500000000002</v>
      </c>
      <c r="X2733" s="5">
        <f t="shared" si="377"/>
        <v>1</v>
      </c>
      <c r="Z2733" s="2" t="s">
        <v>3227</v>
      </c>
      <c r="AF2733" s="2">
        <f t="shared" si="374"/>
        <v>0</v>
      </c>
      <c r="AJ2733" s="2">
        <f t="shared" si="375"/>
        <v>0</v>
      </c>
      <c r="AK2733" s="2">
        <f t="shared" si="376"/>
        <v>59.95</v>
      </c>
      <c r="AL2733" s="5">
        <f t="shared" si="378"/>
        <v>1</v>
      </c>
    </row>
    <row r="2734" spans="1:38" x14ac:dyDescent="0.2">
      <c r="A2734" s="2">
        <v>2025</v>
      </c>
      <c r="B2734" s="2">
        <v>9</v>
      </c>
      <c r="D2734" s="2" t="s">
        <v>2049</v>
      </c>
      <c r="M2734" s="2" t="s">
        <v>40</v>
      </c>
      <c r="P2734" s="2" t="s">
        <v>187</v>
      </c>
      <c r="Q2734" s="2" t="s">
        <v>188</v>
      </c>
      <c r="R2734" s="2" t="s">
        <v>189</v>
      </c>
      <c r="S2734" s="2">
        <v>1</v>
      </c>
      <c r="T2734" s="2">
        <v>114</v>
      </c>
      <c r="U2734" s="2">
        <v>26.22</v>
      </c>
      <c r="V2734" s="2">
        <v>140.22</v>
      </c>
      <c r="W2734" s="2">
        <f>T2734*40%</f>
        <v>45.6</v>
      </c>
      <c r="X2734" s="5">
        <f t="shared" si="377"/>
        <v>0.60000000000000009</v>
      </c>
      <c r="Z2734" s="2" t="s">
        <v>117</v>
      </c>
      <c r="AA2734" s="2" t="s">
        <v>190</v>
      </c>
      <c r="AB2734" s="2" t="s">
        <v>189</v>
      </c>
      <c r="AC2734" s="2" t="s">
        <v>40</v>
      </c>
      <c r="AF2734" s="2">
        <f t="shared" si="374"/>
        <v>0</v>
      </c>
      <c r="AJ2734" s="2">
        <f t="shared" si="375"/>
        <v>0</v>
      </c>
      <c r="AK2734" s="2">
        <f t="shared" si="376"/>
        <v>68.400000000000006</v>
      </c>
      <c r="AL2734" s="5">
        <f t="shared" si="378"/>
        <v>0.60000000000000009</v>
      </c>
    </row>
    <row r="2735" spans="1:38" x14ac:dyDescent="0.2">
      <c r="A2735" s="2">
        <v>2025</v>
      </c>
      <c r="B2735" s="2">
        <v>9</v>
      </c>
      <c r="D2735" s="2" t="s">
        <v>2049</v>
      </c>
      <c r="M2735" s="2" t="s">
        <v>40</v>
      </c>
      <c r="P2735" s="2" t="s">
        <v>187</v>
      </c>
      <c r="Q2735" s="2" t="s">
        <v>191</v>
      </c>
      <c r="R2735" s="2" t="s">
        <v>190</v>
      </c>
      <c r="S2735" s="2">
        <v>4</v>
      </c>
      <c r="T2735" s="2">
        <v>200</v>
      </c>
      <c r="U2735" s="2">
        <v>46</v>
      </c>
      <c r="V2735" s="2">
        <v>246</v>
      </c>
      <c r="W2735" s="2">
        <f>T2735*50%</f>
        <v>100</v>
      </c>
      <c r="X2735" s="5">
        <f t="shared" si="377"/>
        <v>0.5</v>
      </c>
      <c r="Z2735" s="2" t="s">
        <v>117</v>
      </c>
      <c r="AA2735" s="2" t="s">
        <v>190</v>
      </c>
      <c r="AB2735" s="2" t="s">
        <v>190</v>
      </c>
      <c r="AC2735" s="2" t="s">
        <v>40</v>
      </c>
      <c r="AF2735" s="2">
        <f t="shared" si="374"/>
        <v>0</v>
      </c>
      <c r="AJ2735" s="2">
        <f t="shared" si="375"/>
        <v>0</v>
      </c>
      <c r="AK2735" s="2">
        <f t="shared" si="376"/>
        <v>100</v>
      </c>
      <c r="AL2735" s="5">
        <f t="shared" si="378"/>
        <v>0.5</v>
      </c>
    </row>
    <row r="2736" spans="1:38" x14ac:dyDescent="0.2">
      <c r="A2736" s="2">
        <v>2025</v>
      </c>
      <c r="B2736" s="2">
        <v>9</v>
      </c>
      <c r="D2736" s="2" t="s">
        <v>2049</v>
      </c>
      <c r="P2736" s="2" t="s">
        <v>40</v>
      </c>
      <c r="Q2736" s="2" t="s">
        <v>363</v>
      </c>
      <c r="R2736" s="2" t="s">
        <v>364</v>
      </c>
      <c r="S2736" s="2">
        <v>3</v>
      </c>
      <c r="T2736" s="2">
        <v>220.11</v>
      </c>
      <c r="U2736" s="2">
        <v>50.625300000000003</v>
      </c>
      <c r="V2736" s="2">
        <v>270.7353</v>
      </c>
      <c r="X2736" s="5">
        <f t="shared" si="377"/>
        <v>1</v>
      </c>
      <c r="Z2736" s="2" t="s">
        <v>119</v>
      </c>
      <c r="AA2736" s="2" t="s">
        <v>3380</v>
      </c>
      <c r="AF2736" s="2">
        <f t="shared" si="374"/>
        <v>0</v>
      </c>
      <c r="AJ2736" s="2">
        <f t="shared" si="375"/>
        <v>0</v>
      </c>
      <c r="AK2736" s="2">
        <f t="shared" si="376"/>
        <v>220.11</v>
      </c>
      <c r="AL2736" s="5">
        <f t="shared" si="378"/>
        <v>1</v>
      </c>
    </row>
    <row r="2737" spans="1:38" x14ac:dyDescent="0.2">
      <c r="A2737" s="2">
        <v>2025</v>
      </c>
      <c r="B2737" s="2">
        <v>9</v>
      </c>
      <c r="D2737" s="2" t="s">
        <v>530</v>
      </c>
      <c r="E2737" s="2" t="s">
        <v>108</v>
      </c>
      <c r="F2737" s="2" t="s">
        <v>531</v>
      </c>
      <c r="G2737" s="2">
        <v>502139552</v>
      </c>
      <c r="H2737" s="2" t="s">
        <v>40</v>
      </c>
      <c r="I2737" s="2" t="s">
        <v>339</v>
      </c>
      <c r="J2737" s="2" t="s">
        <v>532</v>
      </c>
      <c r="L2737" s="2" t="s">
        <v>339</v>
      </c>
      <c r="M2737" s="2" t="s">
        <v>80</v>
      </c>
      <c r="P2737" s="2" t="s">
        <v>72</v>
      </c>
      <c r="Q2737" s="2" t="s">
        <v>73</v>
      </c>
      <c r="R2737" s="2" t="s">
        <v>74</v>
      </c>
      <c r="S2737" s="2">
        <v>1</v>
      </c>
      <c r="T2737" s="2">
        <v>209.99</v>
      </c>
      <c r="U2737" s="2">
        <v>48.297700000000013</v>
      </c>
      <c r="V2737" s="2">
        <v>258.28769999999997</v>
      </c>
      <c r="W2737" s="2">
        <v>117.453</v>
      </c>
      <c r="X2737" s="5">
        <f t="shared" si="377"/>
        <v>0.44067336539835233</v>
      </c>
      <c r="Z2737" s="2" t="s">
        <v>3227</v>
      </c>
      <c r="AA2737" s="2" t="s">
        <v>75</v>
      </c>
      <c r="AB2737" s="2" t="s">
        <v>76</v>
      </c>
      <c r="AC2737" s="2" t="s">
        <v>77</v>
      </c>
      <c r="AF2737" s="2">
        <f t="shared" si="374"/>
        <v>0</v>
      </c>
      <c r="AG2737" s="2">
        <v>117.453</v>
      </c>
      <c r="AH2737" s="2">
        <v>220</v>
      </c>
      <c r="AJ2737" s="2">
        <f t="shared" si="375"/>
        <v>0</v>
      </c>
      <c r="AK2737" s="2">
        <f t="shared" si="376"/>
        <v>92.537000000000006</v>
      </c>
      <c r="AL2737" s="5">
        <f t="shared" si="378"/>
        <v>0.44067336539835233</v>
      </c>
    </row>
    <row r="2738" spans="1:38" x14ac:dyDescent="0.2">
      <c r="A2738" s="2">
        <v>2025</v>
      </c>
      <c r="B2738" s="2">
        <v>9</v>
      </c>
      <c r="D2738" s="2" t="s">
        <v>530</v>
      </c>
      <c r="E2738" s="2" t="s">
        <v>108</v>
      </c>
      <c r="F2738" s="2" t="s">
        <v>531</v>
      </c>
      <c r="G2738" s="2">
        <v>502139552</v>
      </c>
      <c r="H2738" s="2" t="s">
        <v>40</v>
      </c>
      <c r="I2738" s="2" t="s">
        <v>339</v>
      </c>
      <c r="J2738" s="2" t="s">
        <v>532</v>
      </c>
      <c r="L2738" s="2" t="s">
        <v>339</v>
      </c>
      <c r="M2738" s="2" t="s">
        <v>80</v>
      </c>
      <c r="P2738" s="2" t="s">
        <v>93</v>
      </c>
      <c r="Q2738" s="2" t="s">
        <v>94</v>
      </c>
      <c r="R2738" s="2" t="s">
        <v>95</v>
      </c>
      <c r="S2738" s="2">
        <v>1</v>
      </c>
      <c r="T2738" s="2">
        <v>1.1399999999999999</v>
      </c>
      <c r="U2738" s="2">
        <v>0.26219999999999999</v>
      </c>
      <c r="V2738" s="2">
        <v>1.4021999999999999</v>
      </c>
      <c r="W2738" s="2">
        <v>1.1399999999999999</v>
      </c>
      <c r="X2738" s="5">
        <f t="shared" si="377"/>
        <v>0</v>
      </c>
      <c r="Z2738" s="2" t="s">
        <v>3227</v>
      </c>
      <c r="AA2738" s="2" t="s">
        <v>96</v>
      </c>
      <c r="AB2738" s="2" t="s">
        <v>76</v>
      </c>
      <c r="AC2738" s="2" t="s">
        <v>93</v>
      </c>
      <c r="AF2738" s="2">
        <f t="shared" si="374"/>
        <v>0</v>
      </c>
      <c r="AJ2738" s="2">
        <f t="shared" si="375"/>
        <v>0</v>
      </c>
      <c r="AK2738" s="2">
        <f t="shared" si="376"/>
        <v>0</v>
      </c>
      <c r="AL2738" s="5">
        <f t="shared" si="378"/>
        <v>0</v>
      </c>
    </row>
    <row r="2739" spans="1:38" x14ac:dyDescent="0.2">
      <c r="A2739" s="2">
        <v>2025</v>
      </c>
      <c r="B2739" s="2">
        <v>9</v>
      </c>
      <c r="D2739" s="2" t="s">
        <v>549</v>
      </c>
      <c r="E2739" s="2" t="s">
        <v>108</v>
      </c>
      <c r="F2739" s="2" t="s">
        <v>395</v>
      </c>
      <c r="G2739" s="2">
        <v>503641790</v>
      </c>
      <c r="H2739" s="2" t="s">
        <v>40</v>
      </c>
      <c r="I2739" s="2" t="s">
        <v>550</v>
      </c>
      <c r="J2739" s="2" t="s">
        <v>551</v>
      </c>
      <c r="K2739" s="2">
        <v>917753665</v>
      </c>
      <c r="L2739" s="2" t="s">
        <v>99</v>
      </c>
      <c r="M2739" s="2" t="s">
        <v>40</v>
      </c>
      <c r="O2739" s="2" t="s">
        <v>2265</v>
      </c>
      <c r="P2739" s="2" t="s">
        <v>114</v>
      </c>
      <c r="Q2739" s="2" t="s">
        <v>561</v>
      </c>
      <c r="R2739" s="2" t="s">
        <v>562</v>
      </c>
      <c r="S2739" s="2">
        <v>2</v>
      </c>
      <c r="T2739" s="2">
        <v>24.49</v>
      </c>
      <c r="U2739" s="2">
        <v>5.6326999999999998</v>
      </c>
      <c r="V2739" s="2">
        <v>30.122699999999998</v>
      </c>
      <c r="W2739" s="2">
        <v>10.66</v>
      </c>
      <c r="X2739" s="5">
        <f t="shared" si="377"/>
        <v>0.56472029399754997</v>
      </c>
      <c r="Z2739" s="2" t="s">
        <v>117</v>
      </c>
      <c r="AA2739" s="2" t="s">
        <v>118</v>
      </c>
      <c r="AB2739" s="2" t="s">
        <v>119</v>
      </c>
      <c r="AC2739" s="2" t="s">
        <v>114</v>
      </c>
      <c r="AF2739" s="2">
        <f t="shared" si="374"/>
        <v>0</v>
      </c>
      <c r="AG2739" s="2">
        <v>5.33</v>
      </c>
      <c r="AJ2739" s="2">
        <f t="shared" si="375"/>
        <v>0</v>
      </c>
      <c r="AK2739" s="2">
        <f t="shared" si="376"/>
        <v>13.829999999999998</v>
      </c>
      <c r="AL2739" s="5">
        <f t="shared" si="378"/>
        <v>0.56472029399754997</v>
      </c>
    </row>
    <row r="2740" spans="1:38" x14ac:dyDescent="0.2">
      <c r="A2740" s="2">
        <v>2025</v>
      </c>
      <c r="B2740" s="2">
        <v>9</v>
      </c>
      <c r="D2740" s="2" t="s">
        <v>549</v>
      </c>
      <c r="E2740" s="2" t="s">
        <v>108</v>
      </c>
      <c r="F2740" s="2" t="s">
        <v>395</v>
      </c>
      <c r="G2740" s="2">
        <v>503641790</v>
      </c>
      <c r="H2740" s="2" t="s">
        <v>40</v>
      </c>
      <c r="I2740" s="2" t="s">
        <v>550</v>
      </c>
      <c r="J2740" s="2" t="s">
        <v>551</v>
      </c>
      <c r="K2740" s="2">
        <v>917753665</v>
      </c>
      <c r="L2740" s="2" t="s">
        <v>99</v>
      </c>
      <c r="M2740" s="2" t="s">
        <v>80</v>
      </c>
      <c r="O2740" s="2" t="s">
        <v>2266</v>
      </c>
      <c r="P2740" s="2" t="s">
        <v>72</v>
      </c>
      <c r="Q2740" s="2" t="s">
        <v>306</v>
      </c>
      <c r="R2740" s="2" t="s">
        <v>307</v>
      </c>
      <c r="S2740" s="2">
        <v>1</v>
      </c>
      <c r="T2740" s="2">
        <v>220</v>
      </c>
      <c r="U2740" s="2">
        <v>50.6</v>
      </c>
      <c r="V2740" s="2">
        <v>270.60000000000002</v>
      </c>
      <c r="W2740" s="2">
        <v>119.33</v>
      </c>
      <c r="X2740" s="5">
        <f t="shared" si="377"/>
        <v>0.4575909090909091</v>
      </c>
      <c r="Z2740" s="2" t="s">
        <v>3227</v>
      </c>
      <c r="AA2740" s="2" t="s">
        <v>75</v>
      </c>
      <c r="AB2740" s="2" t="s">
        <v>76</v>
      </c>
      <c r="AC2740" s="2" t="s">
        <v>77</v>
      </c>
      <c r="AF2740" s="2">
        <f t="shared" si="374"/>
        <v>0</v>
      </c>
      <c r="AG2740" s="2">
        <v>119.33</v>
      </c>
      <c r="AH2740" s="2">
        <v>220</v>
      </c>
      <c r="AJ2740" s="2">
        <f t="shared" si="375"/>
        <v>0</v>
      </c>
      <c r="AK2740" s="2">
        <f t="shared" si="376"/>
        <v>100.67</v>
      </c>
      <c r="AL2740" s="5">
        <f t="shared" si="378"/>
        <v>0.4575909090909091</v>
      </c>
    </row>
    <row r="2741" spans="1:38" x14ac:dyDescent="0.2">
      <c r="A2741" s="2">
        <v>2025</v>
      </c>
      <c r="B2741" s="2">
        <v>9</v>
      </c>
      <c r="D2741" s="2" t="s">
        <v>549</v>
      </c>
      <c r="E2741" s="2" t="s">
        <v>108</v>
      </c>
      <c r="F2741" s="2" t="s">
        <v>395</v>
      </c>
      <c r="G2741" s="2">
        <v>503641790</v>
      </c>
      <c r="H2741" s="2" t="s">
        <v>40</v>
      </c>
      <c r="I2741" s="2" t="s">
        <v>550</v>
      </c>
      <c r="J2741" s="2" t="s">
        <v>551</v>
      </c>
      <c r="K2741" s="2">
        <v>917753665</v>
      </c>
      <c r="L2741" s="2" t="s">
        <v>99</v>
      </c>
      <c r="M2741" s="2" t="s">
        <v>80</v>
      </c>
      <c r="O2741" s="2" t="s">
        <v>2266</v>
      </c>
      <c r="P2741" s="2" t="s">
        <v>93</v>
      </c>
      <c r="Q2741" s="2" t="s">
        <v>94</v>
      </c>
      <c r="R2741" s="2" t="s">
        <v>95</v>
      </c>
      <c r="S2741" s="2">
        <v>1</v>
      </c>
      <c r="T2741" s="2">
        <v>1.1399999999999999</v>
      </c>
      <c r="U2741" s="2">
        <v>0.26219999999999999</v>
      </c>
      <c r="V2741" s="2">
        <v>1.4021999999999999</v>
      </c>
      <c r="W2741" s="2">
        <v>1.1399999999999999</v>
      </c>
      <c r="X2741" s="5">
        <f t="shared" si="377"/>
        <v>0</v>
      </c>
      <c r="Z2741" s="2" t="s">
        <v>3227</v>
      </c>
      <c r="AA2741" s="2" t="s">
        <v>96</v>
      </c>
      <c r="AB2741" s="2" t="s">
        <v>76</v>
      </c>
      <c r="AC2741" s="2" t="s">
        <v>93</v>
      </c>
      <c r="AF2741" s="2">
        <f t="shared" si="374"/>
        <v>0</v>
      </c>
      <c r="AG2741" s="2">
        <v>1.1399999999999999</v>
      </c>
      <c r="AH2741" s="2">
        <v>1.1399999999999999</v>
      </c>
      <c r="AJ2741" s="2">
        <f t="shared" si="375"/>
        <v>0</v>
      </c>
      <c r="AK2741" s="2">
        <f t="shared" si="376"/>
        <v>0</v>
      </c>
      <c r="AL2741" s="5">
        <f t="shared" si="378"/>
        <v>0</v>
      </c>
    </row>
    <row r="2742" spans="1:38" x14ac:dyDescent="0.2">
      <c r="A2742" s="2">
        <v>2025</v>
      </c>
      <c r="B2742" s="2">
        <v>9</v>
      </c>
      <c r="D2742" s="2" t="s">
        <v>558</v>
      </c>
      <c r="E2742" s="2" t="s">
        <v>108</v>
      </c>
      <c r="F2742" s="2" t="s">
        <v>39</v>
      </c>
      <c r="G2742" s="2">
        <v>506517233</v>
      </c>
      <c r="H2742" s="2" t="s">
        <v>80</v>
      </c>
      <c r="I2742" s="2" t="s">
        <v>559</v>
      </c>
      <c r="J2742" s="2" t="s">
        <v>560</v>
      </c>
      <c r="L2742" s="2" t="s">
        <v>133</v>
      </c>
      <c r="M2742" s="2" t="s">
        <v>40</v>
      </c>
      <c r="P2742" s="2" t="s">
        <v>114</v>
      </c>
      <c r="Q2742" s="2" t="s">
        <v>729</v>
      </c>
      <c r="R2742" s="2" t="s">
        <v>730</v>
      </c>
      <c r="S2742" s="2">
        <v>1</v>
      </c>
      <c r="T2742" s="2">
        <v>44.98</v>
      </c>
      <c r="U2742" s="2">
        <v>10.3454</v>
      </c>
      <c r="V2742" s="2">
        <v>55.325399999999988</v>
      </c>
      <c r="X2742" s="5">
        <f t="shared" si="377"/>
        <v>1</v>
      </c>
      <c r="AF2742" s="2">
        <f t="shared" si="374"/>
        <v>0</v>
      </c>
      <c r="AJ2742" s="2">
        <f t="shared" si="375"/>
        <v>0</v>
      </c>
      <c r="AK2742" s="2">
        <f t="shared" si="376"/>
        <v>44.98</v>
      </c>
      <c r="AL2742" s="5">
        <f t="shared" si="378"/>
        <v>1</v>
      </c>
    </row>
    <row r="2743" spans="1:38" x14ac:dyDescent="0.2">
      <c r="A2743" s="2">
        <v>2025</v>
      </c>
      <c r="B2743" s="2">
        <v>9</v>
      </c>
      <c r="D2743" s="2" t="s">
        <v>563</v>
      </c>
      <c r="E2743" s="2" t="s">
        <v>108</v>
      </c>
      <c r="F2743" s="2" t="s">
        <v>39</v>
      </c>
      <c r="G2743" s="2">
        <v>510917011</v>
      </c>
      <c r="H2743" s="2" t="s">
        <v>41</v>
      </c>
      <c r="I2743" s="2" t="s">
        <v>564</v>
      </c>
      <c r="J2743" s="2" t="s">
        <v>565</v>
      </c>
      <c r="L2743" s="2" t="s">
        <v>418</v>
      </c>
      <c r="M2743" s="2" t="s">
        <v>40</v>
      </c>
      <c r="O2743" s="2" t="s">
        <v>2267</v>
      </c>
      <c r="P2743" s="2" t="s">
        <v>187</v>
      </c>
      <c r="Q2743" s="2" t="s">
        <v>188</v>
      </c>
      <c r="R2743" s="2" t="s">
        <v>189</v>
      </c>
      <c r="S2743" s="2">
        <v>1</v>
      </c>
      <c r="T2743" s="2">
        <v>107</v>
      </c>
      <c r="U2743" s="2">
        <v>24.61</v>
      </c>
      <c r="V2743" s="2">
        <v>131.61000000000001</v>
      </c>
      <c r="W2743" s="2">
        <f>T2743*40%</f>
        <v>42.800000000000004</v>
      </c>
      <c r="X2743" s="5">
        <f t="shared" si="377"/>
        <v>0.59999999999999987</v>
      </c>
      <c r="Z2743" s="2" t="s">
        <v>117</v>
      </c>
      <c r="AA2743" s="2" t="s">
        <v>190</v>
      </c>
      <c r="AB2743" s="2" t="s">
        <v>189</v>
      </c>
      <c r="AC2743" s="2" t="s">
        <v>40</v>
      </c>
      <c r="AF2743" s="2">
        <f t="shared" si="374"/>
        <v>0</v>
      </c>
      <c r="AJ2743" s="2">
        <f t="shared" si="375"/>
        <v>0</v>
      </c>
      <c r="AK2743" s="2">
        <f t="shared" si="376"/>
        <v>64.199999999999989</v>
      </c>
      <c r="AL2743" s="5">
        <f t="shared" si="378"/>
        <v>0.59999999999999987</v>
      </c>
    </row>
    <row r="2744" spans="1:38" x14ac:dyDescent="0.2">
      <c r="A2744" s="2">
        <v>2025</v>
      </c>
      <c r="B2744" s="2">
        <v>9</v>
      </c>
      <c r="D2744" s="2" t="s">
        <v>563</v>
      </c>
      <c r="E2744" s="2" t="s">
        <v>108</v>
      </c>
      <c r="F2744" s="2" t="s">
        <v>39</v>
      </c>
      <c r="G2744" s="2">
        <v>510917011</v>
      </c>
      <c r="H2744" s="2" t="s">
        <v>41</v>
      </c>
      <c r="I2744" s="2" t="s">
        <v>564</v>
      </c>
      <c r="J2744" s="2" t="s">
        <v>565</v>
      </c>
      <c r="L2744" s="2" t="s">
        <v>418</v>
      </c>
      <c r="M2744" s="2" t="s">
        <v>40</v>
      </c>
      <c r="O2744" s="2" t="s">
        <v>2267</v>
      </c>
      <c r="P2744" s="2" t="s">
        <v>187</v>
      </c>
      <c r="Q2744" s="2" t="s">
        <v>191</v>
      </c>
      <c r="R2744" s="2" t="s">
        <v>190</v>
      </c>
      <c r="S2744" s="2">
        <v>1</v>
      </c>
      <c r="T2744" s="2">
        <v>50</v>
      </c>
      <c r="U2744" s="2">
        <v>11.5</v>
      </c>
      <c r="V2744" s="2">
        <v>61.5</v>
      </c>
      <c r="W2744" s="2">
        <f>T2744*50%</f>
        <v>25</v>
      </c>
      <c r="X2744" s="5">
        <f t="shared" si="377"/>
        <v>0.5</v>
      </c>
      <c r="Z2744" s="2" t="s">
        <v>117</v>
      </c>
      <c r="AA2744" s="2" t="s">
        <v>190</v>
      </c>
      <c r="AB2744" s="2" t="s">
        <v>190</v>
      </c>
      <c r="AC2744" s="2" t="s">
        <v>40</v>
      </c>
      <c r="AF2744" s="2">
        <f t="shared" si="374"/>
        <v>0</v>
      </c>
      <c r="AJ2744" s="2">
        <f t="shared" si="375"/>
        <v>0</v>
      </c>
      <c r="AK2744" s="2">
        <f t="shared" si="376"/>
        <v>25</v>
      </c>
      <c r="AL2744" s="5">
        <f t="shared" si="378"/>
        <v>0.5</v>
      </c>
    </row>
    <row r="2745" spans="1:38" x14ac:dyDescent="0.2">
      <c r="A2745" s="2">
        <v>2025</v>
      </c>
      <c r="B2745" s="2">
        <v>9</v>
      </c>
      <c r="D2745" s="2" t="s">
        <v>1088</v>
      </c>
      <c r="E2745" s="2" t="s">
        <v>108</v>
      </c>
      <c r="F2745" s="2" t="s">
        <v>39</v>
      </c>
      <c r="G2745" s="2">
        <v>505194147</v>
      </c>
      <c r="H2745" s="2" t="s">
        <v>109</v>
      </c>
      <c r="I2745" s="2" t="s">
        <v>1089</v>
      </c>
      <c r="J2745" s="2" t="s">
        <v>1090</v>
      </c>
      <c r="K2745" s="2">
        <v>917523997</v>
      </c>
      <c r="L2745" s="2" t="s">
        <v>112</v>
      </c>
      <c r="M2745" s="2" t="s">
        <v>40</v>
      </c>
      <c r="O2745" s="2" t="s">
        <v>2268</v>
      </c>
      <c r="P2745" s="2" t="s">
        <v>114</v>
      </c>
      <c r="Q2745" s="2" t="s">
        <v>2269</v>
      </c>
      <c r="R2745" s="2" t="s">
        <v>2270</v>
      </c>
      <c r="S2745" s="2">
        <v>1</v>
      </c>
      <c r="T2745" s="2">
        <v>123.57</v>
      </c>
      <c r="U2745" s="2">
        <v>28.421099999999999</v>
      </c>
      <c r="V2745" s="2">
        <v>151.99109999999999</v>
      </c>
      <c r="X2745" s="5">
        <f t="shared" si="377"/>
        <v>1</v>
      </c>
      <c r="Z2745" s="2" t="s">
        <v>117</v>
      </c>
      <c r="AA2745" s="2" t="s">
        <v>118</v>
      </c>
      <c r="AB2745" s="2" t="s">
        <v>119</v>
      </c>
      <c r="AC2745" s="2" t="s">
        <v>114</v>
      </c>
      <c r="AF2745" s="2">
        <f t="shared" si="374"/>
        <v>0</v>
      </c>
      <c r="AJ2745" s="2">
        <f t="shared" si="375"/>
        <v>0</v>
      </c>
      <c r="AK2745" s="2">
        <f t="shared" si="376"/>
        <v>123.57</v>
      </c>
      <c r="AL2745" s="5">
        <f t="shared" si="378"/>
        <v>1</v>
      </c>
    </row>
    <row r="2746" spans="1:38" x14ac:dyDescent="0.2">
      <c r="A2746" s="2">
        <v>2025</v>
      </c>
      <c r="B2746" s="2">
        <v>9</v>
      </c>
      <c r="D2746" s="2" t="s">
        <v>1088</v>
      </c>
      <c r="E2746" s="2" t="s">
        <v>108</v>
      </c>
      <c r="F2746" s="2" t="s">
        <v>39</v>
      </c>
      <c r="G2746" s="2">
        <v>505194147</v>
      </c>
      <c r="H2746" s="2" t="s">
        <v>109</v>
      </c>
      <c r="I2746" s="2" t="s">
        <v>1089</v>
      </c>
      <c r="J2746" s="2" t="s">
        <v>1090</v>
      </c>
      <c r="K2746" s="2">
        <v>917523997</v>
      </c>
      <c r="L2746" s="2" t="s">
        <v>112</v>
      </c>
      <c r="M2746" s="2" t="s">
        <v>40</v>
      </c>
      <c r="O2746" s="2" t="s">
        <v>2271</v>
      </c>
      <c r="P2746" s="2" t="s">
        <v>282</v>
      </c>
      <c r="Q2746" s="2" t="s">
        <v>798</v>
      </c>
      <c r="R2746" s="2" t="s">
        <v>799</v>
      </c>
      <c r="S2746" s="2">
        <v>1</v>
      </c>
      <c r="T2746" s="2">
        <v>0</v>
      </c>
      <c r="U2746" s="2">
        <v>0</v>
      </c>
      <c r="V2746" s="2">
        <v>0</v>
      </c>
      <c r="X2746" s="5">
        <v>0</v>
      </c>
      <c r="Z2746" s="2" t="s">
        <v>3227</v>
      </c>
      <c r="AF2746" s="2">
        <f t="shared" si="374"/>
        <v>0</v>
      </c>
      <c r="AJ2746" s="2">
        <f t="shared" si="375"/>
        <v>0</v>
      </c>
      <c r="AK2746" s="2">
        <f t="shared" si="376"/>
        <v>0</v>
      </c>
      <c r="AL2746" s="5" t="e">
        <f t="shared" si="378"/>
        <v>#DIV/0!</v>
      </c>
    </row>
    <row r="2747" spans="1:38" x14ac:dyDescent="0.2">
      <c r="A2747" s="2">
        <v>2025</v>
      </c>
      <c r="B2747" s="2">
        <v>9</v>
      </c>
      <c r="D2747" s="2" t="s">
        <v>1088</v>
      </c>
      <c r="E2747" s="2" t="s">
        <v>108</v>
      </c>
      <c r="F2747" s="2" t="s">
        <v>39</v>
      </c>
      <c r="G2747" s="2">
        <v>505194147</v>
      </c>
      <c r="H2747" s="2" t="s">
        <v>109</v>
      </c>
      <c r="I2747" s="2" t="s">
        <v>1089</v>
      </c>
      <c r="J2747" s="2" t="s">
        <v>1090</v>
      </c>
      <c r="K2747" s="2">
        <v>917523997</v>
      </c>
      <c r="L2747" s="2" t="s">
        <v>112</v>
      </c>
      <c r="M2747" s="2" t="s">
        <v>40</v>
      </c>
      <c r="O2747" s="2" t="s">
        <v>2271</v>
      </c>
      <c r="P2747" s="2" t="s">
        <v>282</v>
      </c>
      <c r="Q2747" s="2" t="s">
        <v>528</v>
      </c>
      <c r="R2747" s="2" t="s">
        <v>529</v>
      </c>
      <c r="S2747" s="2">
        <v>2</v>
      </c>
      <c r="T2747" s="2">
        <v>798</v>
      </c>
      <c r="U2747" s="2">
        <v>183.54</v>
      </c>
      <c r="V2747" s="2">
        <v>981.54</v>
      </c>
      <c r="W2747" s="2">
        <f>299.25*2</f>
        <v>598.5</v>
      </c>
      <c r="X2747" s="5">
        <f t="shared" ref="X2747:X2753" si="379">(T2747-W2747)/T2747</f>
        <v>0.25</v>
      </c>
      <c r="Z2747" s="2" t="s">
        <v>3227</v>
      </c>
      <c r="AA2747" s="2" t="s">
        <v>71</v>
      </c>
      <c r="AB2747" s="2" t="s">
        <v>119</v>
      </c>
      <c r="AC2747" s="2" t="s">
        <v>119</v>
      </c>
      <c r="AF2747" s="2">
        <f t="shared" si="374"/>
        <v>0</v>
      </c>
      <c r="AJ2747" s="2">
        <f t="shared" si="375"/>
        <v>0</v>
      </c>
      <c r="AK2747" s="2">
        <f t="shared" si="376"/>
        <v>199.5</v>
      </c>
      <c r="AL2747" s="5">
        <f t="shared" si="378"/>
        <v>0.25</v>
      </c>
    </row>
    <row r="2748" spans="1:38" x14ac:dyDescent="0.2">
      <c r="A2748" s="2">
        <v>2025</v>
      </c>
      <c r="B2748" s="2">
        <v>9</v>
      </c>
      <c r="D2748" s="2" t="s">
        <v>2272</v>
      </c>
      <c r="M2748" s="2" t="s">
        <v>40</v>
      </c>
      <c r="P2748" s="2" t="s">
        <v>187</v>
      </c>
      <c r="Q2748" s="2" t="s">
        <v>188</v>
      </c>
      <c r="R2748" s="2" t="s">
        <v>189</v>
      </c>
      <c r="S2748" s="2">
        <v>1</v>
      </c>
      <c r="T2748" s="2">
        <v>102</v>
      </c>
      <c r="U2748" s="2">
        <v>23.46</v>
      </c>
      <c r="V2748" s="2">
        <v>125.46</v>
      </c>
      <c r="W2748" s="2">
        <f>T2748*40%</f>
        <v>40.800000000000004</v>
      </c>
      <c r="X2748" s="5">
        <f t="shared" si="379"/>
        <v>0.6</v>
      </c>
      <c r="Z2748" s="2" t="s">
        <v>117</v>
      </c>
      <c r="AA2748" s="2" t="s">
        <v>190</v>
      </c>
      <c r="AB2748" s="2" t="s">
        <v>189</v>
      </c>
      <c r="AC2748" s="2" t="s">
        <v>40</v>
      </c>
      <c r="AF2748" s="2">
        <f t="shared" si="374"/>
        <v>0</v>
      </c>
      <c r="AJ2748" s="2">
        <f t="shared" si="375"/>
        <v>0</v>
      </c>
      <c r="AK2748" s="2">
        <f t="shared" si="376"/>
        <v>61.199999999999996</v>
      </c>
      <c r="AL2748" s="5">
        <f t="shared" si="378"/>
        <v>0.6</v>
      </c>
    </row>
    <row r="2749" spans="1:38" x14ac:dyDescent="0.2">
      <c r="A2749" s="2">
        <v>2025</v>
      </c>
      <c r="B2749" s="2">
        <v>9</v>
      </c>
      <c r="D2749" s="2" t="s">
        <v>2272</v>
      </c>
      <c r="M2749" s="2" t="s">
        <v>40</v>
      </c>
      <c r="P2749" s="2" t="s">
        <v>187</v>
      </c>
      <c r="Q2749" s="2" t="s">
        <v>191</v>
      </c>
      <c r="R2749" s="2" t="s">
        <v>190</v>
      </c>
      <c r="S2749" s="2">
        <v>1</v>
      </c>
      <c r="T2749" s="2">
        <v>45</v>
      </c>
      <c r="U2749" s="2">
        <v>10.35</v>
      </c>
      <c r="V2749" s="2">
        <v>55.35</v>
      </c>
      <c r="W2749" s="2">
        <f>T2749*50%</f>
        <v>22.5</v>
      </c>
      <c r="X2749" s="5">
        <f t="shared" si="379"/>
        <v>0.5</v>
      </c>
      <c r="Z2749" s="2" t="s">
        <v>117</v>
      </c>
      <c r="AA2749" s="2" t="s">
        <v>190</v>
      </c>
      <c r="AB2749" s="2" t="s">
        <v>190</v>
      </c>
      <c r="AC2749" s="2" t="s">
        <v>40</v>
      </c>
      <c r="AF2749" s="2">
        <f t="shared" si="374"/>
        <v>0</v>
      </c>
      <c r="AJ2749" s="2">
        <f t="shared" si="375"/>
        <v>0</v>
      </c>
      <c r="AK2749" s="2">
        <f t="shared" si="376"/>
        <v>22.5</v>
      </c>
      <c r="AL2749" s="5">
        <f t="shared" si="378"/>
        <v>0.5</v>
      </c>
    </row>
    <row r="2750" spans="1:38" x14ac:dyDescent="0.2">
      <c r="A2750" s="2">
        <v>2025</v>
      </c>
      <c r="B2750" s="2">
        <v>9</v>
      </c>
      <c r="D2750" s="2" t="s">
        <v>2272</v>
      </c>
      <c r="P2750" s="2" t="s">
        <v>40</v>
      </c>
      <c r="Q2750" s="2" t="s">
        <v>363</v>
      </c>
      <c r="R2750" s="2" t="s">
        <v>364</v>
      </c>
      <c r="S2750" s="2">
        <v>1</v>
      </c>
      <c r="T2750" s="2">
        <v>99.75</v>
      </c>
      <c r="U2750" s="2">
        <v>22.942499999999999</v>
      </c>
      <c r="V2750" s="2">
        <v>122.6925</v>
      </c>
      <c r="X2750" s="5">
        <f t="shared" si="379"/>
        <v>1</v>
      </c>
      <c r="Z2750" s="2" t="s">
        <v>119</v>
      </c>
      <c r="AA2750" s="2" t="s">
        <v>3380</v>
      </c>
      <c r="AF2750" s="2">
        <f t="shared" si="374"/>
        <v>0</v>
      </c>
      <c r="AJ2750" s="2">
        <f t="shared" si="375"/>
        <v>0</v>
      </c>
      <c r="AK2750" s="2">
        <f t="shared" si="376"/>
        <v>99.75</v>
      </c>
      <c r="AL2750" s="5">
        <f t="shared" si="378"/>
        <v>1</v>
      </c>
    </row>
    <row r="2751" spans="1:38" x14ac:dyDescent="0.2">
      <c r="A2751" s="2">
        <v>2025</v>
      </c>
      <c r="B2751" s="2">
        <v>9</v>
      </c>
      <c r="D2751" s="2" t="s">
        <v>1290</v>
      </c>
      <c r="P2751" s="2" t="s">
        <v>114</v>
      </c>
      <c r="Q2751" s="2" t="s">
        <v>2273</v>
      </c>
      <c r="R2751" s="2" t="s">
        <v>2274</v>
      </c>
      <c r="S2751" s="2">
        <v>3</v>
      </c>
      <c r="T2751" s="2">
        <v>23.62</v>
      </c>
      <c r="U2751" s="2">
        <v>5.4326000000000008</v>
      </c>
      <c r="V2751" s="2">
        <v>29.052600000000002</v>
      </c>
      <c r="X2751" s="5">
        <f t="shared" si="379"/>
        <v>1</v>
      </c>
      <c r="AF2751" s="2">
        <f t="shared" si="374"/>
        <v>0</v>
      </c>
      <c r="AJ2751" s="2">
        <f t="shared" si="375"/>
        <v>0</v>
      </c>
      <c r="AK2751" s="2">
        <f t="shared" si="376"/>
        <v>23.62</v>
      </c>
      <c r="AL2751" s="5">
        <f t="shared" si="378"/>
        <v>1</v>
      </c>
    </row>
    <row r="2752" spans="1:38" x14ac:dyDescent="0.2">
      <c r="A2752" s="2">
        <v>2025</v>
      </c>
      <c r="B2752" s="2">
        <v>9</v>
      </c>
      <c r="D2752" s="2" t="s">
        <v>1290</v>
      </c>
      <c r="P2752" s="2" t="s">
        <v>114</v>
      </c>
      <c r="Q2752" s="2" t="s">
        <v>1689</v>
      </c>
      <c r="R2752" s="2" t="s">
        <v>1690</v>
      </c>
      <c r="S2752" s="2">
        <v>1</v>
      </c>
      <c r="T2752" s="2">
        <v>63.16</v>
      </c>
      <c r="U2752" s="2">
        <v>14.5268</v>
      </c>
      <c r="V2752" s="2">
        <v>77.686799999999991</v>
      </c>
      <c r="X2752" s="5">
        <f t="shared" si="379"/>
        <v>1</v>
      </c>
      <c r="AF2752" s="2">
        <f t="shared" si="374"/>
        <v>0</v>
      </c>
      <c r="AJ2752" s="2">
        <f t="shared" si="375"/>
        <v>0</v>
      </c>
      <c r="AK2752" s="2">
        <f t="shared" si="376"/>
        <v>63.16</v>
      </c>
      <c r="AL2752" s="5">
        <f t="shared" si="378"/>
        <v>1</v>
      </c>
    </row>
    <row r="2753" spans="1:38" x14ac:dyDescent="0.2">
      <c r="A2753" s="2">
        <v>2025</v>
      </c>
      <c r="B2753" s="2">
        <v>9</v>
      </c>
      <c r="D2753" s="2" t="s">
        <v>1290</v>
      </c>
      <c r="P2753" s="2" t="s">
        <v>72</v>
      </c>
      <c r="Q2753" s="2" t="s">
        <v>73</v>
      </c>
      <c r="R2753" s="2" t="s">
        <v>74</v>
      </c>
      <c r="S2753" s="2">
        <v>1</v>
      </c>
      <c r="T2753" s="2">
        <v>203.32</v>
      </c>
      <c r="U2753" s="2">
        <v>46.763599999999997</v>
      </c>
      <c r="V2753" s="2">
        <v>250.08359999999999</v>
      </c>
      <c r="W2753" s="2">
        <v>117.453</v>
      </c>
      <c r="X2753" s="5">
        <f t="shared" si="379"/>
        <v>0.42232441471571902</v>
      </c>
      <c r="Z2753" s="2" t="s">
        <v>3227</v>
      </c>
      <c r="AA2753" s="2" t="s">
        <v>75</v>
      </c>
      <c r="AB2753" s="2" t="s">
        <v>76</v>
      </c>
      <c r="AC2753" s="2" t="s">
        <v>77</v>
      </c>
      <c r="AF2753" s="2">
        <f t="shared" si="374"/>
        <v>0</v>
      </c>
      <c r="AG2753" s="2">
        <v>117.453</v>
      </c>
      <c r="AH2753" s="2">
        <v>220</v>
      </c>
      <c r="AJ2753" s="2">
        <f t="shared" si="375"/>
        <v>0</v>
      </c>
      <c r="AK2753" s="2">
        <f t="shared" si="376"/>
        <v>85.86699999999999</v>
      </c>
      <c r="AL2753" s="5">
        <f t="shared" si="378"/>
        <v>0.42232441471571902</v>
      </c>
    </row>
    <row r="2754" spans="1:38" x14ac:dyDescent="0.2">
      <c r="A2754" s="2">
        <v>2025</v>
      </c>
      <c r="B2754" s="2">
        <v>9</v>
      </c>
      <c r="D2754" s="2" t="s">
        <v>1290</v>
      </c>
      <c r="M2754" s="2" t="s">
        <v>40</v>
      </c>
      <c r="P2754" s="2" t="s">
        <v>187</v>
      </c>
      <c r="Q2754" s="2" t="s">
        <v>188</v>
      </c>
      <c r="R2754" s="2" t="s">
        <v>189</v>
      </c>
      <c r="S2754" s="2">
        <v>1</v>
      </c>
      <c r="T2754" s="2">
        <v>0</v>
      </c>
      <c r="U2754" s="2">
        <v>0</v>
      </c>
      <c r="V2754" s="2">
        <v>0</v>
      </c>
      <c r="W2754" s="2">
        <f>T2754*40%</f>
        <v>0</v>
      </c>
      <c r="X2754" s="5">
        <v>0</v>
      </c>
      <c r="Z2754" s="2" t="s">
        <v>117</v>
      </c>
      <c r="AA2754" s="2" t="s">
        <v>190</v>
      </c>
      <c r="AB2754" s="2" t="s">
        <v>189</v>
      </c>
      <c r="AC2754" s="2" t="s">
        <v>40</v>
      </c>
      <c r="AF2754" s="2">
        <f t="shared" ref="AF2754:AF2817" si="380">AJ2754</f>
        <v>0</v>
      </c>
      <c r="AJ2754" s="2">
        <f t="shared" ref="AJ2754:AJ2817" si="381">AI2754*T2754</f>
        <v>0</v>
      </c>
      <c r="AK2754" s="2">
        <f t="shared" si="376"/>
        <v>0</v>
      </c>
      <c r="AL2754" s="5" t="e">
        <f t="shared" si="378"/>
        <v>#DIV/0!</v>
      </c>
    </row>
    <row r="2755" spans="1:38" x14ac:dyDescent="0.2">
      <c r="A2755" s="2">
        <v>2025</v>
      </c>
      <c r="B2755" s="2">
        <v>9</v>
      </c>
      <c r="D2755" s="2" t="s">
        <v>1290</v>
      </c>
      <c r="M2755" s="2" t="s">
        <v>40</v>
      </c>
      <c r="P2755" s="2" t="s">
        <v>187</v>
      </c>
      <c r="Q2755" s="2" t="s">
        <v>191</v>
      </c>
      <c r="R2755" s="2" t="s">
        <v>190</v>
      </c>
      <c r="S2755" s="2">
        <v>2</v>
      </c>
      <c r="T2755" s="2">
        <v>45</v>
      </c>
      <c r="U2755" s="2">
        <v>10.35</v>
      </c>
      <c r="V2755" s="2">
        <v>55.35</v>
      </c>
      <c r="W2755" s="2">
        <f>T2755*50%</f>
        <v>22.5</v>
      </c>
      <c r="X2755" s="5">
        <f t="shared" ref="X2755:X2773" si="382">(T2755-W2755)/T2755</f>
        <v>0.5</v>
      </c>
      <c r="Z2755" s="2" t="s">
        <v>117</v>
      </c>
      <c r="AA2755" s="2" t="s">
        <v>190</v>
      </c>
      <c r="AB2755" s="2" t="s">
        <v>190</v>
      </c>
      <c r="AC2755" s="2" t="s">
        <v>40</v>
      </c>
      <c r="AF2755" s="2">
        <f t="shared" si="380"/>
        <v>0</v>
      </c>
      <c r="AJ2755" s="2">
        <f t="shared" si="381"/>
        <v>0</v>
      </c>
      <c r="AK2755" s="2">
        <f t="shared" si="376"/>
        <v>22.5</v>
      </c>
      <c r="AL2755" s="5">
        <f t="shared" si="378"/>
        <v>0.5</v>
      </c>
    </row>
    <row r="2756" spans="1:38" x14ac:dyDescent="0.2">
      <c r="A2756" s="2">
        <v>2025</v>
      </c>
      <c r="B2756" s="2">
        <v>9</v>
      </c>
      <c r="D2756" s="2" t="s">
        <v>1290</v>
      </c>
      <c r="P2756" s="2" t="s">
        <v>93</v>
      </c>
      <c r="Q2756" s="2" t="s">
        <v>94</v>
      </c>
      <c r="R2756" s="2" t="s">
        <v>95</v>
      </c>
      <c r="S2756" s="2">
        <v>1</v>
      </c>
      <c r="T2756" s="2">
        <v>1.1399999999999999</v>
      </c>
      <c r="U2756" s="2">
        <v>0.26219999999999999</v>
      </c>
      <c r="V2756" s="2">
        <v>1.4021999999999999</v>
      </c>
      <c r="W2756" s="2">
        <v>1.1399999999999999</v>
      </c>
      <c r="X2756" s="5">
        <f t="shared" si="382"/>
        <v>0</v>
      </c>
      <c r="Z2756" s="2" t="s">
        <v>3227</v>
      </c>
      <c r="AA2756" s="2" t="s">
        <v>96</v>
      </c>
      <c r="AB2756" s="2" t="s">
        <v>76</v>
      </c>
      <c r="AC2756" s="2" t="s">
        <v>93</v>
      </c>
      <c r="AF2756" s="2">
        <f t="shared" si="380"/>
        <v>0</v>
      </c>
      <c r="AJ2756" s="2">
        <f t="shared" si="381"/>
        <v>0</v>
      </c>
      <c r="AK2756" s="2">
        <f t="shared" si="376"/>
        <v>0</v>
      </c>
      <c r="AL2756" s="5">
        <f t="shared" si="378"/>
        <v>0</v>
      </c>
    </row>
    <row r="2757" spans="1:38" x14ac:dyDescent="0.2">
      <c r="A2757" s="2">
        <v>2025</v>
      </c>
      <c r="B2757" s="2">
        <v>9</v>
      </c>
      <c r="D2757" s="2" t="s">
        <v>568</v>
      </c>
      <c r="E2757" s="2" t="s">
        <v>38</v>
      </c>
      <c r="F2757" s="2" t="s">
        <v>39</v>
      </c>
      <c r="G2757" s="2">
        <v>506267547</v>
      </c>
      <c r="H2757" s="2" t="s">
        <v>290</v>
      </c>
      <c r="I2757" s="2" t="s">
        <v>569</v>
      </c>
      <c r="J2757" s="2" t="s">
        <v>570</v>
      </c>
      <c r="K2757" s="2">
        <v>917821904</v>
      </c>
      <c r="L2757" s="2" t="s">
        <v>571</v>
      </c>
      <c r="M2757" s="2" t="s">
        <v>80</v>
      </c>
      <c r="O2757" s="2" t="s">
        <v>2275</v>
      </c>
      <c r="P2757" s="2" t="s">
        <v>43</v>
      </c>
      <c r="Q2757" s="2" t="s">
        <v>61</v>
      </c>
      <c r="R2757" s="2" t="s">
        <v>62</v>
      </c>
      <c r="S2757" s="2">
        <v>100</v>
      </c>
      <c r="T2757" s="2">
        <v>13</v>
      </c>
      <c r="U2757" s="2">
        <v>2.99</v>
      </c>
      <c r="V2757" s="2">
        <v>15.99</v>
      </c>
      <c r="W2757" s="2">
        <f>0.082*S2757</f>
        <v>8.2000000000000011</v>
      </c>
      <c r="X2757" s="5">
        <f t="shared" si="382"/>
        <v>0.36923076923076914</v>
      </c>
      <c r="Z2757" s="2" t="s">
        <v>3227</v>
      </c>
      <c r="AA2757" s="2" t="s">
        <v>46</v>
      </c>
      <c r="AB2757" s="2" t="s">
        <v>60</v>
      </c>
      <c r="AC2757" s="2" t="s">
        <v>57</v>
      </c>
      <c r="AF2757" s="2">
        <f t="shared" si="380"/>
        <v>0</v>
      </c>
      <c r="AG2757" s="2">
        <v>8.1999999999999993</v>
      </c>
      <c r="AH2757" s="2">
        <v>13</v>
      </c>
      <c r="AJ2757" s="2">
        <f t="shared" si="381"/>
        <v>0</v>
      </c>
      <c r="AK2757" s="2">
        <f t="shared" si="376"/>
        <v>4.7999999999999989</v>
      </c>
      <c r="AL2757" s="5">
        <f t="shared" si="378"/>
        <v>0.36923076923076914</v>
      </c>
    </row>
    <row r="2758" spans="1:38" x14ac:dyDescent="0.2">
      <c r="A2758" s="2">
        <v>2025</v>
      </c>
      <c r="B2758" s="2">
        <v>9</v>
      </c>
      <c r="D2758" s="2" t="s">
        <v>568</v>
      </c>
      <c r="E2758" s="2" t="s">
        <v>38</v>
      </c>
      <c r="F2758" s="2" t="s">
        <v>39</v>
      </c>
      <c r="G2758" s="2">
        <v>506267547</v>
      </c>
      <c r="H2758" s="2" t="s">
        <v>290</v>
      </c>
      <c r="I2758" s="2" t="s">
        <v>569</v>
      </c>
      <c r="J2758" s="2" t="s">
        <v>570</v>
      </c>
      <c r="K2758" s="2">
        <v>917821904</v>
      </c>
      <c r="L2758" s="2" t="s">
        <v>571</v>
      </c>
      <c r="M2758" s="2" t="s">
        <v>80</v>
      </c>
      <c r="O2758" s="2" t="s">
        <v>2275</v>
      </c>
      <c r="P2758" s="2" t="s">
        <v>169</v>
      </c>
      <c r="Q2758" s="2" t="s">
        <v>170</v>
      </c>
      <c r="R2758" s="2" t="s">
        <v>170</v>
      </c>
      <c r="S2758" s="2">
        <v>1</v>
      </c>
      <c r="T2758" s="2">
        <v>8</v>
      </c>
      <c r="U2758" s="2">
        <v>1.84</v>
      </c>
      <c r="V2758" s="2">
        <v>9.84</v>
      </c>
      <c r="W2758" s="2">
        <v>6</v>
      </c>
      <c r="X2758" s="5">
        <f t="shared" si="382"/>
        <v>0.25</v>
      </c>
      <c r="Z2758" s="2" t="s">
        <v>169</v>
      </c>
      <c r="AA2758" s="2" t="s">
        <v>169</v>
      </c>
      <c r="AF2758" s="2">
        <f t="shared" si="380"/>
        <v>0</v>
      </c>
      <c r="AJ2758" s="2">
        <f t="shared" si="381"/>
        <v>0</v>
      </c>
      <c r="AK2758" s="2">
        <f t="shared" si="376"/>
        <v>2</v>
      </c>
      <c r="AL2758" s="5">
        <f t="shared" si="378"/>
        <v>0.25</v>
      </c>
    </row>
    <row r="2759" spans="1:38" x14ac:dyDescent="0.2">
      <c r="A2759" s="2">
        <v>2025</v>
      </c>
      <c r="B2759" s="2">
        <v>9</v>
      </c>
      <c r="D2759" s="2" t="s">
        <v>1943</v>
      </c>
      <c r="P2759" s="2" t="s">
        <v>114</v>
      </c>
      <c r="Q2759" s="2" t="s">
        <v>412</v>
      </c>
      <c r="R2759" s="2" t="s">
        <v>413</v>
      </c>
      <c r="S2759" s="2">
        <v>1</v>
      </c>
      <c r="T2759" s="2">
        <v>15990</v>
      </c>
      <c r="U2759" s="2">
        <v>3677.7</v>
      </c>
      <c r="V2759" s="2">
        <v>19667.7</v>
      </c>
      <c r="W2759" s="2">
        <v>10669.4</v>
      </c>
      <c r="X2759" s="5">
        <f t="shared" si="382"/>
        <v>0.33274546591619764</v>
      </c>
      <c r="Z2759" s="2" t="s">
        <v>104</v>
      </c>
      <c r="AA2759" s="2" t="s">
        <v>414</v>
      </c>
      <c r="AB2759" s="2" t="s">
        <v>151</v>
      </c>
      <c r="AC2759" s="2" t="s">
        <v>114</v>
      </c>
      <c r="AF2759" s="2">
        <f t="shared" si="380"/>
        <v>0</v>
      </c>
      <c r="AJ2759" s="2">
        <f t="shared" si="381"/>
        <v>0</v>
      </c>
      <c r="AK2759" s="2">
        <f t="shared" si="376"/>
        <v>5320.6</v>
      </c>
      <c r="AL2759" s="5">
        <f t="shared" si="378"/>
        <v>0.33274546591619764</v>
      </c>
    </row>
    <row r="2760" spans="1:38" x14ac:dyDescent="0.2">
      <c r="A2760" s="2">
        <v>2025</v>
      </c>
      <c r="B2760" s="2">
        <v>9</v>
      </c>
      <c r="D2760" s="2" t="s">
        <v>574</v>
      </c>
      <c r="E2760" s="2" t="s">
        <v>38</v>
      </c>
      <c r="F2760" s="2" t="s">
        <v>39</v>
      </c>
      <c r="G2760" s="2">
        <v>504811029</v>
      </c>
      <c r="H2760" s="2" t="s">
        <v>41</v>
      </c>
      <c r="I2760" s="2" t="s">
        <v>177</v>
      </c>
      <c r="J2760" s="2" t="s">
        <v>575</v>
      </c>
      <c r="L2760" s="2" t="s">
        <v>177</v>
      </c>
      <c r="M2760" s="2" t="s">
        <v>41</v>
      </c>
      <c r="P2760" s="2" t="s">
        <v>43</v>
      </c>
      <c r="Q2760" s="2" t="s">
        <v>54</v>
      </c>
      <c r="R2760" s="2" t="s">
        <v>55</v>
      </c>
      <c r="S2760" s="2">
        <v>10</v>
      </c>
      <c r="T2760" s="2">
        <v>140</v>
      </c>
      <c r="U2760" s="2">
        <v>32.200000000000003</v>
      </c>
      <c r="V2760" s="2">
        <v>172.2</v>
      </c>
      <c r="W2760" s="2">
        <f>10.6*S2760</f>
        <v>106</v>
      </c>
      <c r="X2760" s="5">
        <f t="shared" si="382"/>
        <v>0.24285714285714285</v>
      </c>
      <c r="Z2760" s="2" t="s">
        <v>3227</v>
      </c>
      <c r="AA2760" s="2" t="s">
        <v>46</v>
      </c>
      <c r="AB2760" s="2" t="s">
        <v>56</v>
      </c>
      <c r="AC2760" s="2" t="s">
        <v>57</v>
      </c>
      <c r="AF2760" s="2">
        <f t="shared" si="380"/>
        <v>0</v>
      </c>
      <c r="AG2760" s="2">
        <v>10.6</v>
      </c>
      <c r="AH2760" s="2">
        <v>18</v>
      </c>
      <c r="AJ2760" s="2">
        <f t="shared" si="381"/>
        <v>0</v>
      </c>
      <c r="AK2760" s="2">
        <f t="shared" si="376"/>
        <v>34</v>
      </c>
      <c r="AL2760" s="5">
        <f t="shared" si="378"/>
        <v>0.24285714285714285</v>
      </c>
    </row>
    <row r="2761" spans="1:38" x14ac:dyDescent="0.2">
      <c r="A2761" s="2">
        <v>2025</v>
      </c>
      <c r="B2761" s="2">
        <v>9</v>
      </c>
      <c r="D2761" s="2" t="s">
        <v>2276</v>
      </c>
      <c r="P2761" s="2" t="s">
        <v>114</v>
      </c>
      <c r="Q2761" s="2" t="s">
        <v>412</v>
      </c>
      <c r="R2761" s="2" t="s">
        <v>413</v>
      </c>
      <c r="S2761" s="2">
        <v>1</v>
      </c>
      <c r="T2761" s="2">
        <v>15000</v>
      </c>
      <c r="U2761" s="2">
        <v>3450</v>
      </c>
      <c r="V2761" s="2">
        <v>18450</v>
      </c>
      <c r="W2761" s="2">
        <v>10669.4</v>
      </c>
      <c r="X2761" s="5">
        <f t="shared" si="382"/>
        <v>0.28870666666666667</v>
      </c>
      <c r="Z2761" s="2" t="s">
        <v>104</v>
      </c>
      <c r="AA2761" s="2" t="s">
        <v>414</v>
      </c>
      <c r="AB2761" s="2" t="s">
        <v>151</v>
      </c>
      <c r="AC2761" s="2" t="s">
        <v>114</v>
      </c>
      <c r="AF2761" s="2">
        <f t="shared" si="380"/>
        <v>0</v>
      </c>
      <c r="AJ2761" s="2">
        <f t="shared" si="381"/>
        <v>0</v>
      </c>
      <c r="AK2761" s="2">
        <f t="shared" si="376"/>
        <v>4330.6000000000004</v>
      </c>
      <c r="AL2761" s="5">
        <f t="shared" si="378"/>
        <v>0.28870666666666667</v>
      </c>
    </row>
    <row r="2762" spans="1:38" x14ac:dyDescent="0.2">
      <c r="A2762" s="2">
        <v>2025</v>
      </c>
      <c r="B2762" s="2">
        <v>9</v>
      </c>
      <c r="D2762" s="2" t="s">
        <v>581</v>
      </c>
      <c r="E2762" s="2" t="s">
        <v>38</v>
      </c>
      <c r="F2762" s="2" t="s">
        <v>39</v>
      </c>
      <c r="G2762" s="2">
        <v>518281272</v>
      </c>
      <c r="H2762" s="2" t="s">
        <v>41</v>
      </c>
      <c r="I2762" s="2" t="s">
        <v>1101</v>
      </c>
      <c r="J2762" s="2" t="s">
        <v>1102</v>
      </c>
      <c r="L2762" s="2" t="s">
        <v>177</v>
      </c>
      <c r="M2762" s="2" t="s">
        <v>41</v>
      </c>
      <c r="O2762" s="2" t="s">
        <v>2277</v>
      </c>
      <c r="P2762" s="2" t="s">
        <v>43</v>
      </c>
      <c r="Q2762" s="2" t="s">
        <v>351</v>
      </c>
      <c r="R2762" s="2" t="s">
        <v>352</v>
      </c>
      <c r="S2762" s="2">
        <v>1</v>
      </c>
      <c r="T2762" s="2">
        <v>18.600000000000001</v>
      </c>
      <c r="U2762" s="2">
        <v>4.2779999999999996</v>
      </c>
      <c r="V2762" s="2">
        <v>22.878</v>
      </c>
      <c r="W2762" s="2">
        <v>10.67</v>
      </c>
      <c r="X2762" s="5">
        <f t="shared" si="382"/>
        <v>0.42634408602150542</v>
      </c>
      <c r="Z2762" s="2" t="s">
        <v>3227</v>
      </c>
      <c r="AA2762" s="2" t="s">
        <v>46</v>
      </c>
      <c r="AB2762" s="2" t="s">
        <v>47</v>
      </c>
      <c r="AC2762" s="2" t="s">
        <v>57</v>
      </c>
      <c r="AF2762" s="2">
        <f t="shared" si="380"/>
        <v>0</v>
      </c>
      <c r="AG2762" s="2">
        <v>10.67</v>
      </c>
      <c r="AH2762" s="2">
        <v>21</v>
      </c>
      <c r="AJ2762" s="2">
        <f t="shared" si="381"/>
        <v>0</v>
      </c>
      <c r="AK2762" s="2">
        <f t="shared" si="376"/>
        <v>7.9300000000000015</v>
      </c>
      <c r="AL2762" s="5">
        <f t="shared" si="378"/>
        <v>0.42634408602150542</v>
      </c>
    </row>
    <row r="2763" spans="1:38" x14ac:dyDescent="0.2">
      <c r="A2763" s="2">
        <v>2025</v>
      </c>
      <c r="B2763" s="2">
        <v>9</v>
      </c>
      <c r="D2763" s="2" t="s">
        <v>581</v>
      </c>
      <c r="E2763" s="2" t="s">
        <v>38</v>
      </c>
      <c r="F2763" s="2" t="s">
        <v>39</v>
      </c>
      <c r="G2763" s="2">
        <v>518281272</v>
      </c>
      <c r="H2763" s="2" t="s">
        <v>41</v>
      </c>
      <c r="I2763" s="2" t="s">
        <v>1101</v>
      </c>
      <c r="J2763" s="2" t="s">
        <v>1102</v>
      </c>
      <c r="L2763" s="2" t="s">
        <v>177</v>
      </c>
      <c r="M2763" s="2" t="s">
        <v>41</v>
      </c>
      <c r="P2763" s="2" t="s">
        <v>43</v>
      </c>
      <c r="Q2763" s="2" t="s">
        <v>592</v>
      </c>
      <c r="R2763" s="2" t="s">
        <v>593</v>
      </c>
      <c r="S2763" s="2">
        <v>1</v>
      </c>
      <c r="T2763" s="2">
        <v>30</v>
      </c>
      <c r="U2763" s="2">
        <v>6.9</v>
      </c>
      <c r="V2763" s="2">
        <v>36.9</v>
      </c>
      <c r="W2763" s="2">
        <f>11.295*S2763</f>
        <v>11.295</v>
      </c>
      <c r="X2763" s="5">
        <f t="shared" si="382"/>
        <v>0.62349999999999994</v>
      </c>
      <c r="Z2763" s="2" t="s">
        <v>3227</v>
      </c>
      <c r="AA2763" s="2" t="s">
        <v>46</v>
      </c>
      <c r="AB2763" s="2" t="s">
        <v>47</v>
      </c>
      <c r="AC2763" s="2" t="s">
        <v>57</v>
      </c>
      <c r="AF2763" s="2">
        <f t="shared" si="380"/>
        <v>0</v>
      </c>
      <c r="AJ2763" s="2">
        <f t="shared" si="381"/>
        <v>0</v>
      </c>
      <c r="AK2763" s="2">
        <f t="shared" si="376"/>
        <v>18.704999999999998</v>
      </c>
      <c r="AL2763" s="5">
        <f t="shared" si="378"/>
        <v>0.62349999999999994</v>
      </c>
    </row>
    <row r="2764" spans="1:38" x14ac:dyDescent="0.2">
      <c r="A2764" s="2">
        <v>2025</v>
      </c>
      <c r="B2764" s="2">
        <v>9</v>
      </c>
      <c r="D2764" s="2" t="s">
        <v>581</v>
      </c>
      <c r="E2764" s="2" t="s">
        <v>38</v>
      </c>
      <c r="F2764" s="2" t="s">
        <v>39</v>
      </c>
      <c r="G2764" s="2">
        <v>518281272</v>
      </c>
      <c r="H2764" s="2" t="s">
        <v>41</v>
      </c>
      <c r="I2764" s="2" t="s">
        <v>1101</v>
      </c>
      <c r="J2764" s="2" t="s">
        <v>1102</v>
      </c>
      <c r="L2764" s="2" t="s">
        <v>177</v>
      </c>
      <c r="M2764" s="2" t="s">
        <v>41</v>
      </c>
      <c r="P2764" s="2" t="s">
        <v>43</v>
      </c>
      <c r="Q2764" s="2" t="s">
        <v>61</v>
      </c>
      <c r="R2764" s="2" t="s">
        <v>62</v>
      </c>
      <c r="S2764" s="2">
        <v>1000</v>
      </c>
      <c r="T2764" s="2">
        <v>105</v>
      </c>
      <c r="U2764" s="2">
        <v>24.15</v>
      </c>
      <c r="V2764" s="2">
        <v>129.15</v>
      </c>
      <c r="W2764" s="2">
        <f>0.082*S2764</f>
        <v>82</v>
      </c>
      <c r="X2764" s="5">
        <f t="shared" si="382"/>
        <v>0.21904761904761905</v>
      </c>
      <c r="Z2764" s="2" t="s">
        <v>3227</v>
      </c>
      <c r="AA2764" s="2" t="s">
        <v>46</v>
      </c>
      <c r="AB2764" s="2" t="s">
        <v>60</v>
      </c>
      <c r="AC2764" s="2" t="s">
        <v>57</v>
      </c>
      <c r="AF2764" s="2">
        <f t="shared" si="380"/>
        <v>0</v>
      </c>
      <c r="AG2764" s="2">
        <v>8.1999999999999993</v>
      </c>
      <c r="AH2764" s="2">
        <v>13</v>
      </c>
      <c r="AJ2764" s="2">
        <f t="shared" si="381"/>
        <v>0</v>
      </c>
      <c r="AK2764" s="2">
        <f t="shared" si="376"/>
        <v>23</v>
      </c>
      <c r="AL2764" s="5">
        <f t="shared" si="378"/>
        <v>0.21904761904761905</v>
      </c>
    </row>
    <row r="2765" spans="1:38" x14ac:dyDescent="0.2">
      <c r="A2765" s="2">
        <v>2025</v>
      </c>
      <c r="B2765" s="2">
        <v>9</v>
      </c>
      <c r="D2765" s="2" t="s">
        <v>582</v>
      </c>
      <c r="E2765" s="2" t="s">
        <v>108</v>
      </c>
      <c r="G2765" s="2">
        <v>503850276</v>
      </c>
      <c r="H2765" s="2" t="s">
        <v>40</v>
      </c>
      <c r="I2765" s="2" t="s">
        <v>583</v>
      </c>
      <c r="J2765" s="2" t="s">
        <v>584</v>
      </c>
      <c r="L2765" s="2" t="s">
        <v>201</v>
      </c>
      <c r="M2765" s="2" t="s">
        <v>40</v>
      </c>
      <c r="P2765" s="2" t="s">
        <v>114</v>
      </c>
      <c r="Q2765" s="2" t="s">
        <v>1920</v>
      </c>
      <c r="R2765" s="2" t="s">
        <v>1921</v>
      </c>
      <c r="S2765" s="2">
        <v>1</v>
      </c>
      <c r="T2765" s="2">
        <v>24500</v>
      </c>
      <c r="U2765" s="2">
        <v>5635</v>
      </c>
      <c r="V2765" s="2">
        <v>30135</v>
      </c>
      <c r="W2765" s="2">
        <f>19591.14+492.45</f>
        <v>20083.59</v>
      </c>
      <c r="X2765" s="5">
        <f t="shared" si="382"/>
        <v>0.18026163265306122</v>
      </c>
      <c r="Z2765" s="2" t="s">
        <v>104</v>
      </c>
      <c r="AA2765" s="2" t="s">
        <v>150</v>
      </c>
      <c r="AB2765" s="2" t="s">
        <v>151</v>
      </c>
      <c r="AC2765" s="2" t="s">
        <v>114</v>
      </c>
      <c r="AF2765" s="2">
        <f t="shared" si="380"/>
        <v>0</v>
      </c>
      <c r="AJ2765" s="2">
        <f t="shared" si="381"/>
        <v>0</v>
      </c>
      <c r="AK2765" s="2">
        <f t="shared" si="376"/>
        <v>4416.41</v>
      </c>
      <c r="AL2765" s="5">
        <f t="shared" si="378"/>
        <v>0.18026163265306122</v>
      </c>
    </row>
    <row r="2766" spans="1:38" x14ac:dyDescent="0.2">
      <c r="A2766" s="2">
        <v>2025</v>
      </c>
      <c r="B2766" s="2">
        <v>9</v>
      </c>
      <c r="D2766" s="2" t="s">
        <v>582</v>
      </c>
      <c r="E2766" s="2" t="s">
        <v>108</v>
      </c>
      <c r="G2766" s="2">
        <v>503850276</v>
      </c>
      <c r="H2766" s="2" t="s">
        <v>40</v>
      </c>
      <c r="I2766" s="2" t="s">
        <v>583</v>
      </c>
      <c r="J2766" s="2" t="s">
        <v>584</v>
      </c>
      <c r="L2766" s="2" t="s">
        <v>201</v>
      </c>
      <c r="M2766" s="2" t="s">
        <v>80</v>
      </c>
      <c r="P2766" s="2" t="s">
        <v>72</v>
      </c>
      <c r="Q2766" s="2" t="s">
        <v>1025</v>
      </c>
      <c r="R2766" s="2" t="s">
        <v>197</v>
      </c>
      <c r="S2766" s="2">
        <v>1</v>
      </c>
      <c r="T2766" s="2">
        <v>255</v>
      </c>
      <c r="U2766" s="2">
        <v>58.650000000000013</v>
      </c>
      <c r="V2766" s="2">
        <v>313.64999999999998</v>
      </c>
      <c r="W2766" s="2">
        <v>152.85</v>
      </c>
      <c r="X2766" s="5">
        <f t="shared" si="382"/>
        <v>0.40058823529411769</v>
      </c>
      <c r="Z2766" s="2" t="s">
        <v>3227</v>
      </c>
      <c r="AA2766" s="2" t="s">
        <v>75</v>
      </c>
      <c r="AB2766" s="2" t="s">
        <v>76</v>
      </c>
      <c r="AC2766" s="2" t="s">
        <v>77</v>
      </c>
      <c r="AF2766" s="2">
        <f t="shared" si="380"/>
        <v>0</v>
      </c>
      <c r="AJ2766" s="2">
        <f t="shared" si="381"/>
        <v>0</v>
      </c>
      <c r="AK2766" s="2">
        <f t="shared" si="376"/>
        <v>102.15</v>
      </c>
      <c r="AL2766" s="5">
        <f t="shared" si="378"/>
        <v>0.40058823529411769</v>
      </c>
    </row>
    <row r="2767" spans="1:38" x14ac:dyDescent="0.2">
      <c r="A2767" s="2">
        <v>2025</v>
      </c>
      <c r="B2767" s="2">
        <v>9</v>
      </c>
      <c r="D2767" s="2" t="s">
        <v>582</v>
      </c>
      <c r="E2767" s="2" t="s">
        <v>108</v>
      </c>
      <c r="G2767" s="2">
        <v>503850276</v>
      </c>
      <c r="H2767" s="2" t="s">
        <v>40</v>
      </c>
      <c r="I2767" s="2" t="s">
        <v>583</v>
      </c>
      <c r="J2767" s="2" t="s">
        <v>584</v>
      </c>
      <c r="L2767" s="2" t="s">
        <v>201</v>
      </c>
      <c r="M2767" s="2" t="s">
        <v>80</v>
      </c>
      <c r="P2767" s="2" t="s">
        <v>93</v>
      </c>
      <c r="Q2767" s="2" t="s">
        <v>94</v>
      </c>
      <c r="R2767" s="2" t="s">
        <v>95</v>
      </c>
      <c r="S2767" s="2">
        <v>1</v>
      </c>
      <c r="T2767" s="2">
        <v>1.1399999999999999</v>
      </c>
      <c r="U2767" s="2">
        <v>0.26219999999999999</v>
      </c>
      <c r="V2767" s="2">
        <v>1.4021999999999999</v>
      </c>
      <c r="W2767" s="2">
        <v>1.1399999999999999</v>
      </c>
      <c r="X2767" s="5">
        <f t="shared" si="382"/>
        <v>0</v>
      </c>
      <c r="Z2767" s="2" t="s">
        <v>3227</v>
      </c>
      <c r="AA2767" s="2" t="s">
        <v>96</v>
      </c>
      <c r="AB2767" s="2" t="s">
        <v>76</v>
      </c>
      <c r="AC2767" s="2" t="s">
        <v>93</v>
      </c>
      <c r="AF2767" s="2">
        <f t="shared" si="380"/>
        <v>0</v>
      </c>
      <c r="AJ2767" s="2">
        <f t="shared" si="381"/>
        <v>0</v>
      </c>
      <c r="AK2767" s="2">
        <f t="shared" si="376"/>
        <v>0</v>
      </c>
      <c r="AL2767" s="5">
        <f t="shared" si="378"/>
        <v>0</v>
      </c>
    </row>
    <row r="2768" spans="1:38" x14ac:dyDescent="0.2">
      <c r="A2768" s="2">
        <v>2025</v>
      </c>
      <c r="B2768" s="2">
        <v>9</v>
      </c>
      <c r="D2768" s="2" t="s">
        <v>588</v>
      </c>
      <c r="E2768" s="2" t="s">
        <v>38</v>
      </c>
      <c r="F2768" s="2" t="s">
        <v>39</v>
      </c>
      <c r="G2768" s="2">
        <v>510339298</v>
      </c>
      <c r="H2768" s="2" t="s">
        <v>41</v>
      </c>
      <c r="I2768" s="2" t="s">
        <v>177</v>
      </c>
      <c r="J2768" s="2" t="s">
        <v>589</v>
      </c>
      <c r="L2768" s="2" t="s">
        <v>177</v>
      </c>
      <c r="M2768" s="2" t="s">
        <v>41</v>
      </c>
      <c r="P2768" s="2" t="s">
        <v>43</v>
      </c>
      <c r="Q2768" s="2" t="s">
        <v>48</v>
      </c>
      <c r="R2768" s="2" t="s">
        <v>49</v>
      </c>
      <c r="S2768" s="2">
        <v>3</v>
      </c>
      <c r="T2768" s="2">
        <v>36</v>
      </c>
      <c r="U2768" s="2">
        <v>8.2800000000000011</v>
      </c>
      <c r="V2768" s="2">
        <v>44.28</v>
      </c>
      <c r="W2768" s="2">
        <f>6.6267*S2768</f>
        <v>19.880099999999999</v>
      </c>
      <c r="X2768" s="5">
        <f t="shared" si="382"/>
        <v>0.44777500000000003</v>
      </c>
      <c r="Z2768" s="2" t="s">
        <v>3227</v>
      </c>
      <c r="AA2768" s="2" t="s">
        <v>46</v>
      </c>
      <c r="AB2768" s="2" t="s">
        <v>47</v>
      </c>
      <c r="AC2768" s="2" t="s">
        <v>57</v>
      </c>
      <c r="AF2768" s="2">
        <f t="shared" si="380"/>
        <v>0</v>
      </c>
      <c r="AG2768" s="2">
        <v>6.6266999999999996</v>
      </c>
      <c r="AH2768" s="2">
        <v>12</v>
      </c>
      <c r="AJ2768" s="2">
        <f t="shared" si="381"/>
        <v>0</v>
      </c>
      <c r="AK2768" s="2">
        <f t="shared" si="376"/>
        <v>16.119900000000001</v>
      </c>
      <c r="AL2768" s="5">
        <f t="shared" si="378"/>
        <v>0.44777500000000003</v>
      </c>
    </row>
    <row r="2769" spans="1:38" x14ac:dyDescent="0.2">
      <c r="A2769" s="2">
        <v>2025</v>
      </c>
      <c r="B2769" s="2">
        <v>9</v>
      </c>
      <c r="D2769" s="2" t="s">
        <v>588</v>
      </c>
      <c r="E2769" s="2" t="s">
        <v>38</v>
      </c>
      <c r="F2769" s="2" t="s">
        <v>39</v>
      </c>
      <c r="G2769" s="2">
        <v>510339298</v>
      </c>
      <c r="H2769" s="2" t="s">
        <v>41</v>
      </c>
      <c r="I2769" s="2" t="s">
        <v>177</v>
      </c>
      <c r="J2769" s="2" t="s">
        <v>589</v>
      </c>
      <c r="L2769" s="2" t="s">
        <v>177</v>
      </c>
      <c r="M2769" s="2" t="s">
        <v>41</v>
      </c>
      <c r="P2769" s="2" t="s">
        <v>43</v>
      </c>
      <c r="Q2769" s="2" t="s">
        <v>592</v>
      </c>
      <c r="R2769" s="2" t="s">
        <v>593</v>
      </c>
      <c r="S2769" s="2">
        <v>1</v>
      </c>
      <c r="T2769" s="2">
        <v>30</v>
      </c>
      <c r="U2769" s="2">
        <v>6.9</v>
      </c>
      <c r="V2769" s="2">
        <v>36.9</v>
      </c>
      <c r="W2769" s="2">
        <f>11.295*S2769</f>
        <v>11.295</v>
      </c>
      <c r="X2769" s="5">
        <f t="shared" si="382"/>
        <v>0.62349999999999994</v>
      </c>
      <c r="Z2769" s="2" t="s">
        <v>3227</v>
      </c>
      <c r="AA2769" s="2" t="s">
        <v>46</v>
      </c>
      <c r="AB2769" s="2" t="s">
        <v>47</v>
      </c>
      <c r="AC2769" s="2" t="s">
        <v>57</v>
      </c>
      <c r="AF2769" s="2">
        <f t="shared" si="380"/>
        <v>0</v>
      </c>
      <c r="AJ2769" s="2">
        <f t="shared" si="381"/>
        <v>0</v>
      </c>
      <c r="AK2769" s="2">
        <f t="shared" si="376"/>
        <v>18.704999999999998</v>
      </c>
      <c r="AL2769" s="5">
        <f t="shared" si="378"/>
        <v>0.62349999999999994</v>
      </c>
    </row>
    <row r="2770" spans="1:38" x14ac:dyDescent="0.2">
      <c r="A2770" s="2">
        <v>2025</v>
      </c>
      <c r="B2770" s="2">
        <v>9</v>
      </c>
      <c r="D2770" s="2" t="s">
        <v>588</v>
      </c>
      <c r="E2770" s="2" t="s">
        <v>38</v>
      </c>
      <c r="F2770" s="2" t="s">
        <v>39</v>
      </c>
      <c r="G2770" s="2">
        <v>510339298</v>
      </c>
      <c r="H2770" s="2" t="s">
        <v>41</v>
      </c>
      <c r="I2770" s="2" t="s">
        <v>177</v>
      </c>
      <c r="J2770" s="2" t="s">
        <v>589</v>
      </c>
      <c r="L2770" s="2" t="s">
        <v>177</v>
      </c>
      <c r="M2770" s="2" t="s">
        <v>41</v>
      </c>
      <c r="P2770" s="2" t="s">
        <v>43</v>
      </c>
      <c r="Q2770" s="2" t="s">
        <v>52</v>
      </c>
      <c r="R2770" s="2" t="s">
        <v>53</v>
      </c>
      <c r="S2770" s="2">
        <v>1</v>
      </c>
      <c r="T2770" s="2">
        <v>9.6</v>
      </c>
      <c r="U2770" s="2">
        <v>2.2080000000000002</v>
      </c>
      <c r="V2770" s="2">
        <v>11.808</v>
      </c>
      <c r="W2770" s="2">
        <f>5.2973*S2770</f>
        <v>5.2972999999999999</v>
      </c>
      <c r="X2770" s="5">
        <f t="shared" si="382"/>
        <v>0.44819791666666664</v>
      </c>
      <c r="Z2770" s="2" t="s">
        <v>3227</v>
      </c>
      <c r="AA2770" s="2" t="s">
        <v>46</v>
      </c>
      <c r="AB2770" s="2" t="s">
        <v>47</v>
      </c>
      <c r="AC2770" s="2" t="s">
        <v>57</v>
      </c>
      <c r="AF2770" s="2">
        <f t="shared" si="380"/>
        <v>0</v>
      </c>
      <c r="AG2770" s="2">
        <v>5.2972999999999999</v>
      </c>
      <c r="AH2770" s="2">
        <v>10.8</v>
      </c>
      <c r="AJ2770" s="2">
        <f t="shared" si="381"/>
        <v>0</v>
      </c>
      <c r="AK2770" s="2">
        <f t="shared" si="376"/>
        <v>4.3026999999999997</v>
      </c>
      <c r="AL2770" s="5">
        <f t="shared" si="378"/>
        <v>0.44819791666666664</v>
      </c>
    </row>
    <row r="2771" spans="1:38" x14ac:dyDescent="0.2">
      <c r="A2771" s="2">
        <v>2025</v>
      </c>
      <c r="B2771" s="2">
        <v>9</v>
      </c>
      <c r="D2771" s="2" t="s">
        <v>588</v>
      </c>
      <c r="E2771" s="2" t="s">
        <v>38</v>
      </c>
      <c r="F2771" s="2" t="s">
        <v>39</v>
      </c>
      <c r="G2771" s="2">
        <v>510339298</v>
      </c>
      <c r="H2771" s="2" t="s">
        <v>41</v>
      </c>
      <c r="I2771" s="2" t="s">
        <v>177</v>
      </c>
      <c r="J2771" s="2" t="s">
        <v>589</v>
      </c>
      <c r="L2771" s="2" t="s">
        <v>177</v>
      </c>
      <c r="M2771" s="2" t="s">
        <v>41</v>
      </c>
      <c r="P2771" s="2" t="s">
        <v>166</v>
      </c>
      <c r="Q2771" s="2" t="s">
        <v>2278</v>
      </c>
      <c r="R2771" s="2" t="s">
        <v>2279</v>
      </c>
      <c r="S2771" s="2">
        <v>6</v>
      </c>
      <c r="T2771" s="2">
        <v>6.52</v>
      </c>
      <c r="U2771" s="2">
        <v>1.4996</v>
      </c>
      <c r="V2771" s="2">
        <v>8.0196000000000005</v>
      </c>
      <c r="X2771" s="5">
        <f t="shared" si="382"/>
        <v>1</v>
      </c>
      <c r="Z2771" s="2" t="s">
        <v>3227</v>
      </c>
      <c r="AA2771" s="2" t="s">
        <v>87</v>
      </c>
      <c r="AB2771" s="2" t="s">
        <v>119</v>
      </c>
      <c r="AC2771" s="2" t="s">
        <v>166</v>
      </c>
      <c r="AF2771" s="2">
        <f t="shared" si="380"/>
        <v>0</v>
      </c>
      <c r="AJ2771" s="2">
        <f t="shared" si="381"/>
        <v>0</v>
      </c>
      <c r="AK2771" s="2">
        <f t="shared" si="376"/>
        <v>6.52</v>
      </c>
      <c r="AL2771" s="5">
        <f t="shared" si="378"/>
        <v>1</v>
      </c>
    </row>
    <row r="2772" spans="1:38" x14ac:dyDescent="0.2">
      <c r="A2772" s="2">
        <v>2025</v>
      </c>
      <c r="B2772" s="2">
        <v>9</v>
      </c>
      <c r="D2772" s="2" t="s">
        <v>588</v>
      </c>
      <c r="E2772" s="2" t="s">
        <v>38</v>
      </c>
      <c r="F2772" s="2" t="s">
        <v>39</v>
      </c>
      <c r="G2772" s="2">
        <v>510339298</v>
      </c>
      <c r="H2772" s="2" t="s">
        <v>41</v>
      </c>
      <c r="I2772" s="2" t="s">
        <v>177</v>
      </c>
      <c r="J2772" s="2" t="s">
        <v>589</v>
      </c>
      <c r="L2772" s="2" t="s">
        <v>177</v>
      </c>
      <c r="M2772" s="2" t="s">
        <v>41</v>
      </c>
      <c r="P2772" s="2" t="s">
        <v>166</v>
      </c>
      <c r="Q2772" s="2" t="s">
        <v>1046</v>
      </c>
      <c r="R2772" s="2" t="s">
        <v>1047</v>
      </c>
      <c r="S2772" s="2">
        <v>2</v>
      </c>
      <c r="T2772" s="2">
        <v>3</v>
      </c>
      <c r="U2772" s="2">
        <v>0.69000000000000006</v>
      </c>
      <c r="V2772" s="2">
        <v>3.69</v>
      </c>
      <c r="X2772" s="5">
        <f t="shared" si="382"/>
        <v>1</v>
      </c>
      <c r="Z2772" s="2" t="s">
        <v>3227</v>
      </c>
      <c r="AA2772" s="2" t="s">
        <v>87</v>
      </c>
      <c r="AB2772" s="2" t="s">
        <v>119</v>
      </c>
      <c r="AC2772" s="2" t="s">
        <v>166</v>
      </c>
      <c r="AF2772" s="2">
        <f t="shared" si="380"/>
        <v>0</v>
      </c>
      <c r="AJ2772" s="2">
        <f t="shared" si="381"/>
        <v>0</v>
      </c>
      <c r="AK2772" s="2">
        <f t="shared" ref="AK2772:AK2835" si="383">T2772-W2772</f>
        <v>3</v>
      </c>
      <c r="AL2772" s="5">
        <f t="shared" si="378"/>
        <v>1</v>
      </c>
    </row>
    <row r="2773" spans="1:38" x14ac:dyDescent="0.2">
      <c r="A2773" s="2">
        <v>2025</v>
      </c>
      <c r="B2773" s="2">
        <v>9</v>
      </c>
      <c r="D2773" s="2" t="s">
        <v>588</v>
      </c>
      <c r="E2773" s="2" t="s">
        <v>38</v>
      </c>
      <c r="F2773" s="2" t="s">
        <v>39</v>
      </c>
      <c r="G2773" s="2">
        <v>510339298</v>
      </c>
      <c r="H2773" s="2" t="s">
        <v>41</v>
      </c>
      <c r="I2773" s="2" t="s">
        <v>177</v>
      </c>
      <c r="J2773" s="2" t="s">
        <v>589</v>
      </c>
      <c r="L2773" s="2" t="s">
        <v>177</v>
      </c>
      <c r="M2773" s="2" t="s">
        <v>41</v>
      </c>
      <c r="P2773" s="2" t="s">
        <v>84</v>
      </c>
      <c r="Q2773" s="2" t="s">
        <v>2067</v>
      </c>
      <c r="R2773" s="2" t="s">
        <v>2068</v>
      </c>
      <c r="S2773" s="2">
        <v>1</v>
      </c>
      <c r="T2773" s="2">
        <v>8.4</v>
      </c>
      <c r="U2773" s="2">
        <v>1.9319999999999999</v>
      </c>
      <c r="V2773" s="2">
        <v>10.332000000000001</v>
      </c>
      <c r="X2773" s="5">
        <f t="shared" si="382"/>
        <v>1</v>
      </c>
      <c r="Z2773" s="2" t="s">
        <v>3227</v>
      </c>
      <c r="AA2773" s="2" t="s">
        <v>87</v>
      </c>
      <c r="AB2773" s="2" t="s">
        <v>90</v>
      </c>
      <c r="AC2773" s="2" t="s">
        <v>84</v>
      </c>
      <c r="AF2773" s="2">
        <f t="shared" si="380"/>
        <v>0</v>
      </c>
      <c r="AJ2773" s="2">
        <f t="shared" si="381"/>
        <v>0</v>
      </c>
      <c r="AK2773" s="2">
        <f t="shared" si="383"/>
        <v>8.4</v>
      </c>
      <c r="AL2773" s="5">
        <f t="shared" si="378"/>
        <v>1</v>
      </c>
    </row>
    <row r="2774" spans="1:38" x14ac:dyDescent="0.2">
      <c r="A2774" s="2">
        <v>2025</v>
      </c>
      <c r="B2774" s="2">
        <v>9</v>
      </c>
      <c r="D2774" s="2" t="s">
        <v>597</v>
      </c>
      <c r="E2774" s="2" t="s">
        <v>38</v>
      </c>
      <c r="F2774" s="2" t="s">
        <v>39</v>
      </c>
      <c r="G2774" s="2">
        <v>509680364</v>
      </c>
      <c r="H2774" s="2" t="s">
        <v>41</v>
      </c>
      <c r="I2774" s="2" t="s">
        <v>598</v>
      </c>
      <c r="J2774" s="2" t="s">
        <v>599</v>
      </c>
      <c r="K2774" s="2">
        <v>919603867</v>
      </c>
      <c r="L2774" s="2" t="s">
        <v>600</v>
      </c>
      <c r="M2774" s="2" t="s">
        <v>41</v>
      </c>
      <c r="O2774" s="2" t="s">
        <v>2280</v>
      </c>
      <c r="P2774" s="2" t="s">
        <v>43</v>
      </c>
      <c r="Q2774" s="2" t="s">
        <v>214</v>
      </c>
      <c r="R2774" s="2" t="s">
        <v>215</v>
      </c>
      <c r="S2774" s="2">
        <v>1</v>
      </c>
      <c r="T2774" s="2">
        <v>0</v>
      </c>
      <c r="U2774" s="2">
        <v>0</v>
      </c>
      <c r="V2774" s="2">
        <v>0</v>
      </c>
      <c r="W2774" s="2">
        <f>7.915*S2774</f>
        <v>7.915</v>
      </c>
      <c r="X2774" s="18">
        <f>IF(T2774=0,IF(W2774&gt;0,-100%,0%),(T2774-W2774)/T2774)</f>
        <v>-1</v>
      </c>
      <c r="Z2774" s="2" t="s">
        <v>3227</v>
      </c>
      <c r="AA2774" s="2" t="s">
        <v>46</v>
      </c>
      <c r="AB2774" s="2" t="s">
        <v>56</v>
      </c>
      <c r="AC2774" s="2" t="s">
        <v>57</v>
      </c>
      <c r="AF2774" s="2">
        <f t="shared" si="380"/>
        <v>0</v>
      </c>
      <c r="AJ2774" s="2">
        <f t="shared" si="381"/>
        <v>0</v>
      </c>
      <c r="AK2774" s="2">
        <f t="shared" si="383"/>
        <v>-7.915</v>
      </c>
      <c r="AL2774" s="18">
        <f>IF(T2774=0,IF(W2774&gt;0,-100%,0%),(T2774-W2774)/T2774)</f>
        <v>-1</v>
      </c>
    </row>
    <row r="2775" spans="1:38" x14ac:dyDescent="0.2">
      <c r="A2775" s="2">
        <v>2025</v>
      </c>
      <c r="B2775" s="2">
        <v>9</v>
      </c>
      <c r="D2775" s="2" t="s">
        <v>597</v>
      </c>
      <c r="E2775" s="2" t="s">
        <v>38</v>
      </c>
      <c r="F2775" s="2" t="s">
        <v>39</v>
      </c>
      <c r="G2775" s="2">
        <v>509680364</v>
      </c>
      <c r="H2775" s="2" t="s">
        <v>41</v>
      </c>
      <c r="I2775" s="2" t="s">
        <v>598</v>
      </c>
      <c r="J2775" s="2" t="s">
        <v>599</v>
      </c>
      <c r="K2775" s="2">
        <v>919603867</v>
      </c>
      <c r="L2775" s="2" t="s">
        <v>600</v>
      </c>
      <c r="M2775" s="2" t="s">
        <v>41</v>
      </c>
      <c r="O2775" s="2" t="s">
        <v>2280</v>
      </c>
      <c r="P2775" s="2" t="s">
        <v>43</v>
      </c>
      <c r="Q2775" s="2" t="s">
        <v>218</v>
      </c>
      <c r="R2775" s="2" t="s">
        <v>219</v>
      </c>
      <c r="S2775" s="2">
        <v>1</v>
      </c>
      <c r="T2775" s="2">
        <v>0</v>
      </c>
      <c r="U2775" s="2">
        <v>0</v>
      </c>
      <c r="V2775" s="2">
        <v>0</v>
      </c>
      <c r="W2775" s="2">
        <v>12.4434</v>
      </c>
      <c r="X2775" s="18">
        <f>IF(T2775=0,IF(W2775&gt;0,-100%,0%),(T2775-W2775)/T2775)</f>
        <v>-1</v>
      </c>
      <c r="Z2775" s="2" t="s">
        <v>3227</v>
      </c>
      <c r="AA2775" s="2" t="s">
        <v>46</v>
      </c>
      <c r="AB2775" s="2" t="s">
        <v>56</v>
      </c>
      <c r="AC2775" s="2" t="s">
        <v>57</v>
      </c>
      <c r="AF2775" s="2">
        <f t="shared" si="380"/>
        <v>0</v>
      </c>
      <c r="AJ2775" s="2">
        <f t="shared" si="381"/>
        <v>0</v>
      </c>
      <c r="AK2775" s="2">
        <f t="shared" si="383"/>
        <v>-12.4434</v>
      </c>
      <c r="AL2775" s="18">
        <f>IF(T2775=0,IF(W2775&gt;0,-100%,0%),(T2775-W2775)/T2775)</f>
        <v>-1</v>
      </c>
    </row>
    <row r="2776" spans="1:38" x14ac:dyDescent="0.2">
      <c r="A2776" s="2">
        <v>2025</v>
      </c>
      <c r="B2776" s="2">
        <v>9</v>
      </c>
      <c r="D2776" s="2" t="s">
        <v>597</v>
      </c>
      <c r="E2776" s="2" t="s">
        <v>38</v>
      </c>
      <c r="F2776" s="2" t="s">
        <v>39</v>
      </c>
      <c r="G2776" s="2">
        <v>509680364</v>
      </c>
      <c r="H2776" s="2" t="s">
        <v>41</v>
      </c>
      <c r="I2776" s="2" t="s">
        <v>598</v>
      </c>
      <c r="J2776" s="2" t="s">
        <v>599</v>
      </c>
      <c r="K2776" s="2">
        <v>919603867</v>
      </c>
      <c r="L2776" s="2" t="s">
        <v>600</v>
      </c>
      <c r="M2776" s="2" t="s">
        <v>41</v>
      </c>
      <c r="O2776" s="2" t="s">
        <v>2280</v>
      </c>
      <c r="P2776" s="2" t="s">
        <v>43</v>
      </c>
      <c r="Q2776" s="2" t="s">
        <v>222</v>
      </c>
      <c r="R2776" s="2" t="s">
        <v>223</v>
      </c>
      <c r="S2776" s="2">
        <v>1</v>
      </c>
      <c r="T2776" s="2">
        <v>0</v>
      </c>
      <c r="U2776" s="2">
        <v>0</v>
      </c>
      <c r="V2776" s="2">
        <v>0</v>
      </c>
      <c r="W2776" s="2">
        <f>16*S2776</f>
        <v>16</v>
      </c>
      <c r="X2776" s="18">
        <f>IF(T2776=0,IF(W2776&gt;0,-100%,0%),(T2776-W2776)/T2776)</f>
        <v>-1</v>
      </c>
      <c r="Z2776" s="2" t="s">
        <v>3227</v>
      </c>
      <c r="AA2776" s="2" t="s">
        <v>46</v>
      </c>
      <c r="AB2776" s="2" t="s">
        <v>56</v>
      </c>
      <c r="AC2776" s="2" t="s">
        <v>57</v>
      </c>
      <c r="AF2776" s="2">
        <f t="shared" si="380"/>
        <v>0</v>
      </c>
      <c r="AJ2776" s="2">
        <f t="shared" si="381"/>
        <v>0</v>
      </c>
      <c r="AK2776" s="2">
        <f t="shared" si="383"/>
        <v>-16</v>
      </c>
      <c r="AL2776" s="18">
        <f>IF(T2776=0,IF(W2776&gt;0,-100%,0%),(T2776-W2776)/T2776)</f>
        <v>-1</v>
      </c>
    </row>
    <row r="2777" spans="1:38" x14ac:dyDescent="0.2">
      <c r="A2777" s="2">
        <v>2025</v>
      </c>
      <c r="B2777" s="2">
        <v>9</v>
      </c>
      <c r="D2777" s="2" t="s">
        <v>597</v>
      </c>
      <c r="E2777" s="2" t="s">
        <v>38</v>
      </c>
      <c r="F2777" s="2" t="s">
        <v>39</v>
      </c>
      <c r="G2777" s="2">
        <v>509680364</v>
      </c>
      <c r="H2777" s="2" t="s">
        <v>41</v>
      </c>
      <c r="I2777" s="2" t="s">
        <v>598</v>
      </c>
      <c r="J2777" s="2" t="s">
        <v>599</v>
      </c>
      <c r="K2777" s="2">
        <v>919603867</v>
      </c>
      <c r="L2777" s="2" t="s">
        <v>600</v>
      </c>
      <c r="M2777" s="2" t="s">
        <v>41</v>
      </c>
      <c r="O2777" s="2" t="s">
        <v>2280</v>
      </c>
      <c r="P2777" s="2" t="s">
        <v>43</v>
      </c>
      <c r="Q2777" s="2" t="s">
        <v>232</v>
      </c>
      <c r="R2777" s="2" t="s">
        <v>233</v>
      </c>
      <c r="S2777" s="2">
        <v>1</v>
      </c>
      <c r="T2777" s="2">
        <v>0</v>
      </c>
      <c r="U2777" s="2">
        <v>0</v>
      </c>
      <c r="V2777" s="2">
        <v>0</v>
      </c>
      <c r="W2777" s="2">
        <v>5.9066999999999998</v>
      </c>
      <c r="X2777" s="5">
        <f>IF(T2777=0,IF(W2777&gt;0,-100%,0%),(T2777-W2777)/T2777)</f>
        <v>-1</v>
      </c>
      <c r="Z2777" s="2" t="s">
        <v>3227</v>
      </c>
      <c r="AA2777" s="2" t="s">
        <v>46</v>
      </c>
      <c r="AB2777" s="2" t="s">
        <v>56</v>
      </c>
      <c r="AC2777" s="2" t="s">
        <v>57</v>
      </c>
      <c r="AF2777" s="2">
        <f t="shared" si="380"/>
        <v>0</v>
      </c>
      <c r="AG2777" s="2">
        <v>5.9066999999999998</v>
      </c>
      <c r="AH2777" s="2">
        <v>12.6</v>
      </c>
      <c r="AJ2777" s="2">
        <f t="shared" si="381"/>
        <v>0</v>
      </c>
      <c r="AK2777" s="2">
        <f t="shared" si="383"/>
        <v>-5.9066999999999998</v>
      </c>
      <c r="AL2777" s="5">
        <f>IF(T2777=0,IF(W2777&gt;0,-100%,0%),(T2777-W2777)/T2777)</f>
        <v>-1</v>
      </c>
    </row>
    <row r="2778" spans="1:38" x14ac:dyDescent="0.2">
      <c r="A2778" s="2">
        <v>2025</v>
      </c>
      <c r="B2778" s="2">
        <v>9</v>
      </c>
      <c r="D2778" s="2" t="s">
        <v>597</v>
      </c>
      <c r="E2778" s="2" t="s">
        <v>38</v>
      </c>
      <c r="F2778" s="2" t="s">
        <v>39</v>
      </c>
      <c r="G2778" s="2">
        <v>509680364</v>
      </c>
      <c r="H2778" s="2" t="s">
        <v>41</v>
      </c>
      <c r="I2778" s="2" t="s">
        <v>598</v>
      </c>
      <c r="J2778" s="2" t="s">
        <v>599</v>
      </c>
      <c r="K2778" s="2">
        <v>919603867</v>
      </c>
      <c r="L2778" s="2" t="s">
        <v>600</v>
      </c>
      <c r="M2778" s="2" t="s">
        <v>41</v>
      </c>
      <c r="O2778" s="2" t="s">
        <v>2280</v>
      </c>
      <c r="P2778" s="2" t="s">
        <v>43</v>
      </c>
      <c r="Q2778" s="2" t="s">
        <v>236</v>
      </c>
      <c r="R2778" s="2" t="s">
        <v>237</v>
      </c>
      <c r="S2778" s="2">
        <v>1</v>
      </c>
      <c r="T2778" s="2">
        <v>0</v>
      </c>
      <c r="U2778" s="2">
        <v>0</v>
      </c>
      <c r="V2778" s="2">
        <v>0</v>
      </c>
      <c r="W2778" s="2">
        <f>9.075*S2778</f>
        <v>9.0749999999999993</v>
      </c>
      <c r="X2778" s="18">
        <v>-1</v>
      </c>
      <c r="Z2778" s="2" t="s">
        <v>3227</v>
      </c>
      <c r="AA2778" s="2" t="s">
        <v>46</v>
      </c>
      <c r="AB2778" s="2" t="s">
        <v>56</v>
      </c>
      <c r="AC2778" s="2" t="s">
        <v>57</v>
      </c>
      <c r="AF2778" s="2">
        <f t="shared" si="380"/>
        <v>0</v>
      </c>
      <c r="AJ2778" s="2">
        <f t="shared" si="381"/>
        <v>0</v>
      </c>
      <c r="AK2778" s="2">
        <f t="shared" si="383"/>
        <v>-9.0749999999999993</v>
      </c>
      <c r="AL2778" s="18">
        <v>-1</v>
      </c>
    </row>
    <row r="2779" spans="1:38" x14ac:dyDescent="0.2">
      <c r="A2779" s="2">
        <v>2025</v>
      </c>
      <c r="B2779" s="2">
        <v>9</v>
      </c>
      <c r="D2779" s="2" t="s">
        <v>597</v>
      </c>
      <c r="E2779" s="2" t="s">
        <v>38</v>
      </c>
      <c r="F2779" s="2" t="s">
        <v>39</v>
      </c>
      <c r="G2779" s="2">
        <v>509680364</v>
      </c>
      <c r="H2779" s="2" t="s">
        <v>41</v>
      </c>
      <c r="I2779" s="2" t="s">
        <v>598</v>
      </c>
      <c r="J2779" s="2" t="s">
        <v>599</v>
      </c>
      <c r="K2779" s="2">
        <v>919603867</v>
      </c>
      <c r="L2779" s="2" t="s">
        <v>600</v>
      </c>
      <c r="M2779" s="2" t="s">
        <v>41</v>
      </c>
      <c r="O2779" s="2" t="s">
        <v>2280</v>
      </c>
      <c r="P2779" s="2" t="s">
        <v>43</v>
      </c>
      <c r="Q2779" s="2" t="s">
        <v>242</v>
      </c>
      <c r="R2779" s="2" t="s">
        <v>243</v>
      </c>
      <c r="S2779" s="2">
        <v>1</v>
      </c>
      <c r="T2779" s="2">
        <v>0</v>
      </c>
      <c r="U2779" s="2">
        <v>0</v>
      </c>
      <c r="V2779" s="2">
        <v>0</v>
      </c>
      <c r="W2779" s="2">
        <f>16.2249*S2779</f>
        <v>16.224900000000002</v>
      </c>
      <c r="X2779" s="18">
        <f t="shared" ref="X2779:X2784" si="384">IF(T2779=0,IF(W2779&gt;0,-100%,0%),(T2779-W2779)/T2779)</f>
        <v>-1</v>
      </c>
      <c r="Z2779" s="2" t="s">
        <v>3227</v>
      </c>
      <c r="AA2779" s="2" t="s">
        <v>46</v>
      </c>
      <c r="AB2779" s="2" t="s">
        <v>56</v>
      </c>
      <c r="AC2779" s="2" t="s">
        <v>57</v>
      </c>
      <c r="AF2779" s="2">
        <f t="shared" si="380"/>
        <v>0</v>
      </c>
      <c r="AJ2779" s="2">
        <f t="shared" si="381"/>
        <v>0</v>
      </c>
      <c r="AK2779" s="2">
        <f t="shared" si="383"/>
        <v>-16.224900000000002</v>
      </c>
      <c r="AL2779" s="18">
        <f t="shared" ref="AL2779:AL2784" si="385">IF(T2779=0,IF(W2779&gt;0,-100%,0%),(T2779-W2779)/T2779)</f>
        <v>-1</v>
      </c>
    </row>
    <row r="2780" spans="1:38" x14ac:dyDescent="0.2">
      <c r="A2780" s="2">
        <v>2025</v>
      </c>
      <c r="B2780" s="2">
        <v>9</v>
      </c>
      <c r="D2780" s="2" t="s">
        <v>597</v>
      </c>
      <c r="E2780" s="2" t="s">
        <v>38</v>
      </c>
      <c r="F2780" s="2" t="s">
        <v>39</v>
      </c>
      <c r="G2780" s="2">
        <v>509680364</v>
      </c>
      <c r="H2780" s="2" t="s">
        <v>41</v>
      </c>
      <c r="I2780" s="2" t="s">
        <v>598</v>
      </c>
      <c r="J2780" s="2" t="s">
        <v>599</v>
      </c>
      <c r="K2780" s="2">
        <v>919603867</v>
      </c>
      <c r="L2780" s="2" t="s">
        <v>600</v>
      </c>
      <c r="M2780" s="2" t="s">
        <v>41</v>
      </c>
      <c r="O2780" s="2" t="s">
        <v>2280</v>
      </c>
      <c r="P2780" s="2" t="s">
        <v>43</v>
      </c>
      <c r="Q2780" s="2" t="s">
        <v>669</v>
      </c>
      <c r="R2780" s="2" t="s">
        <v>670</v>
      </c>
      <c r="S2780" s="2">
        <v>1</v>
      </c>
      <c r="T2780" s="2">
        <v>0</v>
      </c>
      <c r="U2780" s="2">
        <v>0</v>
      </c>
      <c r="V2780" s="2">
        <v>0</v>
      </c>
      <c r="W2780" s="2">
        <v>0</v>
      </c>
      <c r="X2780" s="5">
        <f t="shared" si="384"/>
        <v>0</v>
      </c>
      <c r="Z2780" s="2" t="s">
        <v>3227</v>
      </c>
      <c r="AA2780" s="2" t="s">
        <v>46</v>
      </c>
      <c r="AB2780" s="2" t="s">
        <v>56</v>
      </c>
      <c r="AC2780" s="2" t="s">
        <v>57</v>
      </c>
      <c r="AF2780" s="2">
        <f t="shared" si="380"/>
        <v>0</v>
      </c>
      <c r="AG2780" s="2">
        <v>29.27</v>
      </c>
      <c r="AH2780" s="2">
        <v>60</v>
      </c>
      <c r="AJ2780" s="2">
        <f t="shared" si="381"/>
        <v>0</v>
      </c>
      <c r="AK2780" s="2">
        <f t="shared" si="383"/>
        <v>0</v>
      </c>
      <c r="AL2780" s="5">
        <f t="shared" si="385"/>
        <v>0</v>
      </c>
    </row>
    <row r="2781" spans="1:38" x14ac:dyDescent="0.2">
      <c r="A2781" s="2">
        <v>2025</v>
      </c>
      <c r="B2781" s="2">
        <v>9</v>
      </c>
      <c r="D2781" s="2" t="s">
        <v>597</v>
      </c>
      <c r="E2781" s="2" t="s">
        <v>38</v>
      </c>
      <c r="F2781" s="2" t="s">
        <v>39</v>
      </c>
      <c r="G2781" s="2">
        <v>509680364</v>
      </c>
      <c r="H2781" s="2" t="s">
        <v>41</v>
      </c>
      <c r="I2781" s="2" t="s">
        <v>598</v>
      </c>
      <c r="J2781" s="2" t="s">
        <v>599</v>
      </c>
      <c r="K2781" s="2">
        <v>919603867</v>
      </c>
      <c r="L2781" s="2" t="s">
        <v>600</v>
      </c>
      <c r="M2781" s="2" t="s">
        <v>41</v>
      </c>
      <c r="O2781" s="2" t="s">
        <v>2280</v>
      </c>
      <c r="P2781" s="2" t="s">
        <v>43</v>
      </c>
      <c r="Q2781" s="2" t="s">
        <v>61</v>
      </c>
      <c r="R2781" s="2" t="s">
        <v>62</v>
      </c>
      <c r="S2781" s="2">
        <v>100</v>
      </c>
      <c r="T2781" s="2">
        <v>0</v>
      </c>
      <c r="U2781" s="2">
        <v>0</v>
      </c>
      <c r="V2781" s="2">
        <v>0</v>
      </c>
      <c r="W2781" s="2">
        <f>0.082*S2781</f>
        <v>8.2000000000000011</v>
      </c>
      <c r="X2781" s="18">
        <f t="shared" si="384"/>
        <v>-1</v>
      </c>
      <c r="Z2781" s="2" t="s">
        <v>3227</v>
      </c>
      <c r="AA2781" s="2" t="s">
        <v>46</v>
      </c>
      <c r="AB2781" s="2" t="s">
        <v>60</v>
      </c>
      <c r="AC2781" s="2" t="s">
        <v>57</v>
      </c>
      <c r="AF2781" s="2">
        <f t="shared" si="380"/>
        <v>0</v>
      </c>
      <c r="AG2781" s="2">
        <v>8.1999999999999993</v>
      </c>
      <c r="AH2781" s="2">
        <v>13</v>
      </c>
      <c r="AJ2781" s="2">
        <f t="shared" si="381"/>
        <v>0</v>
      </c>
      <c r="AK2781" s="2">
        <f t="shared" si="383"/>
        <v>-8.2000000000000011</v>
      </c>
      <c r="AL2781" s="18">
        <f t="shared" si="385"/>
        <v>-1</v>
      </c>
    </row>
    <row r="2782" spans="1:38" x14ac:dyDescent="0.2">
      <c r="A2782" s="2">
        <v>2025</v>
      </c>
      <c r="B2782" s="2">
        <v>9</v>
      </c>
      <c r="D2782" s="2" t="s">
        <v>597</v>
      </c>
      <c r="E2782" s="2" t="s">
        <v>38</v>
      </c>
      <c r="F2782" s="2" t="s">
        <v>39</v>
      </c>
      <c r="G2782" s="2">
        <v>509680364</v>
      </c>
      <c r="H2782" s="2" t="s">
        <v>41</v>
      </c>
      <c r="I2782" s="2" t="s">
        <v>598</v>
      </c>
      <c r="J2782" s="2" t="s">
        <v>599</v>
      </c>
      <c r="K2782" s="2">
        <v>919603867</v>
      </c>
      <c r="L2782" s="2" t="s">
        <v>600</v>
      </c>
      <c r="M2782" s="2" t="s">
        <v>41</v>
      </c>
      <c r="O2782" s="2" t="s">
        <v>2280</v>
      </c>
      <c r="P2782" s="2" t="s">
        <v>43</v>
      </c>
      <c r="Q2782" s="2" t="s">
        <v>254</v>
      </c>
      <c r="R2782" s="2" t="s">
        <v>255</v>
      </c>
      <c r="S2782" s="2">
        <v>100</v>
      </c>
      <c r="T2782" s="2">
        <v>0</v>
      </c>
      <c r="U2782" s="2">
        <v>0</v>
      </c>
      <c r="V2782" s="2">
        <v>0</v>
      </c>
      <c r="W2782" s="2">
        <f>0.0914*S2782</f>
        <v>9.1399999999999988</v>
      </c>
      <c r="X2782" s="18">
        <f t="shared" si="384"/>
        <v>-1</v>
      </c>
      <c r="Z2782" s="2" t="s">
        <v>3227</v>
      </c>
      <c r="AA2782" s="2" t="s">
        <v>46</v>
      </c>
      <c r="AB2782" s="2" t="s">
        <v>60</v>
      </c>
      <c r="AC2782" s="2" t="s">
        <v>57</v>
      </c>
      <c r="AF2782" s="2">
        <f t="shared" si="380"/>
        <v>0</v>
      </c>
      <c r="AJ2782" s="2">
        <f t="shared" si="381"/>
        <v>0</v>
      </c>
      <c r="AK2782" s="2">
        <f t="shared" si="383"/>
        <v>-9.1399999999999988</v>
      </c>
      <c r="AL2782" s="18">
        <f t="shared" si="385"/>
        <v>-1</v>
      </c>
    </row>
    <row r="2783" spans="1:38" x14ac:dyDescent="0.2">
      <c r="A2783" s="2">
        <v>2025</v>
      </c>
      <c r="B2783" s="2">
        <v>9</v>
      </c>
      <c r="D2783" s="2" t="s">
        <v>597</v>
      </c>
      <c r="E2783" s="2" t="s">
        <v>38</v>
      </c>
      <c r="F2783" s="2" t="s">
        <v>39</v>
      </c>
      <c r="G2783" s="2">
        <v>509680364</v>
      </c>
      <c r="H2783" s="2" t="s">
        <v>41</v>
      </c>
      <c r="I2783" s="2" t="s">
        <v>598</v>
      </c>
      <c r="J2783" s="2" t="s">
        <v>599</v>
      </c>
      <c r="K2783" s="2">
        <v>919603867</v>
      </c>
      <c r="L2783" s="2" t="s">
        <v>600</v>
      </c>
      <c r="M2783" s="2" t="s">
        <v>41</v>
      </c>
      <c r="O2783" s="2" t="s">
        <v>2280</v>
      </c>
      <c r="P2783" s="2" t="s">
        <v>43</v>
      </c>
      <c r="Q2783" s="2" t="s">
        <v>65</v>
      </c>
      <c r="R2783" s="2" t="s">
        <v>66</v>
      </c>
      <c r="S2783" s="2">
        <v>3</v>
      </c>
      <c r="T2783" s="2">
        <v>0</v>
      </c>
      <c r="U2783" s="2">
        <v>0</v>
      </c>
      <c r="V2783" s="2">
        <v>0</v>
      </c>
      <c r="W2783" s="2">
        <f>15.0203*S2783</f>
        <v>45.060900000000004</v>
      </c>
      <c r="X2783" s="18">
        <f t="shared" si="384"/>
        <v>-1</v>
      </c>
      <c r="Z2783" s="2" t="s">
        <v>3227</v>
      </c>
      <c r="AA2783" s="2" t="s">
        <v>46</v>
      </c>
      <c r="AB2783" s="2" t="s">
        <v>67</v>
      </c>
      <c r="AC2783" s="2" t="s">
        <v>57</v>
      </c>
      <c r="AF2783" s="2">
        <f t="shared" si="380"/>
        <v>0</v>
      </c>
      <c r="AG2783" s="2">
        <v>15.020300000000001</v>
      </c>
      <c r="AH2783" s="2">
        <v>27.6</v>
      </c>
      <c r="AJ2783" s="2">
        <f t="shared" si="381"/>
        <v>0</v>
      </c>
      <c r="AK2783" s="2">
        <f t="shared" si="383"/>
        <v>-45.060900000000004</v>
      </c>
      <c r="AL2783" s="18">
        <f t="shared" si="385"/>
        <v>-1</v>
      </c>
    </row>
    <row r="2784" spans="1:38" x14ac:dyDescent="0.2">
      <c r="A2784" s="2">
        <v>2025</v>
      </c>
      <c r="B2784" s="2">
        <v>9</v>
      </c>
      <c r="D2784" s="2" t="s">
        <v>597</v>
      </c>
      <c r="E2784" s="2" t="s">
        <v>38</v>
      </c>
      <c r="F2784" s="2" t="s">
        <v>39</v>
      </c>
      <c r="G2784" s="2">
        <v>509680364</v>
      </c>
      <c r="H2784" s="2" t="s">
        <v>41</v>
      </c>
      <c r="I2784" s="2" t="s">
        <v>598</v>
      </c>
      <c r="J2784" s="2" t="s">
        <v>599</v>
      </c>
      <c r="K2784" s="2">
        <v>919603867</v>
      </c>
      <c r="L2784" s="2" t="s">
        <v>600</v>
      </c>
      <c r="M2784" s="2" t="s">
        <v>41</v>
      </c>
      <c r="O2784" s="2" t="s">
        <v>2280</v>
      </c>
      <c r="P2784" s="2" t="s">
        <v>43</v>
      </c>
      <c r="Q2784" s="2" t="s">
        <v>1431</v>
      </c>
      <c r="R2784" s="2" t="s">
        <v>1432</v>
      </c>
      <c r="S2784" s="2">
        <v>19</v>
      </c>
      <c r="T2784" s="2">
        <v>0</v>
      </c>
      <c r="U2784" s="2">
        <v>0</v>
      </c>
      <c r="V2784" s="2">
        <v>0</v>
      </c>
      <c r="W2784" s="2">
        <f>0.231*S2784</f>
        <v>4.3890000000000002</v>
      </c>
      <c r="X2784" s="18">
        <f t="shared" si="384"/>
        <v>-1</v>
      </c>
      <c r="Z2784" s="2" t="s">
        <v>3227</v>
      </c>
      <c r="AA2784" s="2" t="s">
        <v>46</v>
      </c>
      <c r="AB2784" s="2" t="s">
        <v>60</v>
      </c>
      <c r="AC2784" s="2" t="s">
        <v>57</v>
      </c>
      <c r="AF2784" s="2">
        <f t="shared" si="380"/>
        <v>0</v>
      </c>
      <c r="AJ2784" s="2">
        <f t="shared" si="381"/>
        <v>0</v>
      </c>
      <c r="AK2784" s="2">
        <f t="shared" si="383"/>
        <v>-4.3890000000000002</v>
      </c>
      <c r="AL2784" s="18">
        <f t="shared" si="385"/>
        <v>-1</v>
      </c>
    </row>
    <row r="2785" spans="1:38" x14ac:dyDescent="0.2">
      <c r="A2785" s="2">
        <v>2025</v>
      </c>
      <c r="B2785" s="2">
        <v>9</v>
      </c>
      <c r="D2785" s="2" t="s">
        <v>1295</v>
      </c>
      <c r="E2785" s="2" t="s">
        <v>183</v>
      </c>
      <c r="F2785" s="2" t="s">
        <v>366</v>
      </c>
      <c r="G2785" s="2">
        <v>500625654</v>
      </c>
      <c r="H2785" s="2" t="s">
        <v>290</v>
      </c>
      <c r="I2785" s="2" t="s">
        <v>339</v>
      </c>
      <c r="J2785" s="2" t="s">
        <v>1296</v>
      </c>
      <c r="L2785" s="2" t="s">
        <v>339</v>
      </c>
      <c r="P2785" s="2" t="s">
        <v>72</v>
      </c>
      <c r="Q2785" s="2" t="s">
        <v>556</v>
      </c>
      <c r="R2785" s="2" t="s">
        <v>381</v>
      </c>
      <c r="S2785" s="2">
        <v>1</v>
      </c>
      <c r="T2785" s="2">
        <v>223.1</v>
      </c>
      <c r="U2785" s="2">
        <v>51.313000000000002</v>
      </c>
      <c r="V2785" s="2">
        <v>274.41300000000001</v>
      </c>
      <c r="W2785" s="2">
        <v>143.91999999999999</v>
      </c>
      <c r="X2785" s="5">
        <f t="shared" ref="X2785:X2828" si="386">(T2785-W2785)/T2785</f>
        <v>0.3549081129538324</v>
      </c>
      <c r="Z2785" s="2" t="s">
        <v>3227</v>
      </c>
      <c r="AA2785" s="2" t="s">
        <v>75</v>
      </c>
      <c r="AB2785" s="2" t="s">
        <v>76</v>
      </c>
      <c r="AC2785" s="2" t="s">
        <v>77</v>
      </c>
      <c r="AF2785" s="2">
        <f t="shared" si="380"/>
        <v>0</v>
      </c>
      <c r="AJ2785" s="2">
        <f t="shared" si="381"/>
        <v>0</v>
      </c>
      <c r="AK2785" s="2">
        <f t="shared" si="383"/>
        <v>79.180000000000007</v>
      </c>
      <c r="AL2785" s="5">
        <f t="shared" ref="AL2785:AL2828" si="387">(T2785-W2785)/T2785</f>
        <v>0.3549081129538324</v>
      </c>
    </row>
    <row r="2786" spans="1:38" x14ac:dyDescent="0.2">
      <c r="A2786" s="2">
        <v>2025</v>
      </c>
      <c r="B2786" s="2">
        <v>9</v>
      </c>
      <c r="D2786" s="2" t="s">
        <v>1295</v>
      </c>
      <c r="E2786" s="2" t="s">
        <v>183</v>
      </c>
      <c r="F2786" s="2" t="s">
        <v>366</v>
      </c>
      <c r="G2786" s="2">
        <v>500625654</v>
      </c>
      <c r="H2786" s="2" t="s">
        <v>290</v>
      </c>
      <c r="I2786" s="2" t="s">
        <v>339</v>
      </c>
      <c r="J2786" s="2" t="s">
        <v>1296</v>
      </c>
      <c r="L2786" s="2" t="s">
        <v>339</v>
      </c>
      <c r="P2786" s="2" t="s">
        <v>93</v>
      </c>
      <c r="Q2786" s="2" t="s">
        <v>94</v>
      </c>
      <c r="R2786" s="2" t="s">
        <v>95</v>
      </c>
      <c r="S2786" s="2">
        <v>1</v>
      </c>
      <c r="T2786" s="2">
        <v>1.1399999999999999</v>
      </c>
      <c r="U2786" s="2">
        <v>0.26219999999999999</v>
      </c>
      <c r="V2786" s="2">
        <v>1.4021999999999999</v>
      </c>
      <c r="W2786" s="2">
        <v>1.1399999999999999</v>
      </c>
      <c r="X2786" s="5">
        <f t="shared" si="386"/>
        <v>0</v>
      </c>
      <c r="Z2786" s="2" t="s">
        <v>3227</v>
      </c>
      <c r="AA2786" s="2" t="s">
        <v>96</v>
      </c>
      <c r="AB2786" s="2" t="s">
        <v>76</v>
      </c>
      <c r="AC2786" s="2" t="s">
        <v>93</v>
      </c>
      <c r="AF2786" s="2">
        <f t="shared" si="380"/>
        <v>0</v>
      </c>
      <c r="AJ2786" s="2">
        <f t="shared" si="381"/>
        <v>0</v>
      </c>
      <c r="AK2786" s="2">
        <f t="shared" si="383"/>
        <v>0</v>
      </c>
      <c r="AL2786" s="5">
        <f t="shared" si="387"/>
        <v>0</v>
      </c>
    </row>
    <row r="2787" spans="1:38" x14ac:dyDescent="0.2">
      <c r="A2787" s="2">
        <v>2025</v>
      </c>
      <c r="B2787" s="2">
        <v>9</v>
      </c>
      <c r="D2787" s="2" t="s">
        <v>1435</v>
      </c>
      <c r="P2787" s="2" t="s">
        <v>114</v>
      </c>
      <c r="Q2787" s="2" t="s">
        <v>2281</v>
      </c>
      <c r="R2787" s="2" t="s">
        <v>2282</v>
      </c>
      <c r="S2787" s="2">
        <v>1</v>
      </c>
      <c r="T2787" s="2">
        <v>234.52</v>
      </c>
      <c r="U2787" s="2">
        <v>53.939600000000013</v>
      </c>
      <c r="V2787" s="2">
        <v>288.45960000000002</v>
      </c>
      <c r="X2787" s="5">
        <f t="shared" si="386"/>
        <v>1</v>
      </c>
      <c r="AF2787" s="2">
        <f t="shared" si="380"/>
        <v>0</v>
      </c>
      <c r="AJ2787" s="2">
        <f t="shared" si="381"/>
        <v>0</v>
      </c>
      <c r="AK2787" s="2">
        <f t="shared" si="383"/>
        <v>234.52</v>
      </c>
      <c r="AL2787" s="5">
        <f t="shared" si="387"/>
        <v>1</v>
      </c>
    </row>
    <row r="2788" spans="1:38" x14ac:dyDescent="0.2">
      <c r="A2788" s="2">
        <v>2025</v>
      </c>
      <c r="B2788" s="2">
        <v>9</v>
      </c>
      <c r="D2788" s="2" t="s">
        <v>617</v>
      </c>
      <c r="E2788" s="2" t="s">
        <v>38</v>
      </c>
      <c r="F2788" s="2" t="s">
        <v>39</v>
      </c>
      <c r="G2788" s="2">
        <v>513759654</v>
      </c>
      <c r="H2788" s="2" t="s">
        <v>41</v>
      </c>
      <c r="I2788" s="2" t="s">
        <v>618</v>
      </c>
      <c r="J2788" s="2" t="s">
        <v>619</v>
      </c>
      <c r="L2788" s="2" t="s">
        <v>418</v>
      </c>
      <c r="M2788" s="2" t="s">
        <v>41</v>
      </c>
      <c r="P2788" s="2" t="s">
        <v>282</v>
      </c>
      <c r="Q2788" s="2" t="s">
        <v>528</v>
      </c>
      <c r="R2788" s="2" t="s">
        <v>529</v>
      </c>
      <c r="S2788" s="2">
        <v>1</v>
      </c>
      <c r="T2788" s="2">
        <v>399</v>
      </c>
      <c r="U2788" s="2">
        <v>91.77000000000001</v>
      </c>
      <c r="V2788" s="2">
        <v>490.77</v>
      </c>
      <c r="W2788" s="2">
        <v>299.25</v>
      </c>
      <c r="X2788" s="5">
        <f t="shared" si="386"/>
        <v>0.25</v>
      </c>
      <c r="Z2788" s="2" t="s">
        <v>3227</v>
      </c>
      <c r="AA2788" s="2" t="s">
        <v>71</v>
      </c>
      <c r="AB2788" s="2" t="s">
        <v>119</v>
      </c>
      <c r="AC2788" s="2" t="s">
        <v>119</v>
      </c>
      <c r="AF2788" s="2">
        <f t="shared" si="380"/>
        <v>0</v>
      </c>
      <c r="AJ2788" s="2">
        <f t="shared" si="381"/>
        <v>0</v>
      </c>
      <c r="AK2788" s="2">
        <f t="shared" si="383"/>
        <v>99.75</v>
      </c>
      <c r="AL2788" s="5">
        <f t="shared" si="387"/>
        <v>0.25</v>
      </c>
    </row>
    <row r="2789" spans="1:38" x14ac:dyDescent="0.2">
      <c r="A2789" s="2">
        <v>2025</v>
      </c>
      <c r="B2789" s="2">
        <v>9</v>
      </c>
      <c r="D2789" s="2" t="s">
        <v>617</v>
      </c>
      <c r="E2789" s="2" t="s">
        <v>38</v>
      </c>
      <c r="F2789" s="2" t="s">
        <v>39</v>
      </c>
      <c r="G2789" s="2">
        <v>513759654</v>
      </c>
      <c r="H2789" s="2" t="s">
        <v>41</v>
      </c>
      <c r="I2789" s="2" t="s">
        <v>618</v>
      </c>
      <c r="J2789" s="2" t="s">
        <v>619</v>
      </c>
      <c r="L2789" s="2" t="s">
        <v>418</v>
      </c>
      <c r="M2789" s="2" t="s">
        <v>41</v>
      </c>
      <c r="P2789" s="2" t="s">
        <v>282</v>
      </c>
      <c r="Q2789" s="2" t="s">
        <v>401</v>
      </c>
      <c r="R2789" s="2" t="s">
        <v>402</v>
      </c>
      <c r="S2789" s="2">
        <v>2</v>
      </c>
      <c r="T2789" s="2">
        <v>58</v>
      </c>
      <c r="U2789" s="2">
        <v>13.34</v>
      </c>
      <c r="V2789" s="2">
        <v>71.34</v>
      </c>
      <c r="W2789" s="2">
        <f>17.4*S2789</f>
        <v>34.799999999999997</v>
      </c>
      <c r="X2789" s="5">
        <f t="shared" si="386"/>
        <v>0.4</v>
      </c>
      <c r="Z2789" s="2" t="s">
        <v>3227</v>
      </c>
      <c r="AA2789" s="2" t="s">
        <v>46</v>
      </c>
      <c r="AB2789" s="2" t="s">
        <v>60</v>
      </c>
      <c r="AC2789" s="2" t="s">
        <v>3332</v>
      </c>
      <c r="AF2789" s="2">
        <f t="shared" si="380"/>
        <v>0</v>
      </c>
      <c r="AJ2789" s="2">
        <f t="shared" si="381"/>
        <v>0</v>
      </c>
      <c r="AK2789" s="2">
        <f t="shared" si="383"/>
        <v>23.200000000000003</v>
      </c>
      <c r="AL2789" s="5">
        <f t="shared" si="387"/>
        <v>0.4</v>
      </c>
    </row>
    <row r="2790" spans="1:38" x14ac:dyDescent="0.2">
      <c r="A2790" s="2">
        <v>2025</v>
      </c>
      <c r="B2790" s="2">
        <v>9</v>
      </c>
      <c r="D2790" s="2" t="s">
        <v>617</v>
      </c>
      <c r="E2790" s="2" t="s">
        <v>38</v>
      </c>
      <c r="F2790" s="2" t="s">
        <v>39</v>
      </c>
      <c r="G2790" s="2">
        <v>513759654</v>
      </c>
      <c r="H2790" s="2" t="s">
        <v>41</v>
      </c>
      <c r="I2790" s="2" t="s">
        <v>618</v>
      </c>
      <c r="J2790" s="2" t="s">
        <v>619</v>
      </c>
      <c r="L2790" s="2" t="s">
        <v>418</v>
      </c>
      <c r="M2790" s="2" t="s">
        <v>41</v>
      </c>
      <c r="P2790" s="2" t="s">
        <v>43</v>
      </c>
      <c r="Q2790" s="2" t="s">
        <v>1363</v>
      </c>
      <c r="R2790" s="2" t="s">
        <v>1364</v>
      </c>
      <c r="S2790" s="2">
        <v>3</v>
      </c>
      <c r="T2790" s="2">
        <v>84.6</v>
      </c>
      <c r="U2790" s="2">
        <v>19.457999999999998</v>
      </c>
      <c r="V2790" s="2">
        <v>104.05800000000001</v>
      </c>
      <c r="W2790" s="2">
        <f>9.75*S2790</f>
        <v>29.25</v>
      </c>
      <c r="X2790" s="5">
        <f t="shared" si="386"/>
        <v>0.6542553191489362</v>
      </c>
      <c r="Z2790" s="2" t="s">
        <v>3227</v>
      </c>
      <c r="AA2790" s="2" t="s">
        <v>46</v>
      </c>
      <c r="AB2790" s="2" t="s">
        <v>47</v>
      </c>
      <c r="AC2790" s="2" t="s">
        <v>57</v>
      </c>
      <c r="AF2790" s="2">
        <f t="shared" si="380"/>
        <v>0</v>
      </c>
      <c r="AJ2790" s="2">
        <f t="shared" si="381"/>
        <v>0</v>
      </c>
      <c r="AK2790" s="2">
        <f t="shared" si="383"/>
        <v>55.349999999999994</v>
      </c>
      <c r="AL2790" s="5">
        <f t="shared" si="387"/>
        <v>0.6542553191489362</v>
      </c>
    </row>
    <row r="2791" spans="1:38" x14ac:dyDescent="0.2">
      <c r="A2791" s="2">
        <v>2025</v>
      </c>
      <c r="B2791" s="2">
        <v>9</v>
      </c>
      <c r="D2791" s="2" t="s">
        <v>617</v>
      </c>
      <c r="E2791" s="2" t="s">
        <v>38</v>
      </c>
      <c r="F2791" s="2" t="s">
        <v>39</v>
      </c>
      <c r="G2791" s="2">
        <v>513759654</v>
      </c>
      <c r="H2791" s="2" t="s">
        <v>41</v>
      </c>
      <c r="I2791" s="2" t="s">
        <v>618</v>
      </c>
      <c r="J2791" s="2" t="s">
        <v>619</v>
      </c>
      <c r="L2791" s="2" t="s">
        <v>418</v>
      </c>
      <c r="M2791" s="2" t="s">
        <v>41</v>
      </c>
      <c r="P2791" s="2" t="s">
        <v>43</v>
      </c>
      <c r="Q2791" s="2" t="s">
        <v>592</v>
      </c>
      <c r="R2791" s="2" t="s">
        <v>593</v>
      </c>
      <c r="S2791" s="2">
        <v>3</v>
      </c>
      <c r="T2791" s="2">
        <v>90</v>
      </c>
      <c r="U2791" s="2">
        <v>20.7</v>
      </c>
      <c r="V2791" s="2">
        <v>110.7</v>
      </c>
      <c r="W2791" s="2">
        <f>11.295*S2791</f>
        <v>33.884999999999998</v>
      </c>
      <c r="X2791" s="5">
        <f t="shared" si="386"/>
        <v>0.62350000000000005</v>
      </c>
      <c r="Z2791" s="2" t="s">
        <v>3227</v>
      </c>
      <c r="AA2791" s="2" t="s">
        <v>46</v>
      </c>
      <c r="AB2791" s="2" t="s">
        <v>47</v>
      </c>
      <c r="AC2791" s="2" t="s">
        <v>57</v>
      </c>
      <c r="AF2791" s="2">
        <f t="shared" si="380"/>
        <v>0</v>
      </c>
      <c r="AJ2791" s="2">
        <f t="shared" si="381"/>
        <v>0</v>
      </c>
      <c r="AK2791" s="2">
        <f t="shared" si="383"/>
        <v>56.115000000000002</v>
      </c>
      <c r="AL2791" s="5">
        <f t="shared" si="387"/>
        <v>0.62350000000000005</v>
      </c>
    </row>
    <row r="2792" spans="1:38" x14ac:dyDescent="0.2">
      <c r="A2792" s="2">
        <v>2025</v>
      </c>
      <c r="B2792" s="2">
        <v>9</v>
      </c>
      <c r="D2792" s="2" t="s">
        <v>617</v>
      </c>
      <c r="E2792" s="2" t="s">
        <v>38</v>
      </c>
      <c r="F2792" s="2" t="s">
        <v>39</v>
      </c>
      <c r="G2792" s="2">
        <v>513759654</v>
      </c>
      <c r="H2792" s="2" t="s">
        <v>41</v>
      </c>
      <c r="I2792" s="2" t="s">
        <v>618</v>
      </c>
      <c r="J2792" s="2" t="s">
        <v>619</v>
      </c>
      <c r="L2792" s="2" t="s">
        <v>418</v>
      </c>
      <c r="M2792" s="2" t="s">
        <v>41</v>
      </c>
      <c r="P2792" s="2" t="s">
        <v>43</v>
      </c>
      <c r="Q2792" s="2" t="s">
        <v>238</v>
      </c>
      <c r="R2792" s="2" t="s">
        <v>239</v>
      </c>
      <c r="S2792" s="2">
        <v>1</v>
      </c>
      <c r="T2792" s="2">
        <v>19.8</v>
      </c>
      <c r="U2792" s="2">
        <v>4.5540000000000003</v>
      </c>
      <c r="V2792" s="2">
        <v>24.353999999999999</v>
      </c>
      <c r="W2792" s="2">
        <f>11.045*S2792</f>
        <v>11.045</v>
      </c>
      <c r="X2792" s="5">
        <f t="shared" si="386"/>
        <v>0.44217171717171722</v>
      </c>
      <c r="Z2792" s="2" t="s">
        <v>3227</v>
      </c>
      <c r="AA2792" s="2" t="s">
        <v>46</v>
      </c>
      <c r="AB2792" s="2" t="s">
        <v>56</v>
      </c>
      <c r="AC2792" s="2" t="s">
        <v>57</v>
      </c>
      <c r="AF2792" s="2">
        <f t="shared" si="380"/>
        <v>0</v>
      </c>
      <c r="AJ2792" s="2">
        <f t="shared" si="381"/>
        <v>0</v>
      </c>
      <c r="AK2792" s="2">
        <f t="shared" si="383"/>
        <v>8.7550000000000008</v>
      </c>
      <c r="AL2792" s="5">
        <f t="shared" si="387"/>
        <v>0.44217171717171722</v>
      </c>
    </row>
    <row r="2793" spans="1:38" x14ac:dyDescent="0.2">
      <c r="A2793" s="2">
        <v>2025</v>
      </c>
      <c r="B2793" s="2">
        <v>9</v>
      </c>
      <c r="D2793" s="2" t="s">
        <v>617</v>
      </c>
      <c r="E2793" s="2" t="s">
        <v>38</v>
      </c>
      <c r="F2793" s="2" t="s">
        <v>39</v>
      </c>
      <c r="G2793" s="2">
        <v>513759654</v>
      </c>
      <c r="H2793" s="2" t="s">
        <v>41</v>
      </c>
      <c r="I2793" s="2" t="s">
        <v>618</v>
      </c>
      <c r="J2793" s="2" t="s">
        <v>619</v>
      </c>
      <c r="L2793" s="2" t="s">
        <v>418</v>
      </c>
      <c r="M2793" s="2" t="s">
        <v>41</v>
      </c>
      <c r="P2793" s="2" t="s">
        <v>43</v>
      </c>
      <c r="Q2793" s="2" t="s">
        <v>240</v>
      </c>
      <c r="R2793" s="2" t="s">
        <v>241</v>
      </c>
      <c r="S2793" s="2">
        <v>1</v>
      </c>
      <c r="T2793" s="2">
        <v>24</v>
      </c>
      <c r="U2793" s="2">
        <v>5.52</v>
      </c>
      <c r="V2793" s="2">
        <v>29.52</v>
      </c>
      <c r="W2793" s="2">
        <f>13.4067*S2793</f>
        <v>13.406700000000001</v>
      </c>
      <c r="X2793" s="5">
        <f t="shared" si="386"/>
        <v>0.44138749999999999</v>
      </c>
      <c r="Z2793" s="2" t="s">
        <v>3227</v>
      </c>
      <c r="AA2793" s="2" t="s">
        <v>46</v>
      </c>
      <c r="AB2793" s="2" t="s">
        <v>56</v>
      </c>
      <c r="AC2793" s="2" t="s">
        <v>57</v>
      </c>
      <c r="AF2793" s="2">
        <f t="shared" si="380"/>
        <v>0</v>
      </c>
      <c r="AJ2793" s="2">
        <f t="shared" si="381"/>
        <v>0</v>
      </c>
      <c r="AK2793" s="2">
        <f t="shared" si="383"/>
        <v>10.593299999999999</v>
      </c>
      <c r="AL2793" s="5">
        <f t="shared" si="387"/>
        <v>0.44138749999999999</v>
      </c>
    </row>
    <row r="2794" spans="1:38" x14ac:dyDescent="0.2">
      <c r="A2794" s="2">
        <v>2025</v>
      </c>
      <c r="B2794" s="2">
        <v>9</v>
      </c>
      <c r="D2794" s="2" t="s">
        <v>617</v>
      </c>
      <c r="E2794" s="2" t="s">
        <v>38</v>
      </c>
      <c r="F2794" s="2" t="s">
        <v>39</v>
      </c>
      <c r="G2794" s="2">
        <v>513759654</v>
      </c>
      <c r="H2794" s="2" t="s">
        <v>41</v>
      </c>
      <c r="I2794" s="2" t="s">
        <v>618</v>
      </c>
      <c r="J2794" s="2" t="s">
        <v>619</v>
      </c>
      <c r="L2794" s="2" t="s">
        <v>418</v>
      </c>
      <c r="M2794" s="2" t="s">
        <v>41</v>
      </c>
      <c r="P2794" s="2" t="s">
        <v>43</v>
      </c>
      <c r="Q2794" s="2" t="s">
        <v>242</v>
      </c>
      <c r="R2794" s="2" t="s">
        <v>243</v>
      </c>
      <c r="S2794" s="2">
        <v>1</v>
      </c>
      <c r="T2794" s="2">
        <v>28.8</v>
      </c>
      <c r="U2794" s="2">
        <v>6.6240000000000014</v>
      </c>
      <c r="V2794" s="2">
        <v>35.423999999999999</v>
      </c>
      <c r="W2794" s="2">
        <f>16.2249*S2794</f>
        <v>16.224900000000002</v>
      </c>
      <c r="X2794" s="5">
        <f t="shared" si="386"/>
        <v>0.43663541666666661</v>
      </c>
      <c r="Z2794" s="2" t="s">
        <v>3227</v>
      </c>
      <c r="AA2794" s="2" t="s">
        <v>46</v>
      </c>
      <c r="AB2794" s="2" t="s">
        <v>56</v>
      </c>
      <c r="AC2794" s="2" t="s">
        <v>57</v>
      </c>
      <c r="AF2794" s="2">
        <f t="shared" si="380"/>
        <v>0</v>
      </c>
      <c r="AJ2794" s="2">
        <f t="shared" si="381"/>
        <v>0</v>
      </c>
      <c r="AK2794" s="2">
        <f t="shared" si="383"/>
        <v>12.575099999999999</v>
      </c>
      <c r="AL2794" s="5">
        <f t="shared" si="387"/>
        <v>0.43663541666666661</v>
      </c>
    </row>
    <row r="2795" spans="1:38" x14ac:dyDescent="0.2">
      <c r="A2795" s="2">
        <v>2025</v>
      </c>
      <c r="B2795" s="2">
        <v>9</v>
      </c>
      <c r="D2795" s="2" t="s">
        <v>617</v>
      </c>
      <c r="E2795" s="2" t="s">
        <v>38</v>
      </c>
      <c r="F2795" s="2" t="s">
        <v>39</v>
      </c>
      <c r="G2795" s="2">
        <v>513759654</v>
      </c>
      <c r="H2795" s="2" t="s">
        <v>41</v>
      </c>
      <c r="I2795" s="2" t="s">
        <v>618</v>
      </c>
      <c r="J2795" s="2" t="s">
        <v>619</v>
      </c>
      <c r="L2795" s="2" t="s">
        <v>418</v>
      </c>
      <c r="M2795" s="2" t="s">
        <v>41</v>
      </c>
      <c r="P2795" s="2" t="s">
        <v>43</v>
      </c>
      <c r="Q2795" s="2" t="s">
        <v>244</v>
      </c>
      <c r="R2795" s="2" t="s">
        <v>245</v>
      </c>
      <c r="S2795" s="2">
        <v>1</v>
      </c>
      <c r="T2795" s="2">
        <v>16.8</v>
      </c>
      <c r="U2795" s="2">
        <v>3.8639999999999999</v>
      </c>
      <c r="V2795" s="2">
        <v>20.664000000000001</v>
      </c>
      <c r="W2795" s="2">
        <f>9.2346*S2795</f>
        <v>9.2346000000000004</v>
      </c>
      <c r="X2795" s="5">
        <f t="shared" si="386"/>
        <v>0.45032142857142859</v>
      </c>
      <c r="Z2795" s="2" t="s">
        <v>3227</v>
      </c>
      <c r="AA2795" s="2" t="s">
        <v>46</v>
      </c>
      <c r="AB2795" s="2" t="s">
        <v>56</v>
      </c>
      <c r="AC2795" s="2" t="s">
        <v>57</v>
      </c>
      <c r="AF2795" s="2">
        <f t="shared" si="380"/>
        <v>0</v>
      </c>
      <c r="AJ2795" s="2">
        <f t="shared" si="381"/>
        <v>0</v>
      </c>
      <c r="AK2795" s="2">
        <f t="shared" si="383"/>
        <v>7.5654000000000003</v>
      </c>
      <c r="AL2795" s="5">
        <f t="shared" si="387"/>
        <v>0.45032142857142859</v>
      </c>
    </row>
    <row r="2796" spans="1:38" x14ac:dyDescent="0.2">
      <c r="A2796" s="2">
        <v>2025</v>
      </c>
      <c r="B2796" s="2">
        <v>9</v>
      </c>
      <c r="D2796" s="2" t="s">
        <v>617</v>
      </c>
      <c r="E2796" s="2" t="s">
        <v>38</v>
      </c>
      <c r="F2796" s="2" t="s">
        <v>39</v>
      </c>
      <c r="G2796" s="2">
        <v>513759654</v>
      </c>
      <c r="H2796" s="2" t="s">
        <v>41</v>
      </c>
      <c r="I2796" s="2" t="s">
        <v>618</v>
      </c>
      <c r="J2796" s="2" t="s">
        <v>619</v>
      </c>
      <c r="L2796" s="2" t="s">
        <v>418</v>
      </c>
      <c r="M2796" s="2" t="s">
        <v>41</v>
      </c>
      <c r="P2796" s="2" t="s">
        <v>43</v>
      </c>
      <c r="Q2796" s="2" t="s">
        <v>58</v>
      </c>
      <c r="R2796" s="2" t="s">
        <v>59</v>
      </c>
      <c r="S2796" s="2">
        <v>100</v>
      </c>
      <c r="T2796" s="2">
        <v>13</v>
      </c>
      <c r="U2796" s="2">
        <v>2.99</v>
      </c>
      <c r="V2796" s="2">
        <v>15.99</v>
      </c>
      <c r="W2796" s="2">
        <f>0.0914*S2796</f>
        <v>9.1399999999999988</v>
      </c>
      <c r="X2796" s="5">
        <f t="shared" si="386"/>
        <v>0.29692307692307701</v>
      </c>
      <c r="Z2796" s="2" t="s">
        <v>3227</v>
      </c>
      <c r="AA2796" s="2" t="s">
        <v>46</v>
      </c>
      <c r="AB2796" s="2" t="s">
        <v>60</v>
      </c>
      <c r="AC2796" s="2" t="s">
        <v>57</v>
      </c>
      <c r="AF2796" s="2">
        <f t="shared" si="380"/>
        <v>0</v>
      </c>
      <c r="AG2796" s="2">
        <v>9.14</v>
      </c>
      <c r="AH2796" s="2">
        <v>16</v>
      </c>
      <c r="AJ2796" s="2">
        <f t="shared" si="381"/>
        <v>0</v>
      </c>
      <c r="AK2796" s="2">
        <f t="shared" si="383"/>
        <v>3.8600000000000012</v>
      </c>
      <c r="AL2796" s="5">
        <f t="shared" si="387"/>
        <v>0.29692307692307701</v>
      </c>
    </row>
    <row r="2797" spans="1:38" x14ac:dyDescent="0.2">
      <c r="A2797" s="2">
        <v>2025</v>
      </c>
      <c r="B2797" s="2">
        <v>9</v>
      </c>
      <c r="D2797" s="2" t="s">
        <v>617</v>
      </c>
      <c r="E2797" s="2" t="s">
        <v>38</v>
      </c>
      <c r="F2797" s="2" t="s">
        <v>39</v>
      </c>
      <c r="G2797" s="2">
        <v>513759654</v>
      </c>
      <c r="H2797" s="2" t="s">
        <v>41</v>
      </c>
      <c r="I2797" s="2" t="s">
        <v>618</v>
      </c>
      <c r="J2797" s="2" t="s">
        <v>619</v>
      </c>
      <c r="L2797" s="2" t="s">
        <v>418</v>
      </c>
      <c r="M2797" s="2" t="s">
        <v>41</v>
      </c>
      <c r="P2797" s="2" t="s">
        <v>43</v>
      </c>
      <c r="Q2797" s="2" t="s">
        <v>61</v>
      </c>
      <c r="R2797" s="2" t="s">
        <v>62</v>
      </c>
      <c r="S2797" s="2">
        <v>100</v>
      </c>
      <c r="T2797" s="2">
        <v>12</v>
      </c>
      <c r="U2797" s="2">
        <v>2.76</v>
      </c>
      <c r="V2797" s="2">
        <v>14.76</v>
      </c>
      <c r="W2797" s="2">
        <f>0.082*S2797</f>
        <v>8.2000000000000011</v>
      </c>
      <c r="X2797" s="5">
        <f t="shared" si="386"/>
        <v>0.3166666666666666</v>
      </c>
      <c r="Z2797" s="2" t="s">
        <v>3227</v>
      </c>
      <c r="AA2797" s="2" t="s">
        <v>46</v>
      </c>
      <c r="AB2797" s="2" t="s">
        <v>60</v>
      </c>
      <c r="AC2797" s="2" t="s">
        <v>57</v>
      </c>
      <c r="AF2797" s="2">
        <f t="shared" si="380"/>
        <v>0</v>
      </c>
      <c r="AG2797" s="2">
        <v>8.1999999999999993</v>
      </c>
      <c r="AH2797" s="2">
        <v>13</v>
      </c>
      <c r="AJ2797" s="2">
        <f t="shared" si="381"/>
        <v>0</v>
      </c>
      <c r="AK2797" s="2">
        <f t="shared" si="383"/>
        <v>3.7999999999999989</v>
      </c>
      <c r="AL2797" s="5">
        <f t="shared" si="387"/>
        <v>0.3166666666666666</v>
      </c>
    </row>
    <row r="2798" spans="1:38" x14ac:dyDescent="0.2">
      <c r="A2798" s="2">
        <v>2025</v>
      </c>
      <c r="B2798" s="2">
        <v>9</v>
      </c>
      <c r="D2798" s="2" t="s">
        <v>617</v>
      </c>
      <c r="E2798" s="2" t="s">
        <v>38</v>
      </c>
      <c r="F2798" s="2" t="s">
        <v>39</v>
      </c>
      <c r="G2798" s="2">
        <v>513759654</v>
      </c>
      <c r="H2798" s="2" t="s">
        <v>41</v>
      </c>
      <c r="I2798" s="2" t="s">
        <v>618</v>
      </c>
      <c r="J2798" s="2" t="s">
        <v>619</v>
      </c>
      <c r="L2798" s="2" t="s">
        <v>418</v>
      </c>
      <c r="M2798" s="2" t="s">
        <v>41</v>
      </c>
      <c r="P2798" s="2" t="s">
        <v>43</v>
      </c>
      <c r="Q2798" s="2" t="s">
        <v>65</v>
      </c>
      <c r="R2798" s="2" t="s">
        <v>66</v>
      </c>
      <c r="S2798" s="2">
        <v>1</v>
      </c>
      <c r="T2798" s="2">
        <v>22</v>
      </c>
      <c r="U2798" s="2">
        <v>5.0599999999999996</v>
      </c>
      <c r="V2798" s="2">
        <v>27.06</v>
      </c>
      <c r="W2798" s="2">
        <f>15.0203*S2798</f>
        <v>15.020300000000001</v>
      </c>
      <c r="X2798" s="5">
        <f t="shared" si="386"/>
        <v>0.31725909090909088</v>
      </c>
      <c r="Z2798" s="2" t="s">
        <v>3227</v>
      </c>
      <c r="AA2798" s="2" t="s">
        <v>46</v>
      </c>
      <c r="AB2798" s="2" t="s">
        <v>67</v>
      </c>
      <c r="AC2798" s="2" t="s">
        <v>57</v>
      </c>
      <c r="AF2798" s="2">
        <f t="shared" si="380"/>
        <v>0</v>
      </c>
      <c r="AG2798" s="2">
        <v>15.020300000000001</v>
      </c>
      <c r="AH2798" s="2">
        <v>27.6</v>
      </c>
      <c r="AJ2798" s="2">
        <f t="shared" si="381"/>
        <v>0</v>
      </c>
      <c r="AK2798" s="2">
        <f t="shared" si="383"/>
        <v>6.9796999999999993</v>
      </c>
      <c r="AL2798" s="5">
        <f t="shared" si="387"/>
        <v>0.31725909090909088</v>
      </c>
    </row>
    <row r="2799" spans="1:38" x14ac:dyDescent="0.2">
      <c r="A2799" s="2">
        <v>2025</v>
      </c>
      <c r="B2799" s="2">
        <v>9</v>
      </c>
      <c r="D2799" s="2" t="s">
        <v>624</v>
      </c>
      <c r="E2799" s="2" t="s">
        <v>38</v>
      </c>
      <c r="F2799" s="2" t="s">
        <v>39</v>
      </c>
      <c r="G2799" s="2" t="s">
        <v>625</v>
      </c>
      <c r="H2799" s="2" t="s">
        <v>40</v>
      </c>
      <c r="I2799" s="2" t="s">
        <v>626</v>
      </c>
      <c r="J2799" s="2" t="s">
        <v>627</v>
      </c>
      <c r="L2799" s="2" t="s">
        <v>626</v>
      </c>
      <c r="M2799" s="2" t="s">
        <v>40</v>
      </c>
      <c r="P2799" s="2" t="s">
        <v>114</v>
      </c>
      <c r="Q2799" s="2" t="s">
        <v>904</v>
      </c>
      <c r="R2799" s="2" t="s">
        <v>905</v>
      </c>
      <c r="S2799" s="2">
        <v>3</v>
      </c>
      <c r="T2799" s="2">
        <v>1397.1</v>
      </c>
      <c r="V2799" s="2">
        <f>T2799</f>
        <v>1397.1</v>
      </c>
      <c r="W2799" s="2">
        <f>345.2034*S2799</f>
        <v>1035.6102000000001</v>
      </c>
      <c r="X2799" s="5">
        <f t="shared" si="386"/>
        <v>0.25874296757569243</v>
      </c>
      <c r="Z2799" s="2" t="s">
        <v>117</v>
      </c>
      <c r="AA2799" s="2" t="s">
        <v>181</v>
      </c>
      <c r="AB2799" s="2" t="s">
        <v>119</v>
      </c>
      <c r="AC2799" s="2" t="s">
        <v>114</v>
      </c>
      <c r="AF2799" s="2">
        <f t="shared" si="380"/>
        <v>0</v>
      </c>
      <c r="AJ2799" s="2">
        <f t="shared" si="381"/>
        <v>0</v>
      </c>
      <c r="AK2799" s="2">
        <f t="shared" si="383"/>
        <v>361.48979999999983</v>
      </c>
      <c r="AL2799" s="5">
        <f t="shared" si="387"/>
        <v>0.25874296757569243</v>
      </c>
    </row>
    <row r="2800" spans="1:38" x14ac:dyDescent="0.2">
      <c r="A2800" s="2">
        <v>2025</v>
      </c>
      <c r="B2800" s="2">
        <v>9</v>
      </c>
      <c r="D2800" s="2" t="s">
        <v>2283</v>
      </c>
      <c r="M2800" s="2" t="s">
        <v>40</v>
      </c>
      <c r="P2800" s="2" t="s">
        <v>114</v>
      </c>
      <c r="Q2800" s="2" t="s">
        <v>373</v>
      </c>
      <c r="R2800" s="2" t="s">
        <v>374</v>
      </c>
      <c r="S2800" s="2">
        <v>1</v>
      </c>
      <c r="T2800" s="2">
        <v>48.95</v>
      </c>
      <c r="U2800" s="2">
        <v>11.2585</v>
      </c>
      <c r="V2800" s="2">
        <v>60.208500000000001</v>
      </c>
      <c r="W2800" s="2">
        <f>23.042*S2800</f>
        <v>23.042000000000002</v>
      </c>
      <c r="X2800" s="5">
        <f t="shared" si="386"/>
        <v>0.52927477017364655</v>
      </c>
      <c r="Z2800" s="2" t="s">
        <v>117</v>
      </c>
      <c r="AA2800" s="2" t="s">
        <v>118</v>
      </c>
      <c r="AB2800" s="2" t="s">
        <v>119</v>
      </c>
      <c r="AC2800" s="2" t="s">
        <v>114</v>
      </c>
      <c r="AF2800" s="2">
        <f t="shared" si="380"/>
        <v>0</v>
      </c>
      <c r="AJ2800" s="2">
        <f t="shared" si="381"/>
        <v>0</v>
      </c>
      <c r="AK2800" s="2">
        <f t="shared" si="383"/>
        <v>25.908000000000001</v>
      </c>
      <c r="AL2800" s="5">
        <f t="shared" si="387"/>
        <v>0.52927477017364655</v>
      </c>
    </row>
    <row r="2801" spans="1:38" x14ac:dyDescent="0.2">
      <c r="A2801" s="2">
        <v>2025</v>
      </c>
      <c r="B2801" s="2">
        <v>9</v>
      </c>
      <c r="D2801" s="2" t="s">
        <v>2283</v>
      </c>
      <c r="P2801" s="2" t="s">
        <v>169</v>
      </c>
      <c r="Q2801" s="2" t="s">
        <v>170</v>
      </c>
      <c r="R2801" s="2" t="s">
        <v>170</v>
      </c>
      <c r="S2801" s="2">
        <v>1</v>
      </c>
      <c r="T2801" s="2">
        <v>5</v>
      </c>
      <c r="U2801" s="2">
        <v>1.1499999999999999</v>
      </c>
      <c r="V2801" s="2">
        <v>6.15</v>
      </c>
      <c r="W2801" s="2">
        <v>6</v>
      </c>
      <c r="X2801" s="5">
        <f t="shared" si="386"/>
        <v>-0.2</v>
      </c>
      <c r="Z2801" s="2" t="s">
        <v>169</v>
      </c>
      <c r="AA2801" s="2" t="s">
        <v>169</v>
      </c>
      <c r="AF2801" s="2">
        <f t="shared" si="380"/>
        <v>0</v>
      </c>
      <c r="AJ2801" s="2">
        <f t="shared" si="381"/>
        <v>0</v>
      </c>
      <c r="AK2801" s="2">
        <f t="shared" si="383"/>
        <v>-1</v>
      </c>
      <c r="AL2801" s="5">
        <f t="shared" si="387"/>
        <v>-0.2</v>
      </c>
    </row>
    <row r="2802" spans="1:38" x14ac:dyDescent="0.2">
      <c r="A2802" s="2">
        <v>2025</v>
      </c>
      <c r="B2802" s="2">
        <v>9</v>
      </c>
      <c r="D2802" s="2" t="s">
        <v>651</v>
      </c>
      <c r="E2802" s="2" t="s">
        <v>108</v>
      </c>
      <c r="F2802" s="2" t="s">
        <v>39</v>
      </c>
      <c r="G2802" s="2">
        <v>509838537</v>
      </c>
      <c r="H2802" s="2" t="s">
        <v>41</v>
      </c>
      <c r="I2802" s="2" t="s">
        <v>652</v>
      </c>
      <c r="J2802" s="2" t="s">
        <v>653</v>
      </c>
      <c r="L2802" s="2" t="s">
        <v>418</v>
      </c>
      <c r="M2802" s="2" t="s">
        <v>41</v>
      </c>
      <c r="O2802" s="2" t="s">
        <v>2284</v>
      </c>
      <c r="P2802" s="2" t="s">
        <v>72</v>
      </c>
      <c r="Q2802" s="2" t="s">
        <v>306</v>
      </c>
      <c r="R2802" s="2" t="s">
        <v>307</v>
      </c>
      <c r="S2802" s="2">
        <v>1</v>
      </c>
      <c r="T2802" s="2">
        <v>230</v>
      </c>
      <c r="U2802" s="2">
        <v>52.900000000000013</v>
      </c>
      <c r="V2802" s="2">
        <v>282.89999999999998</v>
      </c>
      <c r="W2802" s="2">
        <v>119.33</v>
      </c>
      <c r="X2802" s="5">
        <f t="shared" si="386"/>
        <v>0.48117391304347829</v>
      </c>
      <c r="Z2802" s="2" t="s">
        <v>3227</v>
      </c>
      <c r="AA2802" s="2" t="s">
        <v>75</v>
      </c>
      <c r="AB2802" s="2" t="s">
        <v>76</v>
      </c>
      <c r="AC2802" s="2" t="s">
        <v>77</v>
      </c>
      <c r="AF2802" s="2">
        <f t="shared" si="380"/>
        <v>0</v>
      </c>
      <c r="AG2802" s="2">
        <v>119.33</v>
      </c>
      <c r="AH2802" s="2">
        <v>220</v>
      </c>
      <c r="AJ2802" s="2">
        <f t="shared" si="381"/>
        <v>0</v>
      </c>
      <c r="AK2802" s="2">
        <f t="shared" si="383"/>
        <v>110.67</v>
      </c>
      <c r="AL2802" s="5">
        <f t="shared" si="387"/>
        <v>0.48117391304347829</v>
      </c>
    </row>
    <row r="2803" spans="1:38" x14ac:dyDescent="0.2">
      <c r="A2803" s="2">
        <v>2025</v>
      </c>
      <c r="B2803" s="2">
        <v>9</v>
      </c>
      <c r="D2803" s="2" t="s">
        <v>651</v>
      </c>
      <c r="E2803" s="2" t="s">
        <v>108</v>
      </c>
      <c r="F2803" s="2" t="s">
        <v>39</v>
      </c>
      <c r="G2803" s="2">
        <v>509838537</v>
      </c>
      <c r="H2803" s="2" t="s">
        <v>41</v>
      </c>
      <c r="I2803" s="2" t="s">
        <v>652</v>
      </c>
      <c r="J2803" s="2" t="s">
        <v>653</v>
      </c>
      <c r="L2803" s="2" t="s">
        <v>418</v>
      </c>
      <c r="M2803" s="2" t="s">
        <v>41</v>
      </c>
      <c r="O2803" s="2" t="s">
        <v>2284</v>
      </c>
      <c r="P2803" s="2" t="s">
        <v>93</v>
      </c>
      <c r="Q2803" s="2" t="s">
        <v>94</v>
      </c>
      <c r="R2803" s="2" t="s">
        <v>95</v>
      </c>
      <c r="S2803" s="2">
        <v>1</v>
      </c>
      <c r="T2803" s="2">
        <v>1.1399999999999999</v>
      </c>
      <c r="U2803" s="2">
        <v>0.26219999999999999</v>
      </c>
      <c r="V2803" s="2">
        <v>1.4021999999999999</v>
      </c>
      <c r="W2803" s="2">
        <v>1.1399999999999999</v>
      </c>
      <c r="X2803" s="5">
        <f t="shared" si="386"/>
        <v>0</v>
      </c>
      <c r="Z2803" s="2" t="s">
        <v>3227</v>
      </c>
      <c r="AA2803" s="2" t="s">
        <v>96</v>
      </c>
      <c r="AB2803" s="2" t="s">
        <v>76</v>
      </c>
      <c r="AC2803" s="2" t="s">
        <v>93</v>
      </c>
      <c r="AF2803" s="2">
        <f t="shared" si="380"/>
        <v>0</v>
      </c>
      <c r="AG2803" s="2">
        <v>1.1399999999999999</v>
      </c>
      <c r="AH2803" s="2">
        <v>1.1399999999999999</v>
      </c>
      <c r="AJ2803" s="2">
        <f t="shared" si="381"/>
        <v>0</v>
      </c>
      <c r="AK2803" s="2">
        <f t="shared" si="383"/>
        <v>0</v>
      </c>
      <c r="AL2803" s="5">
        <f t="shared" si="387"/>
        <v>0</v>
      </c>
    </row>
    <row r="2804" spans="1:38" x14ac:dyDescent="0.2">
      <c r="A2804" s="2">
        <v>2025</v>
      </c>
      <c r="B2804" s="2">
        <v>9</v>
      </c>
      <c r="D2804" s="2" t="s">
        <v>1439</v>
      </c>
      <c r="M2804" s="2" t="s">
        <v>40</v>
      </c>
      <c r="P2804" s="2" t="s">
        <v>187</v>
      </c>
      <c r="Q2804" s="2" t="s">
        <v>188</v>
      </c>
      <c r="R2804" s="2" t="s">
        <v>189</v>
      </c>
      <c r="S2804" s="2">
        <v>1</v>
      </c>
      <c r="T2804" s="2">
        <v>79</v>
      </c>
      <c r="U2804" s="2">
        <v>18.170000000000002</v>
      </c>
      <c r="V2804" s="2">
        <v>97.17</v>
      </c>
      <c r="W2804" s="2">
        <f>T2804*40%</f>
        <v>31.6</v>
      </c>
      <c r="X2804" s="5">
        <f t="shared" si="386"/>
        <v>0.6</v>
      </c>
      <c r="Z2804" s="2" t="s">
        <v>117</v>
      </c>
      <c r="AA2804" s="2" t="s">
        <v>190</v>
      </c>
      <c r="AB2804" s="2" t="s">
        <v>189</v>
      </c>
      <c r="AC2804" s="2" t="s">
        <v>40</v>
      </c>
      <c r="AF2804" s="2">
        <f t="shared" si="380"/>
        <v>0</v>
      </c>
      <c r="AJ2804" s="2">
        <f t="shared" si="381"/>
        <v>0</v>
      </c>
      <c r="AK2804" s="2">
        <f t="shared" si="383"/>
        <v>47.4</v>
      </c>
      <c r="AL2804" s="5">
        <f t="shared" si="387"/>
        <v>0.6</v>
      </c>
    </row>
    <row r="2805" spans="1:38" x14ac:dyDescent="0.2">
      <c r="A2805" s="2">
        <v>2025</v>
      </c>
      <c r="B2805" s="2">
        <v>9</v>
      </c>
      <c r="D2805" s="2" t="s">
        <v>1439</v>
      </c>
      <c r="M2805" s="2" t="s">
        <v>40</v>
      </c>
      <c r="P2805" s="2" t="s">
        <v>187</v>
      </c>
      <c r="Q2805" s="2" t="s">
        <v>191</v>
      </c>
      <c r="R2805" s="2" t="s">
        <v>190</v>
      </c>
      <c r="S2805" s="2">
        <v>1</v>
      </c>
      <c r="T2805" s="2">
        <v>50</v>
      </c>
      <c r="U2805" s="2">
        <v>11.5</v>
      </c>
      <c r="V2805" s="2">
        <v>61.5</v>
      </c>
      <c r="W2805" s="2">
        <f>T2805*50%</f>
        <v>25</v>
      </c>
      <c r="X2805" s="5">
        <f t="shared" si="386"/>
        <v>0.5</v>
      </c>
      <c r="Z2805" s="2" t="s">
        <v>117</v>
      </c>
      <c r="AA2805" s="2" t="s">
        <v>190</v>
      </c>
      <c r="AB2805" s="2" t="s">
        <v>190</v>
      </c>
      <c r="AC2805" s="2" t="s">
        <v>40</v>
      </c>
      <c r="AF2805" s="2">
        <f t="shared" si="380"/>
        <v>0</v>
      </c>
      <c r="AJ2805" s="2">
        <f t="shared" si="381"/>
        <v>0</v>
      </c>
      <c r="AK2805" s="2">
        <f t="shared" si="383"/>
        <v>25</v>
      </c>
      <c r="AL2805" s="5">
        <f t="shared" si="387"/>
        <v>0.5</v>
      </c>
    </row>
    <row r="2806" spans="1:38" x14ac:dyDescent="0.2">
      <c r="A2806" s="2">
        <v>2025</v>
      </c>
      <c r="B2806" s="2">
        <v>9</v>
      </c>
      <c r="D2806" s="2" t="s">
        <v>2191</v>
      </c>
      <c r="P2806" s="2" t="s">
        <v>72</v>
      </c>
      <c r="Q2806" s="2" t="s">
        <v>73</v>
      </c>
      <c r="R2806" s="2" t="s">
        <v>74</v>
      </c>
      <c r="S2806" s="2">
        <v>1</v>
      </c>
      <c r="T2806" s="2">
        <v>220</v>
      </c>
      <c r="U2806" s="2">
        <v>50.6</v>
      </c>
      <c r="V2806" s="2">
        <v>270.60000000000002</v>
      </c>
      <c r="W2806" s="2">
        <v>117.453</v>
      </c>
      <c r="X2806" s="5">
        <f t="shared" si="386"/>
        <v>0.46612272727272724</v>
      </c>
      <c r="Z2806" s="2" t="s">
        <v>3227</v>
      </c>
      <c r="AA2806" s="2" t="s">
        <v>75</v>
      </c>
      <c r="AB2806" s="2" t="s">
        <v>76</v>
      </c>
      <c r="AC2806" s="2" t="s">
        <v>77</v>
      </c>
      <c r="AF2806" s="2">
        <f t="shared" si="380"/>
        <v>0</v>
      </c>
      <c r="AG2806" s="2">
        <v>117.453</v>
      </c>
      <c r="AH2806" s="2">
        <v>220</v>
      </c>
      <c r="AJ2806" s="2">
        <f t="shared" si="381"/>
        <v>0</v>
      </c>
      <c r="AK2806" s="2">
        <f t="shared" si="383"/>
        <v>102.547</v>
      </c>
      <c r="AL2806" s="5">
        <f t="shared" si="387"/>
        <v>0.46612272727272724</v>
      </c>
    </row>
    <row r="2807" spans="1:38" x14ac:dyDescent="0.2">
      <c r="A2807" s="2">
        <v>2025</v>
      </c>
      <c r="B2807" s="2">
        <v>9</v>
      </c>
      <c r="D2807" s="2" t="s">
        <v>2191</v>
      </c>
      <c r="P2807" s="2" t="s">
        <v>93</v>
      </c>
      <c r="Q2807" s="2" t="s">
        <v>94</v>
      </c>
      <c r="R2807" s="2" t="s">
        <v>95</v>
      </c>
      <c r="S2807" s="2">
        <v>1</v>
      </c>
      <c r="T2807" s="2">
        <v>1.1399999999999999</v>
      </c>
      <c r="U2807" s="2">
        <v>0.26219999999999999</v>
      </c>
      <c r="V2807" s="2">
        <v>1.4021999999999999</v>
      </c>
      <c r="W2807" s="2">
        <v>1.1399999999999999</v>
      </c>
      <c r="X2807" s="5">
        <f t="shared" si="386"/>
        <v>0</v>
      </c>
      <c r="Z2807" s="2" t="s">
        <v>3227</v>
      </c>
      <c r="AA2807" s="2" t="s">
        <v>96</v>
      </c>
      <c r="AB2807" s="2" t="s">
        <v>76</v>
      </c>
      <c r="AC2807" s="2" t="s">
        <v>93</v>
      </c>
      <c r="AF2807" s="2">
        <f t="shared" si="380"/>
        <v>0</v>
      </c>
      <c r="AJ2807" s="2">
        <f t="shared" si="381"/>
        <v>0</v>
      </c>
      <c r="AK2807" s="2">
        <f t="shared" si="383"/>
        <v>0</v>
      </c>
      <c r="AL2807" s="5">
        <f t="shared" si="387"/>
        <v>0</v>
      </c>
    </row>
    <row r="2808" spans="1:38" x14ac:dyDescent="0.2">
      <c r="A2808" s="2">
        <v>2025</v>
      </c>
      <c r="B2808" s="2">
        <v>9</v>
      </c>
      <c r="D2808" s="2" t="s">
        <v>1312</v>
      </c>
      <c r="E2808" s="2" t="s">
        <v>38</v>
      </c>
      <c r="F2808" s="2" t="s">
        <v>39</v>
      </c>
      <c r="G2808" s="2">
        <v>509512739</v>
      </c>
      <c r="H2808" s="2" t="s">
        <v>41</v>
      </c>
      <c r="I2808" s="2" t="s">
        <v>177</v>
      </c>
      <c r="J2808" s="2" t="s">
        <v>1313</v>
      </c>
      <c r="L2808" s="2" t="s">
        <v>177</v>
      </c>
      <c r="M2808" s="2" t="s">
        <v>41</v>
      </c>
      <c r="O2808" s="2" t="s">
        <v>2285</v>
      </c>
      <c r="P2808" s="2" t="s">
        <v>282</v>
      </c>
      <c r="Q2808" s="2" t="s">
        <v>528</v>
      </c>
      <c r="R2808" s="2" t="s">
        <v>529</v>
      </c>
      <c r="S2808" s="2">
        <v>1</v>
      </c>
      <c r="T2808" s="2">
        <v>399</v>
      </c>
      <c r="U2808" s="2">
        <v>91.77000000000001</v>
      </c>
      <c r="V2808" s="2">
        <v>490.77</v>
      </c>
      <c r="W2808" s="2">
        <v>299.25</v>
      </c>
      <c r="X2808" s="5">
        <f t="shared" si="386"/>
        <v>0.25</v>
      </c>
      <c r="Z2808" s="2" t="s">
        <v>3227</v>
      </c>
      <c r="AA2808" s="2" t="s">
        <v>71</v>
      </c>
      <c r="AB2808" s="2" t="s">
        <v>119</v>
      </c>
      <c r="AC2808" s="2" t="s">
        <v>119</v>
      </c>
      <c r="AF2808" s="2">
        <f t="shared" si="380"/>
        <v>0</v>
      </c>
      <c r="AG2808" s="2">
        <v>299.25</v>
      </c>
      <c r="AH2808" s="2">
        <v>399</v>
      </c>
      <c r="AJ2808" s="2">
        <f t="shared" si="381"/>
        <v>0</v>
      </c>
      <c r="AK2808" s="2">
        <f t="shared" si="383"/>
        <v>99.75</v>
      </c>
      <c r="AL2808" s="5">
        <f t="shared" si="387"/>
        <v>0.25</v>
      </c>
    </row>
    <row r="2809" spans="1:38" x14ac:dyDescent="0.2">
      <c r="A2809" s="2">
        <v>2025</v>
      </c>
      <c r="B2809" s="2">
        <v>9</v>
      </c>
      <c r="D2809" s="2" t="s">
        <v>674</v>
      </c>
      <c r="M2809" s="2" t="s">
        <v>40</v>
      </c>
      <c r="P2809" s="2" t="s">
        <v>187</v>
      </c>
      <c r="Q2809" s="2" t="s">
        <v>188</v>
      </c>
      <c r="R2809" s="2" t="s">
        <v>189</v>
      </c>
      <c r="S2809" s="2">
        <v>1</v>
      </c>
      <c r="T2809" s="2">
        <v>52</v>
      </c>
      <c r="U2809" s="2">
        <v>11.96</v>
      </c>
      <c r="V2809" s="2">
        <v>63.96</v>
      </c>
      <c r="W2809" s="2">
        <f>T2809*40%</f>
        <v>20.8</v>
      </c>
      <c r="X2809" s="5">
        <f t="shared" si="386"/>
        <v>0.6</v>
      </c>
      <c r="Z2809" s="2" t="s">
        <v>117</v>
      </c>
      <c r="AA2809" s="2" t="s">
        <v>190</v>
      </c>
      <c r="AB2809" s="2" t="s">
        <v>189</v>
      </c>
      <c r="AC2809" s="2" t="s">
        <v>40</v>
      </c>
      <c r="AF2809" s="2">
        <f t="shared" si="380"/>
        <v>0</v>
      </c>
      <c r="AJ2809" s="2">
        <f t="shared" si="381"/>
        <v>0</v>
      </c>
      <c r="AK2809" s="2">
        <f t="shared" si="383"/>
        <v>31.2</v>
      </c>
      <c r="AL2809" s="5">
        <f t="shared" si="387"/>
        <v>0.6</v>
      </c>
    </row>
    <row r="2810" spans="1:38" x14ac:dyDescent="0.2">
      <c r="A2810" s="2">
        <v>2025</v>
      </c>
      <c r="B2810" s="2">
        <v>9</v>
      </c>
      <c r="D2810" s="2" t="s">
        <v>674</v>
      </c>
      <c r="M2810" s="2" t="s">
        <v>40</v>
      </c>
      <c r="P2810" s="2" t="s">
        <v>187</v>
      </c>
      <c r="Q2810" s="2" t="s">
        <v>191</v>
      </c>
      <c r="R2810" s="2" t="s">
        <v>190</v>
      </c>
      <c r="S2810" s="2">
        <v>1</v>
      </c>
      <c r="T2810" s="2">
        <v>50</v>
      </c>
      <c r="U2810" s="2">
        <v>11.5</v>
      </c>
      <c r="V2810" s="2">
        <v>61.5</v>
      </c>
      <c r="W2810" s="2">
        <f>T2810*50%</f>
        <v>25</v>
      </c>
      <c r="X2810" s="5">
        <f t="shared" si="386"/>
        <v>0.5</v>
      </c>
      <c r="Z2810" s="2" t="s">
        <v>117</v>
      </c>
      <c r="AA2810" s="2" t="s">
        <v>190</v>
      </c>
      <c r="AB2810" s="2" t="s">
        <v>190</v>
      </c>
      <c r="AC2810" s="2" t="s">
        <v>40</v>
      </c>
      <c r="AF2810" s="2">
        <f t="shared" si="380"/>
        <v>0</v>
      </c>
      <c r="AJ2810" s="2">
        <f t="shared" si="381"/>
        <v>0</v>
      </c>
      <c r="AK2810" s="2">
        <f t="shared" si="383"/>
        <v>25</v>
      </c>
      <c r="AL2810" s="5">
        <f t="shared" si="387"/>
        <v>0.5</v>
      </c>
    </row>
    <row r="2811" spans="1:38" x14ac:dyDescent="0.2">
      <c r="A2811" s="2">
        <v>2025</v>
      </c>
      <c r="B2811" s="2">
        <v>9</v>
      </c>
      <c r="D2811" s="2" t="s">
        <v>2286</v>
      </c>
      <c r="M2811" s="2" t="s">
        <v>40</v>
      </c>
      <c r="P2811" s="2" t="s">
        <v>187</v>
      </c>
      <c r="Q2811" s="2" t="s">
        <v>188</v>
      </c>
      <c r="R2811" s="2" t="s">
        <v>189</v>
      </c>
      <c r="S2811" s="2">
        <v>1</v>
      </c>
      <c r="T2811" s="2">
        <v>139</v>
      </c>
      <c r="U2811" s="2">
        <v>31.97</v>
      </c>
      <c r="V2811" s="2">
        <v>170.97</v>
      </c>
      <c r="W2811" s="2">
        <f>T2811*40%</f>
        <v>55.6</v>
      </c>
      <c r="X2811" s="5">
        <f t="shared" si="386"/>
        <v>0.60000000000000009</v>
      </c>
      <c r="Z2811" s="2" t="s">
        <v>117</v>
      </c>
      <c r="AA2811" s="2" t="s">
        <v>190</v>
      </c>
      <c r="AB2811" s="2" t="s">
        <v>189</v>
      </c>
      <c r="AC2811" s="2" t="s">
        <v>40</v>
      </c>
      <c r="AF2811" s="2">
        <f t="shared" si="380"/>
        <v>0</v>
      </c>
      <c r="AJ2811" s="2">
        <f t="shared" si="381"/>
        <v>0</v>
      </c>
      <c r="AK2811" s="2">
        <f t="shared" si="383"/>
        <v>83.4</v>
      </c>
      <c r="AL2811" s="5">
        <f t="shared" si="387"/>
        <v>0.60000000000000009</v>
      </c>
    </row>
    <row r="2812" spans="1:38" x14ac:dyDescent="0.2">
      <c r="A2812" s="2">
        <v>2025</v>
      </c>
      <c r="B2812" s="2">
        <v>9</v>
      </c>
      <c r="D2812" s="2" t="s">
        <v>2286</v>
      </c>
      <c r="M2812" s="2" t="s">
        <v>40</v>
      </c>
      <c r="P2812" s="2" t="s">
        <v>187</v>
      </c>
      <c r="Q2812" s="2" t="s">
        <v>191</v>
      </c>
      <c r="R2812" s="2" t="s">
        <v>190</v>
      </c>
      <c r="S2812" s="2">
        <v>1</v>
      </c>
      <c r="T2812" s="2">
        <v>50</v>
      </c>
      <c r="U2812" s="2">
        <v>11.5</v>
      </c>
      <c r="V2812" s="2">
        <v>61.5</v>
      </c>
      <c r="W2812" s="2">
        <f>T2812*50%</f>
        <v>25</v>
      </c>
      <c r="X2812" s="5">
        <f t="shared" si="386"/>
        <v>0.5</v>
      </c>
      <c r="Z2812" s="2" t="s">
        <v>117</v>
      </c>
      <c r="AA2812" s="2" t="s">
        <v>190</v>
      </c>
      <c r="AB2812" s="2" t="s">
        <v>190</v>
      </c>
      <c r="AC2812" s="2" t="s">
        <v>40</v>
      </c>
      <c r="AF2812" s="2">
        <f t="shared" si="380"/>
        <v>0</v>
      </c>
      <c r="AJ2812" s="2">
        <f t="shared" si="381"/>
        <v>0</v>
      </c>
      <c r="AK2812" s="2">
        <f t="shared" si="383"/>
        <v>25</v>
      </c>
      <c r="AL2812" s="5">
        <f t="shared" si="387"/>
        <v>0.5</v>
      </c>
    </row>
    <row r="2813" spans="1:38" x14ac:dyDescent="0.2">
      <c r="A2813" s="2">
        <v>2025</v>
      </c>
      <c r="B2813" s="2">
        <v>9</v>
      </c>
      <c r="D2813" s="2" t="s">
        <v>928</v>
      </c>
      <c r="E2813" s="2" t="s">
        <v>38</v>
      </c>
      <c r="F2813" s="2" t="s">
        <v>39</v>
      </c>
      <c r="G2813" s="2" t="s">
        <v>929</v>
      </c>
      <c r="H2813" s="2" t="s">
        <v>41</v>
      </c>
      <c r="I2813" s="2" t="s">
        <v>626</v>
      </c>
      <c r="J2813" s="2" t="s">
        <v>930</v>
      </c>
      <c r="L2813" s="2" t="s">
        <v>626</v>
      </c>
      <c r="M2813" s="2" t="s">
        <v>41</v>
      </c>
      <c r="P2813" s="2" t="s">
        <v>43</v>
      </c>
      <c r="Q2813" s="2" t="s">
        <v>234</v>
      </c>
      <c r="R2813" s="2" t="s">
        <v>235</v>
      </c>
      <c r="S2813" s="2">
        <v>2</v>
      </c>
      <c r="T2813" s="2">
        <v>26.4</v>
      </c>
      <c r="V2813" s="2">
        <f t="shared" ref="V2813:V2818" si="388">T2813</f>
        <v>26.4</v>
      </c>
      <c r="W2813" s="2">
        <f>7.2217*S2813</f>
        <v>14.4434</v>
      </c>
      <c r="X2813" s="5">
        <f t="shared" si="386"/>
        <v>0.45290151515151511</v>
      </c>
      <c r="Z2813" s="2" t="s">
        <v>3227</v>
      </c>
      <c r="AA2813" s="2" t="s">
        <v>46</v>
      </c>
      <c r="AB2813" s="2" t="s">
        <v>56</v>
      </c>
      <c r="AC2813" s="2" t="s">
        <v>57</v>
      </c>
      <c r="AF2813" s="2">
        <f t="shared" si="380"/>
        <v>0</v>
      </c>
      <c r="AG2813" s="2">
        <v>7.2217000000000002</v>
      </c>
      <c r="AH2813" s="2">
        <v>14.4</v>
      </c>
      <c r="AJ2813" s="2">
        <f t="shared" si="381"/>
        <v>0</v>
      </c>
      <c r="AK2813" s="2">
        <f t="shared" si="383"/>
        <v>11.956599999999998</v>
      </c>
      <c r="AL2813" s="5">
        <f t="shared" si="387"/>
        <v>0.45290151515151511</v>
      </c>
    </row>
    <row r="2814" spans="1:38" x14ac:dyDescent="0.2">
      <c r="A2814" s="2">
        <v>2025</v>
      </c>
      <c r="B2814" s="2">
        <v>9</v>
      </c>
      <c r="D2814" s="2" t="s">
        <v>928</v>
      </c>
      <c r="E2814" s="2" t="s">
        <v>38</v>
      </c>
      <c r="F2814" s="2" t="s">
        <v>39</v>
      </c>
      <c r="G2814" s="2" t="s">
        <v>929</v>
      </c>
      <c r="H2814" s="2" t="s">
        <v>41</v>
      </c>
      <c r="I2814" s="2" t="s">
        <v>626</v>
      </c>
      <c r="J2814" s="2" t="s">
        <v>930</v>
      </c>
      <c r="L2814" s="2" t="s">
        <v>626</v>
      </c>
      <c r="M2814" s="2" t="s">
        <v>41</v>
      </c>
      <c r="P2814" s="2" t="s">
        <v>43</v>
      </c>
      <c r="Q2814" s="2" t="s">
        <v>238</v>
      </c>
      <c r="R2814" s="2" t="s">
        <v>239</v>
      </c>
      <c r="S2814" s="2">
        <v>1</v>
      </c>
      <c r="T2814" s="2">
        <v>19.8</v>
      </c>
      <c r="V2814" s="2">
        <f t="shared" si="388"/>
        <v>19.8</v>
      </c>
      <c r="W2814" s="2">
        <f>11.045*S2814</f>
        <v>11.045</v>
      </c>
      <c r="X2814" s="5">
        <f t="shared" si="386"/>
        <v>0.44217171717171722</v>
      </c>
      <c r="Z2814" s="2" t="s">
        <v>3227</v>
      </c>
      <c r="AA2814" s="2" t="s">
        <v>46</v>
      </c>
      <c r="AB2814" s="2" t="s">
        <v>56</v>
      </c>
      <c r="AC2814" s="2" t="s">
        <v>57</v>
      </c>
      <c r="AF2814" s="2">
        <f t="shared" si="380"/>
        <v>0</v>
      </c>
      <c r="AJ2814" s="2">
        <f t="shared" si="381"/>
        <v>0</v>
      </c>
      <c r="AK2814" s="2">
        <f t="shared" si="383"/>
        <v>8.7550000000000008</v>
      </c>
      <c r="AL2814" s="5">
        <f t="shared" si="387"/>
        <v>0.44217171717171722</v>
      </c>
    </row>
    <row r="2815" spans="1:38" x14ac:dyDescent="0.2">
      <c r="A2815" s="2">
        <v>2025</v>
      </c>
      <c r="B2815" s="2">
        <v>9</v>
      </c>
      <c r="D2815" s="2" t="s">
        <v>928</v>
      </c>
      <c r="E2815" s="2" t="s">
        <v>38</v>
      </c>
      <c r="F2815" s="2" t="s">
        <v>39</v>
      </c>
      <c r="G2815" s="2" t="s">
        <v>929</v>
      </c>
      <c r="H2815" s="2" t="s">
        <v>41</v>
      </c>
      <c r="I2815" s="2" t="s">
        <v>626</v>
      </c>
      <c r="J2815" s="2" t="s">
        <v>930</v>
      </c>
      <c r="L2815" s="2" t="s">
        <v>626</v>
      </c>
      <c r="M2815" s="2" t="s">
        <v>41</v>
      </c>
      <c r="P2815" s="2" t="s">
        <v>43</v>
      </c>
      <c r="Q2815" s="2" t="s">
        <v>240</v>
      </c>
      <c r="R2815" s="2" t="s">
        <v>241</v>
      </c>
      <c r="S2815" s="2">
        <v>1</v>
      </c>
      <c r="T2815" s="2">
        <v>24</v>
      </c>
      <c r="V2815" s="2">
        <f t="shared" si="388"/>
        <v>24</v>
      </c>
      <c r="W2815" s="2">
        <f>13.4067*S2815</f>
        <v>13.406700000000001</v>
      </c>
      <c r="X2815" s="5">
        <f t="shared" si="386"/>
        <v>0.44138749999999999</v>
      </c>
      <c r="Z2815" s="2" t="s">
        <v>3227</v>
      </c>
      <c r="AA2815" s="2" t="s">
        <v>46</v>
      </c>
      <c r="AB2815" s="2" t="s">
        <v>56</v>
      </c>
      <c r="AC2815" s="2" t="s">
        <v>57</v>
      </c>
      <c r="AF2815" s="2">
        <f t="shared" si="380"/>
        <v>0</v>
      </c>
      <c r="AJ2815" s="2">
        <f t="shared" si="381"/>
        <v>0</v>
      </c>
      <c r="AK2815" s="2">
        <f t="shared" si="383"/>
        <v>10.593299999999999</v>
      </c>
      <c r="AL2815" s="5">
        <f t="shared" si="387"/>
        <v>0.44138749999999999</v>
      </c>
    </row>
    <row r="2816" spans="1:38" x14ac:dyDescent="0.2">
      <c r="A2816" s="2">
        <v>2025</v>
      </c>
      <c r="B2816" s="2">
        <v>9</v>
      </c>
      <c r="D2816" s="2" t="s">
        <v>928</v>
      </c>
      <c r="E2816" s="2" t="s">
        <v>38</v>
      </c>
      <c r="F2816" s="2" t="s">
        <v>39</v>
      </c>
      <c r="G2816" s="2" t="s">
        <v>929</v>
      </c>
      <c r="H2816" s="2" t="s">
        <v>41</v>
      </c>
      <c r="I2816" s="2" t="s">
        <v>626</v>
      </c>
      <c r="J2816" s="2" t="s">
        <v>930</v>
      </c>
      <c r="L2816" s="2" t="s">
        <v>626</v>
      </c>
      <c r="M2816" s="2" t="s">
        <v>41</v>
      </c>
      <c r="P2816" s="2" t="s">
        <v>43</v>
      </c>
      <c r="Q2816" s="2" t="s">
        <v>61</v>
      </c>
      <c r="R2816" s="2" t="s">
        <v>62</v>
      </c>
      <c r="S2816" s="2">
        <v>2000</v>
      </c>
      <c r="T2816" s="2">
        <v>210</v>
      </c>
      <c r="V2816" s="2">
        <f t="shared" si="388"/>
        <v>210</v>
      </c>
      <c r="W2816" s="2">
        <f>0.082*S2816</f>
        <v>164</v>
      </c>
      <c r="X2816" s="5">
        <f t="shared" si="386"/>
        <v>0.21904761904761905</v>
      </c>
      <c r="Z2816" s="2" t="s">
        <v>3227</v>
      </c>
      <c r="AA2816" s="2" t="s">
        <v>46</v>
      </c>
      <c r="AB2816" s="2" t="s">
        <v>60</v>
      </c>
      <c r="AC2816" s="2" t="s">
        <v>57</v>
      </c>
      <c r="AF2816" s="2">
        <f t="shared" si="380"/>
        <v>0</v>
      </c>
      <c r="AG2816" s="2">
        <v>8.1999999999999993</v>
      </c>
      <c r="AH2816" s="2">
        <v>13</v>
      </c>
      <c r="AJ2816" s="2">
        <f t="shared" si="381"/>
        <v>0</v>
      </c>
      <c r="AK2816" s="2">
        <f t="shared" si="383"/>
        <v>46</v>
      </c>
      <c r="AL2816" s="5">
        <f t="shared" si="387"/>
        <v>0.21904761904761905</v>
      </c>
    </row>
    <row r="2817" spans="1:38" x14ac:dyDescent="0.2">
      <c r="A2817" s="2">
        <v>2025</v>
      </c>
      <c r="B2817" s="2">
        <v>9</v>
      </c>
      <c r="D2817" s="2" t="s">
        <v>928</v>
      </c>
      <c r="E2817" s="2" t="s">
        <v>38</v>
      </c>
      <c r="F2817" s="2" t="s">
        <v>39</v>
      </c>
      <c r="G2817" s="2" t="s">
        <v>929</v>
      </c>
      <c r="H2817" s="2" t="s">
        <v>41</v>
      </c>
      <c r="I2817" s="2" t="s">
        <v>626</v>
      </c>
      <c r="J2817" s="2" t="s">
        <v>930</v>
      </c>
      <c r="L2817" s="2" t="s">
        <v>626</v>
      </c>
      <c r="M2817" s="2" t="s">
        <v>41</v>
      </c>
      <c r="P2817" s="2" t="s">
        <v>43</v>
      </c>
      <c r="Q2817" s="2" t="s">
        <v>254</v>
      </c>
      <c r="R2817" s="2" t="s">
        <v>255</v>
      </c>
      <c r="S2817" s="2">
        <v>500</v>
      </c>
      <c r="T2817" s="2">
        <v>57.5</v>
      </c>
      <c r="V2817" s="2">
        <f t="shared" si="388"/>
        <v>57.5</v>
      </c>
      <c r="W2817" s="2">
        <f>0.0914*S2817</f>
        <v>45.699999999999996</v>
      </c>
      <c r="X2817" s="5">
        <f t="shared" si="386"/>
        <v>0.20521739130434791</v>
      </c>
      <c r="Z2817" s="2" t="s">
        <v>3227</v>
      </c>
      <c r="AA2817" s="2" t="s">
        <v>46</v>
      </c>
      <c r="AB2817" s="2" t="s">
        <v>60</v>
      </c>
      <c r="AC2817" s="2" t="s">
        <v>57</v>
      </c>
      <c r="AF2817" s="2">
        <f t="shared" si="380"/>
        <v>0</v>
      </c>
      <c r="AJ2817" s="2">
        <f t="shared" si="381"/>
        <v>0</v>
      </c>
      <c r="AK2817" s="2">
        <f t="shared" si="383"/>
        <v>11.800000000000004</v>
      </c>
      <c r="AL2817" s="5">
        <f t="shared" si="387"/>
        <v>0.20521739130434791</v>
      </c>
    </row>
    <row r="2818" spans="1:38" x14ac:dyDescent="0.2">
      <c r="A2818" s="2">
        <v>2025</v>
      </c>
      <c r="B2818" s="2">
        <v>9</v>
      </c>
      <c r="D2818" s="2" t="s">
        <v>928</v>
      </c>
      <c r="E2818" s="2" t="s">
        <v>38</v>
      </c>
      <c r="F2818" s="2" t="s">
        <v>39</v>
      </c>
      <c r="G2818" s="2" t="s">
        <v>929</v>
      </c>
      <c r="H2818" s="2" t="s">
        <v>41</v>
      </c>
      <c r="I2818" s="2" t="s">
        <v>626</v>
      </c>
      <c r="J2818" s="2" t="s">
        <v>930</v>
      </c>
      <c r="L2818" s="2" t="s">
        <v>626</v>
      </c>
      <c r="M2818" s="2" t="s">
        <v>41</v>
      </c>
      <c r="P2818" s="2" t="s">
        <v>43</v>
      </c>
      <c r="Q2818" s="2" t="s">
        <v>65</v>
      </c>
      <c r="R2818" s="2" t="s">
        <v>66</v>
      </c>
      <c r="S2818" s="2">
        <v>2</v>
      </c>
      <c r="T2818" s="2">
        <v>44</v>
      </c>
      <c r="V2818" s="2">
        <f t="shared" si="388"/>
        <v>44</v>
      </c>
      <c r="W2818" s="2">
        <f>15.0203*S2818</f>
        <v>30.040600000000001</v>
      </c>
      <c r="X2818" s="5">
        <f t="shared" si="386"/>
        <v>0.31725909090909088</v>
      </c>
      <c r="Z2818" s="2" t="s">
        <v>3227</v>
      </c>
      <c r="AA2818" s="2" t="s">
        <v>46</v>
      </c>
      <c r="AB2818" s="2" t="s">
        <v>67</v>
      </c>
      <c r="AC2818" s="2" t="s">
        <v>57</v>
      </c>
      <c r="AF2818" s="2">
        <f t="shared" ref="AF2818:AF2881" si="389">AJ2818</f>
        <v>0</v>
      </c>
      <c r="AG2818" s="2">
        <v>15.020300000000001</v>
      </c>
      <c r="AH2818" s="2">
        <v>27.6</v>
      </c>
      <c r="AJ2818" s="2">
        <f t="shared" ref="AJ2818:AJ2881" si="390">AI2818*T2818</f>
        <v>0</v>
      </c>
      <c r="AK2818" s="2">
        <f t="shared" si="383"/>
        <v>13.959399999999999</v>
      </c>
      <c r="AL2818" s="5">
        <f t="shared" si="387"/>
        <v>0.31725909090909088</v>
      </c>
    </row>
    <row r="2819" spans="1:38" x14ac:dyDescent="0.2">
      <c r="A2819" s="2">
        <v>2026</v>
      </c>
      <c r="B2819" s="2">
        <v>2</v>
      </c>
      <c r="D2819" s="2" t="s">
        <v>2287</v>
      </c>
      <c r="E2819" s="2" t="s">
        <v>108</v>
      </c>
      <c r="F2819" s="2" t="s">
        <v>39</v>
      </c>
      <c r="G2819" s="2">
        <v>513889248</v>
      </c>
      <c r="H2819" s="2" t="s">
        <v>40</v>
      </c>
      <c r="I2819" s="2" t="s">
        <v>583</v>
      </c>
      <c r="J2819" s="2" t="s">
        <v>2288</v>
      </c>
      <c r="L2819" s="2" t="s">
        <v>201</v>
      </c>
      <c r="M2819" s="2" t="s">
        <v>40</v>
      </c>
      <c r="O2819" s="2" t="s">
        <v>2289</v>
      </c>
      <c r="P2819" s="2" t="s">
        <v>187</v>
      </c>
      <c r="Q2819" s="2" t="s">
        <v>188</v>
      </c>
      <c r="R2819" s="2" t="s">
        <v>189</v>
      </c>
      <c r="S2819" s="2">
        <v>1</v>
      </c>
      <c r="T2819" s="2">
        <v>50</v>
      </c>
      <c r="U2819" s="2">
        <v>11.5</v>
      </c>
      <c r="V2819" s="2">
        <v>61.5</v>
      </c>
      <c r="W2819" s="2">
        <f>T2819*40%</f>
        <v>20</v>
      </c>
      <c r="X2819" s="5">
        <f t="shared" si="386"/>
        <v>0.6</v>
      </c>
      <c r="Z2819" s="2" t="s">
        <v>117</v>
      </c>
      <c r="AA2819" s="2" t="s">
        <v>190</v>
      </c>
      <c r="AB2819" s="2" t="s">
        <v>189</v>
      </c>
      <c r="AC2819" s="2" t="s">
        <v>40</v>
      </c>
      <c r="AF2819" s="2">
        <f t="shared" si="389"/>
        <v>0</v>
      </c>
      <c r="AJ2819" s="2">
        <f t="shared" si="390"/>
        <v>0</v>
      </c>
      <c r="AK2819" s="2">
        <f t="shared" si="383"/>
        <v>30</v>
      </c>
      <c r="AL2819" s="5">
        <f t="shared" si="387"/>
        <v>0.6</v>
      </c>
    </row>
    <row r="2820" spans="1:38" x14ac:dyDescent="0.2">
      <c r="A2820" s="2">
        <v>2026</v>
      </c>
      <c r="B2820" s="2">
        <v>2</v>
      </c>
      <c r="D2820" s="2" t="s">
        <v>2287</v>
      </c>
      <c r="E2820" s="2" t="s">
        <v>108</v>
      </c>
      <c r="F2820" s="2" t="s">
        <v>39</v>
      </c>
      <c r="G2820" s="2">
        <v>513889248</v>
      </c>
      <c r="H2820" s="2" t="s">
        <v>40</v>
      </c>
      <c r="I2820" s="2" t="s">
        <v>583</v>
      </c>
      <c r="J2820" s="2" t="s">
        <v>2288</v>
      </c>
      <c r="L2820" s="2" t="s">
        <v>201</v>
      </c>
      <c r="M2820" s="2" t="s">
        <v>40</v>
      </c>
      <c r="O2820" s="2" t="s">
        <v>2289</v>
      </c>
      <c r="P2820" s="2" t="s">
        <v>187</v>
      </c>
      <c r="Q2820" s="2" t="s">
        <v>191</v>
      </c>
      <c r="R2820" s="2" t="s">
        <v>190</v>
      </c>
      <c r="S2820" s="2">
        <v>1</v>
      </c>
      <c r="T2820" s="2">
        <v>50</v>
      </c>
      <c r="U2820" s="2">
        <v>11.5</v>
      </c>
      <c r="V2820" s="2">
        <v>61.5</v>
      </c>
      <c r="W2820" s="2">
        <f>T2820*50%</f>
        <v>25</v>
      </c>
      <c r="X2820" s="5">
        <f t="shared" si="386"/>
        <v>0.5</v>
      </c>
      <c r="Z2820" s="2" t="s">
        <v>117</v>
      </c>
      <c r="AA2820" s="2" t="s">
        <v>190</v>
      </c>
      <c r="AB2820" s="2" t="s">
        <v>190</v>
      </c>
      <c r="AC2820" s="2" t="s">
        <v>40</v>
      </c>
      <c r="AF2820" s="2">
        <f t="shared" si="389"/>
        <v>0</v>
      </c>
      <c r="AG2820" s="2">
        <f>W2820</f>
        <v>25</v>
      </c>
      <c r="AJ2820" s="2">
        <f t="shared" si="390"/>
        <v>0</v>
      </c>
      <c r="AK2820" s="2">
        <f t="shared" si="383"/>
        <v>25</v>
      </c>
      <c r="AL2820" s="5">
        <f t="shared" si="387"/>
        <v>0.5</v>
      </c>
    </row>
    <row r="2821" spans="1:38" x14ac:dyDescent="0.2">
      <c r="A2821" s="2">
        <v>2026</v>
      </c>
      <c r="B2821" s="2">
        <v>2</v>
      </c>
      <c r="D2821" s="2" t="s">
        <v>2290</v>
      </c>
      <c r="E2821" s="2" t="s">
        <v>38</v>
      </c>
      <c r="G2821" s="2">
        <v>509800696</v>
      </c>
      <c r="H2821" s="2" t="s">
        <v>290</v>
      </c>
      <c r="I2821" s="2" t="s">
        <v>2291</v>
      </c>
      <c r="J2821" s="2" t="s">
        <v>2292</v>
      </c>
      <c r="K2821" s="2">
        <v>930444437</v>
      </c>
      <c r="L2821" s="2" t="s">
        <v>2291</v>
      </c>
      <c r="M2821" s="2" t="s">
        <v>40</v>
      </c>
      <c r="O2821" s="2" t="s">
        <v>2293</v>
      </c>
      <c r="P2821" s="2" t="s">
        <v>187</v>
      </c>
      <c r="Q2821" s="2" t="s">
        <v>188</v>
      </c>
      <c r="R2821" s="2" t="s">
        <v>189</v>
      </c>
      <c r="S2821" s="2">
        <v>2</v>
      </c>
      <c r="T2821" s="2">
        <v>404</v>
      </c>
      <c r="U2821" s="2">
        <v>92.92</v>
      </c>
      <c r="V2821" s="2">
        <v>496.92</v>
      </c>
      <c r="W2821" s="2">
        <f>T2821*40%</f>
        <v>161.60000000000002</v>
      </c>
      <c r="X2821" s="5">
        <f t="shared" si="386"/>
        <v>0.6</v>
      </c>
      <c r="Z2821" s="2" t="s">
        <v>117</v>
      </c>
      <c r="AA2821" s="2" t="s">
        <v>190</v>
      </c>
      <c r="AB2821" s="2" t="s">
        <v>189</v>
      </c>
      <c r="AC2821" s="2" t="s">
        <v>40</v>
      </c>
      <c r="AF2821" s="2">
        <f t="shared" si="389"/>
        <v>0</v>
      </c>
      <c r="AJ2821" s="2">
        <f t="shared" si="390"/>
        <v>0</v>
      </c>
      <c r="AK2821" s="2">
        <f t="shared" si="383"/>
        <v>242.39999999999998</v>
      </c>
      <c r="AL2821" s="5">
        <f t="shared" si="387"/>
        <v>0.6</v>
      </c>
    </row>
    <row r="2822" spans="1:38" x14ac:dyDescent="0.2">
      <c r="A2822" s="2">
        <v>2026</v>
      </c>
      <c r="B2822" s="2">
        <v>2</v>
      </c>
      <c r="D2822" s="2" t="s">
        <v>2290</v>
      </c>
      <c r="E2822" s="2" t="s">
        <v>38</v>
      </c>
      <c r="G2822" s="2">
        <v>509800696</v>
      </c>
      <c r="H2822" s="2" t="s">
        <v>290</v>
      </c>
      <c r="I2822" s="2" t="s">
        <v>2291</v>
      </c>
      <c r="J2822" s="2" t="s">
        <v>2292</v>
      </c>
      <c r="K2822" s="2">
        <v>930444437</v>
      </c>
      <c r="L2822" s="2" t="s">
        <v>2291</v>
      </c>
      <c r="M2822" s="2" t="s">
        <v>40</v>
      </c>
      <c r="O2822" s="2" t="s">
        <v>2293</v>
      </c>
      <c r="P2822" s="2" t="s">
        <v>187</v>
      </c>
      <c r="Q2822" s="2" t="s">
        <v>191</v>
      </c>
      <c r="R2822" s="2" t="s">
        <v>190</v>
      </c>
      <c r="S2822" s="2">
        <v>6</v>
      </c>
      <c r="T2822" s="2">
        <v>330</v>
      </c>
      <c r="U2822" s="2">
        <v>75.900000000000006</v>
      </c>
      <c r="V2822" s="2">
        <v>405.9</v>
      </c>
      <c r="W2822" s="2">
        <f>T2822*50%</f>
        <v>165</v>
      </c>
      <c r="X2822" s="5">
        <f t="shared" si="386"/>
        <v>0.5</v>
      </c>
      <c r="Z2822" s="2" t="s">
        <v>117</v>
      </c>
      <c r="AA2822" s="2" t="s">
        <v>190</v>
      </c>
      <c r="AB2822" s="2" t="s">
        <v>190</v>
      </c>
      <c r="AC2822" s="2" t="s">
        <v>40</v>
      </c>
      <c r="AF2822" s="2">
        <f t="shared" si="389"/>
        <v>0</v>
      </c>
      <c r="AG2822" s="2">
        <f>W2822</f>
        <v>165</v>
      </c>
      <c r="AJ2822" s="2">
        <f t="shared" si="390"/>
        <v>0</v>
      </c>
      <c r="AK2822" s="2">
        <f t="shared" si="383"/>
        <v>165</v>
      </c>
      <c r="AL2822" s="5">
        <f t="shared" si="387"/>
        <v>0.5</v>
      </c>
    </row>
    <row r="2823" spans="1:38" x14ac:dyDescent="0.2">
      <c r="A2823" s="2">
        <v>2026</v>
      </c>
      <c r="B2823" s="2">
        <v>1</v>
      </c>
      <c r="D2823" s="2" t="s">
        <v>1124</v>
      </c>
      <c r="E2823" s="2" t="s">
        <v>108</v>
      </c>
      <c r="F2823" s="2" t="s">
        <v>39</v>
      </c>
      <c r="G2823" s="2">
        <v>515742279</v>
      </c>
      <c r="H2823" s="2" t="s">
        <v>41</v>
      </c>
      <c r="I2823" s="2" t="s">
        <v>2294</v>
      </c>
      <c r="J2823" s="2" t="s">
        <v>2295</v>
      </c>
      <c r="K2823" s="2">
        <v>965790183</v>
      </c>
      <c r="L2823" s="2" t="s">
        <v>177</v>
      </c>
      <c r="M2823" s="2" t="s">
        <v>40</v>
      </c>
      <c r="O2823" s="2" t="s">
        <v>2296</v>
      </c>
      <c r="P2823" s="2" t="s">
        <v>114</v>
      </c>
      <c r="Q2823" s="2" t="s">
        <v>2297</v>
      </c>
      <c r="R2823" s="2" t="s">
        <v>2298</v>
      </c>
      <c r="S2823" s="2">
        <v>1</v>
      </c>
      <c r="T2823" s="2">
        <v>196.71</v>
      </c>
      <c r="U2823" s="2">
        <v>45.243299999999998</v>
      </c>
      <c r="V2823" s="2">
        <v>241.95330000000001</v>
      </c>
      <c r="W2823" s="2">
        <v>136.38999999999999</v>
      </c>
      <c r="X2823" s="5">
        <f t="shared" si="386"/>
        <v>0.3066442987138428</v>
      </c>
      <c r="Z2823" s="2" t="s">
        <v>117</v>
      </c>
      <c r="AA2823" s="2" t="s">
        <v>118</v>
      </c>
      <c r="AB2823" s="2" t="s">
        <v>119</v>
      </c>
      <c r="AC2823" s="2" t="s">
        <v>114</v>
      </c>
      <c r="AF2823" s="2">
        <f t="shared" si="389"/>
        <v>0</v>
      </c>
      <c r="AG2823" s="2">
        <v>136.38999999999999</v>
      </c>
      <c r="AH2823" s="2">
        <v>282.11399999999998</v>
      </c>
      <c r="AJ2823" s="2">
        <f t="shared" si="390"/>
        <v>0</v>
      </c>
      <c r="AK2823" s="2">
        <f t="shared" si="383"/>
        <v>60.320000000000022</v>
      </c>
      <c r="AL2823" s="5">
        <f t="shared" si="387"/>
        <v>0.3066442987138428</v>
      </c>
    </row>
    <row r="2824" spans="1:38" x14ac:dyDescent="0.2">
      <c r="A2824" s="2">
        <v>2026</v>
      </c>
      <c r="B2824" s="2">
        <v>1</v>
      </c>
      <c r="D2824" s="2" t="s">
        <v>558</v>
      </c>
      <c r="E2824" s="2" t="s">
        <v>108</v>
      </c>
      <c r="F2824" s="2" t="s">
        <v>39</v>
      </c>
      <c r="G2824" s="2">
        <v>506517233</v>
      </c>
      <c r="H2824" s="2" t="s">
        <v>80</v>
      </c>
      <c r="I2824" s="2" t="s">
        <v>559</v>
      </c>
      <c r="J2824" s="2" t="s">
        <v>560</v>
      </c>
      <c r="L2824" s="2" t="s">
        <v>133</v>
      </c>
      <c r="M2824" s="2" t="s">
        <v>40</v>
      </c>
      <c r="O2824" s="2" t="s">
        <v>2299</v>
      </c>
      <c r="P2824" s="2" t="s">
        <v>114</v>
      </c>
      <c r="Q2824" s="2" t="s">
        <v>1374</v>
      </c>
      <c r="R2824" s="2" t="s">
        <v>1375</v>
      </c>
      <c r="S2824" s="2">
        <v>1</v>
      </c>
      <c r="T2824" s="2">
        <v>58.74</v>
      </c>
      <c r="U2824" s="2">
        <v>13.510199999999999</v>
      </c>
      <c r="V2824" s="2">
        <v>72.250200000000007</v>
      </c>
      <c r="W2824" s="2">
        <v>27.86</v>
      </c>
      <c r="X2824" s="5">
        <f t="shared" si="386"/>
        <v>0.52570650323459311</v>
      </c>
      <c r="Z2824" s="2" t="s">
        <v>117</v>
      </c>
      <c r="AA2824" s="2" t="s">
        <v>118</v>
      </c>
      <c r="AB2824" s="2" t="s">
        <v>119</v>
      </c>
      <c r="AC2824" s="2" t="s">
        <v>114</v>
      </c>
      <c r="AF2824" s="2">
        <f t="shared" si="389"/>
        <v>0</v>
      </c>
      <c r="AG2824" s="2">
        <v>27.86</v>
      </c>
      <c r="AJ2824" s="2">
        <f t="shared" si="390"/>
        <v>0</v>
      </c>
      <c r="AK2824" s="2">
        <f t="shared" si="383"/>
        <v>30.880000000000003</v>
      </c>
      <c r="AL2824" s="5">
        <f t="shared" si="387"/>
        <v>0.52570650323459311</v>
      </c>
    </row>
    <row r="2825" spans="1:38" x14ac:dyDescent="0.2">
      <c r="A2825" s="2">
        <v>2026</v>
      </c>
      <c r="B2825" s="2">
        <v>1</v>
      </c>
      <c r="D2825" s="2" t="s">
        <v>558</v>
      </c>
      <c r="E2825" s="2" t="s">
        <v>108</v>
      </c>
      <c r="F2825" s="2" t="s">
        <v>39</v>
      </c>
      <c r="G2825" s="2">
        <v>506517233</v>
      </c>
      <c r="H2825" s="2" t="s">
        <v>80</v>
      </c>
      <c r="I2825" s="2" t="s">
        <v>559</v>
      </c>
      <c r="J2825" s="2" t="s">
        <v>560</v>
      </c>
      <c r="L2825" s="2" t="s">
        <v>133</v>
      </c>
      <c r="M2825" s="2" t="s">
        <v>40</v>
      </c>
      <c r="O2825" s="2" t="s">
        <v>2299</v>
      </c>
      <c r="P2825" s="2" t="s">
        <v>114</v>
      </c>
      <c r="Q2825" s="2" t="s">
        <v>2227</v>
      </c>
      <c r="R2825" s="2" t="s">
        <v>2228</v>
      </c>
      <c r="S2825" s="2">
        <v>1</v>
      </c>
      <c r="T2825" s="2">
        <v>58.74</v>
      </c>
      <c r="U2825" s="2">
        <v>13.510199999999999</v>
      </c>
      <c r="V2825" s="2">
        <v>72.250200000000007</v>
      </c>
      <c r="W2825" s="2">
        <v>28.37</v>
      </c>
      <c r="X2825" s="5">
        <f t="shared" si="386"/>
        <v>0.51702417432754511</v>
      </c>
      <c r="Z2825" s="2" t="s">
        <v>117</v>
      </c>
      <c r="AA2825" s="2" t="s">
        <v>118</v>
      </c>
      <c r="AB2825" s="2" t="s">
        <v>119</v>
      </c>
      <c r="AC2825" s="2" t="s">
        <v>114</v>
      </c>
      <c r="AF2825" s="2">
        <f t="shared" si="389"/>
        <v>0</v>
      </c>
      <c r="AG2825" s="2">
        <v>28.372499999999999</v>
      </c>
      <c r="AJ2825" s="2">
        <f t="shared" si="390"/>
        <v>0</v>
      </c>
      <c r="AK2825" s="2">
        <f t="shared" si="383"/>
        <v>30.37</v>
      </c>
      <c r="AL2825" s="5">
        <f t="shared" si="387"/>
        <v>0.51702417432754511</v>
      </c>
    </row>
    <row r="2826" spans="1:38" x14ac:dyDescent="0.2">
      <c r="A2826" s="2">
        <v>2026</v>
      </c>
      <c r="B2826" s="2">
        <v>1</v>
      </c>
      <c r="D2826" s="2" t="s">
        <v>394</v>
      </c>
      <c r="E2826" s="2" t="s">
        <v>108</v>
      </c>
      <c r="F2826" s="2" t="s">
        <v>395</v>
      </c>
      <c r="G2826" s="2">
        <v>501787160</v>
      </c>
      <c r="H2826" s="2" t="s">
        <v>41</v>
      </c>
      <c r="I2826" s="2" t="s">
        <v>396</v>
      </c>
      <c r="J2826" s="2" t="s">
        <v>397</v>
      </c>
      <c r="L2826" s="2" t="s">
        <v>398</v>
      </c>
      <c r="M2826" s="2" t="s">
        <v>40</v>
      </c>
      <c r="O2826" s="2" t="s">
        <v>2300</v>
      </c>
      <c r="P2826" s="2" t="s">
        <v>114</v>
      </c>
      <c r="Q2826" s="2" t="s">
        <v>628</v>
      </c>
      <c r="R2826" s="2" t="s">
        <v>629</v>
      </c>
      <c r="S2826" s="2">
        <v>1</v>
      </c>
      <c r="T2826" s="2">
        <v>26.79</v>
      </c>
      <c r="U2826" s="2">
        <v>6.1616999999999997</v>
      </c>
      <c r="V2826" s="2">
        <v>32.951700000000002</v>
      </c>
      <c r="W2826" s="2">
        <v>12.938599999999999</v>
      </c>
      <c r="X2826" s="5">
        <f t="shared" si="386"/>
        <v>0.51703620754012691</v>
      </c>
      <c r="Z2826" s="2" t="s">
        <v>117</v>
      </c>
      <c r="AA2826" s="2" t="s">
        <v>118</v>
      </c>
      <c r="AB2826" s="2" t="s">
        <v>119</v>
      </c>
      <c r="AC2826" s="2" t="s">
        <v>114</v>
      </c>
      <c r="AF2826" s="2">
        <f t="shared" si="389"/>
        <v>0</v>
      </c>
      <c r="AG2826" s="2">
        <v>12.938599999999999</v>
      </c>
      <c r="AJ2826" s="2">
        <f t="shared" si="390"/>
        <v>0</v>
      </c>
      <c r="AK2826" s="2">
        <f t="shared" si="383"/>
        <v>13.8514</v>
      </c>
      <c r="AL2826" s="5">
        <f t="shared" si="387"/>
        <v>0.51703620754012691</v>
      </c>
    </row>
    <row r="2827" spans="1:38" x14ac:dyDescent="0.2">
      <c r="A2827" s="2">
        <v>2026</v>
      </c>
      <c r="B2827" s="2">
        <v>1</v>
      </c>
      <c r="D2827" s="2" t="s">
        <v>462</v>
      </c>
      <c r="E2827" s="2" t="s">
        <v>108</v>
      </c>
      <c r="F2827" s="2" t="s">
        <v>39</v>
      </c>
      <c r="G2827" s="2">
        <v>506531031</v>
      </c>
      <c r="H2827" s="2" t="s">
        <v>109</v>
      </c>
      <c r="I2827" s="2" t="s">
        <v>463</v>
      </c>
      <c r="J2827" s="2" t="s">
        <v>464</v>
      </c>
      <c r="L2827" s="2" t="s">
        <v>112</v>
      </c>
      <c r="M2827" s="2" t="s">
        <v>40</v>
      </c>
      <c r="O2827" s="2" t="s">
        <v>2301</v>
      </c>
      <c r="P2827" s="2" t="s">
        <v>114</v>
      </c>
      <c r="Q2827" s="2" t="s">
        <v>1514</v>
      </c>
      <c r="R2827" s="2" t="s">
        <v>1515</v>
      </c>
      <c r="S2827" s="2">
        <v>1</v>
      </c>
      <c r="T2827" s="2">
        <v>23.79</v>
      </c>
      <c r="U2827" s="2">
        <v>5.4717000000000002</v>
      </c>
      <c r="V2827" s="2">
        <v>29.261700000000001</v>
      </c>
      <c r="W2827" s="2">
        <f>11.2467</f>
        <v>11.246700000000001</v>
      </c>
      <c r="X2827" s="5">
        <f t="shared" si="386"/>
        <v>0.52725094577553588</v>
      </c>
      <c r="Z2827" s="2" t="s">
        <v>117</v>
      </c>
      <c r="AA2827" s="2" t="s">
        <v>118</v>
      </c>
      <c r="AB2827" s="2" t="s">
        <v>119</v>
      </c>
      <c r="AC2827" s="2" t="s">
        <v>114</v>
      </c>
      <c r="AF2827" s="2">
        <f t="shared" si="389"/>
        <v>0</v>
      </c>
      <c r="AG2827" s="2">
        <v>11.246700000000001</v>
      </c>
      <c r="AJ2827" s="2">
        <f t="shared" si="390"/>
        <v>0</v>
      </c>
      <c r="AK2827" s="2">
        <f t="shared" si="383"/>
        <v>12.543299999999999</v>
      </c>
      <c r="AL2827" s="5">
        <f t="shared" si="387"/>
        <v>0.52725094577553588</v>
      </c>
    </row>
    <row r="2828" spans="1:38" x14ac:dyDescent="0.2">
      <c r="A2828" s="2">
        <v>2026</v>
      </c>
      <c r="B2828" s="2">
        <v>1</v>
      </c>
      <c r="D2828" s="2" t="s">
        <v>1660</v>
      </c>
      <c r="G2828" s="2">
        <v>510222340</v>
      </c>
      <c r="I2828" s="2" t="s">
        <v>2302</v>
      </c>
      <c r="L2828" s="2" t="s">
        <v>344</v>
      </c>
      <c r="M2828" s="2" t="s">
        <v>40</v>
      </c>
      <c r="O2828" s="2" t="s">
        <v>2303</v>
      </c>
      <c r="P2828" s="2" t="s">
        <v>114</v>
      </c>
      <c r="Q2828" s="2" t="s">
        <v>295</v>
      </c>
      <c r="R2828" s="2" t="s">
        <v>296</v>
      </c>
      <c r="S2828" s="2">
        <v>1</v>
      </c>
      <c r="T2828" s="2">
        <v>1145.1500000000001</v>
      </c>
      <c r="U2828" s="2">
        <v>263.38450000000012</v>
      </c>
      <c r="V2828" s="2">
        <v>1408.5345</v>
      </c>
      <c r="W2828" s="2">
        <v>386</v>
      </c>
      <c r="X2828" s="5">
        <f t="shared" si="386"/>
        <v>0.66292625420250628</v>
      </c>
      <c r="Z2828" s="2" t="s">
        <v>117</v>
      </c>
      <c r="AA2828" s="2" t="s">
        <v>118</v>
      </c>
      <c r="AB2828" s="2" t="s">
        <v>119</v>
      </c>
      <c r="AC2828" s="2" t="s">
        <v>114</v>
      </c>
      <c r="AF2828" s="2">
        <f t="shared" si="389"/>
        <v>0</v>
      </c>
      <c r="AG2828" s="2">
        <v>386</v>
      </c>
      <c r="AJ2828" s="2">
        <f t="shared" si="390"/>
        <v>0</v>
      </c>
      <c r="AK2828" s="2">
        <f t="shared" si="383"/>
        <v>759.15000000000009</v>
      </c>
      <c r="AL2828" s="5">
        <f t="shared" si="387"/>
        <v>0.66292625420250628</v>
      </c>
    </row>
    <row r="2829" spans="1:38" x14ac:dyDescent="0.2">
      <c r="A2829" s="2">
        <v>2026</v>
      </c>
      <c r="B2829" s="2">
        <v>1</v>
      </c>
      <c r="D2829" s="2" t="s">
        <v>775</v>
      </c>
      <c r="E2829" s="2" t="s">
        <v>38</v>
      </c>
      <c r="F2829" s="2" t="s">
        <v>39</v>
      </c>
      <c r="G2829" s="2">
        <v>507324560</v>
      </c>
      <c r="H2829" s="2" t="s">
        <v>40</v>
      </c>
      <c r="I2829" s="2" t="s">
        <v>776</v>
      </c>
      <c r="J2829" s="2" t="s">
        <v>777</v>
      </c>
      <c r="L2829" s="2" t="s">
        <v>339</v>
      </c>
      <c r="M2829" s="2" t="s">
        <v>40</v>
      </c>
      <c r="O2829" s="2" t="s">
        <v>2304</v>
      </c>
      <c r="P2829" s="2" t="s">
        <v>114</v>
      </c>
      <c r="Q2829" s="2" t="s">
        <v>2305</v>
      </c>
      <c r="R2829" s="2" t="s">
        <v>2306</v>
      </c>
      <c r="S2829" s="2">
        <v>4</v>
      </c>
      <c r="T2829" s="2">
        <v>0</v>
      </c>
      <c r="U2829" s="2">
        <v>0</v>
      </c>
      <c r="V2829" s="2">
        <v>0</v>
      </c>
      <c r="W2829" s="2">
        <f>11.1825*S2829</f>
        <v>44.73</v>
      </c>
      <c r="Z2829" s="2" t="s">
        <v>117</v>
      </c>
      <c r="AA2829" s="2" t="s">
        <v>118</v>
      </c>
      <c r="AB2829" s="2" t="s">
        <v>119</v>
      </c>
      <c r="AC2829" s="2" t="s">
        <v>114</v>
      </c>
      <c r="AF2829" s="2">
        <f t="shared" si="389"/>
        <v>0</v>
      </c>
      <c r="AG2829" s="2">
        <v>11.182499999999999</v>
      </c>
      <c r="AJ2829" s="2">
        <f t="shared" si="390"/>
        <v>0</v>
      </c>
      <c r="AK2829" s="2">
        <f t="shared" si="383"/>
        <v>-44.73</v>
      </c>
    </row>
    <row r="2830" spans="1:38" x14ac:dyDescent="0.2">
      <c r="A2830" s="2">
        <v>2026</v>
      </c>
      <c r="B2830" s="2">
        <v>1</v>
      </c>
      <c r="D2830" s="2" t="s">
        <v>775</v>
      </c>
      <c r="E2830" s="2" t="s">
        <v>38</v>
      </c>
      <c r="F2830" s="2" t="s">
        <v>39</v>
      </c>
      <c r="G2830" s="2">
        <v>507324560</v>
      </c>
      <c r="H2830" s="2" t="s">
        <v>40</v>
      </c>
      <c r="I2830" s="2" t="s">
        <v>776</v>
      </c>
      <c r="J2830" s="2" t="s">
        <v>777</v>
      </c>
      <c r="L2830" s="2" t="s">
        <v>339</v>
      </c>
      <c r="M2830" s="2" t="s">
        <v>40</v>
      </c>
      <c r="O2830" s="2" t="s">
        <v>2304</v>
      </c>
      <c r="P2830" s="2" t="s">
        <v>114</v>
      </c>
      <c r="Q2830" s="2" t="s">
        <v>672</v>
      </c>
      <c r="R2830" s="2" t="s">
        <v>673</v>
      </c>
      <c r="S2830" s="2">
        <v>1</v>
      </c>
      <c r="T2830" s="2">
        <v>0</v>
      </c>
      <c r="U2830" s="2">
        <v>0</v>
      </c>
      <c r="V2830" s="2">
        <v>0</v>
      </c>
      <c r="W2830" s="2">
        <v>5.2342000000000004</v>
      </c>
      <c r="Z2830" s="2" t="s">
        <v>117</v>
      </c>
      <c r="AA2830" s="2" t="s">
        <v>118</v>
      </c>
      <c r="AB2830" s="2" t="s">
        <v>119</v>
      </c>
      <c r="AC2830" s="2" t="s">
        <v>114</v>
      </c>
      <c r="AF2830" s="2">
        <f t="shared" si="389"/>
        <v>0</v>
      </c>
      <c r="AJ2830" s="2">
        <f t="shared" si="390"/>
        <v>0</v>
      </c>
      <c r="AK2830" s="2">
        <f t="shared" si="383"/>
        <v>-5.2342000000000004</v>
      </c>
    </row>
    <row r="2831" spans="1:38" x14ac:dyDescent="0.2">
      <c r="A2831" s="2">
        <v>2026</v>
      </c>
      <c r="B2831" s="2">
        <v>1</v>
      </c>
      <c r="D2831" s="2" t="s">
        <v>1582</v>
      </c>
      <c r="G2831" s="2">
        <v>504855395</v>
      </c>
      <c r="M2831" s="2" t="s">
        <v>40</v>
      </c>
      <c r="O2831" s="2" t="s">
        <v>2307</v>
      </c>
      <c r="P2831" s="2" t="s">
        <v>114</v>
      </c>
      <c r="Q2831" s="2" t="s">
        <v>2308</v>
      </c>
      <c r="R2831" s="2" t="s">
        <v>2309</v>
      </c>
      <c r="S2831" s="2">
        <v>2</v>
      </c>
      <c r="T2831" s="2">
        <v>26.68</v>
      </c>
      <c r="U2831" s="2">
        <v>6.1364000000000001</v>
      </c>
      <c r="V2831" s="2">
        <v>32.816400000000002</v>
      </c>
      <c r="W2831" s="2">
        <f>6.2992*2</f>
        <v>12.5984</v>
      </c>
      <c r="X2831" s="5">
        <f t="shared" ref="X2831:X2849" si="391">(T2831-W2831)/T2831</f>
        <v>0.52779610194902549</v>
      </c>
      <c r="Z2831" s="2" t="s">
        <v>117</v>
      </c>
      <c r="AA2831" s="2" t="s">
        <v>118</v>
      </c>
      <c r="AB2831" s="2" t="s">
        <v>119</v>
      </c>
      <c r="AC2831" s="2" t="s">
        <v>114</v>
      </c>
      <c r="AF2831" s="2">
        <f t="shared" si="389"/>
        <v>0</v>
      </c>
      <c r="AG2831" s="2">
        <v>6.2991999999999999</v>
      </c>
      <c r="AJ2831" s="2">
        <f t="shared" si="390"/>
        <v>0</v>
      </c>
      <c r="AK2831" s="2">
        <f t="shared" si="383"/>
        <v>14.0816</v>
      </c>
      <c r="AL2831" s="5">
        <f t="shared" ref="AL2831:AL2849" si="392">(T2831-W2831)/T2831</f>
        <v>0.52779610194902549</v>
      </c>
    </row>
    <row r="2832" spans="1:38" x14ac:dyDescent="0.2">
      <c r="A2832" s="2">
        <v>2026</v>
      </c>
      <c r="B2832" s="2">
        <v>1</v>
      </c>
      <c r="D2832" s="2" t="s">
        <v>1582</v>
      </c>
      <c r="M2832" s="2" t="s">
        <v>40</v>
      </c>
      <c r="O2832" s="2" t="s">
        <v>2307</v>
      </c>
      <c r="P2832" s="2" t="s">
        <v>114</v>
      </c>
      <c r="Q2832" s="2" t="s">
        <v>2310</v>
      </c>
      <c r="R2832" s="2" t="s">
        <v>2311</v>
      </c>
      <c r="S2832" s="2">
        <v>1</v>
      </c>
      <c r="T2832" s="2">
        <v>13.52</v>
      </c>
      <c r="U2832" s="2">
        <v>3.1095999999999999</v>
      </c>
      <c r="V2832" s="2">
        <v>16.6296</v>
      </c>
      <c r="W2832" s="2">
        <v>6.3601999999999999</v>
      </c>
      <c r="X2832" s="5">
        <f t="shared" si="391"/>
        <v>0.52957100591715978</v>
      </c>
      <c r="Z2832" s="2" t="s">
        <v>117</v>
      </c>
      <c r="AA2832" s="2" t="s">
        <v>118</v>
      </c>
      <c r="AB2832" s="2" t="s">
        <v>119</v>
      </c>
      <c r="AC2832" s="2" t="s">
        <v>114</v>
      </c>
      <c r="AF2832" s="2">
        <f t="shared" si="389"/>
        <v>0</v>
      </c>
      <c r="AG2832" s="2">
        <v>6.3601999999999999</v>
      </c>
      <c r="AJ2832" s="2">
        <f t="shared" si="390"/>
        <v>0</v>
      </c>
      <c r="AK2832" s="2">
        <f t="shared" si="383"/>
        <v>7.1597999999999997</v>
      </c>
      <c r="AL2832" s="5">
        <f t="shared" si="392"/>
        <v>0.52957100591715978</v>
      </c>
    </row>
    <row r="2833" spans="1:38" x14ac:dyDescent="0.2">
      <c r="A2833" s="2">
        <v>2026</v>
      </c>
      <c r="B2833" s="2">
        <v>1</v>
      </c>
      <c r="D2833" s="2" t="s">
        <v>2312</v>
      </c>
      <c r="E2833" s="2" t="s">
        <v>38</v>
      </c>
      <c r="G2833" s="2">
        <v>169582760</v>
      </c>
      <c r="H2833" s="2" t="s">
        <v>290</v>
      </c>
      <c r="I2833" s="2" t="s">
        <v>2313</v>
      </c>
      <c r="J2833" s="2" t="s">
        <v>2314</v>
      </c>
      <c r="L2833" s="2" t="s">
        <v>2291</v>
      </c>
      <c r="M2833" s="2" t="s">
        <v>40</v>
      </c>
      <c r="O2833" s="2" t="s">
        <v>2315</v>
      </c>
      <c r="P2833" s="2" t="s">
        <v>114</v>
      </c>
      <c r="Q2833" s="2" t="s">
        <v>779</v>
      </c>
      <c r="R2833" s="2" t="s">
        <v>780</v>
      </c>
      <c r="S2833" s="2">
        <v>2</v>
      </c>
      <c r="T2833" s="2">
        <v>153.34</v>
      </c>
      <c r="U2833" s="2">
        <v>35.2682</v>
      </c>
      <c r="V2833" s="2">
        <v>188.60820000000001</v>
      </c>
      <c r="W2833" s="2">
        <f>35.9317*S2833</f>
        <v>71.863399999999999</v>
      </c>
      <c r="X2833" s="5">
        <f t="shared" si="391"/>
        <v>0.53134602843354639</v>
      </c>
      <c r="Z2833" s="2" t="s">
        <v>117</v>
      </c>
      <c r="AA2833" s="2" t="s">
        <v>118</v>
      </c>
      <c r="AB2833" s="2" t="s">
        <v>119</v>
      </c>
      <c r="AC2833" s="2" t="s">
        <v>114</v>
      </c>
      <c r="AF2833" s="2">
        <f t="shared" si="389"/>
        <v>0</v>
      </c>
      <c r="AG2833" s="2">
        <v>35.931699999999999</v>
      </c>
      <c r="AJ2833" s="2">
        <f t="shared" si="390"/>
        <v>0</v>
      </c>
      <c r="AK2833" s="2">
        <f t="shared" si="383"/>
        <v>81.476600000000005</v>
      </c>
      <c r="AL2833" s="5">
        <f t="shared" si="392"/>
        <v>0.53134602843354639</v>
      </c>
    </row>
    <row r="2834" spans="1:38" x14ac:dyDescent="0.2">
      <c r="A2834" s="2">
        <v>2026</v>
      </c>
      <c r="B2834" s="2">
        <v>1</v>
      </c>
      <c r="D2834" s="2" t="s">
        <v>462</v>
      </c>
      <c r="E2834" s="2" t="s">
        <v>108</v>
      </c>
      <c r="F2834" s="2" t="s">
        <v>39</v>
      </c>
      <c r="G2834" s="2">
        <v>506531031</v>
      </c>
      <c r="H2834" s="2" t="s">
        <v>109</v>
      </c>
      <c r="I2834" s="2" t="s">
        <v>463</v>
      </c>
      <c r="J2834" s="2" t="s">
        <v>464</v>
      </c>
      <c r="L2834" s="2" t="s">
        <v>112</v>
      </c>
      <c r="M2834" s="2" t="s">
        <v>40</v>
      </c>
      <c r="O2834" s="2" t="s">
        <v>2301</v>
      </c>
      <c r="P2834" s="2" t="s">
        <v>114</v>
      </c>
      <c r="Q2834" s="2" t="s">
        <v>779</v>
      </c>
      <c r="R2834" s="2" t="s">
        <v>780</v>
      </c>
      <c r="S2834" s="2">
        <v>1</v>
      </c>
      <c r="T2834" s="2">
        <v>76.67</v>
      </c>
      <c r="U2834" s="2">
        <v>17.6341</v>
      </c>
      <c r="V2834" s="2">
        <v>94.304100000000005</v>
      </c>
      <c r="W2834" s="2">
        <f>35.9317*S2834</f>
        <v>35.931699999999999</v>
      </c>
      <c r="X2834" s="5">
        <f t="shared" si="391"/>
        <v>0.53134602843354639</v>
      </c>
      <c r="Z2834" s="2" t="s">
        <v>117</v>
      </c>
      <c r="AA2834" s="2" t="s">
        <v>118</v>
      </c>
      <c r="AB2834" s="2" t="s">
        <v>119</v>
      </c>
      <c r="AC2834" s="2" t="s">
        <v>114</v>
      </c>
      <c r="AF2834" s="2">
        <f t="shared" si="389"/>
        <v>0</v>
      </c>
      <c r="AG2834" s="2">
        <v>35.931699999999999</v>
      </c>
      <c r="AJ2834" s="2">
        <f t="shared" si="390"/>
        <v>0</v>
      </c>
      <c r="AK2834" s="2">
        <f t="shared" si="383"/>
        <v>40.738300000000002</v>
      </c>
      <c r="AL2834" s="5">
        <f t="shared" si="392"/>
        <v>0.53134602843354639</v>
      </c>
    </row>
    <row r="2835" spans="1:38" x14ac:dyDescent="0.2">
      <c r="A2835" s="2">
        <v>2026</v>
      </c>
      <c r="B2835" s="2">
        <v>1</v>
      </c>
      <c r="D2835" s="2" t="s">
        <v>973</v>
      </c>
      <c r="M2835" s="2" t="s">
        <v>40</v>
      </c>
      <c r="O2835" s="2" t="s">
        <v>2316</v>
      </c>
      <c r="P2835" s="2" t="s">
        <v>114</v>
      </c>
      <c r="Q2835" s="2" t="s">
        <v>2317</v>
      </c>
      <c r="R2835" s="2" t="s">
        <v>2318</v>
      </c>
      <c r="S2835" s="2">
        <v>1</v>
      </c>
      <c r="T2835" s="2">
        <v>73.430000000000007</v>
      </c>
      <c r="U2835" s="2">
        <v>16.8889</v>
      </c>
      <c r="V2835" s="2">
        <v>90.318900000000014</v>
      </c>
      <c r="W2835" s="2">
        <v>34.743400000000001</v>
      </c>
      <c r="X2835" s="5">
        <f t="shared" si="391"/>
        <v>0.5268500612828545</v>
      </c>
      <c r="Z2835" s="2" t="s">
        <v>117</v>
      </c>
      <c r="AA2835" s="2" t="s">
        <v>118</v>
      </c>
      <c r="AB2835" s="2" t="s">
        <v>119</v>
      </c>
      <c r="AC2835" s="2" t="s">
        <v>114</v>
      </c>
      <c r="AF2835" s="2">
        <f t="shared" si="389"/>
        <v>0</v>
      </c>
      <c r="AG2835" s="2">
        <v>34.743400000000001</v>
      </c>
      <c r="AJ2835" s="2">
        <f t="shared" si="390"/>
        <v>0</v>
      </c>
      <c r="AK2835" s="2">
        <f t="shared" si="383"/>
        <v>38.686600000000006</v>
      </c>
      <c r="AL2835" s="5">
        <f t="shared" si="392"/>
        <v>0.5268500612828545</v>
      </c>
    </row>
    <row r="2836" spans="1:38" x14ac:dyDescent="0.2">
      <c r="A2836" s="2">
        <v>2026</v>
      </c>
      <c r="B2836" s="2">
        <v>1</v>
      </c>
      <c r="D2836" s="2" t="s">
        <v>2319</v>
      </c>
      <c r="M2836" s="2" t="s">
        <v>40</v>
      </c>
      <c r="O2836" s="2" t="s">
        <v>2320</v>
      </c>
      <c r="P2836" s="2" t="s">
        <v>114</v>
      </c>
      <c r="Q2836" s="2" t="s">
        <v>373</v>
      </c>
      <c r="R2836" s="2" t="s">
        <v>374</v>
      </c>
      <c r="S2836" s="2">
        <v>2</v>
      </c>
      <c r="T2836" s="2">
        <v>97.9</v>
      </c>
      <c r="U2836" s="2">
        <v>22.516999999999999</v>
      </c>
      <c r="V2836" s="2">
        <v>120.417</v>
      </c>
      <c r="W2836" s="2">
        <f>23.042*S2836</f>
        <v>46.084000000000003</v>
      </c>
      <c r="X2836" s="5">
        <f t="shared" si="391"/>
        <v>0.52927477017364655</v>
      </c>
      <c r="Z2836" s="2" t="s">
        <v>117</v>
      </c>
      <c r="AA2836" s="2" t="s">
        <v>118</v>
      </c>
      <c r="AB2836" s="2" t="s">
        <v>119</v>
      </c>
      <c r="AC2836" s="2" t="s">
        <v>114</v>
      </c>
      <c r="AF2836" s="2">
        <f t="shared" si="389"/>
        <v>0</v>
      </c>
      <c r="AG2836" s="2">
        <v>22.2</v>
      </c>
      <c r="AJ2836" s="2">
        <f t="shared" si="390"/>
        <v>0</v>
      </c>
      <c r="AK2836" s="2">
        <f t="shared" ref="AK2836:AK2849" si="393">T2836-W2836</f>
        <v>51.816000000000003</v>
      </c>
      <c r="AL2836" s="5">
        <f t="shared" si="392"/>
        <v>0.52927477017364655</v>
      </c>
    </row>
    <row r="2837" spans="1:38" x14ac:dyDescent="0.2">
      <c r="A2837" s="2">
        <v>2026</v>
      </c>
      <c r="B2837" s="2">
        <v>1</v>
      </c>
      <c r="D2837" s="2" t="s">
        <v>1290</v>
      </c>
      <c r="I2837" s="2" t="s">
        <v>2321</v>
      </c>
      <c r="M2837" s="2" t="s">
        <v>40</v>
      </c>
      <c r="O2837" s="2" t="s">
        <v>2322</v>
      </c>
      <c r="P2837" s="2" t="s">
        <v>114</v>
      </c>
      <c r="Q2837" s="2" t="s">
        <v>373</v>
      </c>
      <c r="R2837" s="2" t="s">
        <v>374</v>
      </c>
      <c r="S2837" s="2">
        <v>2</v>
      </c>
      <c r="T2837" s="2">
        <v>97.9</v>
      </c>
      <c r="U2837" s="2">
        <v>22.516999999999999</v>
      </c>
      <c r="V2837" s="2">
        <v>120.417</v>
      </c>
      <c r="W2837" s="2">
        <f>23.042*S2837</f>
        <v>46.084000000000003</v>
      </c>
      <c r="X2837" s="5">
        <f t="shared" si="391"/>
        <v>0.52927477017364655</v>
      </c>
      <c r="Z2837" s="2" t="s">
        <v>117</v>
      </c>
      <c r="AA2837" s="2" t="s">
        <v>118</v>
      </c>
      <c r="AB2837" s="2" t="s">
        <v>119</v>
      </c>
      <c r="AC2837" s="2" t="s">
        <v>114</v>
      </c>
      <c r="AF2837" s="2">
        <f t="shared" si="389"/>
        <v>0</v>
      </c>
      <c r="AG2837" s="2">
        <v>22.2</v>
      </c>
      <c r="AJ2837" s="2">
        <f t="shared" si="390"/>
        <v>0</v>
      </c>
      <c r="AK2837" s="2">
        <f t="shared" si="393"/>
        <v>51.816000000000003</v>
      </c>
      <c r="AL2837" s="5">
        <f t="shared" si="392"/>
        <v>0.52927477017364655</v>
      </c>
    </row>
    <row r="2838" spans="1:38" x14ac:dyDescent="0.2">
      <c r="A2838" s="2">
        <v>2026</v>
      </c>
      <c r="B2838" s="2">
        <v>1</v>
      </c>
      <c r="D2838" s="2" t="s">
        <v>1877</v>
      </c>
      <c r="M2838" s="2" t="s">
        <v>40</v>
      </c>
      <c r="O2838" s="2" t="s">
        <v>2323</v>
      </c>
      <c r="P2838" s="2" t="s">
        <v>114</v>
      </c>
      <c r="Q2838" s="2" t="s">
        <v>1413</v>
      </c>
      <c r="R2838" s="2" t="s">
        <v>1414</v>
      </c>
      <c r="S2838" s="2">
        <v>1</v>
      </c>
      <c r="T2838" s="2">
        <v>215.94</v>
      </c>
      <c r="U2838" s="2">
        <v>49.666200000000003</v>
      </c>
      <c r="V2838" s="2">
        <v>265.6062</v>
      </c>
      <c r="W2838" s="2">
        <v>102.39</v>
      </c>
      <c r="X2838" s="5">
        <f t="shared" si="391"/>
        <v>0.52584051125312581</v>
      </c>
      <c r="Z2838" s="2" t="s">
        <v>117</v>
      </c>
      <c r="AA2838" s="2" t="s">
        <v>118</v>
      </c>
      <c r="AB2838" s="2" t="s">
        <v>119</v>
      </c>
      <c r="AC2838" s="2" t="s">
        <v>114</v>
      </c>
      <c r="AF2838" s="2">
        <f t="shared" si="389"/>
        <v>0</v>
      </c>
      <c r="AG2838" s="2">
        <v>102.39</v>
      </c>
      <c r="AJ2838" s="2">
        <f t="shared" si="390"/>
        <v>0</v>
      </c>
      <c r="AK2838" s="2">
        <f t="shared" si="393"/>
        <v>113.55</v>
      </c>
      <c r="AL2838" s="5">
        <f t="shared" si="392"/>
        <v>0.52584051125312581</v>
      </c>
    </row>
    <row r="2839" spans="1:38" x14ac:dyDescent="0.2">
      <c r="A2839" s="2">
        <v>2026</v>
      </c>
      <c r="B2839" s="2">
        <v>1</v>
      </c>
      <c r="D2839" s="2" t="s">
        <v>558</v>
      </c>
      <c r="E2839" s="2" t="s">
        <v>108</v>
      </c>
      <c r="F2839" s="2" t="s">
        <v>39</v>
      </c>
      <c r="G2839" s="2">
        <v>506517233</v>
      </c>
      <c r="H2839" s="2" t="s">
        <v>80</v>
      </c>
      <c r="I2839" s="2" t="s">
        <v>559</v>
      </c>
      <c r="J2839" s="2" t="s">
        <v>560</v>
      </c>
      <c r="L2839" s="2" t="s">
        <v>133</v>
      </c>
      <c r="M2839" s="2" t="s">
        <v>40</v>
      </c>
      <c r="O2839" s="2" t="s">
        <v>2324</v>
      </c>
      <c r="P2839" s="2" t="s">
        <v>114</v>
      </c>
      <c r="Q2839" s="2" t="s">
        <v>646</v>
      </c>
      <c r="R2839" s="2" t="s">
        <v>647</v>
      </c>
      <c r="S2839" s="2">
        <v>1</v>
      </c>
      <c r="T2839" s="2">
        <v>63.46</v>
      </c>
      <c r="U2839" s="2">
        <v>14.595800000000001</v>
      </c>
      <c r="V2839" s="2">
        <v>78.055800000000005</v>
      </c>
      <c r="W2839" s="2">
        <v>30.61</v>
      </c>
      <c r="X2839" s="5">
        <f t="shared" si="391"/>
        <v>0.51764891270091395</v>
      </c>
      <c r="Z2839" s="2" t="s">
        <v>117</v>
      </c>
      <c r="AA2839" s="2" t="s">
        <v>118</v>
      </c>
      <c r="AB2839" s="2" t="s">
        <v>119</v>
      </c>
      <c r="AC2839" s="2" t="s">
        <v>114</v>
      </c>
      <c r="AF2839" s="2">
        <f t="shared" si="389"/>
        <v>0</v>
      </c>
      <c r="AG2839" s="2">
        <v>30.22</v>
      </c>
      <c r="AJ2839" s="2">
        <f t="shared" si="390"/>
        <v>0</v>
      </c>
      <c r="AK2839" s="2">
        <f t="shared" si="393"/>
        <v>32.85</v>
      </c>
      <c r="AL2839" s="5">
        <f t="shared" si="392"/>
        <v>0.51764891270091395</v>
      </c>
    </row>
    <row r="2840" spans="1:38" x14ac:dyDescent="0.2">
      <c r="A2840" s="2">
        <v>2026</v>
      </c>
      <c r="B2840" s="2">
        <v>1</v>
      </c>
      <c r="D2840" s="2" t="s">
        <v>2231</v>
      </c>
      <c r="M2840" s="2" t="s">
        <v>40</v>
      </c>
      <c r="O2840" s="2" t="s">
        <v>2325</v>
      </c>
      <c r="P2840" s="2" t="s">
        <v>114</v>
      </c>
      <c r="Q2840" s="2" t="s">
        <v>904</v>
      </c>
      <c r="R2840" s="2" t="s">
        <v>905</v>
      </c>
      <c r="S2840" s="2">
        <v>1</v>
      </c>
      <c r="T2840" s="2">
        <v>699.3</v>
      </c>
      <c r="U2840" s="2">
        <v>160.839</v>
      </c>
      <c r="V2840" s="2">
        <v>860.1389999999999</v>
      </c>
      <c r="W2840" s="2">
        <v>345.20339999999999</v>
      </c>
      <c r="X2840" s="5">
        <f t="shared" si="391"/>
        <v>0.50635864435864431</v>
      </c>
      <c r="Z2840" s="2" t="s">
        <v>117</v>
      </c>
      <c r="AA2840" s="2" t="s">
        <v>181</v>
      </c>
      <c r="AB2840" s="2" t="s">
        <v>119</v>
      </c>
      <c r="AC2840" s="2" t="s">
        <v>114</v>
      </c>
      <c r="AF2840" s="2">
        <f t="shared" si="389"/>
        <v>0</v>
      </c>
      <c r="AG2840" s="2">
        <v>342.22</v>
      </c>
      <c r="AJ2840" s="2">
        <f t="shared" si="390"/>
        <v>0</v>
      </c>
      <c r="AK2840" s="2">
        <f t="shared" si="393"/>
        <v>354.09659999999997</v>
      </c>
      <c r="AL2840" s="5">
        <f t="shared" si="392"/>
        <v>0.50635864435864431</v>
      </c>
    </row>
    <row r="2841" spans="1:38" x14ac:dyDescent="0.2">
      <c r="A2841" s="2">
        <v>2026</v>
      </c>
      <c r="B2841" s="2">
        <v>1</v>
      </c>
      <c r="D2841" s="2" t="s">
        <v>1008</v>
      </c>
      <c r="E2841" s="2" t="s">
        <v>108</v>
      </c>
      <c r="F2841" s="2" t="s">
        <v>39</v>
      </c>
      <c r="L2841" s="2" t="s">
        <v>418</v>
      </c>
      <c r="M2841" s="2" t="s">
        <v>40</v>
      </c>
      <c r="O2841" s="2" t="s">
        <v>2326</v>
      </c>
      <c r="P2841" s="2" t="s">
        <v>114</v>
      </c>
      <c r="Q2841" s="2" t="s">
        <v>904</v>
      </c>
      <c r="R2841" s="2" t="s">
        <v>905</v>
      </c>
      <c r="S2841" s="2">
        <v>1</v>
      </c>
      <c r="T2841" s="2">
        <v>699.3</v>
      </c>
      <c r="U2841" s="2">
        <v>160.839</v>
      </c>
      <c r="V2841" s="2">
        <v>860.1389999999999</v>
      </c>
      <c r="W2841" s="2">
        <v>345.20339999999999</v>
      </c>
      <c r="X2841" s="5">
        <f t="shared" si="391"/>
        <v>0.50635864435864431</v>
      </c>
      <c r="Z2841" s="2" t="s">
        <v>117</v>
      </c>
      <c r="AA2841" s="2" t="s">
        <v>181</v>
      </c>
      <c r="AB2841" s="2" t="s">
        <v>119</v>
      </c>
      <c r="AC2841" s="2" t="s">
        <v>114</v>
      </c>
      <c r="AF2841" s="2">
        <f t="shared" si="389"/>
        <v>0</v>
      </c>
      <c r="AG2841" s="2">
        <v>342.22</v>
      </c>
      <c r="AJ2841" s="2">
        <f t="shared" si="390"/>
        <v>0</v>
      </c>
      <c r="AK2841" s="2">
        <f t="shared" si="393"/>
        <v>354.09659999999997</v>
      </c>
      <c r="AL2841" s="5">
        <f t="shared" si="392"/>
        <v>0.50635864435864431</v>
      </c>
    </row>
    <row r="2842" spans="1:38" x14ac:dyDescent="0.2">
      <c r="A2842" s="2">
        <v>2026</v>
      </c>
      <c r="B2842" s="2">
        <v>1</v>
      </c>
      <c r="D2842" s="2" t="s">
        <v>2327</v>
      </c>
      <c r="I2842" s="2" t="s">
        <v>804</v>
      </c>
      <c r="L2842" s="2" t="s">
        <v>99</v>
      </c>
      <c r="M2842" s="2" t="s">
        <v>40</v>
      </c>
      <c r="O2842" s="2" t="s">
        <v>2328</v>
      </c>
      <c r="P2842" s="2" t="s">
        <v>114</v>
      </c>
      <c r="Q2842" s="2" t="s">
        <v>179</v>
      </c>
      <c r="R2842" s="2" t="s">
        <v>180</v>
      </c>
      <c r="S2842" s="2">
        <v>1</v>
      </c>
      <c r="T2842" s="2">
        <v>699.3</v>
      </c>
      <c r="U2842" s="2">
        <v>160.839</v>
      </c>
      <c r="V2842" s="2">
        <v>860.1389999999999</v>
      </c>
      <c r="W2842" s="2">
        <v>343.57</v>
      </c>
      <c r="X2842" s="5">
        <f t="shared" si="391"/>
        <v>0.50869440869440863</v>
      </c>
      <c r="Z2842" s="2" t="s">
        <v>117</v>
      </c>
      <c r="AA2842" s="2" t="s">
        <v>181</v>
      </c>
      <c r="AB2842" s="2" t="s">
        <v>119</v>
      </c>
      <c r="AC2842" s="2" t="s">
        <v>114</v>
      </c>
      <c r="AF2842" s="2">
        <f t="shared" si="389"/>
        <v>0</v>
      </c>
      <c r="AG2842" s="2">
        <v>343.38569999999999</v>
      </c>
      <c r="AJ2842" s="2">
        <f t="shared" si="390"/>
        <v>0</v>
      </c>
      <c r="AK2842" s="2">
        <f t="shared" si="393"/>
        <v>355.72999999999996</v>
      </c>
      <c r="AL2842" s="5">
        <f t="shared" si="392"/>
        <v>0.50869440869440863</v>
      </c>
    </row>
    <row r="2843" spans="1:38" x14ac:dyDescent="0.2">
      <c r="A2843" s="2">
        <v>2026</v>
      </c>
      <c r="B2843" s="2">
        <v>1</v>
      </c>
      <c r="D2843" s="2" t="s">
        <v>1290</v>
      </c>
      <c r="M2843" s="2" t="s">
        <v>40</v>
      </c>
      <c r="O2843" s="2" t="s">
        <v>2329</v>
      </c>
      <c r="P2843" s="2" t="s">
        <v>114</v>
      </c>
      <c r="Q2843" s="2" t="s">
        <v>2330</v>
      </c>
      <c r="R2843" s="2" t="s">
        <v>2331</v>
      </c>
      <c r="S2843" s="2">
        <v>1</v>
      </c>
      <c r="T2843" s="2">
        <v>41.96</v>
      </c>
      <c r="U2843" s="2">
        <v>9.6508000000000003</v>
      </c>
      <c r="V2843" s="2">
        <v>51.610799999999998</v>
      </c>
      <c r="W2843" s="2">
        <v>21.6</v>
      </c>
      <c r="X2843" s="5">
        <f t="shared" si="391"/>
        <v>0.48522402287893229</v>
      </c>
      <c r="Z2843" s="2" t="s">
        <v>117</v>
      </c>
      <c r="AA2843" s="2" t="s">
        <v>118</v>
      </c>
      <c r="AB2843" s="2" t="s">
        <v>119</v>
      </c>
      <c r="AC2843" s="2" t="s">
        <v>114</v>
      </c>
      <c r="AF2843" s="2">
        <f t="shared" si="389"/>
        <v>0</v>
      </c>
      <c r="AG2843" s="2">
        <v>21.6</v>
      </c>
      <c r="AJ2843" s="2">
        <f t="shared" si="390"/>
        <v>0</v>
      </c>
      <c r="AK2843" s="2">
        <f t="shared" si="393"/>
        <v>20.36</v>
      </c>
      <c r="AL2843" s="5">
        <f t="shared" si="392"/>
        <v>0.48522402287893229</v>
      </c>
    </row>
    <row r="2844" spans="1:38" x14ac:dyDescent="0.2">
      <c r="A2844" s="2">
        <v>2026</v>
      </c>
      <c r="B2844" s="2">
        <v>1</v>
      </c>
      <c r="D2844" s="2" t="s">
        <v>509</v>
      </c>
      <c r="E2844" s="2" t="s">
        <v>38</v>
      </c>
      <c r="F2844" s="2" t="s">
        <v>39</v>
      </c>
      <c r="G2844" s="2">
        <v>513405020</v>
      </c>
      <c r="H2844" s="2" t="s">
        <v>40</v>
      </c>
      <c r="I2844" s="2" t="s">
        <v>156</v>
      </c>
      <c r="J2844" s="2" t="s">
        <v>510</v>
      </c>
      <c r="K2844" s="2">
        <v>919770433</v>
      </c>
      <c r="L2844" s="2" t="s">
        <v>99</v>
      </c>
      <c r="M2844" s="2" t="s">
        <v>40</v>
      </c>
      <c r="O2844" s="2" t="s">
        <v>2332</v>
      </c>
      <c r="P2844" s="2" t="s">
        <v>114</v>
      </c>
      <c r="Q2844" s="2" t="s">
        <v>1655</v>
      </c>
      <c r="R2844" s="2" t="s">
        <v>1656</v>
      </c>
      <c r="S2844" s="2">
        <v>1</v>
      </c>
      <c r="T2844" s="2">
        <v>2635.57</v>
      </c>
      <c r="U2844" s="2">
        <v>606.18110000000001</v>
      </c>
      <c r="V2844" s="2">
        <v>3241.7511</v>
      </c>
      <c r="W2844" s="2">
        <v>565.75549999999998</v>
      </c>
      <c r="X2844" s="5">
        <f t="shared" si="391"/>
        <v>0.7853384656829453</v>
      </c>
      <c r="Z2844" s="2" t="s">
        <v>117</v>
      </c>
      <c r="AA2844" s="2" t="s">
        <v>118</v>
      </c>
      <c r="AB2844" s="2" t="s">
        <v>119</v>
      </c>
      <c r="AC2844" s="2" t="s">
        <v>114</v>
      </c>
      <c r="AF2844" s="2">
        <f t="shared" si="389"/>
        <v>0</v>
      </c>
      <c r="AG2844" s="2">
        <v>565.755</v>
      </c>
      <c r="AJ2844" s="2">
        <f t="shared" si="390"/>
        <v>0</v>
      </c>
      <c r="AK2844" s="2">
        <f t="shared" si="393"/>
        <v>2069.8145000000004</v>
      </c>
      <c r="AL2844" s="5">
        <f t="shared" si="392"/>
        <v>0.7853384656829453</v>
      </c>
    </row>
    <row r="2845" spans="1:38" x14ac:dyDescent="0.2">
      <c r="A2845" s="2">
        <v>2026</v>
      </c>
      <c r="B2845" s="2">
        <v>1</v>
      </c>
      <c r="D2845" s="2" t="s">
        <v>1877</v>
      </c>
      <c r="M2845" s="2" t="s">
        <v>40</v>
      </c>
      <c r="O2845" s="2" t="s">
        <v>2323</v>
      </c>
      <c r="P2845" s="2" t="s">
        <v>114</v>
      </c>
      <c r="Q2845" s="2" t="s">
        <v>793</v>
      </c>
      <c r="R2845" s="2" t="s">
        <v>794</v>
      </c>
      <c r="S2845" s="2">
        <v>1</v>
      </c>
      <c r="T2845" s="2">
        <v>539.16999999999996</v>
      </c>
      <c r="U2845" s="2">
        <v>124.0091</v>
      </c>
      <c r="V2845" s="2">
        <v>663.17909999999995</v>
      </c>
      <c r="W2845" s="2">
        <v>255.65</v>
      </c>
      <c r="X2845" s="5">
        <f t="shared" si="391"/>
        <v>0.52584528070923831</v>
      </c>
      <c r="Z2845" s="2" t="s">
        <v>117</v>
      </c>
      <c r="AF2845" s="2">
        <f t="shared" si="389"/>
        <v>0</v>
      </c>
      <c r="AG2845" s="2">
        <v>255.65</v>
      </c>
      <c r="AJ2845" s="2">
        <f t="shared" si="390"/>
        <v>0</v>
      </c>
      <c r="AK2845" s="2">
        <f t="shared" si="393"/>
        <v>283.52</v>
      </c>
      <c r="AL2845" s="5">
        <f t="shared" si="392"/>
        <v>0.52584528070923831</v>
      </c>
    </row>
    <row r="2846" spans="1:38" x14ac:dyDescent="0.2">
      <c r="A2846" s="2">
        <v>2026</v>
      </c>
      <c r="B2846" s="2">
        <v>1</v>
      </c>
      <c r="D2846" s="2" t="s">
        <v>2333</v>
      </c>
      <c r="P2846" s="2" t="s">
        <v>114</v>
      </c>
      <c r="Q2846" s="2" t="s">
        <v>978</v>
      </c>
      <c r="R2846" s="2" t="s">
        <v>979</v>
      </c>
      <c r="S2846" s="2">
        <v>1</v>
      </c>
      <c r="T2846" s="2">
        <v>79.819999999999993</v>
      </c>
      <c r="U2846" s="2">
        <v>18.358599999999999</v>
      </c>
      <c r="V2846" s="2">
        <v>98.178599999999989</v>
      </c>
      <c r="X2846" s="5">
        <f t="shared" si="391"/>
        <v>1</v>
      </c>
      <c r="Z2846" s="2" t="s">
        <v>117</v>
      </c>
      <c r="AF2846" s="2">
        <f t="shared" si="389"/>
        <v>0</v>
      </c>
      <c r="AJ2846" s="2">
        <f t="shared" si="390"/>
        <v>0</v>
      </c>
      <c r="AK2846" s="2">
        <f t="shared" si="393"/>
        <v>79.819999999999993</v>
      </c>
      <c r="AL2846" s="5">
        <f t="shared" si="392"/>
        <v>1</v>
      </c>
    </row>
    <row r="2847" spans="1:38" x14ac:dyDescent="0.2">
      <c r="A2847" s="2">
        <v>2026</v>
      </c>
      <c r="B2847" s="2">
        <v>1</v>
      </c>
      <c r="D2847" s="2" t="s">
        <v>2334</v>
      </c>
      <c r="M2847" s="2" t="s">
        <v>41</v>
      </c>
      <c r="P2847" s="2" t="s">
        <v>114</v>
      </c>
      <c r="Q2847" s="2" t="s">
        <v>2335</v>
      </c>
      <c r="R2847" s="2" t="s">
        <v>2336</v>
      </c>
      <c r="S2847" s="2">
        <v>1</v>
      </c>
      <c r="T2847" s="2">
        <v>422.5</v>
      </c>
      <c r="U2847" s="2">
        <v>97.174999999999997</v>
      </c>
      <c r="V2847" s="2">
        <v>519.67499999999995</v>
      </c>
      <c r="X2847" s="5">
        <f t="shared" si="391"/>
        <v>1</v>
      </c>
      <c r="Z2847" s="2" t="s">
        <v>117</v>
      </c>
      <c r="AF2847" s="2">
        <f t="shared" si="389"/>
        <v>0</v>
      </c>
      <c r="AJ2847" s="2">
        <f t="shared" si="390"/>
        <v>0</v>
      </c>
      <c r="AK2847" s="2">
        <f t="shared" si="393"/>
        <v>422.5</v>
      </c>
      <c r="AL2847" s="5">
        <f t="shared" si="392"/>
        <v>1</v>
      </c>
    </row>
    <row r="2848" spans="1:38" x14ac:dyDescent="0.2">
      <c r="A2848" s="2">
        <v>2026</v>
      </c>
      <c r="B2848" s="2">
        <v>1</v>
      </c>
      <c r="D2848" s="2" t="s">
        <v>1622</v>
      </c>
      <c r="E2848" s="2" t="s">
        <v>108</v>
      </c>
      <c r="F2848" s="2" t="s">
        <v>477</v>
      </c>
      <c r="G2848" s="2">
        <v>504161342</v>
      </c>
      <c r="H2848" s="2" t="s">
        <v>290</v>
      </c>
      <c r="I2848" s="2" t="s">
        <v>1623</v>
      </c>
      <c r="J2848" s="2" t="s">
        <v>1624</v>
      </c>
      <c r="L2848" s="2" t="s">
        <v>293</v>
      </c>
      <c r="M2848" s="2" t="s">
        <v>40</v>
      </c>
      <c r="O2848" s="2" t="s">
        <v>2337</v>
      </c>
      <c r="P2848" s="2" t="s">
        <v>114</v>
      </c>
      <c r="Q2848" s="2" t="s">
        <v>1471</v>
      </c>
      <c r="R2848" s="2" t="s">
        <v>1472</v>
      </c>
      <c r="S2848" s="2">
        <v>1</v>
      </c>
      <c r="T2848" s="2">
        <v>591.95000000000005</v>
      </c>
      <c r="U2848" s="2">
        <v>136.14850000000001</v>
      </c>
      <c r="V2848" s="2">
        <v>728.09850000000006</v>
      </c>
      <c r="W2848" s="2">
        <v>343.38</v>
      </c>
      <c r="X2848" s="5">
        <f t="shared" si="391"/>
        <v>0.41991722273840704</v>
      </c>
      <c r="Z2848" s="2" t="s">
        <v>117</v>
      </c>
      <c r="AA2848" s="2" t="s">
        <v>181</v>
      </c>
      <c r="AB2848" s="2" t="s">
        <v>119</v>
      </c>
      <c r="AC2848" s="2" t="s">
        <v>114</v>
      </c>
      <c r="AF2848" s="2">
        <f t="shared" si="389"/>
        <v>0</v>
      </c>
      <c r="AG2848" s="2">
        <v>343.38</v>
      </c>
      <c r="AH2848" s="2">
        <v>986.58</v>
      </c>
      <c r="AJ2848" s="2">
        <f t="shared" si="390"/>
        <v>0</v>
      </c>
      <c r="AK2848" s="2">
        <f t="shared" si="393"/>
        <v>248.57000000000005</v>
      </c>
      <c r="AL2848" s="5">
        <f t="shared" si="392"/>
        <v>0.41991722273840704</v>
      </c>
    </row>
    <row r="2849" spans="1:38" x14ac:dyDescent="0.2">
      <c r="A2849" s="2">
        <v>2026</v>
      </c>
      <c r="B2849" s="2">
        <v>1</v>
      </c>
      <c r="D2849" s="2" t="s">
        <v>2338</v>
      </c>
      <c r="M2849" s="2" t="s">
        <v>40</v>
      </c>
      <c r="P2849" s="2" t="s">
        <v>114</v>
      </c>
      <c r="Q2849" s="2" t="s">
        <v>1471</v>
      </c>
      <c r="R2849" s="2" t="s">
        <v>1472</v>
      </c>
      <c r="S2849" s="2">
        <v>1</v>
      </c>
      <c r="T2849" s="2">
        <v>690.61</v>
      </c>
      <c r="U2849" s="2">
        <v>158.84030000000001</v>
      </c>
      <c r="V2849" s="2">
        <v>849.45029999999997</v>
      </c>
      <c r="W2849" s="2">
        <v>343.38</v>
      </c>
      <c r="X2849" s="5">
        <f t="shared" si="391"/>
        <v>0.50278739085735802</v>
      </c>
      <c r="Z2849" s="2" t="s">
        <v>117</v>
      </c>
      <c r="AA2849" s="2" t="s">
        <v>181</v>
      </c>
      <c r="AB2849" s="2" t="s">
        <v>119</v>
      </c>
      <c r="AC2849" s="2" t="s">
        <v>114</v>
      </c>
      <c r="AF2849" s="2">
        <f t="shared" si="389"/>
        <v>0</v>
      </c>
      <c r="AG2849" s="2">
        <v>343.38</v>
      </c>
      <c r="AH2849" s="2">
        <v>986.58</v>
      </c>
      <c r="AJ2849" s="2">
        <f t="shared" si="390"/>
        <v>0</v>
      </c>
      <c r="AK2849" s="2">
        <f t="shared" si="393"/>
        <v>347.23</v>
      </c>
      <c r="AL2849" s="5">
        <f t="shared" si="392"/>
        <v>0.50278739085735802</v>
      </c>
    </row>
    <row r="2850" spans="1:38" x14ac:dyDescent="0.2">
      <c r="A2850" s="2">
        <v>2026</v>
      </c>
      <c r="B2850" s="2">
        <v>1</v>
      </c>
      <c r="D2850" s="2" t="s">
        <v>582</v>
      </c>
      <c r="E2850" s="2" t="s">
        <v>108</v>
      </c>
      <c r="G2850" s="2">
        <v>503850276</v>
      </c>
      <c r="H2850" s="2" t="s">
        <v>40</v>
      </c>
      <c r="I2850" s="2" t="s">
        <v>583</v>
      </c>
      <c r="J2850" s="2" t="s">
        <v>584</v>
      </c>
      <c r="L2850" s="2" t="s">
        <v>201</v>
      </c>
      <c r="M2850" s="2" t="s">
        <v>40</v>
      </c>
      <c r="P2850" s="2" t="s">
        <v>114</v>
      </c>
      <c r="Q2850" s="2" t="s">
        <v>1471</v>
      </c>
      <c r="R2850" s="2" t="s">
        <v>1472</v>
      </c>
      <c r="S2850" s="2">
        <v>1</v>
      </c>
      <c r="T2850" s="2">
        <v>0</v>
      </c>
      <c r="U2850" s="2">
        <v>0</v>
      </c>
      <c r="V2850" s="2">
        <v>0</v>
      </c>
      <c r="W2850" s="2">
        <v>0</v>
      </c>
      <c r="X2850" s="5">
        <v>0</v>
      </c>
      <c r="Z2850" s="2" t="s">
        <v>117</v>
      </c>
      <c r="AA2850" s="2" t="s">
        <v>181</v>
      </c>
      <c r="AB2850" s="2" t="s">
        <v>119</v>
      </c>
      <c r="AC2850" s="2" t="s">
        <v>114</v>
      </c>
      <c r="AF2850" s="2">
        <f t="shared" si="389"/>
        <v>0</v>
      </c>
      <c r="AG2850" s="2">
        <v>343.38</v>
      </c>
      <c r="AH2850" s="2">
        <v>986.58</v>
      </c>
      <c r="AJ2850" s="2">
        <f t="shared" si="390"/>
        <v>0</v>
      </c>
      <c r="AK2850" s="2">
        <v>0</v>
      </c>
      <c r="AL2850" s="5">
        <v>0</v>
      </c>
    </row>
    <row r="2851" spans="1:38" x14ac:dyDescent="0.2">
      <c r="A2851" s="2">
        <v>2026</v>
      </c>
      <c r="B2851" s="2">
        <v>1</v>
      </c>
      <c r="D2851" s="2" t="s">
        <v>582</v>
      </c>
      <c r="E2851" s="2" t="s">
        <v>108</v>
      </c>
      <c r="G2851" s="2">
        <v>503850276</v>
      </c>
      <c r="H2851" s="2" t="s">
        <v>40</v>
      </c>
      <c r="I2851" s="2" t="s">
        <v>583</v>
      </c>
      <c r="J2851" s="2" t="s">
        <v>584</v>
      </c>
      <c r="L2851" s="2" t="s">
        <v>201</v>
      </c>
      <c r="M2851" s="2" t="s">
        <v>80</v>
      </c>
      <c r="P2851" s="2" t="s">
        <v>114</v>
      </c>
      <c r="Q2851" s="2" t="s">
        <v>2339</v>
      </c>
      <c r="R2851" s="2" t="s">
        <v>2340</v>
      </c>
      <c r="S2851" s="2">
        <v>1</v>
      </c>
      <c r="T2851" s="2">
        <v>2818.8</v>
      </c>
      <c r="U2851" s="2">
        <v>648.32400000000007</v>
      </c>
      <c r="V2851" s="2">
        <v>3467.1239999999998</v>
      </c>
      <c r="W2851" s="2">
        <v>1216.95</v>
      </c>
      <c r="X2851" s="5">
        <f t="shared" ref="X2851:X2882" si="394">(T2851-W2851)/T2851</f>
        <v>0.56827373350361854</v>
      </c>
      <c r="Z2851" s="2" t="s">
        <v>104</v>
      </c>
      <c r="AA2851" s="2" t="s">
        <v>414</v>
      </c>
      <c r="AB2851" s="2" t="s">
        <v>151</v>
      </c>
      <c r="AC2851" s="2" t="s">
        <v>114</v>
      </c>
      <c r="AF2851" s="2">
        <f t="shared" si="389"/>
        <v>0</v>
      </c>
      <c r="AJ2851" s="2">
        <f t="shared" si="390"/>
        <v>0</v>
      </c>
      <c r="AK2851" s="2">
        <f t="shared" ref="AK2851:AK2882" si="395">T2851-W2851</f>
        <v>1601.8500000000001</v>
      </c>
      <c r="AL2851" s="5">
        <f t="shared" ref="AL2851:AL2882" si="396">(T2851-W2851)/T2851</f>
        <v>0.56827373350361854</v>
      </c>
    </row>
    <row r="2852" spans="1:38" x14ac:dyDescent="0.2">
      <c r="A2852" s="2">
        <v>2026</v>
      </c>
      <c r="B2852" s="2">
        <v>1</v>
      </c>
      <c r="D2852" s="2" t="s">
        <v>582</v>
      </c>
      <c r="E2852" s="2" t="s">
        <v>108</v>
      </c>
      <c r="G2852" s="2">
        <v>503850276</v>
      </c>
      <c r="H2852" s="2" t="s">
        <v>40</v>
      </c>
      <c r="I2852" s="2" t="s">
        <v>583</v>
      </c>
      <c r="J2852" s="2" t="s">
        <v>584</v>
      </c>
      <c r="L2852" s="2" t="s">
        <v>201</v>
      </c>
      <c r="M2852" s="2" t="s">
        <v>80</v>
      </c>
      <c r="P2852" s="2" t="s">
        <v>114</v>
      </c>
      <c r="Q2852" s="2" t="s">
        <v>2341</v>
      </c>
      <c r="R2852" s="2" t="s">
        <v>2342</v>
      </c>
      <c r="S2852" s="2">
        <v>1</v>
      </c>
      <c r="T2852" s="2">
        <v>1650</v>
      </c>
      <c r="U2852" s="2">
        <v>379.5</v>
      </c>
      <c r="V2852" s="2">
        <v>2029.5</v>
      </c>
      <c r="W2852" s="2">
        <v>1091.02</v>
      </c>
      <c r="X2852" s="5">
        <f t="shared" si="394"/>
        <v>0.33877575757575756</v>
      </c>
      <c r="Z2852" s="2" t="s">
        <v>117</v>
      </c>
      <c r="AA2852" s="2" t="s">
        <v>118</v>
      </c>
      <c r="AB2852" s="2" t="s">
        <v>119</v>
      </c>
      <c r="AC2852" s="2" t="s">
        <v>114</v>
      </c>
      <c r="AF2852" s="2">
        <f t="shared" si="389"/>
        <v>0</v>
      </c>
      <c r="AJ2852" s="2">
        <f t="shared" si="390"/>
        <v>0</v>
      </c>
      <c r="AK2852" s="2">
        <f t="shared" si="395"/>
        <v>558.98</v>
      </c>
      <c r="AL2852" s="5">
        <f t="shared" si="396"/>
        <v>0.33877575757575756</v>
      </c>
    </row>
    <row r="2853" spans="1:38" x14ac:dyDescent="0.2">
      <c r="A2853" s="2">
        <v>2026</v>
      </c>
      <c r="B2853" s="2">
        <v>1</v>
      </c>
      <c r="D2853" s="2" t="s">
        <v>97</v>
      </c>
      <c r="E2853" s="2" t="s">
        <v>98</v>
      </c>
      <c r="F2853" s="2" t="s">
        <v>39</v>
      </c>
      <c r="G2853" s="2">
        <v>517450925</v>
      </c>
      <c r="H2853" s="2" t="s">
        <v>40</v>
      </c>
      <c r="I2853" s="2" t="s">
        <v>99</v>
      </c>
      <c r="J2853" s="2" t="s">
        <v>100</v>
      </c>
      <c r="L2853" s="2" t="s">
        <v>99</v>
      </c>
      <c r="M2853" s="2" t="s">
        <v>40</v>
      </c>
      <c r="P2853" s="2" t="s">
        <v>114</v>
      </c>
      <c r="Q2853" s="2" t="s">
        <v>1183</v>
      </c>
      <c r="R2853" s="2" t="s">
        <v>1184</v>
      </c>
      <c r="S2853" s="2">
        <v>1</v>
      </c>
      <c r="T2853" s="2">
        <v>8130.08</v>
      </c>
      <c r="U2853" s="2">
        <v>1869.9184</v>
      </c>
      <c r="V2853" s="2">
        <v>9999.9984000000004</v>
      </c>
      <c r="W2853" s="2">
        <v>7437.5950000000003</v>
      </c>
      <c r="X2853" s="5">
        <f t="shared" si="394"/>
        <v>8.5175668628106938E-2</v>
      </c>
      <c r="Z2853" s="2" t="s">
        <v>104</v>
      </c>
      <c r="AA2853" s="2" t="s">
        <v>414</v>
      </c>
      <c r="AB2853" s="2" t="s">
        <v>151</v>
      </c>
      <c r="AC2853" s="2" t="s">
        <v>114</v>
      </c>
      <c r="AF2853" s="2">
        <f t="shared" si="389"/>
        <v>0</v>
      </c>
      <c r="AG2853" s="2">
        <v>7437.5950000000003</v>
      </c>
      <c r="AJ2853" s="2">
        <f t="shared" si="390"/>
        <v>0</v>
      </c>
      <c r="AK2853" s="2">
        <f t="shared" si="395"/>
        <v>692.48499999999967</v>
      </c>
      <c r="AL2853" s="5">
        <f t="shared" si="396"/>
        <v>8.5175668628106938E-2</v>
      </c>
    </row>
    <row r="2854" spans="1:38" x14ac:dyDescent="0.2">
      <c r="A2854" s="2">
        <v>2026</v>
      </c>
      <c r="B2854" s="2">
        <v>1</v>
      </c>
      <c r="D2854" s="2" t="s">
        <v>144</v>
      </c>
      <c r="E2854" s="2" t="s">
        <v>38</v>
      </c>
      <c r="F2854" s="2" t="s">
        <v>39</v>
      </c>
      <c r="G2854" s="2">
        <v>505883970</v>
      </c>
      <c r="H2854" s="2" t="s">
        <v>41</v>
      </c>
      <c r="I2854" s="2" t="s">
        <v>145</v>
      </c>
      <c r="J2854" s="2" t="s">
        <v>146</v>
      </c>
      <c r="L2854" s="2" t="s">
        <v>99</v>
      </c>
      <c r="M2854" s="2" t="s">
        <v>41</v>
      </c>
      <c r="O2854" s="2" t="s">
        <v>2343</v>
      </c>
      <c r="P2854" s="2" t="s">
        <v>114</v>
      </c>
      <c r="Q2854" s="2" t="s">
        <v>836</v>
      </c>
      <c r="R2854" s="2" t="s">
        <v>837</v>
      </c>
      <c r="S2854" s="2">
        <v>1</v>
      </c>
      <c r="T2854" s="2">
        <v>13990</v>
      </c>
      <c r="U2854" s="2">
        <v>3217.7</v>
      </c>
      <c r="V2854" s="2">
        <v>17207.7</v>
      </c>
      <c r="W2854" s="2">
        <v>9589.8799999999992</v>
      </c>
      <c r="X2854" s="5">
        <f t="shared" si="394"/>
        <v>0.31451894210150111</v>
      </c>
      <c r="Z2854" s="2" t="s">
        <v>104</v>
      </c>
      <c r="AA2854" s="2" t="s">
        <v>414</v>
      </c>
      <c r="AB2854" s="2" t="s">
        <v>151</v>
      </c>
      <c r="AC2854" s="2" t="s">
        <v>114</v>
      </c>
      <c r="AF2854" s="2">
        <f t="shared" si="389"/>
        <v>0</v>
      </c>
      <c r="AJ2854" s="2">
        <f t="shared" si="390"/>
        <v>0</v>
      </c>
      <c r="AK2854" s="2">
        <f t="shared" si="395"/>
        <v>4400.1200000000008</v>
      </c>
      <c r="AL2854" s="5">
        <f t="shared" si="396"/>
        <v>0.31451894210150111</v>
      </c>
    </row>
    <row r="2855" spans="1:38" x14ac:dyDescent="0.2">
      <c r="A2855" s="2">
        <v>2026</v>
      </c>
      <c r="B2855" s="2">
        <v>1</v>
      </c>
      <c r="C2855" s="2" t="s">
        <v>3327</v>
      </c>
      <c r="D2855" s="2" t="s">
        <v>3328</v>
      </c>
      <c r="E2855" s="2" t="s">
        <v>38</v>
      </c>
      <c r="F2855" s="2" t="s">
        <v>39</v>
      </c>
      <c r="L2855" s="2" t="s">
        <v>339</v>
      </c>
      <c r="M2855" s="2" t="s">
        <v>40</v>
      </c>
      <c r="O2855" s="2" t="s">
        <v>2343</v>
      </c>
      <c r="P2855" s="2" t="s">
        <v>114</v>
      </c>
      <c r="Q2855" s="2" t="s">
        <v>412</v>
      </c>
      <c r="R2855" s="2" t="s">
        <v>413</v>
      </c>
      <c r="S2855" s="2">
        <v>1</v>
      </c>
      <c r="T2855" s="2">
        <v>14005.6</v>
      </c>
      <c r="U2855" s="2">
        <v>3221.288</v>
      </c>
      <c r="V2855" s="2">
        <v>17226.887999999999</v>
      </c>
      <c r="W2855" s="2">
        <v>10669.4</v>
      </c>
      <c r="X2855" s="5">
        <f t="shared" si="394"/>
        <v>0.23820471811275495</v>
      </c>
      <c r="Z2855" s="2" t="s">
        <v>104</v>
      </c>
      <c r="AA2855" s="2" t="s">
        <v>414</v>
      </c>
      <c r="AB2855" s="2" t="s">
        <v>151</v>
      </c>
      <c r="AC2855" s="2" t="s">
        <v>114</v>
      </c>
      <c r="AF2855" s="2">
        <f t="shared" si="389"/>
        <v>0</v>
      </c>
      <c r="AG2855" s="2">
        <v>10669.4</v>
      </c>
      <c r="AJ2855" s="2">
        <f t="shared" si="390"/>
        <v>0</v>
      </c>
      <c r="AK2855" s="2">
        <f t="shared" si="395"/>
        <v>3336.2000000000007</v>
      </c>
      <c r="AL2855" s="5">
        <f t="shared" si="396"/>
        <v>0.23820471811275495</v>
      </c>
    </row>
    <row r="2856" spans="1:38" x14ac:dyDescent="0.2">
      <c r="A2856" s="2">
        <v>2026</v>
      </c>
      <c r="B2856" s="2">
        <v>1</v>
      </c>
      <c r="D2856" s="2" t="s">
        <v>289</v>
      </c>
      <c r="E2856" s="2" t="s">
        <v>108</v>
      </c>
      <c r="F2856" s="2" t="s">
        <v>39</v>
      </c>
      <c r="G2856" s="2">
        <v>508428300</v>
      </c>
      <c r="H2856" s="2" t="s">
        <v>290</v>
      </c>
      <c r="I2856" s="2" t="s">
        <v>291</v>
      </c>
      <c r="J2856" s="2" t="s">
        <v>292</v>
      </c>
      <c r="K2856" s="2">
        <v>917165642</v>
      </c>
      <c r="L2856" s="2" t="s">
        <v>293</v>
      </c>
      <c r="M2856" s="2" t="s">
        <v>290</v>
      </c>
      <c r="O2856" s="2" t="s">
        <v>2344</v>
      </c>
      <c r="P2856" s="2" t="s">
        <v>114</v>
      </c>
      <c r="Q2856" s="2" t="s">
        <v>955</v>
      </c>
      <c r="R2856" s="2" t="s">
        <v>956</v>
      </c>
      <c r="S2856" s="2">
        <v>1</v>
      </c>
      <c r="T2856" s="2">
        <v>8000</v>
      </c>
      <c r="U2856" s="2">
        <v>1840</v>
      </c>
      <c r="V2856" s="2">
        <v>9840</v>
      </c>
      <c r="W2856" s="2">
        <v>6468.73</v>
      </c>
      <c r="X2856" s="5">
        <f t="shared" si="394"/>
        <v>0.19140875000000004</v>
      </c>
      <c r="Z2856" s="2" t="s">
        <v>104</v>
      </c>
      <c r="AA2856" s="2" t="s">
        <v>616</v>
      </c>
      <c r="AB2856" s="2" t="s">
        <v>957</v>
      </c>
      <c r="AC2856" s="2" t="s">
        <v>114</v>
      </c>
      <c r="AF2856" s="2">
        <f t="shared" si="389"/>
        <v>0</v>
      </c>
      <c r="AG2856" s="2">
        <v>6468.73</v>
      </c>
      <c r="AJ2856" s="2">
        <f t="shared" si="390"/>
        <v>0</v>
      </c>
      <c r="AK2856" s="2">
        <f t="shared" si="395"/>
        <v>1531.2700000000004</v>
      </c>
      <c r="AL2856" s="5">
        <f t="shared" si="396"/>
        <v>0.19140875000000004</v>
      </c>
    </row>
    <row r="2857" spans="1:38" x14ac:dyDescent="0.2">
      <c r="A2857" s="2">
        <v>2026</v>
      </c>
      <c r="B2857" s="2">
        <v>1</v>
      </c>
      <c r="D2857" s="2" t="s">
        <v>2319</v>
      </c>
      <c r="P2857" s="2" t="s">
        <v>114</v>
      </c>
      <c r="Q2857" s="2" t="s">
        <v>955</v>
      </c>
      <c r="R2857" s="2" t="s">
        <v>956</v>
      </c>
      <c r="S2857" s="2">
        <v>1</v>
      </c>
      <c r="T2857" s="2">
        <v>8930</v>
      </c>
      <c r="U2857" s="2">
        <v>2053.9</v>
      </c>
      <c r="V2857" s="2">
        <v>10983.9</v>
      </c>
      <c r="W2857" s="2">
        <v>6468.73</v>
      </c>
      <c r="X2857" s="5">
        <f t="shared" si="394"/>
        <v>0.27561814109742444</v>
      </c>
      <c r="Z2857" s="2" t="s">
        <v>104</v>
      </c>
      <c r="AA2857" s="2" t="s">
        <v>616</v>
      </c>
      <c r="AB2857" s="2" t="s">
        <v>957</v>
      </c>
      <c r="AC2857" s="2" t="s">
        <v>114</v>
      </c>
      <c r="AF2857" s="2">
        <f t="shared" si="389"/>
        <v>0</v>
      </c>
      <c r="AG2857" s="2">
        <f>6193.4+275.33</f>
        <v>6468.73</v>
      </c>
      <c r="AJ2857" s="2">
        <f t="shared" si="390"/>
        <v>0</v>
      </c>
      <c r="AK2857" s="2">
        <f t="shared" si="395"/>
        <v>2461.2700000000004</v>
      </c>
      <c r="AL2857" s="5">
        <f t="shared" si="396"/>
        <v>0.27561814109742444</v>
      </c>
    </row>
    <row r="2858" spans="1:38" x14ac:dyDescent="0.2">
      <c r="A2858" s="2">
        <v>2026</v>
      </c>
      <c r="B2858" s="2">
        <v>1</v>
      </c>
      <c r="D2858" s="2" t="s">
        <v>1124</v>
      </c>
      <c r="E2858" s="2" t="s">
        <v>108</v>
      </c>
      <c r="F2858" s="2" t="s">
        <v>39</v>
      </c>
      <c r="G2858" s="2">
        <v>515742279</v>
      </c>
      <c r="H2858" s="2" t="s">
        <v>41</v>
      </c>
      <c r="I2858" s="2" t="s">
        <v>2294</v>
      </c>
      <c r="J2858" s="2" t="s">
        <v>2295</v>
      </c>
      <c r="K2858" s="2">
        <v>965790183</v>
      </c>
      <c r="L2858" s="2" t="s">
        <v>177</v>
      </c>
      <c r="M2858" s="2" t="s">
        <v>41</v>
      </c>
      <c r="O2858" s="2" t="s">
        <v>2345</v>
      </c>
      <c r="P2858" s="2" t="s">
        <v>114</v>
      </c>
      <c r="Q2858" s="2" t="s">
        <v>955</v>
      </c>
      <c r="R2858" s="2" t="s">
        <v>956</v>
      </c>
      <c r="S2858" s="2">
        <v>1</v>
      </c>
      <c r="T2858" s="2">
        <v>9500</v>
      </c>
      <c r="U2858" s="2">
        <v>2185</v>
      </c>
      <c r="V2858" s="2">
        <v>11685</v>
      </c>
      <c r="W2858" s="2">
        <v>6468.73</v>
      </c>
      <c r="X2858" s="5">
        <f t="shared" si="394"/>
        <v>0.31908105263157899</v>
      </c>
      <c r="Z2858" s="2" t="s">
        <v>104</v>
      </c>
      <c r="AA2858" s="2" t="s">
        <v>616</v>
      </c>
      <c r="AB2858" s="2" t="s">
        <v>957</v>
      </c>
      <c r="AC2858" s="2" t="s">
        <v>114</v>
      </c>
      <c r="AF2858" s="2">
        <f t="shared" si="389"/>
        <v>0</v>
      </c>
      <c r="AG2858" s="2">
        <f>6193.4+275.33</f>
        <v>6468.73</v>
      </c>
      <c r="AJ2858" s="2">
        <f t="shared" si="390"/>
        <v>0</v>
      </c>
      <c r="AK2858" s="2">
        <f t="shared" si="395"/>
        <v>3031.2700000000004</v>
      </c>
      <c r="AL2858" s="5">
        <f t="shared" si="396"/>
        <v>0.31908105263157899</v>
      </c>
    </row>
    <row r="2859" spans="1:38" x14ac:dyDescent="0.2">
      <c r="A2859" s="2">
        <v>2026</v>
      </c>
      <c r="B2859" s="2">
        <v>1</v>
      </c>
      <c r="D2859" s="2" t="s">
        <v>973</v>
      </c>
      <c r="M2859" s="2" t="s">
        <v>3301</v>
      </c>
      <c r="P2859" s="2" t="s">
        <v>2346</v>
      </c>
      <c r="Q2859" s="2" t="s">
        <v>2347</v>
      </c>
      <c r="R2859" s="2" t="s">
        <v>2348</v>
      </c>
      <c r="S2859" s="2">
        <v>1</v>
      </c>
      <c r="T2859" s="2">
        <v>1100</v>
      </c>
      <c r="U2859" s="2">
        <v>253</v>
      </c>
      <c r="V2859" s="2">
        <v>1353</v>
      </c>
      <c r="W2859" s="2">
        <v>203</v>
      </c>
      <c r="X2859" s="5">
        <f t="shared" si="394"/>
        <v>0.81545454545454543</v>
      </c>
      <c r="Z2859" s="2" t="s">
        <v>117</v>
      </c>
      <c r="AA2859" s="2" t="s">
        <v>578</v>
      </c>
      <c r="AB2859" s="2" t="s">
        <v>119</v>
      </c>
      <c r="AC2859" s="2" t="s">
        <v>2346</v>
      </c>
      <c r="AF2859" s="2">
        <f t="shared" si="389"/>
        <v>0</v>
      </c>
      <c r="AG2859" s="2">
        <v>203</v>
      </c>
      <c r="AJ2859" s="2">
        <f t="shared" si="390"/>
        <v>0</v>
      </c>
      <c r="AK2859" s="2">
        <f t="shared" si="395"/>
        <v>897</v>
      </c>
      <c r="AL2859" s="5">
        <f t="shared" si="396"/>
        <v>0.81545454545454543</v>
      </c>
    </row>
    <row r="2860" spans="1:38" x14ac:dyDescent="0.2">
      <c r="A2860" s="2">
        <v>2026</v>
      </c>
      <c r="B2860" s="2">
        <v>1</v>
      </c>
      <c r="D2860" s="2" t="s">
        <v>1553</v>
      </c>
      <c r="E2860" s="2" t="s">
        <v>108</v>
      </c>
      <c r="F2860" s="2" t="s">
        <v>717</v>
      </c>
      <c r="G2860" s="2">
        <v>500975914</v>
      </c>
      <c r="H2860" s="2" t="s">
        <v>41</v>
      </c>
      <c r="I2860" s="2" t="s">
        <v>1554</v>
      </c>
      <c r="J2860" s="2" t="s">
        <v>1555</v>
      </c>
      <c r="L2860" s="2" t="s">
        <v>99</v>
      </c>
      <c r="M2860" s="2" t="s">
        <v>41</v>
      </c>
      <c r="P2860" s="2" t="s">
        <v>2349</v>
      </c>
      <c r="Q2860" s="2" t="s">
        <v>2350</v>
      </c>
      <c r="R2860" s="2" t="s">
        <v>2351</v>
      </c>
      <c r="S2860" s="2">
        <v>1</v>
      </c>
      <c r="T2860" s="2">
        <v>590</v>
      </c>
      <c r="U2860" s="2">
        <v>135.69999999999999</v>
      </c>
      <c r="V2860" s="2">
        <v>725.7</v>
      </c>
      <c r="W2860" s="2">
        <v>374.15</v>
      </c>
      <c r="X2860" s="5">
        <f t="shared" si="394"/>
        <v>0.36584745762711868</v>
      </c>
      <c r="Z2860" s="2" t="s">
        <v>104</v>
      </c>
      <c r="AA2860" s="2" t="s">
        <v>71</v>
      </c>
      <c r="AB2860" s="2" t="s">
        <v>2349</v>
      </c>
      <c r="AC2860" s="2" t="s">
        <v>2349</v>
      </c>
      <c r="AF2860" s="2">
        <f t="shared" si="389"/>
        <v>0</v>
      </c>
      <c r="AG2860" s="2">
        <v>374.15</v>
      </c>
      <c r="AH2860" s="2">
        <v>662.51</v>
      </c>
      <c r="AJ2860" s="2">
        <f t="shared" si="390"/>
        <v>0</v>
      </c>
      <c r="AK2860" s="2">
        <f t="shared" si="395"/>
        <v>215.85000000000002</v>
      </c>
      <c r="AL2860" s="5">
        <f t="shared" si="396"/>
        <v>0.36584745762711868</v>
      </c>
    </row>
    <row r="2861" spans="1:38" x14ac:dyDescent="0.2">
      <c r="A2861" s="2">
        <v>2026</v>
      </c>
      <c r="B2861" s="2">
        <v>1</v>
      </c>
      <c r="D2861" s="2" t="s">
        <v>525</v>
      </c>
      <c r="E2861" s="2" t="s">
        <v>108</v>
      </c>
      <c r="F2861" s="2" t="s">
        <v>39</v>
      </c>
      <c r="G2861" s="2">
        <v>509391583</v>
      </c>
      <c r="H2861" s="2" t="s">
        <v>40</v>
      </c>
      <c r="I2861" s="2" t="s">
        <v>526</v>
      </c>
      <c r="J2861" s="2" t="s">
        <v>527</v>
      </c>
      <c r="L2861" s="2" t="s">
        <v>344</v>
      </c>
      <c r="M2861" s="2" t="s">
        <v>80</v>
      </c>
      <c r="O2861" s="2" t="s">
        <v>2352</v>
      </c>
      <c r="P2861" s="2" t="s">
        <v>282</v>
      </c>
      <c r="Q2861" s="2" t="s">
        <v>1510</v>
      </c>
      <c r="R2861" s="2" t="s">
        <v>1511</v>
      </c>
      <c r="S2861" s="2">
        <v>3</v>
      </c>
      <c r="T2861" s="2">
        <v>149.69999999999999</v>
      </c>
      <c r="U2861" s="2">
        <v>34.430999999999997</v>
      </c>
      <c r="V2861" s="2">
        <v>184.131</v>
      </c>
      <c r="W2861" s="2">
        <f>27.445*S2861</f>
        <v>82.335000000000008</v>
      </c>
      <c r="X2861" s="5">
        <f t="shared" si="394"/>
        <v>0.4499999999999999</v>
      </c>
      <c r="Z2861" s="2" t="s">
        <v>3227</v>
      </c>
      <c r="AA2861" s="2" t="s">
        <v>71</v>
      </c>
      <c r="AB2861" s="2" t="s">
        <v>1600</v>
      </c>
      <c r="AC2861" s="2" t="s">
        <v>1600</v>
      </c>
      <c r="AF2861" s="2">
        <f t="shared" si="389"/>
        <v>0</v>
      </c>
      <c r="AG2861" s="2">
        <v>27.445</v>
      </c>
      <c r="AJ2861" s="2">
        <f t="shared" si="390"/>
        <v>0</v>
      </c>
      <c r="AK2861" s="2">
        <f t="shared" si="395"/>
        <v>67.364999999999981</v>
      </c>
      <c r="AL2861" s="5">
        <f t="shared" si="396"/>
        <v>0.4499999999999999</v>
      </c>
    </row>
    <row r="2862" spans="1:38" x14ac:dyDescent="0.2">
      <c r="A2862" s="2">
        <v>2026</v>
      </c>
      <c r="B2862" s="2">
        <v>1</v>
      </c>
      <c r="D2862" s="2" t="s">
        <v>2353</v>
      </c>
      <c r="E2862" s="2" t="s">
        <v>38</v>
      </c>
      <c r="G2862" s="2">
        <v>500888981</v>
      </c>
      <c r="H2862" s="2" t="s">
        <v>40</v>
      </c>
      <c r="I2862" s="2" t="s">
        <v>99</v>
      </c>
      <c r="K2862" s="2">
        <v>918560289</v>
      </c>
      <c r="L2862" s="2" t="s">
        <v>99</v>
      </c>
      <c r="M2862" s="2" t="s">
        <v>80</v>
      </c>
      <c r="O2862" s="2" t="s">
        <v>2354</v>
      </c>
      <c r="P2862" s="2" t="s">
        <v>282</v>
      </c>
      <c r="Q2862" s="2" t="s">
        <v>2355</v>
      </c>
      <c r="R2862" s="2" t="s">
        <v>2356</v>
      </c>
      <c r="S2862" s="2">
        <v>1</v>
      </c>
      <c r="T2862" s="2">
        <v>12</v>
      </c>
      <c r="U2862" s="2">
        <v>2.76</v>
      </c>
      <c r="V2862" s="2">
        <v>14.76</v>
      </c>
      <c r="W2862" s="2">
        <v>6.5</v>
      </c>
      <c r="X2862" s="5">
        <f t="shared" si="394"/>
        <v>0.45833333333333331</v>
      </c>
      <c r="Z2862" s="2" t="s">
        <v>3227</v>
      </c>
      <c r="AA2862" s="2" t="s">
        <v>71</v>
      </c>
      <c r="AB2862" s="2" t="s">
        <v>1600</v>
      </c>
      <c r="AC2862" s="2" t="s">
        <v>1600</v>
      </c>
      <c r="AF2862" s="2">
        <f t="shared" si="389"/>
        <v>0</v>
      </c>
      <c r="AG2862" s="2">
        <v>6.5</v>
      </c>
      <c r="AH2862" s="2">
        <v>10</v>
      </c>
      <c r="AJ2862" s="2">
        <f t="shared" si="390"/>
        <v>0</v>
      </c>
      <c r="AK2862" s="2">
        <f t="shared" si="395"/>
        <v>5.5</v>
      </c>
      <c r="AL2862" s="5">
        <f t="shared" si="396"/>
        <v>0.45833333333333331</v>
      </c>
    </row>
    <row r="2863" spans="1:38" x14ac:dyDescent="0.2">
      <c r="A2863" s="2">
        <v>2026</v>
      </c>
      <c r="B2863" s="2">
        <v>1</v>
      </c>
      <c r="D2863" s="2" t="s">
        <v>2357</v>
      </c>
      <c r="E2863" s="2" t="s">
        <v>752</v>
      </c>
      <c r="G2863" s="2">
        <v>191221937</v>
      </c>
      <c r="H2863" s="2" t="s">
        <v>109</v>
      </c>
      <c r="I2863" s="2" t="s">
        <v>2358</v>
      </c>
      <c r="J2863" s="2" t="s">
        <v>2359</v>
      </c>
      <c r="L2863" s="2" t="s">
        <v>133</v>
      </c>
      <c r="M2863" s="2" t="s">
        <v>109</v>
      </c>
      <c r="P2863" s="2" t="s">
        <v>282</v>
      </c>
      <c r="Q2863" s="2" t="s">
        <v>1547</v>
      </c>
      <c r="R2863" s="2" t="s">
        <v>1548</v>
      </c>
      <c r="S2863" s="2">
        <v>1</v>
      </c>
      <c r="T2863" s="2">
        <v>595</v>
      </c>
      <c r="U2863" s="2">
        <v>136.85</v>
      </c>
      <c r="V2863" s="2">
        <v>731.85</v>
      </c>
      <c r="W2863" s="2">
        <v>297</v>
      </c>
      <c r="X2863" s="5">
        <f t="shared" si="394"/>
        <v>0.50084033613445378</v>
      </c>
      <c r="Z2863" s="2" t="s">
        <v>104</v>
      </c>
      <c r="AA2863" s="2" t="s">
        <v>387</v>
      </c>
      <c r="AB2863" s="2" t="s">
        <v>388</v>
      </c>
      <c r="AC2863" s="2" t="s">
        <v>389</v>
      </c>
      <c r="AF2863" s="2">
        <f t="shared" si="389"/>
        <v>0</v>
      </c>
      <c r="AG2863" s="2">
        <v>297</v>
      </c>
      <c r="AH2863" s="2">
        <v>595</v>
      </c>
      <c r="AJ2863" s="2">
        <f t="shared" si="390"/>
        <v>0</v>
      </c>
      <c r="AK2863" s="2">
        <f t="shared" si="395"/>
        <v>298</v>
      </c>
      <c r="AL2863" s="5">
        <f t="shared" si="396"/>
        <v>0.50084033613445378</v>
      </c>
    </row>
    <row r="2864" spans="1:38" x14ac:dyDescent="0.2">
      <c r="A2864" s="2">
        <v>2026</v>
      </c>
      <c r="B2864" s="2">
        <v>1</v>
      </c>
      <c r="D2864" s="2" t="s">
        <v>37</v>
      </c>
      <c r="E2864" s="2" t="s">
        <v>38</v>
      </c>
      <c r="F2864" s="2" t="s">
        <v>39</v>
      </c>
      <c r="H2864" s="2" t="s">
        <v>40</v>
      </c>
      <c r="M2864" s="2" t="s">
        <v>41</v>
      </c>
      <c r="P2864" s="2" t="s">
        <v>282</v>
      </c>
      <c r="Q2864" s="2" t="s">
        <v>399</v>
      </c>
      <c r="R2864" s="2" t="s">
        <v>400</v>
      </c>
      <c r="S2864" s="2">
        <v>4</v>
      </c>
      <c r="T2864" s="2">
        <v>80</v>
      </c>
      <c r="U2864" s="2">
        <v>18.399999999999999</v>
      </c>
      <c r="V2864" s="2">
        <v>98.4</v>
      </c>
      <c r="W2864" s="2">
        <f>14.5099*S2864</f>
        <v>58.0396</v>
      </c>
      <c r="X2864" s="5">
        <f t="shared" si="394"/>
        <v>0.274505</v>
      </c>
      <c r="Z2864" s="2" t="s">
        <v>3227</v>
      </c>
      <c r="AA2864" s="2" t="s">
        <v>46</v>
      </c>
      <c r="AB2864" s="2" t="s">
        <v>60</v>
      </c>
      <c r="AC2864" s="2" t="s">
        <v>3332</v>
      </c>
      <c r="AF2864" s="2">
        <f t="shared" si="389"/>
        <v>0</v>
      </c>
      <c r="AJ2864" s="2">
        <f t="shared" si="390"/>
        <v>0</v>
      </c>
      <c r="AK2864" s="2">
        <f t="shared" si="395"/>
        <v>21.9604</v>
      </c>
      <c r="AL2864" s="5">
        <f t="shared" si="396"/>
        <v>0.274505</v>
      </c>
    </row>
    <row r="2865" spans="1:38" x14ac:dyDescent="0.2">
      <c r="A2865" s="2">
        <v>2026</v>
      </c>
      <c r="B2865" s="2">
        <v>1</v>
      </c>
      <c r="D2865" s="2" t="s">
        <v>394</v>
      </c>
      <c r="E2865" s="2" t="s">
        <v>108</v>
      </c>
      <c r="F2865" s="2" t="s">
        <v>395</v>
      </c>
      <c r="G2865" s="2">
        <v>501787160</v>
      </c>
      <c r="H2865" s="2" t="s">
        <v>41</v>
      </c>
      <c r="I2865" s="2" t="s">
        <v>396</v>
      </c>
      <c r="J2865" s="2" t="s">
        <v>397</v>
      </c>
      <c r="L2865" s="2" t="s">
        <v>398</v>
      </c>
      <c r="M2865" s="2" t="s">
        <v>41</v>
      </c>
      <c r="P2865" s="2" t="s">
        <v>282</v>
      </c>
      <c r="Q2865" s="2" t="s">
        <v>399</v>
      </c>
      <c r="R2865" s="2" t="s">
        <v>400</v>
      </c>
      <c r="S2865" s="2">
        <v>20</v>
      </c>
      <c r="T2865" s="2">
        <v>400</v>
      </c>
      <c r="U2865" s="2">
        <v>92</v>
      </c>
      <c r="V2865" s="2">
        <v>492</v>
      </c>
      <c r="W2865" s="2">
        <f>14.5099*S2865</f>
        <v>290.19799999999998</v>
      </c>
      <c r="X2865" s="5">
        <f t="shared" si="394"/>
        <v>0.27450500000000005</v>
      </c>
      <c r="Z2865" s="2" t="s">
        <v>3227</v>
      </c>
      <c r="AA2865" s="2" t="s">
        <v>46</v>
      </c>
      <c r="AB2865" s="2" t="s">
        <v>60</v>
      </c>
      <c r="AC2865" s="2" t="s">
        <v>3332</v>
      </c>
      <c r="AF2865" s="2">
        <f t="shared" si="389"/>
        <v>0</v>
      </c>
      <c r="AJ2865" s="2">
        <f t="shared" si="390"/>
        <v>0</v>
      </c>
      <c r="AK2865" s="2">
        <f t="shared" si="395"/>
        <v>109.80200000000002</v>
      </c>
      <c r="AL2865" s="5">
        <f t="shared" si="396"/>
        <v>0.27450500000000005</v>
      </c>
    </row>
    <row r="2866" spans="1:38" x14ac:dyDescent="0.2">
      <c r="A2866" s="2">
        <v>2026</v>
      </c>
      <c r="B2866" s="2">
        <v>1</v>
      </c>
      <c r="D2866" s="2" t="s">
        <v>1553</v>
      </c>
      <c r="E2866" s="2" t="s">
        <v>108</v>
      </c>
      <c r="F2866" s="2" t="s">
        <v>717</v>
      </c>
      <c r="G2866" s="2">
        <v>500975914</v>
      </c>
      <c r="H2866" s="2" t="s">
        <v>41</v>
      </c>
      <c r="I2866" s="2" t="s">
        <v>1554</v>
      </c>
      <c r="J2866" s="2" t="s">
        <v>1555</v>
      </c>
      <c r="L2866" s="2" t="s">
        <v>99</v>
      </c>
      <c r="M2866" s="2" t="s">
        <v>41</v>
      </c>
      <c r="P2866" s="2" t="s">
        <v>282</v>
      </c>
      <c r="Q2866" s="2" t="s">
        <v>399</v>
      </c>
      <c r="R2866" s="2" t="s">
        <v>400</v>
      </c>
      <c r="S2866" s="2">
        <v>20</v>
      </c>
      <c r="T2866" s="2">
        <v>400</v>
      </c>
      <c r="U2866" s="2">
        <v>92</v>
      </c>
      <c r="V2866" s="2">
        <v>492</v>
      </c>
      <c r="W2866" s="2">
        <f>14.5099*S2866</f>
        <v>290.19799999999998</v>
      </c>
      <c r="X2866" s="5">
        <f t="shared" si="394"/>
        <v>0.27450500000000005</v>
      </c>
      <c r="Z2866" s="2" t="s">
        <v>3227</v>
      </c>
      <c r="AA2866" s="2" t="s">
        <v>46</v>
      </c>
      <c r="AB2866" s="2" t="s">
        <v>60</v>
      </c>
      <c r="AC2866" s="2" t="s">
        <v>3332</v>
      </c>
      <c r="AF2866" s="2">
        <f t="shared" si="389"/>
        <v>0</v>
      </c>
      <c r="AJ2866" s="2">
        <f t="shared" si="390"/>
        <v>0</v>
      </c>
      <c r="AK2866" s="2">
        <f t="shared" si="395"/>
        <v>109.80200000000002</v>
      </c>
      <c r="AL2866" s="5">
        <f t="shared" si="396"/>
        <v>0.27450500000000005</v>
      </c>
    </row>
    <row r="2867" spans="1:38" x14ac:dyDescent="0.2">
      <c r="A2867" s="2">
        <v>2026</v>
      </c>
      <c r="B2867" s="2">
        <v>1</v>
      </c>
      <c r="D2867" s="2" t="s">
        <v>394</v>
      </c>
      <c r="E2867" s="2" t="s">
        <v>108</v>
      </c>
      <c r="F2867" s="2" t="s">
        <v>395</v>
      </c>
      <c r="G2867" s="2">
        <v>501787160</v>
      </c>
      <c r="H2867" s="2" t="s">
        <v>41</v>
      </c>
      <c r="I2867" s="2" t="s">
        <v>396</v>
      </c>
      <c r="J2867" s="2" t="s">
        <v>397</v>
      </c>
      <c r="L2867" s="2" t="s">
        <v>398</v>
      </c>
      <c r="M2867" s="2" t="s">
        <v>41</v>
      </c>
      <c r="P2867" s="2" t="s">
        <v>282</v>
      </c>
      <c r="Q2867" s="2" t="s">
        <v>401</v>
      </c>
      <c r="R2867" s="2" t="s">
        <v>402</v>
      </c>
      <c r="S2867" s="2">
        <v>20</v>
      </c>
      <c r="T2867" s="2">
        <v>400</v>
      </c>
      <c r="U2867" s="2">
        <v>92</v>
      </c>
      <c r="V2867" s="2">
        <v>492</v>
      </c>
      <c r="W2867" s="2">
        <f>14.5099*S2867</f>
        <v>290.19799999999998</v>
      </c>
      <c r="X2867" s="5">
        <f t="shared" si="394"/>
        <v>0.27450500000000005</v>
      </c>
      <c r="Z2867" s="2" t="s">
        <v>3227</v>
      </c>
      <c r="AA2867" s="2" t="s">
        <v>46</v>
      </c>
      <c r="AB2867" s="2" t="s">
        <v>60</v>
      </c>
      <c r="AC2867" s="2" t="s">
        <v>3332</v>
      </c>
      <c r="AF2867" s="2">
        <f t="shared" si="389"/>
        <v>0</v>
      </c>
      <c r="AJ2867" s="2">
        <f t="shared" si="390"/>
        <v>0</v>
      </c>
      <c r="AK2867" s="2">
        <f t="shared" si="395"/>
        <v>109.80200000000002</v>
      </c>
      <c r="AL2867" s="5">
        <f t="shared" si="396"/>
        <v>0.27450500000000005</v>
      </c>
    </row>
    <row r="2868" spans="1:38" x14ac:dyDescent="0.2">
      <c r="A2868" s="2">
        <v>2026</v>
      </c>
      <c r="B2868" s="2">
        <v>1</v>
      </c>
      <c r="D2868" s="2" t="s">
        <v>37</v>
      </c>
      <c r="E2868" s="2" t="s">
        <v>38</v>
      </c>
      <c r="F2868" s="2" t="s">
        <v>39</v>
      </c>
      <c r="H2868" s="2" t="s">
        <v>40</v>
      </c>
      <c r="M2868" s="2" t="s">
        <v>41</v>
      </c>
      <c r="O2868" s="2" t="s">
        <v>2360</v>
      </c>
      <c r="P2868" s="2" t="s">
        <v>43</v>
      </c>
      <c r="Q2868" s="2" t="s">
        <v>44</v>
      </c>
      <c r="R2868" s="2" t="s">
        <v>45</v>
      </c>
      <c r="S2868" s="2">
        <v>1</v>
      </c>
      <c r="T2868" s="2">
        <v>25.2</v>
      </c>
      <c r="U2868" s="2">
        <v>5.7960000000000003</v>
      </c>
      <c r="V2868" s="2">
        <v>30.995999999999999</v>
      </c>
      <c r="W2868" s="2">
        <v>14.535</v>
      </c>
      <c r="X2868" s="5">
        <f t="shared" si="394"/>
        <v>0.42321428571428571</v>
      </c>
      <c r="Z2868" s="2" t="s">
        <v>3227</v>
      </c>
      <c r="AA2868" s="2" t="s">
        <v>46</v>
      </c>
      <c r="AB2868" s="2" t="s">
        <v>47</v>
      </c>
      <c r="AC2868" s="2" t="s">
        <v>57</v>
      </c>
      <c r="AF2868" s="2">
        <f t="shared" si="389"/>
        <v>0</v>
      </c>
      <c r="AG2868" s="2">
        <v>14.535</v>
      </c>
      <c r="AH2868" s="2">
        <v>25.2</v>
      </c>
      <c r="AJ2868" s="2">
        <f t="shared" si="390"/>
        <v>0</v>
      </c>
      <c r="AK2868" s="2">
        <f t="shared" si="395"/>
        <v>10.664999999999999</v>
      </c>
      <c r="AL2868" s="5">
        <f t="shared" si="396"/>
        <v>0.42321428571428571</v>
      </c>
    </row>
    <row r="2869" spans="1:38" x14ac:dyDescent="0.2">
      <c r="A2869" s="2">
        <v>2026</v>
      </c>
      <c r="B2869" s="2">
        <v>1</v>
      </c>
      <c r="D2869" s="2" t="s">
        <v>581</v>
      </c>
      <c r="E2869" s="2" t="s">
        <v>38</v>
      </c>
      <c r="F2869" s="2" t="s">
        <v>39</v>
      </c>
      <c r="G2869" s="2">
        <v>518281272</v>
      </c>
      <c r="H2869" s="2" t="s">
        <v>41</v>
      </c>
      <c r="I2869" s="2" t="s">
        <v>1101</v>
      </c>
      <c r="J2869" s="2" t="s">
        <v>1102</v>
      </c>
      <c r="L2869" s="2" t="s">
        <v>177</v>
      </c>
      <c r="M2869" s="2" t="s">
        <v>41</v>
      </c>
      <c r="O2869" s="2" t="s">
        <v>2361</v>
      </c>
      <c r="P2869" s="2" t="s">
        <v>43</v>
      </c>
      <c r="Q2869" s="2" t="s">
        <v>1104</v>
      </c>
      <c r="R2869" s="2" t="s">
        <v>1105</v>
      </c>
      <c r="S2869" s="2">
        <v>1</v>
      </c>
      <c r="T2869" s="2">
        <v>18.600000000000001</v>
      </c>
      <c r="U2869" s="2">
        <v>4.2779999999999996</v>
      </c>
      <c r="V2869" s="2">
        <v>22.878</v>
      </c>
      <c r="W2869" s="2">
        <v>10</v>
      </c>
      <c r="X2869" s="5">
        <f t="shared" si="394"/>
        <v>0.4623655913978495</v>
      </c>
      <c r="Z2869" s="2" t="s">
        <v>3227</v>
      </c>
      <c r="AA2869" s="2" t="s">
        <v>46</v>
      </c>
      <c r="AB2869" s="2" t="s">
        <v>47</v>
      </c>
      <c r="AC2869" s="2" t="s">
        <v>57</v>
      </c>
      <c r="AF2869" s="2">
        <f t="shared" si="389"/>
        <v>0</v>
      </c>
      <c r="AG2869" s="2">
        <v>10</v>
      </c>
      <c r="AH2869" s="2">
        <v>21</v>
      </c>
      <c r="AJ2869" s="2">
        <f t="shared" si="390"/>
        <v>0</v>
      </c>
      <c r="AK2869" s="2">
        <f t="shared" si="395"/>
        <v>8.6000000000000014</v>
      </c>
      <c r="AL2869" s="5">
        <f t="shared" si="396"/>
        <v>0.4623655913978495</v>
      </c>
    </row>
    <row r="2870" spans="1:38" x14ac:dyDescent="0.2">
      <c r="A2870" s="2">
        <v>2026</v>
      </c>
      <c r="B2870" s="2">
        <v>1</v>
      </c>
      <c r="D2870" s="2" t="s">
        <v>37</v>
      </c>
      <c r="E2870" s="2" t="s">
        <v>38</v>
      </c>
      <c r="F2870" s="2" t="s">
        <v>39</v>
      </c>
      <c r="H2870" s="2" t="s">
        <v>40</v>
      </c>
      <c r="M2870" s="2" t="s">
        <v>40</v>
      </c>
      <c r="O2870" s="2" t="s">
        <v>2362</v>
      </c>
      <c r="P2870" s="2" t="s">
        <v>43</v>
      </c>
      <c r="Q2870" s="2" t="s">
        <v>158</v>
      </c>
      <c r="R2870" s="2" t="s">
        <v>159</v>
      </c>
      <c r="S2870" s="2">
        <v>1</v>
      </c>
      <c r="T2870" s="2">
        <v>7</v>
      </c>
      <c r="U2870" s="2">
        <v>1.61</v>
      </c>
      <c r="V2870" s="2">
        <v>8.61</v>
      </c>
      <c r="W2870" s="2">
        <f>9.3*S2870</f>
        <v>9.3000000000000007</v>
      </c>
      <c r="X2870" s="5">
        <f t="shared" si="394"/>
        <v>-0.32857142857142868</v>
      </c>
      <c r="Z2870" s="2" t="s">
        <v>3227</v>
      </c>
      <c r="AA2870" s="2" t="s">
        <v>46</v>
      </c>
      <c r="AB2870" s="2" t="s">
        <v>47</v>
      </c>
      <c r="AC2870" s="2" t="s">
        <v>57</v>
      </c>
      <c r="AF2870" s="2">
        <f t="shared" si="389"/>
        <v>0</v>
      </c>
      <c r="AG2870" s="2">
        <v>9.3000000000000007</v>
      </c>
      <c r="AH2870" s="2">
        <v>21</v>
      </c>
      <c r="AJ2870" s="2">
        <f t="shared" si="390"/>
        <v>0</v>
      </c>
      <c r="AK2870" s="2">
        <f t="shared" si="395"/>
        <v>-2.3000000000000007</v>
      </c>
      <c r="AL2870" s="5">
        <f t="shared" si="396"/>
        <v>-0.32857142857142868</v>
      </c>
    </row>
    <row r="2871" spans="1:38" x14ac:dyDescent="0.2">
      <c r="A2871" s="2">
        <v>2026</v>
      </c>
      <c r="B2871" s="2">
        <v>1</v>
      </c>
      <c r="D2871" s="2" t="s">
        <v>606</v>
      </c>
      <c r="E2871" s="2" t="s">
        <v>108</v>
      </c>
      <c r="F2871" s="2" t="s">
        <v>39</v>
      </c>
      <c r="G2871" s="2">
        <v>504822187</v>
      </c>
      <c r="H2871" s="2" t="s">
        <v>109</v>
      </c>
      <c r="I2871" s="2" t="s">
        <v>607</v>
      </c>
      <c r="J2871" s="2" t="s">
        <v>608</v>
      </c>
      <c r="K2871" s="2">
        <v>966216853</v>
      </c>
      <c r="L2871" s="2" t="s">
        <v>461</v>
      </c>
      <c r="M2871" s="2" t="s">
        <v>41</v>
      </c>
      <c r="O2871" s="2" t="s">
        <v>2363</v>
      </c>
      <c r="P2871" s="2" t="s">
        <v>43</v>
      </c>
      <c r="Q2871" s="2" t="s">
        <v>158</v>
      </c>
      <c r="R2871" s="2" t="s">
        <v>159</v>
      </c>
      <c r="S2871" s="2">
        <v>1</v>
      </c>
      <c r="T2871" s="2">
        <v>18.600000000000001</v>
      </c>
      <c r="U2871" s="2">
        <v>4.2779999999999996</v>
      </c>
      <c r="V2871" s="2">
        <v>22.878</v>
      </c>
      <c r="W2871" s="2">
        <f>9.3*S2871</f>
        <v>9.3000000000000007</v>
      </c>
      <c r="X2871" s="5">
        <f t="shared" si="394"/>
        <v>0.5</v>
      </c>
      <c r="Z2871" s="2" t="s">
        <v>3227</v>
      </c>
      <c r="AA2871" s="2" t="s">
        <v>46</v>
      </c>
      <c r="AB2871" s="2" t="s">
        <v>47</v>
      </c>
      <c r="AC2871" s="2" t="s">
        <v>57</v>
      </c>
      <c r="AF2871" s="2">
        <f t="shared" si="389"/>
        <v>0</v>
      </c>
      <c r="AG2871" s="2">
        <v>9.3000000000000007</v>
      </c>
      <c r="AH2871" s="2">
        <v>21</v>
      </c>
      <c r="AJ2871" s="2">
        <f t="shared" si="390"/>
        <v>0</v>
      </c>
      <c r="AK2871" s="2">
        <f t="shared" si="395"/>
        <v>9.3000000000000007</v>
      </c>
      <c r="AL2871" s="5">
        <f t="shared" si="396"/>
        <v>0.5</v>
      </c>
    </row>
    <row r="2872" spans="1:38" x14ac:dyDescent="0.2">
      <c r="A2872" s="2">
        <v>2026</v>
      </c>
      <c r="B2872" s="2">
        <v>1</v>
      </c>
      <c r="D2872" s="2" t="s">
        <v>425</v>
      </c>
      <c r="E2872" s="2" t="s">
        <v>98</v>
      </c>
      <c r="F2872" s="2" t="s">
        <v>39</v>
      </c>
      <c r="G2872" s="2">
        <v>510613888</v>
      </c>
      <c r="H2872" s="2" t="s">
        <v>40</v>
      </c>
      <c r="I2872" s="2" t="s">
        <v>426</v>
      </c>
      <c r="J2872" s="2" t="s">
        <v>427</v>
      </c>
      <c r="L2872" s="2" t="s">
        <v>99</v>
      </c>
      <c r="M2872" s="2" t="s">
        <v>80</v>
      </c>
      <c r="P2872" s="2" t="s">
        <v>43</v>
      </c>
      <c r="Q2872" s="2" t="s">
        <v>48</v>
      </c>
      <c r="R2872" s="2" t="s">
        <v>49</v>
      </c>
      <c r="S2872" s="2">
        <v>1</v>
      </c>
      <c r="T2872" s="2">
        <v>12</v>
      </c>
      <c r="U2872" s="2">
        <v>2.76</v>
      </c>
      <c r="V2872" s="2">
        <v>14.76</v>
      </c>
      <c r="W2872" s="2">
        <f>6.6267*S2872</f>
        <v>6.6266999999999996</v>
      </c>
      <c r="X2872" s="5">
        <f t="shared" si="394"/>
        <v>0.44777500000000003</v>
      </c>
      <c r="Z2872" s="2" t="s">
        <v>3227</v>
      </c>
      <c r="AA2872" s="2" t="s">
        <v>46</v>
      </c>
      <c r="AB2872" s="2" t="s">
        <v>47</v>
      </c>
      <c r="AC2872" s="2" t="s">
        <v>57</v>
      </c>
      <c r="AF2872" s="2">
        <f t="shared" si="389"/>
        <v>0</v>
      </c>
      <c r="AG2872" s="2">
        <v>6.6266999999999996</v>
      </c>
      <c r="AH2872" s="2">
        <v>12</v>
      </c>
      <c r="AJ2872" s="2">
        <f t="shared" si="390"/>
        <v>0</v>
      </c>
      <c r="AK2872" s="2">
        <f t="shared" si="395"/>
        <v>5.3733000000000004</v>
      </c>
      <c r="AL2872" s="5">
        <f t="shared" si="396"/>
        <v>0.44777500000000003</v>
      </c>
    </row>
    <row r="2873" spans="1:38" x14ac:dyDescent="0.2">
      <c r="A2873" s="2">
        <v>2026</v>
      </c>
      <c r="B2873" s="2">
        <v>1</v>
      </c>
      <c r="D2873" s="2" t="s">
        <v>588</v>
      </c>
      <c r="E2873" s="2" t="s">
        <v>38</v>
      </c>
      <c r="F2873" s="2" t="s">
        <v>39</v>
      </c>
      <c r="G2873" s="2">
        <v>510339298</v>
      </c>
      <c r="H2873" s="2" t="s">
        <v>41</v>
      </c>
      <c r="I2873" s="2" t="s">
        <v>177</v>
      </c>
      <c r="J2873" s="2" t="s">
        <v>589</v>
      </c>
      <c r="L2873" s="2" t="s">
        <v>177</v>
      </c>
      <c r="M2873" s="2" t="s">
        <v>41</v>
      </c>
      <c r="P2873" s="2" t="s">
        <v>43</v>
      </c>
      <c r="Q2873" s="2" t="s">
        <v>48</v>
      </c>
      <c r="R2873" s="2" t="s">
        <v>49</v>
      </c>
      <c r="S2873" s="2">
        <v>4</v>
      </c>
      <c r="T2873" s="2">
        <v>52</v>
      </c>
      <c r="U2873" s="2">
        <v>11.96</v>
      </c>
      <c r="V2873" s="2">
        <v>63.96</v>
      </c>
      <c r="W2873" s="2">
        <f>6.6267*S2873</f>
        <v>26.506799999999998</v>
      </c>
      <c r="X2873" s="5">
        <f t="shared" si="394"/>
        <v>0.49025384615384621</v>
      </c>
      <c r="Z2873" s="2" t="s">
        <v>3227</v>
      </c>
      <c r="AA2873" s="2" t="s">
        <v>46</v>
      </c>
      <c r="AB2873" s="2" t="s">
        <v>47</v>
      </c>
      <c r="AC2873" s="2" t="s">
        <v>57</v>
      </c>
      <c r="AF2873" s="2">
        <f t="shared" si="389"/>
        <v>0</v>
      </c>
      <c r="AG2873" s="2">
        <v>6.6266999999999996</v>
      </c>
      <c r="AH2873" s="2">
        <v>12</v>
      </c>
      <c r="AJ2873" s="2">
        <f t="shared" si="390"/>
        <v>0</v>
      </c>
      <c r="AK2873" s="2">
        <f t="shared" si="395"/>
        <v>25.493200000000002</v>
      </c>
      <c r="AL2873" s="5">
        <f t="shared" si="396"/>
        <v>0.49025384615384621</v>
      </c>
    </row>
    <row r="2874" spans="1:38" x14ac:dyDescent="0.2">
      <c r="A2874" s="2">
        <v>2026</v>
      </c>
      <c r="B2874" s="2">
        <v>1</v>
      </c>
      <c r="D2874" s="2" t="s">
        <v>2364</v>
      </c>
      <c r="E2874" s="2" t="s">
        <v>108</v>
      </c>
      <c r="F2874" s="2" t="s">
        <v>39</v>
      </c>
      <c r="G2874" s="2">
        <v>503554952</v>
      </c>
      <c r="H2874" s="2" t="s">
        <v>41</v>
      </c>
      <c r="I2874" s="2" t="s">
        <v>2365</v>
      </c>
      <c r="J2874" s="2" t="s">
        <v>2366</v>
      </c>
      <c r="K2874" s="2">
        <v>963062174</v>
      </c>
      <c r="L2874" s="2" t="s">
        <v>418</v>
      </c>
      <c r="M2874" s="2" t="s">
        <v>41</v>
      </c>
      <c r="O2874" s="2" t="s">
        <v>2367</v>
      </c>
      <c r="P2874" s="2" t="s">
        <v>43</v>
      </c>
      <c r="Q2874" s="2" t="s">
        <v>48</v>
      </c>
      <c r="R2874" s="2" t="s">
        <v>49</v>
      </c>
      <c r="S2874" s="2">
        <v>2</v>
      </c>
      <c r="T2874" s="2">
        <v>26</v>
      </c>
      <c r="U2874" s="2">
        <v>5.98</v>
      </c>
      <c r="V2874" s="2">
        <v>31.98</v>
      </c>
      <c r="W2874" s="2">
        <f>6.6267*S2874</f>
        <v>13.253399999999999</v>
      </c>
      <c r="X2874" s="5">
        <f t="shared" si="394"/>
        <v>0.49025384615384621</v>
      </c>
      <c r="Z2874" s="2" t="s">
        <v>3227</v>
      </c>
      <c r="AA2874" s="2" t="s">
        <v>46</v>
      </c>
      <c r="AB2874" s="2" t="s">
        <v>47</v>
      </c>
      <c r="AC2874" s="2" t="s">
        <v>57</v>
      </c>
      <c r="AF2874" s="2">
        <f t="shared" si="389"/>
        <v>0</v>
      </c>
      <c r="AG2874" s="2">
        <v>6.6266999999999996</v>
      </c>
      <c r="AH2874" s="2">
        <v>12</v>
      </c>
      <c r="AJ2874" s="2">
        <f t="shared" si="390"/>
        <v>0</v>
      </c>
      <c r="AK2874" s="2">
        <f t="shared" si="395"/>
        <v>12.746600000000001</v>
      </c>
      <c r="AL2874" s="5">
        <f t="shared" si="396"/>
        <v>0.49025384615384621</v>
      </c>
    </row>
    <row r="2875" spans="1:38" x14ac:dyDescent="0.2">
      <c r="A2875" s="2">
        <v>2026</v>
      </c>
      <c r="B2875" s="2">
        <v>1</v>
      </c>
      <c r="D2875" s="2" t="s">
        <v>617</v>
      </c>
      <c r="E2875" s="2" t="s">
        <v>38</v>
      </c>
      <c r="F2875" s="2" t="s">
        <v>39</v>
      </c>
      <c r="G2875" s="2">
        <v>513759654</v>
      </c>
      <c r="H2875" s="2" t="s">
        <v>41</v>
      </c>
      <c r="I2875" s="2" t="s">
        <v>618</v>
      </c>
      <c r="J2875" s="2" t="s">
        <v>619</v>
      </c>
      <c r="L2875" s="2" t="s">
        <v>418</v>
      </c>
      <c r="M2875" s="2" t="s">
        <v>41</v>
      </c>
      <c r="P2875" s="2" t="s">
        <v>43</v>
      </c>
      <c r="Q2875" s="2" t="s">
        <v>1363</v>
      </c>
      <c r="R2875" s="2" t="s">
        <v>1364</v>
      </c>
      <c r="S2875" s="2">
        <v>2</v>
      </c>
      <c r="T2875" s="2">
        <v>56.4</v>
      </c>
      <c r="U2875" s="2">
        <v>12.972</v>
      </c>
      <c r="V2875" s="2">
        <v>69.372</v>
      </c>
      <c r="W2875" s="2">
        <f>9.75*S2875</f>
        <v>19.5</v>
      </c>
      <c r="X2875" s="5">
        <f t="shared" si="394"/>
        <v>0.6542553191489362</v>
      </c>
      <c r="Z2875" s="2" t="s">
        <v>3227</v>
      </c>
      <c r="AA2875" s="2" t="s">
        <v>46</v>
      </c>
      <c r="AB2875" s="2" t="s">
        <v>47</v>
      </c>
      <c r="AC2875" s="2" t="s">
        <v>57</v>
      </c>
      <c r="AF2875" s="2">
        <f t="shared" si="389"/>
        <v>0</v>
      </c>
      <c r="AJ2875" s="2">
        <f t="shared" si="390"/>
        <v>0</v>
      </c>
      <c r="AK2875" s="2">
        <f t="shared" si="395"/>
        <v>36.9</v>
      </c>
      <c r="AL2875" s="5">
        <f t="shared" si="396"/>
        <v>0.6542553191489362</v>
      </c>
    </row>
    <row r="2876" spans="1:38" x14ac:dyDescent="0.2">
      <c r="A2876" s="2">
        <v>2026</v>
      </c>
      <c r="B2876" s="2">
        <v>1</v>
      </c>
      <c r="D2876" s="2" t="s">
        <v>617</v>
      </c>
      <c r="E2876" s="2" t="s">
        <v>38</v>
      </c>
      <c r="F2876" s="2" t="s">
        <v>39</v>
      </c>
      <c r="G2876" s="2">
        <v>513759654</v>
      </c>
      <c r="H2876" s="2" t="s">
        <v>41</v>
      </c>
      <c r="I2876" s="2" t="s">
        <v>618</v>
      </c>
      <c r="J2876" s="2" t="s">
        <v>619</v>
      </c>
      <c r="L2876" s="2" t="s">
        <v>418</v>
      </c>
      <c r="M2876" s="2" t="s">
        <v>41</v>
      </c>
      <c r="P2876" s="2" t="s">
        <v>43</v>
      </c>
      <c r="Q2876" s="2" t="s">
        <v>592</v>
      </c>
      <c r="R2876" s="2" t="s">
        <v>593</v>
      </c>
      <c r="S2876" s="2">
        <v>2</v>
      </c>
      <c r="T2876" s="2">
        <v>60</v>
      </c>
      <c r="U2876" s="2">
        <v>13.8</v>
      </c>
      <c r="V2876" s="2">
        <v>73.8</v>
      </c>
      <c r="W2876" s="2">
        <f>11.295*S2876</f>
        <v>22.59</v>
      </c>
      <c r="X2876" s="5">
        <f t="shared" si="394"/>
        <v>0.62349999999999994</v>
      </c>
      <c r="Z2876" s="2" t="s">
        <v>3227</v>
      </c>
      <c r="AA2876" s="2" t="s">
        <v>46</v>
      </c>
      <c r="AB2876" s="2" t="s">
        <v>47</v>
      </c>
      <c r="AC2876" s="2" t="s">
        <v>57</v>
      </c>
      <c r="AF2876" s="2">
        <f t="shared" si="389"/>
        <v>0</v>
      </c>
      <c r="AJ2876" s="2">
        <f t="shared" si="390"/>
        <v>0</v>
      </c>
      <c r="AK2876" s="2">
        <f t="shared" si="395"/>
        <v>37.409999999999997</v>
      </c>
      <c r="AL2876" s="5">
        <f t="shared" si="396"/>
        <v>0.62349999999999994</v>
      </c>
    </row>
    <row r="2877" spans="1:38" x14ac:dyDescent="0.2">
      <c r="A2877" s="2">
        <v>2026</v>
      </c>
      <c r="B2877" s="2">
        <v>1</v>
      </c>
      <c r="D2877" s="2" t="s">
        <v>37</v>
      </c>
      <c r="E2877" s="2" t="s">
        <v>38</v>
      </c>
      <c r="F2877" s="2" t="s">
        <v>39</v>
      </c>
      <c r="H2877" s="2" t="s">
        <v>40</v>
      </c>
      <c r="P2877" s="2" t="s">
        <v>43</v>
      </c>
      <c r="Q2877" s="2" t="s">
        <v>160</v>
      </c>
      <c r="R2877" s="2" t="s">
        <v>161</v>
      </c>
      <c r="S2877" s="2">
        <v>1</v>
      </c>
      <c r="T2877" s="2">
        <v>4.5</v>
      </c>
      <c r="U2877" s="2">
        <v>1.0349999999999999</v>
      </c>
      <c r="V2877" s="2">
        <v>5.5350000000000001</v>
      </c>
      <c r="W2877" s="2">
        <f>3.7358*S2877</f>
        <v>3.7357999999999998</v>
      </c>
      <c r="X2877" s="5">
        <f t="shared" si="394"/>
        <v>0.16982222222222226</v>
      </c>
      <c r="Z2877" s="2" t="s">
        <v>3227</v>
      </c>
      <c r="AA2877" s="2" t="s">
        <v>46</v>
      </c>
      <c r="AB2877" s="2" t="s">
        <v>47</v>
      </c>
      <c r="AC2877" s="2" t="s">
        <v>57</v>
      </c>
      <c r="AF2877" s="2">
        <f t="shared" si="389"/>
        <v>0</v>
      </c>
      <c r="AG2877" s="2">
        <v>3.7357999999999998</v>
      </c>
      <c r="AH2877" s="2">
        <v>9</v>
      </c>
      <c r="AJ2877" s="2">
        <f t="shared" si="390"/>
        <v>0</v>
      </c>
      <c r="AK2877" s="2">
        <f t="shared" si="395"/>
        <v>0.76420000000000021</v>
      </c>
      <c r="AL2877" s="5">
        <f t="shared" si="396"/>
        <v>0.16982222222222226</v>
      </c>
    </row>
    <row r="2878" spans="1:38" x14ac:dyDescent="0.2">
      <c r="A2878" s="2">
        <v>2026</v>
      </c>
      <c r="B2878" s="2">
        <v>1</v>
      </c>
      <c r="D2878" s="2" t="s">
        <v>422</v>
      </c>
      <c r="E2878" s="2" t="s">
        <v>98</v>
      </c>
      <c r="F2878" s="2" t="s">
        <v>39</v>
      </c>
      <c r="G2878" s="2">
        <v>503523470</v>
      </c>
      <c r="H2878" s="2" t="s">
        <v>40</v>
      </c>
      <c r="I2878" s="2" t="s">
        <v>423</v>
      </c>
      <c r="J2878" s="2" t="s">
        <v>424</v>
      </c>
      <c r="L2878" s="2" t="s">
        <v>201</v>
      </c>
      <c r="M2878" s="2" t="s">
        <v>80</v>
      </c>
      <c r="P2878" s="2" t="s">
        <v>43</v>
      </c>
      <c r="Q2878" s="2" t="s">
        <v>216</v>
      </c>
      <c r="R2878" s="2" t="s">
        <v>217</v>
      </c>
      <c r="S2878" s="2">
        <v>1</v>
      </c>
      <c r="T2878" s="2">
        <v>17.399999999999999</v>
      </c>
      <c r="U2878" s="2">
        <v>4.0019999999999998</v>
      </c>
      <c r="V2878" s="2">
        <v>21.402000000000001</v>
      </c>
      <c r="W2878" s="2">
        <v>10.035</v>
      </c>
      <c r="X2878" s="5">
        <f t="shared" si="394"/>
        <v>0.42327586206896545</v>
      </c>
      <c r="Z2878" s="2" t="s">
        <v>3227</v>
      </c>
      <c r="AA2878" s="2" t="s">
        <v>46</v>
      </c>
      <c r="AB2878" s="2" t="s">
        <v>56</v>
      </c>
      <c r="AC2878" s="2" t="s">
        <v>57</v>
      </c>
      <c r="AF2878" s="2">
        <f t="shared" si="389"/>
        <v>0</v>
      </c>
      <c r="AJ2878" s="2">
        <f t="shared" si="390"/>
        <v>0</v>
      </c>
      <c r="AK2878" s="2">
        <f t="shared" si="395"/>
        <v>7.3649999999999984</v>
      </c>
      <c r="AL2878" s="5">
        <f t="shared" si="396"/>
        <v>0.42327586206896545</v>
      </c>
    </row>
    <row r="2879" spans="1:38" x14ac:dyDescent="0.2">
      <c r="A2879" s="2">
        <v>2026</v>
      </c>
      <c r="B2879" s="2">
        <v>1</v>
      </c>
      <c r="D2879" s="2" t="s">
        <v>422</v>
      </c>
      <c r="E2879" s="2" t="s">
        <v>98</v>
      </c>
      <c r="F2879" s="2" t="s">
        <v>39</v>
      </c>
      <c r="G2879" s="2">
        <v>503523470</v>
      </c>
      <c r="H2879" s="2" t="s">
        <v>40</v>
      </c>
      <c r="I2879" s="2" t="s">
        <v>423</v>
      </c>
      <c r="J2879" s="2" t="s">
        <v>424</v>
      </c>
      <c r="L2879" s="2" t="s">
        <v>201</v>
      </c>
      <c r="M2879" s="2" t="s">
        <v>80</v>
      </c>
      <c r="P2879" s="2" t="s">
        <v>43</v>
      </c>
      <c r="Q2879" s="2" t="s">
        <v>218</v>
      </c>
      <c r="R2879" s="2" t="s">
        <v>219</v>
      </c>
      <c r="S2879" s="2">
        <v>1</v>
      </c>
      <c r="T2879" s="2">
        <v>21</v>
      </c>
      <c r="U2879" s="2">
        <v>4.83</v>
      </c>
      <c r="V2879" s="2">
        <v>25.83</v>
      </c>
      <c r="W2879" s="2">
        <v>12.4434</v>
      </c>
      <c r="X2879" s="5">
        <f t="shared" si="394"/>
        <v>0.40745714285714285</v>
      </c>
      <c r="Z2879" s="2" t="s">
        <v>3227</v>
      </c>
      <c r="AA2879" s="2" t="s">
        <v>46</v>
      </c>
      <c r="AB2879" s="2" t="s">
        <v>56</v>
      </c>
      <c r="AC2879" s="2" t="s">
        <v>57</v>
      </c>
      <c r="AF2879" s="2">
        <f t="shared" si="389"/>
        <v>0</v>
      </c>
      <c r="AJ2879" s="2">
        <f t="shared" si="390"/>
        <v>0</v>
      </c>
      <c r="AK2879" s="2">
        <f t="shared" si="395"/>
        <v>8.5565999999999995</v>
      </c>
      <c r="AL2879" s="5">
        <f t="shared" si="396"/>
        <v>0.40745714285714285</v>
      </c>
    </row>
    <row r="2880" spans="1:38" x14ac:dyDescent="0.2">
      <c r="A2880" s="2">
        <v>2026</v>
      </c>
      <c r="B2880" s="2">
        <v>1</v>
      </c>
      <c r="D2880" s="2" t="s">
        <v>422</v>
      </c>
      <c r="E2880" s="2" t="s">
        <v>98</v>
      </c>
      <c r="F2880" s="2" t="s">
        <v>39</v>
      </c>
      <c r="G2880" s="2">
        <v>503523470</v>
      </c>
      <c r="H2880" s="2" t="s">
        <v>40</v>
      </c>
      <c r="I2880" s="2" t="s">
        <v>423</v>
      </c>
      <c r="J2880" s="2" t="s">
        <v>424</v>
      </c>
      <c r="L2880" s="2" t="s">
        <v>201</v>
      </c>
      <c r="M2880" s="2" t="s">
        <v>80</v>
      </c>
      <c r="P2880" s="2" t="s">
        <v>43</v>
      </c>
      <c r="Q2880" s="2" t="s">
        <v>230</v>
      </c>
      <c r="R2880" s="2" t="s">
        <v>231</v>
      </c>
      <c r="S2880" s="2">
        <v>1</v>
      </c>
      <c r="T2880" s="2">
        <v>12</v>
      </c>
      <c r="U2880" s="2">
        <v>2.76</v>
      </c>
      <c r="V2880" s="2">
        <v>14.76</v>
      </c>
      <c r="W2880" s="2">
        <f>6.605*S2880</f>
        <v>6.6050000000000004</v>
      </c>
      <c r="X2880" s="5">
        <f t="shared" si="394"/>
        <v>0.44958333333333328</v>
      </c>
      <c r="Z2880" s="2" t="s">
        <v>3227</v>
      </c>
      <c r="AA2880" s="2" t="s">
        <v>46</v>
      </c>
      <c r="AB2880" s="2" t="s">
        <v>56</v>
      </c>
      <c r="AC2880" s="2" t="s">
        <v>57</v>
      </c>
      <c r="AF2880" s="2">
        <f t="shared" si="389"/>
        <v>0</v>
      </c>
      <c r="AJ2880" s="2">
        <f t="shared" si="390"/>
        <v>0</v>
      </c>
      <c r="AK2880" s="2">
        <f t="shared" si="395"/>
        <v>5.3949999999999996</v>
      </c>
      <c r="AL2880" s="5">
        <f t="shared" si="396"/>
        <v>0.44958333333333328</v>
      </c>
    </row>
    <row r="2881" spans="1:38" x14ac:dyDescent="0.2">
      <c r="A2881" s="2">
        <v>2026</v>
      </c>
      <c r="B2881" s="2">
        <v>1</v>
      </c>
      <c r="D2881" s="2" t="s">
        <v>336</v>
      </c>
      <c r="E2881" s="2" t="s">
        <v>108</v>
      </c>
      <c r="F2881" s="2" t="s">
        <v>39</v>
      </c>
      <c r="G2881" s="2">
        <v>503373494</v>
      </c>
      <c r="H2881" s="2" t="s">
        <v>290</v>
      </c>
      <c r="I2881" s="2" t="s">
        <v>337</v>
      </c>
      <c r="J2881" s="2" t="s">
        <v>338</v>
      </c>
      <c r="K2881" s="2">
        <v>965852001</v>
      </c>
      <c r="L2881" s="2" t="s">
        <v>339</v>
      </c>
      <c r="M2881" s="2" t="s">
        <v>80</v>
      </c>
      <c r="P2881" s="2" t="s">
        <v>43</v>
      </c>
      <c r="Q2881" s="2" t="s">
        <v>232</v>
      </c>
      <c r="R2881" s="2" t="s">
        <v>233</v>
      </c>
      <c r="S2881" s="2">
        <v>2</v>
      </c>
      <c r="T2881" s="2">
        <v>25.2</v>
      </c>
      <c r="U2881" s="2">
        <v>5.7960000000000003</v>
      </c>
      <c r="V2881" s="2">
        <v>30.995999999999999</v>
      </c>
      <c r="W2881" s="2">
        <f>5.9067*S2881</f>
        <v>11.8134</v>
      </c>
      <c r="X2881" s="5">
        <f t="shared" si="394"/>
        <v>0.53121428571428575</v>
      </c>
      <c r="Z2881" s="2" t="s">
        <v>3227</v>
      </c>
      <c r="AA2881" s="2" t="s">
        <v>46</v>
      </c>
      <c r="AB2881" s="2" t="s">
        <v>56</v>
      </c>
      <c r="AC2881" s="2" t="s">
        <v>57</v>
      </c>
      <c r="AF2881" s="2">
        <f t="shared" si="389"/>
        <v>0</v>
      </c>
      <c r="AG2881" s="2">
        <v>5.9066999999999998</v>
      </c>
      <c r="AH2881" s="2">
        <v>12.6</v>
      </c>
      <c r="AJ2881" s="2">
        <f t="shared" si="390"/>
        <v>0</v>
      </c>
      <c r="AK2881" s="2">
        <f t="shared" si="395"/>
        <v>13.3866</v>
      </c>
      <c r="AL2881" s="5">
        <f t="shared" si="396"/>
        <v>0.53121428571428575</v>
      </c>
    </row>
    <row r="2882" spans="1:38" x14ac:dyDescent="0.2">
      <c r="A2882" s="2">
        <v>2026</v>
      </c>
      <c r="B2882" s="2">
        <v>1</v>
      </c>
      <c r="D2882" s="2" t="s">
        <v>765</v>
      </c>
      <c r="E2882" s="2" t="s">
        <v>38</v>
      </c>
      <c r="G2882" s="2">
        <v>513686231</v>
      </c>
      <c r="H2882" s="2" t="s">
        <v>290</v>
      </c>
      <c r="I2882" s="2" t="s">
        <v>766</v>
      </c>
      <c r="J2882" s="2" t="s">
        <v>767</v>
      </c>
      <c r="L2882" s="2" t="s">
        <v>480</v>
      </c>
      <c r="M2882" s="2" t="s">
        <v>80</v>
      </c>
      <c r="O2882" s="2" t="s">
        <v>2368</v>
      </c>
      <c r="P2882" s="2" t="s">
        <v>43</v>
      </c>
      <c r="Q2882" s="2" t="s">
        <v>232</v>
      </c>
      <c r="R2882" s="2" t="s">
        <v>233</v>
      </c>
      <c r="S2882" s="2">
        <v>5</v>
      </c>
      <c r="T2882" s="2">
        <v>56.7</v>
      </c>
      <c r="U2882" s="2">
        <v>13.041</v>
      </c>
      <c r="V2882" s="2">
        <v>69.741</v>
      </c>
      <c r="W2882" s="2">
        <v>29.5335</v>
      </c>
      <c r="X2882" s="5">
        <f t="shared" si="394"/>
        <v>0.47912698412698418</v>
      </c>
      <c r="Z2882" s="2" t="s">
        <v>3227</v>
      </c>
      <c r="AA2882" s="2" t="s">
        <v>46</v>
      </c>
      <c r="AB2882" s="2" t="s">
        <v>56</v>
      </c>
      <c r="AC2882" s="2" t="s">
        <v>57</v>
      </c>
      <c r="AF2882" s="2">
        <f t="shared" ref="AF2882:AF2945" si="397">AJ2882</f>
        <v>0</v>
      </c>
      <c r="AG2882" s="2">
        <v>5.9066999999999998</v>
      </c>
      <c r="AH2882" s="2">
        <v>12.6</v>
      </c>
      <c r="AJ2882" s="2">
        <f t="shared" ref="AJ2882:AJ2945" si="398">AI2882*T2882</f>
        <v>0</v>
      </c>
      <c r="AK2882" s="2">
        <f t="shared" si="395"/>
        <v>27.166500000000003</v>
      </c>
      <c r="AL2882" s="5">
        <f t="shared" si="396"/>
        <v>0.47912698412698418</v>
      </c>
    </row>
    <row r="2883" spans="1:38" x14ac:dyDescent="0.2">
      <c r="A2883" s="2">
        <v>2026</v>
      </c>
      <c r="B2883" s="2">
        <v>1</v>
      </c>
      <c r="D2883" s="2" t="s">
        <v>422</v>
      </c>
      <c r="E2883" s="2" t="s">
        <v>98</v>
      </c>
      <c r="F2883" s="2" t="s">
        <v>39</v>
      </c>
      <c r="G2883" s="2">
        <v>503523470</v>
      </c>
      <c r="H2883" s="2" t="s">
        <v>40</v>
      </c>
      <c r="I2883" s="2" t="s">
        <v>423</v>
      </c>
      <c r="J2883" s="2" t="s">
        <v>424</v>
      </c>
      <c r="L2883" s="2" t="s">
        <v>201</v>
      </c>
      <c r="M2883" s="2" t="s">
        <v>80</v>
      </c>
      <c r="P2883" s="2" t="s">
        <v>43</v>
      </c>
      <c r="Q2883" s="2" t="s">
        <v>232</v>
      </c>
      <c r="R2883" s="2" t="s">
        <v>233</v>
      </c>
      <c r="S2883" s="2">
        <v>2</v>
      </c>
      <c r="T2883" s="2">
        <v>25.2</v>
      </c>
      <c r="U2883" s="2">
        <v>5.7960000000000003</v>
      </c>
      <c r="V2883" s="2">
        <v>30.995999999999999</v>
      </c>
      <c r="W2883" s="2">
        <f>5.9067*S2883</f>
        <v>11.8134</v>
      </c>
      <c r="X2883" s="5">
        <f t="shared" ref="X2883:X2914" si="399">(T2883-W2883)/T2883</f>
        <v>0.53121428571428575</v>
      </c>
      <c r="Z2883" s="2" t="s">
        <v>3227</v>
      </c>
      <c r="AA2883" s="2" t="s">
        <v>46</v>
      </c>
      <c r="AB2883" s="2" t="s">
        <v>56</v>
      </c>
      <c r="AC2883" s="2" t="s">
        <v>57</v>
      </c>
      <c r="AF2883" s="2">
        <f t="shared" si="397"/>
        <v>0</v>
      </c>
      <c r="AG2883" s="2">
        <v>5.9066999999999998</v>
      </c>
      <c r="AH2883" s="2">
        <v>12.6</v>
      </c>
      <c r="AJ2883" s="2">
        <f t="shared" si="398"/>
        <v>0</v>
      </c>
      <c r="AK2883" s="2">
        <f t="shared" ref="AK2883:AK2914" si="400">T2883-W2883</f>
        <v>13.3866</v>
      </c>
      <c r="AL2883" s="5">
        <f t="shared" ref="AL2883:AL2914" si="401">(T2883-W2883)/T2883</f>
        <v>0.53121428571428575</v>
      </c>
    </row>
    <row r="2884" spans="1:38" x14ac:dyDescent="0.2">
      <c r="A2884" s="2">
        <v>2026</v>
      </c>
      <c r="B2884" s="2">
        <v>1</v>
      </c>
      <c r="D2884" s="2" t="s">
        <v>336</v>
      </c>
      <c r="E2884" s="2" t="s">
        <v>108</v>
      </c>
      <c r="F2884" s="2" t="s">
        <v>39</v>
      </c>
      <c r="G2884" s="2">
        <v>503373494</v>
      </c>
      <c r="H2884" s="2" t="s">
        <v>290</v>
      </c>
      <c r="I2884" s="2" t="s">
        <v>337</v>
      </c>
      <c r="J2884" s="2" t="s">
        <v>338</v>
      </c>
      <c r="K2884" s="2">
        <v>965852001</v>
      </c>
      <c r="L2884" s="2" t="s">
        <v>339</v>
      </c>
      <c r="M2884" s="2" t="s">
        <v>80</v>
      </c>
      <c r="P2884" s="2" t="s">
        <v>43</v>
      </c>
      <c r="Q2884" s="2" t="s">
        <v>234</v>
      </c>
      <c r="R2884" s="2" t="s">
        <v>235</v>
      </c>
      <c r="S2884" s="2">
        <v>2</v>
      </c>
      <c r="T2884" s="2">
        <v>28.8</v>
      </c>
      <c r="U2884" s="2">
        <v>6.6240000000000014</v>
      </c>
      <c r="V2884" s="2">
        <v>35.423999999999999</v>
      </c>
      <c r="W2884" s="2">
        <f>7.2217*S2884</f>
        <v>14.4434</v>
      </c>
      <c r="X2884" s="5">
        <f t="shared" si="399"/>
        <v>0.49849305555555556</v>
      </c>
      <c r="Z2884" s="2" t="s">
        <v>3227</v>
      </c>
      <c r="AA2884" s="2" t="s">
        <v>46</v>
      </c>
      <c r="AB2884" s="2" t="s">
        <v>56</v>
      </c>
      <c r="AC2884" s="2" t="s">
        <v>57</v>
      </c>
      <c r="AF2884" s="2">
        <f t="shared" si="397"/>
        <v>0</v>
      </c>
      <c r="AG2884" s="2">
        <v>7.2217000000000002</v>
      </c>
      <c r="AH2884" s="2">
        <v>14.4</v>
      </c>
      <c r="AJ2884" s="2">
        <f t="shared" si="398"/>
        <v>0</v>
      </c>
      <c r="AK2884" s="2">
        <f t="shared" si="400"/>
        <v>14.3566</v>
      </c>
      <c r="AL2884" s="5">
        <f t="shared" si="401"/>
        <v>0.49849305555555556</v>
      </c>
    </row>
    <row r="2885" spans="1:38" x14ac:dyDescent="0.2">
      <c r="A2885" s="2">
        <v>2026</v>
      </c>
      <c r="B2885" s="2">
        <v>1</v>
      </c>
      <c r="D2885" s="2" t="s">
        <v>422</v>
      </c>
      <c r="E2885" s="2" t="s">
        <v>98</v>
      </c>
      <c r="F2885" s="2" t="s">
        <v>39</v>
      </c>
      <c r="G2885" s="2">
        <v>503523470</v>
      </c>
      <c r="H2885" s="2" t="s">
        <v>40</v>
      </c>
      <c r="I2885" s="2" t="s">
        <v>423</v>
      </c>
      <c r="J2885" s="2" t="s">
        <v>424</v>
      </c>
      <c r="L2885" s="2" t="s">
        <v>201</v>
      </c>
      <c r="M2885" s="2" t="s">
        <v>80</v>
      </c>
      <c r="P2885" s="2" t="s">
        <v>43</v>
      </c>
      <c r="Q2885" s="2" t="s">
        <v>234</v>
      </c>
      <c r="R2885" s="2" t="s">
        <v>235</v>
      </c>
      <c r="S2885" s="2">
        <v>2</v>
      </c>
      <c r="T2885" s="2">
        <v>28.8</v>
      </c>
      <c r="U2885" s="2">
        <v>6.6240000000000014</v>
      </c>
      <c r="V2885" s="2">
        <v>35.423999999999999</v>
      </c>
      <c r="W2885" s="2">
        <f>7.2217*S2885</f>
        <v>14.4434</v>
      </c>
      <c r="X2885" s="5">
        <f t="shared" si="399"/>
        <v>0.49849305555555556</v>
      </c>
      <c r="Z2885" s="2" t="s">
        <v>3227</v>
      </c>
      <c r="AA2885" s="2" t="s">
        <v>46</v>
      </c>
      <c r="AB2885" s="2" t="s">
        <v>56</v>
      </c>
      <c r="AC2885" s="2" t="s">
        <v>57</v>
      </c>
      <c r="AF2885" s="2">
        <f t="shared" si="397"/>
        <v>0</v>
      </c>
      <c r="AG2885" s="2">
        <v>7.2217000000000002</v>
      </c>
      <c r="AH2885" s="2">
        <v>14.4</v>
      </c>
      <c r="AJ2885" s="2">
        <f t="shared" si="398"/>
        <v>0</v>
      </c>
      <c r="AK2885" s="2">
        <f t="shared" si="400"/>
        <v>14.3566</v>
      </c>
      <c r="AL2885" s="5">
        <f t="shared" si="401"/>
        <v>0.49849305555555556</v>
      </c>
    </row>
    <row r="2886" spans="1:38" x14ac:dyDescent="0.2">
      <c r="A2886" s="2">
        <v>2026</v>
      </c>
      <c r="B2886" s="2">
        <v>1</v>
      </c>
      <c r="D2886" s="2" t="s">
        <v>336</v>
      </c>
      <c r="E2886" s="2" t="s">
        <v>108</v>
      </c>
      <c r="F2886" s="2" t="s">
        <v>39</v>
      </c>
      <c r="G2886" s="2">
        <v>503373494</v>
      </c>
      <c r="H2886" s="2" t="s">
        <v>290</v>
      </c>
      <c r="I2886" s="2" t="s">
        <v>337</v>
      </c>
      <c r="J2886" s="2" t="s">
        <v>338</v>
      </c>
      <c r="K2886" s="2">
        <v>965852001</v>
      </c>
      <c r="L2886" s="2" t="s">
        <v>339</v>
      </c>
      <c r="M2886" s="2" t="s">
        <v>80</v>
      </c>
      <c r="P2886" s="2" t="s">
        <v>43</v>
      </c>
      <c r="Q2886" s="2" t="s">
        <v>236</v>
      </c>
      <c r="R2886" s="2" t="s">
        <v>237</v>
      </c>
      <c r="S2886" s="2">
        <v>2</v>
      </c>
      <c r="T2886" s="2">
        <v>34.799999999999997</v>
      </c>
      <c r="U2886" s="2">
        <v>8.0039999999999996</v>
      </c>
      <c r="V2886" s="2">
        <v>42.803999999999988</v>
      </c>
      <c r="W2886" s="2">
        <f>9.075*S2886</f>
        <v>18.149999999999999</v>
      </c>
      <c r="X2886" s="5">
        <f t="shared" si="399"/>
        <v>0.47844827586206895</v>
      </c>
      <c r="Z2886" s="2" t="s">
        <v>3227</v>
      </c>
      <c r="AA2886" s="2" t="s">
        <v>46</v>
      </c>
      <c r="AB2886" s="2" t="s">
        <v>56</v>
      </c>
      <c r="AC2886" s="2" t="s">
        <v>57</v>
      </c>
      <c r="AF2886" s="2">
        <f t="shared" si="397"/>
        <v>0</v>
      </c>
      <c r="AJ2886" s="2">
        <f t="shared" si="398"/>
        <v>0</v>
      </c>
      <c r="AK2886" s="2">
        <f t="shared" si="400"/>
        <v>16.649999999999999</v>
      </c>
      <c r="AL2886" s="5">
        <f t="shared" si="401"/>
        <v>0.47844827586206895</v>
      </c>
    </row>
    <row r="2887" spans="1:38" x14ac:dyDescent="0.2">
      <c r="A2887" s="2">
        <v>2026</v>
      </c>
      <c r="B2887" s="2">
        <v>1</v>
      </c>
      <c r="D2887" s="2" t="s">
        <v>765</v>
      </c>
      <c r="E2887" s="2" t="s">
        <v>38</v>
      </c>
      <c r="G2887" s="2">
        <v>513686231</v>
      </c>
      <c r="H2887" s="2" t="s">
        <v>290</v>
      </c>
      <c r="I2887" s="2" t="s">
        <v>766</v>
      </c>
      <c r="J2887" s="2" t="s">
        <v>767</v>
      </c>
      <c r="L2887" s="2" t="s">
        <v>480</v>
      </c>
      <c r="M2887" s="2" t="s">
        <v>80</v>
      </c>
      <c r="O2887" s="2" t="s">
        <v>2368</v>
      </c>
      <c r="P2887" s="2" t="s">
        <v>43</v>
      </c>
      <c r="Q2887" s="2" t="s">
        <v>236</v>
      </c>
      <c r="R2887" s="2" t="s">
        <v>237</v>
      </c>
      <c r="S2887" s="2">
        <v>10</v>
      </c>
      <c r="T2887" s="2">
        <v>176.4</v>
      </c>
      <c r="U2887" s="2">
        <v>40.572000000000003</v>
      </c>
      <c r="V2887" s="2">
        <v>216.97200000000001</v>
      </c>
      <c r="W2887" s="2">
        <f>9.075*S2887</f>
        <v>90.75</v>
      </c>
      <c r="X2887" s="5">
        <f t="shared" si="399"/>
        <v>0.48554421768707484</v>
      </c>
      <c r="Z2887" s="2" t="s">
        <v>3227</v>
      </c>
      <c r="AA2887" s="2" t="s">
        <v>46</v>
      </c>
      <c r="AB2887" s="2" t="s">
        <v>56</v>
      </c>
      <c r="AC2887" s="2" t="s">
        <v>57</v>
      </c>
      <c r="AF2887" s="2">
        <f t="shared" si="397"/>
        <v>0</v>
      </c>
      <c r="AG2887" s="2">
        <v>9.0749999999999993</v>
      </c>
      <c r="AJ2887" s="2">
        <f t="shared" si="398"/>
        <v>0</v>
      </c>
      <c r="AK2887" s="2">
        <f t="shared" si="400"/>
        <v>85.65</v>
      </c>
      <c r="AL2887" s="5">
        <f t="shared" si="401"/>
        <v>0.48554421768707484</v>
      </c>
    </row>
    <row r="2888" spans="1:38" x14ac:dyDescent="0.2">
      <c r="A2888" s="2">
        <v>2026</v>
      </c>
      <c r="B2888" s="2">
        <v>1</v>
      </c>
      <c r="D2888" s="2" t="s">
        <v>422</v>
      </c>
      <c r="E2888" s="2" t="s">
        <v>98</v>
      </c>
      <c r="F2888" s="2" t="s">
        <v>39</v>
      </c>
      <c r="G2888" s="2">
        <v>503523470</v>
      </c>
      <c r="H2888" s="2" t="s">
        <v>40</v>
      </c>
      <c r="I2888" s="2" t="s">
        <v>423</v>
      </c>
      <c r="J2888" s="2" t="s">
        <v>424</v>
      </c>
      <c r="L2888" s="2" t="s">
        <v>201</v>
      </c>
      <c r="M2888" s="2" t="s">
        <v>80</v>
      </c>
      <c r="P2888" s="2" t="s">
        <v>43</v>
      </c>
      <c r="Q2888" s="2" t="s">
        <v>236</v>
      </c>
      <c r="R2888" s="2" t="s">
        <v>237</v>
      </c>
      <c r="S2888" s="2">
        <v>2</v>
      </c>
      <c r="T2888" s="2">
        <v>34.799999999999997</v>
      </c>
      <c r="U2888" s="2">
        <v>8.0039999999999996</v>
      </c>
      <c r="V2888" s="2">
        <v>42.803999999999988</v>
      </c>
      <c r="W2888" s="2">
        <f>9.075*S2888</f>
        <v>18.149999999999999</v>
      </c>
      <c r="X2888" s="5">
        <f t="shared" si="399"/>
        <v>0.47844827586206895</v>
      </c>
      <c r="Z2888" s="2" t="s">
        <v>3227</v>
      </c>
      <c r="AA2888" s="2" t="s">
        <v>46</v>
      </c>
      <c r="AB2888" s="2" t="s">
        <v>56</v>
      </c>
      <c r="AC2888" s="2" t="s">
        <v>57</v>
      </c>
      <c r="AF2888" s="2">
        <f t="shared" si="397"/>
        <v>0</v>
      </c>
      <c r="AJ2888" s="2">
        <f t="shared" si="398"/>
        <v>0</v>
      </c>
      <c r="AK2888" s="2">
        <f t="shared" si="400"/>
        <v>16.649999999999999</v>
      </c>
      <c r="AL2888" s="5">
        <f t="shared" si="401"/>
        <v>0.47844827586206895</v>
      </c>
    </row>
    <row r="2889" spans="1:38" x14ac:dyDescent="0.2">
      <c r="A2889" s="2">
        <v>2026</v>
      </c>
      <c r="B2889" s="2">
        <v>1</v>
      </c>
      <c r="D2889" s="2" t="s">
        <v>336</v>
      </c>
      <c r="E2889" s="2" t="s">
        <v>108</v>
      </c>
      <c r="F2889" s="2" t="s">
        <v>39</v>
      </c>
      <c r="G2889" s="2">
        <v>503373494</v>
      </c>
      <c r="H2889" s="2" t="s">
        <v>290</v>
      </c>
      <c r="I2889" s="2" t="s">
        <v>337</v>
      </c>
      <c r="J2889" s="2" t="s">
        <v>338</v>
      </c>
      <c r="K2889" s="2">
        <v>965852001</v>
      </c>
      <c r="L2889" s="2" t="s">
        <v>339</v>
      </c>
      <c r="M2889" s="2" t="s">
        <v>80</v>
      </c>
      <c r="P2889" s="2" t="s">
        <v>43</v>
      </c>
      <c r="Q2889" s="2" t="s">
        <v>238</v>
      </c>
      <c r="R2889" s="2" t="s">
        <v>239</v>
      </c>
      <c r="S2889" s="2">
        <v>2</v>
      </c>
      <c r="T2889" s="2">
        <v>42</v>
      </c>
      <c r="U2889" s="2">
        <v>9.66</v>
      </c>
      <c r="V2889" s="2">
        <v>51.66</v>
      </c>
      <c r="W2889" s="2">
        <f t="shared" ref="W2889:W2891" si="402">11.045*S2889</f>
        <v>22.09</v>
      </c>
      <c r="X2889" s="5">
        <f t="shared" si="399"/>
        <v>0.47404761904761905</v>
      </c>
      <c r="Z2889" s="2" t="s">
        <v>3227</v>
      </c>
      <c r="AA2889" s="2" t="s">
        <v>46</v>
      </c>
      <c r="AB2889" s="2" t="s">
        <v>56</v>
      </c>
      <c r="AC2889" s="2" t="s">
        <v>57</v>
      </c>
      <c r="AF2889" s="2">
        <f t="shared" si="397"/>
        <v>0</v>
      </c>
      <c r="AJ2889" s="2">
        <f t="shared" si="398"/>
        <v>0</v>
      </c>
      <c r="AK2889" s="2">
        <f t="shared" si="400"/>
        <v>19.91</v>
      </c>
      <c r="AL2889" s="5">
        <f t="shared" si="401"/>
        <v>0.47404761904761905</v>
      </c>
    </row>
    <row r="2890" spans="1:38" x14ac:dyDescent="0.2">
      <c r="A2890" s="2">
        <v>2026</v>
      </c>
      <c r="B2890" s="2">
        <v>1</v>
      </c>
      <c r="D2890" s="2" t="s">
        <v>765</v>
      </c>
      <c r="E2890" s="2" t="s">
        <v>38</v>
      </c>
      <c r="G2890" s="2">
        <v>513686231</v>
      </c>
      <c r="H2890" s="2" t="s">
        <v>290</v>
      </c>
      <c r="I2890" s="2" t="s">
        <v>766</v>
      </c>
      <c r="J2890" s="2" t="s">
        <v>767</v>
      </c>
      <c r="L2890" s="2" t="s">
        <v>480</v>
      </c>
      <c r="M2890" s="2" t="s">
        <v>80</v>
      </c>
      <c r="O2890" s="2" t="s">
        <v>2368</v>
      </c>
      <c r="P2890" s="2" t="s">
        <v>43</v>
      </c>
      <c r="Q2890" s="2" t="s">
        <v>238</v>
      </c>
      <c r="R2890" s="2" t="s">
        <v>239</v>
      </c>
      <c r="S2890" s="2">
        <v>4</v>
      </c>
      <c r="T2890" s="2">
        <v>85.92</v>
      </c>
      <c r="U2890" s="2">
        <v>19.761600000000001</v>
      </c>
      <c r="V2890" s="2">
        <v>105.6816</v>
      </c>
      <c r="W2890" s="2">
        <f t="shared" si="402"/>
        <v>44.18</v>
      </c>
      <c r="X2890" s="5">
        <f t="shared" si="399"/>
        <v>0.48580074487895719</v>
      </c>
      <c r="Z2890" s="2" t="s">
        <v>3227</v>
      </c>
      <c r="AA2890" s="2" t="s">
        <v>46</v>
      </c>
      <c r="AB2890" s="2" t="s">
        <v>56</v>
      </c>
      <c r="AC2890" s="2" t="s">
        <v>57</v>
      </c>
      <c r="AF2890" s="2">
        <f t="shared" si="397"/>
        <v>0</v>
      </c>
      <c r="AG2890" s="2">
        <v>11.045</v>
      </c>
      <c r="AJ2890" s="2">
        <f t="shared" si="398"/>
        <v>0</v>
      </c>
      <c r="AK2890" s="2">
        <f t="shared" si="400"/>
        <v>41.74</v>
      </c>
      <c r="AL2890" s="5">
        <f t="shared" si="401"/>
        <v>0.48580074487895719</v>
      </c>
    </row>
    <row r="2891" spans="1:38" x14ac:dyDescent="0.2">
      <c r="A2891" s="2">
        <v>2026</v>
      </c>
      <c r="B2891" s="2">
        <v>1</v>
      </c>
      <c r="D2891" s="2" t="s">
        <v>422</v>
      </c>
      <c r="E2891" s="2" t="s">
        <v>98</v>
      </c>
      <c r="F2891" s="2" t="s">
        <v>39</v>
      </c>
      <c r="G2891" s="2">
        <v>503523470</v>
      </c>
      <c r="H2891" s="2" t="s">
        <v>40</v>
      </c>
      <c r="I2891" s="2" t="s">
        <v>423</v>
      </c>
      <c r="J2891" s="2" t="s">
        <v>424</v>
      </c>
      <c r="L2891" s="2" t="s">
        <v>201</v>
      </c>
      <c r="M2891" s="2" t="s">
        <v>80</v>
      </c>
      <c r="P2891" s="2" t="s">
        <v>43</v>
      </c>
      <c r="Q2891" s="2" t="s">
        <v>238</v>
      </c>
      <c r="R2891" s="2" t="s">
        <v>239</v>
      </c>
      <c r="S2891" s="2">
        <v>1</v>
      </c>
      <c r="T2891" s="2">
        <v>21</v>
      </c>
      <c r="U2891" s="2">
        <v>4.83</v>
      </c>
      <c r="V2891" s="2">
        <v>25.83</v>
      </c>
      <c r="W2891" s="2">
        <f t="shared" si="402"/>
        <v>11.045</v>
      </c>
      <c r="X2891" s="5">
        <f t="shared" si="399"/>
        <v>0.47404761904761905</v>
      </c>
      <c r="Z2891" s="2" t="s">
        <v>3227</v>
      </c>
      <c r="AA2891" s="2" t="s">
        <v>46</v>
      </c>
      <c r="AB2891" s="2" t="s">
        <v>56</v>
      </c>
      <c r="AC2891" s="2" t="s">
        <v>57</v>
      </c>
      <c r="AF2891" s="2">
        <f t="shared" si="397"/>
        <v>0</v>
      </c>
      <c r="AJ2891" s="2">
        <f t="shared" si="398"/>
        <v>0</v>
      </c>
      <c r="AK2891" s="2">
        <f t="shared" si="400"/>
        <v>9.9550000000000001</v>
      </c>
      <c r="AL2891" s="5">
        <f t="shared" si="401"/>
        <v>0.47404761904761905</v>
      </c>
    </row>
    <row r="2892" spans="1:38" x14ac:dyDescent="0.2">
      <c r="A2892" s="2">
        <v>2026</v>
      </c>
      <c r="B2892" s="2">
        <v>1</v>
      </c>
      <c r="D2892" s="2" t="s">
        <v>336</v>
      </c>
      <c r="E2892" s="2" t="s">
        <v>108</v>
      </c>
      <c r="F2892" s="2" t="s">
        <v>39</v>
      </c>
      <c r="G2892" s="2">
        <v>503373494</v>
      </c>
      <c r="H2892" s="2" t="s">
        <v>290</v>
      </c>
      <c r="I2892" s="2" t="s">
        <v>337</v>
      </c>
      <c r="J2892" s="2" t="s">
        <v>338</v>
      </c>
      <c r="K2892" s="2">
        <v>965852001</v>
      </c>
      <c r="L2892" s="2" t="s">
        <v>339</v>
      </c>
      <c r="M2892" s="2" t="s">
        <v>80</v>
      </c>
      <c r="P2892" s="2" t="s">
        <v>43</v>
      </c>
      <c r="Q2892" s="2" t="s">
        <v>240</v>
      </c>
      <c r="R2892" s="2" t="s">
        <v>241</v>
      </c>
      <c r="S2892" s="2">
        <v>2</v>
      </c>
      <c r="T2892" s="2">
        <v>50.4</v>
      </c>
      <c r="U2892" s="2">
        <v>11.592000000000001</v>
      </c>
      <c r="V2892" s="2">
        <v>61.991999999999997</v>
      </c>
      <c r="W2892" s="2">
        <f>13.4067*S2892</f>
        <v>26.813400000000001</v>
      </c>
      <c r="X2892" s="5">
        <f t="shared" si="399"/>
        <v>0.4679880952380952</v>
      </c>
      <c r="Z2892" s="2" t="s">
        <v>3227</v>
      </c>
      <c r="AA2892" s="2" t="s">
        <v>46</v>
      </c>
      <c r="AB2892" s="2" t="s">
        <v>56</v>
      </c>
      <c r="AC2892" s="2" t="s">
        <v>57</v>
      </c>
      <c r="AF2892" s="2">
        <f t="shared" si="397"/>
        <v>0</v>
      </c>
      <c r="AJ2892" s="2">
        <f t="shared" si="398"/>
        <v>0</v>
      </c>
      <c r="AK2892" s="2">
        <f t="shared" si="400"/>
        <v>23.586599999999997</v>
      </c>
      <c r="AL2892" s="5">
        <f t="shared" si="401"/>
        <v>0.4679880952380952</v>
      </c>
    </row>
    <row r="2893" spans="1:38" x14ac:dyDescent="0.2">
      <c r="A2893" s="2">
        <v>2026</v>
      </c>
      <c r="B2893" s="2">
        <v>1</v>
      </c>
      <c r="D2893" s="2" t="s">
        <v>336</v>
      </c>
      <c r="E2893" s="2" t="s">
        <v>108</v>
      </c>
      <c r="F2893" s="2" t="s">
        <v>39</v>
      </c>
      <c r="G2893" s="2">
        <v>503373494</v>
      </c>
      <c r="H2893" s="2" t="s">
        <v>290</v>
      </c>
      <c r="I2893" s="2" t="s">
        <v>337</v>
      </c>
      <c r="J2893" s="2" t="s">
        <v>338</v>
      </c>
      <c r="K2893" s="2">
        <v>965852001</v>
      </c>
      <c r="L2893" s="2" t="s">
        <v>339</v>
      </c>
      <c r="M2893" s="2" t="s">
        <v>80</v>
      </c>
      <c r="P2893" s="2" t="s">
        <v>43</v>
      </c>
      <c r="Q2893" s="2" t="s">
        <v>242</v>
      </c>
      <c r="R2893" s="2" t="s">
        <v>243</v>
      </c>
      <c r="S2893" s="2">
        <v>2</v>
      </c>
      <c r="T2893" s="2">
        <v>60</v>
      </c>
      <c r="U2893" s="2">
        <v>13.8</v>
      </c>
      <c r="V2893" s="2">
        <v>73.8</v>
      </c>
      <c r="W2893" s="2">
        <f>16.2249*S2893</f>
        <v>32.449800000000003</v>
      </c>
      <c r="X2893" s="5">
        <f t="shared" si="399"/>
        <v>0.45916999999999997</v>
      </c>
      <c r="Z2893" s="2" t="s">
        <v>3227</v>
      </c>
      <c r="AA2893" s="2" t="s">
        <v>46</v>
      </c>
      <c r="AB2893" s="2" t="s">
        <v>56</v>
      </c>
      <c r="AC2893" s="2" t="s">
        <v>57</v>
      </c>
      <c r="AF2893" s="2">
        <f t="shared" si="397"/>
        <v>0</v>
      </c>
      <c r="AJ2893" s="2">
        <f t="shared" si="398"/>
        <v>0</v>
      </c>
      <c r="AK2893" s="2">
        <f t="shared" si="400"/>
        <v>27.550199999999997</v>
      </c>
      <c r="AL2893" s="5">
        <f t="shared" si="401"/>
        <v>0.45916999999999997</v>
      </c>
    </row>
    <row r="2894" spans="1:38" x14ac:dyDescent="0.2">
      <c r="A2894" s="2">
        <v>2026</v>
      </c>
      <c r="B2894" s="2">
        <v>1</v>
      </c>
      <c r="D2894" s="2" t="s">
        <v>37</v>
      </c>
      <c r="E2894" s="2" t="s">
        <v>38</v>
      </c>
      <c r="F2894" s="2" t="s">
        <v>39</v>
      </c>
      <c r="H2894" s="2" t="s">
        <v>40</v>
      </c>
      <c r="P2894" s="2" t="s">
        <v>43</v>
      </c>
      <c r="Q2894" s="2" t="s">
        <v>54</v>
      </c>
      <c r="R2894" s="2" t="s">
        <v>55</v>
      </c>
      <c r="S2894" s="2">
        <v>12</v>
      </c>
      <c r="T2894" s="2">
        <v>141</v>
      </c>
      <c r="U2894" s="2">
        <v>32.43</v>
      </c>
      <c r="V2894" s="2">
        <v>173.43</v>
      </c>
      <c r="W2894" s="2">
        <f t="shared" ref="W2894:W2910" si="403">10.6*S2894</f>
        <v>127.19999999999999</v>
      </c>
      <c r="X2894" s="5">
        <f t="shared" si="399"/>
        <v>9.7872340425532001E-2</v>
      </c>
      <c r="Z2894" s="2" t="s">
        <v>3227</v>
      </c>
      <c r="AA2894" s="2" t="s">
        <v>46</v>
      </c>
      <c r="AB2894" s="2" t="s">
        <v>56</v>
      </c>
      <c r="AC2894" s="2" t="s">
        <v>57</v>
      </c>
      <c r="AF2894" s="2">
        <f t="shared" si="397"/>
        <v>0</v>
      </c>
      <c r="AG2894" s="2">
        <v>10.6</v>
      </c>
      <c r="AH2894" s="2">
        <v>18</v>
      </c>
      <c r="AJ2894" s="2">
        <f t="shared" si="398"/>
        <v>0</v>
      </c>
      <c r="AK2894" s="2">
        <f t="shared" si="400"/>
        <v>13.800000000000011</v>
      </c>
      <c r="AL2894" s="5">
        <f t="shared" si="401"/>
        <v>9.7872340425532001E-2</v>
      </c>
    </row>
    <row r="2895" spans="1:38" x14ac:dyDescent="0.2">
      <c r="A2895" s="2">
        <v>2026</v>
      </c>
      <c r="B2895" s="2">
        <v>1</v>
      </c>
      <c r="C2895" s="2" t="s">
        <v>3474</v>
      </c>
      <c r="D2895" s="2" t="s">
        <v>939</v>
      </c>
      <c r="E2895" s="2" t="s">
        <v>38</v>
      </c>
      <c r="F2895" s="2" t="s">
        <v>39</v>
      </c>
      <c r="L2895" s="2" t="s">
        <v>99</v>
      </c>
      <c r="M2895" s="2" t="s">
        <v>80</v>
      </c>
      <c r="P2895" s="2" t="s">
        <v>43</v>
      </c>
      <c r="Q2895" s="2" t="s">
        <v>54</v>
      </c>
      <c r="R2895" s="2" t="s">
        <v>55</v>
      </c>
      <c r="S2895" s="2">
        <v>2</v>
      </c>
      <c r="T2895" s="2">
        <v>36</v>
      </c>
      <c r="U2895" s="2">
        <v>8.2800000000000011</v>
      </c>
      <c r="V2895" s="2">
        <v>44.28</v>
      </c>
      <c r="W2895" s="2">
        <f t="shared" si="403"/>
        <v>21.2</v>
      </c>
      <c r="X2895" s="5">
        <f t="shared" si="399"/>
        <v>0.41111111111111115</v>
      </c>
      <c r="Z2895" s="2" t="s">
        <v>3227</v>
      </c>
      <c r="AA2895" s="2" t="s">
        <v>46</v>
      </c>
      <c r="AB2895" s="2" t="s">
        <v>56</v>
      </c>
      <c r="AC2895" s="2" t="s">
        <v>57</v>
      </c>
      <c r="AF2895" s="2">
        <f t="shared" si="397"/>
        <v>0</v>
      </c>
      <c r="AG2895" s="2">
        <v>10.6</v>
      </c>
      <c r="AH2895" s="2">
        <v>18</v>
      </c>
      <c r="AJ2895" s="2">
        <f t="shared" si="398"/>
        <v>0</v>
      </c>
      <c r="AK2895" s="2">
        <f t="shared" si="400"/>
        <v>14.8</v>
      </c>
      <c r="AL2895" s="5">
        <f t="shared" si="401"/>
        <v>0.41111111111111115</v>
      </c>
    </row>
    <row r="2896" spans="1:38" x14ac:dyDescent="0.2">
      <c r="A2896" s="2">
        <v>2026</v>
      </c>
      <c r="B2896" s="2">
        <v>1</v>
      </c>
      <c r="D2896" s="2" t="s">
        <v>693</v>
      </c>
      <c r="E2896" s="2" t="s">
        <v>38</v>
      </c>
      <c r="F2896" s="2" t="s">
        <v>39</v>
      </c>
      <c r="G2896" s="2">
        <v>508574358</v>
      </c>
      <c r="H2896" s="2" t="s">
        <v>41</v>
      </c>
      <c r="I2896" s="2" t="s">
        <v>327</v>
      </c>
      <c r="J2896" s="2" t="s">
        <v>695</v>
      </c>
      <c r="K2896" s="2">
        <v>917295518</v>
      </c>
      <c r="L2896" s="2" t="s">
        <v>177</v>
      </c>
      <c r="M2896" s="2" t="s">
        <v>41</v>
      </c>
      <c r="P2896" s="2" t="s">
        <v>43</v>
      </c>
      <c r="Q2896" s="2" t="s">
        <v>54</v>
      </c>
      <c r="R2896" s="2" t="s">
        <v>55</v>
      </c>
      <c r="S2896" s="2">
        <v>2</v>
      </c>
      <c r="T2896" s="2">
        <v>36</v>
      </c>
      <c r="U2896" s="2">
        <v>8.2800000000000011</v>
      </c>
      <c r="V2896" s="2">
        <v>44.28</v>
      </c>
      <c r="W2896" s="2">
        <f t="shared" si="403"/>
        <v>21.2</v>
      </c>
      <c r="X2896" s="5">
        <f t="shared" si="399"/>
        <v>0.41111111111111115</v>
      </c>
      <c r="Z2896" s="2" t="s">
        <v>3227</v>
      </c>
      <c r="AA2896" s="2" t="s">
        <v>46</v>
      </c>
      <c r="AB2896" s="2" t="s">
        <v>56</v>
      </c>
      <c r="AC2896" s="2" t="s">
        <v>57</v>
      </c>
      <c r="AF2896" s="2">
        <f t="shared" si="397"/>
        <v>0</v>
      </c>
      <c r="AG2896" s="2">
        <v>10.6</v>
      </c>
      <c r="AH2896" s="2">
        <v>18</v>
      </c>
      <c r="AJ2896" s="2">
        <f t="shared" si="398"/>
        <v>0</v>
      </c>
      <c r="AK2896" s="2">
        <f t="shared" si="400"/>
        <v>14.8</v>
      </c>
      <c r="AL2896" s="5">
        <f t="shared" si="401"/>
        <v>0.41111111111111115</v>
      </c>
    </row>
    <row r="2897" spans="1:38" x14ac:dyDescent="0.2">
      <c r="A2897" s="2">
        <v>2026</v>
      </c>
      <c r="B2897" s="2">
        <v>1</v>
      </c>
      <c r="D2897" s="2" t="s">
        <v>2214</v>
      </c>
      <c r="M2897" s="2" t="s">
        <v>41</v>
      </c>
      <c r="P2897" s="2" t="s">
        <v>43</v>
      </c>
      <c r="Q2897" s="2" t="s">
        <v>54</v>
      </c>
      <c r="R2897" s="2" t="s">
        <v>55</v>
      </c>
      <c r="S2897" s="2">
        <v>2</v>
      </c>
      <c r="T2897" s="2">
        <v>36</v>
      </c>
      <c r="U2897" s="2">
        <v>8.2800000000000011</v>
      </c>
      <c r="V2897" s="2">
        <v>44.28</v>
      </c>
      <c r="W2897" s="2">
        <f t="shared" si="403"/>
        <v>21.2</v>
      </c>
      <c r="X2897" s="5">
        <f t="shared" si="399"/>
        <v>0.41111111111111115</v>
      </c>
      <c r="Z2897" s="2" t="s">
        <v>3227</v>
      </c>
      <c r="AA2897" s="2" t="s">
        <v>46</v>
      </c>
      <c r="AB2897" s="2" t="s">
        <v>56</v>
      </c>
      <c r="AC2897" s="2" t="s">
        <v>57</v>
      </c>
      <c r="AF2897" s="2">
        <f t="shared" si="397"/>
        <v>0</v>
      </c>
      <c r="AG2897" s="2">
        <v>10.6</v>
      </c>
      <c r="AH2897" s="2">
        <v>18</v>
      </c>
      <c r="AJ2897" s="2">
        <f t="shared" si="398"/>
        <v>0</v>
      </c>
      <c r="AK2897" s="2">
        <f t="shared" si="400"/>
        <v>14.8</v>
      </c>
      <c r="AL2897" s="5">
        <f t="shared" si="401"/>
        <v>0.41111111111111115</v>
      </c>
    </row>
    <row r="2898" spans="1:38" x14ac:dyDescent="0.2">
      <c r="A2898" s="2">
        <v>2026</v>
      </c>
      <c r="B2898" s="2">
        <v>1</v>
      </c>
      <c r="D2898" s="2" t="s">
        <v>1178</v>
      </c>
      <c r="E2898" s="2" t="s">
        <v>38</v>
      </c>
      <c r="F2898" s="2" t="s">
        <v>39</v>
      </c>
      <c r="G2898" s="2">
        <v>502089075</v>
      </c>
      <c r="H2898" s="2" t="s">
        <v>41</v>
      </c>
      <c r="I2898" s="2" t="s">
        <v>1179</v>
      </c>
      <c r="J2898" s="2" t="s">
        <v>1180</v>
      </c>
      <c r="L2898" s="2" t="s">
        <v>461</v>
      </c>
      <c r="M2898" s="2" t="s">
        <v>41</v>
      </c>
      <c r="O2898" s="2" t="s">
        <v>2369</v>
      </c>
      <c r="P2898" s="2" t="s">
        <v>43</v>
      </c>
      <c r="Q2898" s="2" t="s">
        <v>54</v>
      </c>
      <c r="R2898" s="2" t="s">
        <v>55</v>
      </c>
      <c r="S2898" s="2">
        <v>3</v>
      </c>
      <c r="T2898" s="2">
        <v>54</v>
      </c>
      <c r="U2898" s="2">
        <v>12.42</v>
      </c>
      <c r="V2898" s="2">
        <v>66.42</v>
      </c>
      <c r="W2898" s="2">
        <f t="shared" si="403"/>
        <v>31.799999999999997</v>
      </c>
      <c r="X2898" s="5">
        <f t="shared" si="399"/>
        <v>0.41111111111111115</v>
      </c>
      <c r="Z2898" s="2" t="s">
        <v>3227</v>
      </c>
      <c r="AA2898" s="2" t="s">
        <v>46</v>
      </c>
      <c r="AB2898" s="2" t="s">
        <v>56</v>
      </c>
      <c r="AC2898" s="2" t="s">
        <v>57</v>
      </c>
      <c r="AF2898" s="2">
        <f t="shared" si="397"/>
        <v>0</v>
      </c>
      <c r="AG2898" s="2">
        <v>10.6</v>
      </c>
      <c r="AH2898" s="2">
        <v>18</v>
      </c>
      <c r="AJ2898" s="2">
        <f t="shared" si="398"/>
        <v>0</v>
      </c>
      <c r="AK2898" s="2">
        <f t="shared" si="400"/>
        <v>22.200000000000003</v>
      </c>
      <c r="AL2898" s="5">
        <f t="shared" si="401"/>
        <v>0.41111111111111115</v>
      </c>
    </row>
    <row r="2899" spans="1:38" x14ac:dyDescent="0.2">
      <c r="A2899" s="2">
        <v>2026</v>
      </c>
      <c r="B2899" s="2">
        <v>1</v>
      </c>
      <c r="D2899" s="2" t="s">
        <v>336</v>
      </c>
      <c r="E2899" s="2" t="s">
        <v>108</v>
      </c>
      <c r="F2899" s="2" t="s">
        <v>39</v>
      </c>
      <c r="G2899" s="2">
        <v>503373494</v>
      </c>
      <c r="H2899" s="2" t="s">
        <v>290</v>
      </c>
      <c r="I2899" s="2" t="s">
        <v>337</v>
      </c>
      <c r="J2899" s="2" t="s">
        <v>338</v>
      </c>
      <c r="K2899" s="2">
        <v>965852001</v>
      </c>
      <c r="L2899" s="2" t="s">
        <v>339</v>
      </c>
      <c r="M2899" s="2" t="s">
        <v>80</v>
      </c>
      <c r="P2899" s="2" t="s">
        <v>43</v>
      </c>
      <c r="Q2899" s="2" t="s">
        <v>54</v>
      </c>
      <c r="R2899" s="2" t="s">
        <v>55</v>
      </c>
      <c r="S2899" s="2">
        <v>5</v>
      </c>
      <c r="T2899" s="2">
        <v>90</v>
      </c>
      <c r="U2899" s="2">
        <v>20.7</v>
      </c>
      <c r="V2899" s="2">
        <v>110.7</v>
      </c>
      <c r="W2899" s="2">
        <f t="shared" si="403"/>
        <v>53</v>
      </c>
      <c r="X2899" s="5">
        <f t="shared" si="399"/>
        <v>0.41111111111111109</v>
      </c>
      <c r="Z2899" s="2" t="s">
        <v>3227</v>
      </c>
      <c r="AA2899" s="2" t="s">
        <v>46</v>
      </c>
      <c r="AB2899" s="2" t="s">
        <v>56</v>
      </c>
      <c r="AC2899" s="2" t="s">
        <v>57</v>
      </c>
      <c r="AF2899" s="2">
        <f t="shared" si="397"/>
        <v>0</v>
      </c>
      <c r="AG2899" s="2">
        <v>10.6</v>
      </c>
      <c r="AH2899" s="2">
        <v>18</v>
      </c>
      <c r="AJ2899" s="2">
        <f t="shared" si="398"/>
        <v>0</v>
      </c>
      <c r="AK2899" s="2">
        <f t="shared" si="400"/>
        <v>37</v>
      </c>
      <c r="AL2899" s="5">
        <f t="shared" si="401"/>
        <v>0.41111111111111109</v>
      </c>
    </row>
    <row r="2900" spans="1:38" x14ac:dyDescent="0.2">
      <c r="A2900" s="2">
        <v>2026</v>
      </c>
      <c r="B2900" s="2">
        <v>1</v>
      </c>
      <c r="D2900" s="2" t="s">
        <v>415</v>
      </c>
      <c r="E2900" s="2" t="s">
        <v>38</v>
      </c>
      <c r="F2900" s="2" t="s">
        <v>39</v>
      </c>
      <c r="G2900" s="2">
        <v>219908800</v>
      </c>
      <c r="H2900" s="2" t="s">
        <v>41</v>
      </c>
      <c r="I2900" s="2" t="s">
        <v>416</v>
      </c>
      <c r="J2900" s="2" t="s">
        <v>417</v>
      </c>
      <c r="L2900" s="2" t="s">
        <v>418</v>
      </c>
      <c r="M2900" s="2" t="s">
        <v>41</v>
      </c>
      <c r="P2900" s="2" t="s">
        <v>43</v>
      </c>
      <c r="Q2900" s="2" t="s">
        <v>54</v>
      </c>
      <c r="R2900" s="2" t="s">
        <v>55</v>
      </c>
      <c r="S2900" s="2">
        <v>4</v>
      </c>
      <c r="T2900" s="2">
        <v>72</v>
      </c>
      <c r="U2900" s="2">
        <v>16.559999999999999</v>
      </c>
      <c r="V2900" s="2">
        <v>88.56</v>
      </c>
      <c r="W2900" s="2">
        <f t="shared" si="403"/>
        <v>42.4</v>
      </c>
      <c r="X2900" s="5">
        <f t="shared" si="399"/>
        <v>0.41111111111111115</v>
      </c>
      <c r="Z2900" s="2" t="s">
        <v>3227</v>
      </c>
      <c r="AA2900" s="2" t="s">
        <v>46</v>
      </c>
      <c r="AB2900" s="2" t="s">
        <v>56</v>
      </c>
      <c r="AC2900" s="2" t="s">
        <v>57</v>
      </c>
      <c r="AF2900" s="2">
        <f t="shared" si="397"/>
        <v>0</v>
      </c>
      <c r="AG2900" s="2">
        <v>10.6</v>
      </c>
      <c r="AH2900" s="2">
        <v>18</v>
      </c>
      <c r="AJ2900" s="2">
        <f t="shared" si="398"/>
        <v>0</v>
      </c>
      <c r="AK2900" s="2">
        <f t="shared" si="400"/>
        <v>29.6</v>
      </c>
      <c r="AL2900" s="5">
        <f t="shared" si="401"/>
        <v>0.41111111111111115</v>
      </c>
    </row>
    <row r="2901" spans="1:38" x14ac:dyDescent="0.2">
      <c r="A2901" s="2">
        <v>2026</v>
      </c>
      <c r="B2901" s="2">
        <v>1</v>
      </c>
      <c r="D2901" s="2" t="s">
        <v>422</v>
      </c>
      <c r="E2901" s="2" t="s">
        <v>98</v>
      </c>
      <c r="F2901" s="2" t="s">
        <v>39</v>
      </c>
      <c r="G2901" s="2">
        <v>503523470</v>
      </c>
      <c r="H2901" s="2" t="s">
        <v>40</v>
      </c>
      <c r="I2901" s="2" t="s">
        <v>423</v>
      </c>
      <c r="J2901" s="2" t="s">
        <v>424</v>
      </c>
      <c r="L2901" s="2" t="s">
        <v>201</v>
      </c>
      <c r="M2901" s="2" t="s">
        <v>80</v>
      </c>
      <c r="P2901" s="2" t="s">
        <v>43</v>
      </c>
      <c r="Q2901" s="2" t="s">
        <v>54</v>
      </c>
      <c r="R2901" s="2" t="s">
        <v>55</v>
      </c>
      <c r="S2901" s="2">
        <v>1</v>
      </c>
      <c r="T2901" s="2">
        <v>18</v>
      </c>
      <c r="U2901" s="2">
        <v>4.1400000000000006</v>
      </c>
      <c r="V2901" s="2">
        <v>22.14</v>
      </c>
      <c r="W2901" s="2">
        <f t="shared" si="403"/>
        <v>10.6</v>
      </c>
      <c r="X2901" s="5">
        <f t="shared" si="399"/>
        <v>0.41111111111111115</v>
      </c>
      <c r="Z2901" s="2" t="s">
        <v>3227</v>
      </c>
      <c r="AA2901" s="2" t="s">
        <v>46</v>
      </c>
      <c r="AB2901" s="2" t="s">
        <v>56</v>
      </c>
      <c r="AC2901" s="2" t="s">
        <v>57</v>
      </c>
      <c r="AF2901" s="2">
        <f t="shared" si="397"/>
        <v>0</v>
      </c>
      <c r="AG2901" s="2">
        <v>10.6</v>
      </c>
      <c r="AH2901" s="2">
        <v>18</v>
      </c>
      <c r="AJ2901" s="2">
        <f t="shared" si="398"/>
        <v>0</v>
      </c>
      <c r="AK2901" s="2">
        <f t="shared" si="400"/>
        <v>7.4</v>
      </c>
      <c r="AL2901" s="5">
        <f t="shared" si="401"/>
        <v>0.41111111111111115</v>
      </c>
    </row>
    <row r="2902" spans="1:38" x14ac:dyDescent="0.2">
      <c r="A2902" s="2">
        <v>2026</v>
      </c>
      <c r="B2902" s="2">
        <v>1</v>
      </c>
      <c r="D2902" s="2" t="s">
        <v>425</v>
      </c>
      <c r="E2902" s="2" t="s">
        <v>98</v>
      </c>
      <c r="F2902" s="2" t="s">
        <v>39</v>
      </c>
      <c r="G2902" s="2">
        <v>510613888</v>
      </c>
      <c r="H2902" s="2" t="s">
        <v>40</v>
      </c>
      <c r="I2902" s="2" t="s">
        <v>426</v>
      </c>
      <c r="J2902" s="2" t="s">
        <v>427</v>
      </c>
      <c r="L2902" s="2" t="s">
        <v>99</v>
      </c>
      <c r="M2902" s="2" t="s">
        <v>80</v>
      </c>
      <c r="P2902" s="2" t="s">
        <v>43</v>
      </c>
      <c r="Q2902" s="2" t="s">
        <v>54</v>
      </c>
      <c r="R2902" s="2" t="s">
        <v>55</v>
      </c>
      <c r="S2902" s="2">
        <v>1</v>
      </c>
      <c r="T2902" s="2">
        <v>18</v>
      </c>
      <c r="U2902" s="2">
        <v>4.1400000000000006</v>
      </c>
      <c r="V2902" s="2">
        <v>22.14</v>
      </c>
      <c r="W2902" s="2">
        <f t="shared" si="403"/>
        <v>10.6</v>
      </c>
      <c r="X2902" s="5">
        <f t="shared" si="399"/>
        <v>0.41111111111111115</v>
      </c>
      <c r="Z2902" s="2" t="s">
        <v>3227</v>
      </c>
      <c r="AA2902" s="2" t="s">
        <v>46</v>
      </c>
      <c r="AB2902" s="2" t="s">
        <v>56</v>
      </c>
      <c r="AC2902" s="2" t="s">
        <v>57</v>
      </c>
      <c r="AF2902" s="2">
        <f t="shared" si="397"/>
        <v>0</v>
      </c>
      <c r="AG2902" s="2">
        <v>10.6</v>
      </c>
      <c r="AH2902" s="2">
        <v>18</v>
      </c>
      <c r="AJ2902" s="2">
        <f t="shared" si="398"/>
        <v>0</v>
      </c>
      <c r="AK2902" s="2">
        <f t="shared" si="400"/>
        <v>7.4</v>
      </c>
      <c r="AL2902" s="5">
        <f t="shared" si="401"/>
        <v>0.41111111111111115</v>
      </c>
    </row>
    <row r="2903" spans="1:38" x14ac:dyDescent="0.2">
      <c r="A2903" s="2">
        <v>2026</v>
      </c>
      <c r="B2903" s="2">
        <v>1</v>
      </c>
      <c r="D2903" s="2" t="s">
        <v>843</v>
      </c>
      <c r="E2903" s="2" t="s">
        <v>38</v>
      </c>
      <c r="F2903" s="2" t="s">
        <v>39</v>
      </c>
      <c r="G2903" s="2">
        <v>161685080</v>
      </c>
      <c r="H2903" s="2" t="s">
        <v>41</v>
      </c>
      <c r="I2903" s="2" t="s">
        <v>418</v>
      </c>
      <c r="K2903" s="2" t="s">
        <v>844</v>
      </c>
      <c r="L2903" s="2" t="s">
        <v>418</v>
      </c>
      <c r="M2903" s="2" t="s">
        <v>41</v>
      </c>
      <c r="O2903" s="2" t="s">
        <v>2370</v>
      </c>
      <c r="P2903" s="2" t="s">
        <v>43</v>
      </c>
      <c r="Q2903" s="2" t="s">
        <v>54</v>
      </c>
      <c r="R2903" s="2" t="s">
        <v>55</v>
      </c>
      <c r="S2903" s="2">
        <v>2</v>
      </c>
      <c r="T2903" s="2">
        <v>36</v>
      </c>
      <c r="U2903" s="2">
        <v>8.2800000000000011</v>
      </c>
      <c r="V2903" s="2">
        <v>44.28</v>
      </c>
      <c r="W2903" s="2">
        <f t="shared" si="403"/>
        <v>21.2</v>
      </c>
      <c r="X2903" s="5">
        <f t="shared" si="399"/>
        <v>0.41111111111111115</v>
      </c>
      <c r="Z2903" s="2" t="s">
        <v>3227</v>
      </c>
      <c r="AA2903" s="2" t="s">
        <v>46</v>
      </c>
      <c r="AB2903" s="2" t="s">
        <v>56</v>
      </c>
      <c r="AC2903" s="2" t="s">
        <v>57</v>
      </c>
      <c r="AF2903" s="2">
        <f t="shared" si="397"/>
        <v>0</v>
      </c>
      <c r="AG2903" s="2">
        <v>10.6</v>
      </c>
      <c r="AH2903" s="2">
        <v>18</v>
      </c>
      <c r="AJ2903" s="2">
        <f t="shared" si="398"/>
        <v>0</v>
      </c>
      <c r="AK2903" s="2">
        <f t="shared" si="400"/>
        <v>14.8</v>
      </c>
      <c r="AL2903" s="5">
        <f t="shared" si="401"/>
        <v>0.41111111111111115</v>
      </c>
    </row>
    <row r="2904" spans="1:38" x14ac:dyDescent="0.2">
      <c r="A2904" s="2">
        <v>2026</v>
      </c>
      <c r="B2904" s="2">
        <v>1</v>
      </c>
      <c r="D2904" s="2" t="s">
        <v>1043</v>
      </c>
      <c r="P2904" s="2" t="s">
        <v>43</v>
      </c>
      <c r="Q2904" s="2" t="s">
        <v>54</v>
      </c>
      <c r="R2904" s="2" t="s">
        <v>55</v>
      </c>
      <c r="S2904" s="2">
        <v>10</v>
      </c>
      <c r="T2904" s="2">
        <v>150</v>
      </c>
      <c r="U2904" s="2">
        <v>34.5</v>
      </c>
      <c r="V2904" s="2">
        <v>184.5</v>
      </c>
      <c r="W2904" s="2">
        <f t="shared" si="403"/>
        <v>106</v>
      </c>
      <c r="X2904" s="5">
        <f t="shared" si="399"/>
        <v>0.29333333333333333</v>
      </c>
      <c r="Z2904" s="2" t="s">
        <v>3227</v>
      </c>
      <c r="AA2904" s="2" t="s">
        <v>46</v>
      </c>
      <c r="AB2904" s="2" t="s">
        <v>56</v>
      </c>
      <c r="AC2904" s="2" t="s">
        <v>57</v>
      </c>
      <c r="AF2904" s="2">
        <f t="shared" si="397"/>
        <v>0</v>
      </c>
      <c r="AG2904" s="2">
        <v>10.6</v>
      </c>
      <c r="AH2904" s="2">
        <v>18</v>
      </c>
      <c r="AJ2904" s="2">
        <f t="shared" si="398"/>
        <v>0</v>
      </c>
      <c r="AK2904" s="2">
        <f t="shared" si="400"/>
        <v>44</v>
      </c>
      <c r="AL2904" s="5">
        <f t="shared" si="401"/>
        <v>0.29333333333333333</v>
      </c>
    </row>
    <row r="2905" spans="1:38" x14ac:dyDescent="0.2">
      <c r="A2905" s="2">
        <v>2026</v>
      </c>
      <c r="B2905" s="2">
        <v>1</v>
      </c>
      <c r="D2905" s="2" t="s">
        <v>1397</v>
      </c>
      <c r="E2905" s="2" t="s">
        <v>38</v>
      </c>
      <c r="F2905" s="2" t="s">
        <v>39</v>
      </c>
      <c r="G2905" s="2">
        <v>509014313</v>
      </c>
      <c r="H2905" s="2" t="s">
        <v>40</v>
      </c>
      <c r="I2905" s="2" t="s">
        <v>3217</v>
      </c>
      <c r="J2905" s="2" t="s">
        <v>3216</v>
      </c>
      <c r="K2905" s="2">
        <v>913814877</v>
      </c>
      <c r="L2905" s="2" t="s">
        <v>201</v>
      </c>
      <c r="M2905" s="2" t="s">
        <v>80</v>
      </c>
      <c r="O2905" s="2" t="s">
        <v>3211</v>
      </c>
      <c r="P2905" s="2" t="s">
        <v>43</v>
      </c>
      <c r="Q2905" s="2" t="s">
        <v>54</v>
      </c>
      <c r="R2905" s="2" t="s">
        <v>55</v>
      </c>
      <c r="S2905" s="2">
        <v>3</v>
      </c>
      <c r="T2905" s="2">
        <v>54</v>
      </c>
      <c r="U2905" s="2">
        <v>12.42</v>
      </c>
      <c r="V2905" s="2">
        <v>66.42</v>
      </c>
      <c r="W2905" s="2">
        <f t="shared" si="403"/>
        <v>31.799999999999997</v>
      </c>
      <c r="X2905" s="5">
        <f t="shared" si="399"/>
        <v>0.41111111111111115</v>
      </c>
      <c r="Z2905" s="2" t="s">
        <v>3227</v>
      </c>
      <c r="AA2905" s="2" t="s">
        <v>46</v>
      </c>
      <c r="AB2905" s="2" t="s">
        <v>56</v>
      </c>
      <c r="AC2905" s="2" t="s">
        <v>57</v>
      </c>
      <c r="AF2905" s="2">
        <f t="shared" si="397"/>
        <v>0</v>
      </c>
      <c r="AG2905" s="2">
        <v>10.6</v>
      </c>
      <c r="AH2905" s="2">
        <v>18</v>
      </c>
      <c r="AJ2905" s="2">
        <f t="shared" si="398"/>
        <v>0</v>
      </c>
      <c r="AK2905" s="2">
        <f t="shared" si="400"/>
        <v>22.200000000000003</v>
      </c>
      <c r="AL2905" s="5">
        <f t="shared" si="401"/>
        <v>0.41111111111111115</v>
      </c>
    </row>
    <row r="2906" spans="1:38" x14ac:dyDescent="0.2">
      <c r="A2906" s="2">
        <v>2026</v>
      </c>
      <c r="B2906" s="2">
        <v>1</v>
      </c>
      <c r="D2906" s="2" t="s">
        <v>889</v>
      </c>
      <c r="E2906" s="2" t="s">
        <v>108</v>
      </c>
      <c r="F2906" s="2" t="s">
        <v>39</v>
      </c>
      <c r="G2906" s="2">
        <v>507216970</v>
      </c>
      <c r="H2906" s="2" t="s">
        <v>41</v>
      </c>
      <c r="I2906" s="2" t="s">
        <v>890</v>
      </c>
      <c r="J2906" s="2" t="s">
        <v>891</v>
      </c>
      <c r="L2906" s="2" t="s">
        <v>99</v>
      </c>
      <c r="M2906" s="2" t="s">
        <v>41</v>
      </c>
      <c r="O2906" s="2" t="s">
        <v>2371</v>
      </c>
      <c r="P2906" s="2" t="s">
        <v>43</v>
      </c>
      <c r="Q2906" s="2" t="s">
        <v>54</v>
      </c>
      <c r="R2906" s="2" t="s">
        <v>55</v>
      </c>
      <c r="S2906" s="2">
        <v>20</v>
      </c>
      <c r="T2906" s="2">
        <v>280</v>
      </c>
      <c r="U2906" s="2">
        <v>64.400000000000006</v>
      </c>
      <c r="V2906" s="2">
        <v>344.4</v>
      </c>
      <c r="W2906" s="2">
        <f t="shared" si="403"/>
        <v>212</v>
      </c>
      <c r="X2906" s="5">
        <f t="shared" si="399"/>
        <v>0.24285714285714285</v>
      </c>
      <c r="Z2906" s="2" t="s">
        <v>3227</v>
      </c>
      <c r="AA2906" s="2" t="s">
        <v>46</v>
      </c>
      <c r="AB2906" s="2" t="s">
        <v>56</v>
      </c>
      <c r="AC2906" s="2" t="s">
        <v>57</v>
      </c>
      <c r="AF2906" s="2">
        <f t="shared" si="397"/>
        <v>0</v>
      </c>
      <c r="AG2906" s="2">
        <v>10.6</v>
      </c>
      <c r="AH2906" s="2">
        <v>18</v>
      </c>
      <c r="AJ2906" s="2">
        <f t="shared" si="398"/>
        <v>0</v>
      </c>
      <c r="AK2906" s="2">
        <f t="shared" si="400"/>
        <v>68</v>
      </c>
      <c r="AL2906" s="5">
        <f t="shared" si="401"/>
        <v>0.24285714285714285</v>
      </c>
    </row>
    <row r="2907" spans="1:38" x14ac:dyDescent="0.2">
      <c r="A2907" s="2">
        <v>2026</v>
      </c>
      <c r="B2907" s="2">
        <v>1</v>
      </c>
      <c r="D2907" s="2" t="s">
        <v>588</v>
      </c>
      <c r="E2907" s="2" t="s">
        <v>38</v>
      </c>
      <c r="F2907" s="2" t="s">
        <v>39</v>
      </c>
      <c r="G2907" s="2">
        <v>510339298</v>
      </c>
      <c r="H2907" s="2" t="s">
        <v>41</v>
      </c>
      <c r="I2907" s="2" t="s">
        <v>177</v>
      </c>
      <c r="J2907" s="2" t="s">
        <v>589</v>
      </c>
      <c r="L2907" s="2" t="s">
        <v>177</v>
      </c>
      <c r="M2907" s="2" t="s">
        <v>41</v>
      </c>
      <c r="P2907" s="2" t="s">
        <v>43</v>
      </c>
      <c r="Q2907" s="2" t="s">
        <v>54</v>
      </c>
      <c r="R2907" s="2" t="s">
        <v>55</v>
      </c>
      <c r="S2907" s="2">
        <v>10</v>
      </c>
      <c r="T2907" s="2">
        <v>140</v>
      </c>
      <c r="U2907" s="2">
        <v>32.200000000000003</v>
      </c>
      <c r="V2907" s="2">
        <v>172.2</v>
      </c>
      <c r="W2907" s="2">
        <f t="shared" si="403"/>
        <v>106</v>
      </c>
      <c r="X2907" s="5">
        <f t="shared" si="399"/>
        <v>0.24285714285714285</v>
      </c>
      <c r="Z2907" s="2" t="s">
        <v>3227</v>
      </c>
      <c r="AA2907" s="2" t="s">
        <v>46</v>
      </c>
      <c r="AB2907" s="2" t="s">
        <v>56</v>
      </c>
      <c r="AC2907" s="2" t="s">
        <v>57</v>
      </c>
      <c r="AF2907" s="2">
        <f t="shared" si="397"/>
        <v>0</v>
      </c>
      <c r="AG2907" s="2">
        <v>10.6</v>
      </c>
      <c r="AH2907" s="2">
        <v>18</v>
      </c>
      <c r="AJ2907" s="2">
        <f t="shared" si="398"/>
        <v>0</v>
      </c>
      <c r="AK2907" s="2">
        <f t="shared" si="400"/>
        <v>34</v>
      </c>
      <c r="AL2907" s="5">
        <f t="shared" si="401"/>
        <v>0.24285714285714285</v>
      </c>
    </row>
    <row r="2908" spans="1:38" x14ac:dyDescent="0.2">
      <c r="A2908" s="2">
        <v>2026</v>
      </c>
      <c r="B2908" s="2">
        <v>1</v>
      </c>
      <c r="D2908" s="2" t="s">
        <v>606</v>
      </c>
      <c r="E2908" s="2" t="s">
        <v>108</v>
      </c>
      <c r="F2908" s="2" t="s">
        <v>39</v>
      </c>
      <c r="G2908" s="2">
        <v>504822187</v>
      </c>
      <c r="H2908" s="2" t="s">
        <v>109</v>
      </c>
      <c r="I2908" s="2" t="s">
        <v>607</v>
      </c>
      <c r="J2908" s="2" t="s">
        <v>608</v>
      </c>
      <c r="K2908" s="2">
        <v>966216853</v>
      </c>
      <c r="L2908" s="2" t="s">
        <v>461</v>
      </c>
      <c r="P2908" s="2" t="s">
        <v>43</v>
      </c>
      <c r="Q2908" s="2" t="s">
        <v>54</v>
      </c>
      <c r="R2908" s="2" t="s">
        <v>55</v>
      </c>
      <c r="S2908" s="2">
        <v>4</v>
      </c>
      <c r="T2908" s="2">
        <v>68</v>
      </c>
      <c r="U2908" s="2">
        <v>15.64</v>
      </c>
      <c r="V2908" s="2">
        <v>83.64</v>
      </c>
      <c r="W2908" s="2">
        <f t="shared" si="403"/>
        <v>42.4</v>
      </c>
      <c r="X2908" s="5">
        <f t="shared" si="399"/>
        <v>0.37647058823529411</v>
      </c>
      <c r="Z2908" s="2" t="s">
        <v>3227</v>
      </c>
      <c r="AA2908" s="2" t="s">
        <v>46</v>
      </c>
      <c r="AB2908" s="2" t="s">
        <v>56</v>
      </c>
      <c r="AC2908" s="2" t="s">
        <v>57</v>
      </c>
      <c r="AF2908" s="2">
        <f t="shared" si="397"/>
        <v>0</v>
      </c>
      <c r="AG2908" s="2">
        <v>10.6</v>
      </c>
      <c r="AH2908" s="2">
        <v>18</v>
      </c>
      <c r="AJ2908" s="2">
        <f t="shared" si="398"/>
        <v>0</v>
      </c>
      <c r="AK2908" s="2">
        <f t="shared" si="400"/>
        <v>25.6</v>
      </c>
      <c r="AL2908" s="5">
        <f t="shared" si="401"/>
        <v>0.37647058823529411</v>
      </c>
    </row>
    <row r="2909" spans="1:38" x14ac:dyDescent="0.2">
      <c r="A2909" s="2">
        <v>2026</v>
      </c>
      <c r="B2909" s="2">
        <v>1</v>
      </c>
      <c r="D2909" s="2" t="s">
        <v>2372</v>
      </c>
      <c r="P2909" s="2" t="s">
        <v>43</v>
      </c>
      <c r="Q2909" s="2" t="s">
        <v>54</v>
      </c>
      <c r="R2909" s="2" t="s">
        <v>55</v>
      </c>
      <c r="S2909" s="2">
        <v>2</v>
      </c>
      <c r="T2909" s="2">
        <v>36</v>
      </c>
      <c r="U2909" s="2">
        <v>8.2800000000000011</v>
      </c>
      <c r="V2909" s="2">
        <v>44.28</v>
      </c>
      <c r="W2909" s="2">
        <f t="shared" si="403"/>
        <v>21.2</v>
      </c>
      <c r="X2909" s="5">
        <f t="shared" si="399"/>
        <v>0.41111111111111115</v>
      </c>
      <c r="Z2909" s="2" t="s">
        <v>3227</v>
      </c>
      <c r="AA2909" s="2" t="s">
        <v>46</v>
      </c>
      <c r="AB2909" s="2" t="s">
        <v>56</v>
      </c>
      <c r="AC2909" s="2" t="s">
        <v>57</v>
      </c>
      <c r="AF2909" s="2">
        <f t="shared" si="397"/>
        <v>0</v>
      </c>
      <c r="AG2909" s="2">
        <v>10.6</v>
      </c>
      <c r="AH2909" s="2">
        <v>18</v>
      </c>
      <c r="AJ2909" s="2">
        <f t="shared" si="398"/>
        <v>0</v>
      </c>
      <c r="AK2909" s="2">
        <f t="shared" si="400"/>
        <v>14.8</v>
      </c>
      <c r="AL2909" s="5">
        <f t="shared" si="401"/>
        <v>0.41111111111111115</v>
      </c>
    </row>
    <row r="2910" spans="1:38" x14ac:dyDescent="0.2">
      <c r="A2910" s="2">
        <v>2026</v>
      </c>
      <c r="B2910" s="2">
        <v>1</v>
      </c>
      <c r="D2910" s="2" t="s">
        <v>1312</v>
      </c>
      <c r="E2910" s="2" t="s">
        <v>38</v>
      </c>
      <c r="F2910" s="2" t="s">
        <v>39</v>
      </c>
      <c r="G2910" s="2">
        <v>509512739</v>
      </c>
      <c r="H2910" s="2" t="s">
        <v>41</v>
      </c>
      <c r="I2910" s="2" t="s">
        <v>177</v>
      </c>
      <c r="J2910" s="2" t="s">
        <v>1313</v>
      </c>
      <c r="L2910" s="2" t="s">
        <v>177</v>
      </c>
      <c r="M2910" s="2" t="s">
        <v>41</v>
      </c>
      <c r="O2910" s="2" t="s">
        <v>2373</v>
      </c>
      <c r="P2910" s="2" t="s">
        <v>43</v>
      </c>
      <c r="Q2910" s="2" t="s">
        <v>54</v>
      </c>
      <c r="R2910" s="2" t="s">
        <v>55</v>
      </c>
      <c r="S2910" s="2">
        <v>2</v>
      </c>
      <c r="T2910" s="2">
        <v>36</v>
      </c>
      <c r="U2910" s="2">
        <v>8.2800000000000011</v>
      </c>
      <c r="V2910" s="2">
        <v>44.28</v>
      </c>
      <c r="W2910" s="2">
        <f t="shared" si="403"/>
        <v>21.2</v>
      </c>
      <c r="X2910" s="5">
        <f t="shared" si="399"/>
        <v>0.41111111111111115</v>
      </c>
      <c r="Z2910" s="2" t="s">
        <v>3227</v>
      </c>
      <c r="AA2910" s="2" t="s">
        <v>46</v>
      </c>
      <c r="AB2910" s="2" t="s">
        <v>56</v>
      </c>
      <c r="AC2910" s="2" t="s">
        <v>57</v>
      </c>
      <c r="AF2910" s="2">
        <f t="shared" si="397"/>
        <v>0</v>
      </c>
      <c r="AG2910" s="2">
        <v>10.6</v>
      </c>
      <c r="AH2910" s="2">
        <v>18</v>
      </c>
      <c r="AJ2910" s="2">
        <f t="shared" si="398"/>
        <v>0</v>
      </c>
      <c r="AK2910" s="2">
        <f t="shared" si="400"/>
        <v>14.8</v>
      </c>
      <c r="AL2910" s="5">
        <f t="shared" si="401"/>
        <v>0.41111111111111115</v>
      </c>
    </row>
    <row r="2911" spans="1:38" x14ac:dyDescent="0.2">
      <c r="A2911" s="2">
        <v>2026</v>
      </c>
      <c r="B2911" s="2">
        <v>1</v>
      </c>
      <c r="D2911" s="2" t="s">
        <v>581</v>
      </c>
      <c r="E2911" s="2" t="s">
        <v>38</v>
      </c>
      <c r="F2911" s="2" t="s">
        <v>39</v>
      </c>
      <c r="G2911" s="2">
        <v>518281272</v>
      </c>
      <c r="H2911" s="2" t="s">
        <v>41</v>
      </c>
      <c r="I2911" s="2" t="s">
        <v>1101</v>
      </c>
      <c r="J2911" s="2" t="s">
        <v>1102</v>
      </c>
      <c r="L2911" s="2" t="s">
        <v>177</v>
      </c>
      <c r="M2911" s="2" t="s">
        <v>41</v>
      </c>
      <c r="P2911" s="2" t="s">
        <v>43</v>
      </c>
      <c r="Q2911" s="2" t="s">
        <v>250</v>
      </c>
      <c r="R2911" s="2" t="s">
        <v>251</v>
      </c>
      <c r="S2911" s="2">
        <v>1</v>
      </c>
      <c r="T2911" s="2">
        <v>60</v>
      </c>
      <c r="U2911" s="2">
        <v>13.8</v>
      </c>
      <c r="V2911" s="2">
        <v>73.8</v>
      </c>
      <c r="W2911" s="2">
        <f>25.0958*S2911</f>
        <v>25.095800000000001</v>
      </c>
      <c r="X2911" s="5">
        <f t="shared" si="399"/>
        <v>0.58173666666666668</v>
      </c>
      <c r="Z2911" s="2" t="s">
        <v>3227</v>
      </c>
      <c r="AA2911" s="2" t="s">
        <v>46</v>
      </c>
      <c r="AB2911" s="2" t="s">
        <v>90</v>
      </c>
      <c r="AC2911" s="2" t="s">
        <v>57</v>
      </c>
      <c r="AF2911" s="2">
        <f t="shared" si="397"/>
        <v>0</v>
      </c>
      <c r="AJ2911" s="2">
        <f t="shared" si="398"/>
        <v>0</v>
      </c>
      <c r="AK2911" s="2">
        <f t="shared" si="400"/>
        <v>34.904200000000003</v>
      </c>
      <c r="AL2911" s="5">
        <f t="shared" si="401"/>
        <v>0.58173666666666668</v>
      </c>
    </row>
    <row r="2912" spans="1:38" x14ac:dyDescent="0.2">
      <c r="A2912" s="2">
        <v>2026</v>
      </c>
      <c r="B2912" s="2">
        <v>1</v>
      </c>
      <c r="D2912" s="2" t="s">
        <v>689</v>
      </c>
      <c r="E2912" s="2" t="s">
        <v>108</v>
      </c>
      <c r="F2912" s="2" t="s">
        <v>39</v>
      </c>
      <c r="G2912" s="2">
        <v>503589950</v>
      </c>
      <c r="H2912" s="2" t="s">
        <v>41</v>
      </c>
      <c r="I2912" s="2" t="s">
        <v>610</v>
      </c>
      <c r="J2912" s="2" t="s">
        <v>690</v>
      </c>
      <c r="K2912" s="2">
        <v>913036545</v>
      </c>
      <c r="L2912" s="2" t="s">
        <v>177</v>
      </c>
      <c r="M2912" s="2" t="s">
        <v>41</v>
      </c>
      <c r="O2912" s="2" t="s">
        <v>2374</v>
      </c>
      <c r="P2912" s="2" t="s">
        <v>43</v>
      </c>
      <c r="Q2912" s="2" t="s">
        <v>669</v>
      </c>
      <c r="R2912" s="2" t="s">
        <v>670</v>
      </c>
      <c r="S2912" s="2">
        <v>1</v>
      </c>
      <c r="T2912" s="2">
        <v>60</v>
      </c>
      <c r="U2912" s="2">
        <v>13.8</v>
      </c>
      <c r="V2912" s="2">
        <v>73.8</v>
      </c>
      <c r="W2912" s="2">
        <v>29.27</v>
      </c>
      <c r="X2912" s="5">
        <f t="shared" si="399"/>
        <v>0.51216666666666666</v>
      </c>
      <c r="Z2912" s="2" t="s">
        <v>3227</v>
      </c>
      <c r="AA2912" s="2" t="s">
        <v>46</v>
      </c>
      <c r="AB2912" s="2" t="s">
        <v>56</v>
      </c>
      <c r="AC2912" s="2" t="s">
        <v>57</v>
      </c>
      <c r="AF2912" s="2">
        <f t="shared" si="397"/>
        <v>0</v>
      </c>
      <c r="AG2912" s="2">
        <v>29.27</v>
      </c>
      <c r="AH2912" s="2">
        <v>60</v>
      </c>
      <c r="AJ2912" s="2">
        <f t="shared" si="398"/>
        <v>0</v>
      </c>
      <c r="AK2912" s="2">
        <f t="shared" si="400"/>
        <v>30.73</v>
      </c>
      <c r="AL2912" s="5">
        <f t="shared" si="401"/>
        <v>0.51216666666666666</v>
      </c>
    </row>
    <row r="2913" spans="1:38" x14ac:dyDescent="0.2">
      <c r="A2913" s="2">
        <v>2026</v>
      </c>
      <c r="B2913" s="2">
        <v>1</v>
      </c>
      <c r="D2913" s="2" t="s">
        <v>37</v>
      </c>
      <c r="E2913" s="2" t="s">
        <v>38</v>
      </c>
      <c r="F2913" s="2" t="s">
        <v>39</v>
      </c>
      <c r="H2913" s="2" t="s">
        <v>40</v>
      </c>
      <c r="M2913" s="2" t="s">
        <v>41</v>
      </c>
      <c r="O2913" s="2" t="s">
        <v>2375</v>
      </c>
      <c r="P2913" s="2" t="s">
        <v>43</v>
      </c>
      <c r="Q2913" s="2" t="s">
        <v>58</v>
      </c>
      <c r="R2913" s="2" t="s">
        <v>59</v>
      </c>
      <c r="S2913" s="2">
        <v>1000</v>
      </c>
      <c r="T2913" s="2">
        <v>130</v>
      </c>
      <c r="U2913" s="2">
        <v>29.9</v>
      </c>
      <c r="V2913" s="2">
        <v>159.9</v>
      </c>
      <c r="W2913" s="2">
        <f>0.0914*S2913</f>
        <v>91.399999999999991</v>
      </c>
      <c r="X2913" s="5">
        <f t="shared" si="399"/>
        <v>0.29692307692307701</v>
      </c>
      <c r="Z2913" s="2" t="s">
        <v>3227</v>
      </c>
      <c r="AA2913" s="2" t="s">
        <v>46</v>
      </c>
      <c r="AB2913" s="2" t="s">
        <v>60</v>
      </c>
      <c r="AC2913" s="2" t="s">
        <v>57</v>
      </c>
      <c r="AF2913" s="2">
        <f t="shared" si="397"/>
        <v>0</v>
      </c>
      <c r="AG2913" s="2">
        <v>9.14</v>
      </c>
      <c r="AH2913" s="2">
        <v>16</v>
      </c>
      <c r="AJ2913" s="2">
        <f t="shared" si="398"/>
        <v>0</v>
      </c>
      <c r="AK2913" s="2">
        <f t="shared" si="400"/>
        <v>38.600000000000009</v>
      </c>
      <c r="AL2913" s="5">
        <f t="shared" si="401"/>
        <v>0.29692307692307701</v>
      </c>
    </row>
    <row r="2914" spans="1:38" x14ac:dyDescent="0.2">
      <c r="A2914" s="2">
        <v>2026</v>
      </c>
      <c r="B2914" s="2">
        <v>1</v>
      </c>
      <c r="D2914" s="2" t="s">
        <v>581</v>
      </c>
      <c r="E2914" s="2" t="s">
        <v>38</v>
      </c>
      <c r="F2914" s="2" t="s">
        <v>39</v>
      </c>
      <c r="G2914" s="2">
        <v>518281272</v>
      </c>
      <c r="H2914" s="2" t="s">
        <v>41</v>
      </c>
      <c r="I2914" s="2" t="s">
        <v>1101</v>
      </c>
      <c r="J2914" s="2" t="s">
        <v>1102</v>
      </c>
      <c r="L2914" s="2" t="s">
        <v>177</v>
      </c>
      <c r="M2914" s="2" t="s">
        <v>41</v>
      </c>
      <c r="O2914" s="2" t="s">
        <v>2361</v>
      </c>
      <c r="P2914" s="2" t="s">
        <v>43</v>
      </c>
      <c r="Q2914" s="2" t="s">
        <v>58</v>
      </c>
      <c r="R2914" s="2" t="s">
        <v>59</v>
      </c>
      <c r="S2914" s="2">
        <v>100</v>
      </c>
      <c r="T2914" s="2">
        <v>13</v>
      </c>
      <c r="U2914" s="2">
        <v>2.99</v>
      </c>
      <c r="V2914" s="2">
        <v>15.99</v>
      </c>
      <c r="W2914" s="2">
        <f>0.0914*S2914</f>
        <v>9.1399999999999988</v>
      </c>
      <c r="X2914" s="5">
        <f t="shared" si="399"/>
        <v>0.29692307692307701</v>
      </c>
      <c r="Z2914" s="2" t="s">
        <v>3227</v>
      </c>
      <c r="AA2914" s="2" t="s">
        <v>46</v>
      </c>
      <c r="AB2914" s="2" t="s">
        <v>60</v>
      </c>
      <c r="AC2914" s="2" t="s">
        <v>57</v>
      </c>
      <c r="AF2914" s="2">
        <f t="shared" si="397"/>
        <v>0</v>
      </c>
      <c r="AG2914" s="2">
        <v>9.14</v>
      </c>
      <c r="AH2914" s="2">
        <v>16</v>
      </c>
      <c r="AJ2914" s="2">
        <f t="shared" si="398"/>
        <v>0</v>
      </c>
      <c r="AK2914" s="2">
        <f t="shared" si="400"/>
        <v>3.8600000000000012</v>
      </c>
      <c r="AL2914" s="5">
        <f t="shared" si="401"/>
        <v>0.29692307692307701</v>
      </c>
    </row>
    <row r="2915" spans="1:38" x14ac:dyDescent="0.2">
      <c r="A2915" s="2">
        <v>2026</v>
      </c>
      <c r="B2915" s="2">
        <v>1</v>
      </c>
      <c r="D2915" s="2" t="s">
        <v>617</v>
      </c>
      <c r="E2915" s="2" t="s">
        <v>38</v>
      </c>
      <c r="F2915" s="2" t="s">
        <v>39</v>
      </c>
      <c r="G2915" s="2">
        <v>513759654</v>
      </c>
      <c r="H2915" s="2" t="s">
        <v>41</v>
      </c>
      <c r="I2915" s="2" t="s">
        <v>618</v>
      </c>
      <c r="J2915" s="2" t="s">
        <v>619</v>
      </c>
      <c r="L2915" s="2" t="s">
        <v>418</v>
      </c>
      <c r="M2915" s="2" t="s">
        <v>41</v>
      </c>
      <c r="O2915" s="2" t="s">
        <v>2376</v>
      </c>
      <c r="P2915" s="2" t="s">
        <v>43</v>
      </c>
      <c r="Q2915" s="2" t="s">
        <v>58</v>
      </c>
      <c r="R2915" s="2" t="s">
        <v>59</v>
      </c>
      <c r="S2915" s="2">
        <v>100</v>
      </c>
      <c r="T2915" s="2">
        <v>13</v>
      </c>
      <c r="U2915" s="2">
        <v>2.99</v>
      </c>
      <c r="V2915" s="2">
        <v>15.99</v>
      </c>
      <c r="W2915" s="2">
        <f>0.0914*S2915</f>
        <v>9.1399999999999988</v>
      </c>
      <c r="X2915" s="5">
        <f t="shared" ref="X2915:X2946" si="404">(T2915-W2915)/T2915</f>
        <v>0.29692307692307701</v>
      </c>
      <c r="Z2915" s="2" t="s">
        <v>3227</v>
      </c>
      <c r="AA2915" s="2" t="s">
        <v>46</v>
      </c>
      <c r="AB2915" s="2" t="s">
        <v>60</v>
      </c>
      <c r="AC2915" s="2" t="s">
        <v>57</v>
      </c>
      <c r="AF2915" s="2">
        <f t="shared" si="397"/>
        <v>0</v>
      </c>
      <c r="AG2915" s="2">
        <v>9.14</v>
      </c>
      <c r="AH2915" s="2">
        <v>16</v>
      </c>
      <c r="AJ2915" s="2">
        <f t="shared" si="398"/>
        <v>0</v>
      </c>
      <c r="AK2915" s="2">
        <f t="shared" ref="AK2915:AK2946" si="405">T2915-W2915</f>
        <v>3.8600000000000012</v>
      </c>
      <c r="AL2915" s="5">
        <f t="shared" ref="AL2915:AL2946" si="406">(T2915-W2915)/T2915</f>
        <v>0.29692307692307701</v>
      </c>
    </row>
    <row r="2916" spans="1:38" x14ac:dyDescent="0.2">
      <c r="A2916" s="2">
        <v>2026</v>
      </c>
      <c r="B2916" s="2">
        <v>1</v>
      </c>
      <c r="D2916" s="2" t="s">
        <v>37</v>
      </c>
      <c r="E2916" s="2" t="s">
        <v>38</v>
      </c>
      <c r="F2916" s="2" t="s">
        <v>39</v>
      </c>
      <c r="H2916" s="2" t="s">
        <v>40</v>
      </c>
      <c r="P2916" s="2" t="s">
        <v>43</v>
      </c>
      <c r="Q2916" s="2" t="s">
        <v>61</v>
      </c>
      <c r="R2916" s="2" t="s">
        <v>62</v>
      </c>
      <c r="S2916" s="2">
        <v>1200</v>
      </c>
      <c r="T2916" s="2">
        <v>123</v>
      </c>
      <c r="U2916" s="2">
        <v>28.29</v>
      </c>
      <c r="V2916" s="2">
        <v>151.29</v>
      </c>
      <c r="W2916" s="2">
        <f t="shared" ref="W2916:W2924" si="407">0.082*S2916</f>
        <v>98.4</v>
      </c>
      <c r="X2916" s="5">
        <f t="shared" si="404"/>
        <v>0.19999999999999996</v>
      </c>
      <c r="Z2916" s="2" t="s">
        <v>3227</v>
      </c>
      <c r="AA2916" s="2" t="s">
        <v>46</v>
      </c>
      <c r="AB2916" s="2" t="s">
        <v>60</v>
      </c>
      <c r="AC2916" s="2" t="s">
        <v>57</v>
      </c>
      <c r="AF2916" s="2">
        <f t="shared" si="397"/>
        <v>0</v>
      </c>
      <c r="AG2916" s="2">
        <v>8.1999999999999993</v>
      </c>
      <c r="AH2916" s="2">
        <v>13</v>
      </c>
      <c r="AJ2916" s="2">
        <f t="shared" si="398"/>
        <v>0</v>
      </c>
      <c r="AK2916" s="2">
        <f t="shared" si="405"/>
        <v>24.599999999999994</v>
      </c>
      <c r="AL2916" s="5">
        <f t="shared" si="406"/>
        <v>0.19999999999999996</v>
      </c>
    </row>
    <row r="2917" spans="1:38" x14ac:dyDescent="0.2">
      <c r="A2917" s="2">
        <v>2026</v>
      </c>
      <c r="B2917" s="2">
        <v>1</v>
      </c>
      <c r="D2917" s="2" t="s">
        <v>2353</v>
      </c>
      <c r="E2917" s="2" t="s">
        <v>38</v>
      </c>
      <c r="G2917" s="2">
        <v>500888981</v>
      </c>
      <c r="H2917" s="2" t="s">
        <v>40</v>
      </c>
      <c r="I2917" s="2" t="s">
        <v>99</v>
      </c>
      <c r="K2917" s="2">
        <v>918560289</v>
      </c>
      <c r="L2917" s="2" t="s">
        <v>99</v>
      </c>
      <c r="M2917" s="2" t="s">
        <v>80</v>
      </c>
      <c r="O2917" s="2" t="s">
        <v>2354</v>
      </c>
      <c r="P2917" s="2" t="s">
        <v>43</v>
      </c>
      <c r="Q2917" s="2" t="s">
        <v>61</v>
      </c>
      <c r="R2917" s="2" t="s">
        <v>62</v>
      </c>
      <c r="S2917" s="2">
        <v>100</v>
      </c>
      <c r="T2917" s="2">
        <v>13</v>
      </c>
      <c r="U2917" s="2">
        <v>2.99</v>
      </c>
      <c r="V2917" s="2">
        <v>15.99</v>
      </c>
      <c r="W2917" s="2">
        <f t="shared" si="407"/>
        <v>8.2000000000000011</v>
      </c>
      <c r="X2917" s="5">
        <f t="shared" si="404"/>
        <v>0.36923076923076914</v>
      </c>
      <c r="Z2917" s="2" t="s">
        <v>3227</v>
      </c>
      <c r="AA2917" s="2" t="s">
        <v>46</v>
      </c>
      <c r="AB2917" s="2" t="s">
        <v>60</v>
      </c>
      <c r="AC2917" s="2" t="s">
        <v>57</v>
      </c>
      <c r="AF2917" s="2">
        <f t="shared" si="397"/>
        <v>0</v>
      </c>
      <c r="AG2917" s="2">
        <v>8.1999999999999993</v>
      </c>
      <c r="AH2917" s="2">
        <v>13</v>
      </c>
      <c r="AJ2917" s="2">
        <f t="shared" si="398"/>
        <v>0</v>
      </c>
      <c r="AK2917" s="2">
        <f t="shared" si="405"/>
        <v>4.7999999999999989</v>
      </c>
      <c r="AL2917" s="5">
        <f t="shared" si="406"/>
        <v>0.36923076923076914</v>
      </c>
    </row>
    <row r="2918" spans="1:38" x14ac:dyDescent="0.2">
      <c r="A2918" s="2">
        <v>2026</v>
      </c>
      <c r="B2918" s="2">
        <v>1</v>
      </c>
      <c r="D2918" s="2" t="s">
        <v>1140</v>
      </c>
      <c r="E2918" s="2" t="s">
        <v>108</v>
      </c>
      <c r="F2918" s="2" t="s">
        <v>477</v>
      </c>
      <c r="G2918" s="2">
        <v>504576658</v>
      </c>
      <c r="H2918" s="2" t="s">
        <v>41</v>
      </c>
      <c r="I2918" s="2" t="s">
        <v>1141</v>
      </c>
      <c r="J2918" s="2" t="s">
        <v>1142</v>
      </c>
      <c r="L2918" s="2" t="s">
        <v>99</v>
      </c>
      <c r="M2918" s="2" t="s">
        <v>41</v>
      </c>
      <c r="O2918" s="2" t="s">
        <v>2377</v>
      </c>
      <c r="P2918" s="2" t="s">
        <v>43</v>
      </c>
      <c r="Q2918" s="2" t="s">
        <v>61</v>
      </c>
      <c r="R2918" s="2" t="s">
        <v>62</v>
      </c>
      <c r="S2918" s="2">
        <v>1000</v>
      </c>
      <c r="T2918" s="2">
        <v>110</v>
      </c>
      <c r="U2918" s="2">
        <v>25.3</v>
      </c>
      <c r="V2918" s="2">
        <v>135.30000000000001</v>
      </c>
      <c r="W2918" s="2">
        <f t="shared" si="407"/>
        <v>82</v>
      </c>
      <c r="X2918" s="5">
        <f t="shared" si="404"/>
        <v>0.25454545454545452</v>
      </c>
      <c r="Z2918" s="2" t="s">
        <v>3227</v>
      </c>
      <c r="AA2918" s="2" t="s">
        <v>46</v>
      </c>
      <c r="AB2918" s="2" t="s">
        <v>60</v>
      </c>
      <c r="AC2918" s="2" t="s">
        <v>57</v>
      </c>
      <c r="AF2918" s="2">
        <f t="shared" si="397"/>
        <v>0</v>
      </c>
      <c r="AG2918" s="2">
        <v>8.1999999999999993</v>
      </c>
      <c r="AH2918" s="2">
        <v>13</v>
      </c>
      <c r="AJ2918" s="2">
        <f t="shared" si="398"/>
        <v>0</v>
      </c>
      <c r="AK2918" s="2">
        <f t="shared" si="405"/>
        <v>28</v>
      </c>
      <c r="AL2918" s="5">
        <f t="shared" si="406"/>
        <v>0.25454545454545452</v>
      </c>
    </row>
    <row r="2919" spans="1:38" x14ac:dyDescent="0.2">
      <c r="A2919" s="2">
        <v>2026</v>
      </c>
      <c r="B2919" s="2">
        <v>1</v>
      </c>
      <c r="D2919" s="2" t="s">
        <v>781</v>
      </c>
      <c r="E2919" s="2" t="s">
        <v>38</v>
      </c>
      <c r="F2919" s="2" t="s">
        <v>39</v>
      </c>
      <c r="G2919" s="2">
        <v>510219675</v>
      </c>
      <c r="H2919" s="2" t="s">
        <v>40</v>
      </c>
      <c r="I2919" s="2" t="s">
        <v>782</v>
      </c>
      <c r="J2919" s="2" t="s">
        <v>783</v>
      </c>
      <c r="K2919" s="2">
        <v>917341136</v>
      </c>
      <c r="L2919" s="2" t="s">
        <v>99</v>
      </c>
      <c r="M2919" s="2" t="s">
        <v>80</v>
      </c>
      <c r="P2919" s="2" t="s">
        <v>43</v>
      </c>
      <c r="Q2919" s="2" t="s">
        <v>61</v>
      </c>
      <c r="R2919" s="2" t="s">
        <v>62</v>
      </c>
      <c r="S2919" s="2">
        <v>100</v>
      </c>
      <c r="T2919" s="2">
        <v>13</v>
      </c>
      <c r="U2919" s="2">
        <v>2.99</v>
      </c>
      <c r="V2919" s="2">
        <v>15.99</v>
      </c>
      <c r="W2919" s="2">
        <f t="shared" si="407"/>
        <v>8.2000000000000011</v>
      </c>
      <c r="X2919" s="5">
        <f t="shared" si="404"/>
        <v>0.36923076923076914</v>
      </c>
      <c r="Z2919" s="2" t="s">
        <v>3227</v>
      </c>
      <c r="AA2919" s="2" t="s">
        <v>46</v>
      </c>
      <c r="AB2919" s="2" t="s">
        <v>60</v>
      </c>
      <c r="AC2919" s="2" t="s">
        <v>57</v>
      </c>
      <c r="AF2919" s="2">
        <f t="shared" si="397"/>
        <v>0</v>
      </c>
      <c r="AG2919" s="2">
        <v>8.1999999999999993</v>
      </c>
      <c r="AH2919" s="2">
        <v>13</v>
      </c>
      <c r="AJ2919" s="2">
        <f t="shared" si="398"/>
        <v>0</v>
      </c>
      <c r="AK2919" s="2">
        <f t="shared" si="405"/>
        <v>4.7999999999999989</v>
      </c>
      <c r="AL2919" s="5">
        <f t="shared" si="406"/>
        <v>0.36923076923076914</v>
      </c>
    </row>
    <row r="2920" spans="1:38" x14ac:dyDescent="0.2">
      <c r="A2920" s="2">
        <v>2026</v>
      </c>
      <c r="B2920" s="2">
        <v>1</v>
      </c>
      <c r="D2920" s="2" t="s">
        <v>415</v>
      </c>
      <c r="E2920" s="2" t="s">
        <v>38</v>
      </c>
      <c r="F2920" s="2" t="s">
        <v>39</v>
      </c>
      <c r="G2920" s="2">
        <v>219908800</v>
      </c>
      <c r="H2920" s="2" t="s">
        <v>41</v>
      </c>
      <c r="I2920" s="2" t="s">
        <v>416</v>
      </c>
      <c r="J2920" s="2" t="s">
        <v>417</v>
      </c>
      <c r="L2920" s="2" t="s">
        <v>418</v>
      </c>
      <c r="M2920" s="2" t="s">
        <v>41</v>
      </c>
      <c r="P2920" s="2" t="s">
        <v>43</v>
      </c>
      <c r="Q2920" s="2" t="s">
        <v>61</v>
      </c>
      <c r="R2920" s="2" t="s">
        <v>62</v>
      </c>
      <c r="S2920" s="2">
        <v>300</v>
      </c>
      <c r="T2920" s="2">
        <v>39</v>
      </c>
      <c r="U2920" s="2">
        <v>8.9700000000000006</v>
      </c>
      <c r="V2920" s="2">
        <v>47.97</v>
      </c>
      <c r="W2920" s="2">
        <f t="shared" si="407"/>
        <v>24.6</v>
      </c>
      <c r="X2920" s="5">
        <f t="shared" si="404"/>
        <v>0.3692307692307692</v>
      </c>
      <c r="Z2920" s="2" t="s">
        <v>3227</v>
      </c>
      <c r="AA2920" s="2" t="s">
        <v>46</v>
      </c>
      <c r="AB2920" s="2" t="s">
        <v>60</v>
      </c>
      <c r="AC2920" s="2" t="s">
        <v>57</v>
      </c>
      <c r="AF2920" s="2">
        <f t="shared" si="397"/>
        <v>0</v>
      </c>
      <c r="AG2920" s="2">
        <v>8.1999999999999993</v>
      </c>
      <c r="AH2920" s="2">
        <v>13</v>
      </c>
      <c r="AJ2920" s="2">
        <f t="shared" si="398"/>
        <v>0</v>
      </c>
      <c r="AK2920" s="2">
        <f t="shared" si="405"/>
        <v>14.399999999999999</v>
      </c>
      <c r="AL2920" s="5">
        <f t="shared" si="406"/>
        <v>0.3692307692307692</v>
      </c>
    </row>
    <row r="2921" spans="1:38" x14ac:dyDescent="0.2">
      <c r="A2921" s="2">
        <v>2026</v>
      </c>
      <c r="B2921" s="2">
        <v>1</v>
      </c>
      <c r="D2921" s="2" t="s">
        <v>422</v>
      </c>
      <c r="E2921" s="2" t="s">
        <v>98</v>
      </c>
      <c r="F2921" s="2" t="s">
        <v>39</v>
      </c>
      <c r="G2921" s="2">
        <v>503523470</v>
      </c>
      <c r="H2921" s="2" t="s">
        <v>40</v>
      </c>
      <c r="I2921" s="2" t="s">
        <v>423</v>
      </c>
      <c r="J2921" s="2" t="s">
        <v>424</v>
      </c>
      <c r="L2921" s="2" t="s">
        <v>201</v>
      </c>
      <c r="M2921" s="2" t="s">
        <v>80</v>
      </c>
      <c r="P2921" s="2" t="s">
        <v>43</v>
      </c>
      <c r="Q2921" s="2" t="s">
        <v>61</v>
      </c>
      <c r="R2921" s="2" t="s">
        <v>62</v>
      </c>
      <c r="S2921" s="2">
        <v>100</v>
      </c>
      <c r="T2921" s="2">
        <v>13</v>
      </c>
      <c r="U2921" s="2">
        <v>2.99</v>
      </c>
      <c r="V2921" s="2">
        <v>15.99</v>
      </c>
      <c r="W2921" s="2">
        <f t="shared" si="407"/>
        <v>8.2000000000000011</v>
      </c>
      <c r="X2921" s="5">
        <f t="shared" si="404"/>
        <v>0.36923076923076914</v>
      </c>
      <c r="Z2921" s="2" t="s">
        <v>3227</v>
      </c>
      <c r="AA2921" s="2" t="s">
        <v>46</v>
      </c>
      <c r="AB2921" s="2" t="s">
        <v>60</v>
      </c>
      <c r="AC2921" s="2" t="s">
        <v>57</v>
      </c>
      <c r="AF2921" s="2">
        <f t="shared" si="397"/>
        <v>0</v>
      </c>
      <c r="AG2921" s="2">
        <v>8.1999999999999993</v>
      </c>
      <c r="AH2921" s="2">
        <v>13</v>
      </c>
      <c r="AJ2921" s="2">
        <f t="shared" si="398"/>
        <v>0</v>
      </c>
      <c r="AK2921" s="2">
        <f t="shared" si="405"/>
        <v>4.7999999999999989</v>
      </c>
      <c r="AL2921" s="5">
        <f t="shared" si="406"/>
        <v>0.36923076923076914</v>
      </c>
    </row>
    <row r="2922" spans="1:38" x14ac:dyDescent="0.2">
      <c r="A2922" s="2">
        <v>2026</v>
      </c>
      <c r="B2922" s="2">
        <v>1</v>
      </c>
      <c r="D2922" s="2" t="s">
        <v>581</v>
      </c>
      <c r="E2922" s="2" t="s">
        <v>38</v>
      </c>
      <c r="F2922" s="2" t="s">
        <v>39</v>
      </c>
      <c r="G2922" s="2">
        <v>518281272</v>
      </c>
      <c r="H2922" s="2" t="s">
        <v>41</v>
      </c>
      <c r="I2922" s="2" t="s">
        <v>1101</v>
      </c>
      <c r="J2922" s="2" t="s">
        <v>1102</v>
      </c>
      <c r="L2922" s="2" t="s">
        <v>177</v>
      </c>
      <c r="M2922" s="2" t="s">
        <v>41</v>
      </c>
      <c r="P2922" s="2" t="s">
        <v>43</v>
      </c>
      <c r="Q2922" s="2" t="s">
        <v>61</v>
      </c>
      <c r="R2922" s="2" t="s">
        <v>62</v>
      </c>
      <c r="S2922" s="2">
        <v>1000</v>
      </c>
      <c r="T2922" s="2">
        <v>110</v>
      </c>
      <c r="U2922" s="2">
        <v>25.3</v>
      </c>
      <c r="V2922" s="2">
        <v>135.30000000000001</v>
      </c>
      <c r="W2922" s="2">
        <f t="shared" si="407"/>
        <v>82</v>
      </c>
      <c r="X2922" s="5">
        <f t="shared" si="404"/>
        <v>0.25454545454545452</v>
      </c>
      <c r="Z2922" s="2" t="s">
        <v>3227</v>
      </c>
      <c r="AA2922" s="2" t="s">
        <v>46</v>
      </c>
      <c r="AB2922" s="2" t="s">
        <v>60</v>
      </c>
      <c r="AC2922" s="2" t="s">
        <v>57</v>
      </c>
      <c r="AF2922" s="2">
        <f t="shared" si="397"/>
        <v>0</v>
      </c>
      <c r="AG2922" s="2">
        <v>8.1999999999999993</v>
      </c>
      <c r="AH2922" s="2">
        <v>13</v>
      </c>
      <c r="AJ2922" s="2">
        <f t="shared" si="398"/>
        <v>0</v>
      </c>
      <c r="AK2922" s="2">
        <f t="shared" si="405"/>
        <v>28</v>
      </c>
      <c r="AL2922" s="5">
        <f t="shared" si="406"/>
        <v>0.25454545454545452</v>
      </c>
    </row>
    <row r="2923" spans="1:38" x14ac:dyDescent="0.2">
      <c r="A2923" s="2">
        <v>2026</v>
      </c>
      <c r="B2923" s="2">
        <v>1</v>
      </c>
      <c r="D2923" s="2" t="s">
        <v>606</v>
      </c>
      <c r="E2923" s="2" t="s">
        <v>108</v>
      </c>
      <c r="F2923" s="2" t="s">
        <v>39</v>
      </c>
      <c r="G2923" s="2">
        <v>504822187</v>
      </c>
      <c r="H2923" s="2" t="s">
        <v>109</v>
      </c>
      <c r="I2923" s="2" t="s">
        <v>607</v>
      </c>
      <c r="J2923" s="2" t="s">
        <v>608</v>
      </c>
      <c r="K2923" s="2">
        <v>966216853</v>
      </c>
      <c r="L2923" s="2" t="s">
        <v>461</v>
      </c>
      <c r="P2923" s="2" t="s">
        <v>43</v>
      </c>
      <c r="Q2923" s="2" t="s">
        <v>61</v>
      </c>
      <c r="R2923" s="2" t="s">
        <v>62</v>
      </c>
      <c r="S2923" s="2">
        <v>500</v>
      </c>
      <c r="T2923" s="2">
        <v>60</v>
      </c>
      <c r="U2923" s="2">
        <v>13.8</v>
      </c>
      <c r="V2923" s="2">
        <v>73.8</v>
      </c>
      <c r="W2923" s="2">
        <f t="shared" si="407"/>
        <v>41</v>
      </c>
      <c r="X2923" s="5">
        <f t="shared" si="404"/>
        <v>0.31666666666666665</v>
      </c>
      <c r="Z2923" s="2" t="s">
        <v>3227</v>
      </c>
      <c r="AA2923" s="2" t="s">
        <v>46</v>
      </c>
      <c r="AB2923" s="2" t="s">
        <v>60</v>
      </c>
      <c r="AC2923" s="2" t="s">
        <v>57</v>
      </c>
      <c r="AF2923" s="2">
        <f t="shared" si="397"/>
        <v>0</v>
      </c>
      <c r="AG2923" s="2">
        <v>8.1999999999999993</v>
      </c>
      <c r="AH2923" s="2">
        <v>13</v>
      </c>
      <c r="AJ2923" s="2">
        <f t="shared" si="398"/>
        <v>0</v>
      </c>
      <c r="AK2923" s="2">
        <f t="shared" si="405"/>
        <v>19</v>
      </c>
      <c r="AL2923" s="5">
        <f t="shared" si="406"/>
        <v>0.31666666666666665</v>
      </c>
    </row>
    <row r="2924" spans="1:38" x14ac:dyDescent="0.2">
      <c r="A2924" s="2">
        <v>2026</v>
      </c>
      <c r="B2924" s="2">
        <v>1</v>
      </c>
      <c r="D2924" s="2" t="s">
        <v>2364</v>
      </c>
      <c r="E2924" s="2" t="s">
        <v>108</v>
      </c>
      <c r="F2924" s="2" t="s">
        <v>39</v>
      </c>
      <c r="G2924" s="2">
        <v>503554952</v>
      </c>
      <c r="H2924" s="2" t="s">
        <v>41</v>
      </c>
      <c r="I2924" s="2" t="s">
        <v>2365</v>
      </c>
      <c r="J2924" s="2" t="s">
        <v>2366</v>
      </c>
      <c r="K2924" s="2">
        <v>963062174</v>
      </c>
      <c r="L2924" s="2" t="s">
        <v>418</v>
      </c>
      <c r="M2924" s="2" t="s">
        <v>41</v>
      </c>
      <c r="O2924" s="2" t="s">
        <v>2367</v>
      </c>
      <c r="P2924" s="2" t="s">
        <v>43</v>
      </c>
      <c r="Q2924" s="2" t="s">
        <v>61</v>
      </c>
      <c r="R2924" s="2" t="s">
        <v>62</v>
      </c>
      <c r="S2924" s="2">
        <v>1000</v>
      </c>
      <c r="T2924" s="2">
        <v>110</v>
      </c>
      <c r="U2924" s="2">
        <v>25.3</v>
      </c>
      <c r="V2924" s="2">
        <v>135.30000000000001</v>
      </c>
      <c r="W2924" s="2">
        <f t="shared" si="407"/>
        <v>82</v>
      </c>
      <c r="X2924" s="5">
        <f t="shared" si="404"/>
        <v>0.25454545454545452</v>
      </c>
      <c r="Z2924" s="2" t="s">
        <v>3227</v>
      </c>
      <c r="AA2924" s="2" t="s">
        <v>46</v>
      </c>
      <c r="AB2924" s="2" t="s">
        <v>60</v>
      </c>
      <c r="AC2924" s="2" t="s">
        <v>57</v>
      </c>
      <c r="AF2924" s="2">
        <f t="shared" si="397"/>
        <v>0</v>
      </c>
      <c r="AG2924" s="2">
        <v>8.1999999999999993</v>
      </c>
      <c r="AH2924" s="2">
        <v>13</v>
      </c>
      <c r="AJ2924" s="2">
        <f t="shared" si="398"/>
        <v>0</v>
      </c>
      <c r="AK2924" s="2">
        <f t="shared" si="405"/>
        <v>28</v>
      </c>
      <c r="AL2924" s="5">
        <f t="shared" si="406"/>
        <v>0.25454545454545452</v>
      </c>
    </row>
    <row r="2925" spans="1:38" x14ac:dyDescent="0.2">
      <c r="A2925" s="2">
        <v>2026</v>
      </c>
      <c r="B2925" s="2">
        <v>1</v>
      </c>
      <c r="D2925" s="2" t="s">
        <v>585</v>
      </c>
      <c r="P2925" s="2" t="s">
        <v>43</v>
      </c>
      <c r="Q2925" s="2" t="s">
        <v>162</v>
      </c>
      <c r="R2925" s="2" t="s">
        <v>163</v>
      </c>
      <c r="S2925" s="2">
        <v>1</v>
      </c>
      <c r="T2925" s="2">
        <v>21</v>
      </c>
      <c r="U2925" s="2">
        <v>4.83</v>
      </c>
      <c r="V2925" s="2">
        <v>25.83</v>
      </c>
      <c r="W2925" s="2">
        <f>8*S2925</f>
        <v>8</v>
      </c>
      <c r="X2925" s="5">
        <f t="shared" si="404"/>
        <v>0.61904761904761907</v>
      </c>
      <c r="Z2925" s="2" t="s">
        <v>3227</v>
      </c>
      <c r="AA2925" s="2" t="s">
        <v>46</v>
      </c>
      <c r="AB2925" s="2" t="s">
        <v>47</v>
      </c>
      <c r="AC2925" s="2" t="s">
        <v>57</v>
      </c>
      <c r="AF2925" s="2">
        <f t="shared" si="397"/>
        <v>0</v>
      </c>
      <c r="AJ2925" s="2">
        <f t="shared" si="398"/>
        <v>0</v>
      </c>
      <c r="AK2925" s="2">
        <f t="shared" si="405"/>
        <v>13</v>
      </c>
      <c r="AL2925" s="5">
        <f t="shared" si="406"/>
        <v>0.61904761904761907</v>
      </c>
    </row>
    <row r="2926" spans="1:38" x14ac:dyDescent="0.2">
      <c r="A2926" s="2">
        <v>2026</v>
      </c>
      <c r="B2926" s="2">
        <v>1</v>
      </c>
      <c r="D2926" s="2" t="s">
        <v>574</v>
      </c>
      <c r="E2926" s="2" t="s">
        <v>38</v>
      </c>
      <c r="F2926" s="2" t="s">
        <v>39</v>
      </c>
      <c r="G2926" s="2">
        <v>504811029</v>
      </c>
      <c r="H2926" s="2" t="s">
        <v>41</v>
      </c>
      <c r="I2926" s="2" t="s">
        <v>177</v>
      </c>
      <c r="J2926" s="2" t="s">
        <v>575</v>
      </c>
      <c r="L2926" s="2" t="s">
        <v>177</v>
      </c>
      <c r="M2926" s="2" t="s">
        <v>41</v>
      </c>
      <c r="P2926" s="2" t="s">
        <v>43</v>
      </c>
      <c r="Q2926" s="2" t="s">
        <v>420</v>
      </c>
      <c r="R2926" s="2" t="s">
        <v>421</v>
      </c>
      <c r="S2926" s="2">
        <v>29</v>
      </c>
      <c r="T2926" s="2">
        <v>203.4</v>
      </c>
      <c r="U2926" s="2">
        <v>46.781999999999996</v>
      </c>
      <c r="V2926" s="2">
        <v>250.18199999999999</v>
      </c>
      <c r="W2926" s="2">
        <f>3.7556*S2926</f>
        <v>108.91239999999999</v>
      </c>
      <c r="X2926" s="5">
        <f t="shared" si="404"/>
        <v>0.46454080629301875</v>
      </c>
      <c r="Z2926" s="2" t="s">
        <v>3227</v>
      </c>
      <c r="AA2926" s="2" t="s">
        <v>46</v>
      </c>
      <c r="AB2926" s="2" t="s">
        <v>60</v>
      </c>
      <c r="AC2926" s="2" t="s">
        <v>57</v>
      </c>
      <c r="AF2926" s="2">
        <f t="shared" si="397"/>
        <v>0</v>
      </c>
      <c r="AG2926" s="2">
        <v>3.7555999999999998</v>
      </c>
      <c r="AH2926" s="2">
        <v>7.2</v>
      </c>
      <c r="AJ2926" s="2">
        <f t="shared" si="398"/>
        <v>0</v>
      </c>
      <c r="AK2926" s="2">
        <f t="shared" si="405"/>
        <v>94.487600000000015</v>
      </c>
      <c r="AL2926" s="5">
        <f t="shared" si="406"/>
        <v>0.46454080629301875</v>
      </c>
    </row>
    <row r="2927" spans="1:38" x14ac:dyDescent="0.2">
      <c r="A2927" s="2">
        <v>2026</v>
      </c>
      <c r="B2927" s="2">
        <v>1</v>
      </c>
      <c r="D2927" s="2" t="s">
        <v>693</v>
      </c>
      <c r="E2927" s="2" t="s">
        <v>38</v>
      </c>
      <c r="F2927" s="2" t="s">
        <v>39</v>
      </c>
      <c r="G2927" s="2">
        <v>508574358</v>
      </c>
      <c r="H2927" s="2" t="s">
        <v>41</v>
      </c>
      <c r="I2927" s="2" t="s">
        <v>327</v>
      </c>
      <c r="J2927" s="2" t="s">
        <v>695</v>
      </c>
      <c r="K2927" s="2">
        <v>917295518</v>
      </c>
      <c r="L2927" s="2" t="s">
        <v>177</v>
      </c>
      <c r="M2927" s="2" t="s">
        <v>41</v>
      </c>
      <c r="P2927" s="2" t="s">
        <v>43</v>
      </c>
      <c r="Q2927" s="2" t="s">
        <v>579</v>
      </c>
      <c r="R2927" s="2" t="s">
        <v>580</v>
      </c>
      <c r="S2927" s="2">
        <v>8</v>
      </c>
      <c r="T2927" s="2">
        <v>19.2</v>
      </c>
      <c r="U2927" s="2">
        <v>4.4160000000000004</v>
      </c>
      <c r="V2927" s="2">
        <v>23.616</v>
      </c>
      <c r="W2927" s="2">
        <f>1.4114*S2927</f>
        <v>11.2912</v>
      </c>
      <c r="X2927" s="5">
        <f t="shared" si="404"/>
        <v>0.41191666666666665</v>
      </c>
      <c r="Z2927" s="2" t="s">
        <v>3227</v>
      </c>
      <c r="AA2927" s="2" t="s">
        <v>46</v>
      </c>
      <c r="AB2927" s="2" t="s">
        <v>60</v>
      </c>
      <c r="AC2927" s="2" t="s">
        <v>57</v>
      </c>
      <c r="AF2927" s="2">
        <f t="shared" si="397"/>
        <v>0</v>
      </c>
      <c r="AG2927" s="2">
        <v>1.4114</v>
      </c>
      <c r="AH2927" s="2">
        <v>3</v>
      </c>
      <c r="AJ2927" s="2">
        <f t="shared" si="398"/>
        <v>0</v>
      </c>
      <c r="AK2927" s="2">
        <f t="shared" si="405"/>
        <v>7.9087999999999994</v>
      </c>
      <c r="AL2927" s="5">
        <f t="shared" si="406"/>
        <v>0.41191666666666665</v>
      </c>
    </row>
    <row r="2928" spans="1:38" x14ac:dyDescent="0.2">
      <c r="A2928" s="2">
        <v>2026</v>
      </c>
      <c r="B2928" s="2">
        <v>1</v>
      </c>
      <c r="D2928" s="2" t="s">
        <v>2231</v>
      </c>
      <c r="P2928" s="2" t="s">
        <v>43</v>
      </c>
      <c r="Q2928" s="2" t="s">
        <v>2378</v>
      </c>
      <c r="R2928" s="2" t="s">
        <v>2379</v>
      </c>
      <c r="S2928" s="2">
        <v>1</v>
      </c>
      <c r="T2928" s="2">
        <v>60</v>
      </c>
      <c r="U2928" s="2">
        <v>13.8</v>
      </c>
      <c r="V2928" s="2">
        <v>73.8</v>
      </c>
      <c r="W2928" s="2">
        <v>100</v>
      </c>
      <c r="X2928" s="18">
        <f t="shared" si="404"/>
        <v>-0.66666666666666663</v>
      </c>
      <c r="Z2928" s="2" t="s">
        <v>3227</v>
      </c>
      <c r="AA2928" s="2" t="s">
        <v>46</v>
      </c>
      <c r="AB2928" s="2" t="s">
        <v>90</v>
      </c>
      <c r="AC2928" s="2" t="s">
        <v>57</v>
      </c>
      <c r="AF2928" s="2">
        <f t="shared" si="397"/>
        <v>0</v>
      </c>
      <c r="AJ2928" s="2">
        <f t="shared" si="398"/>
        <v>0</v>
      </c>
      <c r="AK2928" s="2">
        <f t="shared" si="405"/>
        <v>-40</v>
      </c>
      <c r="AL2928" s="18">
        <f t="shared" si="406"/>
        <v>-0.66666666666666663</v>
      </c>
    </row>
    <row r="2929" spans="1:38" x14ac:dyDescent="0.2">
      <c r="A2929" s="2">
        <v>2026</v>
      </c>
      <c r="B2929" s="2">
        <v>1</v>
      </c>
      <c r="D2929" s="2" t="s">
        <v>1590</v>
      </c>
      <c r="P2929" s="2" t="s">
        <v>43</v>
      </c>
      <c r="Q2929" s="2" t="s">
        <v>2378</v>
      </c>
      <c r="R2929" s="2" t="s">
        <v>2379</v>
      </c>
      <c r="S2929" s="2">
        <v>3</v>
      </c>
      <c r="T2929" s="2">
        <v>150</v>
      </c>
      <c r="U2929" s="2">
        <v>34.5</v>
      </c>
      <c r="V2929" s="2">
        <v>184.5</v>
      </c>
      <c r="W2929" s="2">
        <f>100*S2929</f>
        <v>300</v>
      </c>
      <c r="X2929" s="18">
        <f t="shared" si="404"/>
        <v>-1</v>
      </c>
      <c r="Z2929" s="2" t="s">
        <v>3227</v>
      </c>
      <c r="AA2929" s="2" t="s">
        <v>46</v>
      </c>
      <c r="AB2929" s="2" t="s">
        <v>90</v>
      </c>
      <c r="AC2929" s="2" t="s">
        <v>57</v>
      </c>
      <c r="AF2929" s="2">
        <f t="shared" si="397"/>
        <v>0</v>
      </c>
      <c r="AJ2929" s="2">
        <f t="shared" si="398"/>
        <v>0</v>
      </c>
      <c r="AK2929" s="2">
        <f t="shared" si="405"/>
        <v>-150</v>
      </c>
      <c r="AL2929" s="18">
        <f t="shared" si="406"/>
        <v>-1</v>
      </c>
    </row>
    <row r="2930" spans="1:38" x14ac:dyDescent="0.2">
      <c r="A2930" s="2">
        <v>2026</v>
      </c>
      <c r="B2930" s="2">
        <v>1</v>
      </c>
      <c r="D2930" s="2" t="s">
        <v>319</v>
      </c>
      <c r="E2930" s="2" t="s">
        <v>38</v>
      </c>
      <c r="F2930" s="2" t="s">
        <v>39</v>
      </c>
      <c r="G2930" s="2">
        <v>500883262</v>
      </c>
      <c r="H2930" s="2" t="s">
        <v>40</v>
      </c>
      <c r="I2930" s="2" t="s">
        <v>99</v>
      </c>
      <c r="J2930" s="2" t="s">
        <v>320</v>
      </c>
      <c r="L2930" s="2" t="s">
        <v>99</v>
      </c>
      <c r="M2930" s="2" t="s">
        <v>80</v>
      </c>
      <c r="O2930" s="2" t="s">
        <v>2380</v>
      </c>
      <c r="P2930" s="2" t="s">
        <v>43</v>
      </c>
      <c r="Q2930" s="2" t="s">
        <v>969</v>
      </c>
      <c r="R2930" s="2" t="s">
        <v>970</v>
      </c>
      <c r="S2930" s="2">
        <v>24</v>
      </c>
      <c r="T2930" s="2">
        <v>648</v>
      </c>
      <c r="U2930" s="2">
        <v>149.04</v>
      </c>
      <c r="V2930" s="2">
        <v>797.04</v>
      </c>
      <c r="W2930" s="2">
        <f>18.3719*S2930</f>
        <v>440.92560000000003</v>
      </c>
      <c r="X2930" s="5">
        <f t="shared" si="404"/>
        <v>0.31955925925925921</v>
      </c>
      <c r="Z2930" s="2" t="s">
        <v>3227</v>
      </c>
      <c r="AA2930" s="2" t="s">
        <v>46</v>
      </c>
      <c r="AB2930" s="2" t="s">
        <v>60</v>
      </c>
      <c r="AC2930" s="2" t="s">
        <v>57</v>
      </c>
      <c r="AF2930" s="2">
        <f t="shared" si="397"/>
        <v>0</v>
      </c>
      <c r="AJ2930" s="2">
        <f t="shared" si="398"/>
        <v>0</v>
      </c>
      <c r="AK2930" s="2">
        <f t="shared" si="405"/>
        <v>207.07439999999997</v>
      </c>
      <c r="AL2930" s="5">
        <f t="shared" si="406"/>
        <v>0.31955925925925921</v>
      </c>
    </row>
    <row r="2931" spans="1:38" x14ac:dyDescent="0.2">
      <c r="A2931" s="2">
        <v>2026</v>
      </c>
      <c r="B2931" s="2">
        <v>1</v>
      </c>
      <c r="D2931" s="2" t="s">
        <v>319</v>
      </c>
      <c r="E2931" s="2" t="s">
        <v>38</v>
      </c>
      <c r="F2931" s="2" t="s">
        <v>39</v>
      </c>
      <c r="G2931" s="2">
        <v>500883262</v>
      </c>
      <c r="H2931" s="2" t="s">
        <v>40</v>
      </c>
      <c r="I2931" s="2" t="s">
        <v>99</v>
      </c>
      <c r="J2931" s="2" t="s">
        <v>320</v>
      </c>
      <c r="L2931" s="2" t="s">
        <v>99</v>
      </c>
      <c r="M2931" s="2" t="s">
        <v>80</v>
      </c>
      <c r="O2931" s="2" t="s">
        <v>2380</v>
      </c>
      <c r="P2931" s="2" t="s">
        <v>43</v>
      </c>
      <c r="Q2931" s="2" t="s">
        <v>971</v>
      </c>
      <c r="R2931" s="2" t="s">
        <v>972</v>
      </c>
      <c r="S2931" s="2">
        <v>8</v>
      </c>
      <c r="T2931" s="2">
        <v>216</v>
      </c>
      <c r="U2931" s="2">
        <v>49.68</v>
      </c>
      <c r="V2931" s="2">
        <v>265.68</v>
      </c>
      <c r="W2931" s="2">
        <f>18.9342*S2931</f>
        <v>151.4736</v>
      </c>
      <c r="X2931" s="5">
        <f t="shared" si="404"/>
        <v>0.2987333333333333</v>
      </c>
      <c r="Z2931" s="2" t="s">
        <v>3227</v>
      </c>
      <c r="AA2931" s="2" t="s">
        <v>46</v>
      </c>
      <c r="AB2931" s="2" t="s">
        <v>60</v>
      </c>
      <c r="AC2931" s="2" t="s">
        <v>57</v>
      </c>
      <c r="AF2931" s="2">
        <f t="shared" si="397"/>
        <v>0</v>
      </c>
      <c r="AJ2931" s="2">
        <f t="shared" si="398"/>
        <v>0</v>
      </c>
      <c r="AK2931" s="2">
        <f t="shared" si="405"/>
        <v>64.526399999999995</v>
      </c>
      <c r="AL2931" s="5">
        <f t="shared" si="406"/>
        <v>0.2987333333333333</v>
      </c>
    </row>
    <row r="2932" spans="1:38" x14ac:dyDescent="0.2">
      <c r="A2932" s="2">
        <v>2026</v>
      </c>
      <c r="B2932" s="2">
        <v>1</v>
      </c>
      <c r="D2932" s="2" t="s">
        <v>765</v>
      </c>
      <c r="E2932" s="2" t="s">
        <v>38</v>
      </c>
      <c r="G2932" s="2">
        <v>513686231</v>
      </c>
      <c r="H2932" s="2" t="s">
        <v>290</v>
      </c>
      <c r="I2932" s="2" t="s">
        <v>766</v>
      </c>
      <c r="J2932" s="2" t="s">
        <v>767</v>
      </c>
      <c r="L2932" s="2" t="s">
        <v>480</v>
      </c>
      <c r="M2932" s="2" t="s">
        <v>80</v>
      </c>
      <c r="O2932" s="2" t="s">
        <v>2368</v>
      </c>
      <c r="P2932" s="2" t="s">
        <v>43</v>
      </c>
      <c r="Q2932" s="2" t="s">
        <v>164</v>
      </c>
      <c r="R2932" s="2" t="s">
        <v>165</v>
      </c>
      <c r="S2932" s="2">
        <v>11</v>
      </c>
      <c r="T2932" s="2">
        <v>160.05000000000001</v>
      </c>
      <c r="U2932" s="2">
        <v>36.811500000000002</v>
      </c>
      <c r="V2932" s="2">
        <v>196.86150000000001</v>
      </c>
      <c r="W2932" s="2">
        <f>7.9612*S2932</f>
        <v>87.5732</v>
      </c>
      <c r="X2932" s="5">
        <f t="shared" si="404"/>
        <v>0.45283848797250864</v>
      </c>
      <c r="Z2932" s="2" t="s">
        <v>3227</v>
      </c>
      <c r="AA2932" s="2" t="s">
        <v>46</v>
      </c>
      <c r="AB2932" s="2" t="s">
        <v>67</v>
      </c>
      <c r="AC2932" s="2" t="s">
        <v>57</v>
      </c>
      <c r="AF2932" s="2">
        <f t="shared" si="397"/>
        <v>0</v>
      </c>
      <c r="AG2932" s="2">
        <v>7.9611999999999998</v>
      </c>
      <c r="AH2932" s="2">
        <v>14.4</v>
      </c>
      <c r="AJ2932" s="2">
        <f t="shared" si="398"/>
        <v>0</v>
      </c>
      <c r="AK2932" s="2">
        <f t="shared" si="405"/>
        <v>72.476800000000011</v>
      </c>
      <c r="AL2932" s="5">
        <f t="shared" si="406"/>
        <v>0.45283848797250864</v>
      </c>
    </row>
    <row r="2933" spans="1:38" x14ac:dyDescent="0.2">
      <c r="A2933" s="2">
        <v>2026</v>
      </c>
      <c r="B2933" s="2">
        <v>1</v>
      </c>
      <c r="D2933" s="2" t="s">
        <v>2372</v>
      </c>
      <c r="P2933" s="2" t="s">
        <v>43</v>
      </c>
      <c r="Q2933" s="2" t="s">
        <v>164</v>
      </c>
      <c r="R2933" s="2" t="s">
        <v>165</v>
      </c>
      <c r="S2933" s="2">
        <v>1</v>
      </c>
      <c r="T2933" s="2">
        <v>14.5</v>
      </c>
      <c r="U2933" s="2">
        <v>3.335</v>
      </c>
      <c r="V2933" s="2">
        <v>17.835000000000001</v>
      </c>
      <c r="W2933" s="2">
        <f>7.9612*S2933</f>
        <v>7.9611999999999998</v>
      </c>
      <c r="X2933" s="5">
        <f t="shared" si="404"/>
        <v>0.45095172413793105</v>
      </c>
      <c r="Z2933" s="2" t="s">
        <v>3227</v>
      </c>
      <c r="AA2933" s="2" t="s">
        <v>46</v>
      </c>
      <c r="AB2933" s="2" t="s">
        <v>67</v>
      </c>
      <c r="AC2933" s="2" t="s">
        <v>57</v>
      </c>
      <c r="AF2933" s="2">
        <f t="shared" si="397"/>
        <v>0</v>
      </c>
      <c r="AG2933" s="2">
        <v>7.9611999999999998</v>
      </c>
      <c r="AH2933" s="2">
        <v>14.4</v>
      </c>
      <c r="AJ2933" s="2">
        <f t="shared" si="398"/>
        <v>0</v>
      </c>
      <c r="AK2933" s="2">
        <f t="shared" si="405"/>
        <v>6.5388000000000002</v>
      </c>
      <c r="AL2933" s="5">
        <f t="shared" si="406"/>
        <v>0.45095172413793105</v>
      </c>
    </row>
    <row r="2934" spans="1:38" x14ac:dyDescent="0.2">
      <c r="A2934" s="2">
        <v>2026</v>
      </c>
      <c r="B2934" s="2">
        <v>1</v>
      </c>
      <c r="D2934" s="2" t="s">
        <v>2214</v>
      </c>
      <c r="M2934" s="2" t="s">
        <v>41</v>
      </c>
      <c r="P2934" s="2" t="s">
        <v>43</v>
      </c>
      <c r="Q2934" s="2" t="s">
        <v>65</v>
      </c>
      <c r="R2934" s="2" t="s">
        <v>66</v>
      </c>
      <c r="S2934" s="2">
        <v>2</v>
      </c>
      <c r="T2934" s="2">
        <v>47</v>
      </c>
      <c r="U2934" s="2">
        <v>10.81</v>
      </c>
      <c r="V2934" s="2">
        <v>57.81</v>
      </c>
      <c r="W2934" s="2">
        <f>15.0203*S2934</f>
        <v>30.040600000000001</v>
      </c>
      <c r="X2934" s="5">
        <f t="shared" si="404"/>
        <v>0.3608382978723404</v>
      </c>
      <c r="Z2934" s="2" t="s">
        <v>3227</v>
      </c>
      <c r="AA2934" s="2" t="s">
        <v>46</v>
      </c>
      <c r="AB2934" s="2" t="s">
        <v>67</v>
      </c>
      <c r="AC2934" s="2" t="s">
        <v>57</v>
      </c>
      <c r="AF2934" s="2">
        <f t="shared" si="397"/>
        <v>0</v>
      </c>
      <c r="AG2934" s="2">
        <v>15.020300000000001</v>
      </c>
      <c r="AH2934" s="2">
        <v>27.6</v>
      </c>
      <c r="AJ2934" s="2">
        <f t="shared" si="398"/>
        <v>0</v>
      </c>
      <c r="AK2934" s="2">
        <f t="shared" si="405"/>
        <v>16.959399999999999</v>
      </c>
      <c r="AL2934" s="5">
        <f t="shared" si="406"/>
        <v>0.3608382978723404</v>
      </c>
    </row>
    <row r="2935" spans="1:38" x14ac:dyDescent="0.2">
      <c r="A2935" s="2">
        <v>2026</v>
      </c>
      <c r="B2935" s="2">
        <v>1</v>
      </c>
      <c r="D2935" s="2" t="s">
        <v>415</v>
      </c>
      <c r="E2935" s="2" t="s">
        <v>38</v>
      </c>
      <c r="F2935" s="2" t="s">
        <v>39</v>
      </c>
      <c r="G2935" s="2">
        <v>219908800</v>
      </c>
      <c r="H2935" s="2" t="s">
        <v>41</v>
      </c>
      <c r="I2935" s="2" t="s">
        <v>416</v>
      </c>
      <c r="J2935" s="2" t="s">
        <v>417</v>
      </c>
      <c r="L2935" s="2" t="s">
        <v>418</v>
      </c>
      <c r="M2935" s="2" t="s">
        <v>41</v>
      </c>
      <c r="P2935" s="2" t="s">
        <v>43</v>
      </c>
      <c r="Q2935" s="2" t="s">
        <v>65</v>
      </c>
      <c r="R2935" s="2" t="s">
        <v>66</v>
      </c>
      <c r="S2935" s="2">
        <v>2</v>
      </c>
      <c r="T2935" s="2">
        <v>47</v>
      </c>
      <c r="U2935" s="2">
        <v>10.81</v>
      </c>
      <c r="V2935" s="2">
        <v>57.81</v>
      </c>
      <c r="W2935" s="2">
        <f>15.0203*S2935</f>
        <v>30.040600000000001</v>
      </c>
      <c r="X2935" s="5">
        <f t="shared" si="404"/>
        <v>0.3608382978723404</v>
      </c>
      <c r="Z2935" s="2" t="s">
        <v>3227</v>
      </c>
      <c r="AA2935" s="2" t="s">
        <v>46</v>
      </c>
      <c r="AB2935" s="2" t="s">
        <v>67</v>
      </c>
      <c r="AC2935" s="2" t="s">
        <v>57</v>
      </c>
      <c r="AF2935" s="2">
        <f t="shared" si="397"/>
        <v>0</v>
      </c>
      <c r="AG2935" s="2">
        <v>15.020300000000001</v>
      </c>
      <c r="AH2935" s="2">
        <v>27.6</v>
      </c>
      <c r="AJ2935" s="2">
        <f t="shared" si="398"/>
        <v>0</v>
      </c>
      <c r="AK2935" s="2">
        <f t="shared" si="405"/>
        <v>16.959399999999999</v>
      </c>
      <c r="AL2935" s="5">
        <f t="shared" si="406"/>
        <v>0.3608382978723404</v>
      </c>
    </row>
    <row r="2936" spans="1:38" x14ac:dyDescent="0.2">
      <c r="A2936" s="2">
        <v>2026</v>
      </c>
      <c r="B2936" s="2">
        <v>1</v>
      </c>
      <c r="D2936" s="2" t="s">
        <v>582</v>
      </c>
      <c r="E2936" s="2" t="s">
        <v>108</v>
      </c>
      <c r="G2936" s="2">
        <v>503850276</v>
      </c>
      <c r="H2936" s="2" t="s">
        <v>40</v>
      </c>
      <c r="I2936" s="2" t="s">
        <v>583</v>
      </c>
      <c r="J2936" s="2" t="s">
        <v>584</v>
      </c>
      <c r="L2936" s="2" t="s">
        <v>201</v>
      </c>
      <c r="M2936" s="2" t="s">
        <v>80</v>
      </c>
      <c r="P2936" s="2" t="s">
        <v>43</v>
      </c>
      <c r="Q2936" s="2" t="s">
        <v>65</v>
      </c>
      <c r="R2936" s="2" t="s">
        <v>66</v>
      </c>
      <c r="S2936" s="2">
        <v>10</v>
      </c>
      <c r="T2936" s="2">
        <v>220</v>
      </c>
      <c r="U2936" s="2">
        <v>50.6</v>
      </c>
      <c r="V2936" s="2">
        <v>270.60000000000002</v>
      </c>
      <c r="W2936" s="2">
        <f>15.0203*S2936</f>
        <v>150.203</v>
      </c>
      <c r="X2936" s="5">
        <f t="shared" si="404"/>
        <v>0.31725909090909088</v>
      </c>
      <c r="Z2936" s="2" t="s">
        <v>3227</v>
      </c>
      <c r="AA2936" s="2" t="s">
        <v>46</v>
      </c>
      <c r="AB2936" s="2" t="s">
        <v>67</v>
      </c>
      <c r="AC2936" s="2" t="s">
        <v>57</v>
      </c>
      <c r="AF2936" s="2">
        <f t="shared" si="397"/>
        <v>0</v>
      </c>
      <c r="AG2936" s="2">
        <v>15.020300000000001</v>
      </c>
      <c r="AH2936" s="2">
        <v>27.6</v>
      </c>
      <c r="AJ2936" s="2">
        <f t="shared" si="398"/>
        <v>0</v>
      </c>
      <c r="AK2936" s="2">
        <f t="shared" si="405"/>
        <v>69.796999999999997</v>
      </c>
      <c r="AL2936" s="5">
        <f t="shared" si="406"/>
        <v>0.31725909090909088</v>
      </c>
    </row>
    <row r="2937" spans="1:38" x14ac:dyDescent="0.2">
      <c r="A2937" s="2">
        <v>2026</v>
      </c>
      <c r="B2937" s="2">
        <v>1</v>
      </c>
      <c r="D2937" s="2" t="s">
        <v>2381</v>
      </c>
      <c r="P2937" s="2" t="s">
        <v>43</v>
      </c>
      <c r="Q2937" s="2" t="s">
        <v>260</v>
      </c>
      <c r="R2937" s="2" t="s">
        <v>261</v>
      </c>
      <c r="S2937" s="2">
        <v>4</v>
      </c>
      <c r="T2937" s="2">
        <v>54</v>
      </c>
      <c r="U2937" s="2">
        <v>12.42</v>
      </c>
      <c r="V2937" s="2">
        <v>66.42</v>
      </c>
      <c r="W2937" s="2">
        <f>8.3145*S2937</f>
        <v>33.258000000000003</v>
      </c>
      <c r="X2937" s="5">
        <f t="shared" si="404"/>
        <v>0.38411111111111107</v>
      </c>
      <c r="Z2937" s="2" t="s">
        <v>3227</v>
      </c>
      <c r="AA2937" s="2" t="s">
        <v>46</v>
      </c>
      <c r="AB2937" s="2" t="s">
        <v>67</v>
      </c>
      <c r="AC2937" s="2" t="s">
        <v>57</v>
      </c>
      <c r="AF2937" s="2">
        <f t="shared" si="397"/>
        <v>0</v>
      </c>
      <c r="AG2937" s="2">
        <v>8.3145000000000007</v>
      </c>
      <c r="AH2937" s="2">
        <v>15</v>
      </c>
      <c r="AJ2937" s="2">
        <f t="shared" si="398"/>
        <v>0</v>
      </c>
      <c r="AK2937" s="2">
        <f t="shared" si="405"/>
        <v>20.741999999999997</v>
      </c>
      <c r="AL2937" s="5">
        <f t="shared" si="406"/>
        <v>0.38411111111111107</v>
      </c>
    </row>
    <row r="2938" spans="1:38" x14ac:dyDescent="0.2">
      <c r="A2938" s="2">
        <v>2026</v>
      </c>
      <c r="B2938" s="2">
        <v>1</v>
      </c>
      <c r="D2938" s="2" t="s">
        <v>37</v>
      </c>
      <c r="E2938" s="2" t="s">
        <v>38</v>
      </c>
      <c r="F2938" s="2" t="s">
        <v>39</v>
      </c>
      <c r="H2938" s="2" t="s">
        <v>40</v>
      </c>
      <c r="L2938" s="2" t="s">
        <v>3270</v>
      </c>
      <c r="M2938" s="2" t="s">
        <v>109</v>
      </c>
      <c r="P2938" s="2" t="s">
        <v>3230</v>
      </c>
      <c r="Q2938" s="2" t="s">
        <v>2382</v>
      </c>
      <c r="R2938" s="2" t="s">
        <v>2383</v>
      </c>
      <c r="S2938" s="2">
        <v>1</v>
      </c>
      <c r="T2938" s="2">
        <v>2032.52</v>
      </c>
      <c r="U2938" s="2">
        <v>467.4796</v>
      </c>
      <c r="V2938" s="2">
        <v>2499.9996000000001</v>
      </c>
      <c r="W2938" s="2">
        <v>784.6395</v>
      </c>
      <c r="X2938" s="5">
        <f t="shared" si="404"/>
        <v>0.61395730423316863</v>
      </c>
      <c r="Z2938" s="2" t="s">
        <v>104</v>
      </c>
      <c r="AA2938" s="2" t="s">
        <v>150</v>
      </c>
      <c r="AB2938" s="2" t="s">
        <v>151</v>
      </c>
      <c r="AC2938" s="2" t="s">
        <v>3230</v>
      </c>
      <c r="AF2938" s="2">
        <f t="shared" si="397"/>
        <v>0</v>
      </c>
      <c r="AJ2938" s="2">
        <f t="shared" si="398"/>
        <v>0</v>
      </c>
      <c r="AK2938" s="2">
        <f t="shared" si="405"/>
        <v>1247.8805</v>
      </c>
      <c r="AL2938" s="5">
        <f t="shared" si="406"/>
        <v>0.61395730423316863</v>
      </c>
    </row>
    <row r="2939" spans="1:38" x14ac:dyDescent="0.2">
      <c r="A2939" s="2">
        <v>2026</v>
      </c>
      <c r="B2939" s="2">
        <v>1</v>
      </c>
      <c r="D2939" s="2" t="s">
        <v>1178</v>
      </c>
      <c r="E2939" s="2" t="s">
        <v>38</v>
      </c>
      <c r="G2939" s="2">
        <v>502089075</v>
      </c>
      <c r="H2939" s="2" t="s">
        <v>41</v>
      </c>
      <c r="I2939" s="2" t="s">
        <v>1179</v>
      </c>
      <c r="J2939" s="2" t="s">
        <v>1180</v>
      </c>
      <c r="L2939" s="2" t="s">
        <v>461</v>
      </c>
      <c r="M2939" s="2" t="s">
        <v>41</v>
      </c>
      <c r="O2939" s="2" t="s">
        <v>2384</v>
      </c>
      <c r="P2939" s="2" t="s">
        <v>166</v>
      </c>
      <c r="Q2939" s="2" t="s">
        <v>2385</v>
      </c>
      <c r="R2939" s="2" t="s">
        <v>2386</v>
      </c>
      <c r="S2939" s="2">
        <v>100</v>
      </c>
      <c r="T2939" s="2">
        <v>5</v>
      </c>
      <c r="U2939" s="2">
        <v>1.1499999999999999</v>
      </c>
      <c r="V2939" s="2">
        <v>6.15</v>
      </c>
      <c r="X2939" s="5">
        <f t="shared" si="404"/>
        <v>1</v>
      </c>
      <c r="Z2939" s="2" t="s">
        <v>3227</v>
      </c>
      <c r="AA2939" s="2" t="s">
        <v>87</v>
      </c>
      <c r="AB2939" s="2" t="s">
        <v>119</v>
      </c>
      <c r="AC2939" s="2" t="s">
        <v>166</v>
      </c>
      <c r="AF2939" s="2">
        <f t="shared" si="397"/>
        <v>0</v>
      </c>
      <c r="AJ2939" s="2">
        <f t="shared" si="398"/>
        <v>0</v>
      </c>
      <c r="AK2939" s="2">
        <f t="shared" si="405"/>
        <v>5</v>
      </c>
      <c r="AL2939" s="5">
        <f t="shared" si="406"/>
        <v>1</v>
      </c>
    </row>
    <row r="2940" spans="1:38" x14ac:dyDescent="0.2">
      <c r="A2940" s="2">
        <v>2026</v>
      </c>
      <c r="B2940" s="2">
        <v>1</v>
      </c>
      <c r="D2940" s="2" t="s">
        <v>2387</v>
      </c>
      <c r="P2940" s="2" t="s">
        <v>68</v>
      </c>
      <c r="Q2940" s="2" t="s">
        <v>2388</v>
      </c>
      <c r="R2940" s="2" t="s">
        <v>2389</v>
      </c>
      <c r="S2940" s="2">
        <v>1</v>
      </c>
      <c r="T2940" s="2">
        <v>2300</v>
      </c>
      <c r="U2940" s="2">
        <v>529</v>
      </c>
      <c r="V2940" s="2">
        <v>2829</v>
      </c>
      <c r="X2940" s="5">
        <f t="shared" si="404"/>
        <v>1</v>
      </c>
      <c r="Z2940" s="2" t="s">
        <v>104</v>
      </c>
      <c r="AA2940" s="2" t="s">
        <v>305</v>
      </c>
      <c r="AB2940" s="2" t="s">
        <v>106</v>
      </c>
      <c r="AC2940" s="2" t="s">
        <v>3231</v>
      </c>
      <c r="AF2940" s="2">
        <f t="shared" si="397"/>
        <v>0</v>
      </c>
      <c r="AJ2940" s="2">
        <f t="shared" si="398"/>
        <v>0</v>
      </c>
      <c r="AK2940" s="2">
        <f t="shared" si="405"/>
        <v>2300</v>
      </c>
      <c r="AL2940" s="5">
        <f t="shared" si="406"/>
        <v>1</v>
      </c>
    </row>
    <row r="2941" spans="1:38" x14ac:dyDescent="0.2">
      <c r="A2941" s="2">
        <v>2026</v>
      </c>
      <c r="B2941" s="2">
        <v>1</v>
      </c>
      <c r="D2941" s="2" t="s">
        <v>1516</v>
      </c>
      <c r="M2941" s="2" t="s">
        <v>109</v>
      </c>
      <c r="P2941" s="2" t="s">
        <v>68</v>
      </c>
      <c r="Q2941" s="2" t="s">
        <v>1517</v>
      </c>
      <c r="R2941" s="2" t="s">
        <v>1518</v>
      </c>
      <c r="S2941" s="2">
        <v>1</v>
      </c>
      <c r="T2941" s="2">
        <v>3100</v>
      </c>
      <c r="U2941" s="2">
        <v>713</v>
      </c>
      <c r="V2941" s="2">
        <v>3813</v>
      </c>
      <c r="W2941" s="2">
        <v>2410.69</v>
      </c>
      <c r="X2941" s="5">
        <f t="shared" si="404"/>
        <v>0.22235806451612902</v>
      </c>
      <c r="Z2941" s="2" t="s">
        <v>104</v>
      </c>
      <c r="AA2941" s="2" t="s">
        <v>264</v>
      </c>
      <c r="AB2941" s="2" t="s">
        <v>1095</v>
      </c>
      <c r="AC2941" s="2" t="s">
        <v>3231</v>
      </c>
      <c r="AF2941" s="2">
        <f t="shared" si="397"/>
        <v>0</v>
      </c>
      <c r="AJ2941" s="2">
        <f t="shared" si="398"/>
        <v>0</v>
      </c>
      <c r="AK2941" s="2">
        <f t="shared" si="405"/>
        <v>689.31</v>
      </c>
      <c r="AL2941" s="5">
        <f t="shared" si="406"/>
        <v>0.22235806451612902</v>
      </c>
    </row>
    <row r="2942" spans="1:38" x14ac:dyDescent="0.2">
      <c r="A2942" s="2">
        <v>2026</v>
      </c>
      <c r="B2942" s="2">
        <v>1</v>
      </c>
      <c r="D2942" s="2" t="s">
        <v>37</v>
      </c>
      <c r="E2942" s="2" t="s">
        <v>38</v>
      </c>
      <c r="F2942" s="2" t="s">
        <v>39</v>
      </c>
      <c r="H2942" s="2" t="s">
        <v>40</v>
      </c>
      <c r="M2942" s="2" t="s">
        <v>80</v>
      </c>
      <c r="O2942" s="2" t="s">
        <v>2390</v>
      </c>
      <c r="P2942" s="2" t="s">
        <v>72</v>
      </c>
      <c r="Q2942" s="2" t="s">
        <v>73</v>
      </c>
      <c r="R2942" s="2" t="s">
        <v>74</v>
      </c>
      <c r="S2942" s="2">
        <v>1</v>
      </c>
      <c r="T2942" s="2">
        <v>242.42</v>
      </c>
      <c r="U2942" s="2">
        <v>55.756599999999999</v>
      </c>
      <c r="V2942" s="2">
        <v>298.17660000000001</v>
      </c>
      <c r="W2942" s="2">
        <v>125.51600000000001</v>
      </c>
      <c r="X2942" s="5">
        <f t="shared" si="404"/>
        <v>0.48223743915518519</v>
      </c>
      <c r="Z2942" s="2" t="s">
        <v>3227</v>
      </c>
      <c r="AA2942" s="2" t="s">
        <v>75</v>
      </c>
      <c r="AB2942" s="2" t="s">
        <v>76</v>
      </c>
      <c r="AC2942" s="2" t="s">
        <v>77</v>
      </c>
      <c r="AF2942" s="2">
        <f t="shared" si="397"/>
        <v>0</v>
      </c>
      <c r="AG2942" s="2">
        <v>125.51600000000001</v>
      </c>
      <c r="AH2942" s="2">
        <v>220</v>
      </c>
      <c r="AJ2942" s="2">
        <f t="shared" si="398"/>
        <v>0</v>
      </c>
      <c r="AK2942" s="2">
        <f t="shared" si="405"/>
        <v>116.90399999999998</v>
      </c>
      <c r="AL2942" s="5">
        <f t="shared" si="406"/>
        <v>0.48223743915518519</v>
      </c>
    </row>
    <row r="2943" spans="1:38" x14ac:dyDescent="0.2">
      <c r="A2943" s="2">
        <v>2026</v>
      </c>
      <c r="B2943" s="2">
        <v>1</v>
      </c>
      <c r="D2943" s="2" t="s">
        <v>2391</v>
      </c>
      <c r="P2943" s="2" t="s">
        <v>72</v>
      </c>
      <c r="Q2943" s="2" t="s">
        <v>73</v>
      </c>
      <c r="R2943" s="2" t="s">
        <v>74</v>
      </c>
      <c r="S2943" s="2">
        <v>1</v>
      </c>
      <c r="T2943" s="2">
        <v>220</v>
      </c>
      <c r="U2943" s="2">
        <v>50.6</v>
      </c>
      <c r="V2943" s="2">
        <v>270.60000000000002</v>
      </c>
      <c r="W2943" s="2">
        <v>125.51600000000001</v>
      </c>
      <c r="X2943" s="5">
        <f t="shared" si="404"/>
        <v>0.42947272727272723</v>
      </c>
      <c r="Z2943" s="2" t="s">
        <v>3227</v>
      </c>
      <c r="AA2943" s="2" t="s">
        <v>75</v>
      </c>
      <c r="AB2943" s="2" t="s">
        <v>76</v>
      </c>
      <c r="AC2943" s="2" t="s">
        <v>77</v>
      </c>
      <c r="AF2943" s="2">
        <f t="shared" si="397"/>
        <v>0</v>
      </c>
      <c r="AG2943" s="2">
        <v>125.51600000000001</v>
      </c>
      <c r="AH2943" s="2">
        <v>220</v>
      </c>
      <c r="AJ2943" s="2">
        <f t="shared" si="398"/>
        <v>0</v>
      </c>
      <c r="AK2943" s="2">
        <f t="shared" si="405"/>
        <v>94.483999999999995</v>
      </c>
      <c r="AL2943" s="5">
        <f t="shared" si="406"/>
        <v>0.42947272727272723</v>
      </c>
    </row>
    <row r="2944" spans="1:38" x14ac:dyDescent="0.2">
      <c r="A2944" s="2">
        <v>2026</v>
      </c>
      <c r="B2944" s="2">
        <v>1</v>
      </c>
      <c r="D2944" s="2" t="s">
        <v>198</v>
      </c>
      <c r="E2944" s="2" t="s">
        <v>108</v>
      </c>
      <c r="G2944" s="2">
        <v>507541120</v>
      </c>
      <c r="H2944" s="2" t="s">
        <v>40</v>
      </c>
      <c r="I2944" s="2" t="s">
        <v>199</v>
      </c>
      <c r="J2944" s="2" t="s">
        <v>200</v>
      </c>
      <c r="L2944" s="2" t="s">
        <v>201</v>
      </c>
      <c r="M2944" s="2" t="s">
        <v>41</v>
      </c>
      <c r="P2944" s="2" t="s">
        <v>72</v>
      </c>
      <c r="Q2944" s="2" t="s">
        <v>73</v>
      </c>
      <c r="R2944" s="2" t="s">
        <v>74</v>
      </c>
      <c r="S2944" s="2">
        <v>2</v>
      </c>
      <c r="T2944" s="2">
        <v>440</v>
      </c>
      <c r="U2944" s="2">
        <v>101.2</v>
      </c>
      <c r="V2944" s="2">
        <v>541.20000000000005</v>
      </c>
      <c r="W2944" s="2">
        <v>251.03200000000001</v>
      </c>
      <c r="X2944" s="5">
        <f t="shared" si="404"/>
        <v>0.42947272727272723</v>
      </c>
      <c r="Z2944" s="2" t="s">
        <v>3227</v>
      </c>
      <c r="AA2944" s="2" t="s">
        <v>75</v>
      </c>
      <c r="AB2944" s="2" t="s">
        <v>76</v>
      </c>
      <c r="AC2944" s="2" t="s">
        <v>77</v>
      </c>
      <c r="AF2944" s="2">
        <f t="shared" si="397"/>
        <v>0</v>
      </c>
      <c r="AG2944" s="2">
        <v>125.51600000000001</v>
      </c>
      <c r="AH2944" s="2">
        <v>220</v>
      </c>
      <c r="AJ2944" s="2">
        <f t="shared" si="398"/>
        <v>0</v>
      </c>
      <c r="AK2944" s="2">
        <f t="shared" si="405"/>
        <v>188.96799999999999</v>
      </c>
      <c r="AL2944" s="5">
        <f t="shared" si="406"/>
        <v>0.42947272727272723</v>
      </c>
    </row>
    <row r="2945" spans="1:38" x14ac:dyDescent="0.2">
      <c r="A2945" s="2">
        <v>2026</v>
      </c>
      <c r="B2945" s="2">
        <v>1</v>
      </c>
      <c r="C2945" s="2" t="s">
        <v>3327</v>
      </c>
      <c r="D2945" s="2" t="s">
        <v>1009</v>
      </c>
      <c r="E2945" s="2" t="s">
        <v>108</v>
      </c>
      <c r="F2945" s="2" t="s">
        <v>39</v>
      </c>
      <c r="G2945" s="2">
        <v>507063481</v>
      </c>
      <c r="H2945" s="2" t="s">
        <v>290</v>
      </c>
      <c r="I2945" s="2" t="s">
        <v>1010</v>
      </c>
      <c r="J2945" s="2" t="s">
        <v>1011</v>
      </c>
      <c r="L2945" s="2" t="s">
        <v>293</v>
      </c>
      <c r="M2945" s="2" t="s">
        <v>80</v>
      </c>
      <c r="P2945" s="2" t="s">
        <v>72</v>
      </c>
      <c r="Q2945" s="2" t="s">
        <v>73</v>
      </c>
      <c r="R2945" s="2" t="s">
        <v>74</v>
      </c>
      <c r="S2945" s="2">
        <v>1</v>
      </c>
      <c r="T2945" s="2">
        <v>209</v>
      </c>
      <c r="U2945" s="2">
        <v>48.07</v>
      </c>
      <c r="V2945" s="2">
        <v>257.07</v>
      </c>
      <c r="W2945" s="2">
        <v>125.51600000000001</v>
      </c>
      <c r="X2945" s="5">
        <f t="shared" si="404"/>
        <v>0.39944497607655499</v>
      </c>
      <c r="Z2945" s="2" t="s">
        <v>3227</v>
      </c>
      <c r="AA2945" s="2" t="s">
        <v>75</v>
      </c>
      <c r="AB2945" s="2" t="s">
        <v>76</v>
      </c>
      <c r="AC2945" s="2" t="s">
        <v>77</v>
      </c>
      <c r="AF2945" s="2">
        <f t="shared" si="397"/>
        <v>0</v>
      </c>
      <c r="AG2945" s="2">
        <v>125.51600000000001</v>
      </c>
      <c r="AH2945" s="2">
        <v>220</v>
      </c>
      <c r="AJ2945" s="2">
        <f t="shared" si="398"/>
        <v>0</v>
      </c>
      <c r="AK2945" s="2">
        <f t="shared" si="405"/>
        <v>83.483999999999995</v>
      </c>
      <c r="AL2945" s="5">
        <f t="shared" si="406"/>
        <v>0.39944497607655499</v>
      </c>
    </row>
    <row r="2946" spans="1:38" x14ac:dyDescent="0.2">
      <c r="A2946" s="2">
        <v>2026</v>
      </c>
      <c r="B2946" s="2">
        <v>1</v>
      </c>
      <c r="C2946" s="2" t="s">
        <v>3327</v>
      </c>
      <c r="D2946" s="2" t="s">
        <v>1017</v>
      </c>
      <c r="E2946" s="2" t="s">
        <v>108</v>
      </c>
      <c r="F2946" s="2" t="s">
        <v>477</v>
      </c>
      <c r="G2946" s="2">
        <v>505647338</v>
      </c>
      <c r="H2946" s="2" t="s">
        <v>290</v>
      </c>
      <c r="I2946" s="2" t="s">
        <v>1018</v>
      </c>
      <c r="J2946" s="2" t="s">
        <v>1019</v>
      </c>
      <c r="L2946" s="2" t="s">
        <v>293</v>
      </c>
      <c r="M2946" s="2" t="s">
        <v>80</v>
      </c>
      <c r="O2946" s="2" t="s">
        <v>2392</v>
      </c>
      <c r="P2946" s="2" t="s">
        <v>72</v>
      </c>
      <c r="Q2946" s="2" t="s">
        <v>73</v>
      </c>
      <c r="R2946" s="2" t="s">
        <v>74</v>
      </c>
      <c r="S2946" s="2">
        <v>1</v>
      </c>
      <c r="T2946" s="2">
        <v>220</v>
      </c>
      <c r="U2946" s="2">
        <v>50.6</v>
      </c>
      <c r="V2946" s="2">
        <v>270.60000000000002</v>
      </c>
      <c r="W2946" s="2">
        <v>125.51600000000001</v>
      </c>
      <c r="X2946" s="5">
        <f t="shared" si="404"/>
        <v>0.42947272727272723</v>
      </c>
      <c r="Z2946" s="2" t="s">
        <v>3227</v>
      </c>
      <c r="AA2946" s="2" t="s">
        <v>75</v>
      </c>
      <c r="AB2946" s="2" t="s">
        <v>76</v>
      </c>
      <c r="AC2946" s="2" t="s">
        <v>77</v>
      </c>
      <c r="AF2946" s="2">
        <f t="shared" ref="AF2946:AF3009" si="408">AJ2946</f>
        <v>0</v>
      </c>
      <c r="AG2946" s="2">
        <v>125.51600000000001</v>
      </c>
      <c r="AH2946" s="2">
        <v>220</v>
      </c>
      <c r="AJ2946" s="2">
        <f t="shared" ref="AJ2946:AJ3009" si="409">AI2946*T2946</f>
        <v>0</v>
      </c>
      <c r="AK2946" s="2">
        <f t="shared" si="405"/>
        <v>94.483999999999995</v>
      </c>
      <c r="AL2946" s="5">
        <f t="shared" si="406"/>
        <v>0.42947272727272723</v>
      </c>
    </row>
    <row r="2947" spans="1:38" x14ac:dyDescent="0.2">
      <c r="A2947" s="2">
        <v>2026</v>
      </c>
      <c r="B2947" s="2">
        <v>1</v>
      </c>
      <c r="D2947" s="2" t="s">
        <v>816</v>
      </c>
      <c r="E2947" s="2" t="s">
        <v>38</v>
      </c>
      <c r="F2947" s="2" t="s">
        <v>39</v>
      </c>
      <c r="L2947" s="2" t="s">
        <v>480</v>
      </c>
      <c r="P2947" s="2" t="s">
        <v>72</v>
      </c>
      <c r="Q2947" s="2" t="s">
        <v>73</v>
      </c>
      <c r="R2947" s="2" t="s">
        <v>74</v>
      </c>
      <c r="S2947" s="2">
        <v>1</v>
      </c>
      <c r="T2947" s="2">
        <v>220</v>
      </c>
      <c r="U2947" s="2">
        <v>50.6</v>
      </c>
      <c r="V2947" s="2">
        <v>270.60000000000002</v>
      </c>
      <c r="W2947" s="2">
        <v>125.51600000000001</v>
      </c>
      <c r="X2947" s="5">
        <f t="shared" ref="X2947:X2978" si="410">(T2947-W2947)/T2947</f>
        <v>0.42947272727272723</v>
      </c>
      <c r="Z2947" s="2" t="s">
        <v>3227</v>
      </c>
      <c r="AA2947" s="2" t="s">
        <v>75</v>
      </c>
      <c r="AB2947" s="2" t="s">
        <v>76</v>
      </c>
      <c r="AC2947" s="2" t="s">
        <v>77</v>
      </c>
      <c r="AF2947" s="2">
        <f t="shared" si="408"/>
        <v>0</v>
      </c>
      <c r="AG2947" s="2">
        <v>125.51600000000001</v>
      </c>
      <c r="AH2947" s="2">
        <v>220</v>
      </c>
      <c r="AJ2947" s="2">
        <f t="shared" si="409"/>
        <v>0</v>
      </c>
      <c r="AK2947" s="2">
        <f t="shared" ref="AK2947:AK2978" si="411">T2947-W2947</f>
        <v>94.483999999999995</v>
      </c>
      <c r="AL2947" s="5">
        <f t="shared" ref="AL2947:AL2978" si="412">(T2947-W2947)/T2947</f>
        <v>0.42947272727272723</v>
      </c>
    </row>
    <row r="2948" spans="1:38" x14ac:dyDescent="0.2">
      <c r="A2948" s="2">
        <v>2026</v>
      </c>
      <c r="B2948" s="2">
        <v>1</v>
      </c>
      <c r="D2948" s="2" t="s">
        <v>1593</v>
      </c>
      <c r="E2948" s="2" t="s">
        <v>108</v>
      </c>
      <c r="F2948" s="2" t="s">
        <v>395</v>
      </c>
      <c r="G2948" s="2">
        <v>500314594</v>
      </c>
      <c r="H2948" s="2" t="s">
        <v>40</v>
      </c>
      <c r="I2948" s="2" t="s">
        <v>1594</v>
      </c>
      <c r="J2948" s="2" t="s">
        <v>1595</v>
      </c>
      <c r="L2948" s="2" t="s">
        <v>201</v>
      </c>
      <c r="M2948" s="2" t="s">
        <v>80</v>
      </c>
      <c r="O2948" s="2" t="s">
        <v>2393</v>
      </c>
      <c r="P2948" s="2" t="s">
        <v>72</v>
      </c>
      <c r="Q2948" s="2" t="s">
        <v>73</v>
      </c>
      <c r="R2948" s="2" t="s">
        <v>74</v>
      </c>
      <c r="S2948" s="2">
        <v>1</v>
      </c>
      <c r="T2948" s="2">
        <v>220</v>
      </c>
      <c r="U2948" s="2">
        <v>50.6</v>
      </c>
      <c r="V2948" s="2">
        <v>270.60000000000002</v>
      </c>
      <c r="W2948" s="2">
        <v>125.51600000000001</v>
      </c>
      <c r="X2948" s="5">
        <f t="shared" si="410"/>
        <v>0.42947272727272723</v>
      </c>
      <c r="Z2948" s="2" t="s">
        <v>3227</v>
      </c>
      <c r="AA2948" s="2" t="s">
        <v>75</v>
      </c>
      <c r="AB2948" s="2" t="s">
        <v>76</v>
      </c>
      <c r="AC2948" s="2" t="s">
        <v>77</v>
      </c>
      <c r="AF2948" s="2">
        <f t="shared" si="408"/>
        <v>0</v>
      </c>
      <c r="AG2948" s="2">
        <v>125.51600000000001</v>
      </c>
      <c r="AH2948" s="2">
        <v>220</v>
      </c>
      <c r="AJ2948" s="2">
        <f t="shared" si="409"/>
        <v>0</v>
      </c>
      <c r="AK2948" s="2">
        <f t="shared" si="411"/>
        <v>94.483999999999995</v>
      </c>
      <c r="AL2948" s="5">
        <f t="shared" si="412"/>
        <v>0.42947272727272723</v>
      </c>
    </row>
    <row r="2949" spans="1:38" x14ac:dyDescent="0.2">
      <c r="A2949" s="2">
        <v>2026</v>
      </c>
      <c r="B2949" s="2">
        <v>1</v>
      </c>
      <c r="D2949" s="2" t="s">
        <v>1419</v>
      </c>
      <c r="E2949" s="2" t="s">
        <v>108</v>
      </c>
      <c r="F2949" s="2" t="s">
        <v>39</v>
      </c>
      <c r="G2949" s="2">
        <v>513795855</v>
      </c>
      <c r="H2949" s="2" t="s">
        <v>41</v>
      </c>
      <c r="I2949" s="2" t="s">
        <v>1272</v>
      </c>
      <c r="J2949" s="2" t="s">
        <v>2394</v>
      </c>
      <c r="L2949" s="2" t="s">
        <v>177</v>
      </c>
      <c r="M2949" s="2" t="s">
        <v>41</v>
      </c>
      <c r="P2949" s="2" t="s">
        <v>72</v>
      </c>
      <c r="Q2949" s="2" t="s">
        <v>73</v>
      </c>
      <c r="R2949" s="2" t="s">
        <v>74</v>
      </c>
      <c r="S2949" s="2">
        <v>1</v>
      </c>
      <c r="T2949" s="2">
        <v>220</v>
      </c>
      <c r="U2949" s="2">
        <v>50.6</v>
      </c>
      <c r="V2949" s="2">
        <v>270.60000000000002</v>
      </c>
      <c r="W2949" s="2">
        <v>125.51600000000001</v>
      </c>
      <c r="X2949" s="5">
        <f t="shared" si="410"/>
        <v>0.42947272727272723</v>
      </c>
      <c r="Z2949" s="2" t="s">
        <v>3227</v>
      </c>
      <c r="AA2949" s="2" t="s">
        <v>75</v>
      </c>
      <c r="AB2949" s="2" t="s">
        <v>76</v>
      </c>
      <c r="AC2949" s="2" t="s">
        <v>77</v>
      </c>
      <c r="AF2949" s="2">
        <f t="shared" si="408"/>
        <v>0</v>
      </c>
      <c r="AG2949" s="2">
        <v>125.51600000000001</v>
      </c>
      <c r="AH2949" s="2">
        <v>220</v>
      </c>
      <c r="AJ2949" s="2">
        <f t="shared" si="409"/>
        <v>0</v>
      </c>
      <c r="AK2949" s="2">
        <f t="shared" si="411"/>
        <v>94.483999999999995</v>
      </c>
      <c r="AL2949" s="5">
        <f t="shared" si="412"/>
        <v>0.42947272727272723</v>
      </c>
    </row>
    <row r="2950" spans="1:38" x14ac:dyDescent="0.2">
      <c r="A2950" s="2">
        <v>2026</v>
      </c>
      <c r="B2950" s="2">
        <v>1</v>
      </c>
      <c r="D2950" s="2" t="s">
        <v>549</v>
      </c>
      <c r="E2950" s="2" t="s">
        <v>108</v>
      </c>
      <c r="F2950" s="2" t="s">
        <v>395</v>
      </c>
      <c r="G2950" s="2">
        <v>503641790</v>
      </c>
      <c r="H2950" s="2" t="s">
        <v>40</v>
      </c>
      <c r="I2950" s="2" t="s">
        <v>550</v>
      </c>
      <c r="J2950" s="2" t="s">
        <v>551</v>
      </c>
      <c r="K2950" s="2">
        <v>917753665</v>
      </c>
      <c r="L2950" s="2" t="s">
        <v>99</v>
      </c>
      <c r="M2950" s="2" t="s">
        <v>80</v>
      </c>
      <c r="O2950" s="2" t="s">
        <v>2395</v>
      </c>
      <c r="P2950" s="2" t="s">
        <v>72</v>
      </c>
      <c r="Q2950" s="2" t="s">
        <v>73</v>
      </c>
      <c r="R2950" s="2" t="s">
        <v>74</v>
      </c>
      <c r="S2950" s="2">
        <v>1</v>
      </c>
      <c r="T2950" s="2">
        <v>220</v>
      </c>
      <c r="U2950" s="2">
        <v>50.6</v>
      </c>
      <c r="V2950" s="2">
        <v>270.60000000000002</v>
      </c>
      <c r="W2950" s="2">
        <v>125.51600000000001</v>
      </c>
      <c r="X2950" s="5">
        <f t="shared" si="410"/>
        <v>0.42947272727272723</v>
      </c>
      <c r="Z2950" s="2" t="s">
        <v>3227</v>
      </c>
      <c r="AA2950" s="2" t="s">
        <v>75</v>
      </c>
      <c r="AB2950" s="2" t="s">
        <v>76</v>
      </c>
      <c r="AC2950" s="2" t="s">
        <v>77</v>
      </c>
      <c r="AF2950" s="2">
        <f t="shared" si="408"/>
        <v>0</v>
      </c>
      <c r="AG2950" s="2">
        <v>125.51600000000001</v>
      </c>
      <c r="AH2950" s="2">
        <v>220</v>
      </c>
      <c r="AJ2950" s="2">
        <f t="shared" si="409"/>
        <v>0</v>
      </c>
      <c r="AK2950" s="2">
        <f t="shared" si="411"/>
        <v>94.483999999999995</v>
      </c>
      <c r="AL2950" s="5">
        <f t="shared" si="412"/>
        <v>0.42947272727272723</v>
      </c>
    </row>
    <row r="2951" spans="1:38" x14ac:dyDescent="0.2">
      <c r="A2951" s="2">
        <v>2026</v>
      </c>
      <c r="B2951" s="2">
        <v>1</v>
      </c>
      <c r="D2951" s="2" t="s">
        <v>2396</v>
      </c>
      <c r="P2951" s="2" t="s">
        <v>72</v>
      </c>
      <c r="Q2951" s="2" t="s">
        <v>73</v>
      </c>
      <c r="R2951" s="2" t="s">
        <v>74</v>
      </c>
      <c r="S2951" s="2">
        <v>1</v>
      </c>
      <c r="T2951" s="2">
        <v>220</v>
      </c>
      <c r="U2951" s="2">
        <v>50.6</v>
      </c>
      <c r="V2951" s="2">
        <v>270.60000000000002</v>
      </c>
      <c r="W2951" s="2">
        <v>125.51600000000001</v>
      </c>
      <c r="X2951" s="5">
        <f t="shared" si="410"/>
        <v>0.42947272727272723</v>
      </c>
      <c r="Z2951" s="2" t="s">
        <v>3227</v>
      </c>
      <c r="AA2951" s="2" t="s">
        <v>75</v>
      </c>
      <c r="AB2951" s="2" t="s">
        <v>76</v>
      </c>
      <c r="AC2951" s="2" t="s">
        <v>77</v>
      </c>
      <c r="AF2951" s="2">
        <f t="shared" si="408"/>
        <v>0</v>
      </c>
      <c r="AG2951" s="2">
        <v>125.51600000000001</v>
      </c>
      <c r="AH2951" s="2">
        <v>220</v>
      </c>
      <c r="AJ2951" s="2">
        <f t="shared" si="409"/>
        <v>0</v>
      </c>
      <c r="AK2951" s="2">
        <f t="shared" si="411"/>
        <v>94.483999999999995</v>
      </c>
      <c r="AL2951" s="5">
        <f t="shared" si="412"/>
        <v>0.42947272727272723</v>
      </c>
    </row>
    <row r="2952" spans="1:38" x14ac:dyDescent="0.2">
      <c r="A2952" s="2">
        <v>2026</v>
      </c>
      <c r="B2952" s="2">
        <v>1</v>
      </c>
      <c r="D2952" s="2" t="s">
        <v>606</v>
      </c>
      <c r="E2952" s="2" t="s">
        <v>108</v>
      </c>
      <c r="F2952" s="2" t="s">
        <v>39</v>
      </c>
      <c r="G2952" s="2">
        <v>504822187</v>
      </c>
      <c r="H2952" s="2" t="s">
        <v>109</v>
      </c>
      <c r="I2952" s="2" t="s">
        <v>607</v>
      </c>
      <c r="J2952" s="2" t="s">
        <v>608</v>
      </c>
      <c r="K2952" s="2">
        <v>966216853</v>
      </c>
      <c r="L2952" s="2" t="s">
        <v>461</v>
      </c>
      <c r="P2952" s="2" t="s">
        <v>72</v>
      </c>
      <c r="Q2952" s="2" t="s">
        <v>73</v>
      </c>
      <c r="R2952" s="2" t="s">
        <v>74</v>
      </c>
      <c r="S2952" s="2">
        <v>1</v>
      </c>
      <c r="T2952" s="2">
        <v>210</v>
      </c>
      <c r="U2952" s="2">
        <v>48.3</v>
      </c>
      <c r="V2952" s="2">
        <v>258.3</v>
      </c>
      <c r="W2952" s="2">
        <v>125.51600000000001</v>
      </c>
      <c r="X2952" s="5">
        <f t="shared" si="410"/>
        <v>0.40230476190476189</v>
      </c>
      <c r="Z2952" s="2" t="s">
        <v>3227</v>
      </c>
      <c r="AA2952" s="2" t="s">
        <v>75</v>
      </c>
      <c r="AB2952" s="2" t="s">
        <v>76</v>
      </c>
      <c r="AC2952" s="2" t="s">
        <v>77</v>
      </c>
      <c r="AF2952" s="2">
        <f t="shared" si="408"/>
        <v>0</v>
      </c>
      <c r="AG2952" s="2">
        <v>125.51600000000001</v>
      </c>
      <c r="AH2952" s="2">
        <v>220</v>
      </c>
      <c r="AJ2952" s="2">
        <f t="shared" si="409"/>
        <v>0</v>
      </c>
      <c r="AK2952" s="2">
        <f t="shared" si="411"/>
        <v>84.483999999999995</v>
      </c>
      <c r="AL2952" s="5">
        <f t="shared" si="412"/>
        <v>0.40230476190476189</v>
      </c>
    </row>
    <row r="2953" spans="1:38" x14ac:dyDescent="0.2">
      <c r="A2953" s="2">
        <v>2026</v>
      </c>
      <c r="B2953" s="2">
        <v>1</v>
      </c>
      <c r="D2953" s="2" t="s">
        <v>633</v>
      </c>
      <c r="E2953" s="2" t="s">
        <v>183</v>
      </c>
      <c r="F2953" s="2" t="s">
        <v>366</v>
      </c>
      <c r="H2953" s="2" t="s">
        <v>290</v>
      </c>
      <c r="L2953" s="2" t="s">
        <v>339</v>
      </c>
      <c r="M2953" s="2" t="s">
        <v>80</v>
      </c>
      <c r="P2953" s="2" t="s">
        <v>72</v>
      </c>
      <c r="Q2953" s="2" t="s">
        <v>73</v>
      </c>
      <c r="R2953" s="2" t="s">
        <v>74</v>
      </c>
      <c r="S2953" s="2">
        <v>1</v>
      </c>
      <c r="T2953" s="2">
        <v>220</v>
      </c>
      <c r="U2953" s="2">
        <v>50.6</v>
      </c>
      <c r="V2953" s="2">
        <v>270.60000000000002</v>
      </c>
      <c r="W2953" s="2">
        <v>125.51600000000001</v>
      </c>
      <c r="X2953" s="5">
        <f t="shared" si="410"/>
        <v>0.42947272727272723</v>
      </c>
      <c r="Z2953" s="2" t="s">
        <v>3227</v>
      </c>
      <c r="AA2953" s="2" t="s">
        <v>75</v>
      </c>
      <c r="AB2953" s="2" t="s">
        <v>76</v>
      </c>
      <c r="AC2953" s="2" t="s">
        <v>77</v>
      </c>
      <c r="AF2953" s="2">
        <f t="shared" si="408"/>
        <v>0</v>
      </c>
      <c r="AG2953" s="2">
        <v>125.51600000000001</v>
      </c>
      <c r="AH2953" s="2">
        <v>220</v>
      </c>
      <c r="AJ2953" s="2">
        <f t="shared" si="409"/>
        <v>0</v>
      </c>
      <c r="AK2953" s="2">
        <f t="shared" si="411"/>
        <v>94.483999999999995</v>
      </c>
      <c r="AL2953" s="5">
        <f t="shared" si="412"/>
        <v>0.42947272727272723</v>
      </c>
    </row>
    <row r="2954" spans="1:38" x14ac:dyDescent="0.2">
      <c r="A2954" s="2">
        <v>2026</v>
      </c>
      <c r="B2954" s="2">
        <v>1</v>
      </c>
      <c r="D2954" s="2" t="s">
        <v>2397</v>
      </c>
      <c r="E2954" s="2" t="s">
        <v>183</v>
      </c>
      <c r="F2954" s="2" t="s">
        <v>366</v>
      </c>
      <c r="H2954" s="2" t="s">
        <v>290</v>
      </c>
      <c r="L2954" s="2" t="s">
        <v>339</v>
      </c>
      <c r="P2954" s="2" t="s">
        <v>72</v>
      </c>
      <c r="Q2954" s="2" t="s">
        <v>73</v>
      </c>
      <c r="R2954" s="2" t="s">
        <v>74</v>
      </c>
      <c r="S2954" s="2">
        <v>1</v>
      </c>
      <c r="T2954" s="2">
        <v>220</v>
      </c>
      <c r="U2954" s="2">
        <v>50.6</v>
      </c>
      <c r="V2954" s="2">
        <v>270.60000000000002</v>
      </c>
      <c r="W2954" s="2">
        <v>125.51600000000001</v>
      </c>
      <c r="X2954" s="5">
        <f t="shared" si="410"/>
        <v>0.42947272727272723</v>
      </c>
      <c r="Z2954" s="2" t="s">
        <v>3227</v>
      </c>
      <c r="AA2954" s="2" t="s">
        <v>75</v>
      </c>
      <c r="AB2954" s="2" t="s">
        <v>76</v>
      </c>
      <c r="AC2954" s="2" t="s">
        <v>77</v>
      </c>
      <c r="AF2954" s="2">
        <f t="shared" si="408"/>
        <v>0</v>
      </c>
      <c r="AG2954" s="2">
        <v>125.51600000000001</v>
      </c>
      <c r="AH2954" s="2">
        <v>220</v>
      </c>
      <c r="AJ2954" s="2">
        <f t="shared" si="409"/>
        <v>0</v>
      </c>
      <c r="AK2954" s="2">
        <f t="shared" si="411"/>
        <v>94.483999999999995</v>
      </c>
      <c r="AL2954" s="5">
        <f t="shared" si="412"/>
        <v>0.42947272727272723</v>
      </c>
    </row>
    <row r="2955" spans="1:38" x14ac:dyDescent="0.2">
      <c r="A2955" s="2">
        <v>2026</v>
      </c>
      <c r="B2955" s="2">
        <v>1</v>
      </c>
      <c r="D2955" s="2" t="s">
        <v>144</v>
      </c>
      <c r="E2955" s="2" t="s">
        <v>38</v>
      </c>
      <c r="F2955" s="2" t="s">
        <v>39</v>
      </c>
      <c r="G2955" s="2">
        <v>505883970</v>
      </c>
      <c r="H2955" s="2" t="s">
        <v>41</v>
      </c>
      <c r="I2955" s="2" t="s">
        <v>145</v>
      </c>
      <c r="J2955" s="2" t="s">
        <v>146</v>
      </c>
      <c r="L2955" s="2" t="s">
        <v>99</v>
      </c>
      <c r="M2955" s="2" t="s">
        <v>41</v>
      </c>
      <c r="O2955" s="2" t="s">
        <v>2398</v>
      </c>
      <c r="P2955" s="2" t="s">
        <v>72</v>
      </c>
      <c r="Q2955" s="2" t="s">
        <v>681</v>
      </c>
      <c r="R2955" s="2" t="s">
        <v>74</v>
      </c>
      <c r="S2955" s="2">
        <v>1</v>
      </c>
      <c r="T2955" s="2">
        <v>200</v>
      </c>
      <c r="U2955" s="2">
        <v>46</v>
      </c>
      <c r="V2955" s="2">
        <v>246</v>
      </c>
      <c r="W2955" s="2">
        <v>104.49</v>
      </c>
      <c r="X2955" s="5">
        <f t="shared" si="410"/>
        <v>0.47755000000000003</v>
      </c>
      <c r="Z2955" s="2" t="s">
        <v>3227</v>
      </c>
      <c r="AA2955" s="2" t="s">
        <v>75</v>
      </c>
      <c r="AB2955" s="2" t="s">
        <v>76</v>
      </c>
      <c r="AC2955" s="2" t="s">
        <v>77</v>
      </c>
      <c r="AF2955" s="2">
        <f t="shared" si="408"/>
        <v>0</v>
      </c>
      <c r="AG2955" s="2">
        <v>104.49</v>
      </c>
      <c r="AH2955" s="2">
        <v>220</v>
      </c>
      <c r="AJ2955" s="2">
        <f t="shared" si="409"/>
        <v>0</v>
      </c>
      <c r="AK2955" s="2">
        <f t="shared" si="411"/>
        <v>95.51</v>
      </c>
      <c r="AL2955" s="5">
        <f t="shared" si="412"/>
        <v>0.47755000000000003</v>
      </c>
    </row>
    <row r="2956" spans="1:38" x14ac:dyDescent="0.2">
      <c r="A2956" s="2">
        <v>2026</v>
      </c>
      <c r="B2956" s="2">
        <v>1</v>
      </c>
      <c r="D2956" s="2" t="s">
        <v>1942</v>
      </c>
      <c r="E2956" s="2" t="s">
        <v>108</v>
      </c>
      <c r="F2956" s="2" t="s">
        <v>395</v>
      </c>
      <c r="G2956" s="2">
        <v>505738651</v>
      </c>
      <c r="H2956" s="2" t="s">
        <v>41</v>
      </c>
      <c r="I2956" s="2" t="s">
        <v>2399</v>
      </c>
      <c r="J2956" s="2" t="s">
        <v>2400</v>
      </c>
      <c r="L2956" s="2" t="s">
        <v>201</v>
      </c>
      <c r="M2956" s="2" t="s">
        <v>41</v>
      </c>
      <c r="O2956" s="2" t="s">
        <v>2401</v>
      </c>
      <c r="P2956" s="2" t="s">
        <v>72</v>
      </c>
      <c r="Q2956" s="2" t="s">
        <v>330</v>
      </c>
      <c r="R2956" s="2" t="s">
        <v>331</v>
      </c>
      <c r="S2956" s="2">
        <v>1</v>
      </c>
      <c r="T2956" s="2">
        <v>190</v>
      </c>
      <c r="U2956" s="2">
        <v>43.7</v>
      </c>
      <c r="V2956" s="2">
        <v>233.7</v>
      </c>
      <c r="W2956" s="2">
        <v>111.11</v>
      </c>
      <c r="X2956" s="5">
        <f t="shared" si="410"/>
        <v>0.41521052631578947</v>
      </c>
      <c r="Z2956" s="2" t="s">
        <v>3227</v>
      </c>
      <c r="AA2956" s="2" t="s">
        <v>75</v>
      </c>
      <c r="AB2956" s="2" t="s">
        <v>76</v>
      </c>
      <c r="AC2956" s="2" t="s">
        <v>77</v>
      </c>
      <c r="AF2956" s="2">
        <f t="shared" si="408"/>
        <v>0</v>
      </c>
      <c r="AG2956" s="2">
        <v>111.11</v>
      </c>
      <c r="AH2956" s="2">
        <v>190</v>
      </c>
      <c r="AJ2956" s="2">
        <f t="shared" si="409"/>
        <v>0</v>
      </c>
      <c r="AK2956" s="2">
        <f t="shared" si="411"/>
        <v>78.89</v>
      </c>
      <c r="AL2956" s="5">
        <f t="shared" si="412"/>
        <v>0.41521052631578947</v>
      </c>
    </row>
    <row r="2957" spans="1:38" x14ac:dyDescent="0.2">
      <c r="A2957" s="2">
        <v>2026</v>
      </c>
      <c r="B2957" s="2">
        <v>1</v>
      </c>
      <c r="D2957" s="2" t="s">
        <v>37</v>
      </c>
      <c r="E2957" s="2" t="s">
        <v>38</v>
      </c>
      <c r="F2957" s="2" t="s">
        <v>39</v>
      </c>
      <c r="H2957" s="2" t="s">
        <v>40</v>
      </c>
      <c r="M2957" s="2" t="s">
        <v>80</v>
      </c>
      <c r="O2957" s="2" t="s">
        <v>2402</v>
      </c>
      <c r="P2957" s="2" t="s">
        <v>72</v>
      </c>
      <c r="Q2957" s="2" t="s">
        <v>1390</v>
      </c>
      <c r="R2957" s="2" t="s">
        <v>74</v>
      </c>
      <c r="S2957" s="2">
        <v>1</v>
      </c>
      <c r="T2957" s="2">
        <v>283.07</v>
      </c>
      <c r="U2957" s="2">
        <v>65.106099999999998</v>
      </c>
      <c r="V2957" s="2">
        <v>348.17610000000002</v>
      </c>
      <c r="W2957" s="2">
        <v>109.26</v>
      </c>
      <c r="X2957" s="5">
        <f t="shared" si="410"/>
        <v>0.61401773412936733</v>
      </c>
      <c r="Z2957" s="2" t="s">
        <v>3227</v>
      </c>
      <c r="AA2957" s="2" t="s">
        <v>75</v>
      </c>
      <c r="AB2957" s="2" t="s">
        <v>76</v>
      </c>
      <c r="AC2957" s="2" t="s">
        <v>77</v>
      </c>
      <c r="AF2957" s="2">
        <f t="shared" si="408"/>
        <v>0</v>
      </c>
      <c r="AG2957" s="2">
        <v>109.26</v>
      </c>
      <c r="AJ2957" s="2">
        <f t="shared" si="409"/>
        <v>0</v>
      </c>
      <c r="AK2957" s="2">
        <f t="shared" si="411"/>
        <v>173.81</v>
      </c>
      <c r="AL2957" s="5">
        <f t="shared" si="412"/>
        <v>0.61401773412936733</v>
      </c>
    </row>
    <row r="2958" spans="1:38" x14ac:dyDescent="0.2">
      <c r="A2958" s="2">
        <v>2026</v>
      </c>
      <c r="B2958" s="2">
        <v>1</v>
      </c>
      <c r="D2958" s="2" t="s">
        <v>2008</v>
      </c>
      <c r="E2958" s="2" t="s">
        <v>38</v>
      </c>
      <c r="F2958" s="2" t="s">
        <v>39</v>
      </c>
      <c r="L2958" s="2" t="s">
        <v>571</v>
      </c>
      <c r="M2958" s="2" t="s">
        <v>80</v>
      </c>
      <c r="P2958" s="2" t="s">
        <v>72</v>
      </c>
      <c r="Q2958" s="2" t="s">
        <v>832</v>
      </c>
      <c r="R2958" s="2" t="s">
        <v>74</v>
      </c>
      <c r="S2958" s="2">
        <v>1</v>
      </c>
      <c r="T2958" s="2">
        <v>220</v>
      </c>
      <c r="U2958" s="2">
        <v>50.6</v>
      </c>
      <c r="V2958" s="2">
        <v>270.60000000000002</v>
      </c>
      <c r="W2958" s="2">
        <v>120.636</v>
      </c>
      <c r="X2958" s="5">
        <f t="shared" si="410"/>
        <v>0.45165454545454548</v>
      </c>
      <c r="Z2958" s="2" t="s">
        <v>3227</v>
      </c>
      <c r="AA2958" s="2" t="s">
        <v>75</v>
      </c>
      <c r="AB2958" s="2" t="s">
        <v>76</v>
      </c>
      <c r="AC2958" s="2" t="s">
        <v>77</v>
      </c>
      <c r="AF2958" s="2">
        <f t="shared" si="408"/>
        <v>0</v>
      </c>
      <c r="AG2958" s="2">
        <v>120.636</v>
      </c>
      <c r="AH2958" s="2">
        <v>220</v>
      </c>
      <c r="AJ2958" s="2">
        <f t="shared" si="409"/>
        <v>0</v>
      </c>
      <c r="AK2958" s="2">
        <f t="shared" si="411"/>
        <v>99.364000000000004</v>
      </c>
      <c r="AL2958" s="5">
        <f t="shared" si="412"/>
        <v>0.45165454545454548</v>
      </c>
    </row>
    <row r="2959" spans="1:38" x14ac:dyDescent="0.2">
      <c r="A2959" s="2">
        <v>2026</v>
      </c>
      <c r="B2959" s="2">
        <v>1</v>
      </c>
      <c r="D2959" s="2" t="s">
        <v>1553</v>
      </c>
      <c r="E2959" s="2" t="s">
        <v>108</v>
      </c>
      <c r="F2959" s="2" t="s">
        <v>717</v>
      </c>
      <c r="G2959" s="2">
        <v>500975914</v>
      </c>
      <c r="H2959" s="2" t="s">
        <v>41</v>
      </c>
      <c r="I2959" s="2" t="s">
        <v>1554</v>
      </c>
      <c r="J2959" s="2" t="s">
        <v>1555</v>
      </c>
      <c r="L2959" s="2" t="s">
        <v>177</v>
      </c>
      <c r="M2959" s="2" t="s">
        <v>41</v>
      </c>
      <c r="P2959" s="2" t="s">
        <v>72</v>
      </c>
      <c r="Q2959" s="2" t="s">
        <v>832</v>
      </c>
      <c r="R2959" s="2" t="s">
        <v>74</v>
      </c>
      <c r="S2959" s="2">
        <v>1</v>
      </c>
      <c r="T2959" s="2">
        <v>220</v>
      </c>
      <c r="U2959" s="2">
        <v>50.6</v>
      </c>
      <c r="V2959" s="2">
        <v>270.60000000000002</v>
      </c>
      <c r="W2959" s="2">
        <v>120.636</v>
      </c>
      <c r="X2959" s="5">
        <f t="shared" si="410"/>
        <v>0.45165454545454548</v>
      </c>
      <c r="Z2959" s="2" t="s">
        <v>3227</v>
      </c>
      <c r="AA2959" s="2" t="s">
        <v>75</v>
      </c>
      <c r="AB2959" s="2" t="s">
        <v>76</v>
      </c>
      <c r="AC2959" s="2" t="s">
        <v>77</v>
      </c>
      <c r="AF2959" s="2">
        <f t="shared" si="408"/>
        <v>0</v>
      </c>
      <c r="AG2959" s="2">
        <v>120.636</v>
      </c>
      <c r="AH2959" s="2">
        <v>220</v>
      </c>
      <c r="AJ2959" s="2">
        <f t="shared" si="409"/>
        <v>0</v>
      </c>
      <c r="AK2959" s="2">
        <f t="shared" si="411"/>
        <v>99.364000000000004</v>
      </c>
      <c r="AL2959" s="5">
        <f t="shared" si="412"/>
        <v>0.45165454545454548</v>
      </c>
    </row>
    <row r="2960" spans="1:38" x14ac:dyDescent="0.2">
      <c r="A2960" s="2">
        <v>2026</v>
      </c>
      <c r="B2960" s="2">
        <v>1</v>
      </c>
      <c r="D2960" s="2" t="s">
        <v>2403</v>
      </c>
      <c r="P2960" s="2" t="s">
        <v>72</v>
      </c>
      <c r="Q2960" s="2" t="s">
        <v>832</v>
      </c>
      <c r="R2960" s="2" t="s">
        <v>74</v>
      </c>
      <c r="S2960" s="2">
        <v>1</v>
      </c>
      <c r="T2960" s="2">
        <v>220</v>
      </c>
      <c r="U2960" s="2">
        <v>50.6</v>
      </c>
      <c r="V2960" s="2">
        <v>270.60000000000002</v>
      </c>
      <c r="W2960" s="2">
        <v>120.636</v>
      </c>
      <c r="X2960" s="5">
        <f t="shared" si="410"/>
        <v>0.45165454545454548</v>
      </c>
      <c r="Z2960" s="2" t="s">
        <v>3227</v>
      </c>
      <c r="AA2960" s="2" t="s">
        <v>75</v>
      </c>
      <c r="AB2960" s="2" t="s">
        <v>76</v>
      </c>
      <c r="AC2960" s="2" t="s">
        <v>77</v>
      </c>
      <c r="AF2960" s="2">
        <f t="shared" si="408"/>
        <v>0</v>
      </c>
      <c r="AG2960" s="2">
        <v>120.636</v>
      </c>
      <c r="AH2960" s="2">
        <v>220</v>
      </c>
      <c r="AJ2960" s="2">
        <f t="shared" si="409"/>
        <v>0</v>
      </c>
      <c r="AK2960" s="2">
        <f t="shared" si="411"/>
        <v>99.364000000000004</v>
      </c>
      <c r="AL2960" s="5">
        <f t="shared" si="412"/>
        <v>0.45165454545454548</v>
      </c>
    </row>
    <row r="2961" spans="1:38" x14ac:dyDescent="0.2">
      <c r="A2961" s="2">
        <v>2026</v>
      </c>
      <c r="B2961" s="2">
        <v>1</v>
      </c>
      <c r="D2961" s="2" t="s">
        <v>2391</v>
      </c>
      <c r="E2961" s="2" t="s">
        <v>38</v>
      </c>
      <c r="F2961" s="2" t="s">
        <v>39</v>
      </c>
      <c r="G2961" s="2">
        <v>160080592</v>
      </c>
      <c r="H2961" s="2" t="s">
        <v>290</v>
      </c>
      <c r="I2961" s="2" t="s">
        <v>2404</v>
      </c>
      <c r="J2961" s="2" t="s">
        <v>2405</v>
      </c>
      <c r="K2961" s="2">
        <v>919209638</v>
      </c>
      <c r="L2961" s="2" t="s">
        <v>293</v>
      </c>
      <c r="M2961" s="2" t="s">
        <v>80</v>
      </c>
      <c r="O2961" s="2" t="s">
        <v>2406</v>
      </c>
      <c r="P2961" s="2" t="s">
        <v>72</v>
      </c>
      <c r="Q2961" s="2" t="s">
        <v>2407</v>
      </c>
      <c r="R2961" s="2" t="s">
        <v>1416</v>
      </c>
      <c r="S2961" s="2">
        <v>1</v>
      </c>
      <c r="T2961" s="2">
        <v>230</v>
      </c>
      <c r="U2961" s="2">
        <v>52.900000000000013</v>
      </c>
      <c r="V2961" s="2">
        <v>282.89999999999998</v>
      </c>
      <c r="W2961" s="2">
        <v>125.96</v>
      </c>
      <c r="X2961" s="5">
        <f t="shared" si="410"/>
        <v>0.45234782608695656</v>
      </c>
      <c r="Z2961" s="2" t="s">
        <v>3227</v>
      </c>
      <c r="AA2961" s="2" t="s">
        <v>75</v>
      </c>
      <c r="AB2961" s="2" t="s">
        <v>76</v>
      </c>
      <c r="AC2961" s="2" t="s">
        <v>77</v>
      </c>
      <c r="AF2961" s="2">
        <f t="shared" si="408"/>
        <v>0</v>
      </c>
      <c r="AG2961" s="2">
        <f>119.7+6.26</f>
        <v>125.96000000000001</v>
      </c>
      <c r="AJ2961" s="2">
        <f t="shared" si="409"/>
        <v>0</v>
      </c>
      <c r="AK2961" s="2">
        <f t="shared" si="411"/>
        <v>104.04</v>
      </c>
      <c r="AL2961" s="5">
        <f t="shared" si="412"/>
        <v>0.45234782608695656</v>
      </c>
    </row>
    <row r="2962" spans="1:38" x14ac:dyDescent="0.2">
      <c r="A2962" s="2">
        <v>2026</v>
      </c>
      <c r="B2962" s="2">
        <v>1</v>
      </c>
      <c r="D2962" s="2" t="s">
        <v>530</v>
      </c>
      <c r="E2962" s="2" t="s">
        <v>108</v>
      </c>
      <c r="F2962" s="2" t="s">
        <v>531</v>
      </c>
      <c r="G2962" s="2">
        <v>502139552</v>
      </c>
      <c r="H2962" s="2" t="s">
        <v>40</v>
      </c>
      <c r="I2962" s="2" t="s">
        <v>339</v>
      </c>
      <c r="J2962" s="2" t="s">
        <v>532</v>
      </c>
      <c r="L2962" s="2" t="s">
        <v>339</v>
      </c>
      <c r="M2962" s="2" t="s">
        <v>80</v>
      </c>
      <c r="O2962" s="2" t="s">
        <v>2408</v>
      </c>
      <c r="P2962" s="2" t="s">
        <v>72</v>
      </c>
      <c r="Q2962" s="2" t="s">
        <v>556</v>
      </c>
      <c r="R2962" s="2" t="s">
        <v>381</v>
      </c>
      <c r="S2962" s="2">
        <v>1</v>
      </c>
      <c r="T2962" s="2">
        <v>224.94</v>
      </c>
      <c r="U2962" s="2">
        <v>51.736199999999997</v>
      </c>
      <c r="V2962" s="2">
        <v>276.67619999999999</v>
      </c>
      <c r="W2962" s="2">
        <v>143.91999999999999</v>
      </c>
      <c r="X2962" s="5">
        <f t="shared" si="410"/>
        <v>0.36018493820574382</v>
      </c>
      <c r="Z2962" s="2" t="s">
        <v>3227</v>
      </c>
      <c r="AA2962" s="2" t="s">
        <v>75</v>
      </c>
      <c r="AB2962" s="2" t="s">
        <v>76</v>
      </c>
      <c r="AC2962" s="2" t="s">
        <v>77</v>
      </c>
      <c r="AF2962" s="2">
        <f t="shared" si="408"/>
        <v>0</v>
      </c>
      <c r="AG2962" s="2">
        <v>143.91999999999999</v>
      </c>
      <c r="AJ2962" s="2">
        <f t="shared" si="409"/>
        <v>0</v>
      </c>
      <c r="AK2962" s="2">
        <f t="shared" si="411"/>
        <v>81.02000000000001</v>
      </c>
      <c r="AL2962" s="5">
        <f t="shared" si="412"/>
        <v>0.36018493820574382</v>
      </c>
    </row>
    <row r="2963" spans="1:38" x14ac:dyDescent="0.2">
      <c r="A2963" s="2">
        <v>2026</v>
      </c>
      <c r="B2963" s="2">
        <v>1</v>
      </c>
      <c r="D2963" s="2" t="s">
        <v>1073</v>
      </c>
      <c r="M2963" s="2" t="s">
        <v>41</v>
      </c>
      <c r="P2963" s="2" t="s">
        <v>72</v>
      </c>
      <c r="Q2963" s="2" t="s">
        <v>1345</v>
      </c>
      <c r="R2963" s="2" t="s">
        <v>79</v>
      </c>
      <c r="S2963" s="2">
        <v>1</v>
      </c>
      <c r="T2963" s="2">
        <v>220</v>
      </c>
      <c r="U2963" s="2">
        <v>50.6</v>
      </c>
      <c r="V2963" s="2">
        <v>270.60000000000002</v>
      </c>
      <c r="W2963" s="2">
        <v>96.15</v>
      </c>
      <c r="X2963" s="5">
        <f t="shared" si="410"/>
        <v>0.56295454545454537</v>
      </c>
      <c r="Z2963" s="2" t="s">
        <v>3227</v>
      </c>
      <c r="AA2963" s="2" t="s">
        <v>75</v>
      </c>
      <c r="AB2963" s="2" t="s">
        <v>76</v>
      </c>
      <c r="AC2963" s="2" t="s">
        <v>77</v>
      </c>
      <c r="AF2963" s="2">
        <f t="shared" si="408"/>
        <v>0</v>
      </c>
      <c r="AJ2963" s="2">
        <f t="shared" si="409"/>
        <v>0</v>
      </c>
      <c r="AK2963" s="2">
        <f t="shared" si="411"/>
        <v>123.85</v>
      </c>
      <c r="AL2963" s="5">
        <f t="shared" si="412"/>
        <v>0.56295454545454537</v>
      </c>
    </row>
    <row r="2964" spans="1:38" x14ac:dyDescent="0.2">
      <c r="A2964" s="2">
        <v>2026</v>
      </c>
      <c r="B2964" s="2">
        <v>1</v>
      </c>
      <c r="D2964" s="2" t="s">
        <v>1564</v>
      </c>
      <c r="E2964" s="2" t="s">
        <v>38</v>
      </c>
      <c r="F2964" s="2" t="s">
        <v>39</v>
      </c>
      <c r="G2964" s="2">
        <v>506336670</v>
      </c>
      <c r="H2964" s="2" t="s">
        <v>109</v>
      </c>
      <c r="I2964" s="2" t="s">
        <v>398</v>
      </c>
      <c r="J2964" s="2" t="s">
        <v>2409</v>
      </c>
      <c r="K2964" s="2">
        <v>968647685</v>
      </c>
      <c r="L2964" s="2" t="s">
        <v>398</v>
      </c>
      <c r="M2964" s="2" t="s">
        <v>109</v>
      </c>
      <c r="O2964" s="2" t="s">
        <v>2410</v>
      </c>
      <c r="P2964" s="2" t="s">
        <v>72</v>
      </c>
      <c r="Q2964" s="2" t="s">
        <v>484</v>
      </c>
      <c r="R2964" s="2" t="s">
        <v>74</v>
      </c>
      <c r="S2964" s="2">
        <v>1</v>
      </c>
      <c r="T2964" s="2">
        <v>220</v>
      </c>
      <c r="U2964" s="2">
        <v>50.6</v>
      </c>
      <c r="V2964" s="2">
        <v>270.60000000000002</v>
      </c>
      <c r="W2964" s="2">
        <v>131.93</v>
      </c>
      <c r="X2964" s="5">
        <f t="shared" si="410"/>
        <v>0.4003181818181818</v>
      </c>
      <c r="Z2964" s="2" t="s">
        <v>3227</v>
      </c>
      <c r="AA2964" s="2" t="s">
        <v>75</v>
      </c>
      <c r="AB2964" s="2" t="s">
        <v>76</v>
      </c>
      <c r="AC2964" s="2" t="s">
        <v>77</v>
      </c>
      <c r="AF2964" s="2">
        <f t="shared" si="408"/>
        <v>0</v>
      </c>
      <c r="AG2964" s="2">
        <v>131.93</v>
      </c>
      <c r="AH2964" s="2">
        <v>220</v>
      </c>
      <c r="AJ2964" s="2">
        <f t="shared" si="409"/>
        <v>0</v>
      </c>
      <c r="AK2964" s="2">
        <f t="shared" si="411"/>
        <v>88.07</v>
      </c>
      <c r="AL2964" s="5">
        <f t="shared" si="412"/>
        <v>0.4003181818181818</v>
      </c>
    </row>
    <row r="2965" spans="1:38" x14ac:dyDescent="0.2">
      <c r="A2965" s="2">
        <v>2026</v>
      </c>
      <c r="B2965" s="2">
        <v>1</v>
      </c>
      <c r="D2965" s="2" t="s">
        <v>1418</v>
      </c>
      <c r="E2965" s="2" t="s">
        <v>108</v>
      </c>
      <c r="F2965" s="2" t="s">
        <v>39</v>
      </c>
      <c r="G2965" s="2">
        <v>502696338</v>
      </c>
      <c r="H2965" s="2" t="s">
        <v>40</v>
      </c>
      <c r="I2965" s="2" t="s">
        <v>2411</v>
      </c>
      <c r="J2965" s="2" t="s">
        <v>2412</v>
      </c>
      <c r="L2965" s="2" t="s">
        <v>201</v>
      </c>
      <c r="M2965" s="2" t="s">
        <v>80</v>
      </c>
      <c r="O2965" s="2" t="s">
        <v>2413</v>
      </c>
      <c r="P2965" s="2" t="s">
        <v>72</v>
      </c>
      <c r="Q2965" s="2" t="s">
        <v>484</v>
      </c>
      <c r="R2965" s="2" t="s">
        <v>74</v>
      </c>
      <c r="S2965" s="2">
        <v>1</v>
      </c>
      <c r="T2965" s="2">
        <v>220</v>
      </c>
      <c r="U2965" s="2">
        <v>50.6</v>
      </c>
      <c r="V2965" s="2">
        <v>270.60000000000002</v>
      </c>
      <c r="W2965" s="2">
        <v>131.93</v>
      </c>
      <c r="X2965" s="5">
        <f t="shared" si="410"/>
        <v>0.4003181818181818</v>
      </c>
      <c r="Z2965" s="2" t="s">
        <v>3227</v>
      </c>
      <c r="AA2965" s="2" t="s">
        <v>75</v>
      </c>
      <c r="AB2965" s="2" t="s">
        <v>76</v>
      </c>
      <c r="AC2965" s="2" t="s">
        <v>77</v>
      </c>
      <c r="AF2965" s="2">
        <f t="shared" si="408"/>
        <v>0</v>
      </c>
      <c r="AG2965" s="2">
        <v>131.93</v>
      </c>
      <c r="AH2965" s="2">
        <v>220</v>
      </c>
      <c r="AJ2965" s="2">
        <f t="shared" si="409"/>
        <v>0</v>
      </c>
      <c r="AK2965" s="2">
        <f t="shared" si="411"/>
        <v>88.07</v>
      </c>
      <c r="AL2965" s="5">
        <f t="shared" si="412"/>
        <v>0.4003181818181818</v>
      </c>
    </row>
    <row r="2966" spans="1:38" x14ac:dyDescent="0.2">
      <c r="A2966" s="2">
        <v>2026</v>
      </c>
      <c r="B2966" s="2">
        <v>1</v>
      </c>
      <c r="D2966" s="2" t="s">
        <v>37</v>
      </c>
      <c r="E2966" s="2" t="s">
        <v>38</v>
      </c>
      <c r="F2966" s="2" t="s">
        <v>39</v>
      </c>
      <c r="H2966" s="2" t="s">
        <v>40</v>
      </c>
      <c r="M2966" s="2" t="s">
        <v>80</v>
      </c>
      <c r="O2966" s="2" t="s">
        <v>2390</v>
      </c>
      <c r="P2966" s="2" t="s">
        <v>72</v>
      </c>
      <c r="Q2966" s="2" t="s">
        <v>306</v>
      </c>
      <c r="R2966" s="2" t="s">
        <v>307</v>
      </c>
      <c r="S2966" s="2">
        <v>1</v>
      </c>
      <c r="T2966" s="2">
        <v>258.69</v>
      </c>
      <c r="U2966" s="2">
        <v>59.498699999999999</v>
      </c>
      <c r="V2966" s="2">
        <v>318.18869999999998</v>
      </c>
      <c r="W2966" s="2">
        <v>119.33</v>
      </c>
      <c r="X2966" s="5">
        <f t="shared" si="410"/>
        <v>0.53871429123661529</v>
      </c>
      <c r="Z2966" s="2" t="s">
        <v>3227</v>
      </c>
      <c r="AA2966" s="2" t="s">
        <v>75</v>
      </c>
      <c r="AB2966" s="2" t="s">
        <v>76</v>
      </c>
      <c r="AC2966" s="2" t="s">
        <v>77</v>
      </c>
      <c r="AF2966" s="2">
        <f t="shared" si="408"/>
        <v>0</v>
      </c>
      <c r="AG2966" s="2">
        <v>119.33</v>
      </c>
      <c r="AH2966" s="2">
        <v>220</v>
      </c>
      <c r="AJ2966" s="2">
        <f t="shared" si="409"/>
        <v>0</v>
      </c>
      <c r="AK2966" s="2">
        <f t="shared" si="411"/>
        <v>139.36000000000001</v>
      </c>
      <c r="AL2966" s="5">
        <f t="shared" si="412"/>
        <v>0.53871429123661529</v>
      </c>
    </row>
    <row r="2967" spans="1:38" x14ac:dyDescent="0.2">
      <c r="A2967" s="2">
        <v>2026</v>
      </c>
      <c r="B2967" s="2">
        <v>1</v>
      </c>
      <c r="D2967" s="2" t="s">
        <v>314</v>
      </c>
      <c r="E2967" s="2" t="s">
        <v>108</v>
      </c>
      <c r="G2967" s="2">
        <v>503270520</v>
      </c>
      <c r="H2967" s="2" t="s">
        <v>40</v>
      </c>
      <c r="I2967" s="2" t="s">
        <v>315</v>
      </c>
      <c r="J2967" s="2" t="s">
        <v>316</v>
      </c>
      <c r="L2967" s="2" t="s">
        <v>99</v>
      </c>
      <c r="M2967" s="2" t="s">
        <v>80</v>
      </c>
      <c r="P2967" s="2" t="s">
        <v>72</v>
      </c>
      <c r="Q2967" s="2" t="s">
        <v>306</v>
      </c>
      <c r="R2967" s="2" t="s">
        <v>307</v>
      </c>
      <c r="S2967" s="2">
        <v>1</v>
      </c>
      <c r="T2967" s="2">
        <v>220</v>
      </c>
      <c r="U2967" s="2">
        <v>50.6</v>
      </c>
      <c r="V2967" s="2">
        <v>270.60000000000002</v>
      </c>
      <c r="W2967" s="2">
        <v>119.33</v>
      </c>
      <c r="X2967" s="5">
        <f t="shared" si="410"/>
        <v>0.4575909090909091</v>
      </c>
      <c r="Z2967" s="2" t="s">
        <v>3227</v>
      </c>
      <c r="AA2967" s="2" t="s">
        <v>75</v>
      </c>
      <c r="AB2967" s="2" t="s">
        <v>76</v>
      </c>
      <c r="AC2967" s="2" t="s">
        <v>77</v>
      </c>
      <c r="AF2967" s="2">
        <f t="shared" si="408"/>
        <v>0</v>
      </c>
      <c r="AG2967" s="2">
        <v>119.33</v>
      </c>
      <c r="AH2967" s="2">
        <v>220</v>
      </c>
      <c r="AJ2967" s="2">
        <f t="shared" si="409"/>
        <v>0</v>
      </c>
      <c r="AK2967" s="2">
        <f t="shared" si="411"/>
        <v>100.67</v>
      </c>
      <c r="AL2967" s="5">
        <f t="shared" si="412"/>
        <v>0.4575909090909091</v>
      </c>
    </row>
    <row r="2968" spans="1:38" x14ac:dyDescent="0.2">
      <c r="A2968" s="2">
        <v>2026</v>
      </c>
      <c r="B2968" s="2">
        <v>1</v>
      </c>
      <c r="C2968" s="2" t="s">
        <v>3327</v>
      </c>
      <c r="D2968" s="2" t="s">
        <v>1009</v>
      </c>
      <c r="E2968" s="2" t="s">
        <v>108</v>
      </c>
      <c r="F2968" s="2" t="s">
        <v>39</v>
      </c>
      <c r="G2968" s="2">
        <v>507063481</v>
      </c>
      <c r="H2968" s="2" t="s">
        <v>290</v>
      </c>
      <c r="I2968" s="2" t="s">
        <v>1010</v>
      </c>
      <c r="J2968" s="2" t="s">
        <v>1011</v>
      </c>
      <c r="L2968" s="2" t="s">
        <v>293</v>
      </c>
      <c r="M2968" s="2" t="s">
        <v>80</v>
      </c>
      <c r="P2968" s="2" t="s">
        <v>72</v>
      </c>
      <c r="Q2968" s="2" t="s">
        <v>306</v>
      </c>
      <c r="R2968" s="2" t="s">
        <v>307</v>
      </c>
      <c r="S2968" s="2">
        <v>1</v>
      </c>
      <c r="T2968" s="2">
        <v>209</v>
      </c>
      <c r="U2968" s="2">
        <v>48.07</v>
      </c>
      <c r="V2968" s="2">
        <v>257.07</v>
      </c>
      <c r="W2968" s="2">
        <v>119.33</v>
      </c>
      <c r="X2968" s="5">
        <f t="shared" si="410"/>
        <v>0.42904306220095695</v>
      </c>
      <c r="Z2968" s="2" t="s">
        <v>3227</v>
      </c>
      <c r="AA2968" s="2" t="s">
        <v>75</v>
      </c>
      <c r="AB2968" s="2" t="s">
        <v>76</v>
      </c>
      <c r="AC2968" s="2" t="s">
        <v>77</v>
      </c>
      <c r="AF2968" s="2">
        <f t="shared" si="408"/>
        <v>0</v>
      </c>
      <c r="AG2968" s="2">
        <v>119.33</v>
      </c>
      <c r="AH2968" s="2">
        <v>220</v>
      </c>
      <c r="AJ2968" s="2">
        <f t="shared" si="409"/>
        <v>0</v>
      </c>
      <c r="AK2968" s="2">
        <f t="shared" si="411"/>
        <v>89.67</v>
      </c>
      <c r="AL2968" s="5">
        <f t="shared" si="412"/>
        <v>0.42904306220095695</v>
      </c>
    </row>
    <row r="2969" spans="1:38" x14ac:dyDescent="0.2">
      <c r="A2969" s="2">
        <v>2026</v>
      </c>
      <c r="B2969" s="2">
        <v>1</v>
      </c>
      <c r="D2969" s="2" t="s">
        <v>816</v>
      </c>
      <c r="E2969" s="2" t="s">
        <v>38</v>
      </c>
      <c r="F2969" s="2" t="s">
        <v>39</v>
      </c>
      <c r="L2969" s="2" t="s">
        <v>480</v>
      </c>
      <c r="P2969" s="2" t="s">
        <v>72</v>
      </c>
      <c r="Q2969" s="2" t="s">
        <v>2414</v>
      </c>
      <c r="R2969" s="2" t="s">
        <v>2415</v>
      </c>
      <c r="S2969" s="2">
        <v>1</v>
      </c>
      <c r="T2969" s="2">
        <v>210</v>
      </c>
      <c r="U2969" s="2">
        <v>48.3</v>
      </c>
      <c r="V2969" s="2">
        <v>258.3</v>
      </c>
      <c r="W2969" s="2">
        <v>120.78</v>
      </c>
      <c r="X2969" s="5">
        <f t="shared" si="410"/>
        <v>0.42485714285714288</v>
      </c>
      <c r="Z2969" s="2" t="s">
        <v>3227</v>
      </c>
      <c r="AA2969" s="2" t="s">
        <v>75</v>
      </c>
      <c r="AB2969" s="2" t="s">
        <v>76</v>
      </c>
      <c r="AC2969" s="2" t="s">
        <v>77</v>
      </c>
      <c r="AF2969" s="2">
        <f t="shared" si="408"/>
        <v>0</v>
      </c>
      <c r="AG2969" s="2">
        <v>120.78</v>
      </c>
      <c r="AH2969" s="2">
        <v>210</v>
      </c>
      <c r="AJ2969" s="2">
        <f t="shared" si="409"/>
        <v>0</v>
      </c>
      <c r="AK2969" s="2">
        <f t="shared" si="411"/>
        <v>89.22</v>
      </c>
      <c r="AL2969" s="5">
        <f t="shared" si="412"/>
        <v>0.42485714285714288</v>
      </c>
    </row>
    <row r="2970" spans="1:38" x14ac:dyDescent="0.2">
      <c r="A2970" s="2">
        <v>2026</v>
      </c>
      <c r="B2970" s="2">
        <v>2</v>
      </c>
      <c r="D2970" s="2" t="s">
        <v>689</v>
      </c>
      <c r="E2970" s="2" t="s">
        <v>108</v>
      </c>
      <c r="F2970" s="2" t="s">
        <v>39</v>
      </c>
      <c r="G2970" s="2">
        <v>503589950</v>
      </c>
      <c r="H2970" s="2" t="s">
        <v>41</v>
      </c>
      <c r="I2970" s="2" t="s">
        <v>610</v>
      </c>
      <c r="J2970" s="2" t="s">
        <v>690</v>
      </c>
      <c r="K2970" s="2">
        <v>913036545</v>
      </c>
      <c r="L2970" s="2" t="s">
        <v>177</v>
      </c>
      <c r="M2970" s="2" t="s">
        <v>41</v>
      </c>
      <c r="O2970" s="2" t="s">
        <v>2416</v>
      </c>
      <c r="P2970" s="2" t="s">
        <v>43</v>
      </c>
      <c r="Q2970" s="2" t="s">
        <v>232</v>
      </c>
      <c r="R2970" s="2" t="s">
        <v>233</v>
      </c>
      <c r="S2970" s="2">
        <v>1</v>
      </c>
      <c r="T2970" s="2">
        <v>12.6</v>
      </c>
      <c r="U2970" s="2">
        <v>2.8980000000000001</v>
      </c>
      <c r="V2970" s="2">
        <v>15.497999999999999</v>
      </c>
      <c r="W2970" s="2">
        <v>5.9066999999999998</v>
      </c>
      <c r="X2970" s="5">
        <f t="shared" si="410"/>
        <v>0.53121428571428575</v>
      </c>
      <c r="Z2970" s="2" t="s">
        <v>3227</v>
      </c>
      <c r="AA2970" s="2" t="s">
        <v>46</v>
      </c>
      <c r="AB2970" s="2" t="s">
        <v>56</v>
      </c>
      <c r="AC2970" s="2" t="s">
        <v>57</v>
      </c>
      <c r="AF2970" s="2">
        <f t="shared" si="408"/>
        <v>0</v>
      </c>
      <c r="AG2970" s="2">
        <v>5.9066999999999998</v>
      </c>
      <c r="AH2970" s="2">
        <v>12.6</v>
      </c>
      <c r="AJ2970" s="2">
        <f t="shared" si="409"/>
        <v>0</v>
      </c>
      <c r="AK2970" s="2">
        <f t="shared" si="411"/>
        <v>6.6932999999999998</v>
      </c>
      <c r="AL2970" s="5">
        <f t="shared" si="412"/>
        <v>0.53121428571428575</v>
      </c>
    </row>
    <row r="2971" spans="1:38" x14ac:dyDescent="0.2">
      <c r="A2971" s="2">
        <v>2026</v>
      </c>
      <c r="B2971" s="2">
        <v>1</v>
      </c>
      <c r="D2971" s="2" t="s">
        <v>1026</v>
      </c>
      <c r="E2971" s="2" t="s">
        <v>38</v>
      </c>
      <c r="F2971" s="2" t="s">
        <v>39</v>
      </c>
      <c r="G2971" s="2">
        <v>514229829</v>
      </c>
      <c r="H2971" s="2" t="s">
        <v>41</v>
      </c>
      <c r="I2971" s="2" t="s">
        <v>1027</v>
      </c>
      <c r="J2971" s="2" t="s">
        <v>1028</v>
      </c>
      <c r="K2971" s="2">
        <v>963046242</v>
      </c>
      <c r="L2971" s="2" t="s">
        <v>177</v>
      </c>
      <c r="P2971" s="2" t="s">
        <v>72</v>
      </c>
      <c r="Q2971" s="2" t="s">
        <v>557</v>
      </c>
      <c r="R2971" s="2" t="s">
        <v>307</v>
      </c>
      <c r="S2971" s="2">
        <v>1</v>
      </c>
      <c r="T2971" s="2">
        <v>219.66</v>
      </c>
      <c r="U2971" s="2">
        <v>50.521799999999999</v>
      </c>
      <c r="V2971" s="2">
        <v>270.18180000000001</v>
      </c>
      <c r="W2971" s="2">
        <v>122.446</v>
      </c>
      <c r="X2971" s="5">
        <f t="shared" si="410"/>
        <v>0.44256578348356551</v>
      </c>
      <c r="Z2971" s="2" t="s">
        <v>3227</v>
      </c>
      <c r="AA2971" s="2" t="s">
        <v>75</v>
      </c>
      <c r="AB2971" s="2" t="s">
        <v>76</v>
      </c>
      <c r="AC2971" s="2" t="s">
        <v>77</v>
      </c>
      <c r="AF2971" s="2">
        <f t="shared" si="408"/>
        <v>0</v>
      </c>
      <c r="AG2971" s="2">
        <v>122.446</v>
      </c>
      <c r="AH2971" s="2">
        <v>230</v>
      </c>
      <c r="AJ2971" s="2">
        <f t="shared" si="409"/>
        <v>0</v>
      </c>
      <c r="AK2971" s="2">
        <f t="shared" si="411"/>
        <v>97.213999999999999</v>
      </c>
      <c r="AL2971" s="5">
        <f t="shared" si="412"/>
        <v>0.44256578348356551</v>
      </c>
    </row>
    <row r="2972" spans="1:38" x14ac:dyDescent="0.2">
      <c r="A2972" s="2">
        <v>2026</v>
      </c>
      <c r="B2972" s="2">
        <v>1</v>
      </c>
      <c r="D2972" s="2" t="s">
        <v>816</v>
      </c>
      <c r="E2972" s="2" t="s">
        <v>38</v>
      </c>
      <c r="F2972" s="2" t="s">
        <v>39</v>
      </c>
      <c r="L2972" s="2" t="s">
        <v>480</v>
      </c>
      <c r="P2972" s="2" t="s">
        <v>72</v>
      </c>
      <c r="Q2972" s="2" t="s">
        <v>1449</v>
      </c>
      <c r="R2972" s="2" t="s">
        <v>307</v>
      </c>
      <c r="S2972" s="2">
        <v>1</v>
      </c>
      <c r="T2972" s="2">
        <v>220</v>
      </c>
      <c r="U2972" s="2">
        <v>50.6</v>
      </c>
      <c r="V2972" s="2">
        <v>270.60000000000002</v>
      </c>
      <c r="W2972" s="2">
        <v>122.446</v>
      </c>
      <c r="X2972" s="5">
        <f t="shared" si="410"/>
        <v>0.44342727272727273</v>
      </c>
      <c r="Z2972" s="2" t="s">
        <v>3227</v>
      </c>
      <c r="AA2972" s="2" t="s">
        <v>75</v>
      </c>
      <c r="AB2972" s="2" t="s">
        <v>76</v>
      </c>
      <c r="AC2972" s="2" t="s">
        <v>77</v>
      </c>
      <c r="AF2972" s="2">
        <f t="shared" si="408"/>
        <v>0</v>
      </c>
      <c r="AG2972" s="2">
        <v>122.446</v>
      </c>
      <c r="AH2972" s="2">
        <v>230</v>
      </c>
      <c r="AJ2972" s="2">
        <f t="shared" si="409"/>
        <v>0</v>
      </c>
      <c r="AK2972" s="2">
        <f t="shared" si="411"/>
        <v>97.554000000000002</v>
      </c>
      <c r="AL2972" s="5">
        <f t="shared" si="412"/>
        <v>0.44342727272727273</v>
      </c>
    </row>
    <row r="2973" spans="1:38" x14ac:dyDescent="0.2">
      <c r="A2973" s="2">
        <v>2026</v>
      </c>
      <c r="B2973" s="2">
        <v>1</v>
      </c>
      <c r="D2973" s="2" t="s">
        <v>319</v>
      </c>
      <c r="E2973" s="2" t="s">
        <v>38</v>
      </c>
      <c r="F2973" s="2" t="s">
        <v>39</v>
      </c>
      <c r="G2973" s="2">
        <v>500883262</v>
      </c>
      <c r="H2973" s="2" t="s">
        <v>40</v>
      </c>
      <c r="I2973" s="2" t="s">
        <v>99</v>
      </c>
      <c r="J2973" s="2" t="s">
        <v>320</v>
      </c>
      <c r="L2973" s="2" t="s">
        <v>99</v>
      </c>
      <c r="M2973" s="2" t="s">
        <v>80</v>
      </c>
      <c r="O2973" s="2" t="s">
        <v>2417</v>
      </c>
      <c r="P2973" s="2" t="s">
        <v>72</v>
      </c>
      <c r="Q2973" s="2" t="s">
        <v>78</v>
      </c>
      <c r="R2973" s="2" t="s">
        <v>79</v>
      </c>
      <c r="S2973" s="2">
        <v>1</v>
      </c>
      <c r="T2973" s="2">
        <v>210</v>
      </c>
      <c r="U2973" s="2">
        <v>48.3</v>
      </c>
      <c r="V2973" s="2">
        <v>258.3</v>
      </c>
      <c r="W2973" s="2">
        <v>111.98</v>
      </c>
      <c r="X2973" s="5">
        <f t="shared" si="410"/>
        <v>0.46676190476190477</v>
      </c>
      <c r="Z2973" s="2" t="s">
        <v>3227</v>
      </c>
      <c r="AA2973" s="2" t="s">
        <v>75</v>
      </c>
      <c r="AB2973" s="2" t="s">
        <v>76</v>
      </c>
      <c r="AC2973" s="2" t="s">
        <v>77</v>
      </c>
      <c r="AF2973" s="2">
        <f t="shared" si="408"/>
        <v>0</v>
      </c>
      <c r="AG2973" s="2">
        <v>111.98</v>
      </c>
      <c r="AH2973" s="2">
        <v>210</v>
      </c>
      <c r="AJ2973" s="2">
        <f t="shared" si="409"/>
        <v>0</v>
      </c>
      <c r="AK2973" s="2">
        <f t="shared" si="411"/>
        <v>98.02</v>
      </c>
      <c r="AL2973" s="5">
        <f t="shared" si="412"/>
        <v>0.46676190476190477</v>
      </c>
    </row>
    <row r="2974" spans="1:38" x14ac:dyDescent="0.2">
      <c r="A2974" s="2">
        <v>2026</v>
      </c>
      <c r="B2974" s="2">
        <v>1</v>
      </c>
      <c r="D2974" s="2" t="s">
        <v>428</v>
      </c>
      <c r="E2974" s="2" t="s">
        <v>38</v>
      </c>
      <c r="G2974" s="2">
        <v>500820384</v>
      </c>
      <c r="H2974" s="2" t="s">
        <v>40</v>
      </c>
      <c r="I2974" s="2" t="s">
        <v>429</v>
      </c>
      <c r="J2974" s="2" t="s">
        <v>430</v>
      </c>
      <c r="L2974" s="2" t="s">
        <v>99</v>
      </c>
      <c r="M2974" s="2" t="s">
        <v>80</v>
      </c>
      <c r="O2974" s="2" t="s">
        <v>2418</v>
      </c>
      <c r="P2974" s="2" t="s">
        <v>72</v>
      </c>
      <c r="Q2974" s="2" t="s">
        <v>78</v>
      </c>
      <c r="R2974" s="2" t="s">
        <v>79</v>
      </c>
      <c r="S2974" s="2">
        <v>1</v>
      </c>
      <c r="T2974" s="2">
        <v>203.7</v>
      </c>
      <c r="U2974" s="2">
        <v>46.850999999999999</v>
      </c>
      <c r="V2974" s="2">
        <v>250.55099999999999</v>
      </c>
      <c r="W2974" s="2">
        <v>111.98</v>
      </c>
      <c r="X2974" s="5">
        <f t="shared" si="410"/>
        <v>0.45027000490918012</v>
      </c>
      <c r="Z2974" s="2" t="s">
        <v>3227</v>
      </c>
      <c r="AA2974" s="2" t="s">
        <v>75</v>
      </c>
      <c r="AB2974" s="2" t="s">
        <v>76</v>
      </c>
      <c r="AC2974" s="2" t="s">
        <v>77</v>
      </c>
      <c r="AF2974" s="2">
        <f t="shared" si="408"/>
        <v>0</v>
      </c>
      <c r="AG2974" s="2">
        <v>111.98</v>
      </c>
      <c r="AH2974" s="2">
        <v>210</v>
      </c>
      <c r="AJ2974" s="2">
        <f t="shared" si="409"/>
        <v>0</v>
      </c>
      <c r="AK2974" s="2">
        <f t="shared" si="411"/>
        <v>91.719999999999985</v>
      </c>
      <c r="AL2974" s="5">
        <f t="shared" si="412"/>
        <v>0.45027000490918012</v>
      </c>
    </row>
    <row r="2975" spans="1:38" x14ac:dyDescent="0.2">
      <c r="A2975" s="2">
        <v>2026</v>
      </c>
      <c r="B2975" s="2">
        <v>1</v>
      </c>
      <c r="D2975" s="2" t="s">
        <v>1376</v>
      </c>
      <c r="E2975" s="2" t="s">
        <v>183</v>
      </c>
      <c r="F2975" s="2" t="s">
        <v>366</v>
      </c>
      <c r="L2975" s="2" t="s">
        <v>571</v>
      </c>
      <c r="M2975" s="2" t="s">
        <v>80</v>
      </c>
      <c r="O2975" s="2" t="s">
        <v>3207</v>
      </c>
      <c r="P2975" s="2" t="s">
        <v>72</v>
      </c>
      <c r="Q2975" s="2" t="s">
        <v>78</v>
      </c>
      <c r="R2975" s="2" t="s">
        <v>79</v>
      </c>
      <c r="S2975" s="2">
        <v>1</v>
      </c>
      <c r="T2975" s="2">
        <v>210</v>
      </c>
      <c r="U2975" s="2">
        <v>48.3</v>
      </c>
      <c r="V2975" s="2">
        <v>258.3</v>
      </c>
      <c r="W2975" s="2">
        <v>111.98</v>
      </c>
      <c r="X2975" s="5">
        <f t="shared" si="410"/>
        <v>0.46676190476190477</v>
      </c>
      <c r="Z2975" s="2" t="s">
        <v>3227</v>
      </c>
      <c r="AA2975" s="2" t="s">
        <v>75</v>
      </c>
      <c r="AB2975" s="2" t="s">
        <v>76</v>
      </c>
      <c r="AC2975" s="2" t="s">
        <v>77</v>
      </c>
      <c r="AF2975" s="2">
        <f t="shared" si="408"/>
        <v>0</v>
      </c>
      <c r="AG2975" s="2">
        <v>111.98</v>
      </c>
      <c r="AH2975" s="2">
        <v>210</v>
      </c>
      <c r="AJ2975" s="2">
        <f t="shared" si="409"/>
        <v>0</v>
      </c>
      <c r="AK2975" s="2">
        <f t="shared" si="411"/>
        <v>98.02</v>
      </c>
      <c r="AL2975" s="5">
        <f t="shared" si="412"/>
        <v>0.46676190476190477</v>
      </c>
    </row>
    <row r="2976" spans="1:38" x14ac:dyDescent="0.2">
      <c r="A2976" s="2">
        <v>2026</v>
      </c>
      <c r="B2976" s="2">
        <v>1</v>
      </c>
      <c r="D2976" s="2" t="s">
        <v>1295</v>
      </c>
      <c r="E2976" s="2" t="s">
        <v>183</v>
      </c>
      <c r="F2976" s="2" t="s">
        <v>366</v>
      </c>
      <c r="G2976" s="2">
        <v>500625654</v>
      </c>
      <c r="H2976" s="2" t="s">
        <v>290</v>
      </c>
      <c r="I2976" s="2" t="s">
        <v>339</v>
      </c>
      <c r="J2976" s="2" t="s">
        <v>1296</v>
      </c>
      <c r="L2976" s="2" t="s">
        <v>339</v>
      </c>
      <c r="M2976" s="2" t="s">
        <v>80</v>
      </c>
      <c r="O2976" s="2" t="s">
        <v>2419</v>
      </c>
      <c r="P2976" s="2" t="s">
        <v>72</v>
      </c>
      <c r="Q2976" s="2" t="s">
        <v>78</v>
      </c>
      <c r="R2976" s="2" t="s">
        <v>79</v>
      </c>
      <c r="S2976" s="2">
        <v>1</v>
      </c>
      <c r="T2976" s="2">
        <v>213.4</v>
      </c>
      <c r="U2976" s="2">
        <v>49.082000000000001</v>
      </c>
      <c r="V2976" s="2">
        <v>262.48200000000003</v>
      </c>
      <c r="W2976" s="2">
        <v>111.98</v>
      </c>
      <c r="X2976" s="5">
        <f t="shared" si="410"/>
        <v>0.47525773195876286</v>
      </c>
      <c r="Z2976" s="2" t="s">
        <v>3227</v>
      </c>
      <c r="AA2976" s="2" t="s">
        <v>75</v>
      </c>
      <c r="AB2976" s="2" t="s">
        <v>76</v>
      </c>
      <c r="AC2976" s="2" t="s">
        <v>77</v>
      </c>
      <c r="AF2976" s="2">
        <f t="shared" si="408"/>
        <v>0</v>
      </c>
      <c r="AG2976" s="2">
        <v>111.98</v>
      </c>
      <c r="AH2976" s="2">
        <v>210</v>
      </c>
      <c r="AJ2976" s="2">
        <f t="shared" si="409"/>
        <v>0</v>
      </c>
      <c r="AK2976" s="2">
        <f t="shared" si="411"/>
        <v>101.42</v>
      </c>
      <c r="AL2976" s="5">
        <f t="shared" si="412"/>
        <v>0.47525773195876286</v>
      </c>
    </row>
    <row r="2977" spans="1:38" x14ac:dyDescent="0.2">
      <c r="A2977" s="2">
        <v>2026</v>
      </c>
      <c r="B2977" s="2">
        <v>1</v>
      </c>
      <c r="C2977" s="2" t="s">
        <v>3327</v>
      </c>
      <c r="D2977" s="2" t="s">
        <v>1009</v>
      </c>
      <c r="E2977" s="2" t="s">
        <v>108</v>
      </c>
      <c r="F2977" s="2" t="s">
        <v>39</v>
      </c>
      <c r="G2977" s="2">
        <v>507063481</v>
      </c>
      <c r="H2977" s="2" t="s">
        <v>290</v>
      </c>
      <c r="I2977" s="2" t="s">
        <v>1010</v>
      </c>
      <c r="J2977" s="2" t="s">
        <v>1011</v>
      </c>
      <c r="L2977" s="2" t="s">
        <v>293</v>
      </c>
      <c r="M2977" s="2" t="s">
        <v>80</v>
      </c>
      <c r="O2977" s="2" t="s">
        <v>3197</v>
      </c>
      <c r="P2977" s="2" t="s">
        <v>72</v>
      </c>
      <c r="Q2977" s="2" t="s">
        <v>533</v>
      </c>
      <c r="R2977" s="2" t="s">
        <v>534</v>
      </c>
      <c r="S2977" s="2">
        <v>1</v>
      </c>
      <c r="T2977" s="2">
        <v>199.5</v>
      </c>
      <c r="U2977" s="2">
        <v>45.885000000000012</v>
      </c>
      <c r="V2977" s="2">
        <v>245.38499999999999</v>
      </c>
      <c r="W2977" s="2">
        <f>110.125+11.77</f>
        <v>121.895</v>
      </c>
      <c r="X2977" s="5">
        <f t="shared" si="410"/>
        <v>0.38899749373433584</v>
      </c>
      <c r="Z2977" s="2" t="s">
        <v>3227</v>
      </c>
      <c r="AA2977" s="2" t="s">
        <v>75</v>
      </c>
      <c r="AB2977" s="2" t="s">
        <v>76</v>
      </c>
      <c r="AC2977" s="2" t="s">
        <v>77</v>
      </c>
      <c r="AF2977" s="2">
        <f t="shared" si="408"/>
        <v>0</v>
      </c>
      <c r="AG2977" s="2">
        <f>110.125+11.77</f>
        <v>121.895</v>
      </c>
      <c r="AJ2977" s="2">
        <f t="shared" si="409"/>
        <v>0</v>
      </c>
      <c r="AK2977" s="2">
        <f t="shared" si="411"/>
        <v>77.605000000000004</v>
      </c>
      <c r="AL2977" s="5">
        <f t="shared" si="412"/>
        <v>0.38899749373433584</v>
      </c>
    </row>
    <row r="2978" spans="1:38" x14ac:dyDescent="0.2">
      <c r="A2978" s="2">
        <v>2026</v>
      </c>
      <c r="B2978" s="2">
        <v>1</v>
      </c>
      <c r="D2978" s="2" t="s">
        <v>37</v>
      </c>
      <c r="E2978" s="2" t="s">
        <v>38</v>
      </c>
      <c r="F2978" s="2" t="s">
        <v>39</v>
      </c>
      <c r="H2978" s="2" t="s">
        <v>40</v>
      </c>
      <c r="I2978" s="2" t="s">
        <v>2420</v>
      </c>
      <c r="L2978" s="2" t="s">
        <v>461</v>
      </c>
      <c r="M2978" s="2" t="s">
        <v>80</v>
      </c>
      <c r="O2978" s="2" t="s">
        <v>2421</v>
      </c>
      <c r="P2978" s="2" t="s">
        <v>72</v>
      </c>
      <c r="Q2978" s="2" t="s">
        <v>82</v>
      </c>
      <c r="R2978" s="2" t="s">
        <v>83</v>
      </c>
      <c r="S2978" s="2">
        <v>1</v>
      </c>
      <c r="T2978" s="2">
        <v>445.68</v>
      </c>
      <c r="U2978" s="2">
        <v>102.5064</v>
      </c>
      <c r="V2978" s="2">
        <v>548.18640000000005</v>
      </c>
      <c r="W2978" s="2">
        <v>208.69</v>
      </c>
      <c r="X2978" s="5">
        <f t="shared" si="410"/>
        <v>0.53174923712080413</v>
      </c>
      <c r="Z2978" s="2" t="s">
        <v>3227</v>
      </c>
      <c r="AA2978" s="2" t="s">
        <v>75</v>
      </c>
      <c r="AB2978" s="2" t="s">
        <v>76</v>
      </c>
      <c r="AC2978" s="2" t="s">
        <v>77</v>
      </c>
      <c r="AF2978" s="2">
        <f t="shared" si="408"/>
        <v>0</v>
      </c>
      <c r="AG2978" s="2">
        <f>198.32+10.37</f>
        <v>208.69</v>
      </c>
      <c r="AH2978" s="2">
        <v>340</v>
      </c>
      <c r="AJ2978" s="2">
        <f t="shared" si="409"/>
        <v>0</v>
      </c>
      <c r="AK2978" s="2">
        <f t="shared" si="411"/>
        <v>236.99</v>
      </c>
      <c r="AL2978" s="5">
        <f t="shared" si="412"/>
        <v>0.53174923712080413</v>
      </c>
    </row>
    <row r="2979" spans="1:38" x14ac:dyDescent="0.2">
      <c r="A2979" s="2">
        <v>2026</v>
      </c>
      <c r="B2979" s="2">
        <v>1</v>
      </c>
      <c r="C2979" s="2" t="s">
        <v>3327</v>
      </c>
      <c r="D2979" s="2" t="s">
        <v>1009</v>
      </c>
      <c r="E2979" s="2" t="s">
        <v>108</v>
      </c>
      <c r="F2979" s="2" t="s">
        <v>39</v>
      </c>
      <c r="G2979" s="2">
        <v>507063481</v>
      </c>
      <c r="H2979" s="2" t="s">
        <v>290</v>
      </c>
      <c r="I2979" s="2" t="s">
        <v>1010</v>
      </c>
      <c r="J2979" s="2" t="s">
        <v>1011</v>
      </c>
      <c r="L2979" s="2" t="s">
        <v>293</v>
      </c>
      <c r="M2979" s="2" t="s">
        <v>80</v>
      </c>
      <c r="P2979" s="2" t="s">
        <v>72</v>
      </c>
      <c r="Q2979" s="2" t="s">
        <v>1075</v>
      </c>
      <c r="R2979" s="2" t="s">
        <v>83</v>
      </c>
      <c r="S2979" s="2">
        <v>2</v>
      </c>
      <c r="T2979" s="2">
        <v>494</v>
      </c>
      <c r="U2979" s="2">
        <v>113.62</v>
      </c>
      <c r="V2979" s="2">
        <v>607.62</v>
      </c>
      <c r="W2979" s="2">
        <f>159.54*2</f>
        <v>319.08</v>
      </c>
      <c r="X2979" s="5">
        <f t="shared" ref="X2979:X2994" si="413">(T2979-W2979)/T2979</f>
        <v>0.35408906882591096</v>
      </c>
      <c r="Z2979" s="2" t="s">
        <v>3227</v>
      </c>
      <c r="AA2979" s="2" t="s">
        <v>75</v>
      </c>
      <c r="AB2979" s="2" t="s">
        <v>76</v>
      </c>
      <c r="AC2979" s="2" t="s">
        <v>77</v>
      </c>
      <c r="AF2979" s="2">
        <f t="shared" si="408"/>
        <v>0</v>
      </c>
      <c r="AG2979" s="2">
        <f>144.14+15.4</f>
        <v>159.54</v>
      </c>
      <c r="AH2979" s="2">
        <v>280</v>
      </c>
      <c r="AJ2979" s="2">
        <f t="shared" si="409"/>
        <v>0</v>
      </c>
      <c r="AK2979" s="2">
        <f t="shared" ref="AK2979:AK3002" si="414">T2979-W2979</f>
        <v>174.92000000000002</v>
      </c>
      <c r="AL2979" s="5">
        <f t="shared" ref="AL2979:AL2994" si="415">(T2979-W2979)/T2979</f>
        <v>0.35408906882591096</v>
      </c>
    </row>
    <row r="2980" spans="1:38" x14ac:dyDescent="0.2">
      <c r="A2980" s="2">
        <v>2026</v>
      </c>
      <c r="B2980" s="2">
        <v>1</v>
      </c>
      <c r="D2980" s="2" t="s">
        <v>314</v>
      </c>
      <c r="E2980" s="2" t="s">
        <v>108</v>
      </c>
      <c r="G2980" s="2">
        <v>503270520</v>
      </c>
      <c r="H2980" s="2" t="s">
        <v>40</v>
      </c>
      <c r="I2980" s="2" t="s">
        <v>315</v>
      </c>
      <c r="J2980" s="2" t="s">
        <v>316</v>
      </c>
      <c r="L2980" s="2" t="s">
        <v>99</v>
      </c>
      <c r="M2980" s="2" t="s">
        <v>80</v>
      </c>
      <c r="P2980" s="2" t="s">
        <v>72</v>
      </c>
      <c r="Q2980" s="2" t="s">
        <v>202</v>
      </c>
      <c r="R2980" s="2" t="s">
        <v>197</v>
      </c>
      <c r="S2980" s="8">
        <v>1</v>
      </c>
      <c r="T2980" s="2">
        <v>260</v>
      </c>
      <c r="U2980" s="2">
        <v>59.8</v>
      </c>
      <c r="V2980" s="2">
        <v>319.8</v>
      </c>
      <c r="W2980" s="2">
        <v>152.85</v>
      </c>
      <c r="X2980" s="5">
        <f t="shared" si="413"/>
        <v>0.41211538461538466</v>
      </c>
      <c r="Z2980" s="2" t="s">
        <v>3227</v>
      </c>
      <c r="AA2980" s="2" t="s">
        <v>75</v>
      </c>
      <c r="AB2980" s="2" t="s">
        <v>76</v>
      </c>
      <c r="AC2980" s="2" t="s">
        <v>77</v>
      </c>
      <c r="AF2980" s="2">
        <f t="shared" si="408"/>
        <v>0</v>
      </c>
      <c r="AG2980" s="2">
        <v>152.85</v>
      </c>
      <c r="AH2980" s="2">
        <v>260</v>
      </c>
      <c r="AJ2980" s="2">
        <f t="shared" si="409"/>
        <v>0</v>
      </c>
      <c r="AK2980" s="2">
        <f t="shared" si="414"/>
        <v>107.15</v>
      </c>
      <c r="AL2980" s="5">
        <f t="shared" si="415"/>
        <v>0.41211538461538466</v>
      </c>
    </row>
    <row r="2981" spans="1:38" x14ac:dyDescent="0.2">
      <c r="A2981" s="2">
        <v>2026</v>
      </c>
      <c r="B2981" s="2">
        <v>1</v>
      </c>
      <c r="D2981" s="2" t="s">
        <v>428</v>
      </c>
      <c r="E2981" s="2" t="s">
        <v>38</v>
      </c>
      <c r="G2981" s="2">
        <v>500820384</v>
      </c>
      <c r="H2981" s="2" t="s">
        <v>40</v>
      </c>
      <c r="I2981" s="2" t="s">
        <v>429</v>
      </c>
      <c r="J2981" s="2" t="s">
        <v>430</v>
      </c>
      <c r="L2981" s="2" t="s">
        <v>99</v>
      </c>
      <c r="M2981" s="2" t="s">
        <v>80</v>
      </c>
      <c r="O2981" s="2" t="s">
        <v>2422</v>
      </c>
      <c r="P2981" s="2" t="s">
        <v>72</v>
      </c>
      <c r="Q2981" s="2" t="s">
        <v>2423</v>
      </c>
      <c r="R2981" s="2" t="s">
        <v>83</v>
      </c>
      <c r="S2981" s="2">
        <v>1</v>
      </c>
      <c r="T2981" s="2">
        <v>349.2</v>
      </c>
      <c r="U2981" s="2">
        <v>80.316000000000003</v>
      </c>
      <c r="V2981" s="2">
        <v>429.51600000000002</v>
      </c>
      <c r="W2981" s="2">
        <f>203.62+10.65</f>
        <v>214.27</v>
      </c>
      <c r="X2981" s="5">
        <f t="shared" si="413"/>
        <v>0.38639747995418094</v>
      </c>
      <c r="Z2981" s="2" t="s">
        <v>3227</v>
      </c>
      <c r="AA2981" s="2" t="s">
        <v>75</v>
      </c>
      <c r="AB2981" s="2" t="s">
        <v>76</v>
      </c>
      <c r="AC2981" s="2" t="s">
        <v>77</v>
      </c>
      <c r="AF2981" s="2">
        <f t="shared" si="408"/>
        <v>0</v>
      </c>
      <c r="AJ2981" s="2">
        <f t="shared" si="409"/>
        <v>0</v>
      </c>
      <c r="AK2981" s="2">
        <f t="shared" si="414"/>
        <v>134.92999999999998</v>
      </c>
      <c r="AL2981" s="5">
        <f t="shared" si="415"/>
        <v>0.38639747995418094</v>
      </c>
    </row>
    <row r="2982" spans="1:38" x14ac:dyDescent="0.2">
      <c r="A2982" s="2">
        <v>2026</v>
      </c>
      <c r="B2982" s="2">
        <v>1</v>
      </c>
      <c r="D2982" s="2" t="s">
        <v>894</v>
      </c>
      <c r="P2982" s="2" t="s">
        <v>72</v>
      </c>
      <c r="Q2982" s="2" t="s">
        <v>2424</v>
      </c>
      <c r="R2982" s="2" t="s">
        <v>74</v>
      </c>
      <c r="S2982" s="2">
        <v>1</v>
      </c>
      <c r="T2982" s="2">
        <v>280</v>
      </c>
      <c r="U2982" s="2">
        <v>64.400000000000006</v>
      </c>
      <c r="V2982" s="2">
        <v>344.4</v>
      </c>
      <c r="W2982" s="2">
        <v>145.32</v>
      </c>
      <c r="X2982" s="5">
        <f t="shared" si="413"/>
        <v>0.48100000000000004</v>
      </c>
      <c r="Z2982" s="2" t="s">
        <v>3227</v>
      </c>
      <c r="AA2982" s="2" t="s">
        <v>75</v>
      </c>
      <c r="AB2982" s="2" t="s">
        <v>76</v>
      </c>
      <c r="AC2982" s="2" t="s">
        <v>77</v>
      </c>
      <c r="AF2982" s="2">
        <f t="shared" si="408"/>
        <v>0</v>
      </c>
      <c r="AJ2982" s="2">
        <f t="shared" si="409"/>
        <v>0</v>
      </c>
      <c r="AK2982" s="2">
        <f t="shared" si="414"/>
        <v>134.68</v>
      </c>
      <c r="AL2982" s="5">
        <f t="shared" si="415"/>
        <v>0.48100000000000004</v>
      </c>
    </row>
    <row r="2983" spans="1:38" x14ac:dyDescent="0.2">
      <c r="A2983" s="2">
        <v>2026</v>
      </c>
      <c r="B2983" s="2">
        <v>1</v>
      </c>
      <c r="D2983" s="2" t="s">
        <v>677</v>
      </c>
      <c r="E2983" s="2" t="s">
        <v>108</v>
      </c>
      <c r="F2983" s="2" t="s">
        <v>39</v>
      </c>
      <c r="G2983" s="2">
        <v>505764636</v>
      </c>
      <c r="H2983" s="2" t="s">
        <v>290</v>
      </c>
      <c r="I2983" s="2" t="s">
        <v>678</v>
      </c>
      <c r="J2983" s="2" t="s">
        <v>679</v>
      </c>
      <c r="L2983" s="2" t="s">
        <v>339</v>
      </c>
      <c r="M2983" s="2" t="s">
        <v>80</v>
      </c>
      <c r="O2983" s="2" t="s">
        <v>2425</v>
      </c>
      <c r="P2983" s="2" t="s">
        <v>72</v>
      </c>
      <c r="Q2983" s="2" t="s">
        <v>1990</v>
      </c>
      <c r="R2983" s="2" t="s">
        <v>1416</v>
      </c>
      <c r="S2983" s="2">
        <v>1</v>
      </c>
      <c r="T2983" s="2">
        <v>260</v>
      </c>
      <c r="U2983" s="2">
        <v>59.8</v>
      </c>
      <c r="V2983" s="2">
        <v>319.8</v>
      </c>
      <c r="W2983" s="2">
        <v>203.29</v>
      </c>
      <c r="X2983" s="5">
        <f t="shared" si="413"/>
        <v>0.21811538461538466</v>
      </c>
      <c r="Z2983" s="2" t="s">
        <v>3227</v>
      </c>
      <c r="AA2983" s="2" t="s">
        <v>75</v>
      </c>
      <c r="AB2983" s="2" t="s">
        <v>76</v>
      </c>
      <c r="AC2983" s="2" t="s">
        <v>77</v>
      </c>
      <c r="AF2983" s="2">
        <f t="shared" si="408"/>
        <v>0</v>
      </c>
      <c r="AJ2983" s="2">
        <f t="shared" si="409"/>
        <v>0</v>
      </c>
      <c r="AK2983" s="2">
        <f t="shared" si="414"/>
        <v>56.710000000000008</v>
      </c>
      <c r="AL2983" s="5">
        <f t="shared" si="415"/>
        <v>0.21811538461538466</v>
      </c>
    </row>
    <row r="2984" spans="1:38" x14ac:dyDescent="0.2">
      <c r="A2984" s="2">
        <v>2026</v>
      </c>
      <c r="B2984" s="2">
        <v>1</v>
      </c>
      <c r="D2984" s="2" t="s">
        <v>981</v>
      </c>
      <c r="E2984" s="2" t="s">
        <v>108</v>
      </c>
      <c r="F2984" s="2" t="s">
        <v>717</v>
      </c>
      <c r="G2984" s="2">
        <v>500594309</v>
      </c>
      <c r="H2984" s="2" t="s">
        <v>290</v>
      </c>
      <c r="I2984" s="2" t="s">
        <v>982</v>
      </c>
      <c r="J2984" s="2" t="s">
        <v>983</v>
      </c>
      <c r="L2984" s="2" t="s">
        <v>293</v>
      </c>
      <c r="M2984" s="2" t="s">
        <v>80</v>
      </c>
      <c r="O2984" s="2" t="s">
        <v>2426</v>
      </c>
      <c r="P2984" s="2" t="s">
        <v>72</v>
      </c>
      <c r="Q2984" s="2" t="s">
        <v>206</v>
      </c>
      <c r="R2984" s="2" t="s">
        <v>207</v>
      </c>
      <c r="S2984" s="2">
        <v>1</v>
      </c>
      <c r="T2984" s="2">
        <v>460</v>
      </c>
      <c r="U2984" s="2">
        <v>105.8</v>
      </c>
      <c r="V2984" s="2">
        <v>565.79999999999995</v>
      </c>
      <c r="W2984" s="2">
        <f>291.59*S2984</f>
        <v>291.58999999999997</v>
      </c>
      <c r="X2984" s="5">
        <f t="shared" si="413"/>
        <v>0.36610869565217397</v>
      </c>
      <c r="Z2984" s="2" t="s">
        <v>3227</v>
      </c>
      <c r="AA2984" s="2" t="s">
        <v>75</v>
      </c>
      <c r="AB2984" s="2" t="s">
        <v>76</v>
      </c>
      <c r="AC2984" s="2" t="s">
        <v>77</v>
      </c>
      <c r="AF2984" s="2">
        <f t="shared" si="408"/>
        <v>0</v>
      </c>
      <c r="AG2984" s="2">
        <v>291.58999999999997</v>
      </c>
      <c r="AH2984" s="2">
        <v>450</v>
      </c>
      <c r="AJ2984" s="2">
        <f t="shared" si="409"/>
        <v>0</v>
      </c>
      <c r="AK2984" s="2">
        <f t="shared" si="414"/>
        <v>168.41000000000003</v>
      </c>
      <c r="AL2984" s="5">
        <f t="shared" si="415"/>
        <v>0.36610869565217397</v>
      </c>
    </row>
    <row r="2985" spans="1:38" x14ac:dyDescent="0.2">
      <c r="A2985" s="2">
        <v>2026</v>
      </c>
      <c r="B2985" s="2">
        <v>1</v>
      </c>
      <c r="D2985" s="2" t="s">
        <v>582</v>
      </c>
      <c r="E2985" s="2" t="s">
        <v>108</v>
      </c>
      <c r="G2985" s="2">
        <v>503850276</v>
      </c>
      <c r="H2985" s="2" t="s">
        <v>40</v>
      </c>
      <c r="I2985" s="2" t="s">
        <v>583</v>
      </c>
      <c r="J2985" s="2" t="s">
        <v>584</v>
      </c>
      <c r="L2985" s="2" t="s">
        <v>201</v>
      </c>
      <c r="M2985" s="2" t="s">
        <v>80</v>
      </c>
      <c r="P2985" s="2" t="s">
        <v>72</v>
      </c>
      <c r="Q2985" s="2" t="s">
        <v>206</v>
      </c>
      <c r="R2985" s="2" t="s">
        <v>207</v>
      </c>
      <c r="S2985" s="2">
        <v>1</v>
      </c>
      <c r="T2985" s="2">
        <v>460</v>
      </c>
      <c r="U2985" s="2">
        <v>105.8</v>
      </c>
      <c r="V2985" s="2">
        <v>565.79999999999995</v>
      </c>
      <c r="W2985" s="2">
        <f>291.59*S2985</f>
        <v>291.58999999999997</v>
      </c>
      <c r="X2985" s="5">
        <f t="shared" si="413"/>
        <v>0.36610869565217397</v>
      </c>
      <c r="Z2985" s="2" t="s">
        <v>3227</v>
      </c>
      <c r="AA2985" s="2" t="s">
        <v>75</v>
      </c>
      <c r="AB2985" s="2" t="s">
        <v>76</v>
      </c>
      <c r="AC2985" s="2" t="s">
        <v>77</v>
      </c>
      <c r="AF2985" s="2">
        <f t="shared" si="408"/>
        <v>0</v>
      </c>
      <c r="AG2985" s="2">
        <v>291.58999999999997</v>
      </c>
      <c r="AH2985" s="2">
        <v>450</v>
      </c>
      <c r="AJ2985" s="2">
        <f t="shared" si="409"/>
        <v>0</v>
      </c>
      <c r="AK2985" s="2">
        <f t="shared" si="414"/>
        <v>168.41000000000003</v>
      </c>
      <c r="AL2985" s="5">
        <f t="shared" si="415"/>
        <v>0.36610869565217397</v>
      </c>
    </row>
    <row r="2986" spans="1:38" x14ac:dyDescent="0.2">
      <c r="A2986" s="2">
        <v>2026</v>
      </c>
      <c r="B2986" s="2">
        <v>1</v>
      </c>
      <c r="D2986" s="2" t="s">
        <v>585</v>
      </c>
      <c r="P2986" s="2" t="s">
        <v>84</v>
      </c>
      <c r="Q2986" s="2" t="s">
        <v>1211</v>
      </c>
      <c r="R2986" s="2" t="s">
        <v>1212</v>
      </c>
      <c r="S2986" s="2">
        <v>1</v>
      </c>
      <c r="T2986" s="2">
        <v>15</v>
      </c>
      <c r="U2986" s="2">
        <v>3.45</v>
      </c>
      <c r="V2986" s="2">
        <v>18.45</v>
      </c>
      <c r="X2986" s="5">
        <f t="shared" si="413"/>
        <v>1</v>
      </c>
      <c r="Z2986" s="2" t="s">
        <v>3227</v>
      </c>
      <c r="AA2986" s="2" t="s">
        <v>87</v>
      </c>
      <c r="AB2986" s="2" t="s">
        <v>90</v>
      </c>
      <c r="AC2986" s="2" t="s">
        <v>84</v>
      </c>
      <c r="AF2986" s="2">
        <f t="shared" si="408"/>
        <v>0</v>
      </c>
      <c r="AJ2986" s="2">
        <f t="shared" si="409"/>
        <v>0</v>
      </c>
      <c r="AK2986" s="2">
        <f t="shared" si="414"/>
        <v>15</v>
      </c>
      <c r="AL2986" s="5">
        <f t="shared" si="415"/>
        <v>1</v>
      </c>
    </row>
    <row r="2987" spans="1:38" x14ac:dyDescent="0.2">
      <c r="A2987" s="2">
        <v>2026</v>
      </c>
      <c r="B2987" s="2">
        <v>1</v>
      </c>
      <c r="D2987" s="2" t="s">
        <v>2427</v>
      </c>
      <c r="P2987" s="2" t="s">
        <v>84</v>
      </c>
      <c r="Q2987" s="2" t="s">
        <v>2428</v>
      </c>
      <c r="R2987" s="2" t="s">
        <v>2429</v>
      </c>
      <c r="S2987" s="2">
        <v>1</v>
      </c>
      <c r="T2987" s="2">
        <v>470</v>
      </c>
      <c r="U2987" s="2">
        <v>108.1</v>
      </c>
      <c r="V2987" s="2">
        <v>578.1</v>
      </c>
      <c r="W2987" s="2">
        <v>363.92</v>
      </c>
      <c r="X2987" s="5">
        <f t="shared" si="413"/>
        <v>0.22570212765957443</v>
      </c>
      <c r="Z2987" s="2" t="s">
        <v>3227</v>
      </c>
      <c r="AA2987" s="2" t="s">
        <v>87</v>
      </c>
      <c r="AB2987" s="2" t="s">
        <v>90</v>
      </c>
      <c r="AC2987" s="2" t="s">
        <v>84</v>
      </c>
      <c r="AF2987" s="2">
        <f t="shared" si="408"/>
        <v>0</v>
      </c>
      <c r="AJ2987" s="2">
        <f t="shared" si="409"/>
        <v>0</v>
      </c>
      <c r="AK2987" s="2">
        <f t="shared" si="414"/>
        <v>106.07999999999998</v>
      </c>
      <c r="AL2987" s="5">
        <f t="shared" si="415"/>
        <v>0.22570212765957443</v>
      </c>
    </row>
    <row r="2988" spans="1:38" x14ac:dyDescent="0.2">
      <c r="A2988" s="2">
        <v>2026</v>
      </c>
      <c r="B2988" s="2">
        <v>1</v>
      </c>
      <c r="D2988" s="2" t="s">
        <v>37</v>
      </c>
      <c r="E2988" s="2" t="s">
        <v>38</v>
      </c>
      <c r="F2988" s="2" t="s">
        <v>39</v>
      </c>
      <c r="H2988" s="2" t="s">
        <v>40</v>
      </c>
      <c r="M2988" s="2" t="s">
        <v>80</v>
      </c>
      <c r="P2988" s="2" t="s">
        <v>1038</v>
      </c>
      <c r="Q2988" s="2" t="s">
        <v>2430</v>
      </c>
      <c r="R2988" s="2" t="s">
        <v>2431</v>
      </c>
      <c r="S2988" s="2">
        <v>4</v>
      </c>
      <c r="T2988" s="2">
        <v>520</v>
      </c>
      <c r="U2988" s="2">
        <v>119.6</v>
      </c>
      <c r="V2988" s="2">
        <v>639.6</v>
      </c>
      <c r="W2988" s="2">
        <v>303.12</v>
      </c>
      <c r="X2988" s="5">
        <f t="shared" si="413"/>
        <v>0.41707692307692307</v>
      </c>
      <c r="Z2988" s="2" t="s">
        <v>3227</v>
      </c>
      <c r="AA2988" s="2" t="s">
        <v>1041</v>
      </c>
      <c r="AB2988" s="2" t="s">
        <v>1270</v>
      </c>
      <c r="AC2988" s="2" t="s">
        <v>1038</v>
      </c>
      <c r="AF2988" s="2">
        <f t="shared" si="408"/>
        <v>0</v>
      </c>
      <c r="AJ2988" s="2">
        <f t="shared" si="409"/>
        <v>0</v>
      </c>
      <c r="AK2988" s="2">
        <f t="shared" si="414"/>
        <v>216.88</v>
      </c>
      <c r="AL2988" s="5">
        <f t="shared" si="415"/>
        <v>0.41707692307692307</v>
      </c>
    </row>
    <row r="2989" spans="1:38" x14ac:dyDescent="0.2">
      <c r="A2989" s="2">
        <v>2026</v>
      </c>
      <c r="B2989" s="2">
        <v>1</v>
      </c>
      <c r="D2989" s="2" t="s">
        <v>2432</v>
      </c>
      <c r="M2989" s="2" t="s">
        <v>80</v>
      </c>
      <c r="P2989" s="2" t="s">
        <v>1038</v>
      </c>
      <c r="Q2989" s="2" t="s">
        <v>2433</v>
      </c>
      <c r="R2989" s="2" t="s">
        <v>2434</v>
      </c>
      <c r="S2989" s="2">
        <v>4</v>
      </c>
      <c r="T2989" s="2">
        <v>601.63</v>
      </c>
      <c r="U2989" s="2">
        <v>138.3749</v>
      </c>
      <c r="V2989" s="2">
        <v>740.00490000000002</v>
      </c>
      <c r="W2989" s="2">
        <v>367.56</v>
      </c>
      <c r="X2989" s="5">
        <f t="shared" si="413"/>
        <v>0.38905972109103604</v>
      </c>
      <c r="Z2989" s="2" t="s">
        <v>3227</v>
      </c>
      <c r="AA2989" s="2" t="s">
        <v>1041</v>
      </c>
      <c r="AB2989" s="2" t="s">
        <v>1318</v>
      </c>
      <c r="AC2989" s="2" t="s">
        <v>1038</v>
      </c>
      <c r="AF2989" s="2">
        <f t="shared" si="408"/>
        <v>0</v>
      </c>
      <c r="AJ2989" s="2">
        <f t="shared" si="409"/>
        <v>0</v>
      </c>
      <c r="AK2989" s="2">
        <f t="shared" si="414"/>
        <v>234.07</v>
      </c>
      <c r="AL2989" s="5">
        <f t="shared" si="415"/>
        <v>0.38905972109103604</v>
      </c>
    </row>
    <row r="2990" spans="1:38" x14ac:dyDescent="0.2">
      <c r="A2990" s="2">
        <v>2026</v>
      </c>
      <c r="B2990" s="2">
        <v>1</v>
      </c>
      <c r="D2990" s="2" t="s">
        <v>2435</v>
      </c>
      <c r="E2990" s="2" t="s">
        <v>108</v>
      </c>
      <c r="F2990" s="2" t="s">
        <v>39</v>
      </c>
      <c r="G2990" s="2">
        <v>503305464</v>
      </c>
      <c r="H2990" s="2" t="s">
        <v>41</v>
      </c>
      <c r="I2990" s="2" t="s">
        <v>2436</v>
      </c>
      <c r="J2990" s="2" t="s">
        <v>2437</v>
      </c>
      <c r="L2990" s="2" t="s">
        <v>2438</v>
      </c>
      <c r="M2990" s="2" t="s">
        <v>41</v>
      </c>
      <c r="O2990" s="2" t="s">
        <v>2439</v>
      </c>
      <c r="P2990" s="2" t="s">
        <v>40</v>
      </c>
      <c r="Q2990" s="2" t="s">
        <v>907</v>
      </c>
      <c r="R2990" s="2" t="s">
        <v>908</v>
      </c>
      <c r="S2990" s="2">
        <v>1</v>
      </c>
      <c r="T2990" s="2">
        <v>1500</v>
      </c>
      <c r="U2990" s="2">
        <v>345</v>
      </c>
      <c r="V2990" s="2">
        <v>1845</v>
      </c>
      <c r="W2990" s="2">
        <v>1160.5</v>
      </c>
      <c r="X2990" s="5">
        <f t="shared" si="413"/>
        <v>0.22633333333333333</v>
      </c>
      <c r="Z2990" s="2" t="s">
        <v>104</v>
      </c>
      <c r="AA2990" s="2" t="s">
        <v>150</v>
      </c>
      <c r="AB2990" s="2" t="s">
        <v>475</v>
      </c>
      <c r="AC2990" s="2" t="s">
        <v>475</v>
      </c>
      <c r="AF2990" s="2">
        <f t="shared" si="408"/>
        <v>0</v>
      </c>
      <c r="AG2990" s="2">
        <v>1160.5</v>
      </c>
      <c r="AH2990" s="2">
        <v>1500</v>
      </c>
      <c r="AJ2990" s="2">
        <f t="shared" si="409"/>
        <v>0</v>
      </c>
      <c r="AK2990" s="2">
        <f t="shared" si="414"/>
        <v>339.5</v>
      </c>
      <c r="AL2990" s="5">
        <f t="shared" si="415"/>
        <v>0.22633333333333333</v>
      </c>
    </row>
    <row r="2991" spans="1:38" x14ac:dyDescent="0.2">
      <c r="A2991" s="2">
        <v>2026</v>
      </c>
      <c r="B2991" s="2">
        <v>1</v>
      </c>
      <c r="D2991" s="2" t="s">
        <v>488</v>
      </c>
      <c r="E2991" s="2" t="s">
        <v>38</v>
      </c>
      <c r="F2991" s="2" t="s">
        <v>39</v>
      </c>
      <c r="G2991" s="2">
        <v>507380312</v>
      </c>
      <c r="H2991" s="2" t="s">
        <v>40</v>
      </c>
      <c r="I2991" s="2" t="s">
        <v>489</v>
      </c>
      <c r="J2991" s="2" t="s">
        <v>490</v>
      </c>
      <c r="K2991" s="2">
        <v>912293443</v>
      </c>
      <c r="L2991" s="2" t="s">
        <v>99</v>
      </c>
      <c r="M2991" s="2" t="s">
        <v>40</v>
      </c>
      <c r="O2991" s="2" t="s">
        <v>2440</v>
      </c>
      <c r="P2991" s="2" t="s">
        <v>40</v>
      </c>
      <c r="Q2991" s="2" t="s">
        <v>491</v>
      </c>
      <c r="R2991" s="2" t="s">
        <v>492</v>
      </c>
      <c r="S2991" s="2">
        <v>1</v>
      </c>
      <c r="T2991" s="2">
        <v>664.04</v>
      </c>
      <c r="U2991" s="2">
        <v>152.72919999999999</v>
      </c>
      <c r="V2991" s="2">
        <v>816.76919999999996</v>
      </c>
      <c r="X2991" s="5">
        <f t="shared" si="413"/>
        <v>1</v>
      </c>
      <c r="Z2991" s="2" t="s">
        <v>119</v>
      </c>
      <c r="AA2991" s="2" t="s">
        <v>492</v>
      </c>
      <c r="AF2991" s="2">
        <f t="shared" si="408"/>
        <v>0</v>
      </c>
      <c r="AJ2991" s="2">
        <f t="shared" si="409"/>
        <v>0</v>
      </c>
      <c r="AK2991" s="2">
        <f t="shared" si="414"/>
        <v>664.04</v>
      </c>
      <c r="AL2991" s="5">
        <f t="shared" si="415"/>
        <v>1</v>
      </c>
    </row>
    <row r="2992" spans="1:38" x14ac:dyDescent="0.2">
      <c r="A2992" s="2">
        <v>2026</v>
      </c>
      <c r="B2992" s="2">
        <v>1</v>
      </c>
      <c r="D2992" s="2" t="s">
        <v>314</v>
      </c>
      <c r="E2992" s="2" t="s">
        <v>108</v>
      </c>
      <c r="G2992" s="2">
        <v>503270520</v>
      </c>
      <c r="H2992" s="2" t="s">
        <v>40</v>
      </c>
      <c r="I2992" s="2" t="s">
        <v>315</v>
      </c>
      <c r="J2992" s="2" t="s">
        <v>316</v>
      </c>
      <c r="L2992" s="2" t="s">
        <v>99</v>
      </c>
      <c r="M2992" s="2" t="s">
        <v>40</v>
      </c>
      <c r="P2992" s="2" t="s">
        <v>187</v>
      </c>
      <c r="Q2992" s="2" t="s">
        <v>317</v>
      </c>
      <c r="R2992" s="2" t="s">
        <v>318</v>
      </c>
      <c r="S2992" s="2">
        <v>1</v>
      </c>
      <c r="T2992" s="2">
        <v>291</v>
      </c>
      <c r="U2992" s="2">
        <v>66.930000000000007</v>
      </c>
      <c r="V2992" s="2">
        <v>357.93</v>
      </c>
      <c r="X2992" s="5">
        <f t="shared" si="413"/>
        <v>1</v>
      </c>
      <c r="Z2992" s="2" t="s">
        <v>117</v>
      </c>
      <c r="AA2992" s="2" t="s">
        <v>317</v>
      </c>
      <c r="AF2992" s="2">
        <f t="shared" si="408"/>
        <v>0</v>
      </c>
      <c r="AJ2992" s="2">
        <f t="shared" si="409"/>
        <v>0</v>
      </c>
      <c r="AK2992" s="2">
        <f t="shared" si="414"/>
        <v>291</v>
      </c>
      <c r="AL2992" s="5">
        <f t="shared" si="415"/>
        <v>1</v>
      </c>
    </row>
    <row r="2993" spans="1:38" x14ac:dyDescent="0.2">
      <c r="A2993" s="2">
        <v>2026</v>
      </c>
      <c r="B2993" s="2">
        <v>1</v>
      </c>
      <c r="D2993" s="2" t="s">
        <v>1884</v>
      </c>
      <c r="M2993" s="2" t="s">
        <v>40</v>
      </c>
      <c r="P2993" s="2" t="s">
        <v>187</v>
      </c>
      <c r="Q2993" s="2" t="s">
        <v>317</v>
      </c>
      <c r="R2993" s="2" t="s">
        <v>318</v>
      </c>
      <c r="S2993" s="2">
        <v>-1</v>
      </c>
      <c r="T2993" s="2">
        <v>-850</v>
      </c>
      <c r="U2993" s="2">
        <v>-195.5</v>
      </c>
      <c r="V2993" s="2">
        <v>-1045.5</v>
      </c>
      <c r="X2993" s="5">
        <f t="shared" si="413"/>
        <v>1</v>
      </c>
      <c r="Z2993" s="2" t="s">
        <v>117</v>
      </c>
      <c r="AA2993" s="2" t="s">
        <v>317</v>
      </c>
      <c r="AF2993" s="2">
        <f t="shared" si="408"/>
        <v>0</v>
      </c>
      <c r="AJ2993" s="2">
        <f t="shared" si="409"/>
        <v>0</v>
      </c>
      <c r="AK2993" s="2">
        <f t="shared" si="414"/>
        <v>-850</v>
      </c>
      <c r="AL2993" s="5">
        <f t="shared" si="415"/>
        <v>1</v>
      </c>
    </row>
    <row r="2994" spans="1:38" x14ac:dyDescent="0.2">
      <c r="A2994" s="2">
        <v>2026</v>
      </c>
      <c r="B2994" s="2">
        <v>1</v>
      </c>
      <c r="C2994" s="2" t="s">
        <v>3452</v>
      </c>
      <c r="D2994" s="2" t="s">
        <v>1009</v>
      </c>
      <c r="E2994" s="2" t="s">
        <v>108</v>
      </c>
      <c r="F2994" s="2" t="s">
        <v>39</v>
      </c>
      <c r="G2994" s="2">
        <v>507063481</v>
      </c>
      <c r="H2994" s="2" t="s">
        <v>290</v>
      </c>
      <c r="I2994" s="2" t="s">
        <v>1010</v>
      </c>
      <c r="J2994" s="2" t="s">
        <v>1011</v>
      </c>
      <c r="L2994" s="2" t="s">
        <v>293</v>
      </c>
      <c r="M2994" s="2" t="s">
        <v>40</v>
      </c>
      <c r="P2994" s="2" t="s">
        <v>187</v>
      </c>
      <c r="Q2994" s="2" t="s">
        <v>317</v>
      </c>
      <c r="R2994" s="2" t="s">
        <v>318</v>
      </c>
      <c r="S2994" s="2">
        <v>1</v>
      </c>
      <c r="T2994" s="2">
        <v>875</v>
      </c>
      <c r="U2994" s="2">
        <v>201.25</v>
      </c>
      <c r="V2994" s="2">
        <v>1076.25</v>
      </c>
      <c r="X2994" s="5">
        <f t="shared" si="413"/>
        <v>1</v>
      </c>
      <c r="Z2994" s="2" t="s">
        <v>117</v>
      </c>
      <c r="AA2994" s="2" t="s">
        <v>317</v>
      </c>
      <c r="AF2994" s="2">
        <f t="shared" si="408"/>
        <v>0</v>
      </c>
      <c r="AJ2994" s="2">
        <f t="shared" si="409"/>
        <v>0</v>
      </c>
      <c r="AK2994" s="2">
        <f t="shared" si="414"/>
        <v>875</v>
      </c>
      <c r="AL2994" s="5">
        <f t="shared" si="415"/>
        <v>1</v>
      </c>
    </row>
    <row r="2995" spans="1:38" x14ac:dyDescent="0.2">
      <c r="A2995" s="2">
        <v>2026</v>
      </c>
      <c r="B2995" s="2">
        <v>4</v>
      </c>
      <c r="C2995" s="2" t="s">
        <v>3444</v>
      </c>
      <c r="D2995" s="2" t="s">
        <v>941</v>
      </c>
      <c r="E2995" s="2" t="s">
        <v>38</v>
      </c>
      <c r="F2995" s="2" t="s">
        <v>39</v>
      </c>
      <c r="L2995" s="2" t="s">
        <v>177</v>
      </c>
      <c r="M2995" s="2" t="s">
        <v>40</v>
      </c>
      <c r="P2995" s="2" t="s">
        <v>187</v>
      </c>
      <c r="Q2995" s="2" t="s">
        <v>188</v>
      </c>
      <c r="R2995" s="2" t="s">
        <v>189</v>
      </c>
      <c r="S2995" s="2">
        <v>0</v>
      </c>
      <c r="T2995" s="2">
        <v>0</v>
      </c>
      <c r="U2995" s="2">
        <v>0</v>
      </c>
      <c r="V2995" s="2">
        <v>0</v>
      </c>
      <c r="W2995" s="2">
        <f>T2995*40%</f>
        <v>0</v>
      </c>
      <c r="X2995" s="5">
        <v>0</v>
      </c>
      <c r="Z2995" s="2" t="s">
        <v>117</v>
      </c>
      <c r="AA2995" s="2" t="s">
        <v>190</v>
      </c>
      <c r="AB2995" s="2" t="s">
        <v>189</v>
      </c>
      <c r="AC2995" s="2" t="s">
        <v>40</v>
      </c>
      <c r="AF2995" s="2">
        <f t="shared" si="408"/>
        <v>0</v>
      </c>
      <c r="AJ2995" s="2">
        <f t="shared" si="409"/>
        <v>0</v>
      </c>
      <c r="AK2995" s="2">
        <f t="shared" si="414"/>
        <v>0</v>
      </c>
      <c r="AL2995" s="5">
        <v>0</v>
      </c>
    </row>
    <row r="2996" spans="1:38" x14ac:dyDescent="0.2">
      <c r="A2996" s="2">
        <v>2026</v>
      </c>
      <c r="B2996" s="2">
        <v>4</v>
      </c>
      <c r="C2996" s="2" t="s">
        <v>3444</v>
      </c>
      <c r="D2996" s="2" t="s">
        <v>941</v>
      </c>
      <c r="E2996" s="2" t="s">
        <v>38</v>
      </c>
      <c r="F2996" s="2" t="s">
        <v>39</v>
      </c>
      <c r="L2996" s="2" t="s">
        <v>177</v>
      </c>
      <c r="M2996" s="2" t="s">
        <v>40</v>
      </c>
      <c r="P2996" s="2" t="s">
        <v>187</v>
      </c>
      <c r="Q2996" s="2" t="s">
        <v>191</v>
      </c>
      <c r="R2996" s="2" t="s">
        <v>190</v>
      </c>
      <c r="S2996" s="2">
        <v>0</v>
      </c>
      <c r="T2996" s="2">
        <v>0</v>
      </c>
      <c r="U2996" s="2">
        <v>0</v>
      </c>
      <c r="V2996" s="2">
        <v>0</v>
      </c>
      <c r="W2996" s="2">
        <v>0</v>
      </c>
      <c r="X2996" s="5">
        <v>0</v>
      </c>
      <c r="Z2996" s="2" t="s">
        <v>117</v>
      </c>
      <c r="AA2996" s="2" t="s">
        <v>190</v>
      </c>
      <c r="AB2996" s="2" t="s">
        <v>190</v>
      </c>
      <c r="AC2996" s="2" t="s">
        <v>40</v>
      </c>
      <c r="AF2996" s="2">
        <f t="shared" si="408"/>
        <v>0</v>
      </c>
      <c r="AG2996" s="2">
        <f>W2996</f>
        <v>0</v>
      </c>
      <c r="AJ2996" s="2">
        <f t="shared" si="409"/>
        <v>0</v>
      </c>
      <c r="AK2996" s="2">
        <f t="shared" si="414"/>
        <v>0</v>
      </c>
      <c r="AL2996" s="5">
        <v>0</v>
      </c>
    </row>
    <row r="2997" spans="1:38" x14ac:dyDescent="0.2">
      <c r="A2997" s="2">
        <v>2026</v>
      </c>
      <c r="B2997" s="2">
        <v>4</v>
      </c>
      <c r="D2997" s="2" t="s">
        <v>687</v>
      </c>
      <c r="E2997" s="2" t="s">
        <v>38</v>
      </c>
      <c r="F2997" s="2" t="s">
        <v>39</v>
      </c>
      <c r="G2997" s="2">
        <v>501726519</v>
      </c>
      <c r="H2997" s="2" t="s">
        <v>290</v>
      </c>
      <c r="I2997" s="2" t="s">
        <v>437</v>
      </c>
      <c r="J2997" s="2" t="s">
        <v>688</v>
      </c>
      <c r="L2997" s="2" t="s">
        <v>339</v>
      </c>
      <c r="M2997" s="2" t="s">
        <v>40</v>
      </c>
      <c r="P2997" s="2" t="s">
        <v>187</v>
      </c>
      <c r="Q2997" s="2" t="s">
        <v>188</v>
      </c>
      <c r="R2997" s="2" t="s">
        <v>189</v>
      </c>
      <c r="S2997" s="2">
        <v>1</v>
      </c>
      <c r="T2997" s="2">
        <v>55</v>
      </c>
      <c r="U2997" s="2">
        <v>12.65</v>
      </c>
      <c r="V2997" s="2">
        <v>67.650000000000006</v>
      </c>
      <c r="W2997" s="2">
        <f>T2997*40%</f>
        <v>22</v>
      </c>
      <c r="X2997" s="5">
        <f>(T2997-W2997)/T2997</f>
        <v>0.6</v>
      </c>
      <c r="Z2997" s="2" t="s">
        <v>117</v>
      </c>
      <c r="AA2997" s="2" t="s">
        <v>190</v>
      </c>
      <c r="AB2997" s="2" t="s">
        <v>189</v>
      </c>
      <c r="AC2997" s="2" t="s">
        <v>40</v>
      </c>
      <c r="AF2997" s="2">
        <f t="shared" si="408"/>
        <v>0</v>
      </c>
      <c r="AJ2997" s="2">
        <f t="shared" si="409"/>
        <v>0</v>
      </c>
      <c r="AK2997" s="2">
        <f t="shared" si="414"/>
        <v>33</v>
      </c>
      <c r="AL2997" s="5">
        <f>(T2997-W2997)/T2997</f>
        <v>0.6</v>
      </c>
    </row>
    <row r="2998" spans="1:38" x14ac:dyDescent="0.2">
      <c r="A2998" s="2">
        <v>2026</v>
      </c>
      <c r="B2998" s="2">
        <v>4</v>
      </c>
      <c r="D2998" s="2" t="s">
        <v>687</v>
      </c>
      <c r="E2998" s="2" t="s">
        <v>38</v>
      </c>
      <c r="F2998" s="2" t="s">
        <v>39</v>
      </c>
      <c r="G2998" s="2">
        <v>501726519</v>
      </c>
      <c r="H2998" s="2" t="s">
        <v>290</v>
      </c>
      <c r="I2998" s="2" t="s">
        <v>437</v>
      </c>
      <c r="J2998" s="2" t="s">
        <v>688</v>
      </c>
      <c r="L2998" s="2" t="s">
        <v>339</v>
      </c>
      <c r="M2998" s="2" t="s">
        <v>40</v>
      </c>
      <c r="P2998" s="2" t="s">
        <v>187</v>
      </c>
      <c r="Q2998" s="2" t="s">
        <v>191</v>
      </c>
      <c r="R2998" s="2" t="s">
        <v>190</v>
      </c>
      <c r="S2998" s="2">
        <v>1</v>
      </c>
      <c r="T2998" s="2">
        <v>55</v>
      </c>
      <c r="U2998" s="2">
        <v>12.65</v>
      </c>
      <c r="V2998" s="2">
        <v>67.650000000000006</v>
      </c>
      <c r="W2998" s="2">
        <f>T2998*50%</f>
        <v>27.5</v>
      </c>
      <c r="X2998" s="5">
        <f>(T2998-W2998)/T2998</f>
        <v>0.5</v>
      </c>
      <c r="Z2998" s="2" t="s">
        <v>117</v>
      </c>
      <c r="AA2998" s="2" t="s">
        <v>190</v>
      </c>
      <c r="AB2998" s="2" t="s">
        <v>190</v>
      </c>
      <c r="AC2998" s="2" t="s">
        <v>40</v>
      </c>
      <c r="AF2998" s="2">
        <f t="shared" si="408"/>
        <v>0</v>
      </c>
      <c r="AG2998" s="2">
        <f>W2998</f>
        <v>27.5</v>
      </c>
      <c r="AJ2998" s="2">
        <f t="shared" si="409"/>
        <v>0</v>
      </c>
      <c r="AK2998" s="2">
        <f t="shared" si="414"/>
        <v>27.5</v>
      </c>
      <c r="AL2998" s="5">
        <f>(T2998-W2998)/T2998</f>
        <v>0.5</v>
      </c>
    </row>
    <row r="2999" spans="1:38" x14ac:dyDescent="0.2">
      <c r="A2999" s="2">
        <v>2026</v>
      </c>
      <c r="B2999" s="2">
        <v>4</v>
      </c>
      <c r="D2999" s="2" t="s">
        <v>689</v>
      </c>
      <c r="E2999" s="2" t="s">
        <v>108</v>
      </c>
      <c r="F2999" s="2" t="s">
        <v>39</v>
      </c>
      <c r="G2999" s="2">
        <v>503589950</v>
      </c>
      <c r="H2999" s="2" t="s">
        <v>41</v>
      </c>
      <c r="I2999" s="2" t="s">
        <v>610</v>
      </c>
      <c r="J2999" s="2" t="s">
        <v>690</v>
      </c>
      <c r="K2999" s="2">
        <v>913036545</v>
      </c>
      <c r="L2999" s="2" t="s">
        <v>177</v>
      </c>
      <c r="M2999" s="2" t="s">
        <v>40</v>
      </c>
      <c r="O2999" s="2" t="s">
        <v>2441</v>
      </c>
      <c r="P2999" s="2" t="s">
        <v>187</v>
      </c>
      <c r="Q2999" s="2" t="s">
        <v>188</v>
      </c>
      <c r="R2999" s="2" t="s">
        <v>189</v>
      </c>
      <c r="S2999" s="2">
        <v>-1</v>
      </c>
      <c r="T2999" s="2">
        <v>-79</v>
      </c>
      <c r="U2999" s="2">
        <v>-18.170000000000002</v>
      </c>
      <c r="V2999" s="2">
        <v>-97.17</v>
      </c>
      <c r="Z2999" s="2" t="s">
        <v>117</v>
      </c>
      <c r="AA2999" s="2" t="s">
        <v>190</v>
      </c>
      <c r="AB2999" s="2" t="s">
        <v>189</v>
      </c>
      <c r="AC2999" s="2" t="s">
        <v>40</v>
      </c>
      <c r="AF2999" s="2">
        <f t="shared" si="408"/>
        <v>0</v>
      </c>
      <c r="AJ2999" s="2">
        <f t="shared" si="409"/>
        <v>0</v>
      </c>
      <c r="AK2999" s="2">
        <f t="shared" si="414"/>
        <v>-79</v>
      </c>
      <c r="AL2999" s="5">
        <f>(T2999-W2999)/T2999</f>
        <v>1</v>
      </c>
    </row>
    <row r="3000" spans="1:38" x14ac:dyDescent="0.2">
      <c r="A3000" s="2">
        <v>2026</v>
      </c>
      <c r="B3000" s="2">
        <v>4</v>
      </c>
      <c r="D3000" s="2" t="s">
        <v>689</v>
      </c>
      <c r="E3000" s="2" t="s">
        <v>108</v>
      </c>
      <c r="F3000" s="2" t="s">
        <v>39</v>
      </c>
      <c r="G3000" s="2">
        <v>503589950</v>
      </c>
      <c r="H3000" s="2" t="s">
        <v>41</v>
      </c>
      <c r="I3000" s="2" t="s">
        <v>610</v>
      </c>
      <c r="J3000" s="2" t="s">
        <v>690</v>
      </c>
      <c r="K3000" s="2">
        <v>913036545</v>
      </c>
      <c r="L3000" s="2" t="s">
        <v>177</v>
      </c>
      <c r="M3000" s="2" t="s">
        <v>40</v>
      </c>
      <c r="O3000" s="2" t="s">
        <v>2441</v>
      </c>
      <c r="P3000" s="2" t="s">
        <v>187</v>
      </c>
      <c r="Q3000" s="2" t="s">
        <v>191</v>
      </c>
      <c r="R3000" s="2" t="s">
        <v>190</v>
      </c>
      <c r="S3000" s="2">
        <v>-2</v>
      </c>
      <c r="T3000" s="2">
        <v>-100</v>
      </c>
      <c r="U3000" s="2">
        <v>-23</v>
      </c>
      <c r="V3000" s="2">
        <v>-123</v>
      </c>
      <c r="Z3000" s="2" t="s">
        <v>117</v>
      </c>
      <c r="AA3000" s="2" t="s">
        <v>190</v>
      </c>
      <c r="AB3000" s="2" t="s">
        <v>190</v>
      </c>
      <c r="AC3000" s="2" t="s">
        <v>40</v>
      </c>
      <c r="AF3000" s="2">
        <f t="shared" si="408"/>
        <v>0</v>
      </c>
      <c r="AG3000" s="2">
        <f t="shared" ref="AG3000:AG3028" si="416">W3000</f>
        <v>0</v>
      </c>
      <c r="AJ3000" s="2">
        <f t="shared" si="409"/>
        <v>0</v>
      </c>
      <c r="AK3000" s="2">
        <f t="shared" si="414"/>
        <v>-100</v>
      </c>
    </row>
    <row r="3001" spans="1:38" x14ac:dyDescent="0.2">
      <c r="A3001" s="2">
        <v>2026</v>
      </c>
      <c r="B3001" s="2">
        <v>2</v>
      </c>
      <c r="D3001" s="2" t="s">
        <v>2442</v>
      </c>
      <c r="M3001" s="2" t="s">
        <v>40</v>
      </c>
      <c r="P3001" s="2" t="s">
        <v>187</v>
      </c>
      <c r="Q3001" s="2" t="s">
        <v>188</v>
      </c>
      <c r="R3001" s="2" t="s">
        <v>189</v>
      </c>
      <c r="S3001" s="2">
        <v>2</v>
      </c>
      <c r="T3001" s="2">
        <v>496</v>
      </c>
      <c r="U3001" s="2">
        <v>114.08</v>
      </c>
      <c r="V3001" s="2">
        <v>610.08000000000004</v>
      </c>
      <c r="W3001" s="2">
        <f>T3001*40%</f>
        <v>198.4</v>
      </c>
      <c r="X3001" s="5">
        <f>(T3001-W3001)/T3001</f>
        <v>0.60000000000000009</v>
      </c>
      <c r="Z3001" s="2" t="s">
        <v>117</v>
      </c>
      <c r="AA3001" s="2" t="s">
        <v>190</v>
      </c>
      <c r="AB3001" s="2" t="s">
        <v>189</v>
      </c>
      <c r="AC3001" s="2" t="s">
        <v>40</v>
      </c>
      <c r="AF3001" s="2">
        <f t="shared" si="408"/>
        <v>0</v>
      </c>
      <c r="AG3001" s="2">
        <f t="shared" si="416"/>
        <v>198.4</v>
      </c>
      <c r="AJ3001" s="2">
        <f t="shared" si="409"/>
        <v>0</v>
      </c>
      <c r="AK3001" s="2">
        <f t="shared" si="414"/>
        <v>297.60000000000002</v>
      </c>
      <c r="AL3001" s="5">
        <f>(T3001-W3001)/T3001</f>
        <v>0.60000000000000009</v>
      </c>
    </row>
    <row r="3002" spans="1:38" x14ac:dyDescent="0.2">
      <c r="A3002" s="2">
        <v>2026</v>
      </c>
      <c r="B3002" s="2">
        <v>2</v>
      </c>
      <c r="D3002" s="2" t="s">
        <v>2442</v>
      </c>
      <c r="M3002" s="2" t="s">
        <v>40</v>
      </c>
      <c r="P3002" s="2" t="s">
        <v>187</v>
      </c>
      <c r="Q3002" s="2" t="s">
        <v>191</v>
      </c>
      <c r="R3002" s="2" t="s">
        <v>190</v>
      </c>
      <c r="S3002" s="2">
        <v>4</v>
      </c>
      <c r="T3002" s="2">
        <v>200</v>
      </c>
      <c r="U3002" s="2">
        <v>46</v>
      </c>
      <c r="V3002" s="2">
        <v>246</v>
      </c>
      <c r="W3002" s="2">
        <f>T3002*50%</f>
        <v>100</v>
      </c>
      <c r="X3002" s="5">
        <f>(T3002-W3002)/T3002</f>
        <v>0.5</v>
      </c>
      <c r="Z3002" s="2" t="s">
        <v>117</v>
      </c>
      <c r="AA3002" s="2" t="s">
        <v>190</v>
      </c>
      <c r="AB3002" s="2" t="s">
        <v>190</v>
      </c>
      <c r="AC3002" s="2" t="s">
        <v>40</v>
      </c>
      <c r="AF3002" s="2">
        <f t="shared" si="408"/>
        <v>0</v>
      </c>
      <c r="AG3002" s="2">
        <f t="shared" si="416"/>
        <v>100</v>
      </c>
      <c r="AJ3002" s="2">
        <f t="shared" si="409"/>
        <v>0</v>
      </c>
      <c r="AK3002" s="2">
        <f t="shared" si="414"/>
        <v>100</v>
      </c>
      <c r="AL3002" s="5">
        <f>(T3002-W3002)/T3002</f>
        <v>0.5</v>
      </c>
    </row>
    <row r="3003" spans="1:38" x14ac:dyDescent="0.2">
      <c r="A3003" s="2">
        <v>2026</v>
      </c>
      <c r="B3003" s="2">
        <v>2</v>
      </c>
      <c r="D3003" s="2" t="s">
        <v>289</v>
      </c>
      <c r="E3003" s="2" t="s">
        <v>108</v>
      </c>
      <c r="F3003" s="2" t="s">
        <v>39</v>
      </c>
      <c r="G3003" s="2">
        <v>508428300</v>
      </c>
      <c r="H3003" s="2" t="s">
        <v>290</v>
      </c>
      <c r="I3003" s="2" t="s">
        <v>291</v>
      </c>
      <c r="J3003" s="2" t="s">
        <v>292</v>
      </c>
      <c r="K3003" s="2">
        <v>917165642</v>
      </c>
      <c r="L3003" s="2" t="s">
        <v>293</v>
      </c>
      <c r="M3003" s="2" t="s">
        <v>40</v>
      </c>
      <c r="O3003" s="2" t="s">
        <v>2443</v>
      </c>
      <c r="P3003" s="2" t="s">
        <v>187</v>
      </c>
      <c r="Q3003" s="2" t="s">
        <v>188</v>
      </c>
      <c r="R3003" s="2" t="s">
        <v>189</v>
      </c>
      <c r="S3003" s="2">
        <v>-1</v>
      </c>
      <c r="T3003" s="2">
        <v>-61</v>
      </c>
      <c r="U3003" s="2">
        <v>-14.03</v>
      </c>
      <c r="V3003" s="2">
        <v>-75.03</v>
      </c>
      <c r="W3003" s="2">
        <f>T3003*40%</f>
        <v>-24.400000000000002</v>
      </c>
      <c r="X3003" s="5">
        <v>0</v>
      </c>
      <c r="Z3003" s="2" t="s">
        <v>117</v>
      </c>
      <c r="AA3003" s="2" t="s">
        <v>190</v>
      </c>
      <c r="AB3003" s="2" t="s">
        <v>189</v>
      </c>
      <c r="AC3003" s="2" t="s">
        <v>40</v>
      </c>
      <c r="AF3003" s="2">
        <f t="shared" si="408"/>
        <v>0</v>
      </c>
      <c r="AG3003" s="2">
        <f t="shared" si="416"/>
        <v>-24.400000000000002</v>
      </c>
      <c r="AJ3003" s="2">
        <f t="shared" si="409"/>
        <v>0</v>
      </c>
      <c r="AK3003" s="2">
        <f>( ABS(T3003)-W3003)</f>
        <v>85.4</v>
      </c>
    </row>
    <row r="3004" spans="1:38" x14ac:dyDescent="0.2">
      <c r="A3004" s="2">
        <v>2026</v>
      </c>
      <c r="B3004" s="2">
        <v>2</v>
      </c>
      <c r="D3004" s="2" t="s">
        <v>289</v>
      </c>
      <c r="E3004" s="2" t="s">
        <v>108</v>
      </c>
      <c r="F3004" s="2" t="s">
        <v>39</v>
      </c>
      <c r="G3004" s="2">
        <v>508428300</v>
      </c>
      <c r="H3004" s="2" t="s">
        <v>290</v>
      </c>
      <c r="I3004" s="2" t="s">
        <v>291</v>
      </c>
      <c r="J3004" s="2" t="s">
        <v>292</v>
      </c>
      <c r="K3004" s="2">
        <v>917165642</v>
      </c>
      <c r="L3004" s="2" t="s">
        <v>293</v>
      </c>
      <c r="M3004" s="2" t="s">
        <v>40</v>
      </c>
      <c r="O3004" s="2" t="s">
        <v>2443</v>
      </c>
      <c r="P3004" s="2" t="s">
        <v>187</v>
      </c>
      <c r="Q3004" s="2" t="s">
        <v>191</v>
      </c>
      <c r="R3004" s="2" t="s">
        <v>190</v>
      </c>
      <c r="S3004" s="2">
        <v>-2.5</v>
      </c>
      <c r="T3004" s="2">
        <v>-125</v>
      </c>
      <c r="U3004" s="2">
        <v>-28.75</v>
      </c>
      <c r="V3004" s="2">
        <v>-153.75</v>
      </c>
      <c r="Z3004" s="2" t="s">
        <v>117</v>
      </c>
      <c r="AA3004" s="2" t="s">
        <v>190</v>
      </c>
      <c r="AB3004" s="2" t="s">
        <v>190</v>
      </c>
      <c r="AC3004" s="2" t="s">
        <v>40</v>
      </c>
      <c r="AF3004" s="2">
        <f t="shared" si="408"/>
        <v>0</v>
      </c>
      <c r="AG3004" s="2">
        <f t="shared" si="416"/>
        <v>0</v>
      </c>
      <c r="AJ3004" s="2">
        <f t="shared" si="409"/>
        <v>0</v>
      </c>
      <c r="AK3004" s="2">
        <f>( ABS(T3004)-W3004)</f>
        <v>125</v>
      </c>
      <c r="AL3004" s="5">
        <f>SIGN(T3004)*((ABS(T3004)-W3004)/ABS(T3004))</f>
        <v>-1</v>
      </c>
    </row>
    <row r="3005" spans="1:38" x14ac:dyDescent="0.2">
      <c r="A3005" s="2">
        <v>2026</v>
      </c>
      <c r="B3005" s="2">
        <v>4</v>
      </c>
      <c r="D3005" s="2" t="s">
        <v>289</v>
      </c>
      <c r="E3005" s="2" t="s">
        <v>108</v>
      </c>
      <c r="F3005" s="2" t="s">
        <v>39</v>
      </c>
      <c r="G3005" s="2">
        <v>508428300</v>
      </c>
      <c r="H3005" s="2" t="s">
        <v>290</v>
      </c>
      <c r="I3005" s="2" t="s">
        <v>291</v>
      </c>
      <c r="J3005" s="2" t="s">
        <v>292</v>
      </c>
      <c r="K3005" s="2">
        <v>917165642</v>
      </c>
      <c r="L3005" s="2" t="s">
        <v>293</v>
      </c>
      <c r="M3005" s="2" t="s">
        <v>40</v>
      </c>
      <c r="O3005" s="2" t="s">
        <v>2444</v>
      </c>
      <c r="P3005" s="2" t="s">
        <v>187</v>
      </c>
      <c r="Q3005" s="2" t="s">
        <v>191</v>
      </c>
      <c r="R3005" s="2" t="s">
        <v>190</v>
      </c>
      <c r="S3005" s="2">
        <v>1.5</v>
      </c>
      <c r="T3005" s="2">
        <v>82.5</v>
      </c>
      <c r="U3005" s="2">
        <v>18.975000000000001</v>
      </c>
      <c r="V3005" s="2">
        <v>101.47499999999999</v>
      </c>
      <c r="W3005" s="2">
        <f>T3005*50%</f>
        <v>41.25</v>
      </c>
      <c r="X3005" s="5">
        <f>SIGN(T3005)*((ABS(T3005)-W3005)/ABS(T3005))</f>
        <v>0.5</v>
      </c>
      <c r="Z3005" s="2" t="s">
        <v>117</v>
      </c>
      <c r="AA3005" s="2" t="s">
        <v>190</v>
      </c>
      <c r="AB3005" s="2" t="s">
        <v>190</v>
      </c>
      <c r="AC3005" s="2" t="s">
        <v>40</v>
      </c>
      <c r="AF3005" s="2">
        <f t="shared" si="408"/>
        <v>0</v>
      </c>
      <c r="AG3005" s="2">
        <f t="shared" si="416"/>
        <v>41.25</v>
      </c>
      <c r="AJ3005" s="2">
        <f t="shared" si="409"/>
        <v>0</v>
      </c>
      <c r="AK3005" s="2">
        <f t="shared" ref="AK3005:AK3035" si="417">T3005-W3005</f>
        <v>41.25</v>
      </c>
      <c r="AL3005" s="5">
        <f t="shared" ref="AL3005:AL3035" si="418">(T3005-W3005)/T3005</f>
        <v>0.5</v>
      </c>
    </row>
    <row r="3006" spans="1:38" x14ac:dyDescent="0.2">
      <c r="A3006" s="2">
        <v>2026</v>
      </c>
      <c r="B3006" s="2">
        <v>3</v>
      </c>
      <c r="D3006" s="2" t="s">
        <v>1168</v>
      </c>
      <c r="E3006" s="2" t="s">
        <v>752</v>
      </c>
      <c r="F3006" s="2" t="s">
        <v>1169</v>
      </c>
      <c r="G3006" s="2">
        <v>505760088</v>
      </c>
      <c r="H3006" s="2" t="s">
        <v>290</v>
      </c>
      <c r="I3006" s="2" t="s">
        <v>1170</v>
      </c>
      <c r="J3006" s="2" t="s">
        <v>1171</v>
      </c>
      <c r="L3006" s="2" t="s">
        <v>339</v>
      </c>
      <c r="M3006" s="2" t="s">
        <v>40</v>
      </c>
      <c r="O3006" s="2" t="s">
        <v>2445</v>
      </c>
      <c r="P3006" s="2" t="s">
        <v>187</v>
      </c>
      <c r="Q3006" s="2" t="s">
        <v>188</v>
      </c>
      <c r="R3006" s="2" t="s">
        <v>189</v>
      </c>
      <c r="S3006" s="2">
        <v>1</v>
      </c>
      <c r="T3006" s="2">
        <v>55</v>
      </c>
      <c r="U3006" s="2">
        <v>12.65</v>
      </c>
      <c r="V3006" s="2">
        <v>67.650000000000006</v>
      </c>
      <c r="W3006" s="2">
        <f>T3006*40%</f>
        <v>22</v>
      </c>
      <c r="X3006" s="5">
        <f t="shared" ref="X3006:X3013" si="419">(T3006-W3006)/T3006</f>
        <v>0.6</v>
      </c>
      <c r="Z3006" s="2" t="s">
        <v>117</v>
      </c>
      <c r="AA3006" s="2" t="s">
        <v>190</v>
      </c>
      <c r="AB3006" s="2" t="s">
        <v>189</v>
      </c>
      <c r="AC3006" s="2" t="s">
        <v>40</v>
      </c>
      <c r="AF3006" s="2">
        <f t="shared" si="408"/>
        <v>0</v>
      </c>
      <c r="AG3006" s="2">
        <f t="shared" si="416"/>
        <v>22</v>
      </c>
      <c r="AJ3006" s="2">
        <f t="shared" si="409"/>
        <v>0</v>
      </c>
      <c r="AK3006" s="2">
        <f t="shared" si="417"/>
        <v>33</v>
      </c>
      <c r="AL3006" s="5">
        <f t="shared" si="418"/>
        <v>0.6</v>
      </c>
    </row>
    <row r="3007" spans="1:38" x14ac:dyDescent="0.2">
      <c r="A3007" s="2">
        <v>2026</v>
      </c>
      <c r="B3007" s="2">
        <v>3</v>
      </c>
      <c r="D3007" s="2" t="s">
        <v>1168</v>
      </c>
      <c r="E3007" s="2" t="s">
        <v>752</v>
      </c>
      <c r="F3007" s="2" t="s">
        <v>1169</v>
      </c>
      <c r="G3007" s="2">
        <v>505760088</v>
      </c>
      <c r="H3007" s="2" t="s">
        <v>290</v>
      </c>
      <c r="I3007" s="2" t="s">
        <v>1170</v>
      </c>
      <c r="J3007" s="2" t="s">
        <v>1171</v>
      </c>
      <c r="L3007" s="2" t="s">
        <v>339</v>
      </c>
      <c r="M3007" s="2" t="s">
        <v>40</v>
      </c>
      <c r="O3007" s="2" t="s">
        <v>2445</v>
      </c>
      <c r="P3007" s="2" t="s">
        <v>187</v>
      </c>
      <c r="Q3007" s="2" t="s">
        <v>191</v>
      </c>
      <c r="R3007" s="2" t="s">
        <v>190</v>
      </c>
      <c r="S3007" s="2">
        <v>1</v>
      </c>
      <c r="T3007" s="2">
        <v>55</v>
      </c>
      <c r="U3007" s="2">
        <v>12.65</v>
      </c>
      <c r="V3007" s="2">
        <v>67.650000000000006</v>
      </c>
      <c r="W3007" s="2">
        <f>T3007*50%</f>
        <v>27.5</v>
      </c>
      <c r="X3007" s="5">
        <f t="shared" si="419"/>
        <v>0.5</v>
      </c>
      <c r="Z3007" s="2" t="s">
        <v>117</v>
      </c>
      <c r="AA3007" s="2" t="s">
        <v>190</v>
      </c>
      <c r="AB3007" s="2" t="s">
        <v>190</v>
      </c>
      <c r="AC3007" s="2" t="s">
        <v>40</v>
      </c>
      <c r="AF3007" s="2">
        <f t="shared" si="408"/>
        <v>0</v>
      </c>
      <c r="AG3007" s="2">
        <f t="shared" si="416"/>
        <v>27.5</v>
      </c>
      <c r="AJ3007" s="2">
        <f t="shared" si="409"/>
        <v>0</v>
      </c>
      <c r="AK3007" s="2">
        <f t="shared" si="417"/>
        <v>27.5</v>
      </c>
      <c r="AL3007" s="5">
        <f t="shared" si="418"/>
        <v>0.5</v>
      </c>
    </row>
    <row r="3008" spans="1:38" x14ac:dyDescent="0.2">
      <c r="A3008" s="2">
        <v>2026</v>
      </c>
      <c r="B3008" s="2">
        <v>2</v>
      </c>
      <c r="D3008" s="2" t="s">
        <v>311</v>
      </c>
      <c r="E3008" s="2" t="s">
        <v>2446</v>
      </c>
      <c r="F3008" s="2" t="s">
        <v>39</v>
      </c>
      <c r="G3008" s="2">
        <v>505814030</v>
      </c>
      <c r="H3008" s="2" t="s">
        <v>290</v>
      </c>
      <c r="I3008" s="2" t="s">
        <v>2447</v>
      </c>
      <c r="J3008" s="2" t="s">
        <v>2448</v>
      </c>
      <c r="L3008" s="2" t="s">
        <v>339</v>
      </c>
      <c r="M3008" s="2" t="s">
        <v>40</v>
      </c>
      <c r="O3008" s="2" t="s">
        <v>2449</v>
      </c>
      <c r="P3008" s="2" t="s">
        <v>187</v>
      </c>
      <c r="Q3008" s="2" t="s">
        <v>188</v>
      </c>
      <c r="R3008" s="2" t="s">
        <v>189</v>
      </c>
      <c r="S3008" s="2">
        <v>1</v>
      </c>
      <c r="T3008" s="2">
        <v>60</v>
      </c>
      <c r="U3008" s="2">
        <v>13.8</v>
      </c>
      <c r="V3008" s="2">
        <v>73.8</v>
      </c>
      <c r="W3008" s="2">
        <f>T3008*40%</f>
        <v>24</v>
      </c>
      <c r="X3008" s="5">
        <f t="shared" si="419"/>
        <v>0.6</v>
      </c>
      <c r="Z3008" s="2" t="s">
        <v>117</v>
      </c>
      <c r="AA3008" s="2" t="s">
        <v>190</v>
      </c>
      <c r="AB3008" s="2" t="s">
        <v>189</v>
      </c>
      <c r="AC3008" s="2" t="s">
        <v>40</v>
      </c>
      <c r="AF3008" s="2">
        <f t="shared" si="408"/>
        <v>0</v>
      </c>
      <c r="AG3008" s="2">
        <f t="shared" si="416"/>
        <v>24</v>
      </c>
      <c r="AJ3008" s="2">
        <f t="shared" si="409"/>
        <v>0</v>
      </c>
      <c r="AK3008" s="2">
        <f t="shared" si="417"/>
        <v>36</v>
      </c>
      <c r="AL3008" s="5">
        <f t="shared" si="418"/>
        <v>0.6</v>
      </c>
    </row>
    <row r="3009" spans="1:38" x14ac:dyDescent="0.2">
      <c r="A3009" s="2">
        <v>2026</v>
      </c>
      <c r="B3009" s="2">
        <v>2</v>
      </c>
      <c r="D3009" s="2" t="s">
        <v>311</v>
      </c>
      <c r="E3009" s="2" t="s">
        <v>2446</v>
      </c>
      <c r="F3009" s="2" t="s">
        <v>39</v>
      </c>
      <c r="G3009" s="2">
        <v>505814030</v>
      </c>
      <c r="H3009" s="2" t="s">
        <v>290</v>
      </c>
      <c r="I3009" s="2" t="s">
        <v>2447</v>
      </c>
      <c r="J3009" s="2" t="s">
        <v>2448</v>
      </c>
      <c r="L3009" s="2" t="s">
        <v>339</v>
      </c>
      <c r="M3009" s="2" t="s">
        <v>40</v>
      </c>
      <c r="O3009" s="2" t="s">
        <v>2449</v>
      </c>
      <c r="P3009" s="2" t="s">
        <v>187</v>
      </c>
      <c r="Q3009" s="2" t="s">
        <v>191</v>
      </c>
      <c r="R3009" s="2" t="s">
        <v>190</v>
      </c>
      <c r="S3009" s="2">
        <v>1</v>
      </c>
      <c r="T3009" s="2">
        <v>55</v>
      </c>
      <c r="U3009" s="2">
        <v>12.65</v>
      </c>
      <c r="V3009" s="2">
        <v>67.650000000000006</v>
      </c>
      <c r="W3009" s="2">
        <f>T3009*50%</f>
        <v>27.5</v>
      </c>
      <c r="X3009" s="5">
        <f t="shared" si="419"/>
        <v>0.5</v>
      </c>
      <c r="Z3009" s="2" t="s">
        <v>117</v>
      </c>
      <c r="AA3009" s="2" t="s">
        <v>190</v>
      </c>
      <c r="AB3009" s="2" t="s">
        <v>190</v>
      </c>
      <c r="AC3009" s="2" t="s">
        <v>40</v>
      </c>
      <c r="AF3009" s="2">
        <f t="shared" si="408"/>
        <v>0</v>
      </c>
      <c r="AG3009" s="2">
        <f t="shared" si="416"/>
        <v>27.5</v>
      </c>
      <c r="AJ3009" s="2">
        <f t="shared" si="409"/>
        <v>0</v>
      </c>
      <c r="AK3009" s="2">
        <f t="shared" si="417"/>
        <v>27.5</v>
      </c>
      <c r="AL3009" s="5">
        <f t="shared" si="418"/>
        <v>0.5</v>
      </c>
    </row>
    <row r="3010" spans="1:38" x14ac:dyDescent="0.2">
      <c r="A3010" s="2">
        <v>2026</v>
      </c>
      <c r="B3010" s="2">
        <v>1</v>
      </c>
      <c r="D3010" s="2" t="s">
        <v>693</v>
      </c>
      <c r="E3010" s="2" t="s">
        <v>38</v>
      </c>
      <c r="F3010" s="2" t="s">
        <v>39</v>
      </c>
      <c r="G3010" s="2">
        <v>508574358</v>
      </c>
      <c r="H3010" s="2" t="s">
        <v>41</v>
      </c>
      <c r="I3010" s="2" t="s">
        <v>327</v>
      </c>
      <c r="J3010" s="2" t="s">
        <v>695</v>
      </c>
      <c r="K3010" s="2">
        <v>917295518</v>
      </c>
      <c r="L3010" s="2" t="s">
        <v>177</v>
      </c>
      <c r="M3010" s="2" t="s">
        <v>40</v>
      </c>
      <c r="P3010" s="2" t="s">
        <v>187</v>
      </c>
      <c r="Q3010" s="2" t="s">
        <v>188</v>
      </c>
      <c r="R3010" s="2" t="s">
        <v>189</v>
      </c>
      <c r="S3010" s="2">
        <v>1</v>
      </c>
      <c r="T3010" s="2">
        <v>60</v>
      </c>
      <c r="U3010" s="2">
        <v>13.8</v>
      </c>
      <c r="V3010" s="2">
        <v>73.8</v>
      </c>
      <c r="W3010" s="2">
        <f>T3010*40%</f>
        <v>24</v>
      </c>
      <c r="X3010" s="5">
        <f t="shared" si="419"/>
        <v>0.6</v>
      </c>
      <c r="Z3010" s="2" t="s">
        <v>117</v>
      </c>
      <c r="AA3010" s="2" t="s">
        <v>190</v>
      </c>
      <c r="AB3010" s="2" t="s">
        <v>189</v>
      </c>
      <c r="AC3010" s="2" t="s">
        <v>40</v>
      </c>
      <c r="AF3010" s="2">
        <f t="shared" ref="AF3010:AF3073" si="420">AJ3010</f>
        <v>0</v>
      </c>
      <c r="AG3010" s="2">
        <f t="shared" si="416"/>
        <v>24</v>
      </c>
      <c r="AJ3010" s="2">
        <f t="shared" ref="AJ3010:AJ3073" si="421">AI3010*T3010</f>
        <v>0</v>
      </c>
      <c r="AK3010" s="2">
        <f t="shared" si="417"/>
        <v>36</v>
      </c>
      <c r="AL3010" s="5">
        <f t="shared" si="418"/>
        <v>0.6</v>
      </c>
    </row>
    <row r="3011" spans="1:38" x14ac:dyDescent="0.2">
      <c r="A3011" s="2">
        <v>2026</v>
      </c>
      <c r="B3011" s="2">
        <v>1</v>
      </c>
      <c r="D3011" s="2" t="s">
        <v>693</v>
      </c>
      <c r="E3011" s="2" t="s">
        <v>38</v>
      </c>
      <c r="F3011" s="2" t="s">
        <v>39</v>
      </c>
      <c r="G3011" s="2">
        <v>508574358</v>
      </c>
      <c r="H3011" s="2" t="s">
        <v>41</v>
      </c>
      <c r="I3011" s="2" t="s">
        <v>327</v>
      </c>
      <c r="J3011" s="2" t="s">
        <v>695</v>
      </c>
      <c r="K3011" s="2">
        <v>917295518</v>
      </c>
      <c r="L3011" s="2" t="s">
        <v>177</v>
      </c>
      <c r="M3011" s="2" t="s">
        <v>40</v>
      </c>
      <c r="P3011" s="2" t="s">
        <v>187</v>
      </c>
      <c r="Q3011" s="2" t="s">
        <v>191</v>
      </c>
      <c r="R3011" s="2" t="s">
        <v>190</v>
      </c>
      <c r="S3011" s="2">
        <v>1.5</v>
      </c>
      <c r="T3011" s="2">
        <v>75</v>
      </c>
      <c r="U3011" s="2">
        <v>17.25</v>
      </c>
      <c r="V3011" s="2">
        <v>92.25</v>
      </c>
      <c r="W3011" s="2">
        <f>T3011*50%</f>
        <v>37.5</v>
      </c>
      <c r="X3011" s="5">
        <f t="shared" si="419"/>
        <v>0.5</v>
      </c>
      <c r="Z3011" s="2" t="s">
        <v>117</v>
      </c>
      <c r="AA3011" s="2" t="s">
        <v>190</v>
      </c>
      <c r="AB3011" s="2" t="s">
        <v>190</v>
      </c>
      <c r="AC3011" s="2" t="s">
        <v>40</v>
      </c>
      <c r="AF3011" s="2">
        <f t="shared" si="420"/>
        <v>0</v>
      </c>
      <c r="AG3011" s="2">
        <f t="shared" si="416"/>
        <v>37.5</v>
      </c>
      <c r="AJ3011" s="2">
        <f t="shared" si="421"/>
        <v>0</v>
      </c>
      <c r="AK3011" s="2">
        <f t="shared" si="417"/>
        <v>37.5</v>
      </c>
      <c r="AL3011" s="5">
        <f t="shared" si="418"/>
        <v>0.5</v>
      </c>
    </row>
    <row r="3012" spans="1:38" x14ac:dyDescent="0.2">
      <c r="A3012" s="2">
        <v>2026</v>
      </c>
      <c r="B3012" s="2">
        <v>4</v>
      </c>
      <c r="D3012" s="2" t="s">
        <v>715</v>
      </c>
      <c r="E3012" s="2" t="s">
        <v>108</v>
      </c>
      <c r="F3012" s="2" t="s">
        <v>39</v>
      </c>
      <c r="L3012" s="2" t="s">
        <v>344</v>
      </c>
      <c r="M3012" s="2" t="s">
        <v>40</v>
      </c>
      <c r="P3012" s="2" t="s">
        <v>187</v>
      </c>
      <c r="Q3012" s="2" t="s">
        <v>188</v>
      </c>
      <c r="R3012" s="2" t="s">
        <v>189</v>
      </c>
      <c r="S3012" s="2">
        <v>1</v>
      </c>
      <c r="T3012" s="2">
        <v>317</v>
      </c>
      <c r="U3012" s="2">
        <v>72.91</v>
      </c>
      <c r="V3012" s="2">
        <v>389.91</v>
      </c>
      <c r="W3012" s="2">
        <f>T3012*40%</f>
        <v>126.80000000000001</v>
      </c>
      <c r="X3012" s="5">
        <f t="shared" si="419"/>
        <v>0.6</v>
      </c>
      <c r="Z3012" s="2" t="s">
        <v>117</v>
      </c>
      <c r="AA3012" s="2" t="s">
        <v>190</v>
      </c>
      <c r="AB3012" s="2" t="s">
        <v>189</v>
      </c>
      <c r="AC3012" s="2" t="s">
        <v>40</v>
      </c>
      <c r="AF3012" s="2">
        <f t="shared" si="420"/>
        <v>0</v>
      </c>
      <c r="AG3012" s="2">
        <f t="shared" si="416"/>
        <v>126.80000000000001</v>
      </c>
      <c r="AJ3012" s="2">
        <f t="shared" si="421"/>
        <v>0</v>
      </c>
      <c r="AK3012" s="2">
        <f t="shared" si="417"/>
        <v>190.2</v>
      </c>
      <c r="AL3012" s="5">
        <f t="shared" si="418"/>
        <v>0.6</v>
      </c>
    </row>
    <row r="3013" spans="1:38" x14ac:dyDescent="0.2">
      <c r="A3013" s="2">
        <v>2026</v>
      </c>
      <c r="B3013" s="2">
        <v>4</v>
      </c>
      <c r="D3013" s="2" t="s">
        <v>715</v>
      </c>
      <c r="E3013" s="2" t="s">
        <v>108</v>
      </c>
      <c r="F3013" s="2" t="s">
        <v>39</v>
      </c>
      <c r="L3013" s="2" t="s">
        <v>344</v>
      </c>
      <c r="M3013" s="2" t="s">
        <v>40</v>
      </c>
      <c r="P3013" s="2" t="s">
        <v>187</v>
      </c>
      <c r="Q3013" s="2" t="s">
        <v>191</v>
      </c>
      <c r="R3013" s="2" t="s">
        <v>190</v>
      </c>
      <c r="S3013" s="2">
        <v>1</v>
      </c>
      <c r="T3013" s="2">
        <v>55</v>
      </c>
      <c r="U3013" s="2">
        <v>12.65</v>
      </c>
      <c r="V3013" s="2">
        <v>67.650000000000006</v>
      </c>
      <c r="W3013" s="2">
        <f>T3013*50%</f>
        <v>27.5</v>
      </c>
      <c r="X3013" s="5">
        <f t="shared" si="419"/>
        <v>0.5</v>
      </c>
      <c r="Z3013" s="2" t="s">
        <v>117</v>
      </c>
      <c r="AA3013" s="2" t="s">
        <v>190</v>
      </c>
      <c r="AB3013" s="2" t="s">
        <v>190</v>
      </c>
      <c r="AC3013" s="2" t="s">
        <v>40</v>
      </c>
      <c r="AF3013" s="2">
        <f t="shared" si="420"/>
        <v>0</v>
      </c>
      <c r="AG3013" s="2">
        <f t="shared" si="416"/>
        <v>27.5</v>
      </c>
      <c r="AJ3013" s="2">
        <f t="shared" si="421"/>
        <v>0</v>
      </c>
      <c r="AK3013" s="2">
        <f t="shared" si="417"/>
        <v>27.5</v>
      </c>
      <c r="AL3013" s="5">
        <f t="shared" si="418"/>
        <v>0.5</v>
      </c>
    </row>
    <row r="3014" spans="1:38" x14ac:dyDescent="0.2">
      <c r="A3014" s="2">
        <v>2026</v>
      </c>
      <c r="B3014" s="2">
        <v>1</v>
      </c>
      <c r="D3014" s="2" t="s">
        <v>314</v>
      </c>
      <c r="E3014" s="2" t="s">
        <v>108</v>
      </c>
      <c r="G3014" s="2">
        <v>503270520</v>
      </c>
      <c r="H3014" s="2" t="s">
        <v>40</v>
      </c>
      <c r="I3014" s="2" t="s">
        <v>315</v>
      </c>
      <c r="J3014" s="2" t="s">
        <v>316</v>
      </c>
      <c r="L3014" s="2" t="s">
        <v>99</v>
      </c>
      <c r="M3014" s="2" t="s">
        <v>40</v>
      </c>
      <c r="P3014" s="2" t="s">
        <v>187</v>
      </c>
      <c r="Q3014" s="2" t="s">
        <v>188</v>
      </c>
      <c r="R3014" s="2" t="s">
        <v>189</v>
      </c>
      <c r="S3014" s="2">
        <v>-1</v>
      </c>
      <c r="T3014" s="2">
        <v>-37.5</v>
      </c>
      <c r="U3014" s="2">
        <v>-8.625</v>
      </c>
      <c r="V3014" s="2">
        <v>-46.125</v>
      </c>
      <c r="W3014" s="2">
        <f>T3014*40%</f>
        <v>-15</v>
      </c>
      <c r="Z3014" s="2" t="s">
        <v>117</v>
      </c>
      <c r="AA3014" s="2" t="s">
        <v>190</v>
      </c>
      <c r="AB3014" s="2" t="s">
        <v>189</v>
      </c>
      <c r="AC3014" s="2" t="s">
        <v>40</v>
      </c>
      <c r="AF3014" s="2">
        <f t="shared" si="420"/>
        <v>0</v>
      </c>
      <c r="AG3014" s="2">
        <f t="shared" si="416"/>
        <v>-15</v>
      </c>
      <c r="AJ3014" s="2">
        <f t="shared" si="421"/>
        <v>0</v>
      </c>
      <c r="AK3014" s="2">
        <f t="shared" si="417"/>
        <v>-22.5</v>
      </c>
      <c r="AL3014" s="5">
        <f t="shared" si="418"/>
        <v>0.6</v>
      </c>
    </row>
    <row r="3015" spans="1:38" x14ac:dyDescent="0.2">
      <c r="A3015" s="2">
        <v>2026</v>
      </c>
      <c r="B3015" s="2">
        <v>1</v>
      </c>
      <c r="D3015" s="2" t="s">
        <v>314</v>
      </c>
      <c r="E3015" s="2" t="s">
        <v>108</v>
      </c>
      <c r="G3015" s="2">
        <v>503270520</v>
      </c>
      <c r="H3015" s="2" t="s">
        <v>40</v>
      </c>
      <c r="I3015" s="2" t="s">
        <v>315</v>
      </c>
      <c r="J3015" s="2" t="s">
        <v>316</v>
      </c>
      <c r="L3015" s="2" t="s">
        <v>99</v>
      </c>
      <c r="M3015" s="2" t="s">
        <v>40</v>
      </c>
      <c r="P3015" s="2" t="s">
        <v>187</v>
      </c>
      <c r="Q3015" s="2" t="s">
        <v>191</v>
      </c>
      <c r="R3015" s="2" t="s">
        <v>190</v>
      </c>
      <c r="S3015" s="2">
        <v>-0.8</v>
      </c>
      <c r="T3015" s="2">
        <v>-36</v>
      </c>
      <c r="U3015" s="2">
        <v>-8.2800000000000011</v>
      </c>
      <c r="V3015" s="2">
        <v>-44.28</v>
      </c>
      <c r="Z3015" s="2" t="s">
        <v>117</v>
      </c>
      <c r="AA3015" s="2" t="s">
        <v>190</v>
      </c>
      <c r="AB3015" s="2" t="s">
        <v>190</v>
      </c>
      <c r="AC3015" s="2" t="s">
        <v>40</v>
      </c>
      <c r="AF3015" s="2">
        <f t="shared" si="420"/>
        <v>0</v>
      </c>
      <c r="AG3015" s="2">
        <f t="shared" si="416"/>
        <v>0</v>
      </c>
      <c r="AJ3015" s="2">
        <f t="shared" si="421"/>
        <v>0</v>
      </c>
      <c r="AK3015" s="2">
        <f t="shared" si="417"/>
        <v>-36</v>
      </c>
      <c r="AL3015" s="5">
        <f t="shared" si="418"/>
        <v>1</v>
      </c>
    </row>
    <row r="3016" spans="1:38" x14ac:dyDescent="0.2">
      <c r="A3016" s="2">
        <v>2026</v>
      </c>
      <c r="B3016" s="2">
        <v>1</v>
      </c>
      <c r="D3016" s="2" t="s">
        <v>973</v>
      </c>
      <c r="M3016" s="2" t="s">
        <v>40</v>
      </c>
      <c r="P3016" s="2" t="s">
        <v>187</v>
      </c>
      <c r="Q3016" s="2" t="s">
        <v>188</v>
      </c>
      <c r="R3016" s="2" t="s">
        <v>189</v>
      </c>
      <c r="S3016" s="2">
        <v>1</v>
      </c>
      <c r="T3016" s="2">
        <v>50</v>
      </c>
      <c r="U3016" s="2">
        <v>11.5</v>
      </c>
      <c r="V3016" s="2">
        <v>61.5</v>
      </c>
      <c r="W3016" s="2">
        <f>T3016*40%</f>
        <v>20</v>
      </c>
      <c r="X3016" s="5">
        <f t="shared" ref="X3016:X3035" si="422">(T3016-W3016)/T3016</f>
        <v>0.6</v>
      </c>
      <c r="Z3016" s="2" t="s">
        <v>117</v>
      </c>
      <c r="AA3016" s="2" t="s">
        <v>190</v>
      </c>
      <c r="AB3016" s="2" t="s">
        <v>189</v>
      </c>
      <c r="AC3016" s="2" t="s">
        <v>40</v>
      </c>
      <c r="AF3016" s="2">
        <f t="shared" si="420"/>
        <v>0</v>
      </c>
      <c r="AG3016" s="2">
        <f t="shared" si="416"/>
        <v>20</v>
      </c>
      <c r="AJ3016" s="2">
        <f t="shared" si="421"/>
        <v>0</v>
      </c>
      <c r="AK3016" s="2">
        <f t="shared" si="417"/>
        <v>30</v>
      </c>
      <c r="AL3016" s="5">
        <f t="shared" si="418"/>
        <v>0.6</v>
      </c>
    </row>
    <row r="3017" spans="1:38" x14ac:dyDescent="0.2">
      <c r="A3017" s="2">
        <v>2026</v>
      </c>
      <c r="B3017" s="2">
        <v>1</v>
      </c>
      <c r="D3017" s="2" t="s">
        <v>973</v>
      </c>
      <c r="M3017" s="2" t="s">
        <v>40</v>
      </c>
      <c r="P3017" s="2" t="s">
        <v>187</v>
      </c>
      <c r="Q3017" s="2" t="s">
        <v>191</v>
      </c>
      <c r="R3017" s="2" t="s">
        <v>190</v>
      </c>
      <c r="S3017" s="2">
        <v>1</v>
      </c>
      <c r="T3017" s="2">
        <v>50</v>
      </c>
      <c r="U3017" s="2">
        <v>11.5</v>
      </c>
      <c r="V3017" s="2">
        <v>61.5</v>
      </c>
      <c r="W3017" s="2">
        <f>T3017*50%</f>
        <v>25</v>
      </c>
      <c r="X3017" s="5">
        <f t="shared" si="422"/>
        <v>0.5</v>
      </c>
      <c r="Z3017" s="2" t="s">
        <v>117</v>
      </c>
      <c r="AA3017" s="2" t="s">
        <v>190</v>
      </c>
      <c r="AB3017" s="2" t="s">
        <v>190</v>
      </c>
      <c r="AC3017" s="2" t="s">
        <v>40</v>
      </c>
      <c r="AF3017" s="2">
        <f t="shared" si="420"/>
        <v>0</v>
      </c>
      <c r="AG3017" s="2">
        <f t="shared" si="416"/>
        <v>25</v>
      </c>
      <c r="AJ3017" s="2">
        <f t="shared" si="421"/>
        <v>0</v>
      </c>
      <c r="AK3017" s="2">
        <f t="shared" si="417"/>
        <v>25</v>
      </c>
      <c r="AL3017" s="5">
        <f t="shared" si="418"/>
        <v>0.5</v>
      </c>
    </row>
    <row r="3018" spans="1:38" x14ac:dyDescent="0.2">
      <c r="A3018" s="2">
        <v>2026</v>
      </c>
      <c r="B3018" s="2">
        <v>3</v>
      </c>
      <c r="D3018" s="2" t="s">
        <v>2450</v>
      </c>
      <c r="M3018" s="2" t="s">
        <v>40</v>
      </c>
      <c r="P3018" s="2" t="s">
        <v>187</v>
      </c>
      <c r="Q3018" s="2" t="s">
        <v>188</v>
      </c>
      <c r="R3018" s="2" t="s">
        <v>189</v>
      </c>
      <c r="S3018" s="2">
        <v>1</v>
      </c>
      <c r="T3018" s="2">
        <v>104</v>
      </c>
      <c r="U3018" s="2">
        <v>23.92</v>
      </c>
      <c r="V3018" s="2">
        <v>127.92</v>
      </c>
      <c r="W3018" s="2">
        <f>T3018*40%</f>
        <v>41.6</v>
      </c>
      <c r="X3018" s="5">
        <f t="shared" si="422"/>
        <v>0.6</v>
      </c>
      <c r="Z3018" s="2" t="s">
        <v>117</v>
      </c>
      <c r="AA3018" s="2" t="s">
        <v>190</v>
      </c>
      <c r="AB3018" s="2" t="s">
        <v>189</v>
      </c>
      <c r="AC3018" s="2" t="s">
        <v>40</v>
      </c>
      <c r="AF3018" s="2">
        <f t="shared" si="420"/>
        <v>0</v>
      </c>
      <c r="AG3018" s="2">
        <f t="shared" si="416"/>
        <v>41.6</v>
      </c>
      <c r="AJ3018" s="2">
        <f t="shared" si="421"/>
        <v>0</v>
      </c>
      <c r="AK3018" s="2">
        <f t="shared" si="417"/>
        <v>62.4</v>
      </c>
      <c r="AL3018" s="5">
        <f t="shared" si="418"/>
        <v>0.6</v>
      </c>
    </row>
    <row r="3019" spans="1:38" x14ac:dyDescent="0.2">
      <c r="A3019" s="2">
        <v>2026</v>
      </c>
      <c r="B3019" s="2">
        <v>3</v>
      </c>
      <c r="D3019" s="2" t="s">
        <v>2450</v>
      </c>
      <c r="M3019" s="2" t="s">
        <v>40</v>
      </c>
      <c r="P3019" s="2" t="s">
        <v>187</v>
      </c>
      <c r="Q3019" s="2" t="s">
        <v>191</v>
      </c>
      <c r="R3019" s="2" t="s">
        <v>190</v>
      </c>
      <c r="S3019" s="2">
        <v>1</v>
      </c>
      <c r="T3019" s="2">
        <v>55</v>
      </c>
      <c r="U3019" s="2">
        <v>12.65</v>
      </c>
      <c r="V3019" s="2">
        <v>67.650000000000006</v>
      </c>
      <c r="W3019" s="2">
        <f>T3019*50%</f>
        <v>27.5</v>
      </c>
      <c r="X3019" s="5">
        <f t="shared" si="422"/>
        <v>0.5</v>
      </c>
      <c r="Z3019" s="2" t="s">
        <v>117</v>
      </c>
      <c r="AA3019" s="2" t="s">
        <v>190</v>
      </c>
      <c r="AB3019" s="2" t="s">
        <v>190</v>
      </c>
      <c r="AC3019" s="2" t="s">
        <v>40</v>
      </c>
      <c r="AF3019" s="2">
        <f t="shared" si="420"/>
        <v>0</v>
      </c>
      <c r="AG3019" s="2">
        <f t="shared" si="416"/>
        <v>27.5</v>
      </c>
      <c r="AJ3019" s="2">
        <f t="shared" si="421"/>
        <v>0</v>
      </c>
      <c r="AK3019" s="2">
        <f t="shared" si="417"/>
        <v>27.5</v>
      </c>
      <c r="AL3019" s="5">
        <f t="shared" si="418"/>
        <v>0.5</v>
      </c>
    </row>
    <row r="3020" spans="1:38" x14ac:dyDescent="0.2">
      <c r="A3020" s="2">
        <v>2026</v>
      </c>
      <c r="B3020" s="2">
        <v>3</v>
      </c>
      <c r="D3020" s="2" t="s">
        <v>1764</v>
      </c>
      <c r="M3020" s="2" t="s">
        <v>40</v>
      </c>
      <c r="P3020" s="2" t="s">
        <v>187</v>
      </c>
      <c r="Q3020" s="2" t="s">
        <v>188</v>
      </c>
      <c r="R3020" s="2" t="s">
        <v>189</v>
      </c>
      <c r="S3020" s="2">
        <v>1</v>
      </c>
      <c r="T3020" s="2">
        <v>79</v>
      </c>
      <c r="U3020" s="2">
        <v>18.170000000000002</v>
      </c>
      <c r="V3020" s="2">
        <v>97.17</v>
      </c>
      <c r="W3020" s="2">
        <f>T3020*40%</f>
        <v>31.6</v>
      </c>
      <c r="X3020" s="5">
        <f t="shared" si="422"/>
        <v>0.6</v>
      </c>
      <c r="Z3020" s="2" t="s">
        <v>117</v>
      </c>
      <c r="AA3020" s="2" t="s">
        <v>190</v>
      </c>
      <c r="AB3020" s="2" t="s">
        <v>189</v>
      </c>
      <c r="AC3020" s="2" t="s">
        <v>40</v>
      </c>
      <c r="AF3020" s="2">
        <f t="shared" si="420"/>
        <v>0</v>
      </c>
      <c r="AG3020" s="2">
        <f t="shared" si="416"/>
        <v>31.6</v>
      </c>
      <c r="AJ3020" s="2">
        <f t="shared" si="421"/>
        <v>0</v>
      </c>
      <c r="AK3020" s="2">
        <f t="shared" si="417"/>
        <v>47.4</v>
      </c>
      <c r="AL3020" s="5">
        <f t="shared" si="418"/>
        <v>0.6</v>
      </c>
    </row>
    <row r="3021" spans="1:38" x14ac:dyDescent="0.2">
      <c r="A3021" s="2">
        <v>2026</v>
      </c>
      <c r="B3021" s="2">
        <v>3</v>
      </c>
      <c r="D3021" s="2" t="s">
        <v>1764</v>
      </c>
      <c r="M3021" s="2" t="s">
        <v>40</v>
      </c>
      <c r="P3021" s="2" t="s">
        <v>187</v>
      </c>
      <c r="Q3021" s="2" t="s">
        <v>191</v>
      </c>
      <c r="R3021" s="2" t="s">
        <v>190</v>
      </c>
      <c r="S3021" s="2">
        <v>2</v>
      </c>
      <c r="T3021" s="2">
        <v>110</v>
      </c>
      <c r="U3021" s="2">
        <v>25.3</v>
      </c>
      <c r="V3021" s="2">
        <v>135.30000000000001</v>
      </c>
      <c r="W3021" s="2">
        <f>T3021*50%</f>
        <v>55</v>
      </c>
      <c r="X3021" s="5">
        <f t="shared" si="422"/>
        <v>0.5</v>
      </c>
      <c r="Z3021" s="2" t="s">
        <v>117</v>
      </c>
      <c r="AA3021" s="2" t="s">
        <v>190</v>
      </c>
      <c r="AB3021" s="2" t="s">
        <v>190</v>
      </c>
      <c r="AC3021" s="2" t="s">
        <v>40</v>
      </c>
      <c r="AF3021" s="2">
        <f t="shared" si="420"/>
        <v>0</v>
      </c>
      <c r="AG3021" s="2">
        <f t="shared" si="416"/>
        <v>55</v>
      </c>
      <c r="AJ3021" s="2">
        <f t="shared" si="421"/>
        <v>0</v>
      </c>
      <c r="AK3021" s="2">
        <f t="shared" si="417"/>
        <v>55</v>
      </c>
      <c r="AL3021" s="5">
        <f t="shared" si="418"/>
        <v>0.5</v>
      </c>
    </row>
    <row r="3022" spans="1:38" x14ac:dyDescent="0.2">
      <c r="A3022" s="2">
        <v>2026</v>
      </c>
      <c r="B3022" s="2">
        <v>1</v>
      </c>
      <c r="D3022" s="2" t="s">
        <v>1992</v>
      </c>
      <c r="M3022" s="2" t="s">
        <v>40</v>
      </c>
      <c r="P3022" s="2" t="s">
        <v>187</v>
      </c>
      <c r="Q3022" s="2" t="s">
        <v>188</v>
      </c>
      <c r="R3022" s="2" t="s">
        <v>189</v>
      </c>
      <c r="S3022" s="2">
        <v>2</v>
      </c>
      <c r="T3022" s="2">
        <v>345</v>
      </c>
      <c r="U3022" s="2">
        <v>79.350000000000009</v>
      </c>
      <c r="V3022" s="2">
        <v>424.35</v>
      </c>
      <c r="W3022" s="2">
        <f>T3022*40%</f>
        <v>138</v>
      </c>
      <c r="X3022" s="5">
        <f t="shared" si="422"/>
        <v>0.6</v>
      </c>
      <c r="Z3022" s="2" t="s">
        <v>117</v>
      </c>
      <c r="AA3022" s="2" t="s">
        <v>190</v>
      </c>
      <c r="AB3022" s="2" t="s">
        <v>189</v>
      </c>
      <c r="AC3022" s="2" t="s">
        <v>40</v>
      </c>
      <c r="AF3022" s="2">
        <f t="shared" si="420"/>
        <v>0</v>
      </c>
      <c r="AG3022" s="2">
        <f t="shared" si="416"/>
        <v>138</v>
      </c>
      <c r="AJ3022" s="2">
        <f t="shared" si="421"/>
        <v>0</v>
      </c>
      <c r="AK3022" s="2">
        <f t="shared" si="417"/>
        <v>207</v>
      </c>
      <c r="AL3022" s="5">
        <f t="shared" si="418"/>
        <v>0.6</v>
      </c>
    </row>
    <row r="3023" spans="1:38" x14ac:dyDescent="0.2">
      <c r="A3023" s="2">
        <v>2026</v>
      </c>
      <c r="B3023" s="2">
        <v>1</v>
      </c>
      <c r="D3023" s="2" t="s">
        <v>1992</v>
      </c>
      <c r="M3023" s="2" t="s">
        <v>40</v>
      </c>
      <c r="P3023" s="2" t="s">
        <v>187</v>
      </c>
      <c r="Q3023" s="2" t="s">
        <v>191</v>
      </c>
      <c r="R3023" s="2" t="s">
        <v>190</v>
      </c>
      <c r="S3023" s="2">
        <v>6</v>
      </c>
      <c r="T3023" s="2">
        <v>300</v>
      </c>
      <c r="U3023" s="2">
        <v>69</v>
      </c>
      <c r="V3023" s="2">
        <v>369</v>
      </c>
      <c r="W3023" s="2">
        <f>T3023*50%</f>
        <v>150</v>
      </c>
      <c r="X3023" s="5">
        <f t="shared" si="422"/>
        <v>0.5</v>
      </c>
      <c r="Z3023" s="2" t="s">
        <v>117</v>
      </c>
      <c r="AA3023" s="2" t="s">
        <v>190</v>
      </c>
      <c r="AB3023" s="2" t="s">
        <v>190</v>
      </c>
      <c r="AC3023" s="2" t="s">
        <v>40</v>
      </c>
      <c r="AF3023" s="2">
        <f t="shared" si="420"/>
        <v>0</v>
      </c>
      <c r="AG3023" s="2">
        <f t="shared" si="416"/>
        <v>150</v>
      </c>
      <c r="AJ3023" s="2">
        <f t="shared" si="421"/>
        <v>0</v>
      </c>
      <c r="AK3023" s="2">
        <f t="shared" si="417"/>
        <v>150</v>
      </c>
      <c r="AL3023" s="5">
        <f t="shared" si="418"/>
        <v>0.5</v>
      </c>
    </row>
    <row r="3024" spans="1:38" x14ac:dyDescent="0.2">
      <c r="A3024" s="2">
        <v>2026</v>
      </c>
      <c r="B3024" s="2">
        <v>2</v>
      </c>
      <c r="D3024" s="2" t="s">
        <v>2451</v>
      </c>
      <c r="E3024" s="2" t="s">
        <v>108</v>
      </c>
      <c r="F3024" s="2" t="s">
        <v>39</v>
      </c>
      <c r="G3024" s="2">
        <v>513015213</v>
      </c>
      <c r="H3024" s="2" t="s">
        <v>109</v>
      </c>
      <c r="I3024" s="2" t="s">
        <v>2452</v>
      </c>
      <c r="J3024" s="2" t="s">
        <v>2453</v>
      </c>
      <c r="K3024" s="2">
        <v>967554174</v>
      </c>
      <c r="L3024" s="2" t="s">
        <v>133</v>
      </c>
      <c r="M3024" s="2" t="s">
        <v>40</v>
      </c>
      <c r="O3024" s="2" t="s">
        <v>2454</v>
      </c>
      <c r="P3024" s="2" t="s">
        <v>187</v>
      </c>
      <c r="Q3024" s="2" t="s">
        <v>188</v>
      </c>
      <c r="R3024" s="2" t="s">
        <v>189</v>
      </c>
      <c r="S3024" s="2">
        <v>1</v>
      </c>
      <c r="T3024" s="2">
        <v>135</v>
      </c>
      <c r="U3024" s="2">
        <v>31.05</v>
      </c>
      <c r="V3024" s="2">
        <v>166.05</v>
      </c>
      <c r="W3024" s="2">
        <f>T3024*40%</f>
        <v>54</v>
      </c>
      <c r="X3024" s="5">
        <f t="shared" si="422"/>
        <v>0.6</v>
      </c>
      <c r="Z3024" s="2" t="s">
        <v>117</v>
      </c>
      <c r="AA3024" s="2" t="s">
        <v>190</v>
      </c>
      <c r="AB3024" s="2" t="s">
        <v>189</v>
      </c>
      <c r="AC3024" s="2" t="s">
        <v>40</v>
      </c>
      <c r="AF3024" s="2">
        <f t="shared" si="420"/>
        <v>0</v>
      </c>
      <c r="AG3024" s="2">
        <f t="shared" si="416"/>
        <v>54</v>
      </c>
      <c r="AJ3024" s="2">
        <f t="shared" si="421"/>
        <v>0</v>
      </c>
      <c r="AK3024" s="2">
        <f t="shared" si="417"/>
        <v>81</v>
      </c>
      <c r="AL3024" s="5">
        <f t="shared" si="418"/>
        <v>0.6</v>
      </c>
    </row>
    <row r="3025" spans="1:38" x14ac:dyDescent="0.2">
      <c r="A3025" s="2">
        <v>2026</v>
      </c>
      <c r="B3025" s="2">
        <v>2</v>
      </c>
      <c r="D3025" s="2" t="s">
        <v>2451</v>
      </c>
      <c r="E3025" s="2" t="s">
        <v>108</v>
      </c>
      <c r="F3025" s="2" t="s">
        <v>39</v>
      </c>
      <c r="G3025" s="2">
        <v>513015213</v>
      </c>
      <c r="H3025" s="2" t="s">
        <v>109</v>
      </c>
      <c r="I3025" s="2" t="s">
        <v>2452</v>
      </c>
      <c r="J3025" s="2" t="s">
        <v>2453</v>
      </c>
      <c r="K3025" s="2">
        <v>967554174</v>
      </c>
      <c r="L3025" s="2" t="s">
        <v>133</v>
      </c>
      <c r="M3025" s="2" t="s">
        <v>40</v>
      </c>
      <c r="O3025" s="2" t="s">
        <v>2454</v>
      </c>
      <c r="P3025" s="2" t="s">
        <v>187</v>
      </c>
      <c r="Q3025" s="2" t="s">
        <v>191</v>
      </c>
      <c r="R3025" s="2" t="s">
        <v>190</v>
      </c>
      <c r="S3025" s="2">
        <v>2</v>
      </c>
      <c r="T3025" s="2">
        <v>100</v>
      </c>
      <c r="U3025" s="2">
        <v>23</v>
      </c>
      <c r="V3025" s="2">
        <v>123</v>
      </c>
      <c r="W3025" s="2">
        <f>T3025*50%</f>
        <v>50</v>
      </c>
      <c r="X3025" s="5">
        <f t="shared" si="422"/>
        <v>0.5</v>
      </c>
      <c r="Z3025" s="2" t="s">
        <v>117</v>
      </c>
      <c r="AA3025" s="2" t="s">
        <v>190</v>
      </c>
      <c r="AB3025" s="2" t="s">
        <v>190</v>
      </c>
      <c r="AC3025" s="2" t="s">
        <v>40</v>
      </c>
      <c r="AF3025" s="2">
        <f t="shared" si="420"/>
        <v>0</v>
      </c>
      <c r="AG3025" s="2">
        <f t="shared" si="416"/>
        <v>50</v>
      </c>
      <c r="AJ3025" s="2">
        <f t="shared" si="421"/>
        <v>0</v>
      </c>
      <c r="AK3025" s="2">
        <f t="shared" si="417"/>
        <v>50</v>
      </c>
      <c r="AL3025" s="5">
        <f t="shared" si="418"/>
        <v>0.5</v>
      </c>
    </row>
    <row r="3026" spans="1:38" x14ac:dyDescent="0.2">
      <c r="A3026" s="2">
        <v>2026</v>
      </c>
      <c r="B3026" s="2">
        <v>4</v>
      </c>
      <c r="D3026" s="2" t="s">
        <v>336</v>
      </c>
      <c r="E3026" s="2" t="s">
        <v>108</v>
      </c>
      <c r="F3026" s="2" t="s">
        <v>39</v>
      </c>
      <c r="G3026" s="2">
        <v>503373494</v>
      </c>
      <c r="H3026" s="2" t="s">
        <v>290</v>
      </c>
      <c r="I3026" s="2" t="s">
        <v>337</v>
      </c>
      <c r="J3026" s="2" t="s">
        <v>338</v>
      </c>
      <c r="K3026" s="2">
        <v>965852001</v>
      </c>
      <c r="L3026" s="2" t="s">
        <v>339</v>
      </c>
      <c r="M3026" s="2" t="s">
        <v>40</v>
      </c>
      <c r="P3026" s="2" t="s">
        <v>187</v>
      </c>
      <c r="Q3026" s="2" t="s">
        <v>188</v>
      </c>
      <c r="R3026" s="2" t="s">
        <v>189</v>
      </c>
      <c r="S3026" s="2">
        <v>1</v>
      </c>
      <c r="T3026" s="2">
        <v>60</v>
      </c>
      <c r="U3026" s="2">
        <v>13.8</v>
      </c>
      <c r="V3026" s="2">
        <v>73.8</v>
      </c>
      <c r="W3026" s="2">
        <f>T3026*40%</f>
        <v>24</v>
      </c>
      <c r="X3026" s="5">
        <f t="shared" si="422"/>
        <v>0.6</v>
      </c>
      <c r="Z3026" s="2" t="s">
        <v>117</v>
      </c>
      <c r="AA3026" s="2" t="s">
        <v>190</v>
      </c>
      <c r="AB3026" s="2" t="s">
        <v>189</v>
      </c>
      <c r="AC3026" s="2" t="s">
        <v>40</v>
      </c>
      <c r="AF3026" s="2">
        <f t="shared" si="420"/>
        <v>0</v>
      </c>
      <c r="AG3026" s="2">
        <f t="shared" si="416"/>
        <v>24</v>
      </c>
      <c r="AJ3026" s="2">
        <f t="shared" si="421"/>
        <v>0</v>
      </c>
      <c r="AK3026" s="2">
        <f t="shared" si="417"/>
        <v>36</v>
      </c>
      <c r="AL3026" s="5">
        <f t="shared" si="418"/>
        <v>0.6</v>
      </c>
    </row>
    <row r="3027" spans="1:38" x14ac:dyDescent="0.2">
      <c r="A3027" s="2">
        <v>2026</v>
      </c>
      <c r="B3027" s="2">
        <v>4</v>
      </c>
      <c r="D3027" s="2" t="s">
        <v>336</v>
      </c>
      <c r="E3027" s="2" t="s">
        <v>108</v>
      </c>
      <c r="F3027" s="2" t="s">
        <v>39</v>
      </c>
      <c r="G3027" s="2">
        <v>503373494</v>
      </c>
      <c r="H3027" s="2" t="s">
        <v>290</v>
      </c>
      <c r="I3027" s="2" t="s">
        <v>337</v>
      </c>
      <c r="J3027" s="2" t="s">
        <v>338</v>
      </c>
      <c r="K3027" s="2">
        <v>965852001</v>
      </c>
      <c r="L3027" s="2" t="s">
        <v>339</v>
      </c>
      <c r="M3027" s="2" t="s">
        <v>40</v>
      </c>
      <c r="P3027" s="2" t="s">
        <v>187</v>
      </c>
      <c r="Q3027" s="2" t="s">
        <v>191</v>
      </c>
      <c r="R3027" s="2" t="s">
        <v>190</v>
      </c>
      <c r="S3027" s="2">
        <v>2</v>
      </c>
      <c r="T3027" s="2">
        <v>110</v>
      </c>
      <c r="U3027" s="2">
        <v>25.3</v>
      </c>
      <c r="V3027" s="2">
        <v>135.30000000000001</v>
      </c>
      <c r="W3027" s="2">
        <f>T3027*50%</f>
        <v>55</v>
      </c>
      <c r="X3027" s="5">
        <f t="shared" si="422"/>
        <v>0.5</v>
      </c>
      <c r="Z3027" s="2" t="s">
        <v>117</v>
      </c>
      <c r="AA3027" s="2" t="s">
        <v>190</v>
      </c>
      <c r="AB3027" s="2" t="s">
        <v>190</v>
      </c>
      <c r="AC3027" s="2" t="s">
        <v>40</v>
      </c>
      <c r="AF3027" s="2">
        <f t="shared" si="420"/>
        <v>0</v>
      </c>
      <c r="AG3027" s="2">
        <f t="shared" si="416"/>
        <v>55</v>
      </c>
      <c r="AJ3027" s="2">
        <f t="shared" si="421"/>
        <v>0</v>
      </c>
      <c r="AK3027" s="2">
        <f t="shared" si="417"/>
        <v>55</v>
      </c>
      <c r="AL3027" s="5">
        <f t="shared" si="418"/>
        <v>0.5</v>
      </c>
    </row>
    <row r="3028" spans="1:38" x14ac:dyDescent="0.2">
      <c r="A3028" s="2">
        <v>2026</v>
      </c>
      <c r="B3028" s="2">
        <v>3</v>
      </c>
      <c r="D3028" s="2" t="s">
        <v>741</v>
      </c>
      <c r="M3028" s="2" t="s">
        <v>40</v>
      </c>
      <c r="P3028" s="2" t="s">
        <v>187</v>
      </c>
      <c r="Q3028" s="2" t="s">
        <v>188</v>
      </c>
      <c r="R3028" s="2" t="s">
        <v>189</v>
      </c>
      <c r="S3028" s="2">
        <v>1</v>
      </c>
      <c r="T3028" s="2">
        <v>112</v>
      </c>
      <c r="U3028" s="2">
        <v>25.76</v>
      </c>
      <c r="V3028" s="2">
        <v>137.76</v>
      </c>
      <c r="W3028" s="2">
        <f>T3028*40%</f>
        <v>44.800000000000004</v>
      </c>
      <c r="X3028" s="5">
        <f t="shared" si="422"/>
        <v>0.59999999999999987</v>
      </c>
      <c r="Z3028" s="2" t="s">
        <v>117</v>
      </c>
      <c r="AA3028" s="2" t="s">
        <v>190</v>
      </c>
      <c r="AB3028" s="2" t="s">
        <v>189</v>
      </c>
      <c r="AC3028" s="2" t="s">
        <v>40</v>
      </c>
      <c r="AF3028" s="2">
        <f t="shared" si="420"/>
        <v>0</v>
      </c>
      <c r="AG3028" s="2">
        <f t="shared" si="416"/>
        <v>44.800000000000004</v>
      </c>
      <c r="AJ3028" s="2">
        <f t="shared" si="421"/>
        <v>0</v>
      </c>
      <c r="AK3028" s="2">
        <f t="shared" si="417"/>
        <v>67.199999999999989</v>
      </c>
      <c r="AL3028" s="5">
        <f t="shared" si="418"/>
        <v>0.59999999999999987</v>
      </c>
    </row>
    <row r="3029" spans="1:38" x14ac:dyDescent="0.2">
      <c r="A3029" s="2">
        <v>2026</v>
      </c>
      <c r="B3029" s="2">
        <v>1</v>
      </c>
      <c r="D3029" s="2" t="s">
        <v>2214</v>
      </c>
      <c r="M3029" s="2" t="s">
        <v>41</v>
      </c>
      <c r="P3029" s="2" t="s">
        <v>169</v>
      </c>
      <c r="Q3029" s="2" t="s">
        <v>170</v>
      </c>
      <c r="R3029" s="2" t="s">
        <v>170</v>
      </c>
      <c r="S3029" s="2">
        <v>1</v>
      </c>
      <c r="T3029" s="2">
        <v>8</v>
      </c>
      <c r="U3029" s="2">
        <v>1.84</v>
      </c>
      <c r="V3029" s="2">
        <v>9.84</v>
      </c>
      <c r="W3029" s="2">
        <v>6</v>
      </c>
      <c r="X3029" s="5">
        <f t="shared" si="422"/>
        <v>0.25</v>
      </c>
      <c r="Z3029" s="2" t="s">
        <v>169</v>
      </c>
      <c r="AA3029" s="2" t="s">
        <v>169</v>
      </c>
      <c r="AF3029" s="2">
        <f t="shared" si="420"/>
        <v>0</v>
      </c>
      <c r="AJ3029" s="2">
        <f t="shared" si="421"/>
        <v>0</v>
      </c>
      <c r="AK3029" s="2">
        <f t="shared" si="417"/>
        <v>2</v>
      </c>
      <c r="AL3029" s="5">
        <f t="shared" si="418"/>
        <v>0.25</v>
      </c>
    </row>
    <row r="3030" spans="1:38" x14ac:dyDescent="0.2">
      <c r="A3030" s="2">
        <v>2026</v>
      </c>
      <c r="B3030" s="2">
        <v>1</v>
      </c>
      <c r="D3030" s="2" t="s">
        <v>1178</v>
      </c>
      <c r="E3030" s="2" t="s">
        <v>38</v>
      </c>
      <c r="G3030" s="2">
        <v>502089075</v>
      </c>
      <c r="H3030" s="2" t="s">
        <v>41</v>
      </c>
      <c r="I3030" s="2" t="s">
        <v>1179</v>
      </c>
      <c r="J3030" s="2" t="s">
        <v>1180</v>
      </c>
      <c r="L3030" s="2" t="s">
        <v>461</v>
      </c>
      <c r="M3030" s="2" t="s">
        <v>41</v>
      </c>
      <c r="O3030" s="2" t="s">
        <v>2455</v>
      </c>
      <c r="P3030" s="2" t="s">
        <v>169</v>
      </c>
      <c r="Q3030" s="2" t="s">
        <v>170</v>
      </c>
      <c r="R3030" s="2" t="s">
        <v>170</v>
      </c>
      <c r="S3030" s="2">
        <v>2</v>
      </c>
      <c r="T3030" s="2">
        <v>10</v>
      </c>
      <c r="U3030" s="2">
        <v>2.2999999999999998</v>
      </c>
      <c r="V3030" s="2">
        <v>12.3</v>
      </c>
      <c r="W3030" s="2">
        <f>6*2</f>
        <v>12</v>
      </c>
      <c r="X3030" s="5">
        <f t="shared" si="422"/>
        <v>-0.2</v>
      </c>
      <c r="Z3030" s="2" t="s">
        <v>169</v>
      </c>
      <c r="AA3030" s="2" t="s">
        <v>169</v>
      </c>
      <c r="AF3030" s="2">
        <f t="shared" si="420"/>
        <v>0</v>
      </c>
      <c r="AJ3030" s="2">
        <f t="shared" si="421"/>
        <v>0</v>
      </c>
      <c r="AK3030" s="2">
        <f t="shared" si="417"/>
        <v>-2</v>
      </c>
      <c r="AL3030" s="5">
        <f t="shared" si="418"/>
        <v>-0.2</v>
      </c>
    </row>
    <row r="3031" spans="1:38" x14ac:dyDescent="0.2">
      <c r="A3031" s="2">
        <v>2026</v>
      </c>
      <c r="B3031" s="2">
        <v>1</v>
      </c>
      <c r="D3031" s="2" t="s">
        <v>394</v>
      </c>
      <c r="E3031" s="2" t="s">
        <v>108</v>
      </c>
      <c r="F3031" s="2" t="s">
        <v>395</v>
      </c>
      <c r="G3031" s="2">
        <v>501787160</v>
      </c>
      <c r="H3031" s="2" t="s">
        <v>41</v>
      </c>
      <c r="I3031" s="2" t="s">
        <v>396</v>
      </c>
      <c r="J3031" s="2" t="s">
        <v>397</v>
      </c>
      <c r="L3031" s="2" t="s">
        <v>398</v>
      </c>
      <c r="M3031" s="2" t="s">
        <v>41</v>
      </c>
      <c r="P3031" s="2" t="s">
        <v>169</v>
      </c>
      <c r="Q3031" s="2" t="s">
        <v>170</v>
      </c>
      <c r="R3031" s="2" t="s">
        <v>170</v>
      </c>
      <c r="S3031" s="2">
        <v>1</v>
      </c>
      <c r="T3031" s="2">
        <v>5</v>
      </c>
      <c r="U3031" s="2">
        <v>1.1499999999999999</v>
      </c>
      <c r="V3031" s="2">
        <v>6.15</v>
      </c>
      <c r="W3031" s="2">
        <v>6</v>
      </c>
      <c r="X3031" s="5">
        <f t="shared" si="422"/>
        <v>-0.2</v>
      </c>
      <c r="Z3031" s="2" t="s">
        <v>169</v>
      </c>
      <c r="AA3031" s="2" t="s">
        <v>169</v>
      </c>
      <c r="AF3031" s="2">
        <f t="shared" si="420"/>
        <v>0</v>
      </c>
      <c r="AJ3031" s="2">
        <f t="shared" si="421"/>
        <v>0</v>
      </c>
      <c r="AK3031" s="2">
        <f t="shared" si="417"/>
        <v>-1</v>
      </c>
      <c r="AL3031" s="5">
        <f t="shared" si="418"/>
        <v>-0.2</v>
      </c>
    </row>
    <row r="3032" spans="1:38" x14ac:dyDescent="0.2">
      <c r="A3032" s="2">
        <v>2026</v>
      </c>
      <c r="B3032" s="2">
        <v>1</v>
      </c>
      <c r="D3032" s="2" t="s">
        <v>843</v>
      </c>
      <c r="E3032" s="2" t="s">
        <v>38</v>
      </c>
      <c r="F3032" s="2" t="s">
        <v>39</v>
      </c>
      <c r="G3032" s="2">
        <v>161685080</v>
      </c>
      <c r="H3032" s="2" t="s">
        <v>41</v>
      </c>
      <c r="I3032" s="2" t="s">
        <v>418</v>
      </c>
      <c r="K3032" s="2" t="s">
        <v>844</v>
      </c>
      <c r="L3032" s="2" t="s">
        <v>418</v>
      </c>
      <c r="M3032" s="2" t="s">
        <v>41</v>
      </c>
      <c r="O3032" s="2" t="s">
        <v>2370</v>
      </c>
      <c r="P3032" s="2" t="s">
        <v>169</v>
      </c>
      <c r="Q3032" s="2" t="s">
        <v>170</v>
      </c>
      <c r="R3032" s="2" t="s">
        <v>170</v>
      </c>
      <c r="S3032" s="2">
        <v>1</v>
      </c>
      <c r="T3032" s="2">
        <v>5</v>
      </c>
      <c r="U3032" s="2">
        <v>1.1499999999999999</v>
      </c>
      <c r="V3032" s="2">
        <v>6.15</v>
      </c>
      <c r="W3032" s="2">
        <v>6</v>
      </c>
      <c r="X3032" s="5">
        <f t="shared" si="422"/>
        <v>-0.2</v>
      </c>
      <c r="Z3032" s="2" t="s">
        <v>169</v>
      </c>
      <c r="AA3032" s="2" t="s">
        <v>169</v>
      </c>
      <c r="AF3032" s="2">
        <f t="shared" si="420"/>
        <v>0</v>
      </c>
      <c r="AJ3032" s="2">
        <f t="shared" si="421"/>
        <v>0</v>
      </c>
      <c r="AK3032" s="2">
        <f t="shared" si="417"/>
        <v>-1</v>
      </c>
      <c r="AL3032" s="5">
        <f t="shared" si="418"/>
        <v>-0.2</v>
      </c>
    </row>
    <row r="3033" spans="1:38" x14ac:dyDescent="0.2">
      <c r="A3033" s="2">
        <v>2026</v>
      </c>
      <c r="B3033" s="2">
        <v>1</v>
      </c>
      <c r="D3033" s="2" t="s">
        <v>1290</v>
      </c>
      <c r="P3033" s="2" t="s">
        <v>169</v>
      </c>
      <c r="Q3033" s="2" t="s">
        <v>170</v>
      </c>
      <c r="R3033" s="2" t="s">
        <v>170</v>
      </c>
      <c r="S3033" s="2">
        <v>1</v>
      </c>
      <c r="T3033" s="2">
        <v>4.5</v>
      </c>
      <c r="U3033" s="2">
        <v>1.0349999999999999</v>
      </c>
      <c r="V3033" s="2">
        <v>5.5350000000000001</v>
      </c>
      <c r="W3033" s="2">
        <v>6</v>
      </c>
      <c r="X3033" s="5">
        <f t="shared" si="422"/>
        <v>-0.33333333333333331</v>
      </c>
      <c r="Z3033" s="2" t="s">
        <v>169</v>
      </c>
      <c r="AA3033" s="2" t="s">
        <v>169</v>
      </c>
      <c r="AF3033" s="2">
        <f t="shared" si="420"/>
        <v>0</v>
      </c>
      <c r="AJ3033" s="2">
        <f t="shared" si="421"/>
        <v>0</v>
      </c>
      <c r="AK3033" s="2">
        <f t="shared" si="417"/>
        <v>-1.5</v>
      </c>
      <c r="AL3033" s="5">
        <f t="shared" si="418"/>
        <v>-0.33333333333333331</v>
      </c>
    </row>
    <row r="3034" spans="1:38" x14ac:dyDescent="0.2">
      <c r="A3034" s="2">
        <v>2026</v>
      </c>
      <c r="B3034" s="2">
        <v>1</v>
      </c>
      <c r="D3034" s="2" t="s">
        <v>1098</v>
      </c>
      <c r="M3034" s="2" t="s">
        <v>40</v>
      </c>
      <c r="P3034" s="2" t="s">
        <v>169</v>
      </c>
      <c r="Q3034" s="2" t="s">
        <v>170</v>
      </c>
      <c r="R3034" s="2" t="s">
        <v>170</v>
      </c>
      <c r="S3034" s="2">
        <v>1</v>
      </c>
      <c r="T3034" s="2">
        <v>100</v>
      </c>
      <c r="U3034" s="2">
        <v>23</v>
      </c>
      <c r="V3034" s="2">
        <v>123</v>
      </c>
      <c r="W3034" s="2">
        <v>150</v>
      </c>
      <c r="X3034" s="5">
        <f t="shared" si="422"/>
        <v>-0.5</v>
      </c>
      <c r="Z3034" s="2" t="s">
        <v>169</v>
      </c>
      <c r="AA3034" s="2" t="s">
        <v>169</v>
      </c>
      <c r="AF3034" s="2">
        <f t="shared" si="420"/>
        <v>0</v>
      </c>
      <c r="AJ3034" s="2">
        <f t="shared" si="421"/>
        <v>0</v>
      </c>
      <c r="AK3034" s="2">
        <f t="shared" si="417"/>
        <v>-50</v>
      </c>
      <c r="AL3034" s="5">
        <f t="shared" si="418"/>
        <v>-0.5</v>
      </c>
    </row>
    <row r="3035" spans="1:38" x14ac:dyDescent="0.2">
      <c r="A3035" s="2">
        <v>2026</v>
      </c>
      <c r="B3035" s="2">
        <v>1</v>
      </c>
      <c r="D3035" s="2" t="s">
        <v>2372</v>
      </c>
      <c r="P3035" s="2" t="s">
        <v>169</v>
      </c>
      <c r="Q3035" s="2" t="s">
        <v>170</v>
      </c>
      <c r="R3035" s="2" t="s">
        <v>170</v>
      </c>
      <c r="S3035" s="2">
        <v>1</v>
      </c>
      <c r="T3035" s="2">
        <v>8</v>
      </c>
      <c r="U3035" s="2">
        <v>1.84</v>
      </c>
      <c r="V3035" s="2">
        <v>9.84</v>
      </c>
      <c r="W3035" s="2">
        <v>6</v>
      </c>
      <c r="X3035" s="5">
        <f t="shared" si="422"/>
        <v>0.25</v>
      </c>
      <c r="Z3035" s="2" t="s">
        <v>169</v>
      </c>
      <c r="AA3035" s="2" t="s">
        <v>169</v>
      </c>
      <c r="AF3035" s="2">
        <f t="shared" si="420"/>
        <v>0</v>
      </c>
      <c r="AJ3035" s="2">
        <f t="shared" si="421"/>
        <v>0</v>
      </c>
      <c r="AK3035" s="2">
        <f t="shared" si="417"/>
        <v>2</v>
      </c>
      <c r="AL3035" s="5">
        <f t="shared" si="418"/>
        <v>0.25</v>
      </c>
    </row>
    <row r="3036" spans="1:38" x14ac:dyDescent="0.2">
      <c r="A3036" s="2">
        <v>2026</v>
      </c>
      <c r="B3036" s="2">
        <v>1</v>
      </c>
      <c r="D3036" s="2" t="s">
        <v>530</v>
      </c>
      <c r="E3036" s="2" t="s">
        <v>108</v>
      </c>
      <c r="F3036" s="2" t="s">
        <v>531</v>
      </c>
      <c r="G3036" s="2">
        <v>502139552</v>
      </c>
      <c r="H3036" s="2" t="s">
        <v>40</v>
      </c>
      <c r="I3036" s="2" t="s">
        <v>339</v>
      </c>
      <c r="J3036" s="2" t="s">
        <v>532</v>
      </c>
      <c r="L3036" s="2" t="s">
        <v>339</v>
      </c>
      <c r="M3036" s="2" t="s">
        <v>40</v>
      </c>
      <c r="P3036" s="2" t="s">
        <v>40</v>
      </c>
      <c r="Q3036" s="2" t="s">
        <v>140</v>
      </c>
      <c r="R3036" s="2" t="s">
        <v>141</v>
      </c>
      <c r="S3036" s="2">
        <v>-1</v>
      </c>
      <c r="T3036" s="2">
        <v>-8.59</v>
      </c>
      <c r="U3036" s="2">
        <v>-1.9757</v>
      </c>
      <c r="V3036" s="2">
        <v>-10.5657</v>
      </c>
      <c r="Z3036" s="2" t="s">
        <v>119</v>
      </c>
      <c r="AA3036" s="2" t="s">
        <v>142</v>
      </c>
      <c r="AF3036" s="2">
        <f t="shared" si="420"/>
        <v>0</v>
      </c>
      <c r="AJ3036" s="2">
        <f t="shared" si="421"/>
        <v>0</v>
      </c>
    </row>
    <row r="3037" spans="1:38" x14ac:dyDescent="0.2">
      <c r="A3037" s="2">
        <v>2026</v>
      </c>
      <c r="B3037" s="2">
        <v>1</v>
      </c>
      <c r="D3037" s="2" t="s">
        <v>1992</v>
      </c>
      <c r="M3037" s="2" t="s">
        <v>40</v>
      </c>
      <c r="P3037" s="2" t="s">
        <v>187</v>
      </c>
      <c r="Q3037" s="2" t="s">
        <v>1308</v>
      </c>
      <c r="R3037" s="2" t="s">
        <v>1309</v>
      </c>
      <c r="S3037" s="2">
        <v>10</v>
      </c>
      <c r="T3037" s="2">
        <v>588.54999999999995</v>
      </c>
      <c r="U3037" s="2">
        <v>135.3665</v>
      </c>
      <c r="V3037" s="2">
        <v>723.91649999999993</v>
      </c>
      <c r="X3037" s="5">
        <f t="shared" ref="X3037:X3073" si="423">(T3037-W3037)/T3037</f>
        <v>1</v>
      </c>
      <c r="Z3037" s="2" t="s">
        <v>117</v>
      </c>
      <c r="AA3037" s="2" t="s">
        <v>1310</v>
      </c>
      <c r="AF3037" s="2">
        <f t="shared" si="420"/>
        <v>0</v>
      </c>
      <c r="AJ3037" s="2">
        <f t="shared" si="421"/>
        <v>0</v>
      </c>
      <c r="AK3037" s="2">
        <f t="shared" ref="AK3037:AK3084" si="424">T3037-W3037</f>
        <v>588.54999999999995</v>
      </c>
      <c r="AL3037" s="5">
        <f t="shared" ref="AL3037:AL3074" si="425">(T3037-W3037)/T3037</f>
        <v>1</v>
      </c>
    </row>
    <row r="3038" spans="1:38" x14ac:dyDescent="0.2">
      <c r="A3038" s="2">
        <v>2026</v>
      </c>
      <c r="B3038" s="2">
        <v>1</v>
      </c>
      <c r="D3038" s="2" t="s">
        <v>1877</v>
      </c>
      <c r="M3038" s="2" t="s">
        <v>40</v>
      </c>
      <c r="P3038" s="2" t="s">
        <v>187</v>
      </c>
      <c r="Q3038" s="2" t="s">
        <v>1308</v>
      </c>
      <c r="R3038" s="2" t="s">
        <v>1309</v>
      </c>
      <c r="S3038" s="2">
        <v>1</v>
      </c>
      <c r="T3038" s="2">
        <v>0</v>
      </c>
      <c r="U3038" s="2">
        <v>0</v>
      </c>
      <c r="V3038" s="2">
        <v>0</v>
      </c>
      <c r="X3038" s="5" t="e">
        <f t="shared" si="423"/>
        <v>#DIV/0!</v>
      </c>
      <c r="Z3038" s="2" t="s">
        <v>117</v>
      </c>
      <c r="AA3038" s="2" t="s">
        <v>1310</v>
      </c>
      <c r="AF3038" s="2">
        <f t="shared" si="420"/>
        <v>0</v>
      </c>
      <c r="AJ3038" s="2">
        <f t="shared" si="421"/>
        <v>0</v>
      </c>
      <c r="AK3038" s="2">
        <f t="shared" si="424"/>
        <v>0</v>
      </c>
      <c r="AL3038" s="5" t="e">
        <f t="shared" si="425"/>
        <v>#DIV/0!</v>
      </c>
    </row>
    <row r="3039" spans="1:38" x14ac:dyDescent="0.2">
      <c r="A3039" s="2">
        <v>2026</v>
      </c>
      <c r="B3039" s="2">
        <v>1</v>
      </c>
      <c r="D3039" s="2" t="s">
        <v>2397</v>
      </c>
      <c r="M3039" s="2" t="s">
        <v>40</v>
      </c>
      <c r="P3039" s="2" t="s">
        <v>187</v>
      </c>
      <c r="Q3039" s="2" t="s">
        <v>1308</v>
      </c>
      <c r="R3039" s="2" t="s">
        <v>1309</v>
      </c>
      <c r="S3039" s="2">
        <v>1</v>
      </c>
      <c r="T3039" s="2">
        <v>0</v>
      </c>
      <c r="U3039" s="2">
        <v>0</v>
      </c>
      <c r="V3039" s="2">
        <v>0</v>
      </c>
      <c r="X3039" s="5" t="e">
        <f t="shared" si="423"/>
        <v>#DIV/0!</v>
      </c>
      <c r="Z3039" s="2" t="s">
        <v>117</v>
      </c>
      <c r="AA3039" s="2" t="s">
        <v>1310</v>
      </c>
      <c r="AF3039" s="2">
        <f t="shared" si="420"/>
        <v>0</v>
      </c>
      <c r="AJ3039" s="2">
        <f t="shared" si="421"/>
        <v>0</v>
      </c>
      <c r="AK3039" s="2">
        <f t="shared" si="424"/>
        <v>0</v>
      </c>
      <c r="AL3039" s="5" t="e">
        <f t="shared" si="425"/>
        <v>#DIV/0!</v>
      </c>
    </row>
    <row r="3040" spans="1:38" x14ac:dyDescent="0.2">
      <c r="A3040" s="2">
        <v>2026</v>
      </c>
      <c r="B3040" s="2">
        <v>1</v>
      </c>
      <c r="D3040" s="2" t="s">
        <v>674</v>
      </c>
      <c r="M3040" s="2" t="s">
        <v>40</v>
      </c>
      <c r="P3040" s="2" t="s">
        <v>187</v>
      </c>
      <c r="Q3040" s="2" t="s">
        <v>1308</v>
      </c>
      <c r="R3040" s="2" t="s">
        <v>1309</v>
      </c>
      <c r="S3040" s="2">
        <v>21</v>
      </c>
      <c r="T3040" s="2">
        <v>940</v>
      </c>
      <c r="U3040" s="2">
        <v>216.2</v>
      </c>
      <c r="V3040" s="2">
        <v>1156.2</v>
      </c>
      <c r="X3040" s="5">
        <f t="shared" si="423"/>
        <v>1</v>
      </c>
      <c r="Z3040" s="2" t="s">
        <v>117</v>
      </c>
      <c r="AA3040" s="2" t="s">
        <v>1310</v>
      </c>
      <c r="AF3040" s="2">
        <f t="shared" si="420"/>
        <v>0</v>
      </c>
      <c r="AJ3040" s="2">
        <f t="shared" si="421"/>
        <v>0</v>
      </c>
      <c r="AK3040" s="2">
        <f t="shared" si="424"/>
        <v>940</v>
      </c>
      <c r="AL3040" s="5">
        <f t="shared" si="425"/>
        <v>1</v>
      </c>
    </row>
    <row r="3041" spans="1:38" x14ac:dyDescent="0.2">
      <c r="A3041" s="2">
        <v>2026</v>
      </c>
      <c r="B3041" s="2">
        <v>1</v>
      </c>
      <c r="D3041" s="2" t="s">
        <v>37</v>
      </c>
      <c r="E3041" s="2" t="s">
        <v>38</v>
      </c>
      <c r="F3041" s="2" t="s">
        <v>39</v>
      </c>
      <c r="H3041" s="2" t="s">
        <v>40</v>
      </c>
      <c r="M3041" s="2" t="s">
        <v>80</v>
      </c>
      <c r="O3041" s="2" t="s">
        <v>2456</v>
      </c>
      <c r="P3041" s="2" t="s">
        <v>93</v>
      </c>
      <c r="Q3041" s="2" t="s">
        <v>94</v>
      </c>
      <c r="R3041" s="2" t="s">
        <v>95</v>
      </c>
      <c r="S3041" s="2">
        <v>4</v>
      </c>
      <c r="T3041" s="2">
        <v>5.92</v>
      </c>
      <c r="U3041" s="2">
        <v>1.3615999999999999</v>
      </c>
      <c r="V3041" s="2">
        <v>7.2816000000000001</v>
      </c>
      <c r="W3041" s="2">
        <v>5.92</v>
      </c>
      <c r="X3041" s="5">
        <f t="shared" si="423"/>
        <v>0</v>
      </c>
      <c r="Z3041" s="2" t="s">
        <v>3227</v>
      </c>
      <c r="AA3041" s="2" t="s">
        <v>96</v>
      </c>
      <c r="AB3041" s="2" t="s">
        <v>76</v>
      </c>
      <c r="AC3041" s="2" t="s">
        <v>93</v>
      </c>
      <c r="AF3041" s="2">
        <f t="shared" si="420"/>
        <v>0</v>
      </c>
      <c r="AJ3041" s="2">
        <f t="shared" si="421"/>
        <v>0</v>
      </c>
      <c r="AK3041" s="2">
        <f t="shared" si="424"/>
        <v>0</v>
      </c>
      <c r="AL3041" s="5">
        <f t="shared" si="425"/>
        <v>0</v>
      </c>
    </row>
    <row r="3042" spans="1:38" x14ac:dyDescent="0.2">
      <c r="A3042" s="2">
        <v>2026</v>
      </c>
      <c r="B3042" s="2">
        <v>1</v>
      </c>
      <c r="D3042" s="2" t="s">
        <v>144</v>
      </c>
      <c r="E3042" s="2" t="s">
        <v>38</v>
      </c>
      <c r="F3042" s="2" t="s">
        <v>39</v>
      </c>
      <c r="G3042" s="2">
        <v>505883970</v>
      </c>
      <c r="H3042" s="2" t="s">
        <v>41</v>
      </c>
      <c r="I3042" s="2" t="s">
        <v>145</v>
      </c>
      <c r="J3042" s="2" t="s">
        <v>146</v>
      </c>
      <c r="L3042" s="2" t="s">
        <v>99</v>
      </c>
      <c r="M3042" s="2" t="s">
        <v>41</v>
      </c>
      <c r="O3042" s="2" t="s">
        <v>2398</v>
      </c>
      <c r="P3042" s="2" t="s">
        <v>93</v>
      </c>
      <c r="Q3042" s="2" t="s">
        <v>94</v>
      </c>
      <c r="R3042" s="2" t="s">
        <v>95</v>
      </c>
      <c r="S3042" s="2">
        <v>1</v>
      </c>
      <c r="T3042" s="2">
        <v>1.48</v>
      </c>
      <c r="U3042" s="2">
        <v>0.34039999999999998</v>
      </c>
      <c r="V3042" s="2">
        <v>1.8204</v>
      </c>
      <c r="W3042" s="2">
        <v>1.48</v>
      </c>
      <c r="X3042" s="5">
        <f t="shared" si="423"/>
        <v>0</v>
      </c>
      <c r="Z3042" s="2" t="s">
        <v>3227</v>
      </c>
      <c r="AA3042" s="2" t="s">
        <v>96</v>
      </c>
      <c r="AB3042" s="2" t="s">
        <v>76</v>
      </c>
      <c r="AC3042" s="2" t="s">
        <v>93</v>
      </c>
      <c r="AF3042" s="2">
        <f t="shared" si="420"/>
        <v>0</v>
      </c>
      <c r="AJ3042" s="2">
        <f t="shared" si="421"/>
        <v>0</v>
      </c>
      <c r="AK3042" s="2">
        <f t="shared" si="424"/>
        <v>0</v>
      </c>
      <c r="AL3042" s="5">
        <f t="shared" si="425"/>
        <v>0</v>
      </c>
    </row>
    <row r="3043" spans="1:38" x14ac:dyDescent="0.2">
      <c r="A3043" s="2">
        <v>2026</v>
      </c>
      <c r="B3043" s="2">
        <v>1</v>
      </c>
      <c r="D3043" s="2" t="s">
        <v>2391</v>
      </c>
      <c r="P3043" s="2" t="s">
        <v>93</v>
      </c>
      <c r="Q3043" s="2" t="s">
        <v>94</v>
      </c>
      <c r="R3043" s="2" t="s">
        <v>95</v>
      </c>
      <c r="S3043" s="2">
        <v>2</v>
      </c>
      <c r="T3043" s="2">
        <v>2.96</v>
      </c>
      <c r="U3043" s="2">
        <v>0.68080000000000007</v>
      </c>
      <c r="V3043" s="2">
        <v>3.6408</v>
      </c>
      <c r="W3043" s="2">
        <v>2.96</v>
      </c>
      <c r="X3043" s="5">
        <f t="shared" si="423"/>
        <v>0</v>
      </c>
      <c r="Z3043" s="2" t="s">
        <v>3227</v>
      </c>
      <c r="AA3043" s="2" t="s">
        <v>96</v>
      </c>
      <c r="AB3043" s="2" t="s">
        <v>76</v>
      </c>
      <c r="AC3043" s="2" t="s">
        <v>93</v>
      </c>
      <c r="AF3043" s="2">
        <f t="shared" si="420"/>
        <v>0</v>
      </c>
      <c r="AJ3043" s="2">
        <f t="shared" si="421"/>
        <v>0</v>
      </c>
      <c r="AK3043" s="2">
        <f t="shared" si="424"/>
        <v>0</v>
      </c>
      <c r="AL3043" s="5">
        <f t="shared" si="425"/>
        <v>0</v>
      </c>
    </row>
    <row r="3044" spans="1:38" x14ac:dyDescent="0.2">
      <c r="A3044" s="2">
        <v>2026</v>
      </c>
      <c r="B3044" s="2">
        <v>1</v>
      </c>
      <c r="D3044" s="2" t="s">
        <v>198</v>
      </c>
      <c r="E3044" s="2" t="s">
        <v>108</v>
      </c>
      <c r="G3044" s="2">
        <v>507541120</v>
      </c>
      <c r="H3044" s="2" t="s">
        <v>40</v>
      </c>
      <c r="I3044" s="2" t="s">
        <v>199</v>
      </c>
      <c r="J3044" s="2" t="s">
        <v>200</v>
      </c>
      <c r="L3044" s="2" t="s">
        <v>201</v>
      </c>
      <c r="M3044" s="2" t="s">
        <v>41</v>
      </c>
      <c r="P3044" s="2" t="s">
        <v>93</v>
      </c>
      <c r="Q3044" s="2" t="s">
        <v>94</v>
      </c>
      <c r="R3044" s="2" t="s">
        <v>95</v>
      </c>
      <c r="S3044" s="2">
        <v>2</v>
      </c>
      <c r="T3044" s="2">
        <v>2.96</v>
      </c>
      <c r="U3044" s="2">
        <v>0.68080000000000007</v>
      </c>
      <c r="V3044" s="2">
        <v>3.6408</v>
      </c>
      <c r="W3044" s="2">
        <v>2.96</v>
      </c>
      <c r="X3044" s="5">
        <f t="shared" si="423"/>
        <v>0</v>
      </c>
      <c r="Z3044" s="2" t="s">
        <v>3227</v>
      </c>
      <c r="AA3044" s="2" t="s">
        <v>96</v>
      </c>
      <c r="AB3044" s="2" t="s">
        <v>76</v>
      </c>
      <c r="AC3044" s="2" t="s">
        <v>93</v>
      </c>
      <c r="AF3044" s="2">
        <f t="shared" si="420"/>
        <v>0</v>
      </c>
      <c r="AJ3044" s="2">
        <f t="shared" si="421"/>
        <v>0</v>
      </c>
      <c r="AK3044" s="2">
        <f t="shared" si="424"/>
        <v>0</v>
      </c>
      <c r="AL3044" s="5">
        <f t="shared" si="425"/>
        <v>0</v>
      </c>
    </row>
    <row r="3045" spans="1:38" x14ac:dyDescent="0.2">
      <c r="A3045" s="2">
        <v>2026</v>
      </c>
      <c r="B3045" s="2">
        <v>1</v>
      </c>
      <c r="D3045" s="2" t="s">
        <v>314</v>
      </c>
      <c r="E3045" s="2" t="s">
        <v>108</v>
      </c>
      <c r="G3045" s="2">
        <v>503270520</v>
      </c>
      <c r="H3045" s="2" t="s">
        <v>40</v>
      </c>
      <c r="I3045" s="2" t="s">
        <v>315</v>
      </c>
      <c r="J3045" s="2" t="s">
        <v>316</v>
      </c>
      <c r="L3045" s="2" t="s">
        <v>99</v>
      </c>
      <c r="M3045" s="2" t="s">
        <v>80</v>
      </c>
      <c r="P3045" s="2" t="s">
        <v>93</v>
      </c>
      <c r="Q3045" s="2" t="s">
        <v>94</v>
      </c>
      <c r="R3045" s="2" t="s">
        <v>95</v>
      </c>
      <c r="S3045" s="2">
        <v>2</v>
      </c>
      <c r="T3045" s="2">
        <v>2.96</v>
      </c>
      <c r="U3045" s="2">
        <v>0.68080000000000007</v>
      </c>
      <c r="V3045" s="2">
        <v>3.6408</v>
      </c>
      <c r="W3045" s="2">
        <v>2.96</v>
      </c>
      <c r="X3045" s="5">
        <f t="shared" si="423"/>
        <v>0</v>
      </c>
      <c r="Z3045" s="2" t="s">
        <v>3227</v>
      </c>
      <c r="AA3045" s="2" t="s">
        <v>96</v>
      </c>
      <c r="AB3045" s="2" t="s">
        <v>76</v>
      </c>
      <c r="AC3045" s="2" t="s">
        <v>93</v>
      </c>
      <c r="AF3045" s="2">
        <f t="shared" si="420"/>
        <v>0</v>
      </c>
      <c r="AJ3045" s="2">
        <f t="shared" si="421"/>
        <v>0</v>
      </c>
      <c r="AK3045" s="2">
        <f t="shared" si="424"/>
        <v>0</v>
      </c>
      <c r="AL3045" s="5">
        <f t="shared" si="425"/>
        <v>0</v>
      </c>
    </row>
    <row r="3046" spans="1:38" x14ac:dyDescent="0.2">
      <c r="A3046" s="2">
        <v>2026</v>
      </c>
      <c r="B3046" s="2">
        <v>1</v>
      </c>
      <c r="D3046" s="2" t="s">
        <v>319</v>
      </c>
      <c r="E3046" s="2" t="s">
        <v>38</v>
      </c>
      <c r="F3046" s="2" t="s">
        <v>39</v>
      </c>
      <c r="G3046" s="2">
        <v>500883262</v>
      </c>
      <c r="H3046" s="2" t="s">
        <v>40</v>
      </c>
      <c r="I3046" s="2" t="s">
        <v>99</v>
      </c>
      <c r="J3046" s="2" t="s">
        <v>320</v>
      </c>
      <c r="L3046" s="2" t="s">
        <v>99</v>
      </c>
      <c r="M3046" s="2" t="s">
        <v>80</v>
      </c>
      <c r="O3046" s="2" t="s">
        <v>2417</v>
      </c>
      <c r="P3046" s="2" t="s">
        <v>93</v>
      </c>
      <c r="Q3046" s="2" t="s">
        <v>94</v>
      </c>
      <c r="R3046" s="2" t="s">
        <v>95</v>
      </c>
      <c r="S3046" s="2">
        <v>1</v>
      </c>
      <c r="T3046" s="2">
        <v>1.48</v>
      </c>
      <c r="U3046" s="2">
        <v>0.34039999999999998</v>
      </c>
      <c r="V3046" s="2">
        <v>1.8204</v>
      </c>
      <c r="W3046" s="2">
        <v>1.48</v>
      </c>
      <c r="X3046" s="5">
        <f t="shared" si="423"/>
        <v>0</v>
      </c>
      <c r="Z3046" s="2" t="s">
        <v>3227</v>
      </c>
      <c r="AA3046" s="2" t="s">
        <v>96</v>
      </c>
      <c r="AB3046" s="2" t="s">
        <v>76</v>
      </c>
      <c r="AC3046" s="2" t="s">
        <v>93</v>
      </c>
      <c r="AF3046" s="2">
        <f t="shared" si="420"/>
        <v>0</v>
      </c>
      <c r="AJ3046" s="2">
        <f t="shared" si="421"/>
        <v>0</v>
      </c>
      <c r="AK3046" s="2">
        <f t="shared" si="424"/>
        <v>0</v>
      </c>
      <c r="AL3046" s="5">
        <f t="shared" si="425"/>
        <v>0</v>
      </c>
    </row>
    <row r="3047" spans="1:38" x14ac:dyDescent="0.2">
      <c r="A3047" s="2">
        <v>2026</v>
      </c>
      <c r="B3047" s="2">
        <v>2</v>
      </c>
      <c r="D3047" s="2" t="s">
        <v>689</v>
      </c>
      <c r="E3047" s="2" t="s">
        <v>108</v>
      </c>
      <c r="F3047" s="2" t="s">
        <v>39</v>
      </c>
      <c r="G3047" s="2">
        <v>503589950</v>
      </c>
      <c r="H3047" s="2" t="s">
        <v>41</v>
      </c>
      <c r="I3047" s="2" t="s">
        <v>610</v>
      </c>
      <c r="J3047" s="2" t="s">
        <v>690</v>
      </c>
      <c r="K3047" s="2">
        <v>913036545</v>
      </c>
      <c r="L3047" s="2" t="s">
        <v>177</v>
      </c>
      <c r="M3047" s="2" t="s">
        <v>41</v>
      </c>
      <c r="O3047" s="2" t="s">
        <v>2416</v>
      </c>
      <c r="P3047" s="2" t="s">
        <v>43</v>
      </c>
      <c r="Q3047" s="2" t="s">
        <v>234</v>
      </c>
      <c r="R3047" s="2" t="s">
        <v>235</v>
      </c>
      <c r="S3047" s="2">
        <v>1</v>
      </c>
      <c r="T3047" s="2">
        <v>14.4</v>
      </c>
      <c r="U3047" s="2">
        <v>3.3119999999999998</v>
      </c>
      <c r="V3047" s="2">
        <v>17.712</v>
      </c>
      <c r="W3047" s="2">
        <f>7.2217*S3047</f>
        <v>7.2217000000000002</v>
      </c>
      <c r="X3047" s="5">
        <f t="shared" si="423"/>
        <v>0.49849305555555556</v>
      </c>
      <c r="Z3047" s="2" t="s">
        <v>3227</v>
      </c>
      <c r="AA3047" s="2" t="s">
        <v>46</v>
      </c>
      <c r="AB3047" s="2" t="s">
        <v>56</v>
      </c>
      <c r="AC3047" s="2" t="s">
        <v>57</v>
      </c>
      <c r="AF3047" s="2">
        <f t="shared" si="420"/>
        <v>0</v>
      </c>
      <c r="AG3047" s="2">
        <v>7.2217000000000002</v>
      </c>
      <c r="AH3047" s="2">
        <v>14.4</v>
      </c>
      <c r="AJ3047" s="2">
        <f t="shared" si="421"/>
        <v>0</v>
      </c>
      <c r="AK3047" s="2">
        <f t="shared" si="424"/>
        <v>7.1783000000000001</v>
      </c>
      <c r="AL3047" s="5">
        <f t="shared" si="425"/>
        <v>0.49849305555555556</v>
      </c>
    </row>
    <row r="3048" spans="1:38" x14ac:dyDescent="0.2">
      <c r="A3048" s="2">
        <v>2026</v>
      </c>
      <c r="B3048" s="2">
        <v>1</v>
      </c>
      <c r="D3048" s="2" t="s">
        <v>981</v>
      </c>
      <c r="E3048" s="2" t="s">
        <v>108</v>
      </c>
      <c r="F3048" s="2" t="s">
        <v>717</v>
      </c>
      <c r="G3048" s="2">
        <v>500594309</v>
      </c>
      <c r="H3048" s="2" t="s">
        <v>290</v>
      </c>
      <c r="I3048" s="2" t="s">
        <v>982</v>
      </c>
      <c r="J3048" s="2" t="s">
        <v>983</v>
      </c>
      <c r="L3048" s="2" t="s">
        <v>293</v>
      </c>
      <c r="M3048" s="2" t="s">
        <v>80</v>
      </c>
      <c r="O3048" s="2" t="s">
        <v>2426</v>
      </c>
      <c r="P3048" s="2" t="s">
        <v>93</v>
      </c>
      <c r="Q3048" s="2" t="s">
        <v>94</v>
      </c>
      <c r="R3048" s="2" t="s">
        <v>95</v>
      </c>
      <c r="S3048" s="2">
        <v>1</v>
      </c>
      <c r="T3048" s="2">
        <v>1.48</v>
      </c>
      <c r="U3048" s="2">
        <v>0.34039999999999998</v>
      </c>
      <c r="V3048" s="2">
        <v>1.8204</v>
      </c>
      <c r="W3048" s="2">
        <v>1.48</v>
      </c>
      <c r="X3048" s="5">
        <f t="shared" si="423"/>
        <v>0</v>
      </c>
      <c r="Z3048" s="2" t="s">
        <v>3227</v>
      </c>
      <c r="AA3048" s="2" t="s">
        <v>96</v>
      </c>
      <c r="AB3048" s="2" t="s">
        <v>76</v>
      </c>
      <c r="AC3048" s="2" t="s">
        <v>93</v>
      </c>
      <c r="AF3048" s="2">
        <f t="shared" si="420"/>
        <v>0</v>
      </c>
      <c r="AG3048" s="2">
        <v>1.48</v>
      </c>
      <c r="AH3048" s="2">
        <v>1.48</v>
      </c>
      <c r="AJ3048" s="2">
        <f t="shared" si="421"/>
        <v>0</v>
      </c>
      <c r="AK3048" s="2">
        <f t="shared" si="424"/>
        <v>0</v>
      </c>
      <c r="AL3048" s="5">
        <f t="shared" si="425"/>
        <v>0</v>
      </c>
    </row>
    <row r="3049" spans="1:38" x14ac:dyDescent="0.2">
      <c r="A3049" s="2">
        <v>2026</v>
      </c>
      <c r="B3049" s="2">
        <v>1</v>
      </c>
      <c r="D3049" s="2" t="s">
        <v>2008</v>
      </c>
      <c r="E3049" s="2" t="s">
        <v>38</v>
      </c>
      <c r="F3049" s="2" t="s">
        <v>39</v>
      </c>
      <c r="L3049" s="2" t="s">
        <v>571</v>
      </c>
      <c r="M3049" s="2" t="s">
        <v>80</v>
      </c>
      <c r="P3049" s="2" t="s">
        <v>93</v>
      </c>
      <c r="Q3049" s="2" t="s">
        <v>94</v>
      </c>
      <c r="R3049" s="2" t="s">
        <v>95</v>
      </c>
      <c r="S3049" s="2">
        <v>1</v>
      </c>
      <c r="T3049" s="2">
        <v>1.48</v>
      </c>
      <c r="U3049" s="2">
        <v>0.34039999999999998</v>
      </c>
      <c r="V3049" s="2">
        <v>1.8204</v>
      </c>
      <c r="W3049" s="2">
        <v>1.48</v>
      </c>
      <c r="X3049" s="5">
        <f t="shared" si="423"/>
        <v>0</v>
      </c>
      <c r="Z3049" s="2" t="s">
        <v>3227</v>
      </c>
      <c r="AA3049" s="2" t="s">
        <v>96</v>
      </c>
      <c r="AB3049" s="2" t="s">
        <v>76</v>
      </c>
      <c r="AC3049" s="2" t="s">
        <v>93</v>
      </c>
      <c r="AF3049" s="2">
        <f t="shared" si="420"/>
        <v>0</v>
      </c>
      <c r="AJ3049" s="2">
        <f t="shared" si="421"/>
        <v>0</v>
      </c>
      <c r="AK3049" s="2">
        <f t="shared" si="424"/>
        <v>0</v>
      </c>
      <c r="AL3049" s="5">
        <f t="shared" si="425"/>
        <v>0</v>
      </c>
    </row>
    <row r="3050" spans="1:38" x14ac:dyDescent="0.2">
      <c r="A3050" s="2">
        <v>2026</v>
      </c>
      <c r="B3050" s="2">
        <v>1</v>
      </c>
      <c r="C3050" s="2" t="s">
        <v>3327</v>
      </c>
      <c r="D3050" s="2" t="s">
        <v>1009</v>
      </c>
      <c r="E3050" s="2" t="s">
        <v>108</v>
      </c>
      <c r="F3050" s="2" t="s">
        <v>39</v>
      </c>
      <c r="G3050" s="2">
        <v>507063481</v>
      </c>
      <c r="H3050" s="2" t="s">
        <v>290</v>
      </c>
      <c r="I3050" s="2" t="s">
        <v>1010</v>
      </c>
      <c r="J3050" s="2" t="s">
        <v>1011</v>
      </c>
      <c r="L3050" s="2" t="s">
        <v>293</v>
      </c>
      <c r="M3050" s="2" t="s">
        <v>80</v>
      </c>
      <c r="P3050" s="2" t="s">
        <v>93</v>
      </c>
      <c r="Q3050" s="2" t="s">
        <v>94</v>
      </c>
      <c r="R3050" s="2" t="s">
        <v>95</v>
      </c>
      <c r="S3050" s="2">
        <v>5</v>
      </c>
      <c r="T3050" s="2">
        <v>7.4</v>
      </c>
      <c r="U3050" s="2">
        <v>1.702</v>
      </c>
      <c r="V3050" s="2">
        <v>9.1020000000000003</v>
      </c>
      <c r="W3050" s="2">
        <v>7.4</v>
      </c>
      <c r="X3050" s="5">
        <f t="shared" si="423"/>
        <v>0</v>
      </c>
      <c r="Z3050" s="2" t="s">
        <v>3227</v>
      </c>
      <c r="AA3050" s="2" t="s">
        <v>96</v>
      </c>
      <c r="AB3050" s="2" t="s">
        <v>76</v>
      </c>
      <c r="AC3050" s="2" t="s">
        <v>93</v>
      </c>
      <c r="AF3050" s="2">
        <f t="shared" si="420"/>
        <v>0</v>
      </c>
      <c r="AJ3050" s="2">
        <f t="shared" si="421"/>
        <v>0</v>
      </c>
      <c r="AK3050" s="2">
        <f t="shared" si="424"/>
        <v>0</v>
      </c>
      <c r="AL3050" s="5">
        <f t="shared" si="425"/>
        <v>0</v>
      </c>
    </row>
    <row r="3051" spans="1:38" x14ac:dyDescent="0.2">
      <c r="A3051" s="2">
        <v>2026</v>
      </c>
      <c r="B3051" s="2">
        <v>1</v>
      </c>
      <c r="D3051" s="2" t="s">
        <v>428</v>
      </c>
      <c r="E3051" s="2" t="s">
        <v>38</v>
      </c>
      <c r="G3051" s="2">
        <v>500820384</v>
      </c>
      <c r="H3051" s="2" t="s">
        <v>40</v>
      </c>
      <c r="I3051" s="2" t="s">
        <v>429</v>
      </c>
      <c r="J3051" s="2" t="s">
        <v>430</v>
      </c>
      <c r="L3051" s="2" t="s">
        <v>99</v>
      </c>
      <c r="M3051" s="2" t="s">
        <v>80</v>
      </c>
      <c r="O3051" s="2" t="s">
        <v>2457</v>
      </c>
      <c r="P3051" s="2" t="s">
        <v>93</v>
      </c>
      <c r="Q3051" s="2" t="s">
        <v>94</v>
      </c>
      <c r="R3051" s="2" t="s">
        <v>95</v>
      </c>
      <c r="S3051" s="2">
        <v>2</v>
      </c>
      <c r="T3051" s="2">
        <v>2.96</v>
      </c>
      <c r="U3051" s="2">
        <v>0.68080000000000007</v>
      </c>
      <c r="V3051" s="2">
        <v>3.6408</v>
      </c>
      <c r="W3051" s="2">
        <v>2.96</v>
      </c>
      <c r="X3051" s="5">
        <f t="shared" si="423"/>
        <v>0</v>
      </c>
      <c r="Z3051" s="2" t="s">
        <v>3227</v>
      </c>
      <c r="AA3051" s="2" t="s">
        <v>96</v>
      </c>
      <c r="AB3051" s="2" t="s">
        <v>76</v>
      </c>
      <c r="AC3051" s="2" t="s">
        <v>93</v>
      </c>
      <c r="AF3051" s="2">
        <f t="shared" si="420"/>
        <v>0</v>
      </c>
      <c r="AJ3051" s="2">
        <f t="shared" si="421"/>
        <v>0</v>
      </c>
      <c r="AK3051" s="2">
        <f t="shared" si="424"/>
        <v>0</v>
      </c>
      <c r="AL3051" s="5">
        <f t="shared" si="425"/>
        <v>0</v>
      </c>
    </row>
    <row r="3052" spans="1:38" x14ac:dyDescent="0.2">
      <c r="A3052" s="2">
        <v>2026</v>
      </c>
      <c r="B3052" s="2">
        <v>1</v>
      </c>
      <c r="D3052" s="2" t="s">
        <v>1553</v>
      </c>
      <c r="E3052" s="2" t="s">
        <v>108</v>
      </c>
      <c r="F3052" s="2" t="s">
        <v>717</v>
      </c>
      <c r="G3052" s="2">
        <v>500975914</v>
      </c>
      <c r="H3052" s="2" t="s">
        <v>41</v>
      </c>
      <c r="I3052" s="2" t="s">
        <v>1554</v>
      </c>
      <c r="J3052" s="2" t="s">
        <v>1555</v>
      </c>
      <c r="L3052" s="2" t="s">
        <v>177</v>
      </c>
      <c r="M3052" s="2" t="s">
        <v>41</v>
      </c>
      <c r="P3052" s="2" t="s">
        <v>93</v>
      </c>
      <c r="Q3052" s="2" t="s">
        <v>94</v>
      </c>
      <c r="R3052" s="2" t="s">
        <v>95</v>
      </c>
      <c r="S3052" s="2">
        <v>1</v>
      </c>
      <c r="T3052" s="2">
        <v>1.48</v>
      </c>
      <c r="U3052" s="2">
        <v>0.34039999999999998</v>
      </c>
      <c r="V3052" s="2">
        <v>1.8204</v>
      </c>
      <c r="W3052" s="2">
        <v>1.48</v>
      </c>
      <c r="X3052" s="5">
        <f t="shared" si="423"/>
        <v>0</v>
      </c>
      <c r="Z3052" s="2" t="s">
        <v>3227</v>
      </c>
      <c r="AA3052" s="2" t="s">
        <v>96</v>
      </c>
      <c r="AB3052" s="2" t="s">
        <v>76</v>
      </c>
      <c r="AC3052" s="2" t="s">
        <v>93</v>
      </c>
      <c r="AF3052" s="2">
        <f t="shared" si="420"/>
        <v>0</v>
      </c>
      <c r="AJ3052" s="2">
        <f t="shared" si="421"/>
        <v>0</v>
      </c>
      <c r="AK3052" s="2">
        <f t="shared" si="424"/>
        <v>0</v>
      </c>
      <c r="AL3052" s="5">
        <f t="shared" si="425"/>
        <v>0</v>
      </c>
    </row>
    <row r="3053" spans="1:38" x14ac:dyDescent="0.2">
      <c r="A3053" s="2">
        <v>2026</v>
      </c>
      <c r="B3053" s="2">
        <v>1</v>
      </c>
      <c r="D3053" s="2" t="s">
        <v>1376</v>
      </c>
      <c r="E3053" s="2" t="s">
        <v>183</v>
      </c>
      <c r="F3053" s="2" t="s">
        <v>366</v>
      </c>
      <c r="L3053" s="2" t="s">
        <v>571</v>
      </c>
      <c r="M3053" s="2" t="s">
        <v>80</v>
      </c>
      <c r="P3053" s="2" t="s">
        <v>93</v>
      </c>
      <c r="Q3053" s="2" t="s">
        <v>94</v>
      </c>
      <c r="R3053" s="2" t="s">
        <v>95</v>
      </c>
      <c r="S3053" s="2">
        <v>1</v>
      </c>
      <c r="T3053" s="2">
        <v>1.48</v>
      </c>
      <c r="U3053" s="2">
        <v>0.34039999999999998</v>
      </c>
      <c r="V3053" s="2">
        <v>1.8204</v>
      </c>
      <c r="W3053" s="2">
        <v>1.48</v>
      </c>
      <c r="X3053" s="5">
        <f t="shared" si="423"/>
        <v>0</v>
      </c>
      <c r="Z3053" s="2" t="s">
        <v>3227</v>
      </c>
      <c r="AA3053" s="2" t="s">
        <v>96</v>
      </c>
      <c r="AB3053" s="2" t="s">
        <v>76</v>
      </c>
      <c r="AC3053" s="2" t="s">
        <v>93</v>
      </c>
      <c r="AF3053" s="2">
        <f t="shared" si="420"/>
        <v>0</v>
      </c>
      <c r="AJ3053" s="2">
        <f t="shared" si="421"/>
        <v>0</v>
      </c>
      <c r="AK3053" s="2">
        <f t="shared" si="424"/>
        <v>0</v>
      </c>
      <c r="AL3053" s="5">
        <f t="shared" si="425"/>
        <v>0</v>
      </c>
    </row>
    <row r="3054" spans="1:38" x14ac:dyDescent="0.2">
      <c r="A3054" s="2">
        <v>2026</v>
      </c>
      <c r="B3054" s="2">
        <v>1</v>
      </c>
      <c r="C3054" s="2" t="s">
        <v>3327</v>
      </c>
      <c r="D3054" s="2" t="s">
        <v>1017</v>
      </c>
      <c r="E3054" s="2" t="s">
        <v>108</v>
      </c>
      <c r="F3054" s="2" t="s">
        <v>477</v>
      </c>
      <c r="G3054" s="2">
        <v>505647338</v>
      </c>
      <c r="H3054" s="2" t="s">
        <v>290</v>
      </c>
      <c r="I3054" s="2" t="s">
        <v>1018</v>
      </c>
      <c r="J3054" s="2" t="s">
        <v>1019</v>
      </c>
      <c r="L3054" s="2" t="s">
        <v>293</v>
      </c>
      <c r="M3054" s="2" t="s">
        <v>80</v>
      </c>
      <c r="O3054" s="2" t="s">
        <v>2392</v>
      </c>
      <c r="P3054" s="2" t="s">
        <v>93</v>
      </c>
      <c r="Q3054" s="2" t="s">
        <v>94</v>
      </c>
      <c r="R3054" s="2" t="s">
        <v>95</v>
      </c>
      <c r="S3054" s="2">
        <v>1</v>
      </c>
      <c r="T3054" s="2">
        <v>1.48</v>
      </c>
      <c r="U3054" s="2">
        <v>0.34039999999999998</v>
      </c>
      <c r="V3054" s="2">
        <v>1.8204</v>
      </c>
      <c r="W3054" s="2">
        <v>1.48</v>
      </c>
      <c r="X3054" s="5">
        <f t="shared" si="423"/>
        <v>0</v>
      </c>
      <c r="Z3054" s="2" t="s">
        <v>3227</v>
      </c>
      <c r="AA3054" s="2" t="s">
        <v>96</v>
      </c>
      <c r="AB3054" s="2" t="s">
        <v>76</v>
      </c>
      <c r="AC3054" s="2" t="s">
        <v>93</v>
      </c>
      <c r="AF3054" s="2">
        <f t="shared" si="420"/>
        <v>0</v>
      </c>
      <c r="AG3054" s="2">
        <v>1.48</v>
      </c>
      <c r="AH3054" s="2">
        <v>1.48</v>
      </c>
      <c r="AJ3054" s="2">
        <f t="shared" si="421"/>
        <v>0</v>
      </c>
      <c r="AK3054" s="2">
        <f t="shared" si="424"/>
        <v>0</v>
      </c>
      <c r="AL3054" s="5">
        <f t="shared" si="425"/>
        <v>0</v>
      </c>
    </row>
    <row r="3055" spans="1:38" x14ac:dyDescent="0.2">
      <c r="A3055" s="2">
        <v>2026</v>
      </c>
      <c r="B3055" s="2">
        <v>1</v>
      </c>
      <c r="D3055" s="2" t="s">
        <v>816</v>
      </c>
      <c r="E3055" s="2" t="s">
        <v>38</v>
      </c>
      <c r="F3055" s="2" t="s">
        <v>39</v>
      </c>
      <c r="L3055" s="2" t="s">
        <v>480</v>
      </c>
      <c r="P3055" s="2" t="s">
        <v>93</v>
      </c>
      <c r="Q3055" s="2" t="s">
        <v>94</v>
      </c>
      <c r="R3055" s="2" t="s">
        <v>95</v>
      </c>
      <c r="S3055" s="2">
        <v>3</v>
      </c>
      <c r="T3055" s="2">
        <v>4.4400000000000004</v>
      </c>
      <c r="U3055" s="2">
        <v>1.0212000000000001</v>
      </c>
      <c r="V3055" s="2">
        <v>5.4612000000000007</v>
      </c>
      <c r="W3055" s="2">
        <v>4.4400000000000004</v>
      </c>
      <c r="X3055" s="5">
        <f t="shared" si="423"/>
        <v>0</v>
      </c>
      <c r="Z3055" s="2" t="s">
        <v>3227</v>
      </c>
      <c r="AA3055" s="2" t="s">
        <v>96</v>
      </c>
      <c r="AB3055" s="2" t="s">
        <v>76</v>
      </c>
      <c r="AC3055" s="2" t="s">
        <v>93</v>
      </c>
      <c r="AF3055" s="2">
        <f t="shared" si="420"/>
        <v>0</v>
      </c>
      <c r="AJ3055" s="2">
        <f t="shared" si="421"/>
        <v>0</v>
      </c>
      <c r="AK3055" s="2">
        <f t="shared" si="424"/>
        <v>0</v>
      </c>
      <c r="AL3055" s="5">
        <f t="shared" si="425"/>
        <v>0</v>
      </c>
    </row>
    <row r="3056" spans="1:38" x14ac:dyDescent="0.2">
      <c r="A3056" s="2">
        <v>2026</v>
      </c>
      <c r="B3056" s="2">
        <v>1</v>
      </c>
      <c r="D3056" s="2" t="s">
        <v>1564</v>
      </c>
      <c r="P3056" s="2" t="s">
        <v>93</v>
      </c>
      <c r="Q3056" s="2" t="s">
        <v>94</v>
      </c>
      <c r="R3056" s="2" t="s">
        <v>95</v>
      </c>
      <c r="S3056" s="2">
        <v>1</v>
      </c>
      <c r="T3056" s="2">
        <v>1.48</v>
      </c>
      <c r="U3056" s="2">
        <v>0.34039999999999998</v>
      </c>
      <c r="V3056" s="2">
        <v>1.8204</v>
      </c>
      <c r="W3056" s="2">
        <v>1.48</v>
      </c>
      <c r="X3056" s="5">
        <f t="shared" si="423"/>
        <v>0</v>
      </c>
      <c r="Z3056" s="2" t="s">
        <v>3227</v>
      </c>
      <c r="AA3056" s="2" t="s">
        <v>96</v>
      </c>
      <c r="AB3056" s="2" t="s">
        <v>76</v>
      </c>
      <c r="AC3056" s="2" t="s">
        <v>93</v>
      </c>
      <c r="AF3056" s="2">
        <f t="shared" si="420"/>
        <v>0</v>
      </c>
      <c r="AJ3056" s="2">
        <f t="shared" si="421"/>
        <v>0</v>
      </c>
      <c r="AK3056" s="2">
        <f t="shared" si="424"/>
        <v>0</v>
      </c>
      <c r="AL3056" s="5">
        <f t="shared" si="425"/>
        <v>0</v>
      </c>
    </row>
    <row r="3057" spans="1:38" x14ac:dyDescent="0.2">
      <c r="A3057" s="2">
        <v>2026</v>
      </c>
      <c r="B3057" s="2">
        <v>1</v>
      </c>
      <c r="D3057" s="2" t="s">
        <v>1026</v>
      </c>
      <c r="E3057" s="2" t="s">
        <v>38</v>
      </c>
      <c r="F3057" s="2" t="s">
        <v>39</v>
      </c>
      <c r="G3057" s="2">
        <v>514229829</v>
      </c>
      <c r="H3057" s="2" t="s">
        <v>41</v>
      </c>
      <c r="I3057" s="2" t="s">
        <v>1027</v>
      </c>
      <c r="J3057" s="2" t="s">
        <v>1028</v>
      </c>
      <c r="K3057" s="2">
        <v>963046242</v>
      </c>
      <c r="L3057" s="2" t="s">
        <v>177</v>
      </c>
      <c r="P3057" s="2" t="s">
        <v>93</v>
      </c>
      <c r="Q3057" s="2" t="s">
        <v>94</v>
      </c>
      <c r="R3057" s="2" t="s">
        <v>95</v>
      </c>
      <c r="S3057" s="2">
        <v>1</v>
      </c>
      <c r="T3057" s="2">
        <v>1.48</v>
      </c>
      <c r="U3057" s="2">
        <v>0.34039999999999998</v>
      </c>
      <c r="V3057" s="2">
        <v>1.8204</v>
      </c>
      <c r="W3057" s="2">
        <v>1.48</v>
      </c>
      <c r="X3057" s="5">
        <f t="shared" si="423"/>
        <v>0</v>
      </c>
      <c r="Z3057" s="2" t="s">
        <v>3227</v>
      </c>
      <c r="AA3057" s="2" t="s">
        <v>96</v>
      </c>
      <c r="AB3057" s="2" t="s">
        <v>76</v>
      </c>
      <c r="AC3057" s="2" t="s">
        <v>93</v>
      </c>
      <c r="AF3057" s="2">
        <f t="shared" si="420"/>
        <v>0</v>
      </c>
      <c r="AJ3057" s="2">
        <f t="shared" si="421"/>
        <v>0</v>
      </c>
      <c r="AK3057" s="2">
        <f t="shared" si="424"/>
        <v>0</v>
      </c>
      <c r="AL3057" s="5">
        <f t="shared" si="425"/>
        <v>0</v>
      </c>
    </row>
    <row r="3058" spans="1:38" x14ac:dyDescent="0.2">
      <c r="A3058" s="2">
        <v>2026</v>
      </c>
      <c r="B3058" s="2">
        <v>1</v>
      </c>
      <c r="D3058" s="2" t="s">
        <v>1593</v>
      </c>
      <c r="E3058" s="2" t="s">
        <v>108</v>
      </c>
      <c r="F3058" s="2" t="s">
        <v>395</v>
      </c>
      <c r="G3058" s="2">
        <v>500314594</v>
      </c>
      <c r="H3058" s="2" t="s">
        <v>40</v>
      </c>
      <c r="I3058" s="2" t="s">
        <v>1594</v>
      </c>
      <c r="J3058" s="2" t="s">
        <v>1595</v>
      </c>
      <c r="L3058" s="2" t="s">
        <v>201</v>
      </c>
      <c r="M3058" s="2" t="s">
        <v>80</v>
      </c>
      <c r="O3058" s="2" t="s">
        <v>2393</v>
      </c>
      <c r="P3058" s="2" t="s">
        <v>93</v>
      </c>
      <c r="Q3058" s="2" t="s">
        <v>94</v>
      </c>
      <c r="R3058" s="2" t="s">
        <v>95</v>
      </c>
      <c r="S3058" s="2">
        <v>1</v>
      </c>
      <c r="T3058" s="2">
        <v>1.48</v>
      </c>
      <c r="U3058" s="2">
        <v>0.34039999999999998</v>
      </c>
      <c r="V3058" s="2">
        <v>1.8204</v>
      </c>
      <c r="W3058" s="2">
        <v>1.48</v>
      </c>
      <c r="X3058" s="5">
        <f t="shared" si="423"/>
        <v>0</v>
      </c>
      <c r="Z3058" s="2" t="s">
        <v>3227</v>
      </c>
      <c r="AA3058" s="2" t="s">
        <v>96</v>
      </c>
      <c r="AB3058" s="2" t="s">
        <v>76</v>
      </c>
      <c r="AC3058" s="2" t="s">
        <v>93</v>
      </c>
      <c r="AF3058" s="2">
        <f t="shared" si="420"/>
        <v>0</v>
      </c>
      <c r="AG3058" s="2">
        <v>1.48</v>
      </c>
      <c r="AH3058" s="2">
        <v>1.48</v>
      </c>
      <c r="AJ3058" s="2">
        <f t="shared" si="421"/>
        <v>0</v>
      </c>
      <c r="AK3058" s="2">
        <f t="shared" si="424"/>
        <v>0</v>
      </c>
      <c r="AL3058" s="5">
        <f t="shared" si="425"/>
        <v>0</v>
      </c>
    </row>
    <row r="3059" spans="1:38" x14ac:dyDescent="0.2">
      <c r="A3059" s="2">
        <v>2026</v>
      </c>
      <c r="B3059" s="2">
        <v>1</v>
      </c>
      <c r="D3059" s="2" t="s">
        <v>2403</v>
      </c>
      <c r="P3059" s="2" t="s">
        <v>93</v>
      </c>
      <c r="Q3059" s="2" t="s">
        <v>94</v>
      </c>
      <c r="R3059" s="2" t="s">
        <v>95</v>
      </c>
      <c r="S3059" s="2">
        <v>1</v>
      </c>
      <c r="T3059" s="2">
        <v>1.48</v>
      </c>
      <c r="U3059" s="2">
        <v>0.34039999999999998</v>
      </c>
      <c r="V3059" s="2">
        <v>1.8204</v>
      </c>
      <c r="W3059" s="2">
        <v>1.48</v>
      </c>
      <c r="X3059" s="5">
        <f t="shared" si="423"/>
        <v>0</v>
      </c>
      <c r="Z3059" s="2" t="s">
        <v>3227</v>
      </c>
      <c r="AA3059" s="2" t="s">
        <v>96</v>
      </c>
      <c r="AB3059" s="2" t="s">
        <v>76</v>
      </c>
      <c r="AC3059" s="2" t="s">
        <v>93</v>
      </c>
      <c r="AF3059" s="2">
        <f t="shared" si="420"/>
        <v>0</v>
      </c>
      <c r="AJ3059" s="2">
        <f t="shared" si="421"/>
        <v>0</v>
      </c>
      <c r="AK3059" s="2">
        <f t="shared" si="424"/>
        <v>0</v>
      </c>
      <c r="AL3059" s="5">
        <f t="shared" si="425"/>
        <v>0</v>
      </c>
    </row>
    <row r="3060" spans="1:38" x14ac:dyDescent="0.2">
      <c r="A3060" s="2">
        <v>2026</v>
      </c>
      <c r="B3060" s="2">
        <v>1</v>
      </c>
      <c r="D3060" s="2" t="s">
        <v>530</v>
      </c>
      <c r="E3060" s="2" t="s">
        <v>108</v>
      </c>
      <c r="F3060" s="2" t="s">
        <v>531</v>
      </c>
      <c r="G3060" s="2">
        <v>502139552</v>
      </c>
      <c r="H3060" s="2" t="s">
        <v>40</v>
      </c>
      <c r="I3060" s="2" t="s">
        <v>339</v>
      </c>
      <c r="J3060" s="2" t="s">
        <v>532</v>
      </c>
      <c r="L3060" s="2" t="s">
        <v>339</v>
      </c>
      <c r="M3060" s="2" t="s">
        <v>80</v>
      </c>
      <c r="P3060" s="2" t="s">
        <v>93</v>
      </c>
      <c r="Q3060" s="2" t="s">
        <v>94</v>
      </c>
      <c r="R3060" s="2" t="s">
        <v>95</v>
      </c>
      <c r="S3060" s="2">
        <v>1</v>
      </c>
      <c r="T3060" s="2">
        <v>1.48</v>
      </c>
      <c r="U3060" s="2">
        <v>0.34039999999999998</v>
      </c>
      <c r="V3060" s="2">
        <v>1.8204</v>
      </c>
      <c r="W3060" s="2">
        <v>1.48</v>
      </c>
      <c r="X3060" s="5">
        <f t="shared" si="423"/>
        <v>0</v>
      </c>
      <c r="Z3060" s="2" t="s">
        <v>3227</v>
      </c>
      <c r="AA3060" s="2" t="s">
        <v>96</v>
      </c>
      <c r="AB3060" s="2" t="s">
        <v>76</v>
      </c>
      <c r="AC3060" s="2" t="s">
        <v>93</v>
      </c>
      <c r="AF3060" s="2">
        <f t="shared" si="420"/>
        <v>0</v>
      </c>
      <c r="AJ3060" s="2">
        <f t="shared" si="421"/>
        <v>0</v>
      </c>
      <c r="AK3060" s="2">
        <f t="shared" si="424"/>
        <v>0</v>
      </c>
      <c r="AL3060" s="5">
        <f t="shared" si="425"/>
        <v>0</v>
      </c>
    </row>
    <row r="3061" spans="1:38" x14ac:dyDescent="0.2">
      <c r="A3061" s="2">
        <v>2026</v>
      </c>
      <c r="B3061" s="2">
        <v>1</v>
      </c>
      <c r="D3061" s="2" t="s">
        <v>1073</v>
      </c>
      <c r="M3061" s="2" t="s">
        <v>41</v>
      </c>
      <c r="P3061" s="2" t="s">
        <v>93</v>
      </c>
      <c r="Q3061" s="2" t="s">
        <v>94</v>
      </c>
      <c r="R3061" s="2" t="s">
        <v>95</v>
      </c>
      <c r="S3061" s="2">
        <v>1</v>
      </c>
      <c r="T3061" s="2">
        <v>1.48</v>
      </c>
      <c r="U3061" s="2">
        <v>0.34039999999999998</v>
      </c>
      <c r="V3061" s="2">
        <v>1.8204</v>
      </c>
      <c r="W3061" s="2">
        <v>1.48</v>
      </c>
      <c r="X3061" s="5">
        <f t="shared" si="423"/>
        <v>0</v>
      </c>
      <c r="Z3061" s="2" t="s">
        <v>3227</v>
      </c>
      <c r="AA3061" s="2" t="s">
        <v>96</v>
      </c>
      <c r="AB3061" s="2" t="s">
        <v>76</v>
      </c>
      <c r="AC3061" s="2" t="s">
        <v>93</v>
      </c>
      <c r="AF3061" s="2">
        <f t="shared" si="420"/>
        <v>0</v>
      </c>
      <c r="AJ3061" s="2">
        <f t="shared" si="421"/>
        <v>0</v>
      </c>
      <c r="AK3061" s="2">
        <f t="shared" si="424"/>
        <v>0</v>
      </c>
      <c r="AL3061" s="5">
        <f t="shared" si="425"/>
        <v>0</v>
      </c>
    </row>
    <row r="3062" spans="1:38" x14ac:dyDescent="0.2">
      <c r="A3062" s="2">
        <v>2026</v>
      </c>
      <c r="B3062" s="2">
        <v>1</v>
      </c>
      <c r="D3062" s="2" t="s">
        <v>1418</v>
      </c>
      <c r="E3062" s="2" t="s">
        <v>108</v>
      </c>
      <c r="F3062" s="2" t="s">
        <v>39</v>
      </c>
      <c r="G3062" s="2">
        <v>502696338</v>
      </c>
      <c r="H3062" s="2" t="s">
        <v>40</v>
      </c>
      <c r="I3062" s="2" t="s">
        <v>2411</v>
      </c>
      <c r="J3062" s="2" t="s">
        <v>2412</v>
      </c>
      <c r="L3062" s="2" t="s">
        <v>201</v>
      </c>
      <c r="M3062" s="2" t="s">
        <v>80</v>
      </c>
      <c r="O3062" s="2" t="s">
        <v>2413</v>
      </c>
      <c r="P3062" s="2" t="s">
        <v>93</v>
      </c>
      <c r="Q3062" s="2" t="s">
        <v>94</v>
      </c>
      <c r="R3062" s="2" t="s">
        <v>95</v>
      </c>
      <c r="S3062" s="2">
        <v>1</v>
      </c>
      <c r="T3062" s="2">
        <v>1.48</v>
      </c>
      <c r="U3062" s="2">
        <v>0.34039999999999998</v>
      </c>
      <c r="V3062" s="2">
        <v>1.8204</v>
      </c>
      <c r="W3062" s="2">
        <v>1.48</v>
      </c>
      <c r="X3062" s="5">
        <f t="shared" si="423"/>
        <v>0</v>
      </c>
      <c r="Z3062" s="2" t="s">
        <v>3227</v>
      </c>
      <c r="AA3062" s="2" t="s">
        <v>96</v>
      </c>
      <c r="AB3062" s="2" t="s">
        <v>76</v>
      </c>
      <c r="AC3062" s="2" t="s">
        <v>93</v>
      </c>
      <c r="AF3062" s="2">
        <f t="shared" si="420"/>
        <v>0</v>
      </c>
      <c r="AJ3062" s="2">
        <f t="shared" si="421"/>
        <v>0</v>
      </c>
      <c r="AK3062" s="2">
        <f t="shared" si="424"/>
        <v>0</v>
      </c>
      <c r="AL3062" s="5">
        <f t="shared" si="425"/>
        <v>0</v>
      </c>
    </row>
    <row r="3063" spans="1:38" x14ac:dyDescent="0.2">
      <c r="A3063" s="2">
        <v>2026</v>
      </c>
      <c r="B3063" s="2">
        <v>1</v>
      </c>
      <c r="D3063" s="2" t="s">
        <v>1419</v>
      </c>
      <c r="E3063" s="2" t="s">
        <v>108</v>
      </c>
      <c r="F3063" s="2" t="s">
        <v>39</v>
      </c>
      <c r="G3063" s="2">
        <v>513795855</v>
      </c>
      <c r="H3063" s="2" t="s">
        <v>41</v>
      </c>
      <c r="I3063" s="2" t="s">
        <v>1272</v>
      </c>
      <c r="J3063" s="2" t="s">
        <v>2394</v>
      </c>
      <c r="L3063" s="2" t="s">
        <v>177</v>
      </c>
      <c r="M3063" s="2" t="s">
        <v>41</v>
      </c>
      <c r="P3063" s="2" t="s">
        <v>93</v>
      </c>
      <c r="Q3063" s="2" t="s">
        <v>94</v>
      </c>
      <c r="R3063" s="2" t="s">
        <v>95</v>
      </c>
      <c r="S3063" s="2">
        <v>1</v>
      </c>
      <c r="T3063" s="2">
        <v>1.48</v>
      </c>
      <c r="U3063" s="2">
        <v>0.34039999999999998</v>
      </c>
      <c r="V3063" s="2">
        <v>1.8204</v>
      </c>
      <c r="W3063" s="2">
        <v>1.48</v>
      </c>
      <c r="X3063" s="5">
        <f t="shared" si="423"/>
        <v>0</v>
      </c>
      <c r="Z3063" s="2" t="s">
        <v>3227</v>
      </c>
      <c r="AA3063" s="2" t="s">
        <v>96</v>
      </c>
      <c r="AB3063" s="2" t="s">
        <v>76</v>
      </c>
      <c r="AC3063" s="2" t="s">
        <v>93</v>
      </c>
      <c r="AF3063" s="2">
        <f t="shared" si="420"/>
        <v>0</v>
      </c>
      <c r="AJ3063" s="2">
        <f t="shared" si="421"/>
        <v>0</v>
      </c>
      <c r="AK3063" s="2">
        <f t="shared" si="424"/>
        <v>0</v>
      </c>
      <c r="AL3063" s="5">
        <f t="shared" si="425"/>
        <v>0</v>
      </c>
    </row>
    <row r="3064" spans="1:38" x14ac:dyDescent="0.2">
      <c r="A3064" s="2">
        <v>2026</v>
      </c>
      <c r="B3064" s="2">
        <v>1</v>
      </c>
      <c r="D3064" s="2" t="s">
        <v>549</v>
      </c>
      <c r="E3064" s="2" t="s">
        <v>108</v>
      </c>
      <c r="F3064" s="2" t="s">
        <v>395</v>
      </c>
      <c r="G3064" s="2">
        <v>503641790</v>
      </c>
      <c r="H3064" s="2" t="s">
        <v>40</v>
      </c>
      <c r="I3064" s="2" t="s">
        <v>550</v>
      </c>
      <c r="J3064" s="2" t="s">
        <v>551</v>
      </c>
      <c r="K3064" s="2">
        <v>917753665</v>
      </c>
      <c r="L3064" s="2" t="s">
        <v>99</v>
      </c>
      <c r="M3064" s="2" t="s">
        <v>80</v>
      </c>
      <c r="O3064" s="2" t="s">
        <v>2395</v>
      </c>
      <c r="P3064" s="2" t="s">
        <v>93</v>
      </c>
      <c r="Q3064" s="2" t="s">
        <v>94</v>
      </c>
      <c r="R3064" s="2" t="s">
        <v>95</v>
      </c>
      <c r="S3064" s="2">
        <v>1</v>
      </c>
      <c r="T3064" s="2">
        <v>1.48</v>
      </c>
      <c r="U3064" s="2">
        <v>0.34039999999999998</v>
      </c>
      <c r="V3064" s="2">
        <v>1.8204</v>
      </c>
      <c r="W3064" s="2">
        <v>1.48</v>
      </c>
      <c r="X3064" s="5">
        <f t="shared" si="423"/>
        <v>0</v>
      </c>
      <c r="Z3064" s="2" t="s">
        <v>3227</v>
      </c>
      <c r="AA3064" s="2" t="s">
        <v>96</v>
      </c>
      <c r="AB3064" s="2" t="s">
        <v>76</v>
      </c>
      <c r="AC3064" s="2" t="s">
        <v>93</v>
      </c>
      <c r="AF3064" s="2">
        <f t="shared" si="420"/>
        <v>0</v>
      </c>
      <c r="AG3064" s="2">
        <v>1.48</v>
      </c>
      <c r="AH3064" s="2">
        <v>1.48</v>
      </c>
      <c r="AJ3064" s="2">
        <f t="shared" si="421"/>
        <v>0</v>
      </c>
      <c r="AK3064" s="2">
        <f t="shared" si="424"/>
        <v>0</v>
      </c>
      <c r="AL3064" s="5">
        <f t="shared" si="425"/>
        <v>0</v>
      </c>
    </row>
    <row r="3065" spans="1:38" x14ac:dyDescent="0.2">
      <c r="A3065" s="2">
        <v>2026</v>
      </c>
      <c r="B3065" s="2">
        <v>1</v>
      </c>
      <c r="D3065" s="2" t="s">
        <v>894</v>
      </c>
      <c r="P3065" s="2" t="s">
        <v>93</v>
      </c>
      <c r="Q3065" s="2" t="s">
        <v>94</v>
      </c>
      <c r="R3065" s="2" t="s">
        <v>95</v>
      </c>
      <c r="S3065" s="2">
        <v>1</v>
      </c>
      <c r="T3065" s="2">
        <v>1.48</v>
      </c>
      <c r="U3065" s="2">
        <v>0.34039999999999998</v>
      </c>
      <c r="V3065" s="2">
        <v>1.8204</v>
      </c>
      <c r="W3065" s="2">
        <v>1.48</v>
      </c>
      <c r="X3065" s="5">
        <f t="shared" si="423"/>
        <v>0</v>
      </c>
      <c r="Z3065" s="2" t="s">
        <v>3227</v>
      </c>
      <c r="AA3065" s="2" t="s">
        <v>96</v>
      </c>
      <c r="AB3065" s="2" t="s">
        <v>76</v>
      </c>
      <c r="AC3065" s="2" t="s">
        <v>93</v>
      </c>
      <c r="AF3065" s="2">
        <f t="shared" si="420"/>
        <v>0</v>
      </c>
      <c r="AJ3065" s="2">
        <f t="shared" si="421"/>
        <v>0</v>
      </c>
      <c r="AK3065" s="2">
        <f t="shared" si="424"/>
        <v>0</v>
      </c>
      <c r="AL3065" s="5">
        <f t="shared" si="425"/>
        <v>0</v>
      </c>
    </row>
    <row r="3066" spans="1:38" x14ac:dyDescent="0.2">
      <c r="A3066" s="2">
        <v>2026</v>
      </c>
      <c r="B3066" s="2">
        <v>1</v>
      </c>
      <c r="D3066" s="2" t="s">
        <v>2396</v>
      </c>
      <c r="P3066" s="2" t="s">
        <v>93</v>
      </c>
      <c r="Q3066" s="2" t="s">
        <v>94</v>
      </c>
      <c r="R3066" s="2" t="s">
        <v>95</v>
      </c>
      <c r="S3066" s="2">
        <v>1</v>
      </c>
      <c r="T3066" s="2">
        <v>1.48</v>
      </c>
      <c r="U3066" s="2">
        <v>0.34039999999999998</v>
      </c>
      <c r="V3066" s="2">
        <v>1.8204</v>
      </c>
      <c r="W3066" s="2">
        <v>1.48</v>
      </c>
      <c r="X3066" s="5">
        <f t="shared" si="423"/>
        <v>0</v>
      </c>
      <c r="Z3066" s="2" t="s">
        <v>3227</v>
      </c>
      <c r="AA3066" s="2" t="s">
        <v>96</v>
      </c>
      <c r="AB3066" s="2" t="s">
        <v>76</v>
      </c>
      <c r="AC3066" s="2" t="s">
        <v>93</v>
      </c>
      <c r="AF3066" s="2">
        <f t="shared" si="420"/>
        <v>0</v>
      </c>
      <c r="AJ3066" s="2">
        <f t="shared" si="421"/>
        <v>0</v>
      </c>
      <c r="AK3066" s="2">
        <f t="shared" si="424"/>
        <v>0</v>
      </c>
      <c r="AL3066" s="5">
        <f t="shared" si="425"/>
        <v>0</v>
      </c>
    </row>
    <row r="3067" spans="1:38" x14ac:dyDescent="0.2">
      <c r="A3067" s="2">
        <v>2026</v>
      </c>
      <c r="B3067" s="2">
        <v>1</v>
      </c>
      <c r="D3067" s="2" t="s">
        <v>1942</v>
      </c>
      <c r="P3067" s="2" t="s">
        <v>93</v>
      </c>
      <c r="Q3067" s="2" t="s">
        <v>94</v>
      </c>
      <c r="R3067" s="2" t="s">
        <v>95</v>
      </c>
      <c r="S3067" s="2">
        <v>1</v>
      </c>
      <c r="T3067" s="2">
        <v>1.48</v>
      </c>
      <c r="U3067" s="2">
        <v>0.34039999999999998</v>
      </c>
      <c r="V3067" s="2">
        <v>1.8204</v>
      </c>
      <c r="W3067" s="2">
        <v>1.48</v>
      </c>
      <c r="X3067" s="5">
        <f t="shared" si="423"/>
        <v>0</v>
      </c>
      <c r="Z3067" s="2" t="s">
        <v>3227</v>
      </c>
      <c r="AA3067" s="2" t="s">
        <v>96</v>
      </c>
      <c r="AB3067" s="2" t="s">
        <v>76</v>
      </c>
      <c r="AC3067" s="2" t="s">
        <v>93</v>
      </c>
      <c r="AF3067" s="2">
        <f t="shared" si="420"/>
        <v>0</v>
      </c>
      <c r="AJ3067" s="2">
        <f t="shared" si="421"/>
        <v>0</v>
      </c>
      <c r="AK3067" s="2">
        <f t="shared" si="424"/>
        <v>0</v>
      </c>
      <c r="AL3067" s="5">
        <f t="shared" si="425"/>
        <v>0</v>
      </c>
    </row>
    <row r="3068" spans="1:38" x14ac:dyDescent="0.2">
      <c r="A3068" s="2">
        <v>2026</v>
      </c>
      <c r="B3068" s="2">
        <v>1</v>
      </c>
      <c r="D3068" s="2" t="s">
        <v>582</v>
      </c>
      <c r="E3068" s="2" t="s">
        <v>108</v>
      </c>
      <c r="G3068" s="2">
        <v>503850276</v>
      </c>
      <c r="H3068" s="2" t="s">
        <v>40</v>
      </c>
      <c r="I3068" s="2" t="s">
        <v>583</v>
      </c>
      <c r="J3068" s="2" t="s">
        <v>584</v>
      </c>
      <c r="L3068" s="2" t="s">
        <v>201</v>
      </c>
      <c r="M3068" s="2" t="s">
        <v>80</v>
      </c>
      <c r="P3068" s="2" t="s">
        <v>93</v>
      </c>
      <c r="Q3068" s="2" t="s">
        <v>94</v>
      </c>
      <c r="R3068" s="2" t="s">
        <v>95</v>
      </c>
      <c r="S3068" s="2">
        <v>1</v>
      </c>
      <c r="T3068" s="2">
        <v>1.48</v>
      </c>
      <c r="U3068" s="2">
        <v>0.34039999999999998</v>
      </c>
      <c r="V3068" s="2">
        <v>1.8204</v>
      </c>
      <c r="W3068" s="2">
        <v>1.48</v>
      </c>
      <c r="X3068" s="5">
        <f t="shared" si="423"/>
        <v>0</v>
      </c>
      <c r="Z3068" s="2" t="s">
        <v>3227</v>
      </c>
      <c r="AA3068" s="2" t="s">
        <v>96</v>
      </c>
      <c r="AB3068" s="2" t="s">
        <v>76</v>
      </c>
      <c r="AC3068" s="2" t="s">
        <v>93</v>
      </c>
      <c r="AF3068" s="2">
        <f t="shared" si="420"/>
        <v>0</v>
      </c>
      <c r="AJ3068" s="2">
        <f t="shared" si="421"/>
        <v>0</v>
      </c>
      <c r="AK3068" s="2">
        <f t="shared" si="424"/>
        <v>0</v>
      </c>
      <c r="AL3068" s="5">
        <f t="shared" si="425"/>
        <v>0</v>
      </c>
    </row>
    <row r="3069" spans="1:38" x14ac:dyDescent="0.2">
      <c r="A3069" s="2">
        <v>2026</v>
      </c>
      <c r="B3069" s="2">
        <v>1</v>
      </c>
      <c r="D3069" s="2" t="s">
        <v>606</v>
      </c>
      <c r="E3069" s="2" t="s">
        <v>108</v>
      </c>
      <c r="F3069" s="2" t="s">
        <v>39</v>
      </c>
      <c r="G3069" s="2">
        <v>504822187</v>
      </c>
      <c r="H3069" s="2" t="s">
        <v>109</v>
      </c>
      <c r="I3069" s="2" t="s">
        <v>607</v>
      </c>
      <c r="J3069" s="2" t="s">
        <v>608</v>
      </c>
      <c r="K3069" s="2">
        <v>966216853</v>
      </c>
      <c r="L3069" s="2" t="s">
        <v>461</v>
      </c>
      <c r="P3069" s="2" t="s">
        <v>93</v>
      </c>
      <c r="Q3069" s="2" t="s">
        <v>94</v>
      </c>
      <c r="R3069" s="2" t="s">
        <v>95</v>
      </c>
      <c r="S3069" s="2">
        <v>1</v>
      </c>
      <c r="T3069" s="2">
        <v>1.48</v>
      </c>
      <c r="U3069" s="2">
        <v>0.34039999999999998</v>
      </c>
      <c r="V3069" s="2">
        <v>1.8204</v>
      </c>
      <c r="W3069" s="2">
        <v>1.48</v>
      </c>
      <c r="X3069" s="5">
        <f t="shared" si="423"/>
        <v>0</v>
      </c>
      <c r="Z3069" s="2" t="s">
        <v>3227</v>
      </c>
      <c r="AA3069" s="2" t="s">
        <v>96</v>
      </c>
      <c r="AB3069" s="2" t="s">
        <v>76</v>
      </c>
      <c r="AC3069" s="2" t="s">
        <v>93</v>
      </c>
      <c r="AF3069" s="2">
        <f t="shared" si="420"/>
        <v>0</v>
      </c>
      <c r="AJ3069" s="2">
        <f t="shared" si="421"/>
        <v>0</v>
      </c>
      <c r="AK3069" s="2">
        <f t="shared" si="424"/>
        <v>0</v>
      </c>
      <c r="AL3069" s="5">
        <f t="shared" si="425"/>
        <v>0</v>
      </c>
    </row>
    <row r="3070" spans="1:38" x14ac:dyDescent="0.2">
      <c r="A3070" s="2">
        <v>2026</v>
      </c>
      <c r="B3070" s="2">
        <v>1</v>
      </c>
      <c r="D3070" s="2" t="s">
        <v>1295</v>
      </c>
      <c r="E3070" s="2" t="s">
        <v>183</v>
      </c>
      <c r="F3070" s="2" t="s">
        <v>366</v>
      </c>
      <c r="G3070" s="2">
        <v>500625654</v>
      </c>
      <c r="H3070" s="2" t="s">
        <v>290</v>
      </c>
      <c r="I3070" s="2" t="s">
        <v>339</v>
      </c>
      <c r="J3070" s="2" t="s">
        <v>1296</v>
      </c>
      <c r="L3070" s="2" t="s">
        <v>339</v>
      </c>
      <c r="M3070" s="2" t="s">
        <v>80</v>
      </c>
      <c r="O3070" s="2" t="s">
        <v>2419</v>
      </c>
      <c r="P3070" s="2" t="s">
        <v>93</v>
      </c>
      <c r="Q3070" s="2" t="s">
        <v>94</v>
      </c>
      <c r="R3070" s="2" t="s">
        <v>95</v>
      </c>
      <c r="S3070" s="2">
        <v>1</v>
      </c>
      <c r="T3070" s="2">
        <v>1.48</v>
      </c>
      <c r="U3070" s="2">
        <v>0.34039999999999998</v>
      </c>
      <c r="V3070" s="2">
        <v>1.8204</v>
      </c>
      <c r="W3070" s="2">
        <v>1.48</v>
      </c>
      <c r="X3070" s="5">
        <f t="shared" si="423"/>
        <v>0</v>
      </c>
      <c r="Z3070" s="2" t="s">
        <v>3227</v>
      </c>
      <c r="AA3070" s="2" t="s">
        <v>96</v>
      </c>
      <c r="AB3070" s="2" t="s">
        <v>76</v>
      </c>
      <c r="AC3070" s="2" t="s">
        <v>93</v>
      </c>
      <c r="AF3070" s="2">
        <f t="shared" si="420"/>
        <v>0</v>
      </c>
      <c r="AG3070" s="2">
        <v>1.48</v>
      </c>
      <c r="AH3070" s="2">
        <v>1.48</v>
      </c>
      <c r="AJ3070" s="2">
        <f t="shared" si="421"/>
        <v>0</v>
      </c>
      <c r="AK3070" s="2">
        <f t="shared" si="424"/>
        <v>0</v>
      </c>
      <c r="AL3070" s="5">
        <f t="shared" si="425"/>
        <v>0</v>
      </c>
    </row>
    <row r="3071" spans="1:38" x14ac:dyDescent="0.2">
      <c r="A3071" s="2">
        <v>2026</v>
      </c>
      <c r="B3071" s="2">
        <v>1</v>
      </c>
      <c r="D3071" s="2" t="s">
        <v>633</v>
      </c>
      <c r="E3071" s="2" t="s">
        <v>183</v>
      </c>
      <c r="F3071" s="2" t="s">
        <v>366</v>
      </c>
      <c r="H3071" s="2" t="s">
        <v>290</v>
      </c>
      <c r="L3071" s="2" t="s">
        <v>339</v>
      </c>
      <c r="M3071" s="2" t="s">
        <v>80</v>
      </c>
      <c r="P3071" s="2" t="s">
        <v>93</v>
      </c>
      <c r="Q3071" s="2" t="s">
        <v>94</v>
      </c>
      <c r="R3071" s="2" t="s">
        <v>95</v>
      </c>
      <c r="S3071" s="2">
        <v>1</v>
      </c>
      <c r="T3071" s="2">
        <v>1.48</v>
      </c>
      <c r="U3071" s="2">
        <v>0.34039999999999998</v>
      </c>
      <c r="V3071" s="2">
        <v>1.8204</v>
      </c>
      <c r="W3071" s="2">
        <v>1.48</v>
      </c>
      <c r="X3071" s="5">
        <f t="shared" si="423"/>
        <v>0</v>
      </c>
      <c r="Z3071" s="2" t="s">
        <v>3227</v>
      </c>
      <c r="AA3071" s="2" t="s">
        <v>96</v>
      </c>
      <c r="AB3071" s="2" t="s">
        <v>76</v>
      </c>
      <c r="AC3071" s="2" t="s">
        <v>93</v>
      </c>
      <c r="AF3071" s="2">
        <f t="shared" si="420"/>
        <v>0</v>
      </c>
      <c r="AJ3071" s="2">
        <f t="shared" si="421"/>
        <v>0</v>
      </c>
      <c r="AK3071" s="2">
        <f t="shared" si="424"/>
        <v>0</v>
      </c>
      <c r="AL3071" s="5">
        <f t="shared" si="425"/>
        <v>0</v>
      </c>
    </row>
    <row r="3072" spans="1:38" x14ac:dyDescent="0.2">
      <c r="A3072" s="2">
        <v>2026</v>
      </c>
      <c r="B3072" s="2">
        <v>1</v>
      </c>
      <c r="D3072" s="2" t="s">
        <v>2397</v>
      </c>
      <c r="E3072" s="2" t="s">
        <v>183</v>
      </c>
      <c r="F3072" s="2" t="s">
        <v>366</v>
      </c>
      <c r="H3072" s="2" t="s">
        <v>290</v>
      </c>
      <c r="L3072" s="2" t="s">
        <v>339</v>
      </c>
      <c r="P3072" s="2" t="s">
        <v>93</v>
      </c>
      <c r="Q3072" s="2" t="s">
        <v>94</v>
      </c>
      <c r="R3072" s="2" t="s">
        <v>95</v>
      </c>
      <c r="S3072" s="2">
        <v>1</v>
      </c>
      <c r="T3072" s="2">
        <v>1.48</v>
      </c>
      <c r="U3072" s="2">
        <v>0.34039999999999998</v>
      </c>
      <c r="V3072" s="2">
        <v>1.8204</v>
      </c>
      <c r="W3072" s="2">
        <v>1.48</v>
      </c>
      <c r="X3072" s="5">
        <f t="shared" si="423"/>
        <v>0</v>
      </c>
      <c r="Z3072" s="2" t="s">
        <v>3227</v>
      </c>
      <c r="AA3072" s="2" t="s">
        <v>96</v>
      </c>
      <c r="AB3072" s="2" t="s">
        <v>76</v>
      </c>
      <c r="AC3072" s="2" t="s">
        <v>93</v>
      </c>
      <c r="AF3072" s="2">
        <f t="shared" si="420"/>
        <v>0</v>
      </c>
      <c r="AJ3072" s="2">
        <f t="shared" si="421"/>
        <v>0</v>
      </c>
      <c r="AK3072" s="2">
        <f t="shared" si="424"/>
        <v>0</v>
      </c>
      <c r="AL3072" s="5">
        <f t="shared" si="425"/>
        <v>0</v>
      </c>
    </row>
    <row r="3073" spans="1:38" x14ac:dyDescent="0.2">
      <c r="A3073" s="2">
        <v>2026</v>
      </c>
      <c r="B3073" s="2">
        <v>1</v>
      </c>
      <c r="D3073" s="2" t="s">
        <v>677</v>
      </c>
      <c r="E3073" s="2" t="s">
        <v>108</v>
      </c>
      <c r="F3073" s="2" t="s">
        <v>39</v>
      </c>
      <c r="G3073" s="2">
        <v>505764636</v>
      </c>
      <c r="H3073" s="2" t="s">
        <v>290</v>
      </c>
      <c r="I3073" s="2" t="s">
        <v>678</v>
      </c>
      <c r="J3073" s="2" t="s">
        <v>679</v>
      </c>
      <c r="L3073" s="2" t="s">
        <v>339</v>
      </c>
      <c r="M3073" s="2" t="s">
        <v>80</v>
      </c>
      <c r="O3073" s="2" t="s">
        <v>2425</v>
      </c>
      <c r="P3073" s="2" t="s">
        <v>93</v>
      </c>
      <c r="Q3073" s="2" t="s">
        <v>94</v>
      </c>
      <c r="R3073" s="2" t="s">
        <v>95</v>
      </c>
      <c r="S3073" s="2">
        <v>1</v>
      </c>
      <c r="T3073" s="2">
        <v>1.48</v>
      </c>
      <c r="U3073" s="2">
        <v>0.34039999999999998</v>
      </c>
      <c r="V3073" s="2">
        <v>1.8204</v>
      </c>
      <c r="W3073" s="2">
        <v>1.48</v>
      </c>
      <c r="X3073" s="5">
        <f t="shared" si="423"/>
        <v>0</v>
      </c>
      <c r="Z3073" s="2" t="s">
        <v>3227</v>
      </c>
      <c r="AA3073" s="2" t="s">
        <v>96</v>
      </c>
      <c r="AB3073" s="2" t="s">
        <v>76</v>
      </c>
      <c r="AC3073" s="2" t="s">
        <v>93</v>
      </c>
      <c r="AF3073" s="2">
        <f t="shared" si="420"/>
        <v>0</v>
      </c>
      <c r="AJ3073" s="2">
        <f t="shared" si="421"/>
        <v>0</v>
      </c>
      <c r="AK3073" s="2">
        <f t="shared" si="424"/>
        <v>0</v>
      </c>
      <c r="AL3073" s="5">
        <f t="shared" si="425"/>
        <v>0</v>
      </c>
    </row>
    <row r="3074" spans="1:38" x14ac:dyDescent="0.2">
      <c r="A3074" s="2">
        <v>2026</v>
      </c>
      <c r="B3074" s="2">
        <v>1</v>
      </c>
      <c r="D3074" s="2" t="s">
        <v>1884</v>
      </c>
      <c r="M3074" s="2" t="s">
        <v>40</v>
      </c>
      <c r="P3074" s="2" t="s">
        <v>114</v>
      </c>
      <c r="Q3074" s="2" t="s">
        <v>408</v>
      </c>
      <c r="R3074" s="2" t="s">
        <v>409</v>
      </c>
      <c r="S3074" s="2">
        <v>-1</v>
      </c>
      <c r="T3074" s="2">
        <v>0</v>
      </c>
      <c r="U3074" s="2">
        <v>0</v>
      </c>
      <c r="V3074" s="2">
        <v>0</v>
      </c>
      <c r="X3074" s="5">
        <v>0</v>
      </c>
      <c r="Z3074" s="2" t="s">
        <v>117</v>
      </c>
      <c r="AA3074" s="2" t="s">
        <v>317</v>
      </c>
      <c r="AF3074" s="2">
        <f t="shared" ref="AF3074:AF3137" si="426">AJ3074</f>
        <v>0</v>
      </c>
      <c r="AJ3074" s="2">
        <f t="shared" ref="AJ3074:AJ3137" si="427">AI3074*T3074</f>
        <v>0</v>
      </c>
      <c r="AK3074" s="2">
        <f t="shared" si="424"/>
        <v>0</v>
      </c>
      <c r="AL3074" s="5" t="e">
        <f t="shared" si="425"/>
        <v>#DIV/0!</v>
      </c>
    </row>
    <row r="3075" spans="1:38" x14ac:dyDescent="0.2">
      <c r="A3075" s="2">
        <v>2026</v>
      </c>
      <c r="B3075" s="2">
        <v>1</v>
      </c>
      <c r="C3075" s="2" t="s">
        <v>3452</v>
      </c>
      <c r="D3075" s="2" t="s">
        <v>1009</v>
      </c>
      <c r="E3075" s="2" t="s">
        <v>108</v>
      </c>
      <c r="F3075" s="2" t="s">
        <v>39</v>
      </c>
      <c r="G3075" s="2">
        <v>507063481</v>
      </c>
      <c r="H3075" s="2" t="s">
        <v>290</v>
      </c>
      <c r="I3075" s="2" t="s">
        <v>1010</v>
      </c>
      <c r="J3075" s="2" t="s">
        <v>1011</v>
      </c>
      <c r="L3075" s="2" t="s">
        <v>293</v>
      </c>
      <c r="M3075" s="2" t="s">
        <v>40</v>
      </c>
      <c r="P3075" s="2" t="s">
        <v>114</v>
      </c>
      <c r="Q3075" s="2" t="s">
        <v>408</v>
      </c>
      <c r="R3075" s="2" t="s">
        <v>409</v>
      </c>
      <c r="S3075" s="2">
        <v>1</v>
      </c>
      <c r="T3075" s="2">
        <v>0</v>
      </c>
      <c r="U3075" s="2">
        <v>0</v>
      </c>
      <c r="V3075" s="2">
        <v>0</v>
      </c>
      <c r="Z3075" s="2" t="s">
        <v>117</v>
      </c>
      <c r="AA3075" s="2" t="s">
        <v>317</v>
      </c>
      <c r="AF3075" s="2">
        <f t="shared" si="426"/>
        <v>0</v>
      </c>
      <c r="AJ3075" s="2">
        <f t="shared" si="427"/>
        <v>0</v>
      </c>
      <c r="AK3075" s="2">
        <f t="shared" si="424"/>
        <v>0</v>
      </c>
    </row>
    <row r="3076" spans="1:38" x14ac:dyDescent="0.2">
      <c r="A3076" s="2">
        <v>2026</v>
      </c>
      <c r="B3076" s="2">
        <v>1</v>
      </c>
      <c r="D3076" s="2" t="s">
        <v>2333</v>
      </c>
      <c r="P3076" s="2" t="s">
        <v>40</v>
      </c>
      <c r="Q3076" s="2" t="s">
        <v>363</v>
      </c>
      <c r="R3076" s="2" t="s">
        <v>364</v>
      </c>
      <c r="S3076" s="2">
        <v>1</v>
      </c>
      <c r="T3076" s="2">
        <v>2.4500000000000002</v>
      </c>
      <c r="U3076" s="2">
        <v>0.56350000000000011</v>
      </c>
      <c r="V3076" s="2">
        <v>3.013500000000001</v>
      </c>
      <c r="X3076" s="5">
        <f t="shared" ref="X3076:X3084" si="428">(T3076-W3076)/T3076</f>
        <v>1</v>
      </c>
      <c r="Z3076" s="2" t="s">
        <v>119</v>
      </c>
      <c r="AA3076" s="2" t="s">
        <v>3380</v>
      </c>
      <c r="AF3076" s="2">
        <f t="shared" si="426"/>
        <v>0</v>
      </c>
      <c r="AJ3076" s="2">
        <f t="shared" si="427"/>
        <v>0</v>
      </c>
      <c r="AK3076" s="2">
        <f t="shared" si="424"/>
        <v>2.4500000000000002</v>
      </c>
      <c r="AL3076" s="5">
        <f t="shared" ref="AL3076:AL3084" si="429">(T3076-W3076)/T3076</f>
        <v>1</v>
      </c>
    </row>
    <row r="3077" spans="1:38" x14ac:dyDescent="0.2">
      <c r="A3077" s="2">
        <v>2026</v>
      </c>
      <c r="B3077" s="2">
        <v>1</v>
      </c>
      <c r="D3077" s="2" t="s">
        <v>775</v>
      </c>
      <c r="E3077" s="2" t="s">
        <v>38</v>
      </c>
      <c r="F3077" s="2" t="s">
        <v>39</v>
      </c>
      <c r="G3077" s="2">
        <v>507324560</v>
      </c>
      <c r="H3077" s="2" t="s">
        <v>40</v>
      </c>
      <c r="I3077" s="2" t="s">
        <v>776</v>
      </c>
      <c r="J3077" s="2" t="s">
        <v>777</v>
      </c>
      <c r="L3077" s="2" t="s">
        <v>339</v>
      </c>
      <c r="M3077" s="2" t="s">
        <v>40</v>
      </c>
      <c r="O3077" s="2" t="s">
        <v>2304</v>
      </c>
      <c r="P3077" s="2" t="s">
        <v>40</v>
      </c>
      <c r="Q3077" s="2" t="s">
        <v>363</v>
      </c>
      <c r="R3077" s="2" t="s">
        <v>364</v>
      </c>
      <c r="S3077" s="2">
        <v>1</v>
      </c>
      <c r="T3077" s="2">
        <v>2296.8000000000002</v>
      </c>
      <c r="U3077" s="2">
        <v>528.26400000000001</v>
      </c>
      <c r="V3077" s="2">
        <v>2825.0639999999999</v>
      </c>
      <c r="X3077" s="5">
        <f t="shared" si="428"/>
        <v>1</v>
      </c>
      <c r="Z3077" s="2" t="s">
        <v>117</v>
      </c>
      <c r="AA3077" s="2" t="s">
        <v>118</v>
      </c>
      <c r="AF3077" s="2">
        <f t="shared" si="426"/>
        <v>0</v>
      </c>
      <c r="AJ3077" s="2">
        <f t="shared" si="427"/>
        <v>0</v>
      </c>
      <c r="AK3077" s="2">
        <f t="shared" si="424"/>
        <v>2296.8000000000002</v>
      </c>
      <c r="AL3077" s="5">
        <f t="shared" si="429"/>
        <v>1</v>
      </c>
    </row>
    <row r="3078" spans="1:38" x14ac:dyDescent="0.2">
      <c r="A3078" s="2">
        <v>2026</v>
      </c>
      <c r="B3078" s="2">
        <v>1</v>
      </c>
      <c r="D3078" s="2" t="s">
        <v>500</v>
      </c>
      <c r="E3078" s="2" t="s">
        <v>38</v>
      </c>
      <c r="F3078" s="2" t="s">
        <v>39</v>
      </c>
      <c r="G3078" s="2">
        <v>513244468</v>
      </c>
      <c r="H3078" s="2" t="s">
        <v>41</v>
      </c>
      <c r="I3078" s="2" t="s">
        <v>501</v>
      </c>
      <c r="J3078" s="2" t="s">
        <v>502</v>
      </c>
      <c r="K3078" s="2">
        <v>918010109</v>
      </c>
      <c r="L3078" s="2" t="s">
        <v>99</v>
      </c>
      <c r="O3078" s="2" t="s">
        <v>2458</v>
      </c>
      <c r="P3078" s="2" t="s">
        <v>40</v>
      </c>
      <c r="Q3078" s="2" t="s">
        <v>363</v>
      </c>
      <c r="R3078" s="2" t="s">
        <v>364</v>
      </c>
      <c r="S3078" s="2">
        <v>11</v>
      </c>
      <c r="T3078" s="2">
        <v>267.8</v>
      </c>
      <c r="U3078" s="2">
        <v>61.594000000000008</v>
      </c>
      <c r="V3078" s="2">
        <v>329.39400000000001</v>
      </c>
      <c r="X3078" s="5">
        <f t="shared" si="428"/>
        <v>1</v>
      </c>
      <c r="Z3078" s="2" t="s">
        <v>3227</v>
      </c>
      <c r="AA3078" s="2" t="s">
        <v>119</v>
      </c>
      <c r="AF3078" s="2">
        <f t="shared" si="426"/>
        <v>0</v>
      </c>
      <c r="AJ3078" s="2">
        <f t="shared" si="427"/>
        <v>0</v>
      </c>
      <c r="AK3078" s="2">
        <f t="shared" si="424"/>
        <v>267.8</v>
      </c>
      <c r="AL3078" s="5">
        <f t="shared" si="429"/>
        <v>1</v>
      </c>
    </row>
    <row r="3079" spans="1:38" x14ac:dyDescent="0.2">
      <c r="A3079" s="2">
        <v>2026</v>
      </c>
      <c r="B3079" s="2">
        <v>1</v>
      </c>
      <c r="D3079" s="2" t="s">
        <v>617</v>
      </c>
      <c r="E3079" s="2" t="s">
        <v>38</v>
      </c>
      <c r="F3079" s="2" t="s">
        <v>39</v>
      </c>
      <c r="G3079" s="2">
        <v>513759654</v>
      </c>
      <c r="H3079" s="2" t="s">
        <v>41</v>
      </c>
      <c r="I3079" s="2" t="s">
        <v>618</v>
      </c>
      <c r="J3079" s="2" t="s">
        <v>619</v>
      </c>
      <c r="L3079" s="2" t="s">
        <v>418</v>
      </c>
      <c r="M3079" s="2" t="s">
        <v>40</v>
      </c>
      <c r="O3079" s="2" t="s">
        <v>2459</v>
      </c>
      <c r="P3079" s="2" t="s">
        <v>114</v>
      </c>
      <c r="Q3079" s="2" t="s">
        <v>2225</v>
      </c>
      <c r="R3079" s="2" t="s">
        <v>2226</v>
      </c>
      <c r="S3079" s="2">
        <v>1</v>
      </c>
      <c r="T3079" s="2">
        <v>11.25</v>
      </c>
      <c r="U3079" s="2">
        <v>2.5874999999999999</v>
      </c>
      <c r="V3079" s="2">
        <v>13.8375</v>
      </c>
      <c r="W3079" s="2">
        <v>5.35</v>
      </c>
      <c r="X3079" s="5">
        <f t="shared" si="428"/>
        <v>0.52444444444444449</v>
      </c>
      <c r="Z3079" s="2" t="s">
        <v>117</v>
      </c>
      <c r="AA3079" s="2" t="s">
        <v>118</v>
      </c>
      <c r="AB3079" s="2" t="s">
        <v>119</v>
      </c>
      <c r="AC3079" s="2" t="s">
        <v>114</v>
      </c>
      <c r="AF3079" s="2">
        <f t="shared" si="426"/>
        <v>0</v>
      </c>
      <c r="AG3079" s="2">
        <v>5.35</v>
      </c>
      <c r="AJ3079" s="2">
        <f t="shared" si="427"/>
        <v>0</v>
      </c>
      <c r="AK3079" s="2">
        <f t="shared" si="424"/>
        <v>5.9</v>
      </c>
      <c r="AL3079" s="5">
        <f t="shared" si="429"/>
        <v>0.52444444444444449</v>
      </c>
    </row>
    <row r="3080" spans="1:38" x14ac:dyDescent="0.2">
      <c r="A3080" s="2">
        <v>2026</v>
      </c>
      <c r="B3080" s="2">
        <v>2</v>
      </c>
      <c r="D3080" s="2" t="s">
        <v>2451</v>
      </c>
      <c r="E3080" s="2" t="s">
        <v>108</v>
      </c>
      <c r="F3080" s="2" t="s">
        <v>39</v>
      </c>
      <c r="G3080" s="2">
        <v>513015213</v>
      </c>
      <c r="H3080" s="2" t="s">
        <v>109</v>
      </c>
      <c r="I3080" s="2" t="s">
        <v>2452</v>
      </c>
      <c r="J3080" s="2" t="s">
        <v>2453</v>
      </c>
      <c r="K3080" s="2">
        <v>967554174</v>
      </c>
      <c r="L3080" s="2" t="s">
        <v>133</v>
      </c>
      <c r="M3080" s="2" t="s">
        <v>40</v>
      </c>
      <c r="O3080" s="2" t="s">
        <v>2454</v>
      </c>
      <c r="P3080" s="2" t="s">
        <v>114</v>
      </c>
      <c r="Q3080" s="2" t="s">
        <v>2297</v>
      </c>
      <c r="R3080" s="2" t="s">
        <v>2298</v>
      </c>
      <c r="S3080" s="2">
        <v>1</v>
      </c>
      <c r="T3080" s="2">
        <v>282.11</v>
      </c>
      <c r="U3080" s="2">
        <v>64.885300000000001</v>
      </c>
      <c r="V3080" s="2">
        <v>346.99529999999999</v>
      </c>
      <c r="W3080" s="2">
        <v>136.38999999999999</v>
      </c>
      <c r="X3080" s="5">
        <f t="shared" si="428"/>
        <v>0.51653610293857011</v>
      </c>
      <c r="Z3080" s="2" t="s">
        <v>117</v>
      </c>
      <c r="AA3080" s="2" t="s">
        <v>118</v>
      </c>
      <c r="AB3080" s="2" t="s">
        <v>119</v>
      </c>
      <c r="AC3080" s="2" t="s">
        <v>114</v>
      </c>
      <c r="AF3080" s="2">
        <f t="shared" si="426"/>
        <v>0</v>
      </c>
      <c r="AG3080" s="2">
        <v>136.38999999999999</v>
      </c>
      <c r="AJ3080" s="2">
        <f t="shared" si="427"/>
        <v>0</v>
      </c>
      <c r="AK3080" s="2">
        <f t="shared" si="424"/>
        <v>145.72000000000003</v>
      </c>
      <c r="AL3080" s="5">
        <f t="shared" si="429"/>
        <v>0.51653610293857011</v>
      </c>
    </row>
    <row r="3081" spans="1:38" x14ac:dyDescent="0.2">
      <c r="A3081" s="2">
        <v>2026</v>
      </c>
      <c r="B3081" s="2">
        <v>1</v>
      </c>
      <c r="D3081" s="2" t="s">
        <v>781</v>
      </c>
      <c r="E3081" s="2" t="s">
        <v>38</v>
      </c>
      <c r="F3081" s="2" t="s">
        <v>39</v>
      </c>
      <c r="G3081" s="2">
        <v>510219675</v>
      </c>
      <c r="H3081" s="2" t="s">
        <v>40</v>
      </c>
      <c r="I3081" s="2" t="s">
        <v>782</v>
      </c>
      <c r="J3081" s="2" t="s">
        <v>783</v>
      </c>
      <c r="K3081" s="2">
        <v>917341136</v>
      </c>
      <c r="L3081" s="2" t="s">
        <v>99</v>
      </c>
      <c r="M3081" s="2" t="s">
        <v>40</v>
      </c>
      <c r="O3081" s="2" t="s">
        <v>2460</v>
      </c>
      <c r="P3081" s="2" t="s">
        <v>114</v>
      </c>
      <c r="Q3081" s="2" t="s">
        <v>2216</v>
      </c>
      <c r="R3081" s="2" t="s">
        <v>1429</v>
      </c>
      <c r="S3081" s="2">
        <v>1</v>
      </c>
      <c r="T3081" s="2">
        <v>39.049999999999997</v>
      </c>
      <c r="U3081" s="2">
        <v>8.9815000000000005</v>
      </c>
      <c r="V3081" s="2">
        <v>48.031499999999987</v>
      </c>
      <c r="W3081" s="2">
        <v>17.9434</v>
      </c>
      <c r="X3081" s="5">
        <f t="shared" si="428"/>
        <v>0.54050192061459668</v>
      </c>
      <c r="Z3081" s="2" t="s">
        <v>117</v>
      </c>
      <c r="AA3081" s="2" t="s">
        <v>118</v>
      </c>
      <c r="AB3081" s="2" t="s">
        <v>119</v>
      </c>
      <c r="AC3081" s="2" t="s">
        <v>114</v>
      </c>
      <c r="AF3081" s="2">
        <f t="shared" si="426"/>
        <v>0</v>
      </c>
      <c r="AG3081" s="2">
        <v>17.9434</v>
      </c>
      <c r="AJ3081" s="2">
        <f t="shared" si="427"/>
        <v>0</v>
      </c>
      <c r="AK3081" s="2">
        <f t="shared" si="424"/>
        <v>21.106599999999997</v>
      </c>
      <c r="AL3081" s="5">
        <f t="shared" si="429"/>
        <v>0.54050192061459668</v>
      </c>
    </row>
    <row r="3082" spans="1:38" x14ac:dyDescent="0.2">
      <c r="A3082" s="2">
        <v>2026</v>
      </c>
      <c r="B3082" s="2">
        <v>2</v>
      </c>
      <c r="D3082" s="2" t="s">
        <v>2451</v>
      </c>
      <c r="E3082" s="2" t="s">
        <v>108</v>
      </c>
      <c r="F3082" s="2" t="s">
        <v>39</v>
      </c>
      <c r="G3082" s="2">
        <v>513015213</v>
      </c>
      <c r="H3082" s="2" t="s">
        <v>109</v>
      </c>
      <c r="I3082" s="2" t="s">
        <v>2452</v>
      </c>
      <c r="J3082" s="2" t="s">
        <v>2453</v>
      </c>
      <c r="K3082" s="2">
        <v>967554174</v>
      </c>
      <c r="L3082" s="2" t="s">
        <v>133</v>
      </c>
      <c r="M3082" s="2" t="s">
        <v>40</v>
      </c>
      <c r="O3082" s="2" t="s">
        <v>2454</v>
      </c>
      <c r="P3082" s="2" t="s">
        <v>114</v>
      </c>
      <c r="Q3082" s="2" t="s">
        <v>2461</v>
      </c>
      <c r="R3082" s="2" t="s">
        <v>2462</v>
      </c>
      <c r="S3082" s="2">
        <v>1</v>
      </c>
      <c r="T3082" s="2">
        <v>51.61</v>
      </c>
      <c r="U3082" s="2">
        <v>11.8703</v>
      </c>
      <c r="V3082" s="2">
        <v>63.4803</v>
      </c>
      <c r="W3082" s="2">
        <v>25.157499999999999</v>
      </c>
      <c r="X3082" s="5">
        <f t="shared" si="428"/>
        <v>0.51254601821352452</v>
      </c>
      <c r="Z3082" s="2" t="s">
        <v>117</v>
      </c>
      <c r="AA3082" s="2" t="s">
        <v>118</v>
      </c>
      <c r="AB3082" s="2" t="s">
        <v>119</v>
      </c>
      <c r="AC3082" s="2" t="s">
        <v>114</v>
      </c>
      <c r="AF3082" s="2">
        <f t="shared" si="426"/>
        <v>0</v>
      </c>
      <c r="AG3082" s="2">
        <v>25.157499999999999</v>
      </c>
      <c r="AJ3082" s="2">
        <f t="shared" si="427"/>
        <v>0</v>
      </c>
      <c r="AK3082" s="2">
        <f t="shared" si="424"/>
        <v>26.452500000000001</v>
      </c>
      <c r="AL3082" s="5">
        <f t="shared" si="429"/>
        <v>0.51254601821352452</v>
      </c>
    </row>
    <row r="3083" spans="1:38" x14ac:dyDescent="0.2">
      <c r="A3083" s="2">
        <v>2026</v>
      </c>
      <c r="B3083" s="2">
        <v>2</v>
      </c>
      <c r="D3083" s="2" t="s">
        <v>2451</v>
      </c>
      <c r="E3083" s="2" t="s">
        <v>108</v>
      </c>
      <c r="F3083" s="2" t="s">
        <v>39</v>
      </c>
      <c r="G3083" s="2">
        <v>513015213</v>
      </c>
      <c r="H3083" s="2" t="s">
        <v>109</v>
      </c>
      <c r="I3083" s="2" t="s">
        <v>2452</v>
      </c>
      <c r="J3083" s="2" t="s">
        <v>2453</v>
      </c>
      <c r="K3083" s="2">
        <v>967554174</v>
      </c>
      <c r="L3083" s="2" t="s">
        <v>133</v>
      </c>
      <c r="M3083" s="2" t="s">
        <v>40</v>
      </c>
      <c r="O3083" s="2" t="s">
        <v>2454</v>
      </c>
      <c r="P3083" s="2" t="s">
        <v>114</v>
      </c>
      <c r="Q3083" s="2" t="s">
        <v>1374</v>
      </c>
      <c r="R3083" s="2" t="s">
        <v>1375</v>
      </c>
      <c r="S3083" s="2">
        <v>2</v>
      </c>
      <c r="T3083" s="2">
        <v>117.49</v>
      </c>
      <c r="U3083" s="2">
        <v>27.0227</v>
      </c>
      <c r="V3083" s="2">
        <v>144.5127</v>
      </c>
      <c r="W3083" s="2">
        <f>27.86*S3083</f>
        <v>55.72</v>
      </c>
      <c r="X3083" s="5">
        <f t="shared" si="428"/>
        <v>0.52574687207421911</v>
      </c>
      <c r="Z3083" s="2" t="s">
        <v>117</v>
      </c>
      <c r="AA3083" s="2" t="s">
        <v>118</v>
      </c>
      <c r="AB3083" s="2" t="s">
        <v>119</v>
      </c>
      <c r="AC3083" s="2" t="s">
        <v>114</v>
      </c>
      <c r="AF3083" s="2">
        <f t="shared" si="426"/>
        <v>0</v>
      </c>
      <c r="AG3083" s="2">
        <v>27.86</v>
      </c>
      <c r="AJ3083" s="2">
        <f t="shared" si="427"/>
        <v>0</v>
      </c>
      <c r="AK3083" s="2">
        <f t="shared" si="424"/>
        <v>61.769999999999996</v>
      </c>
      <c r="AL3083" s="5">
        <f t="shared" si="429"/>
        <v>0.52574687207421911</v>
      </c>
    </row>
    <row r="3084" spans="1:38" x14ac:dyDescent="0.2">
      <c r="A3084" s="2">
        <v>2026</v>
      </c>
      <c r="B3084" s="2">
        <v>1</v>
      </c>
      <c r="D3084" s="2" t="s">
        <v>781</v>
      </c>
      <c r="E3084" s="2" t="s">
        <v>38</v>
      </c>
      <c r="F3084" s="2" t="s">
        <v>39</v>
      </c>
      <c r="G3084" s="2">
        <v>510219675</v>
      </c>
      <c r="H3084" s="2" t="s">
        <v>40</v>
      </c>
      <c r="I3084" s="2" t="s">
        <v>782</v>
      </c>
      <c r="J3084" s="2" t="s">
        <v>783</v>
      </c>
      <c r="K3084" s="2">
        <v>917341136</v>
      </c>
      <c r="L3084" s="2" t="s">
        <v>99</v>
      </c>
      <c r="M3084" s="2" t="s">
        <v>40</v>
      </c>
      <c r="O3084" s="2" t="s">
        <v>2463</v>
      </c>
      <c r="P3084" s="2" t="s">
        <v>114</v>
      </c>
      <c r="Q3084" s="2" t="s">
        <v>2193</v>
      </c>
      <c r="R3084" s="2" t="s">
        <v>2194</v>
      </c>
      <c r="S3084" s="2">
        <v>1</v>
      </c>
      <c r="T3084" s="2">
        <v>12.96</v>
      </c>
      <c r="U3084" s="2">
        <v>2.9807999999999999</v>
      </c>
      <c r="V3084" s="2">
        <v>15.940799999999999</v>
      </c>
      <c r="W3084" s="2">
        <v>7.2733999999999996</v>
      </c>
      <c r="X3084" s="5">
        <f t="shared" si="428"/>
        <v>0.43878086419753093</v>
      </c>
      <c r="Z3084" s="2" t="s">
        <v>117</v>
      </c>
      <c r="AA3084" s="2" t="s">
        <v>118</v>
      </c>
      <c r="AB3084" s="2" t="s">
        <v>119</v>
      </c>
      <c r="AC3084" s="2" t="s">
        <v>114</v>
      </c>
      <c r="AF3084" s="2">
        <f t="shared" si="426"/>
        <v>0</v>
      </c>
      <c r="AG3084" s="2">
        <v>7.2733999999999996</v>
      </c>
      <c r="AJ3084" s="2">
        <f t="shared" si="427"/>
        <v>0</v>
      </c>
      <c r="AK3084" s="2">
        <f t="shared" si="424"/>
        <v>5.6866000000000012</v>
      </c>
      <c r="AL3084" s="5">
        <f t="shared" si="429"/>
        <v>0.43878086419753093</v>
      </c>
    </row>
    <row r="3085" spans="1:38" x14ac:dyDescent="0.2">
      <c r="A3085" s="2">
        <v>2026</v>
      </c>
      <c r="B3085" s="2">
        <v>1</v>
      </c>
      <c r="D3085" s="2" t="s">
        <v>289</v>
      </c>
      <c r="E3085" s="2" t="s">
        <v>108</v>
      </c>
      <c r="F3085" s="2" t="s">
        <v>39</v>
      </c>
      <c r="G3085" s="2">
        <v>508428300</v>
      </c>
      <c r="H3085" s="2" t="s">
        <v>290</v>
      </c>
      <c r="I3085" s="2" t="s">
        <v>291</v>
      </c>
      <c r="J3085" s="2" t="s">
        <v>292</v>
      </c>
      <c r="K3085" s="2">
        <v>917165642</v>
      </c>
      <c r="L3085" s="2" t="s">
        <v>293</v>
      </c>
      <c r="M3085" s="2" t="s">
        <v>40</v>
      </c>
      <c r="O3085" s="2" t="s">
        <v>2443</v>
      </c>
      <c r="P3085" s="2" t="s">
        <v>114</v>
      </c>
      <c r="Q3085" s="2" t="s">
        <v>1514</v>
      </c>
      <c r="R3085" s="2" t="s">
        <v>1515</v>
      </c>
      <c r="S3085" s="2">
        <v>-1</v>
      </c>
      <c r="T3085" s="2">
        <v>-33.33</v>
      </c>
      <c r="U3085" s="2">
        <v>-7.6658999999999997</v>
      </c>
      <c r="V3085" s="2">
        <v>-40.995899999999999</v>
      </c>
      <c r="Z3085" s="2" t="s">
        <v>117</v>
      </c>
      <c r="AA3085" s="2" t="s">
        <v>118</v>
      </c>
      <c r="AB3085" s="2" t="s">
        <v>119</v>
      </c>
      <c r="AC3085" s="2" t="s">
        <v>114</v>
      </c>
      <c r="AF3085" s="2">
        <f t="shared" si="426"/>
        <v>0</v>
      </c>
      <c r="AG3085" s="2">
        <v>11.246700000000001</v>
      </c>
      <c r="AJ3085" s="2">
        <f t="shared" si="427"/>
        <v>0</v>
      </c>
      <c r="AK3085" s="2">
        <f>T3085-(W3085)</f>
        <v>-33.33</v>
      </c>
      <c r="AL3085" s="5">
        <f>SIGN(T3085)*((ABS(T3085)-W3085)/ABS(T3085))</f>
        <v>-1</v>
      </c>
    </row>
    <row r="3086" spans="1:38" x14ac:dyDescent="0.2">
      <c r="A3086" s="2">
        <v>2026</v>
      </c>
      <c r="B3086" s="2">
        <v>2</v>
      </c>
      <c r="D3086" s="2" t="s">
        <v>403</v>
      </c>
      <c r="E3086" s="2" t="s">
        <v>38</v>
      </c>
      <c r="F3086" s="2" t="s">
        <v>39</v>
      </c>
      <c r="G3086" s="2">
        <v>109095197</v>
      </c>
      <c r="H3086" s="2" t="s">
        <v>40</v>
      </c>
      <c r="I3086" s="2" t="s">
        <v>2476</v>
      </c>
      <c r="J3086" s="2" t="s">
        <v>3123</v>
      </c>
      <c r="K3086" s="2">
        <v>965864665</v>
      </c>
      <c r="L3086" s="2" t="s">
        <v>344</v>
      </c>
      <c r="M3086" s="2" t="s">
        <v>40</v>
      </c>
      <c r="O3086" s="2" t="s">
        <v>2477</v>
      </c>
      <c r="P3086" s="2" t="s">
        <v>114</v>
      </c>
      <c r="Q3086" s="2" t="s">
        <v>1514</v>
      </c>
      <c r="R3086" s="2" t="s">
        <v>1515</v>
      </c>
      <c r="S3086" s="2">
        <v>1</v>
      </c>
      <c r="T3086" s="2">
        <v>23.79</v>
      </c>
      <c r="U3086" s="2">
        <v>5.4717000000000002</v>
      </c>
      <c r="V3086" s="2">
        <v>29.261700000000001</v>
      </c>
      <c r="W3086" s="2">
        <v>11.246700000000001</v>
      </c>
      <c r="X3086" s="5">
        <f>(T3086-W3086)/T3086</f>
        <v>0.52725094577553588</v>
      </c>
      <c r="Z3086" s="2" t="s">
        <v>117</v>
      </c>
      <c r="AA3086" s="2" t="s">
        <v>118</v>
      </c>
      <c r="AB3086" s="2" t="s">
        <v>119</v>
      </c>
      <c r="AC3086" s="2" t="s">
        <v>114</v>
      </c>
      <c r="AF3086" s="2">
        <f t="shared" si="426"/>
        <v>0</v>
      </c>
      <c r="AG3086" s="2">
        <v>11.246700000000001</v>
      </c>
      <c r="AJ3086" s="2">
        <f t="shared" si="427"/>
        <v>0</v>
      </c>
      <c r="AK3086" s="2">
        <f t="shared" ref="AK3086:AK3098" si="430">T3086-W3086</f>
        <v>12.543299999999999</v>
      </c>
      <c r="AL3086" s="5">
        <f t="shared" ref="AL3086:AL3098" si="431">(T3086-W3086)/T3086</f>
        <v>0.52725094577553588</v>
      </c>
    </row>
    <row r="3087" spans="1:38" x14ac:dyDescent="0.2">
      <c r="A3087" s="2">
        <v>2026</v>
      </c>
      <c r="B3087" s="2">
        <v>2</v>
      </c>
      <c r="D3087" s="2" t="s">
        <v>643</v>
      </c>
      <c r="E3087" s="2" t="s">
        <v>108</v>
      </c>
      <c r="F3087" s="2" t="s">
        <v>477</v>
      </c>
      <c r="G3087" s="2">
        <v>509056946</v>
      </c>
      <c r="H3087" s="2" t="s">
        <v>109</v>
      </c>
      <c r="I3087" s="2" t="s">
        <v>644</v>
      </c>
      <c r="J3087" s="2" t="s">
        <v>645</v>
      </c>
      <c r="K3087" s="2">
        <v>964495536</v>
      </c>
      <c r="L3087" s="2" t="s">
        <v>112</v>
      </c>
      <c r="M3087" s="2" t="s">
        <v>40</v>
      </c>
      <c r="O3087" s="2" t="s">
        <v>2464</v>
      </c>
      <c r="P3087" s="2" t="s">
        <v>114</v>
      </c>
      <c r="Q3087" s="2" t="s">
        <v>2465</v>
      </c>
      <c r="R3087" s="2" t="s">
        <v>2466</v>
      </c>
      <c r="S3087" s="2">
        <v>1</v>
      </c>
      <c r="T3087" s="2">
        <v>66.849999999999994</v>
      </c>
      <c r="U3087" s="2">
        <v>15.375500000000001</v>
      </c>
      <c r="V3087" s="2">
        <v>82.225499999999997</v>
      </c>
      <c r="W3087" s="2">
        <v>38.56</v>
      </c>
      <c r="X3087" s="5">
        <f>(T3087-W3087)/T3087</f>
        <v>0.42318623784592363</v>
      </c>
      <c r="Z3087" s="2" t="s">
        <v>117</v>
      </c>
      <c r="AA3087" s="2" t="s">
        <v>118</v>
      </c>
      <c r="AB3087" s="2" t="s">
        <v>119</v>
      </c>
      <c r="AC3087" s="2" t="s">
        <v>114</v>
      </c>
      <c r="AF3087" s="2">
        <f t="shared" si="426"/>
        <v>0</v>
      </c>
      <c r="AG3087" s="2">
        <v>38.56</v>
      </c>
      <c r="AJ3087" s="2">
        <f t="shared" si="427"/>
        <v>0</v>
      </c>
      <c r="AK3087" s="2">
        <f t="shared" si="430"/>
        <v>28.289999999999992</v>
      </c>
      <c r="AL3087" s="5">
        <f t="shared" si="431"/>
        <v>0.42318623784592363</v>
      </c>
    </row>
    <row r="3088" spans="1:38" x14ac:dyDescent="0.2">
      <c r="A3088" s="2">
        <v>2026</v>
      </c>
      <c r="B3088" s="2">
        <v>2</v>
      </c>
      <c r="D3088" s="2" t="s">
        <v>643</v>
      </c>
      <c r="E3088" s="2" t="s">
        <v>108</v>
      </c>
      <c r="F3088" s="2" t="s">
        <v>477</v>
      </c>
      <c r="G3088" s="2">
        <v>509056946</v>
      </c>
      <c r="H3088" s="2" t="s">
        <v>109</v>
      </c>
      <c r="I3088" s="2" t="s">
        <v>644</v>
      </c>
      <c r="J3088" s="2" t="s">
        <v>645</v>
      </c>
      <c r="K3088" s="2">
        <v>964495536</v>
      </c>
      <c r="L3088" s="2" t="s">
        <v>112</v>
      </c>
      <c r="M3088" s="2" t="s">
        <v>40</v>
      </c>
      <c r="O3088" s="2" t="s">
        <v>2467</v>
      </c>
      <c r="P3088" s="2" t="s">
        <v>114</v>
      </c>
      <c r="Q3088" s="2" t="s">
        <v>2468</v>
      </c>
      <c r="R3088" s="2" t="s">
        <v>2469</v>
      </c>
      <c r="S3088" s="2">
        <v>1</v>
      </c>
      <c r="T3088" s="2">
        <v>151.9</v>
      </c>
      <c r="U3088" s="2">
        <v>34.936999999999998</v>
      </c>
      <c r="V3088" s="2">
        <v>186.83699999999999</v>
      </c>
      <c r="W3088" s="2">
        <v>84.95</v>
      </c>
      <c r="X3088" s="5">
        <f>(T3088-W3088)/T3088</f>
        <v>0.44075049374588543</v>
      </c>
      <c r="Z3088" s="2" t="s">
        <v>117</v>
      </c>
      <c r="AA3088" s="2" t="s">
        <v>118</v>
      </c>
      <c r="AB3088" s="2" t="s">
        <v>119</v>
      </c>
      <c r="AC3088" s="2" t="s">
        <v>114</v>
      </c>
      <c r="AF3088" s="2">
        <f t="shared" si="426"/>
        <v>0</v>
      </c>
      <c r="AG3088" s="2">
        <v>84.95</v>
      </c>
      <c r="AJ3088" s="2">
        <f t="shared" si="427"/>
        <v>0</v>
      </c>
      <c r="AK3088" s="2">
        <f t="shared" si="430"/>
        <v>66.95</v>
      </c>
      <c r="AL3088" s="5">
        <f t="shared" si="431"/>
        <v>0.44075049374588543</v>
      </c>
    </row>
    <row r="3089" spans="1:38" x14ac:dyDescent="0.2">
      <c r="A3089" s="2">
        <v>2026</v>
      </c>
      <c r="B3089" s="2">
        <v>2</v>
      </c>
      <c r="C3089" s="2" t="s">
        <v>3455</v>
      </c>
      <c r="D3089" s="2" t="s">
        <v>624</v>
      </c>
      <c r="E3089" s="2" t="s">
        <v>38</v>
      </c>
      <c r="F3089" s="2" t="s">
        <v>39</v>
      </c>
      <c r="G3089" s="2" t="s">
        <v>625</v>
      </c>
      <c r="H3089" s="2" t="s">
        <v>40</v>
      </c>
      <c r="I3089" s="2" t="s">
        <v>626</v>
      </c>
      <c r="J3089" s="2" t="s">
        <v>627</v>
      </c>
      <c r="L3089" s="2" t="s">
        <v>626</v>
      </c>
      <c r="M3089" s="2" t="s">
        <v>40</v>
      </c>
      <c r="O3089" s="2" t="s">
        <v>2470</v>
      </c>
      <c r="P3089" s="2" t="s">
        <v>114</v>
      </c>
      <c r="Q3089" s="2" t="s">
        <v>2471</v>
      </c>
      <c r="R3089" s="2" t="s">
        <v>2472</v>
      </c>
      <c r="S3089" s="2">
        <v>1</v>
      </c>
      <c r="T3089" s="2">
        <v>544.55999999999995</v>
      </c>
      <c r="V3089" s="2">
        <f>T3089</f>
        <v>544.55999999999995</v>
      </c>
      <c r="W3089" s="2">
        <v>314.88499999999999</v>
      </c>
      <c r="X3089" s="5">
        <f>(T3089-W3089)/T3089</f>
        <v>0.42176252387248414</v>
      </c>
      <c r="Z3089" s="2" t="s">
        <v>117</v>
      </c>
      <c r="AA3089" s="2" t="s">
        <v>118</v>
      </c>
      <c r="AB3089" s="2" t="s">
        <v>119</v>
      </c>
      <c r="AC3089" s="2" t="s">
        <v>114</v>
      </c>
      <c r="AF3089" s="2">
        <f t="shared" si="426"/>
        <v>0</v>
      </c>
      <c r="AG3089" s="2">
        <v>314.88499999999999</v>
      </c>
      <c r="AJ3089" s="2">
        <f t="shared" si="427"/>
        <v>0</v>
      </c>
      <c r="AK3089" s="2">
        <f t="shared" si="430"/>
        <v>229.67499999999995</v>
      </c>
      <c r="AL3089" s="5">
        <f t="shared" si="431"/>
        <v>0.42176252387248414</v>
      </c>
    </row>
    <row r="3090" spans="1:38" x14ac:dyDescent="0.2">
      <c r="A3090" s="2">
        <v>2026</v>
      </c>
      <c r="B3090" s="2">
        <v>1</v>
      </c>
      <c r="D3090" s="2" t="s">
        <v>775</v>
      </c>
      <c r="E3090" s="2" t="s">
        <v>38</v>
      </c>
      <c r="F3090" s="2" t="s">
        <v>39</v>
      </c>
      <c r="G3090" s="2">
        <v>507324560</v>
      </c>
      <c r="H3090" s="2" t="s">
        <v>40</v>
      </c>
      <c r="I3090" s="2" t="s">
        <v>776</v>
      </c>
      <c r="J3090" s="2" t="s">
        <v>777</v>
      </c>
      <c r="L3090" s="2" t="s">
        <v>339</v>
      </c>
      <c r="M3090" s="2" t="s">
        <v>40</v>
      </c>
      <c r="O3090" s="2" t="s">
        <v>2473</v>
      </c>
      <c r="P3090" s="2" t="s">
        <v>114</v>
      </c>
      <c r="Q3090" s="2" t="s">
        <v>514</v>
      </c>
      <c r="R3090" s="2" t="s">
        <v>515</v>
      </c>
      <c r="S3090" s="2">
        <v>0</v>
      </c>
      <c r="T3090" s="2">
        <v>0</v>
      </c>
      <c r="U3090" s="2">
        <v>0</v>
      </c>
      <c r="V3090" s="2">
        <v>0</v>
      </c>
      <c r="X3090" s="5">
        <v>0</v>
      </c>
      <c r="Z3090" s="2" t="s">
        <v>117</v>
      </c>
      <c r="AA3090" s="2" t="s">
        <v>118</v>
      </c>
      <c r="AB3090" s="2" t="s">
        <v>119</v>
      </c>
      <c r="AC3090" s="2" t="s">
        <v>114</v>
      </c>
      <c r="AF3090" s="2">
        <f t="shared" si="426"/>
        <v>0</v>
      </c>
      <c r="AJ3090" s="2">
        <f t="shared" si="427"/>
        <v>0</v>
      </c>
      <c r="AK3090" s="2">
        <f t="shared" si="430"/>
        <v>0</v>
      </c>
      <c r="AL3090" s="5" t="e">
        <f t="shared" si="431"/>
        <v>#DIV/0!</v>
      </c>
    </row>
    <row r="3091" spans="1:38" x14ac:dyDescent="0.2">
      <c r="A3091" s="2">
        <v>2026</v>
      </c>
      <c r="B3091" s="2">
        <v>1</v>
      </c>
      <c r="D3091" s="2" t="s">
        <v>775</v>
      </c>
      <c r="E3091" s="2" t="s">
        <v>38</v>
      </c>
      <c r="F3091" s="2" t="s">
        <v>39</v>
      </c>
      <c r="G3091" s="2">
        <v>507324560</v>
      </c>
      <c r="H3091" s="2" t="s">
        <v>40</v>
      </c>
      <c r="I3091" s="2" t="s">
        <v>776</v>
      </c>
      <c r="J3091" s="2" t="s">
        <v>777</v>
      </c>
      <c r="L3091" s="2" t="s">
        <v>339</v>
      </c>
      <c r="M3091" s="2" t="s">
        <v>40</v>
      </c>
      <c r="O3091" s="2" t="s">
        <v>2474</v>
      </c>
      <c r="P3091" s="2" t="s">
        <v>114</v>
      </c>
      <c r="Q3091" s="2" t="s">
        <v>356</v>
      </c>
      <c r="R3091" s="2" t="s">
        <v>357</v>
      </c>
      <c r="S3091" s="2">
        <v>1</v>
      </c>
      <c r="T3091" s="2">
        <v>518.29</v>
      </c>
      <c r="U3091" s="2">
        <v>119.2067</v>
      </c>
      <c r="V3091" s="2">
        <v>637.49669999999992</v>
      </c>
      <c r="W3091" s="2">
        <v>246.77</v>
      </c>
      <c r="X3091" s="5">
        <f t="shared" ref="X3091:X3098" si="432">(T3091-W3091)/T3091</f>
        <v>0.52387659418472288</v>
      </c>
      <c r="Z3091" s="2" t="s">
        <v>117</v>
      </c>
      <c r="AA3091" s="2" t="s">
        <v>118</v>
      </c>
      <c r="AB3091" s="2" t="s">
        <v>119</v>
      </c>
      <c r="AC3091" s="2" t="s">
        <v>114</v>
      </c>
      <c r="AF3091" s="2">
        <f t="shared" si="426"/>
        <v>0</v>
      </c>
      <c r="AG3091" s="2">
        <v>246.77</v>
      </c>
      <c r="AJ3091" s="2">
        <f t="shared" si="427"/>
        <v>0</v>
      </c>
      <c r="AK3091" s="2">
        <f t="shared" si="430"/>
        <v>271.52</v>
      </c>
      <c r="AL3091" s="5">
        <f t="shared" si="431"/>
        <v>0.52387659418472288</v>
      </c>
    </row>
    <row r="3092" spans="1:38" x14ac:dyDescent="0.2">
      <c r="A3092" s="2">
        <v>2026</v>
      </c>
      <c r="B3092" s="2">
        <v>2</v>
      </c>
      <c r="D3092" s="2" t="s">
        <v>308</v>
      </c>
      <c r="E3092" s="2" t="s">
        <v>108</v>
      </c>
      <c r="F3092" s="2" t="s">
        <v>39</v>
      </c>
      <c r="G3092" s="2">
        <v>503724300</v>
      </c>
      <c r="H3092" s="2" t="s">
        <v>109</v>
      </c>
      <c r="I3092" s="2" t="s">
        <v>3115</v>
      </c>
      <c r="J3092" s="2" t="s">
        <v>3116</v>
      </c>
      <c r="L3092" s="2" t="s">
        <v>112</v>
      </c>
      <c r="M3092" s="2" t="s">
        <v>40</v>
      </c>
      <c r="O3092" s="2" t="s">
        <v>2475</v>
      </c>
      <c r="P3092" s="2" t="s">
        <v>114</v>
      </c>
      <c r="Q3092" s="2" t="s">
        <v>877</v>
      </c>
      <c r="R3092" s="2" t="s">
        <v>878</v>
      </c>
      <c r="S3092" s="2">
        <v>1</v>
      </c>
      <c r="T3092" s="2">
        <v>790</v>
      </c>
      <c r="U3092" s="2">
        <v>181.7</v>
      </c>
      <c r="V3092" s="2">
        <v>971.7</v>
      </c>
      <c r="W3092" s="2">
        <v>615.6</v>
      </c>
      <c r="X3092" s="5">
        <f t="shared" si="432"/>
        <v>0.22075949367088604</v>
      </c>
      <c r="Z3092" s="2" t="s">
        <v>117</v>
      </c>
      <c r="AA3092" s="2" t="s">
        <v>578</v>
      </c>
      <c r="AB3092" s="2" t="s">
        <v>119</v>
      </c>
      <c r="AC3092" s="2" t="s">
        <v>114</v>
      </c>
      <c r="AF3092" s="2">
        <f t="shared" si="426"/>
        <v>0</v>
      </c>
      <c r="AG3092" s="2">
        <v>615.6</v>
      </c>
      <c r="AJ3092" s="2">
        <f t="shared" si="427"/>
        <v>0</v>
      </c>
      <c r="AK3092" s="2">
        <f t="shared" si="430"/>
        <v>174.39999999999998</v>
      </c>
      <c r="AL3092" s="5">
        <f t="shared" si="431"/>
        <v>0.22075949367088604</v>
      </c>
    </row>
    <row r="3093" spans="1:38" x14ac:dyDescent="0.2">
      <c r="A3093" s="2">
        <v>2026</v>
      </c>
      <c r="B3093" s="2">
        <v>1</v>
      </c>
      <c r="D3093" s="2" t="s">
        <v>781</v>
      </c>
      <c r="E3093" s="2" t="s">
        <v>38</v>
      </c>
      <c r="F3093" s="2" t="s">
        <v>39</v>
      </c>
      <c r="G3093" s="2">
        <v>510219675</v>
      </c>
      <c r="H3093" s="2" t="s">
        <v>40</v>
      </c>
      <c r="I3093" s="2" t="s">
        <v>782</v>
      </c>
      <c r="J3093" s="2" t="s">
        <v>783</v>
      </c>
      <c r="K3093" s="2">
        <v>917341136</v>
      </c>
      <c r="L3093" s="2" t="s">
        <v>99</v>
      </c>
      <c r="M3093" s="2" t="s">
        <v>40</v>
      </c>
      <c r="O3093" s="2" t="s">
        <v>2463</v>
      </c>
      <c r="P3093" s="2" t="s">
        <v>114</v>
      </c>
      <c r="Q3093" s="2" t="s">
        <v>953</v>
      </c>
      <c r="R3093" s="2" t="s">
        <v>954</v>
      </c>
      <c r="S3093" s="2">
        <v>3</v>
      </c>
      <c r="T3093" s="2">
        <v>74.52</v>
      </c>
      <c r="U3093" s="2">
        <v>17.139600000000002</v>
      </c>
      <c r="V3093" s="2">
        <v>91.659599999999998</v>
      </c>
      <c r="W3093" s="2">
        <f>14.67*S3093</f>
        <v>44.01</v>
      </c>
      <c r="X3093" s="5">
        <f t="shared" si="432"/>
        <v>0.40942028985507245</v>
      </c>
      <c r="Z3093" s="2" t="s">
        <v>117</v>
      </c>
      <c r="AA3093" s="2" t="s">
        <v>578</v>
      </c>
      <c r="AB3093" s="2" t="s">
        <v>119</v>
      </c>
      <c r="AC3093" s="2" t="s">
        <v>114</v>
      </c>
      <c r="AF3093" s="2">
        <f t="shared" si="426"/>
        <v>0</v>
      </c>
      <c r="AG3093" s="2">
        <f>14.4+0.27</f>
        <v>14.67</v>
      </c>
      <c r="AJ3093" s="2">
        <f t="shared" si="427"/>
        <v>0</v>
      </c>
      <c r="AK3093" s="2">
        <f t="shared" si="430"/>
        <v>30.509999999999998</v>
      </c>
      <c r="AL3093" s="5">
        <f t="shared" si="431"/>
        <v>0.40942028985507245</v>
      </c>
    </row>
    <row r="3094" spans="1:38" x14ac:dyDescent="0.2">
      <c r="A3094" s="2">
        <v>2026</v>
      </c>
      <c r="B3094" s="2">
        <v>2</v>
      </c>
      <c r="D3094" s="2" t="s">
        <v>403</v>
      </c>
      <c r="E3094" s="2" t="s">
        <v>38</v>
      </c>
      <c r="F3094" s="2" t="s">
        <v>39</v>
      </c>
      <c r="G3094" s="2">
        <v>109095197</v>
      </c>
      <c r="H3094" s="2" t="s">
        <v>40</v>
      </c>
      <c r="I3094" s="2" t="s">
        <v>2476</v>
      </c>
      <c r="J3094" s="2" t="s">
        <v>3123</v>
      </c>
      <c r="K3094" s="2">
        <v>965864665</v>
      </c>
      <c r="L3094" s="2" t="s">
        <v>344</v>
      </c>
      <c r="M3094" s="2" t="s">
        <v>40</v>
      </c>
      <c r="O3094" s="2" t="s">
        <v>2477</v>
      </c>
      <c r="P3094" s="2" t="s">
        <v>114</v>
      </c>
      <c r="Q3094" s="2" t="s">
        <v>1079</v>
      </c>
      <c r="R3094" s="2" t="s">
        <v>1080</v>
      </c>
      <c r="S3094" s="2">
        <v>1</v>
      </c>
      <c r="T3094" s="2">
        <v>77.48</v>
      </c>
      <c r="U3094" s="2">
        <v>17.820399999999999</v>
      </c>
      <c r="V3094" s="2">
        <v>95.30040000000001</v>
      </c>
      <c r="W3094" s="2">
        <v>37.96</v>
      </c>
      <c r="X3094" s="5">
        <f t="shared" si="432"/>
        <v>0.51006711409395977</v>
      </c>
      <c r="Z3094" s="2" t="s">
        <v>117</v>
      </c>
      <c r="AA3094" s="2" t="s">
        <v>118</v>
      </c>
      <c r="AB3094" s="2" t="s">
        <v>119</v>
      </c>
      <c r="AC3094" s="2" t="s">
        <v>114</v>
      </c>
      <c r="AF3094" s="2">
        <f t="shared" si="426"/>
        <v>0</v>
      </c>
      <c r="AG3094" s="2">
        <v>37.96</v>
      </c>
      <c r="AJ3094" s="2">
        <f t="shared" si="427"/>
        <v>0</v>
      </c>
      <c r="AK3094" s="2">
        <f t="shared" si="430"/>
        <v>39.520000000000003</v>
      </c>
      <c r="AL3094" s="5">
        <f t="shared" si="431"/>
        <v>0.51006711409395977</v>
      </c>
    </row>
    <row r="3095" spans="1:38" x14ac:dyDescent="0.2">
      <c r="A3095" s="2">
        <v>2026</v>
      </c>
      <c r="B3095" s="2">
        <v>1</v>
      </c>
      <c r="D3095" s="2" t="s">
        <v>1150</v>
      </c>
      <c r="E3095" s="2" t="s">
        <v>108</v>
      </c>
      <c r="F3095" s="2" t="s">
        <v>39</v>
      </c>
      <c r="G3095" s="2">
        <v>504039733</v>
      </c>
      <c r="H3095" s="2" t="s">
        <v>109</v>
      </c>
      <c r="I3095" s="2" t="s">
        <v>2478</v>
      </c>
      <c r="J3095" s="2" t="s">
        <v>1473</v>
      </c>
      <c r="K3095" s="2">
        <v>938183284</v>
      </c>
      <c r="L3095" s="2" t="s">
        <v>133</v>
      </c>
      <c r="M3095" s="2" t="s">
        <v>40</v>
      </c>
      <c r="O3095" s="2" t="s">
        <v>2479</v>
      </c>
      <c r="P3095" s="2" t="s">
        <v>114</v>
      </c>
      <c r="Q3095" s="2" t="s">
        <v>2480</v>
      </c>
      <c r="R3095" s="2" t="s">
        <v>1387</v>
      </c>
      <c r="S3095" s="2">
        <v>1</v>
      </c>
      <c r="T3095" s="2">
        <v>466.58</v>
      </c>
      <c r="U3095" s="2">
        <v>107.3134</v>
      </c>
      <c r="V3095" s="2">
        <v>573.89339999999993</v>
      </c>
      <c r="W3095" s="2">
        <v>222.18</v>
      </c>
      <c r="X3095" s="5">
        <f t="shared" si="432"/>
        <v>0.52381156500492942</v>
      </c>
      <c r="Z3095" s="2" t="s">
        <v>117</v>
      </c>
      <c r="AA3095" s="2" t="s">
        <v>118</v>
      </c>
      <c r="AB3095" s="2" t="s">
        <v>119</v>
      </c>
      <c r="AC3095" s="2" t="s">
        <v>114</v>
      </c>
      <c r="AF3095" s="2">
        <f t="shared" si="426"/>
        <v>0</v>
      </c>
      <c r="AG3095" s="2">
        <v>222.18</v>
      </c>
      <c r="AJ3095" s="2">
        <f t="shared" si="427"/>
        <v>0</v>
      </c>
      <c r="AK3095" s="2">
        <f t="shared" si="430"/>
        <v>244.39999999999998</v>
      </c>
      <c r="AL3095" s="5">
        <f t="shared" si="431"/>
        <v>0.52381156500492942</v>
      </c>
    </row>
    <row r="3096" spans="1:38" x14ac:dyDescent="0.2">
      <c r="A3096" s="2">
        <v>2026</v>
      </c>
      <c r="B3096" s="2">
        <v>2</v>
      </c>
      <c r="C3096" s="2" t="s">
        <v>3455</v>
      </c>
      <c r="D3096" s="2" t="s">
        <v>624</v>
      </c>
      <c r="E3096" s="2" t="s">
        <v>38</v>
      </c>
      <c r="F3096" s="2" t="s">
        <v>39</v>
      </c>
      <c r="G3096" s="2" t="s">
        <v>625</v>
      </c>
      <c r="H3096" s="2" t="s">
        <v>40</v>
      </c>
      <c r="I3096" s="2" t="s">
        <v>626</v>
      </c>
      <c r="J3096" s="2" t="s">
        <v>627</v>
      </c>
      <c r="L3096" s="2" t="s">
        <v>626</v>
      </c>
      <c r="M3096" s="2" t="s">
        <v>40</v>
      </c>
      <c r="O3096" s="2" t="s">
        <v>2470</v>
      </c>
      <c r="P3096" s="2" t="s">
        <v>114</v>
      </c>
      <c r="Q3096" s="2" t="s">
        <v>904</v>
      </c>
      <c r="R3096" s="2" t="s">
        <v>905</v>
      </c>
      <c r="S3096" s="2">
        <v>1</v>
      </c>
      <c r="T3096" s="2">
        <v>465.7</v>
      </c>
      <c r="V3096" s="2">
        <f>T3096</f>
        <v>465.7</v>
      </c>
      <c r="W3096" s="2">
        <v>345.20339999999999</v>
      </c>
      <c r="X3096" s="5">
        <f t="shared" si="432"/>
        <v>0.25874296757569254</v>
      </c>
      <c r="Z3096" s="2" t="s">
        <v>117</v>
      </c>
      <c r="AA3096" s="2" t="s">
        <v>181</v>
      </c>
      <c r="AB3096" s="2" t="s">
        <v>119</v>
      </c>
      <c r="AC3096" s="2" t="s">
        <v>114</v>
      </c>
      <c r="AF3096" s="2">
        <f t="shared" si="426"/>
        <v>0</v>
      </c>
      <c r="AG3096" s="2">
        <v>342.22</v>
      </c>
      <c r="AJ3096" s="2">
        <f t="shared" si="427"/>
        <v>0</v>
      </c>
      <c r="AK3096" s="2">
        <f t="shared" si="430"/>
        <v>120.4966</v>
      </c>
      <c r="AL3096" s="5">
        <f t="shared" si="431"/>
        <v>0.25874296757569254</v>
      </c>
    </row>
    <row r="3097" spans="1:38" x14ac:dyDescent="0.2">
      <c r="A3097" s="2">
        <v>2026</v>
      </c>
      <c r="B3097" s="2">
        <v>2</v>
      </c>
      <c r="D3097" s="2" t="s">
        <v>2287</v>
      </c>
      <c r="E3097" s="2" t="s">
        <v>108</v>
      </c>
      <c r="F3097" s="2" t="s">
        <v>39</v>
      </c>
      <c r="G3097" s="2">
        <v>513889248</v>
      </c>
      <c r="H3097" s="2" t="s">
        <v>40</v>
      </c>
      <c r="I3097" s="2" t="s">
        <v>583</v>
      </c>
      <c r="J3097" s="2" t="s">
        <v>2288</v>
      </c>
      <c r="L3097" s="2" t="s">
        <v>201</v>
      </c>
      <c r="M3097" s="2" t="s">
        <v>40</v>
      </c>
      <c r="O3097" s="2" t="s">
        <v>2289</v>
      </c>
      <c r="P3097" s="2" t="s">
        <v>114</v>
      </c>
      <c r="Q3097" s="2" t="s">
        <v>179</v>
      </c>
      <c r="R3097" s="2" t="s">
        <v>180</v>
      </c>
      <c r="S3097" s="2">
        <v>1</v>
      </c>
      <c r="T3097" s="2">
        <v>699.3</v>
      </c>
      <c r="U3097" s="2">
        <v>160.839</v>
      </c>
      <c r="V3097" s="2">
        <v>860.1389999999999</v>
      </c>
      <c r="W3097" s="2">
        <v>343.57</v>
      </c>
      <c r="X3097" s="5">
        <f t="shared" si="432"/>
        <v>0.50869440869440863</v>
      </c>
      <c r="Z3097" s="2" t="s">
        <v>117</v>
      </c>
      <c r="AA3097" s="2" t="s">
        <v>181</v>
      </c>
      <c r="AB3097" s="2" t="s">
        <v>119</v>
      </c>
      <c r="AC3097" s="2" t="s">
        <v>114</v>
      </c>
      <c r="AF3097" s="2">
        <f t="shared" si="426"/>
        <v>0</v>
      </c>
      <c r="AG3097" s="2">
        <v>343.38569999999999</v>
      </c>
      <c r="AJ3097" s="2">
        <f t="shared" si="427"/>
        <v>0</v>
      </c>
      <c r="AK3097" s="2">
        <f t="shared" si="430"/>
        <v>355.72999999999996</v>
      </c>
      <c r="AL3097" s="5">
        <f t="shared" si="431"/>
        <v>0.50869440869440863</v>
      </c>
    </row>
    <row r="3098" spans="1:38" x14ac:dyDescent="0.2">
      <c r="A3098" s="2">
        <v>2026</v>
      </c>
      <c r="B3098" s="2">
        <v>2</v>
      </c>
      <c r="D3098" s="2" t="s">
        <v>2290</v>
      </c>
      <c r="E3098" s="2" t="s">
        <v>38</v>
      </c>
      <c r="G3098" s="2">
        <v>509800696</v>
      </c>
      <c r="H3098" s="2" t="s">
        <v>290</v>
      </c>
      <c r="I3098" s="2" t="s">
        <v>2291</v>
      </c>
      <c r="J3098" s="2" t="s">
        <v>2292</v>
      </c>
      <c r="K3098" s="2">
        <v>930444437</v>
      </c>
      <c r="L3098" s="2" t="s">
        <v>2291</v>
      </c>
      <c r="M3098" s="2" t="s">
        <v>40</v>
      </c>
      <c r="O3098" s="2" t="s">
        <v>2293</v>
      </c>
      <c r="P3098" s="2" t="s">
        <v>114</v>
      </c>
      <c r="Q3098" s="2" t="s">
        <v>179</v>
      </c>
      <c r="R3098" s="2" t="s">
        <v>180</v>
      </c>
      <c r="S3098" s="2">
        <v>2</v>
      </c>
      <c r="T3098" s="2">
        <v>1198.8</v>
      </c>
      <c r="U3098" s="2">
        <v>275.72399999999999</v>
      </c>
      <c r="V3098" s="2">
        <v>1474.5239999999999</v>
      </c>
      <c r="W3098" s="2">
        <f>343.5857*S3098</f>
        <v>687.17139999999995</v>
      </c>
      <c r="X3098" s="5">
        <f t="shared" si="432"/>
        <v>0.42678395061728397</v>
      </c>
      <c r="Z3098" s="2" t="s">
        <v>117</v>
      </c>
      <c r="AA3098" s="2" t="s">
        <v>181</v>
      </c>
      <c r="AB3098" s="2" t="s">
        <v>119</v>
      </c>
      <c r="AC3098" s="2" t="s">
        <v>114</v>
      </c>
      <c r="AF3098" s="2">
        <f t="shared" si="426"/>
        <v>0</v>
      </c>
      <c r="AG3098" s="2">
        <v>343.38569999999999</v>
      </c>
      <c r="AJ3098" s="2">
        <f t="shared" si="427"/>
        <v>0</v>
      </c>
      <c r="AK3098" s="2">
        <f t="shared" si="430"/>
        <v>511.62860000000001</v>
      </c>
      <c r="AL3098" s="5">
        <f t="shared" si="431"/>
        <v>0.42678395061728397</v>
      </c>
    </row>
    <row r="3099" spans="1:38" x14ac:dyDescent="0.2">
      <c r="A3099" s="2">
        <v>2026</v>
      </c>
      <c r="B3099" s="2">
        <v>2</v>
      </c>
      <c r="D3099" s="2" t="s">
        <v>2327</v>
      </c>
      <c r="I3099" s="2" t="s">
        <v>804</v>
      </c>
      <c r="L3099" s="2" t="s">
        <v>99</v>
      </c>
      <c r="M3099" s="2" t="s">
        <v>40</v>
      </c>
      <c r="O3099" s="2" t="s">
        <v>2481</v>
      </c>
      <c r="P3099" s="2" t="s">
        <v>114</v>
      </c>
      <c r="Q3099" s="2" t="s">
        <v>179</v>
      </c>
      <c r="R3099" s="2" t="s">
        <v>180</v>
      </c>
      <c r="S3099" s="2">
        <v>-1</v>
      </c>
      <c r="T3099" s="2">
        <v>-699.3</v>
      </c>
      <c r="U3099" s="2">
        <v>-160.839</v>
      </c>
      <c r="V3099" s="2">
        <v>-860.1389999999999</v>
      </c>
      <c r="W3099" s="2">
        <v>346.57</v>
      </c>
      <c r="Z3099" s="2" t="s">
        <v>117</v>
      </c>
      <c r="AA3099" s="2" t="s">
        <v>181</v>
      </c>
      <c r="AB3099" s="2" t="s">
        <v>119</v>
      </c>
      <c r="AC3099" s="2" t="s">
        <v>114</v>
      </c>
      <c r="AF3099" s="2">
        <f t="shared" si="426"/>
        <v>0</v>
      </c>
      <c r="AG3099" s="2">
        <v>343.38569999999999</v>
      </c>
      <c r="AJ3099" s="2">
        <f t="shared" si="427"/>
        <v>0</v>
      </c>
    </row>
    <row r="3100" spans="1:38" x14ac:dyDescent="0.2">
      <c r="A3100" s="2">
        <v>2026</v>
      </c>
      <c r="B3100" s="2">
        <v>2</v>
      </c>
      <c r="D3100" s="2" t="s">
        <v>2482</v>
      </c>
      <c r="M3100" s="2" t="s">
        <v>40</v>
      </c>
      <c r="O3100" s="2" t="s">
        <v>2483</v>
      </c>
      <c r="P3100" s="2" t="s">
        <v>114</v>
      </c>
      <c r="Q3100" s="2" t="s">
        <v>179</v>
      </c>
      <c r="R3100" s="2" t="s">
        <v>180</v>
      </c>
      <c r="S3100" s="2">
        <v>1</v>
      </c>
      <c r="T3100" s="2">
        <v>699.3</v>
      </c>
      <c r="U3100" s="2">
        <v>160.839</v>
      </c>
      <c r="V3100" s="2">
        <v>860.1389999999999</v>
      </c>
      <c r="W3100" s="2">
        <v>346.57</v>
      </c>
      <c r="X3100" s="5">
        <f t="shared" ref="X3100:X3109" si="433">(T3100-W3100)/T3100</f>
        <v>0.50440440440440437</v>
      </c>
      <c r="Z3100" s="2" t="s">
        <v>117</v>
      </c>
      <c r="AA3100" s="2" t="s">
        <v>181</v>
      </c>
      <c r="AB3100" s="2" t="s">
        <v>119</v>
      </c>
      <c r="AC3100" s="2" t="s">
        <v>114</v>
      </c>
      <c r="AF3100" s="2">
        <f t="shared" si="426"/>
        <v>0</v>
      </c>
      <c r="AG3100" s="2">
        <v>343.38569999999999</v>
      </c>
      <c r="AJ3100" s="2">
        <f t="shared" si="427"/>
        <v>0</v>
      </c>
      <c r="AK3100" s="2">
        <f t="shared" ref="AK3100:AK3131" si="434">T3100-W3100</f>
        <v>352.72999999999996</v>
      </c>
      <c r="AL3100" s="5">
        <f t="shared" ref="AL3100:AL3109" si="435">(T3100-W3100)/T3100</f>
        <v>0.50440440440440437</v>
      </c>
    </row>
    <row r="3101" spans="1:38" x14ac:dyDescent="0.2">
      <c r="A3101" s="2">
        <v>2026</v>
      </c>
      <c r="B3101" s="2">
        <v>2</v>
      </c>
      <c r="D3101" s="2" t="s">
        <v>744</v>
      </c>
      <c r="E3101" s="2" t="s">
        <v>108</v>
      </c>
      <c r="F3101" s="2" t="s">
        <v>39</v>
      </c>
      <c r="G3101" s="2">
        <v>509181163</v>
      </c>
      <c r="H3101" s="2" t="s">
        <v>40</v>
      </c>
      <c r="I3101" s="2" t="s">
        <v>745</v>
      </c>
      <c r="J3101" s="2" t="s">
        <v>746</v>
      </c>
      <c r="K3101" s="2">
        <v>962372760</v>
      </c>
      <c r="L3101" s="2" t="s">
        <v>201</v>
      </c>
      <c r="M3101" s="2" t="s">
        <v>40</v>
      </c>
      <c r="O3101" s="2" t="s">
        <v>2484</v>
      </c>
      <c r="P3101" s="2" t="s">
        <v>114</v>
      </c>
      <c r="Q3101" s="2" t="s">
        <v>1424</v>
      </c>
      <c r="R3101" s="2" t="s">
        <v>1425</v>
      </c>
      <c r="S3101" s="2">
        <v>1</v>
      </c>
      <c r="T3101" s="2">
        <v>1600.98</v>
      </c>
      <c r="U3101" s="2">
        <v>368.22539999999998</v>
      </c>
      <c r="V3101" s="2">
        <v>1969.2054000000001</v>
      </c>
      <c r="W3101" s="2">
        <v>871.87</v>
      </c>
      <c r="X3101" s="5">
        <f t="shared" si="433"/>
        <v>0.45541480842983673</v>
      </c>
      <c r="Z3101" s="2" t="s">
        <v>117</v>
      </c>
      <c r="AA3101" s="2" t="s">
        <v>616</v>
      </c>
      <c r="AB3101" s="2" t="s">
        <v>957</v>
      </c>
      <c r="AC3101" s="2" t="s">
        <v>114</v>
      </c>
      <c r="AF3101" s="2">
        <f t="shared" si="426"/>
        <v>0</v>
      </c>
      <c r="AG3101" s="2">
        <f>868.26+3.61</f>
        <v>871.87</v>
      </c>
      <c r="AJ3101" s="2">
        <f t="shared" si="427"/>
        <v>0</v>
      </c>
      <c r="AK3101" s="2">
        <f t="shared" si="434"/>
        <v>729.11</v>
      </c>
      <c r="AL3101" s="5">
        <f t="shared" si="435"/>
        <v>0.45541480842983673</v>
      </c>
    </row>
    <row r="3102" spans="1:38" x14ac:dyDescent="0.2">
      <c r="A3102" s="2">
        <v>2026</v>
      </c>
      <c r="B3102" s="2">
        <v>2</v>
      </c>
      <c r="D3102" s="2" t="s">
        <v>558</v>
      </c>
      <c r="E3102" s="2" t="s">
        <v>108</v>
      </c>
      <c r="F3102" s="2" t="s">
        <v>39</v>
      </c>
      <c r="G3102" s="2">
        <v>506517233</v>
      </c>
      <c r="H3102" s="2" t="s">
        <v>80</v>
      </c>
      <c r="I3102" s="2" t="s">
        <v>559</v>
      </c>
      <c r="J3102" s="2" t="s">
        <v>560</v>
      </c>
      <c r="L3102" s="2" t="s">
        <v>133</v>
      </c>
      <c r="M3102" s="2" t="s">
        <v>40</v>
      </c>
      <c r="O3102" s="2" t="s">
        <v>2485</v>
      </c>
      <c r="P3102" s="2" t="s">
        <v>114</v>
      </c>
      <c r="Q3102" s="2" t="s">
        <v>2486</v>
      </c>
      <c r="R3102" s="2" t="s">
        <v>2487</v>
      </c>
      <c r="S3102" s="2">
        <v>1</v>
      </c>
      <c r="T3102" s="2">
        <v>214.96</v>
      </c>
      <c r="U3102" s="2">
        <v>49.440800000000003</v>
      </c>
      <c r="V3102" s="2">
        <v>264.4008</v>
      </c>
      <c r="W3102" s="2">
        <v>102.88500000000001</v>
      </c>
      <c r="X3102" s="5">
        <f t="shared" si="433"/>
        <v>0.52137606996650543</v>
      </c>
      <c r="Z3102" s="2" t="s">
        <v>117</v>
      </c>
      <c r="AA3102" s="2" t="s">
        <v>118</v>
      </c>
      <c r="AB3102" s="2" t="s">
        <v>119</v>
      </c>
      <c r="AC3102" s="2" t="s">
        <v>114</v>
      </c>
      <c r="AF3102" s="2">
        <f t="shared" si="426"/>
        <v>0</v>
      </c>
      <c r="AG3102" s="2">
        <v>102.88249999999999</v>
      </c>
      <c r="AJ3102" s="2">
        <f t="shared" si="427"/>
        <v>0</v>
      </c>
      <c r="AK3102" s="2">
        <f t="shared" si="434"/>
        <v>112.075</v>
      </c>
      <c r="AL3102" s="5">
        <f t="shared" si="435"/>
        <v>0.52137606996650543</v>
      </c>
    </row>
    <row r="3103" spans="1:38" x14ac:dyDescent="0.2">
      <c r="A3103" s="2">
        <v>2026</v>
      </c>
      <c r="B3103" s="2">
        <v>2</v>
      </c>
      <c r="D3103" s="2" t="s">
        <v>558</v>
      </c>
      <c r="E3103" s="2" t="s">
        <v>108</v>
      </c>
      <c r="F3103" s="2" t="s">
        <v>39</v>
      </c>
      <c r="G3103" s="2">
        <v>506517233</v>
      </c>
      <c r="H3103" s="2" t="s">
        <v>80</v>
      </c>
      <c r="I3103" s="2" t="s">
        <v>559</v>
      </c>
      <c r="J3103" s="2" t="s">
        <v>560</v>
      </c>
      <c r="L3103" s="2" t="s">
        <v>133</v>
      </c>
      <c r="M3103" s="2" t="s">
        <v>40</v>
      </c>
      <c r="O3103" s="2" t="s">
        <v>2488</v>
      </c>
      <c r="P3103" s="2" t="s">
        <v>114</v>
      </c>
      <c r="Q3103" s="2" t="s">
        <v>2489</v>
      </c>
      <c r="R3103" s="2" t="s">
        <v>2490</v>
      </c>
      <c r="S3103" s="2">
        <v>1</v>
      </c>
      <c r="T3103" s="2">
        <v>28.35</v>
      </c>
      <c r="U3103" s="2">
        <v>6.5205000000000002</v>
      </c>
      <c r="V3103" s="2">
        <v>34.8705</v>
      </c>
      <c r="W3103" s="2">
        <v>15</v>
      </c>
      <c r="X3103" s="5">
        <f t="shared" si="433"/>
        <v>0.47089947089947093</v>
      </c>
      <c r="Z3103" s="2" t="s">
        <v>117</v>
      </c>
      <c r="AA3103" s="2" t="s">
        <v>118</v>
      </c>
      <c r="AB3103" s="2" t="s">
        <v>119</v>
      </c>
      <c r="AC3103" s="2" t="s">
        <v>114</v>
      </c>
      <c r="AF3103" s="2">
        <f t="shared" si="426"/>
        <v>0</v>
      </c>
      <c r="AG3103" s="2">
        <v>15</v>
      </c>
      <c r="AJ3103" s="2">
        <f t="shared" si="427"/>
        <v>0</v>
      </c>
      <c r="AK3103" s="2">
        <f t="shared" si="434"/>
        <v>13.350000000000001</v>
      </c>
      <c r="AL3103" s="5">
        <f t="shared" si="435"/>
        <v>0.47089947089947093</v>
      </c>
    </row>
    <row r="3104" spans="1:38" x14ac:dyDescent="0.2">
      <c r="A3104" s="2">
        <v>2026</v>
      </c>
      <c r="B3104" s="2">
        <v>2</v>
      </c>
      <c r="D3104" s="2" t="s">
        <v>2491</v>
      </c>
      <c r="M3104" s="2" t="s">
        <v>40</v>
      </c>
      <c r="O3104" s="2" t="s">
        <v>2492</v>
      </c>
      <c r="P3104" s="2" t="s">
        <v>114</v>
      </c>
      <c r="Q3104" s="2" t="s">
        <v>2493</v>
      </c>
      <c r="R3104" s="2" t="s">
        <v>2494</v>
      </c>
      <c r="S3104" s="2">
        <v>1</v>
      </c>
      <c r="T3104" s="2">
        <v>87.3</v>
      </c>
      <c r="U3104" s="2">
        <v>20.079000000000001</v>
      </c>
      <c r="V3104" s="2">
        <v>107.379</v>
      </c>
      <c r="W3104" s="2">
        <v>43.23</v>
      </c>
      <c r="X3104" s="5">
        <f t="shared" si="433"/>
        <v>0.50481099656357387</v>
      </c>
      <c r="Z3104" s="2" t="s">
        <v>117</v>
      </c>
      <c r="AA3104" s="2" t="s">
        <v>118</v>
      </c>
      <c r="AB3104" s="2" t="s">
        <v>119</v>
      </c>
      <c r="AC3104" s="2" t="s">
        <v>114</v>
      </c>
      <c r="AF3104" s="2">
        <f t="shared" si="426"/>
        <v>0</v>
      </c>
      <c r="AG3104" s="2">
        <v>43.23</v>
      </c>
      <c r="AJ3104" s="2">
        <f t="shared" si="427"/>
        <v>0</v>
      </c>
      <c r="AK3104" s="2">
        <f t="shared" si="434"/>
        <v>44.07</v>
      </c>
      <c r="AL3104" s="5">
        <f t="shared" si="435"/>
        <v>0.50481099656357387</v>
      </c>
    </row>
    <row r="3105" spans="1:38" x14ac:dyDescent="0.2">
      <c r="A3105" s="2">
        <v>2026</v>
      </c>
      <c r="B3105" s="2">
        <v>2</v>
      </c>
      <c r="C3105" s="2" t="s">
        <v>3321</v>
      </c>
      <c r="D3105" s="2" t="s">
        <v>485</v>
      </c>
      <c r="E3105" s="2" t="s">
        <v>108</v>
      </c>
      <c r="F3105" s="2" t="s">
        <v>39</v>
      </c>
      <c r="G3105" s="2">
        <v>506834689</v>
      </c>
      <c r="H3105" s="2" t="s">
        <v>41</v>
      </c>
      <c r="I3105" s="2" t="s">
        <v>486</v>
      </c>
      <c r="J3105" s="2" t="s">
        <v>487</v>
      </c>
      <c r="K3105" s="2">
        <v>919866237</v>
      </c>
      <c r="L3105" s="2" t="s">
        <v>461</v>
      </c>
      <c r="M3105" s="2" t="s">
        <v>41</v>
      </c>
      <c r="P3105" s="2" t="s">
        <v>114</v>
      </c>
      <c r="Q3105" s="2" t="s">
        <v>2495</v>
      </c>
      <c r="R3105" s="2" t="s">
        <v>2496</v>
      </c>
      <c r="S3105" s="2">
        <v>1</v>
      </c>
      <c r="T3105" s="2">
        <v>1190</v>
      </c>
      <c r="U3105" s="2">
        <v>273.7</v>
      </c>
      <c r="V3105" s="2">
        <v>1463.7</v>
      </c>
      <c r="W3105" s="2">
        <f>806.74+33.49</f>
        <v>840.23</v>
      </c>
      <c r="X3105" s="5">
        <f t="shared" si="433"/>
        <v>0.29392436974789915</v>
      </c>
      <c r="Z3105" s="2" t="s">
        <v>104</v>
      </c>
      <c r="AA3105" s="2" t="s">
        <v>578</v>
      </c>
      <c r="AB3105" s="2" t="s">
        <v>119</v>
      </c>
      <c r="AC3105" s="2" t="s">
        <v>114</v>
      </c>
      <c r="AF3105" s="2">
        <f t="shared" si="426"/>
        <v>0</v>
      </c>
      <c r="AJ3105" s="2">
        <f t="shared" si="427"/>
        <v>0</v>
      </c>
      <c r="AK3105" s="2">
        <f t="shared" si="434"/>
        <v>349.77</v>
      </c>
      <c r="AL3105" s="5">
        <f t="shared" si="435"/>
        <v>0.29392436974789915</v>
      </c>
    </row>
    <row r="3106" spans="1:38" x14ac:dyDescent="0.2">
      <c r="A3106" s="2">
        <v>2026</v>
      </c>
      <c r="B3106" s="2">
        <v>2</v>
      </c>
      <c r="D3106" s="2" t="s">
        <v>781</v>
      </c>
      <c r="E3106" s="2" t="s">
        <v>38</v>
      </c>
      <c r="F3106" s="2" t="s">
        <v>39</v>
      </c>
      <c r="G3106" s="2">
        <v>510219675</v>
      </c>
      <c r="H3106" s="2" t="s">
        <v>40</v>
      </c>
      <c r="I3106" s="2" t="s">
        <v>782</v>
      </c>
      <c r="J3106" s="2" t="s">
        <v>783</v>
      </c>
      <c r="K3106" s="2">
        <v>917341136</v>
      </c>
      <c r="L3106" s="2" t="s">
        <v>99</v>
      </c>
      <c r="P3106" s="2" t="s">
        <v>114</v>
      </c>
      <c r="Q3106" s="2" t="s">
        <v>1332</v>
      </c>
      <c r="R3106" s="2" t="s">
        <v>1333</v>
      </c>
      <c r="S3106" s="2">
        <v>1</v>
      </c>
      <c r="T3106" s="2">
        <v>60.1</v>
      </c>
      <c r="U3106" s="2">
        <v>13.823</v>
      </c>
      <c r="V3106" s="2">
        <v>73.923000000000002</v>
      </c>
      <c r="X3106" s="5">
        <f t="shared" si="433"/>
        <v>1</v>
      </c>
      <c r="Z3106" s="2" t="s">
        <v>117</v>
      </c>
      <c r="AF3106" s="2">
        <f t="shared" si="426"/>
        <v>0</v>
      </c>
      <c r="AJ3106" s="2">
        <f t="shared" si="427"/>
        <v>0</v>
      </c>
      <c r="AK3106" s="2">
        <f t="shared" si="434"/>
        <v>60.1</v>
      </c>
      <c r="AL3106" s="5">
        <f t="shared" si="435"/>
        <v>1</v>
      </c>
    </row>
    <row r="3107" spans="1:38" x14ac:dyDescent="0.2">
      <c r="A3107" s="2">
        <v>2026</v>
      </c>
      <c r="B3107" s="2">
        <v>2</v>
      </c>
      <c r="D3107" s="2" t="s">
        <v>2442</v>
      </c>
      <c r="P3107" s="2" t="s">
        <v>114</v>
      </c>
      <c r="Q3107" s="2" t="s">
        <v>2497</v>
      </c>
      <c r="R3107" s="2" t="s">
        <v>2498</v>
      </c>
      <c r="S3107" s="2">
        <v>1</v>
      </c>
      <c r="T3107" s="2">
        <v>3754.3</v>
      </c>
      <c r="U3107" s="2">
        <v>863.48900000000003</v>
      </c>
      <c r="V3107" s="2">
        <v>4617.7890000000007</v>
      </c>
      <c r="X3107" s="5">
        <f t="shared" si="433"/>
        <v>1</v>
      </c>
      <c r="Z3107" s="2" t="s">
        <v>117</v>
      </c>
      <c r="AF3107" s="2">
        <f t="shared" si="426"/>
        <v>0</v>
      </c>
      <c r="AJ3107" s="2">
        <f t="shared" si="427"/>
        <v>0</v>
      </c>
      <c r="AK3107" s="2">
        <f t="shared" si="434"/>
        <v>3754.3</v>
      </c>
      <c r="AL3107" s="5">
        <f t="shared" si="435"/>
        <v>1</v>
      </c>
    </row>
    <row r="3108" spans="1:38" x14ac:dyDescent="0.2">
      <c r="A3108" s="2">
        <v>2026</v>
      </c>
      <c r="B3108" s="2">
        <v>2</v>
      </c>
      <c r="D3108" s="2" t="s">
        <v>332</v>
      </c>
      <c r="E3108" s="2" t="s">
        <v>108</v>
      </c>
      <c r="F3108" s="2" t="s">
        <v>39</v>
      </c>
      <c r="G3108" s="2">
        <v>513493557</v>
      </c>
      <c r="H3108" s="2" t="s">
        <v>41</v>
      </c>
      <c r="I3108" s="2" t="s">
        <v>279</v>
      </c>
      <c r="J3108" s="2" t="s">
        <v>333</v>
      </c>
      <c r="L3108" s="2" t="s">
        <v>177</v>
      </c>
      <c r="P3108" s="2" t="s">
        <v>114</v>
      </c>
      <c r="Q3108" s="2" t="s">
        <v>576</v>
      </c>
      <c r="R3108" s="2" t="s">
        <v>577</v>
      </c>
      <c r="S3108" s="2">
        <v>1</v>
      </c>
      <c r="T3108" s="2">
        <v>79.47</v>
      </c>
      <c r="U3108" s="2">
        <v>18.278099999999998</v>
      </c>
      <c r="V3108" s="2">
        <v>97.748099999999994</v>
      </c>
      <c r="X3108" s="5">
        <f t="shared" si="433"/>
        <v>1</v>
      </c>
      <c r="Z3108" s="2" t="s">
        <v>117</v>
      </c>
      <c r="AF3108" s="2">
        <f t="shared" si="426"/>
        <v>0</v>
      </c>
      <c r="AJ3108" s="2">
        <f t="shared" si="427"/>
        <v>0</v>
      </c>
      <c r="AK3108" s="2">
        <f t="shared" si="434"/>
        <v>79.47</v>
      </c>
      <c r="AL3108" s="5">
        <f t="shared" si="435"/>
        <v>1</v>
      </c>
    </row>
    <row r="3109" spans="1:38" x14ac:dyDescent="0.2">
      <c r="A3109" s="2">
        <v>2026</v>
      </c>
      <c r="B3109" s="2">
        <v>2</v>
      </c>
      <c r="D3109" s="2" t="s">
        <v>574</v>
      </c>
      <c r="E3109" s="2" t="s">
        <v>38</v>
      </c>
      <c r="F3109" s="2" t="s">
        <v>39</v>
      </c>
      <c r="G3109" s="2">
        <v>504811029</v>
      </c>
      <c r="H3109" s="2" t="s">
        <v>41</v>
      </c>
      <c r="I3109" s="2" t="s">
        <v>177</v>
      </c>
      <c r="J3109" s="2" t="s">
        <v>575</v>
      </c>
      <c r="L3109" s="2" t="s">
        <v>177</v>
      </c>
      <c r="M3109" s="2" t="s">
        <v>40</v>
      </c>
      <c r="O3109" s="2" t="s">
        <v>2499</v>
      </c>
      <c r="P3109" s="2" t="s">
        <v>114</v>
      </c>
      <c r="Q3109" s="2" t="s">
        <v>576</v>
      </c>
      <c r="R3109" s="2" t="s">
        <v>577</v>
      </c>
      <c r="S3109" s="2">
        <v>1</v>
      </c>
      <c r="T3109" s="2">
        <v>79.47</v>
      </c>
      <c r="U3109" s="2">
        <v>18.278099999999998</v>
      </c>
      <c r="V3109" s="2">
        <v>97.748099999999994</v>
      </c>
      <c r="W3109" s="2">
        <v>25.2</v>
      </c>
      <c r="X3109" s="5">
        <f t="shared" si="433"/>
        <v>0.68289920724801811</v>
      </c>
      <c r="Z3109" s="2" t="s">
        <v>117</v>
      </c>
      <c r="AA3109" s="2" t="s">
        <v>578</v>
      </c>
      <c r="AB3109" s="2" t="s">
        <v>119</v>
      </c>
      <c r="AC3109" s="2" t="s">
        <v>114</v>
      </c>
      <c r="AF3109" s="2">
        <f t="shared" si="426"/>
        <v>0</v>
      </c>
      <c r="AG3109" s="2">
        <v>25.2</v>
      </c>
      <c r="AJ3109" s="2">
        <f t="shared" si="427"/>
        <v>0</v>
      </c>
      <c r="AK3109" s="2">
        <f t="shared" si="434"/>
        <v>54.269999999999996</v>
      </c>
      <c r="AL3109" s="5">
        <f t="shared" si="435"/>
        <v>0.68289920724801811</v>
      </c>
    </row>
    <row r="3110" spans="1:38" x14ac:dyDescent="0.2">
      <c r="A3110" s="2">
        <v>2026</v>
      </c>
      <c r="B3110" s="2">
        <v>2</v>
      </c>
      <c r="C3110" s="2" t="s">
        <v>3321</v>
      </c>
      <c r="D3110" s="2" t="s">
        <v>485</v>
      </c>
      <c r="E3110" s="2" t="s">
        <v>108</v>
      </c>
      <c r="F3110" s="2" t="s">
        <v>39</v>
      </c>
      <c r="G3110" s="2">
        <v>506834689</v>
      </c>
      <c r="H3110" s="2" t="s">
        <v>41</v>
      </c>
      <c r="I3110" s="2" t="s">
        <v>486</v>
      </c>
      <c r="J3110" s="2" t="s">
        <v>487</v>
      </c>
      <c r="K3110" s="2">
        <v>919866237</v>
      </c>
      <c r="L3110" s="2" t="s">
        <v>461</v>
      </c>
      <c r="M3110" s="2" t="s">
        <v>41</v>
      </c>
      <c r="P3110" s="2" t="s">
        <v>114</v>
      </c>
      <c r="Q3110" s="2" t="s">
        <v>1522</v>
      </c>
      <c r="R3110" s="2" t="s">
        <v>1523</v>
      </c>
      <c r="S3110" s="2">
        <v>1</v>
      </c>
      <c r="T3110" s="2">
        <v>0</v>
      </c>
      <c r="U3110" s="2">
        <v>0</v>
      </c>
      <c r="V3110" s="2">
        <v>0</v>
      </c>
      <c r="Z3110" s="2" t="s">
        <v>104</v>
      </c>
      <c r="AA3110" s="2" t="s">
        <v>578</v>
      </c>
      <c r="AB3110" s="2" t="s">
        <v>119</v>
      </c>
      <c r="AC3110" s="2" t="s">
        <v>114</v>
      </c>
      <c r="AF3110" s="2">
        <f t="shared" si="426"/>
        <v>0</v>
      </c>
      <c r="AJ3110" s="2">
        <f t="shared" si="427"/>
        <v>0</v>
      </c>
      <c r="AK3110" s="2">
        <f t="shared" si="434"/>
        <v>0</v>
      </c>
    </row>
    <row r="3111" spans="1:38" x14ac:dyDescent="0.2">
      <c r="A3111" s="2">
        <v>2026</v>
      </c>
      <c r="B3111" s="2">
        <v>2</v>
      </c>
      <c r="D3111" s="2" t="s">
        <v>1354</v>
      </c>
      <c r="E3111" s="2" t="s">
        <v>108</v>
      </c>
      <c r="F3111" s="2" t="s">
        <v>395</v>
      </c>
      <c r="G3111" s="2">
        <v>502401010</v>
      </c>
      <c r="H3111" s="2" t="s">
        <v>290</v>
      </c>
      <c r="I3111" s="2" t="s">
        <v>2500</v>
      </c>
      <c r="J3111" s="2" t="s">
        <v>2501</v>
      </c>
      <c r="L3111" s="2" t="s">
        <v>293</v>
      </c>
      <c r="P3111" s="2" t="s">
        <v>114</v>
      </c>
      <c r="Q3111" s="2" t="s">
        <v>2502</v>
      </c>
      <c r="R3111" s="2" t="s">
        <v>2503</v>
      </c>
      <c r="S3111" s="2">
        <v>1</v>
      </c>
      <c r="T3111" s="2">
        <v>1594.72</v>
      </c>
      <c r="U3111" s="2">
        <v>366.78559999999999</v>
      </c>
      <c r="V3111" s="2">
        <v>1961.5056</v>
      </c>
      <c r="X3111" s="5">
        <f t="shared" ref="X3111:X3129" si="436">(T3111-W3111)/T3111</f>
        <v>1</v>
      </c>
      <c r="Z3111" s="2" t="s">
        <v>117</v>
      </c>
      <c r="AF3111" s="2">
        <f t="shared" si="426"/>
        <v>0</v>
      </c>
      <c r="AJ3111" s="2">
        <f t="shared" si="427"/>
        <v>0</v>
      </c>
      <c r="AK3111" s="2">
        <f t="shared" si="434"/>
        <v>1594.72</v>
      </c>
      <c r="AL3111" s="5">
        <f t="shared" ref="AL3111:AL3129" si="437">(T3111-W3111)/T3111</f>
        <v>1</v>
      </c>
    </row>
    <row r="3112" spans="1:38" x14ac:dyDescent="0.2">
      <c r="A3112" s="2">
        <v>2026</v>
      </c>
      <c r="B3112" s="2">
        <v>2</v>
      </c>
      <c r="C3112" s="2" t="s">
        <v>3321</v>
      </c>
      <c r="D3112" s="2" t="s">
        <v>3243</v>
      </c>
      <c r="E3112" s="2" t="s">
        <v>752</v>
      </c>
      <c r="F3112" s="2" t="s">
        <v>39</v>
      </c>
      <c r="L3112" s="2" t="s">
        <v>344</v>
      </c>
      <c r="M3112" s="2" t="s">
        <v>40</v>
      </c>
      <c r="O3112" s="2" t="s">
        <v>2504</v>
      </c>
      <c r="P3112" s="2" t="s">
        <v>114</v>
      </c>
      <c r="Q3112" s="2" t="s">
        <v>1183</v>
      </c>
      <c r="R3112" s="2" t="s">
        <v>1184</v>
      </c>
      <c r="S3112" s="2">
        <v>1</v>
      </c>
      <c r="T3112" s="2">
        <v>11990</v>
      </c>
      <c r="U3112" s="2">
        <v>2757.7</v>
      </c>
      <c r="V3112" s="2">
        <v>14747.7</v>
      </c>
      <c r="W3112" s="2">
        <v>7437.5950000000003</v>
      </c>
      <c r="X3112" s="5">
        <f t="shared" si="436"/>
        <v>0.3796834862385321</v>
      </c>
      <c r="Z3112" s="2" t="s">
        <v>104</v>
      </c>
      <c r="AA3112" s="2" t="s">
        <v>414</v>
      </c>
      <c r="AB3112" s="2" t="s">
        <v>151</v>
      </c>
      <c r="AC3112" s="2" t="s">
        <v>114</v>
      </c>
      <c r="AF3112" s="2">
        <f t="shared" si="426"/>
        <v>0</v>
      </c>
      <c r="AG3112" s="2">
        <v>7437.5950000000003</v>
      </c>
      <c r="AJ3112" s="2">
        <f t="shared" si="427"/>
        <v>0</v>
      </c>
      <c r="AK3112" s="2">
        <f t="shared" si="434"/>
        <v>4552.4049999999997</v>
      </c>
      <c r="AL3112" s="5">
        <f t="shared" si="437"/>
        <v>0.3796834862385321</v>
      </c>
    </row>
    <row r="3113" spans="1:38" x14ac:dyDescent="0.2">
      <c r="A3113" s="2">
        <v>2026</v>
      </c>
      <c r="B3113" s="2">
        <v>2</v>
      </c>
      <c r="C3113" s="2" t="s">
        <v>3321</v>
      </c>
      <c r="D3113" s="2" t="s">
        <v>606</v>
      </c>
      <c r="E3113" s="2" t="s">
        <v>108</v>
      </c>
      <c r="F3113" s="2" t="s">
        <v>39</v>
      </c>
      <c r="G3113" s="2">
        <v>504822187</v>
      </c>
      <c r="H3113" s="2" t="s">
        <v>109</v>
      </c>
      <c r="I3113" s="2" t="s">
        <v>607</v>
      </c>
      <c r="J3113" s="2" t="s">
        <v>608</v>
      </c>
      <c r="K3113" s="2">
        <v>966216853</v>
      </c>
      <c r="L3113" s="2" t="s">
        <v>461</v>
      </c>
      <c r="M3113" s="2" t="s">
        <v>41</v>
      </c>
      <c r="P3113" s="2" t="s">
        <v>114</v>
      </c>
      <c r="Q3113" s="2" t="s">
        <v>836</v>
      </c>
      <c r="R3113" s="2" t="s">
        <v>837</v>
      </c>
      <c r="S3113" s="2">
        <v>1</v>
      </c>
      <c r="T3113" s="2">
        <v>13990</v>
      </c>
      <c r="U3113" s="2">
        <v>3217.7</v>
      </c>
      <c r="V3113" s="2">
        <v>17207.7</v>
      </c>
      <c r="W3113" s="2">
        <v>9589.8799999999992</v>
      </c>
      <c r="X3113" s="5">
        <f t="shared" si="436"/>
        <v>0.31451894210150111</v>
      </c>
      <c r="Z3113" s="2" t="s">
        <v>104</v>
      </c>
      <c r="AA3113" s="2" t="s">
        <v>414</v>
      </c>
      <c r="AB3113" s="2" t="s">
        <v>151</v>
      </c>
      <c r="AC3113" s="2" t="s">
        <v>114</v>
      </c>
      <c r="AF3113" s="2">
        <f t="shared" si="426"/>
        <v>0</v>
      </c>
      <c r="AJ3113" s="2">
        <f t="shared" si="427"/>
        <v>0</v>
      </c>
      <c r="AK3113" s="2">
        <f t="shared" si="434"/>
        <v>4400.1200000000008</v>
      </c>
      <c r="AL3113" s="5">
        <f t="shared" si="437"/>
        <v>0.31451894210150111</v>
      </c>
    </row>
    <row r="3114" spans="1:38" x14ac:dyDescent="0.2">
      <c r="A3114" s="2">
        <v>2026</v>
      </c>
      <c r="B3114" s="2">
        <v>1</v>
      </c>
      <c r="C3114" s="2" t="s">
        <v>3327</v>
      </c>
      <c r="D3114" s="2" t="s">
        <v>3242</v>
      </c>
      <c r="E3114" s="2" t="s">
        <v>108</v>
      </c>
      <c r="F3114" s="2" t="s">
        <v>39</v>
      </c>
      <c r="L3114" s="2" t="s">
        <v>360</v>
      </c>
      <c r="M3114" s="2" t="s">
        <v>109</v>
      </c>
      <c r="O3114" s="2" t="s">
        <v>2505</v>
      </c>
      <c r="P3114" s="2" t="s">
        <v>114</v>
      </c>
      <c r="Q3114" s="2" t="s">
        <v>955</v>
      </c>
      <c r="R3114" s="2" t="s">
        <v>956</v>
      </c>
      <c r="S3114" s="2">
        <v>1</v>
      </c>
      <c r="T3114" s="2">
        <v>8930</v>
      </c>
      <c r="U3114" s="2">
        <v>2053.9</v>
      </c>
      <c r="V3114" s="2">
        <v>10983.9</v>
      </c>
      <c r="W3114" s="2">
        <v>6468.73</v>
      </c>
      <c r="X3114" s="5">
        <f t="shared" si="436"/>
        <v>0.27561814109742444</v>
      </c>
      <c r="Z3114" s="2" t="s">
        <v>104</v>
      </c>
      <c r="AA3114" s="2" t="s">
        <v>616</v>
      </c>
      <c r="AB3114" s="2" t="s">
        <v>957</v>
      </c>
      <c r="AC3114" s="2" t="s">
        <v>114</v>
      </c>
      <c r="AF3114" s="2">
        <f t="shared" si="426"/>
        <v>0</v>
      </c>
      <c r="AG3114" s="2">
        <f>6193.4+275.33</f>
        <v>6468.73</v>
      </c>
      <c r="AJ3114" s="2">
        <f t="shared" si="427"/>
        <v>0</v>
      </c>
      <c r="AK3114" s="2">
        <f t="shared" si="434"/>
        <v>2461.2700000000004</v>
      </c>
      <c r="AL3114" s="5">
        <f t="shared" si="437"/>
        <v>0.27561814109742444</v>
      </c>
    </row>
    <row r="3115" spans="1:38" x14ac:dyDescent="0.2">
      <c r="A3115" s="2">
        <v>2026</v>
      </c>
      <c r="B3115" s="2">
        <v>2</v>
      </c>
      <c r="C3115" s="2" t="s">
        <v>3321</v>
      </c>
      <c r="D3115" s="2" t="s">
        <v>3244</v>
      </c>
      <c r="E3115" s="2" t="s">
        <v>108</v>
      </c>
      <c r="F3115" s="2" t="s">
        <v>39</v>
      </c>
      <c r="L3115" s="2" t="s">
        <v>177</v>
      </c>
      <c r="M3115" s="2" t="s">
        <v>41</v>
      </c>
      <c r="O3115" s="2" t="s">
        <v>2506</v>
      </c>
      <c r="P3115" s="2" t="s">
        <v>114</v>
      </c>
      <c r="Q3115" s="2" t="s">
        <v>955</v>
      </c>
      <c r="R3115" s="2" t="s">
        <v>956</v>
      </c>
      <c r="S3115" s="2">
        <v>1</v>
      </c>
      <c r="T3115" s="2">
        <v>8930</v>
      </c>
      <c r="U3115" s="2">
        <v>2053.9</v>
      </c>
      <c r="V3115" s="2">
        <v>10983.9</v>
      </c>
      <c r="W3115" s="2">
        <v>6468.73</v>
      </c>
      <c r="X3115" s="5">
        <f t="shared" si="436"/>
        <v>0.27561814109742444</v>
      </c>
      <c r="Z3115" s="2" t="s">
        <v>104</v>
      </c>
      <c r="AA3115" s="2" t="s">
        <v>616</v>
      </c>
      <c r="AB3115" s="2" t="s">
        <v>957</v>
      </c>
      <c r="AC3115" s="2" t="s">
        <v>114</v>
      </c>
      <c r="AF3115" s="2">
        <f t="shared" si="426"/>
        <v>0</v>
      </c>
      <c r="AG3115" s="2">
        <v>6468.73</v>
      </c>
      <c r="AJ3115" s="2">
        <f t="shared" si="427"/>
        <v>0</v>
      </c>
      <c r="AK3115" s="2">
        <f t="shared" si="434"/>
        <v>2461.2700000000004</v>
      </c>
      <c r="AL3115" s="5">
        <f t="shared" si="437"/>
        <v>0.27561814109742444</v>
      </c>
    </row>
    <row r="3116" spans="1:38" x14ac:dyDescent="0.2">
      <c r="A3116" s="2">
        <v>2026</v>
      </c>
      <c r="B3116" s="2">
        <v>2</v>
      </c>
      <c r="C3116" s="2" t="s">
        <v>3321</v>
      </c>
      <c r="D3116" s="2" t="s">
        <v>1120</v>
      </c>
      <c r="E3116" s="2" t="s">
        <v>108</v>
      </c>
      <c r="F3116" s="2" t="s">
        <v>39</v>
      </c>
      <c r="G3116" s="2">
        <v>504923765</v>
      </c>
      <c r="H3116" s="2" t="s">
        <v>109</v>
      </c>
      <c r="I3116" s="2" t="s">
        <v>3245</v>
      </c>
      <c r="J3116" s="2" t="s">
        <v>3246</v>
      </c>
      <c r="K3116" s="2">
        <v>96179412</v>
      </c>
      <c r="L3116" s="2" t="s">
        <v>461</v>
      </c>
      <c r="M3116" s="2" t="s">
        <v>40</v>
      </c>
      <c r="O3116" s="2" t="s">
        <v>3247</v>
      </c>
      <c r="P3116" s="2" t="s">
        <v>114</v>
      </c>
      <c r="Q3116" s="2" t="s">
        <v>955</v>
      </c>
      <c r="R3116" s="2" t="s">
        <v>956</v>
      </c>
      <c r="S3116" s="2">
        <v>1</v>
      </c>
      <c r="T3116" s="2">
        <v>8930</v>
      </c>
      <c r="U3116" s="2">
        <v>2053.9</v>
      </c>
      <c r="V3116" s="2">
        <v>10983.9</v>
      </c>
      <c r="W3116" s="2">
        <v>6468.73</v>
      </c>
      <c r="X3116" s="5">
        <f t="shared" si="436"/>
        <v>0.27561814109742444</v>
      </c>
      <c r="Z3116" s="2" t="s">
        <v>104</v>
      </c>
      <c r="AA3116" s="2" t="s">
        <v>616</v>
      </c>
      <c r="AB3116" s="2" t="s">
        <v>957</v>
      </c>
      <c r="AC3116" s="2" t="s">
        <v>114</v>
      </c>
      <c r="AF3116" s="2">
        <f t="shared" si="426"/>
        <v>0</v>
      </c>
      <c r="AG3116" s="2">
        <v>6468.73</v>
      </c>
      <c r="AJ3116" s="2">
        <f t="shared" si="427"/>
        <v>0</v>
      </c>
      <c r="AK3116" s="2">
        <f t="shared" si="434"/>
        <v>2461.2700000000004</v>
      </c>
      <c r="AL3116" s="5">
        <f t="shared" si="437"/>
        <v>0.27561814109742444</v>
      </c>
    </row>
    <row r="3117" spans="1:38" x14ac:dyDescent="0.2">
      <c r="A3117" s="2">
        <v>2026</v>
      </c>
      <c r="B3117" s="2">
        <v>2</v>
      </c>
      <c r="D3117" s="2" t="s">
        <v>2507</v>
      </c>
      <c r="P3117" s="2" t="s">
        <v>114</v>
      </c>
      <c r="Q3117" s="2" t="s">
        <v>879</v>
      </c>
      <c r="R3117" s="2" t="s">
        <v>880</v>
      </c>
      <c r="S3117" s="2">
        <v>1</v>
      </c>
      <c r="T3117" s="2">
        <v>4471.55</v>
      </c>
      <c r="U3117" s="2">
        <v>1028.4565</v>
      </c>
      <c r="V3117" s="2">
        <v>5500.0065000000004</v>
      </c>
      <c r="W3117" s="2">
        <v>3279.19</v>
      </c>
      <c r="X3117" s="5">
        <f t="shared" si="436"/>
        <v>0.26665473940803525</v>
      </c>
      <c r="Z3117" s="2" t="s">
        <v>104</v>
      </c>
      <c r="AA3117" s="2" t="s">
        <v>616</v>
      </c>
      <c r="AB3117" s="2" t="s">
        <v>2508</v>
      </c>
      <c r="AC3117" s="2" t="s">
        <v>114</v>
      </c>
      <c r="AF3117" s="2">
        <f t="shared" si="426"/>
        <v>0</v>
      </c>
      <c r="AG3117" s="2">
        <f>3130.82+148.37</f>
        <v>3279.19</v>
      </c>
      <c r="AJ3117" s="2">
        <f t="shared" si="427"/>
        <v>0</v>
      </c>
      <c r="AK3117" s="2">
        <f t="shared" si="434"/>
        <v>1192.3600000000001</v>
      </c>
      <c r="AL3117" s="5">
        <f t="shared" si="437"/>
        <v>0.26665473940803525</v>
      </c>
    </row>
    <row r="3118" spans="1:38" x14ac:dyDescent="0.2">
      <c r="A3118" s="2">
        <v>2026</v>
      </c>
      <c r="B3118" s="2">
        <v>2</v>
      </c>
      <c r="C3118" s="2" t="s">
        <v>3321</v>
      </c>
      <c r="D3118" s="2" t="s">
        <v>3244</v>
      </c>
      <c r="E3118" s="2" t="s">
        <v>108</v>
      </c>
      <c r="F3118" s="2" t="s">
        <v>39</v>
      </c>
      <c r="L3118" s="2" t="s">
        <v>177</v>
      </c>
      <c r="M3118" s="2" t="s">
        <v>41</v>
      </c>
      <c r="O3118" s="2" t="s">
        <v>2506</v>
      </c>
      <c r="P3118" s="2" t="s">
        <v>114</v>
      </c>
      <c r="Q3118" s="2" t="s">
        <v>838</v>
      </c>
      <c r="R3118" s="2" t="s">
        <v>839</v>
      </c>
      <c r="S3118" s="2">
        <v>1</v>
      </c>
      <c r="T3118" s="2">
        <v>4290</v>
      </c>
      <c r="U3118" s="2">
        <v>986.7</v>
      </c>
      <c r="V3118" s="2">
        <v>5276.7</v>
      </c>
      <c r="W3118" s="2">
        <v>3345.12</v>
      </c>
      <c r="X3118" s="5">
        <f t="shared" si="436"/>
        <v>0.22025174825174829</v>
      </c>
      <c r="Z3118" s="2" t="s">
        <v>104</v>
      </c>
      <c r="AA3118" s="2" t="s">
        <v>150</v>
      </c>
      <c r="AB3118" s="2" t="s">
        <v>151</v>
      </c>
      <c r="AC3118" s="2" t="s">
        <v>114</v>
      </c>
      <c r="AF3118" s="2">
        <f t="shared" si="426"/>
        <v>0</v>
      </c>
      <c r="AG3118" s="2">
        <v>3345.125</v>
      </c>
      <c r="AJ3118" s="2">
        <f t="shared" si="427"/>
        <v>0</v>
      </c>
      <c r="AK3118" s="2">
        <f t="shared" si="434"/>
        <v>944.88000000000011</v>
      </c>
      <c r="AL3118" s="5">
        <f t="shared" si="437"/>
        <v>0.22025174825174829</v>
      </c>
    </row>
    <row r="3119" spans="1:38" x14ac:dyDescent="0.2">
      <c r="A3119" s="2">
        <v>2026</v>
      </c>
      <c r="B3119" s="2">
        <v>2</v>
      </c>
      <c r="C3119" s="2" t="s">
        <v>3321</v>
      </c>
      <c r="D3119" s="2" t="s">
        <v>485</v>
      </c>
      <c r="E3119" s="2" t="s">
        <v>108</v>
      </c>
      <c r="F3119" s="2" t="s">
        <v>39</v>
      </c>
      <c r="G3119" s="2">
        <v>506834689</v>
      </c>
      <c r="H3119" s="2" t="s">
        <v>41</v>
      </c>
      <c r="I3119" s="2" t="s">
        <v>486</v>
      </c>
      <c r="J3119" s="2" t="s">
        <v>487</v>
      </c>
      <c r="K3119" s="2">
        <v>919866237</v>
      </c>
      <c r="L3119" s="2" t="s">
        <v>461</v>
      </c>
      <c r="M3119" s="2" t="s">
        <v>41</v>
      </c>
      <c r="P3119" s="2" t="s">
        <v>114</v>
      </c>
      <c r="Q3119" s="2" t="s">
        <v>1578</v>
      </c>
      <c r="R3119" s="2" t="s">
        <v>1579</v>
      </c>
      <c r="S3119" s="2">
        <v>1</v>
      </c>
      <c r="T3119" s="2">
        <v>7990</v>
      </c>
      <c r="U3119" s="2">
        <v>1837.7</v>
      </c>
      <c r="V3119" s="2">
        <v>9827.7000000000007</v>
      </c>
      <c r="W3119" s="2">
        <v>5064.2299999999996</v>
      </c>
      <c r="X3119" s="5">
        <f t="shared" si="436"/>
        <v>0.36617897371714647</v>
      </c>
      <c r="Z3119" s="2" t="s">
        <v>104</v>
      </c>
      <c r="AA3119" s="2" t="s">
        <v>150</v>
      </c>
      <c r="AB3119" s="2" t="s">
        <v>151</v>
      </c>
      <c r="AC3119" s="2" t="s">
        <v>114</v>
      </c>
      <c r="AF3119" s="2">
        <f t="shared" si="426"/>
        <v>0</v>
      </c>
      <c r="AG3119" s="2">
        <f>4893.23+171</f>
        <v>5064.2299999999996</v>
      </c>
      <c r="AJ3119" s="2">
        <f t="shared" si="427"/>
        <v>0</v>
      </c>
      <c r="AK3119" s="2">
        <f t="shared" si="434"/>
        <v>2925.7700000000004</v>
      </c>
      <c r="AL3119" s="5">
        <f t="shared" si="437"/>
        <v>0.36617897371714647</v>
      </c>
    </row>
    <row r="3120" spans="1:38" x14ac:dyDescent="0.2">
      <c r="A3120" s="2">
        <v>2026</v>
      </c>
      <c r="B3120" s="2">
        <v>2</v>
      </c>
      <c r="D3120" s="2" t="s">
        <v>403</v>
      </c>
      <c r="E3120" s="2" t="s">
        <v>38</v>
      </c>
      <c r="F3120" s="2" t="s">
        <v>39</v>
      </c>
      <c r="G3120" s="2">
        <v>109095197</v>
      </c>
      <c r="H3120" s="2" t="s">
        <v>40</v>
      </c>
      <c r="I3120" s="2" t="s">
        <v>2476</v>
      </c>
      <c r="J3120" s="2" t="s">
        <v>3123</v>
      </c>
      <c r="K3120" s="2">
        <v>965864665</v>
      </c>
      <c r="L3120" s="2" t="s">
        <v>344</v>
      </c>
      <c r="M3120" s="2" t="s">
        <v>40</v>
      </c>
      <c r="O3120" s="2" t="s">
        <v>2477</v>
      </c>
      <c r="P3120" s="2" t="s">
        <v>1604</v>
      </c>
      <c r="Q3120" s="2" t="s">
        <v>1766</v>
      </c>
      <c r="R3120" s="2" t="s">
        <v>1767</v>
      </c>
      <c r="S3120" s="2">
        <v>1</v>
      </c>
      <c r="T3120" s="2">
        <v>68.86</v>
      </c>
      <c r="U3120" s="2">
        <v>15.8378</v>
      </c>
      <c r="V3120" s="2">
        <v>84.697800000000001</v>
      </c>
      <c r="W3120" s="2">
        <v>23.9572</v>
      </c>
      <c r="X3120" s="5">
        <f t="shared" si="436"/>
        <v>0.65208829509149002</v>
      </c>
      <c r="Z3120" s="2" t="s">
        <v>117</v>
      </c>
      <c r="AA3120" s="2" t="s">
        <v>118</v>
      </c>
      <c r="AB3120" s="2" t="s">
        <v>119</v>
      </c>
      <c r="AC3120" s="2" t="s">
        <v>1604</v>
      </c>
      <c r="AF3120" s="2">
        <f t="shared" si="426"/>
        <v>0</v>
      </c>
      <c r="AG3120" s="2">
        <v>23.9572</v>
      </c>
      <c r="AJ3120" s="2">
        <f t="shared" si="427"/>
        <v>0</v>
      </c>
      <c r="AK3120" s="2">
        <f t="shared" si="434"/>
        <v>44.902799999999999</v>
      </c>
      <c r="AL3120" s="5">
        <f t="shared" si="437"/>
        <v>0.65208829509149002</v>
      </c>
    </row>
    <row r="3121" spans="1:38" x14ac:dyDescent="0.2">
      <c r="A3121" s="2">
        <v>2026</v>
      </c>
      <c r="B3121" s="2">
        <v>2</v>
      </c>
      <c r="D3121" s="2" t="s">
        <v>2509</v>
      </c>
      <c r="P3121" s="2" t="s">
        <v>1604</v>
      </c>
      <c r="Q3121" s="2" t="s">
        <v>1766</v>
      </c>
      <c r="R3121" s="2" t="s">
        <v>1767</v>
      </c>
      <c r="S3121" s="2">
        <v>1</v>
      </c>
      <c r="T3121" s="2">
        <v>68.86</v>
      </c>
      <c r="U3121" s="2">
        <v>15.8378</v>
      </c>
      <c r="V3121" s="2">
        <v>84.697800000000001</v>
      </c>
      <c r="W3121" s="2">
        <v>23.9572</v>
      </c>
      <c r="X3121" s="5">
        <f t="shared" si="436"/>
        <v>0.65208829509149002</v>
      </c>
      <c r="Z3121" s="2" t="s">
        <v>117</v>
      </c>
      <c r="AA3121" s="2" t="s">
        <v>118</v>
      </c>
      <c r="AB3121" s="2" t="s">
        <v>119</v>
      </c>
      <c r="AC3121" s="2" t="s">
        <v>1604</v>
      </c>
      <c r="AF3121" s="2">
        <f t="shared" si="426"/>
        <v>0</v>
      </c>
      <c r="AG3121" s="2">
        <v>23.9572</v>
      </c>
      <c r="AJ3121" s="2">
        <f t="shared" si="427"/>
        <v>0</v>
      </c>
      <c r="AK3121" s="2">
        <f t="shared" si="434"/>
        <v>44.902799999999999</v>
      </c>
      <c r="AL3121" s="5">
        <f t="shared" si="437"/>
        <v>0.65208829509149002</v>
      </c>
    </row>
    <row r="3122" spans="1:38" x14ac:dyDescent="0.2">
      <c r="A3122" s="2">
        <v>2026</v>
      </c>
      <c r="B3122" s="2">
        <v>2</v>
      </c>
      <c r="D3122" s="2" t="s">
        <v>744</v>
      </c>
      <c r="E3122" s="2" t="s">
        <v>108</v>
      </c>
      <c r="F3122" s="2" t="s">
        <v>39</v>
      </c>
      <c r="G3122" s="2">
        <v>509181163</v>
      </c>
      <c r="H3122" s="2" t="s">
        <v>40</v>
      </c>
      <c r="I3122" s="2" t="s">
        <v>745</v>
      </c>
      <c r="J3122" s="2" t="s">
        <v>746</v>
      </c>
      <c r="K3122" s="2">
        <v>962372760</v>
      </c>
      <c r="L3122" s="2" t="s">
        <v>201</v>
      </c>
      <c r="M3122" s="2" t="s">
        <v>40</v>
      </c>
      <c r="P3122" s="2" t="s">
        <v>1604</v>
      </c>
      <c r="Q3122" s="2" t="s">
        <v>1602</v>
      </c>
      <c r="R3122" s="2" t="s">
        <v>1603</v>
      </c>
      <c r="S3122" s="2">
        <v>1</v>
      </c>
      <c r="T3122" s="2">
        <v>68.86</v>
      </c>
      <c r="U3122" s="2">
        <v>15.8378</v>
      </c>
      <c r="V3122" s="2">
        <v>84.697800000000001</v>
      </c>
      <c r="W3122" s="2">
        <v>10.15</v>
      </c>
      <c r="X3122" s="5">
        <f t="shared" si="436"/>
        <v>0.8525994772001162</v>
      </c>
      <c r="Z3122" s="2" t="s">
        <v>117</v>
      </c>
      <c r="AA3122" s="2" t="s">
        <v>118</v>
      </c>
      <c r="AB3122" s="2" t="s">
        <v>119</v>
      </c>
      <c r="AC3122" s="2" t="s">
        <v>1604</v>
      </c>
      <c r="AF3122" s="2">
        <f t="shared" si="426"/>
        <v>0</v>
      </c>
      <c r="AG3122" s="2">
        <v>10.15</v>
      </c>
      <c r="AJ3122" s="2">
        <f t="shared" si="427"/>
        <v>0</v>
      </c>
      <c r="AK3122" s="2">
        <f t="shared" si="434"/>
        <v>58.71</v>
      </c>
      <c r="AL3122" s="5">
        <f t="shared" si="437"/>
        <v>0.8525994772001162</v>
      </c>
    </row>
    <row r="3123" spans="1:38" x14ac:dyDescent="0.2">
      <c r="A3123" s="2">
        <v>2026</v>
      </c>
      <c r="B3123" s="2">
        <v>2</v>
      </c>
      <c r="C3123" s="2" t="s">
        <v>3412</v>
      </c>
      <c r="D3123" s="2" t="s">
        <v>2510</v>
      </c>
      <c r="E3123" s="2" t="s">
        <v>38</v>
      </c>
      <c r="F3123" s="2" t="s">
        <v>39</v>
      </c>
      <c r="L3123" s="2" t="s">
        <v>133</v>
      </c>
      <c r="M3123" s="2" t="s">
        <v>80</v>
      </c>
      <c r="P3123" s="2" t="s">
        <v>152</v>
      </c>
      <c r="Q3123" s="2" t="s">
        <v>2511</v>
      </c>
      <c r="R3123" s="2" t="s">
        <v>2512</v>
      </c>
      <c r="S3123" s="2">
        <v>1</v>
      </c>
      <c r="T3123" s="2">
        <v>15</v>
      </c>
      <c r="U3123" s="2">
        <v>3.45</v>
      </c>
      <c r="V3123" s="2">
        <v>18.45</v>
      </c>
      <c r="W3123" s="2">
        <v>14.9</v>
      </c>
      <c r="X3123" s="5">
        <f t="shared" si="436"/>
        <v>6.6666666666666428E-3</v>
      </c>
      <c r="Z3123" s="2" t="s">
        <v>3227</v>
      </c>
      <c r="AA3123" s="2" t="s">
        <v>155</v>
      </c>
      <c r="AB3123" s="2" t="s">
        <v>154</v>
      </c>
      <c r="AC3123" s="2" t="s">
        <v>152</v>
      </c>
      <c r="AF3123" s="2">
        <f t="shared" si="426"/>
        <v>0</v>
      </c>
      <c r="AJ3123" s="2">
        <f t="shared" si="427"/>
        <v>0</v>
      </c>
      <c r="AK3123" s="2">
        <f t="shared" si="434"/>
        <v>9.9999999999999645E-2</v>
      </c>
      <c r="AL3123" s="5">
        <f t="shared" si="437"/>
        <v>6.6666666666666428E-3</v>
      </c>
    </row>
    <row r="3124" spans="1:38" x14ac:dyDescent="0.2">
      <c r="A3124" s="2">
        <v>2026</v>
      </c>
      <c r="B3124" s="2">
        <v>2</v>
      </c>
      <c r="C3124" s="2" t="s">
        <v>3412</v>
      </c>
      <c r="D3124" s="2" t="s">
        <v>2510</v>
      </c>
      <c r="E3124" s="2" t="s">
        <v>38</v>
      </c>
      <c r="F3124" s="2" t="s">
        <v>39</v>
      </c>
      <c r="L3124" s="2" t="s">
        <v>133</v>
      </c>
      <c r="M3124" s="2" t="s">
        <v>80</v>
      </c>
      <c r="P3124" s="2" t="s">
        <v>152</v>
      </c>
      <c r="Q3124" s="2" t="s">
        <v>153</v>
      </c>
      <c r="R3124" s="2" t="s">
        <v>154</v>
      </c>
      <c r="S3124" s="2">
        <v>20</v>
      </c>
      <c r="T3124" s="2">
        <v>15</v>
      </c>
      <c r="U3124" s="2">
        <v>3.45</v>
      </c>
      <c r="V3124" s="2">
        <v>18.45</v>
      </c>
      <c r="W3124" s="2">
        <f>0.7*S3124</f>
        <v>14</v>
      </c>
      <c r="X3124" s="5">
        <f t="shared" si="436"/>
        <v>6.6666666666666666E-2</v>
      </c>
      <c r="Z3124" s="2" t="s">
        <v>3227</v>
      </c>
      <c r="AA3124" s="2" t="s">
        <v>155</v>
      </c>
      <c r="AB3124" s="2" t="s">
        <v>154</v>
      </c>
      <c r="AC3124" s="2" t="s">
        <v>152</v>
      </c>
      <c r="AF3124" s="2">
        <f t="shared" si="426"/>
        <v>0</v>
      </c>
      <c r="AJ3124" s="2">
        <f t="shared" si="427"/>
        <v>0</v>
      </c>
      <c r="AK3124" s="2">
        <f t="shared" si="434"/>
        <v>1</v>
      </c>
      <c r="AL3124" s="5">
        <f t="shared" si="437"/>
        <v>6.6666666666666666E-2</v>
      </c>
    </row>
    <row r="3125" spans="1:38" x14ac:dyDescent="0.2">
      <c r="A3125" s="2">
        <v>2026</v>
      </c>
      <c r="B3125" s="2">
        <v>2</v>
      </c>
      <c r="D3125" s="2" t="s">
        <v>2513</v>
      </c>
      <c r="M3125" s="2" t="s">
        <v>109</v>
      </c>
      <c r="P3125" s="2" t="s">
        <v>282</v>
      </c>
      <c r="Q3125" s="2" t="s">
        <v>2514</v>
      </c>
      <c r="R3125" s="2" t="s">
        <v>2515</v>
      </c>
      <c r="S3125" s="2">
        <v>1</v>
      </c>
      <c r="T3125" s="2">
        <v>790</v>
      </c>
      <c r="U3125" s="2">
        <v>181.7</v>
      </c>
      <c r="V3125" s="2">
        <v>971.7</v>
      </c>
      <c r="W3125" s="2">
        <v>759</v>
      </c>
      <c r="X3125" s="5">
        <f t="shared" si="436"/>
        <v>3.9240506329113925E-2</v>
      </c>
      <c r="Z3125" s="2" t="s">
        <v>104</v>
      </c>
      <c r="AA3125" s="2" t="s">
        <v>71</v>
      </c>
      <c r="AB3125" s="2" t="s">
        <v>119</v>
      </c>
      <c r="AC3125" s="2" t="s">
        <v>119</v>
      </c>
      <c r="AF3125" s="2">
        <f t="shared" si="426"/>
        <v>0</v>
      </c>
      <c r="AG3125" s="2">
        <v>759</v>
      </c>
      <c r="AJ3125" s="2">
        <f t="shared" si="427"/>
        <v>0</v>
      </c>
      <c r="AK3125" s="2">
        <f t="shared" si="434"/>
        <v>31</v>
      </c>
      <c r="AL3125" s="5">
        <f t="shared" si="437"/>
        <v>3.9240506329113925E-2</v>
      </c>
    </row>
    <row r="3126" spans="1:38" x14ac:dyDescent="0.2">
      <c r="A3126" s="2">
        <v>2026</v>
      </c>
      <c r="B3126" s="2">
        <v>2</v>
      </c>
      <c r="D3126" s="2" t="s">
        <v>2516</v>
      </c>
      <c r="E3126" s="2" t="s">
        <v>752</v>
      </c>
      <c r="F3126" s="2" t="s">
        <v>39</v>
      </c>
      <c r="G3126" s="2">
        <v>515570354</v>
      </c>
      <c r="H3126" s="2" t="s">
        <v>109</v>
      </c>
      <c r="I3126" s="2" t="s">
        <v>2517</v>
      </c>
      <c r="J3126" s="2" t="s">
        <v>2518</v>
      </c>
      <c r="K3126" s="2">
        <v>967032538</v>
      </c>
      <c r="L3126" s="2" t="s">
        <v>398</v>
      </c>
      <c r="M3126" s="2" t="s">
        <v>109</v>
      </c>
      <c r="P3126" s="2" t="s">
        <v>282</v>
      </c>
      <c r="Q3126" s="2" t="s">
        <v>1547</v>
      </c>
      <c r="R3126" s="2" t="s">
        <v>1548</v>
      </c>
      <c r="S3126" s="2">
        <v>1</v>
      </c>
      <c r="T3126" s="2">
        <v>595</v>
      </c>
      <c r="U3126" s="2">
        <v>136.85</v>
      </c>
      <c r="V3126" s="2">
        <v>731.85</v>
      </c>
      <c r="W3126" s="2">
        <v>297</v>
      </c>
      <c r="X3126" s="5">
        <f t="shared" si="436"/>
        <v>0.50084033613445378</v>
      </c>
      <c r="Z3126" s="2" t="s">
        <v>104</v>
      </c>
      <c r="AA3126" s="2" t="s">
        <v>387</v>
      </c>
      <c r="AB3126" s="2" t="s">
        <v>388</v>
      </c>
      <c r="AC3126" s="2" t="s">
        <v>389</v>
      </c>
      <c r="AF3126" s="2">
        <f t="shared" si="426"/>
        <v>0</v>
      </c>
      <c r="AG3126" s="2">
        <v>297</v>
      </c>
      <c r="AH3126" s="2">
        <v>595</v>
      </c>
      <c r="AJ3126" s="2">
        <f t="shared" si="427"/>
        <v>0</v>
      </c>
      <c r="AK3126" s="2">
        <f t="shared" si="434"/>
        <v>298</v>
      </c>
      <c r="AL3126" s="5">
        <f t="shared" si="437"/>
        <v>0.50084033613445378</v>
      </c>
    </row>
    <row r="3127" spans="1:38" x14ac:dyDescent="0.2">
      <c r="A3127" s="2">
        <v>2026</v>
      </c>
      <c r="B3127" s="2">
        <v>2</v>
      </c>
      <c r="D3127" s="2" t="s">
        <v>1575</v>
      </c>
      <c r="E3127" s="2" t="s">
        <v>38</v>
      </c>
      <c r="G3127" s="2">
        <v>505123177</v>
      </c>
      <c r="H3127" s="2" t="s">
        <v>109</v>
      </c>
      <c r="I3127" s="2" t="s">
        <v>2519</v>
      </c>
      <c r="J3127" s="2" t="s">
        <v>2520</v>
      </c>
      <c r="L3127" s="2" t="s">
        <v>398</v>
      </c>
      <c r="M3127" s="2" t="s">
        <v>109</v>
      </c>
      <c r="P3127" s="2" t="s">
        <v>282</v>
      </c>
      <c r="Q3127" s="2" t="s">
        <v>1547</v>
      </c>
      <c r="R3127" s="2" t="s">
        <v>1548</v>
      </c>
      <c r="S3127" s="2">
        <v>1</v>
      </c>
      <c r="T3127" s="2">
        <v>595</v>
      </c>
      <c r="U3127" s="2">
        <v>136.85</v>
      </c>
      <c r="V3127" s="2">
        <v>731.85</v>
      </c>
      <c r="W3127" s="2">
        <v>297</v>
      </c>
      <c r="X3127" s="5">
        <f t="shared" si="436"/>
        <v>0.50084033613445378</v>
      </c>
      <c r="Z3127" s="2" t="s">
        <v>104</v>
      </c>
      <c r="AA3127" s="2" t="s">
        <v>387</v>
      </c>
      <c r="AB3127" s="2" t="s">
        <v>388</v>
      </c>
      <c r="AC3127" s="2" t="s">
        <v>389</v>
      </c>
      <c r="AF3127" s="2">
        <f t="shared" si="426"/>
        <v>0</v>
      </c>
      <c r="AG3127" s="2">
        <v>297</v>
      </c>
      <c r="AH3127" s="2">
        <v>595</v>
      </c>
      <c r="AJ3127" s="2">
        <f t="shared" si="427"/>
        <v>0</v>
      </c>
      <c r="AK3127" s="2">
        <f t="shared" si="434"/>
        <v>298</v>
      </c>
      <c r="AL3127" s="5">
        <f t="shared" si="437"/>
        <v>0.50084033613445378</v>
      </c>
    </row>
    <row r="3128" spans="1:38" x14ac:dyDescent="0.2">
      <c r="A3128" s="2">
        <v>2026</v>
      </c>
      <c r="B3128" s="2">
        <v>2</v>
      </c>
      <c r="D3128" s="2" t="s">
        <v>2521</v>
      </c>
      <c r="E3128" s="2" t="s">
        <v>38</v>
      </c>
      <c r="G3128" s="2">
        <v>259186163</v>
      </c>
      <c r="H3128" s="2" t="s">
        <v>109</v>
      </c>
      <c r="I3128" s="2" t="s">
        <v>2522</v>
      </c>
      <c r="J3128" s="2" t="s">
        <v>2523</v>
      </c>
      <c r="L3128" s="2" t="s">
        <v>461</v>
      </c>
      <c r="M3128" s="2" t="s">
        <v>109</v>
      </c>
      <c r="P3128" s="2" t="s">
        <v>282</v>
      </c>
      <c r="Q3128" s="2" t="s">
        <v>1547</v>
      </c>
      <c r="R3128" s="2" t="s">
        <v>1548</v>
      </c>
      <c r="S3128" s="2">
        <v>1</v>
      </c>
      <c r="T3128" s="2">
        <v>595</v>
      </c>
      <c r="U3128" s="2">
        <v>136.85</v>
      </c>
      <c r="V3128" s="2">
        <v>731.85</v>
      </c>
      <c r="W3128" s="2">
        <v>297</v>
      </c>
      <c r="X3128" s="5">
        <f t="shared" si="436"/>
        <v>0.50084033613445378</v>
      </c>
      <c r="Z3128" s="2" t="s">
        <v>104</v>
      </c>
      <c r="AA3128" s="2" t="s">
        <v>387</v>
      </c>
      <c r="AB3128" s="2" t="s">
        <v>388</v>
      </c>
      <c r="AC3128" s="2" t="s">
        <v>389</v>
      </c>
      <c r="AF3128" s="2">
        <f t="shared" si="426"/>
        <v>0</v>
      </c>
      <c r="AG3128" s="2">
        <v>297</v>
      </c>
      <c r="AH3128" s="2">
        <v>595</v>
      </c>
      <c r="AJ3128" s="2">
        <f t="shared" si="427"/>
        <v>0</v>
      </c>
      <c r="AK3128" s="2">
        <f t="shared" si="434"/>
        <v>298</v>
      </c>
      <c r="AL3128" s="5">
        <f t="shared" si="437"/>
        <v>0.50084033613445378</v>
      </c>
    </row>
    <row r="3129" spans="1:38" x14ac:dyDescent="0.2">
      <c r="A3129" s="2">
        <v>2026</v>
      </c>
      <c r="B3129" s="2">
        <v>2</v>
      </c>
      <c r="D3129" s="2" t="s">
        <v>2516</v>
      </c>
      <c r="E3129" s="2" t="s">
        <v>752</v>
      </c>
      <c r="F3129" s="2" t="s">
        <v>39</v>
      </c>
      <c r="G3129" s="2">
        <v>515570354</v>
      </c>
      <c r="H3129" s="2" t="s">
        <v>109</v>
      </c>
      <c r="I3129" s="2" t="s">
        <v>2517</v>
      </c>
      <c r="J3129" s="2" t="s">
        <v>2518</v>
      </c>
      <c r="K3129" s="2">
        <v>967032538</v>
      </c>
      <c r="L3129" s="2" t="s">
        <v>398</v>
      </c>
      <c r="M3129" s="2" t="s">
        <v>109</v>
      </c>
      <c r="P3129" s="2" t="s">
        <v>282</v>
      </c>
      <c r="Q3129" s="2" t="s">
        <v>399</v>
      </c>
      <c r="R3129" s="2" t="s">
        <v>400</v>
      </c>
      <c r="S3129" s="2">
        <v>11</v>
      </c>
      <c r="T3129" s="2">
        <v>200</v>
      </c>
      <c r="U3129" s="2">
        <v>46</v>
      </c>
      <c r="V3129" s="2">
        <v>246</v>
      </c>
      <c r="W3129" s="2">
        <f t="shared" ref="W3129:W3134" si="438">14.5099*S3129</f>
        <v>159.60890000000001</v>
      </c>
      <c r="X3129" s="5">
        <f t="shared" si="436"/>
        <v>0.20195549999999998</v>
      </c>
      <c r="Z3129" s="2" t="s">
        <v>3227</v>
      </c>
      <c r="AA3129" s="2" t="s">
        <v>46</v>
      </c>
      <c r="AB3129" s="2" t="s">
        <v>60</v>
      </c>
      <c r="AC3129" s="2" t="s">
        <v>3332</v>
      </c>
      <c r="AF3129" s="2">
        <f t="shared" si="426"/>
        <v>0</v>
      </c>
      <c r="AJ3129" s="2">
        <f t="shared" si="427"/>
        <v>0</v>
      </c>
      <c r="AK3129" s="2">
        <f t="shared" si="434"/>
        <v>40.391099999999994</v>
      </c>
      <c r="AL3129" s="5">
        <f t="shared" si="437"/>
        <v>0.20195549999999998</v>
      </c>
    </row>
    <row r="3130" spans="1:38" x14ac:dyDescent="0.2">
      <c r="A3130" s="2">
        <v>2026</v>
      </c>
      <c r="B3130" s="2">
        <v>2</v>
      </c>
      <c r="D3130" s="2" t="s">
        <v>1575</v>
      </c>
      <c r="M3130" s="2" t="s">
        <v>109</v>
      </c>
      <c r="P3130" s="2" t="s">
        <v>282</v>
      </c>
      <c r="Q3130" s="2" t="s">
        <v>399</v>
      </c>
      <c r="R3130" s="2" t="s">
        <v>400</v>
      </c>
      <c r="S3130" s="2">
        <v>1</v>
      </c>
      <c r="T3130" s="2">
        <v>0</v>
      </c>
      <c r="U3130" s="2">
        <v>0</v>
      </c>
      <c r="V3130" s="2">
        <v>0</v>
      </c>
      <c r="W3130" s="2">
        <f t="shared" si="438"/>
        <v>14.5099</v>
      </c>
      <c r="X3130" s="18">
        <v>-1</v>
      </c>
      <c r="Z3130" s="2" t="s">
        <v>3227</v>
      </c>
      <c r="AA3130" s="2" t="s">
        <v>46</v>
      </c>
      <c r="AB3130" s="2" t="s">
        <v>60</v>
      </c>
      <c r="AC3130" s="2" t="s">
        <v>3332</v>
      </c>
      <c r="AF3130" s="2">
        <f t="shared" si="426"/>
        <v>0</v>
      </c>
      <c r="AJ3130" s="2">
        <f t="shared" si="427"/>
        <v>0</v>
      </c>
      <c r="AK3130" s="2">
        <f t="shared" si="434"/>
        <v>-14.5099</v>
      </c>
      <c r="AL3130" s="18">
        <v>-1</v>
      </c>
    </row>
    <row r="3131" spans="1:38" x14ac:dyDescent="0.2">
      <c r="A3131" s="2">
        <v>2026</v>
      </c>
      <c r="B3131" s="2">
        <v>2</v>
      </c>
      <c r="D3131" s="2" t="s">
        <v>2521</v>
      </c>
      <c r="M3131" s="2" t="s">
        <v>109</v>
      </c>
      <c r="P3131" s="2" t="s">
        <v>282</v>
      </c>
      <c r="Q3131" s="2" t="s">
        <v>399</v>
      </c>
      <c r="R3131" s="2" t="s">
        <v>400</v>
      </c>
      <c r="S3131" s="2">
        <v>10</v>
      </c>
      <c r="T3131" s="2">
        <v>200</v>
      </c>
      <c r="U3131" s="2">
        <v>46</v>
      </c>
      <c r="V3131" s="2">
        <v>246</v>
      </c>
      <c r="W3131" s="2">
        <f t="shared" si="438"/>
        <v>145.09899999999999</v>
      </c>
      <c r="X3131" s="5">
        <f>(T3131-W3131)/T3131</f>
        <v>0.27450500000000005</v>
      </c>
      <c r="Z3131" s="2" t="s">
        <v>3227</v>
      </c>
      <c r="AA3131" s="2" t="s">
        <v>46</v>
      </c>
      <c r="AB3131" s="2" t="s">
        <v>60</v>
      </c>
      <c r="AC3131" s="2" t="s">
        <v>3332</v>
      </c>
      <c r="AF3131" s="2">
        <f t="shared" si="426"/>
        <v>0</v>
      </c>
      <c r="AJ3131" s="2">
        <f t="shared" si="427"/>
        <v>0</v>
      </c>
      <c r="AK3131" s="2">
        <f t="shared" si="434"/>
        <v>54.90100000000001</v>
      </c>
      <c r="AL3131" s="5">
        <f>(T3131-W3131)/T3131</f>
        <v>0.27450500000000005</v>
      </c>
    </row>
    <row r="3132" spans="1:38" x14ac:dyDescent="0.2">
      <c r="A3132" s="2">
        <v>2026</v>
      </c>
      <c r="B3132" s="2">
        <v>2</v>
      </c>
      <c r="D3132" s="2" t="s">
        <v>2516</v>
      </c>
      <c r="E3132" s="2" t="s">
        <v>752</v>
      </c>
      <c r="F3132" s="2" t="s">
        <v>39</v>
      </c>
      <c r="G3132" s="2">
        <v>515570354</v>
      </c>
      <c r="H3132" s="2" t="s">
        <v>109</v>
      </c>
      <c r="I3132" s="2" t="s">
        <v>2517</v>
      </c>
      <c r="J3132" s="2" t="s">
        <v>2518</v>
      </c>
      <c r="K3132" s="2">
        <v>967032538</v>
      </c>
      <c r="L3132" s="2" t="s">
        <v>398</v>
      </c>
      <c r="M3132" s="2" t="s">
        <v>109</v>
      </c>
      <c r="P3132" s="2" t="s">
        <v>282</v>
      </c>
      <c r="Q3132" s="2" t="s">
        <v>401</v>
      </c>
      <c r="R3132" s="2" t="s">
        <v>402</v>
      </c>
      <c r="S3132" s="2">
        <v>11</v>
      </c>
      <c r="T3132" s="2">
        <v>200</v>
      </c>
      <c r="U3132" s="2">
        <v>46</v>
      </c>
      <c r="V3132" s="2">
        <v>246</v>
      </c>
      <c r="W3132" s="2">
        <f t="shared" si="438"/>
        <v>159.60890000000001</v>
      </c>
      <c r="X3132" s="5">
        <f>(T3132-W3132)/T3132</f>
        <v>0.20195549999999998</v>
      </c>
      <c r="Z3132" s="2" t="s">
        <v>3227</v>
      </c>
      <c r="AA3132" s="2" t="s">
        <v>46</v>
      </c>
      <c r="AB3132" s="2" t="s">
        <v>60</v>
      </c>
      <c r="AC3132" s="2" t="s">
        <v>3332</v>
      </c>
      <c r="AF3132" s="2">
        <f t="shared" si="426"/>
        <v>0</v>
      </c>
      <c r="AJ3132" s="2">
        <f t="shared" si="427"/>
        <v>0</v>
      </c>
      <c r="AK3132" s="2">
        <f t="shared" ref="AK3132:AK3157" si="439">T3132-W3132</f>
        <v>40.391099999999994</v>
      </c>
      <c r="AL3132" s="5">
        <f>(T3132-W3132)/T3132</f>
        <v>0.20195549999999998</v>
      </c>
    </row>
    <row r="3133" spans="1:38" x14ac:dyDescent="0.2">
      <c r="A3133" s="2">
        <v>2026</v>
      </c>
      <c r="B3133" s="2">
        <v>2</v>
      </c>
      <c r="D3133" s="2" t="s">
        <v>1575</v>
      </c>
      <c r="M3133" s="2" t="s">
        <v>109</v>
      </c>
      <c r="P3133" s="2" t="s">
        <v>282</v>
      </c>
      <c r="Q3133" s="2" t="s">
        <v>401</v>
      </c>
      <c r="R3133" s="2" t="s">
        <v>402</v>
      </c>
      <c r="S3133" s="2">
        <v>1</v>
      </c>
      <c r="T3133" s="2">
        <v>0</v>
      </c>
      <c r="U3133" s="2">
        <v>0</v>
      </c>
      <c r="V3133" s="2">
        <v>0</v>
      </c>
      <c r="W3133" s="2">
        <f t="shared" si="438"/>
        <v>14.5099</v>
      </c>
      <c r="X3133" s="19">
        <v>-1</v>
      </c>
      <c r="Z3133" s="2" t="s">
        <v>3227</v>
      </c>
      <c r="AA3133" s="2" t="s">
        <v>46</v>
      </c>
      <c r="AB3133" s="2" t="s">
        <v>60</v>
      </c>
      <c r="AC3133" s="2" t="s">
        <v>3332</v>
      </c>
      <c r="AF3133" s="2">
        <f t="shared" si="426"/>
        <v>0</v>
      </c>
      <c r="AJ3133" s="2">
        <f t="shared" si="427"/>
        <v>0</v>
      </c>
      <c r="AK3133" s="2">
        <f t="shared" si="439"/>
        <v>-14.5099</v>
      </c>
      <c r="AL3133" s="19">
        <v>-1</v>
      </c>
    </row>
    <row r="3134" spans="1:38" x14ac:dyDescent="0.2">
      <c r="A3134" s="2">
        <v>2026</v>
      </c>
      <c r="B3134" s="2">
        <v>2</v>
      </c>
      <c r="D3134" s="2" t="s">
        <v>2521</v>
      </c>
      <c r="M3134" s="2" t="s">
        <v>109</v>
      </c>
      <c r="P3134" s="2" t="s">
        <v>282</v>
      </c>
      <c r="Q3134" s="2" t="s">
        <v>401</v>
      </c>
      <c r="R3134" s="2" t="s">
        <v>402</v>
      </c>
      <c r="S3134" s="2">
        <v>10</v>
      </c>
      <c r="T3134" s="2">
        <v>200</v>
      </c>
      <c r="U3134" s="2">
        <v>46</v>
      </c>
      <c r="V3134" s="2">
        <v>246</v>
      </c>
      <c r="W3134" s="2">
        <f t="shared" si="438"/>
        <v>145.09899999999999</v>
      </c>
      <c r="X3134" s="5">
        <f t="shared" ref="X3134:X3154" si="440">(T3134-W3134)/T3134</f>
        <v>0.27450500000000005</v>
      </c>
      <c r="Z3134" s="2" t="s">
        <v>3227</v>
      </c>
      <c r="AA3134" s="2" t="s">
        <v>46</v>
      </c>
      <c r="AB3134" s="2" t="s">
        <v>60</v>
      </c>
      <c r="AC3134" s="2" t="s">
        <v>3332</v>
      </c>
      <c r="AF3134" s="2">
        <f t="shared" si="426"/>
        <v>0</v>
      </c>
      <c r="AJ3134" s="2">
        <f t="shared" si="427"/>
        <v>0</v>
      </c>
      <c r="AK3134" s="2">
        <f t="shared" si="439"/>
        <v>54.90100000000001</v>
      </c>
      <c r="AL3134" s="5">
        <f t="shared" ref="AL3134:AL3154" si="441">(T3134-W3134)/T3134</f>
        <v>0.27450500000000005</v>
      </c>
    </row>
    <row r="3135" spans="1:38" x14ac:dyDescent="0.2">
      <c r="A3135" s="2">
        <v>2026</v>
      </c>
      <c r="B3135" s="2">
        <v>2</v>
      </c>
      <c r="D3135" s="2" t="s">
        <v>581</v>
      </c>
      <c r="E3135" s="2" t="s">
        <v>38</v>
      </c>
      <c r="F3135" s="2" t="s">
        <v>39</v>
      </c>
      <c r="G3135" s="2">
        <v>518281272</v>
      </c>
      <c r="H3135" s="2" t="s">
        <v>41</v>
      </c>
      <c r="I3135" s="2" t="s">
        <v>1101</v>
      </c>
      <c r="J3135" s="2" t="s">
        <v>1102</v>
      </c>
      <c r="L3135" s="2" t="s">
        <v>177</v>
      </c>
      <c r="M3135" s="2" t="s">
        <v>41</v>
      </c>
      <c r="O3135" s="2" t="s">
        <v>2524</v>
      </c>
      <c r="P3135" s="2" t="s">
        <v>43</v>
      </c>
      <c r="Q3135" s="2" t="s">
        <v>351</v>
      </c>
      <c r="R3135" s="2" t="s">
        <v>352</v>
      </c>
      <c r="S3135" s="2">
        <v>2</v>
      </c>
      <c r="T3135" s="2">
        <v>42</v>
      </c>
      <c r="U3135" s="2">
        <v>9.66</v>
      </c>
      <c r="V3135" s="2">
        <v>51.66</v>
      </c>
      <c r="W3135" s="2">
        <f>10.67*S3135</f>
        <v>21.34</v>
      </c>
      <c r="X3135" s="5">
        <f t="shared" si="440"/>
        <v>0.4919047619047619</v>
      </c>
      <c r="Z3135" s="2" t="s">
        <v>3227</v>
      </c>
      <c r="AA3135" s="2" t="s">
        <v>46</v>
      </c>
      <c r="AB3135" s="2" t="s">
        <v>47</v>
      </c>
      <c r="AC3135" s="2" t="s">
        <v>57</v>
      </c>
      <c r="AF3135" s="2">
        <f t="shared" si="426"/>
        <v>0</v>
      </c>
      <c r="AG3135" s="2">
        <v>10.67</v>
      </c>
      <c r="AH3135" s="2">
        <v>21</v>
      </c>
      <c r="AJ3135" s="2">
        <f t="shared" si="427"/>
        <v>0</v>
      </c>
      <c r="AK3135" s="2">
        <f t="shared" si="439"/>
        <v>20.66</v>
      </c>
      <c r="AL3135" s="5">
        <f t="shared" si="441"/>
        <v>0.4919047619047619</v>
      </c>
    </row>
    <row r="3136" spans="1:38" x14ac:dyDescent="0.2">
      <c r="A3136" s="2">
        <v>2026</v>
      </c>
      <c r="B3136" s="2">
        <v>2</v>
      </c>
      <c r="D3136" s="2" t="s">
        <v>781</v>
      </c>
      <c r="E3136" s="2" t="s">
        <v>38</v>
      </c>
      <c r="F3136" s="2" t="s">
        <v>39</v>
      </c>
      <c r="G3136" s="2">
        <v>510219675</v>
      </c>
      <c r="H3136" s="2" t="s">
        <v>40</v>
      </c>
      <c r="I3136" s="2" t="s">
        <v>782</v>
      </c>
      <c r="J3136" s="2" t="s">
        <v>783</v>
      </c>
      <c r="K3136" s="2">
        <v>917341136</v>
      </c>
      <c r="L3136" s="2" t="s">
        <v>99</v>
      </c>
      <c r="M3136" s="2" t="s">
        <v>80</v>
      </c>
      <c r="P3136" s="2" t="s">
        <v>43</v>
      </c>
      <c r="Q3136" s="2" t="s">
        <v>48</v>
      </c>
      <c r="R3136" s="2" t="s">
        <v>49</v>
      </c>
      <c r="S3136" s="2">
        <v>1</v>
      </c>
      <c r="T3136" s="2">
        <v>12</v>
      </c>
      <c r="U3136" s="2">
        <v>2.76</v>
      </c>
      <c r="V3136" s="2">
        <v>14.76</v>
      </c>
      <c r="W3136" s="2">
        <f t="shared" ref="W3136:W3141" si="442">6.6267*S3136</f>
        <v>6.6266999999999996</v>
      </c>
      <c r="X3136" s="5">
        <f t="shared" si="440"/>
        <v>0.44777500000000003</v>
      </c>
      <c r="Z3136" s="2" t="s">
        <v>3227</v>
      </c>
      <c r="AA3136" s="2" t="s">
        <v>46</v>
      </c>
      <c r="AB3136" s="2" t="s">
        <v>47</v>
      </c>
      <c r="AC3136" s="2" t="s">
        <v>57</v>
      </c>
      <c r="AF3136" s="2">
        <f t="shared" si="426"/>
        <v>0</v>
      </c>
      <c r="AG3136" s="2">
        <v>6.6266999999999996</v>
      </c>
      <c r="AH3136" s="2">
        <v>12</v>
      </c>
      <c r="AJ3136" s="2">
        <f t="shared" si="427"/>
        <v>0</v>
      </c>
      <c r="AK3136" s="2">
        <f t="shared" si="439"/>
        <v>5.3733000000000004</v>
      </c>
      <c r="AL3136" s="5">
        <f t="shared" si="441"/>
        <v>0.44777500000000003</v>
      </c>
    </row>
    <row r="3137" spans="1:38" x14ac:dyDescent="0.2">
      <c r="A3137" s="2">
        <v>2026</v>
      </c>
      <c r="B3137" s="2">
        <v>2</v>
      </c>
      <c r="D3137" s="2" t="s">
        <v>1021</v>
      </c>
      <c r="E3137" s="2" t="s">
        <v>38</v>
      </c>
      <c r="F3137" s="2" t="s">
        <v>39</v>
      </c>
      <c r="G3137" s="2">
        <v>504493612</v>
      </c>
      <c r="H3137" s="2" t="s">
        <v>41</v>
      </c>
      <c r="I3137" s="2" t="s">
        <v>1554</v>
      </c>
      <c r="J3137" s="2" t="s">
        <v>2525</v>
      </c>
      <c r="L3137" s="2" t="s">
        <v>177</v>
      </c>
      <c r="P3137" s="2" t="s">
        <v>43</v>
      </c>
      <c r="Q3137" s="2" t="s">
        <v>48</v>
      </c>
      <c r="R3137" s="2" t="s">
        <v>49</v>
      </c>
      <c r="S3137" s="2">
        <v>1</v>
      </c>
      <c r="T3137" s="2">
        <v>13</v>
      </c>
      <c r="U3137" s="2">
        <v>2.99</v>
      </c>
      <c r="V3137" s="2">
        <v>15.99</v>
      </c>
      <c r="W3137" s="2">
        <f t="shared" si="442"/>
        <v>6.6266999999999996</v>
      </c>
      <c r="X3137" s="5">
        <f t="shared" si="440"/>
        <v>0.49025384615384621</v>
      </c>
      <c r="Z3137" s="2" t="s">
        <v>3227</v>
      </c>
      <c r="AA3137" s="2" t="s">
        <v>46</v>
      </c>
      <c r="AB3137" s="2" t="s">
        <v>47</v>
      </c>
      <c r="AC3137" s="2" t="s">
        <v>57</v>
      </c>
      <c r="AF3137" s="2">
        <f t="shared" si="426"/>
        <v>0</v>
      </c>
      <c r="AG3137" s="2">
        <v>6.6266999999999996</v>
      </c>
      <c r="AH3137" s="2">
        <v>12</v>
      </c>
      <c r="AJ3137" s="2">
        <f t="shared" si="427"/>
        <v>0</v>
      </c>
      <c r="AK3137" s="2">
        <f t="shared" si="439"/>
        <v>6.3733000000000004</v>
      </c>
      <c r="AL3137" s="5">
        <f t="shared" si="441"/>
        <v>0.49025384615384621</v>
      </c>
    </row>
    <row r="3138" spans="1:38" x14ac:dyDescent="0.2">
      <c r="A3138" s="2">
        <v>2026</v>
      </c>
      <c r="B3138" s="2">
        <v>2</v>
      </c>
      <c r="D3138" s="2" t="s">
        <v>1397</v>
      </c>
      <c r="E3138" s="2" t="s">
        <v>38</v>
      </c>
      <c r="F3138" s="2" t="s">
        <v>39</v>
      </c>
      <c r="G3138" s="2">
        <v>509014313</v>
      </c>
      <c r="H3138" s="2" t="s">
        <v>40</v>
      </c>
      <c r="I3138" s="2" t="s">
        <v>3217</v>
      </c>
      <c r="J3138" s="2" t="s">
        <v>3216</v>
      </c>
      <c r="K3138" s="2">
        <v>913814877</v>
      </c>
      <c r="L3138" s="2" t="s">
        <v>201</v>
      </c>
      <c r="M3138" s="2" t="s">
        <v>80</v>
      </c>
      <c r="O3138" s="2" t="s">
        <v>3213</v>
      </c>
      <c r="P3138" s="2" t="s">
        <v>43</v>
      </c>
      <c r="Q3138" s="2" t="s">
        <v>48</v>
      </c>
      <c r="R3138" s="2" t="s">
        <v>49</v>
      </c>
      <c r="S3138" s="2">
        <v>2</v>
      </c>
      <c r="T3138" s="2">
        <v>24</v>
      </c>
      <c r="U3138" s="2">
        <v>5.52</v>
      </c>
      <c r="V3138" s="2">
        <v>29.52</v>
      </c>
      <c r="W3138" s="2">
        <f t="shared" si="442"/>
        <v>13.253399999999999</v>
      </c>
      <c r="X3138" s="5">
        <f t="shared" si="440"/>
        <v>0.44777500000000003</v>
      </c>
      <c r="Z3138" s="2" t="s">
        <v>3227</v>
      </c>
      <c r="AA3138" s="2" t="s">
        <v>46</v>
      </c>
      <c r="AB3138" s="2" t="s">
        <v>47</v>
      </c>
      <c r="AC3138" s="2" t="s">
        <v>57</v>
      </c>
      <c r="AF3138" s="2">
        <f t="shared" ref="AF3138:AF3201" si="443">AJ3138</f>
        <v>0</v>
      </c>
      <c r="AG3138" s="2">
        <v>6.6266999999999996</v>
      </c>
      <c r="AH3138" s="2">
        <v>12</v>
      </c>
      <c r="AJ3138" s="2">
        <f t="shared" ref="AJ3138:AJ3201" si="444">AI3138*T3138</f>
        <v>0</v>
      </c>
      <c r="AK3138" s="2">
        <f t="shared" si="439"/>
        <v>10.746600000000001</v>
      </c>
      <c r="AL3138" s="5">
        <f t="shared" si="441"/>
        <v>0.44777500000000003</v>
      </c>
    </row>
    <row r="3139" spans="1:38" x14ac:dyDescent="0.2">
      <c r="A3139" s="2">
        <v>2026</v>
      </c>
      <c r="B3139" s="2">
        <v>2</v>
      </c>
      <c r="D3139" s="2" t="s">
        <v>507</v>
      </c>
      <c r="E3139" s="2" t="s">
        <v>38</v>
      </c>
      <c r="F3139" s="2" t="s">
        <v>39</v>
      </c>
      <c r="G3139" s="2">
        <v>514446170</v>
      </c>
      <c r="H3139" s="2" t="s">
        <v>41</v>
      </c>
      <c r="I3139" s="2" t="s">
        <v>177</v>
      </c>
      <c r="J3139" s="2" t="s">
        <v>3134</v>
      </c>
      <c r="L3139" s="2" t="s">
        <v>177</v>
      </c>
      <c r="M3139" s="2" t="s">
        <v>41</v>
      </c>
      <c r="O3139" s="2" t="s">
        <v>3141</v>
      </c>
      <c r="P3139" s="2" t="s">
        <v>43</v>
      </c>
      <c r="Q3139" s="2" t="s">
        <v>48</v>
      </c>
      <c r="R3139" s="2" t="s">
        <v>49</v>
      </c>
      <c r="S3139" s="2">
        <v>3</v>
      </c>
      <c r="T3139" s="2">
        <v>36</v>
      </c>
      <c r="U3139" s="2">
        <v>8.2800000000000011</v>
      </c>
      <c r="V3139" s="2">
        <v>44.28</v>
      </c>
      <c r="W3139" s="2">
        <f t="shared" si="442"/>
        <v>19.880099999999999</v>
      </c>
      <c r="X3139" s="5">
        <f t="shared" si="440"/>
        <v>0.44777500000000003</v>
      </c>
      <c r="Z3139" s="2" t="s">
        <v>3227</v>
      </c>
      <c r="AA3139" s="2" t="s">
        <v>46</v>
      </c>
      <c r="AB3139" s="2" t="s">
        <v>47</v>
      </c>
      <c r="AC3139" s="2" t="s">
        <v>57</v>
      </c>
      <c r="AF3139" s="2">
        <f t="shared" si="443"/>
        <v>0</v>
      </c>
      <c r="AG3139" s="2">
        <v>6.6266999999999996</v>
      </c>
      <c r="AH3139" s="2">
        <v>12</v>
      </c>
      <c r="AJ3139" s="2">
        <f t="shared" si="444"/>
        <v>0</v>
      </c>
      <c r="AK3139" s="2">
        <f t="shared" si="439"/>
        <v>16.119900000000001</v>
      </c>
      <c r="AL3139" s="5">
        <f t="shared" si="441"/>
        <v>0.44777500000000003</v>
      </c>
    </row>
    <row r="3140" spans="1:38" x14ac:dyDescent="0.2">
      <c r="A3140" s="2">
        <v>2026</v>
      </c>
      <c r="B3140" s="2">
        <v>2</v>
      </c>
      <c r="D3140" s="2" t="s">
        <v>2526</v>
      </c>
      <c r="P3140" s="2" t="s">
        <v>43</v>
      </c>
      <c r="Q3140" s="2" t="s">
        <v>48</v>
      </c>
      <c r="R3140" s="2" t="s">
        <v>49</v>
      </c>
      <c r="S3140" s="2">
        <v>2</v>
      </c>
      <c r="T3140" s="2">
        <v>24</v>
      </c>
      <c r="U3140" s="2">
        <v>5.52</v>
      </c>
      <c r="V3140" s="2">
        <v>29.52</v>
      </c>
      <c r="W3140" s="2">
        <f t="shared" si="442"/>
        <v>13.253399999999999</v>
      </c>
      <c r="X3140" s="5">
        <f t="shared" si="440"/>
        <v>0.44777500000000003</v>
      </c>
      <c r="Z3140" s="2" t="s">
        <v>3227</v>
      </c>
      <c r="AA3140" s="2" t="s">
        <v>46</v>
      </c>
      <c r="AB3140" s="2" t="s">
        <v>47</v>
      </c>
      <c r="AC3140" s="2" t="s">
        <v>57</v>
      </c>
      <c r="AF3140" s="2">
        <f t="shared" si="443"/>
        <v>0</v>
      </c>
      <c r="AG3140" s="2">
        <v>6.6266999999999996</v>
      </c>
      <c r="AH3140" s="2">
        <v>12</v>
      </c>
      <c r="AJ3140" s="2">
        <f t="shared" si="444"/>
        <v>0</v>
      </c>
      <c r="AK3140" s="2">
        <f t="shared" si="439"/>
        <v>10.746600000000001</v>
      </c>
      <c r="AL3140" s="5">
        <f t="shared" si="441"/>
        <v>0.44777500000000003</v>
      </c>
    </row>
    <row r="3141" spans="1:38" x14ac:dyDescent="0.2">
      <c r="A3141" s="2">
        <v>2026</v>
      </c>
      <c r="B3141" s="2">
        <v>2</v>
      </c>
      <c r="D3141" s="2" t="s">
        <v>617</v>
      </c>
      <c r="E3141" s="2" t="s">
        <v>38</v>
      </c>
      <c r="F3141" s="2" t="s">
        <v>39</v>
      </c>
      <c r="G3141" s="2">
        <v>513759654</v>
      </c>
      <c r="H3141" s="2" t="s">
        <v>41</v>
      </c>
      <c r="I3141" s="2" t="s">
        <v>618</v>
      </c>
      <c r="J3141" s="2" t="s">
        <v>619</v>
      </c>
      <c r="L3141" s="2" t="s">
        <v>418</v>
      </c>
      <c r="M3141" s="2" t="s">
        <v>41</v>
      </c>
      <c r="P3141" s="2" t="s">
        <v>43</v>
      </c>
      <c r="Q3141" s="2" t="s">
        <v>48</v>
      </c>
      <c r="R3141" s="2" t="s">
        <v>49</v>
      </c>
      <c r="S3141" s="2">
        <v>1</v>
      </c>
      <c r="T3141" s="2">
        <v>12</v>
      </c>
      <c r="U3141" s="2">
        <v>2.76</v>
      </c>
      <c r="V3141" s="2">
        <v>14.76</v>
      </c>
      <c r="W3141" s="2">
        <f t="shared" si="442"/>
        <v>6.6266999999999996</v>
      </c>
      <c r="X3141" s="5">
        <f t="shared" si="440"/>
        <v>0.44777500000000003</v>
      </c>
      <c r="Z3141" s="2" t="s">
        <v>3227</v>
      </c>
      <c r="AA3141" s="2" t="s">
        <v>46</v>
      </c>
      <c r="AB3141" s="2" t="s">
        <v>47</v>
      </c>
      <c r="AC3141" s="2" t="s">
        <v>57</v>
      </c>
      <c r="AF3141" s="2">
        <f t="shared" si="443"/>
        <v>0</v>
      </c>
      <c r="AG3141" s="2">
        <v>6.6266999999999996</v>
      </c>
      <c r="AH3141" s="2">
        <v>12</v>
      </c>
      <c r="AJ3141" s="2">
        <f t="shared" si="444"/>
        <v>0</v>
      </c>
      <c r="AK3141" s="2">
        <f t="shared" si="439"/>
        <v>5.3733000000000004</v>
      </c>
      <c r="AL3141" s="5">
        <f t="shared" si="441"/>
        <v>0.44777500000000003</v>
      </c>
    </row>
    <row r="3142" spans="1:38" x14ac:dyDescent="0.2">
      <c r="A3142" s="2">
        <v>2026</v>
      </c>
      <c r="B3142" s="2">
        <v>2</v>
      </c>
      <c r="D3142" s="2" t="s">
        <v>1901</v>
      </c>
      <c r="P3142" s="2" t="s">
        <v>43</v>
      </c>
      <c r="Q3142" s="2" t="s">
        <v>1363</v>
      </c>
      <c r="R3142" s="2" t="s">
        <v>1364</v>
      </c>
      <c r="S3142" s="2">
        <v>1</v>
      </c>
      <c r="T3142" s="2">
        <v>34.200000000000003</v>
      </c>
      <c r="U3142" s="2">
        <v>7.8660000000000014</v>
      </c>
      <c r="V3142" s="2">
        <v>42.066000000000003</v>
      </c>
      <c r="W3142" s="2">
        <f>9.75*S3142</f>
        <v>9.75</v>
      </c>
      <c r="X3142" s="5">
        <f t="shared" si="440"/>
        <v>0.71491228070175439</v>
      </c>
      <c r="Z3142" s="2" t="s">
        <v>3227</v>
      </c>
      <c r="AA3142" s="2" t="s">
        <v>46</v>
      </c>
      <c r="AB3142" s="2" t="s">
        <v>47</v>
      </c>
      <c r="AC3142" s="2" t="s">
        <v>57</v>
      </c>
      <c r="AF3142" s="2">
        <f t="shared" si="443"/>
        <v>0</v>
      </c>
      <c r="AJ3142" s="2">
        <f t="shared" si="444"/>
        <v>0</v>
      </c>
      <c r="AK3142" s="2">
        <f t="shared" si="439"/>
        <v>24.450000000000003</v>
      </c>
      <c r="AL3142" s="5">
        <f t="shared" si="441"/>
        <v>0.71491228070175439</v>
      </c>
    </row>
    <row r="3143" spans="1:38" x14ac:dyDescent="0.2">
      <c r="A3143" s="2">
        <v>2026</v>
      </c>
      <c r="B3143" s="2">
        <v>2</v>
      </c>
      <c r="D3143" s="2" t="s">
        <v>617</v>
      </c>
      <c r="E3143" s="2" t="s">
        <v>38</v>
      </c>
      <c r="F3143" s="2" t="s">
        <v>39</v>
      </c>
      <c r="G3143" s="2">
        <v>513759654</v>
      </c>
      <c r="H3143" s="2" t="s">
        <v>41</v>
      </c>
      <c r="I3143" s="2" t="s">
        <v>618</v>
      </c>
      <c r="J3143" s="2" t="s">
        <v>619</v>
      </c>
      <c r="L3143" s="2" t="s">
        <v>418</v>
      </c>
      <c r="M3143" s="2" t="s">
        <v>41</v>
      </c>
      <c r="P3143" s="2" t="s">
        <v>43</v>
      </c>
      <c r="Q3143" s="2" t="s">
        <v>1363</v>
      </c>
      <c r="R3143" s="2" t="s">
        <v>1364</v>
      </c>
      <c r="S3143" s="2">
        <v>1</v>
      </c>
      <c r="T3143" s="2">
        <v>34.200000000000003</v>
      </c>
      <c r="U3143" s="2">
        <v>7.8660000000000014</v>
      </c>
      <c r="V3143" s="2">
        <v>42.066000000000003</v>
      </c>
      <c r="W3143" s="2">
        <f>9.75*S3143</f>
        <v>9.75</v>
      </c>
      <c r="X3143" s="5">
        <f t="shared" si="440"/>
        <v>0.71491228070175439</v>
      </c>
      <c r="Z3143" s="2" t="s">
        <v>3227</v>
      </c>
      <c r="AA3143" s="2" t="s">
        <v>46</v>
      </c>
      <c r="AB3143" s="2" t="s">
        <v>47</v>
      </c>
      <c r="AC3143" s="2" t="s">
        <v>57</v>
      </c>
      <c r="AF3143" s="2">
        <f t="shared" si="443"/>
        <v>0</v>
      </c>
      <c r="AJ3143" s="2">
        <f t="shared" si="444"/>
        <v>0</v>
      </c>
      <c r="AK3143" s="2">
        <f t="shared" si="439"/>
        <v>24.450000000000003</v>
      </c>
      <c r="AL3143" s="5">
        <f t="shared" si="441"/>
        <v>0.71491228070175439</v>
      </c>
    </row>
    <row r="3144" spans="1:38" x14ac:dyDescent="0.2">
      <c r="A3144" s="2">
        <v>2026</v>
      </c>
      <c r="B3144" s="2">
        <v>2</v>
      </c>
      <c r="D3144" s="2" t="s">
        <v>1901</v>
      </c>
      <c r="P3144" s="2" t="s">
        <v>43</v>
      </c>
      <c r="Q3144" s="2" t="s">
        <v>592</v>
      </c>
      <c r="R3144" s="2" t="s">
        <v>593</v>
      </c>
      <c r="S3144" s="2">
        <v>2</v>
      </c>
      <c r="T3144" s="2">
        <v>72</v>
      </c>
      <c r="U3144" s="2">
        <v>16.559999999999999</v>
      </c>
      <c r="V3144" s="2">
        <v>88.56</v>
      </c>
      <c r="W3144" s="2">
        <f>11.295*S3144</f>
        <v>22.59</v>
      </c>
      <c r="X3144" s="5">
        <f t="shared" si="440"/>
        <v>0.68624999999999992</v>
      </c>
      <c r="Z3144" s="2" t="s">
        <v>3227</v>
      </c>
      <c r="AA3144" s="2" t="s">
        <v>46</v>
      </c>
      <c r="AB3144" s="2" t="s">
        <v>47</v>
      </c>
      <c r="AC3144" s="2" t="s">
        <v>57</v>
      </c>
      <c r="AF3144" s="2">
        <f t="shared" si="443"/>
        <v>0</v>
      </c>
      <c r="AJ3144" s="2">
        <f t="shared" si="444"/>
        <v>0</v>
      </c>
      <c r="AK3144" s="2">
        <f t="shared" si="439"/>
        <v>49.41</v>
      </c>
      <c r="AL3144" s="5">
        <f t="shared" si="441"/>
        <v>0.68624999999999992</v>
      </c>
    </row>
    <row r="3145" spans="1:38" x14ac:dyDescent="0.2">
      <c r="A3145" s="2">
        <v>2026</v>
      </c>
      <c r="B3145" s="2">
        <v>2</v>
      </c>
      <c r="D3145" s="2" t="s">
        <v>617</v>
      </c>
      <c r="E3145" s="2" t="s">
        <v>38</v>
      </c>
      <c r="F3145" s="2" t="s">
        <v>39</v>
      </c>
      <c r="G3145" s="2">
        <v>513759654</v>
      </c>
      <c r="H3145" s="2" t="s">
        <v>41</v>
      </c>
      <c r="I3145" s="2" t="s">
        <v>618</v>
      </c>
      <c r="J3145" s="2" t="s">
        <v>619</v>
      </c>
      <c r="L3145" s="2" t="s">
        <v>418</v>
      </c>
      <c r="M3145" s="2" t="s">
        <v>41</v>
      </c>
      <c r="P3145" s="2" t="s">
        <v>43</v>
      </c>
      <c r="Q3145" s="2" t="s">
        <v>592</v>
      </c>
      <c r="R3145" s="2" t="s">
        <v>593</v>
      </c>
      <c r="S3145" s="2">
        <v>1</v>
      </c>
      <c r="T3145" s="2">
        <v>36</v>
      </c>
      <c r="U3145" s="2">
        <v>8.2800000000000011</v>
      </c>
      <c r="V3145" s="2">
        <v>44.28</v>
      </c>
      <c r="W3145" s="2">
        <f>11.295*S3145</f>
        <v>11.295</v>
      </c>
      <c r="X3145" s="5">
        <f t="shared" si="440"/>
        <v>0.68624999999999992</v>
      </c>
      <c r="Z3145" s="2" t="s">
        <v>3227</v>
      </c>
      <c r="AA3145" s="2" t="s">
        <v>46</v>
      </c>
      <c r="AB3145" s="2" t="s">
        <v>47</v>
      </c>
      <c r="AC3145" s="2" t="s">
        <v>57</v>
      </c>
      <c r="AF3145" s="2">
        <f t="shared" si="443"/>
        <v>0</v>
      </c>
      <c r="AJ3145" s="2">
        <f t="shared" si="444"/>
        <v>0</v>
      </c>
      <c r="AK3145" s="2">
        <f t="shared" si="439"/>
        <v>24.704999999999998</v>
      </c>
      <c r="AL3145" s="5">
        <f t="shared" si="441"/>
        <v>0.68624999999999992</v>
      </c>
    </row>
    <row r="3146" spans="1:38" x14ac:dyDescent="0.2">
      <c r="A3146" s="2">
        <v>2026</v>
      </c>
      <c r="B3146" s="2">
        <v>2</v>
      </c>
      <c r="D3146" s="2" t="s">
        <v>1113</v>
      </c>
      <c r="E3146" s="2" t="s">
        <v>38</v>
      </c>
      <c r="F3146" s="2" t="s">
        <v>39</v>
      </c>
      <c r="G3146" s="2">
        <v>210420588</v>
      </c>
      <c r="H3146" s="2" t="s">
        <v>40</v>
      </c>
      <c r="I3146" s="2" t="s">
        <v>1114</v>
      </c>
      <c r="J3146" s="2" t="s">
        <v>1115</v>
      </c>
      <c r="K3146" s="2">
        <v>914550474</v>
      </c>
      <c r="L3146" s="2" t="s">
        <v>99</v>
      </c>
      <c r="M3146" s="2" t="s">
        <v>80</v>
      </c>
      <c r="O3146" s="2" t="s">
        <v>2527</v>
      </c>
      <c r="P3146" s="2" t="s">
        <v>43</v>
      </c>
      <c r="Q3146" s="2" t="s">
        <v>160</v>
      </c>
      <c r="R3146" s="2" t="s">
        <v>161</v>
      </c>
      <c r="S3146" s="2">
        <v>5</v>
      </c>
      <c r="T3146" s="2">
        <v>45.6</v>
      </c>
      <c r="U3146" s="2">
        <v>10.488</v>
      </c>
      <c r="V3146" s="2">
        <v>56.088000000000001</v>
      </c>
      <c r="W3146" s="2">
        <f>3.7358*S3146</f>
        <v>18.678999999999998</v>
      </c>
      <c r="X3146" s="5">
        <f t="shared" si="440"/>
        <v>0.59037280701754391</v>
      </c>
      <c r="Z3146" s="2" t="s">
        <v>3227</v>
      </c>
      <c r="AA3146" s="2" t="s">
        <v>46</v>
      </c>
      <c r="AB3146" s="2" t="s">
        <v>47</v>
      </c>
      <c r="AC3146" s="2" t="s">
        <v>57</v>
      </c>
      <c r="AF3146" s="2">
        <f t="shared" si="443"/>
        <v>0</v>
      </c>
      <c r="AG3146" s="2">
        <v>3.7357999999999998</v>
      </c>
      <c r="AH3146" s="2">
        <v>9</v>
      </c>
      <c r="AJ3146" s="2">
        <f t="shared" si="444"/>
        <v>0</v>
      </c>
      <c r="AK3146" s="2">
        <f t="shared" si="439"/>
        <v>26.921000000000003</v>
      </c>
      <c r="AL3146" s="5">
        <f t="shared" si="441"/>
        <v>0.59037280701754391</v>
      </c>
    </row>
    <row r="3147" spans="1:38" x14ac:dyDescent="0.2">
      <c r="A3147" s="2">
        <v>2026</v>
      </c>
      <c r="B3147" s="2">
        <v>2</v>
      </c>
      <c r="D3147" s="2" t="s">
        <v>689</v>
      </c>
      <c r="E3147" s="2" t="s">
        <v>108</v>
      </c>
      <c r="F3147" s="2" t="s">
        <v>39</v>
      </c>
      <c r="G3147" s="2">
        <v>503589950</v>
      </c>
      <c r="H3147" s="2" t="s">
        <v>41</v>
      </c>
      <c r="I3147" s="2" t="s">
        <v>610</v>
      </c>
      <c r="J3147" s="2" t="s">
        <v>690</v>
      </c>
      <c r="K3147" s="2">
        <v>913036545</v>
      </c>
      <c r="L3147" s="2" t="s">
        <v>177</v>
      </c>
      <c r="M3147" s="2" t="s">
        <v>41</v>
      </c>
      <c r="O3147" s="2" t="s">
        <v>2416</v>
      </c>
      <c r="P3147" s="2" t="s">
        <v>43</v>
      </c>
      <c r="Q3147" s="2" t="s">
        <v>236</v>
      </c>
      <c r="R3147" s="2" t="s">
        <v>237</v>
      </c>
      <c r="S3147" s="2">
        <v>1</v>
      </c>
      <c r="T3147" s="2">
        <v>17.399999999999999</v>
      </c>
      <c r="U3147" s="2">
        <v>4.0019999999999998</v>
      </c>
      <c r="V3147" s="2">
        <v>21.402000000000001</v>
      </c>
      <c r="W3147" s="2">
        <f>9.075*S3147</f>
        <v>9.0749999999999993</v>
      </c>
      <c r="X3147" s="5">
        <f t="shared" si="440"/>
        <v>0.47844827586206895</v>
      </c>
      <c r="Z3147" s="2" t="s">
        <v>3227</v>
      </c>
      <c r="AA3147" s="2" t="s">
        <v>46</v>
      </c>
      <c r="AB3147" s="2" t="s">
        <v>56</v>
      </c>
      <c r="AC3147" s="2" t="s">
        <v>57</v>
      </c>
      <c r="AF3147" s="2">
        <f t="shared" si="443"/>
        <v>0</v>
      </c>
      <c r="AJ3147" s="2">
        <f t="shared" si="444"/>
        <v>0</v>
      </c>
      <c r="AK3147" s="2">
        <f t="shared" si="439"/>
        <v>8.3249999999999993</v>
      </c>
      <c r="AL3147" s="5">
        <f t="shared" si="441"/>
        <v>0.47844827586206895</v>
      </c>
    </row>
    <row r="3148" spans="1:38" x14ac:dyDescent="0.2">
      <c r="A3148" s="2">
        <v>2026</v>
      </c>
      <c r="B3148" s="2">
        <v>2</v>
      </c>
      <c r="D3148" s="2" t="s">
        <v>422</v>
      </c>
      <c r="E3148" s="2" t="s">
        <v>98</v>
      </c>
      <c r="F3148" s="2" t="s">
        <v>39</v>
      </c>
      <c r="G3148" s="2">
        <v>503523470</v>
      </c>
      <c r="H3148" s="2" t="s">
        <v>40</v>
      </c>
      <c r="I3148" s="2" t="s">
        <v>423</v>
      </c>
      <c r="J3148" s="2" t="s">
        <v>424</v>
      </c>
      <c r="L3148" s="2" t="s">
        <v>201</v>
      </c>
      <c r="M3148" s="2" t="s">
        <v>80</v>
      </c>
      <c r="P3148" s="2" t="s">
        <v>43</v>
      </c>
      <c r="Q3148" s="2" t="s">
        <v>232</v>
      </c>
      <c r="R3148" s="2" t="s">
        <v>233</v>
      </c>
      <c r="S3148" s="2">
        <v>1</v>
      </c>
      <c r="T3148" s="2">
        <v>12.6</v>
      </c>
      <c r="U3148" s="2">
        <v>2.8980000000000001</v>
      </c>
      <c r="V3148" s="2">
        <v>15.497999999999999</v>
      </c>
      <c r="W3148" s="2">
        <v>5.9066999999999998</v>
      </c>
      <c r="X3148" s="5">
        <f t="shared" si="440"/>
        <v>0.53121428571428575</v>
      </c>
      <c r="Z3148" s="2" t="s">
        <v>3227</v>
      </c>
      <c r="AA3148" s="2" t="s">
        <v>46</v>
      </c>
      <c r="AB3148" s="2" t="s">
        <v>56</v>
      </c>
      <c r="AC3148" s="2" t="s">
        <v>57</v>
      </c>
      <c r="AF3148" s="2">
        <f t="shared" si="443"/>
        <v>0</v>
      </c>
      <c r="AG3148" s="2">
        <v>5.9066999999999998</v>
      </c>
      <c r="AH3148" s="2">
        <v>12.6</v>
      </c>
      <c r="AJ3148" s="2">
        <f t="shared" si="444"/>
        <v>0</v>
      </c>
      <c r="AK3148" s="2">
        <f t="shared" si="439"/>
        <v>6.6932999999999998</v>
      </c>
      <c r="AL3148" s="5">
        <f t="shared" si="441"/>
        <v>0.53121428571428575</v>
      </c>
    </row>
    <row r="3149" spans="1:38" x14ac:dyDescent="0.2">
      <c r="A3149" s="2">
        <v>2026</v>
      </c>
      <c r="B3149" s="2">
        <v>2</v>
      </c>
      <c r="D3149" s="2" t="s">
        <v>689</v>
      </c>
      <c r="E3149" s="2" t="s">
        <v>108</v>
      </c>
      <c r="F3149" s="2" t="s">
        <v>39</v>
      </c>
      <c r="G3149" s="2">
        <v>503589950</v>
      </c>
      <c r="H3149" s="2" t="s">
        <v>41</v>
      </c>
      <c r="I3149" s="2" t="s">
        <v>610</v>
      </c>
      <c r="J3149" s="2" t="s">
        <v>690</v>
      </c>
      <c r="K3149" s="2">
        <v>913036545</v>
      </c>
      <c r="L3149" s="2" t="s">
        <v>177</v>
      </c>
      <c r="M3149" s="2" t="s">
        <v>41</v>
      </c>
      <c r="O3149" s="2" t="s">
        <v>2416</v>
      </c>
      <c r="P3149" s="2" t="s">
        <v>43</v>
      </c>
      <c r="Q3149" s="2" t="s">
        <v>238</v>
      </c>
      <c r="R3149" s="2" t="s">
        <v>239</v>
      </c>
      <c r="S3149" s="2">
        <v>1</v>
      </c>
      <c r="T3149" s="2">
        <v>21</v>
      </c>
      <c r="U3149" s="2">
        <v>4.83</v>
      </c>
      <c r="V3149" s="2">
        <v>25.83</v>
      </c>
      <c r="W3149" s="2">
        <f>11.045*S3149</f>
        <v>11.045</v>
      </c>
      <c r="X3149" s="5">
        <f t="shared" si="440"/>
        <v>0.47404761904761905</v>
      </c>
      <c r="Z3149" s="2" t="s">
        <v>3227</v>
      </c>
      <c r="AA3149" s="2" t="s">
        <v>46</v>
      </c>
      <c r="AB3149" s="2" t="s">
        <v>56</v>
      </c>
      <c r="AC3149" s="2" t="s">
        <v>57</v>
      </c>
      <c r="AF3149" s="2">
        <f t="shared" si="443"/>
        <v>0</v>
      </c>
      <c r="AJ3149" s="2">
        <f t="shared" si="444"/>
        <v>0</v>
      </c>
      <c r="AK3149" s="2">
        <f t="shared" si="439"/>
        <v>9.9550000000000001</v>
      </c>
      <c r="AL3149" s="5">
        <f t="shared" si="441"/>
        <v>0.47404761904761905</v>
      </c>
    </row>
    <row r="3150" spans="1:38" x14ac:dyDescent="0.2">
      <c r="A3150" s="2">
        <v>2026</v>
      </c>
      <c r="B3150" s="2">
        <v>2</v>
      </c>
      <c r="D3150" s="2" t="s">
        <v>422</v>
      </c>
      <c r="E3150" s="2" t="s">
        <v>98</v>
      </c>
      <c r="F3150" s="2" t="s">
        <v>39</v>
      </c>
      <c r="G3150" s="2">
        <v>503523470</v>
      </c>
      <c r="H3150" s="2" t="s">
        <v>40</v>
      </c>
      <c r="I3150" s="2" t="s">
        <v>423</v>
      </c>
      <c r="J3150" s="2" t="s">
        <v>424</v>
      </c>
      <c r="L3150" s="2" t="s">
        <v>201</v>
      </c>
      <c r="M3150" s="2" t="s">
        <v>80</v>
      </c>
      <c r="P3150" s="2" t="s">
        <v>43</v>
      </c>
      <c r="Q3150" s="2" t="s">
        <v>234</v>
      </c>
      <c r="R3150" s="2" t="s">
        <v>235</v>
      </c>
      <c r="S3150" s="2">
        <v>1</v>
      </c>
      <c r="T3150" s="2">
        <v>14.4</v>
      </c>
      <c r="U3150" s="2">
        <v>3.3119999999999998</v>
      </c>
      <c r="V3150" s="2">
        <v>17.712</v>
      </c>
      <c r="W3150" s="2">
        <f>7.2217*S3150</f>
        <v>7.2217000000000002</v>
      </c>
      <c r="X3150" s="5">
        <f t="shared" si="440"/>
        <v>0.49849305555555556</v>
      </c>
      <c r="Z3150" s="2" t="s">
        <v>3227</v>
      </c>
      <c r="AA3150" s="2" t="s">
        <v>46</v>
      </c>
      <c r="AB3150" s="2" t="s">
        <v>56</v>
      </c>
      <c r="AC3150" s="2" t="s">
        <v>57</v>
      </c>
      <c r="AF3150" s="2">
        <f t="shared" si="443"/>
        <v>0</v>
      </c>
      <c r="AG3150" s="2">
        <v>7.2217000000000002</v>
      </c>
      <c r="AH3150" s="2">
        <v>14.4</v>
      </c>
      <c r="AJ3150" s="2">
        <f t="shared" si="444"/>
        <v>0</v>
      </c>
      <c r="AK3150" s="2">
        <f t="shared" si="439"/>
        <v>7.1783000000000001</v>
      </c>
      <c r="AL3150" s="5">
        <f t="shared" si="441"/>
        <v>0.49849305555555556</v>
      </c>
    </row>
    <row r="3151" spans="1:38" x14ac:dyDescent="0.2">
      <c r="A3151" s="2">
        <v>2026</v>
      </c>
      <c r="B3151" s="2">
        <v>2</v>
      </c>
      <c r="D3151" s="2" t="s">
        <v>689</v>
      </c>
      <c r="E3151" s="2" t="s">
        <v>108</v>
      </c>
      <c r="F3151" s="2" t="s">
        <v>39</v>
      </c>
      <c r="G3151" s="2">
        <v>503589950</v>
      </c>
      <c r="H3151" s="2" t="s">
        <v>41</v>
      </c>
      <c r="I3151" s="2" t="s">
        <v>610</v>
      </c>
      <c r="J3151" s="2" t="s">
        <v>690</v>
      </c>
      <c r="K3151" s="2">
        <v>913036545</v>
      </c>
      <c r="L3151" s="2" t="s">
        <v>177</v>
      </c>
      <c r="M3151" s="2" t="s">
        <v>41</v>
      </c>
      <c r="O3151" s="2" t="s">
        <v>2416</v>
      </c>
      <c r="P3151" s="2" t="s">
        <v>43</v>
      </c>
      <c r="Q3151" s="2" t="s">
        <v>242</v>
      </c>
      <c r="R3151" s="2" t="s">
        <v>243</v>
      </c>
      <c r="S3151" s="2">
        <v>1</v>
      </c>
      <c r="T3151" s="2">
        <v>30</v>
      </c>
      <c r="U3151" s="2">
        <v>6.9</v>
      </c>
      <c r="V3151" s="2">
        <v>36.9</v>
      </c>
      <c r="W3151" s="2">
        <f>16.2249*S3151</f>
        <v>16.224900000000002</v>
      </c>
      <c r="X3151" s="5">
        <f t="shared" si="440"/>
        <v>0.45916999999999997</v>
      </c>
      <c r="Z3151" s="2" t="s">
        <v>3227</v>
      </c>
      <c r="AA3151" s="2" t="s">
        <v>46</v>
      </c>
      <c r="AB3151" s="2" t="s">
        <v>56</v>
      </c>
      <c r="AC3151" s="2" t="s">
        <v>57</v>
      </c>
      <c r="AF3151" s="2">
        <f t="shared" si="443"/>
        <v>0</v>
      </c>
      <c r="AJ3151" s="2">
        <f t="shared" si="444"/>
        <v>0</v>
      </c>
      <c r="AK3151" s="2">
        <f t="shared" si="439"/>
        <v>13.775099999999998</v>
      </c>
      <c r="AL3151" s="5">
        <f t="shared" si="441"/>
        <v>0.45916999999999997</v>
      </c>
    </row>
    <row r="3152" spans="1:38" x14ac:dyDescent="0.2">
      <c r="A3152" s="2">
        <v>2026</v>
      </c>
      <c r="B3152" s="2">
        <v>2</v>
      </c>
      <c r="D3152" s="2" t="s">
        <v>422</v>
      </c>
      <c r="E3152" s="2" t="s">
        <v>98</v>
      </c>
      <c r="F3152" s="2" t="s">
        <v>39</v>
      </c>
      <c r="G3152" s="2">
        <v>503523470</v>
      </c>
      <c r="H3152" s="2" t="s">
        <v>40</v>
      </c>
      <c r="I3152" s="2" t="s">
        <v>423</v>
      </c>
      <c r="J3152" s="2" t="s">
        <v>424</v>
      </c>
      <c r="L3152" s="2" t="s">
        <v>201</v>
      </c>
      <c r="M3152" s="2" t="s">
        <v>80</v>
      </c>
      <c r="P3152" s="2" t="s">
        <v>43</v>
      </c>
      <c r="Q3152" s="2" t="s">
        <v>236</v>
      </c>
      <c r="R3152" s="2" t="s">
        <v>237</v>
      </c>
      <c r="S3152" s="2">
        <v>1</v>
      </c>
      <c r="T3152" s="2">
        <v>17.399999999999999</v>
      </c>
      <c r="U3152" s="2">
        <v>4.0019999999999998</v>
      </c>
      <c r="V3152" s="2">
        <v>21.402000000000001</v>
      </c>
      <c r="W3152" s="2">
        <f>9.075*S3152</f>
        <v>9.0749999999999993</v>
      </c>
      <c r="X3152" s="5">
        <f t="shared" si="440"/>
        <v>0.47844827586206895</v>
      </c>
      <c r="Z3152" s="2" t="s">
        <v>3227</v>
      </c>
      <c r="AA3152" s="2" t="s">
        <v>46</v>
      </c>
      <c r="AB3152" s="2" t="s">
        <v>56</v>
      </c>
      <c r="AC3152" s="2" t="s">
        <v>57</v>
      </c>
      <c r="AF3152" s="2">
        <f t="shared" si="443"/>
        <v>0</v>
      </c>
      <c r="AJ3152" s="2">
        <f t="shared" si="444"/>
        <v>0</v>
      </c>
      <c r="AK3152" s="2">
        <f t="shared" si="439"/>
        <v>8.3249999999999993</v>
      </c>
      <c r="AL3152" s="5">
        <f t="shared" si="441"/>
        <v>0.47844827586206895</v>
      </c>
    </row>
    <row r="3153" spans="1:38" x14ac:dyDescent="0.2">
      <c r="A3153" s="2">
        <v>2026</v>
      </c>
      <c r="B3153" s="2">
        <v>3</v>
      </c>
      <c r="D3153" s="2" t="s">
        <v>689</v>
      </c>
      <c r="E3153" s="2" t="s">
        <v>108</v>
      </c>
      <c r="F3153" s="2" t="s">
        <v>39</v>
      </c>
      <c r="G3153" s="2">
        <v>503589950</v>
      </c>
      <c r="H3153" s="2" t="s">
        <v>41</v>
      </c>
      <c r="I3153" s="2" t="s">
        <v>610</v>
      </c>
      <c r="J3153" s="2" t="s">
        <v>690</v>
      </c>
      <c r="K3153" s="2">
        <v>913036545</v>
      </c>
      <c r="L3153" s="2" t="s">
        <v>177</v>
      </c>
      <c r="M3153" s="2" t="s">
        <v>40</v>
      </c>
      <c r="O3153" s="2" t="s">
        <v>2528</v>
      </c>
      <c r="P3153" s="2" t="s">
        <v>114</v>
      </c>
      <c r="Q3153" s="2" t="s">
        <v>2529</v>
      </c>
      <c r="R3153" s="2" t="s">
        <v>2530</v>
      </c>
      <c r="S3153" s="2">
        <v>1</v>
      </c>
      <c r="T3153" s="2">
        <v>263.73</v>
      </c>
      <c r="U3153" s="2">
        <v>60.657900000000012</v>
      </c>
      <c r="V3153" s="2">
        <v>324.3879</v>
      </c>
      <c r="W3153" s="2">
        <v>120.81</v>
      </c>
      <c r="X3153" s="5">
        <f t="shared" si="440"/>
        <v>0.54191787054942553</v>
      </c>
      <c r="Z3153" s="2" t="s">
        <v>117</v>
      </c>
      <c r="AA3153" s="2" t="s">
        <v>118</v>
      </c>
      <c r="AB3153" s="2" t="s">
        <v>119</v>
      </c>
      <c r="AC3153" s="2" t="s">
        <v>114</v>
      </c>
      <c r="AF3153" s="2">
        <f t="shared" si="443"/>
        <v>0</v>
      </c>
      <c r="AG3153" s="2">
        <v>120.81</v>
      </c>
      <c r="AJ3153" s="2">
        <f t="shared" si="444"/>
        <v>0</v>
      </c>
      <c r="AK3153" s="2">
        <f t="shared" si="439"/>
        <v>142.92000000000002</v>
      </c>
      <c r="AL3153" s="5">
        <f t="shared" si="441"/>
        <v>0.54191787054942553</v>
      </c>
    </row>
    <row r="3154" spans="1:38" x14ac:dyDescent="0.2">
      <c r="A3154" s="2">
        <v>2026</v>
      </c>
      <c r="B3154" s="2">
        <v>2</v>
      </c>
      <c r="D3154" s="2" t="s">
        <v>422</v>
      </c>
      <c r="E3154" s="2" t="s">
        <v>98</v>
      </c>
      <c r="F3154" s="2" t="s">
        <v>39</v>
      </c>
      <c r="G3154" s="2">
        <v>503523470</v>
      </c>
      <c r="H3154" s="2" t="s">
        <v>40</v>
      </c>
      <c r="I3154" s="2" t="s">
        <v>423</v>
      </c>
      <c r="J3154" s="2" t="s">
        <v>424</v>
      </c>
      <c r="L3154" s="2" t="s">
        <v>201</v>
      </c>
      <c r="M3154" s="2" t="s">
        <v>80</v>
      </c>
      <c r="P3154" s="2" t="s">
        <v>43</v>
      </c>
      <c r="Q3154" s="2" t="s">
        <v>238</v>
      </c>
      <c r="R3154" s="2" t="s">
        <v>239</v>
      </c>
      <c r="S3154" s="2">
        <v>1</v>
      </c>
      <c r="T3154" s="2">
        <v>21</v>
      </c>
      <c r="U3154" s="2">
        <v>4.83</v>
      </c>
      <c r="V3154" s="2">
        <v>25.83</v>
      </c>
      <c r="W3154" s="2">
        <f t="shared" ref="W3154:W3155" si="445">11.045*S3154</f>
        <v>11.045</v>
      </c>
      <c r="X3154" s="5">
        <f t="shared" si="440"/>
        <v>0.47404761904761905</v>
      </c>
      <c r="Z3154" s="2" t="s">
        <v>3227</v>
      </c>
      <c r="AA3154" s="2" t="s">
        <v>46</v>
      </c>
      <c r="AB3154" s="2" t="s">
        <v>56</v>
      </c>
      <c r="AC3154" s="2" t="s">
        <v>57</v>
      </c>
      <c r="AF3154" s="2">
        <f t="shared" si="443"/>
        <v>0</v>
      </c>
      <c r="AJ3154" s="2">
        <f t="shared" si="444"/>
        <v>0</v>
      </c>
      <c r="AK3154" s="2">
        <f t="shared" si="439"/>
        <v>9.9550000000000001</v>
      </c>
      <c r="AL3154" s="5">
        <f t="shared" si="441"/>
        <v>0.47404761904761905</v>
      </c>
    </row>
    <row r="3155" spans="1:38" x14ac:dyDescent="0.2">
      <c r="A3155" s="2">
        <v>2026</v>
      </c>
      <c r="B3155" s="2">
        <v>2</v>
      </c>
      <c r="D3155" s="2" t="s">
        <v>425</v>
      </c>
      <c r="E3155" s="2" t="s">
        <v>98</v>
      </c>
      <c r="F3155" s="2" t="s">
        <v>39</v>
      </c>
      <c r="G3155" s="2">
        <v>510613888</v>
      </c>
      <c r="H3155" s="2" t="s">
        <v>40</v>
      </c>
      <c r="I3155" s="2" t="s">
        <v>426</v>
      </c>
      <c r="J3155" s="2" t="s">
        <v>427</v>
      </c>
      <c r="L3155" s="2" t="s">
        <v>99</v>
      </c>
      <c r="M3155" s="2" t="s">
        <v>80</v>
      </c>
      <c r="P3155" s="2" t="s">
        <v>43</v>
      </c>
      <c r="Q3155" s="2" t="s">
        <v>238</v>
      </c>
      <c r="R3155" s="2" t="s">
        <v>239</v>
      </c>
      <c r="S3155" s="2">
        <v>0</v>
      </c>
      <c r="T3155" s="2">
        <v>0</v>
      </c>
      <c r="U3155" s="2">
        <v>0</v>
      </c>
      <c r="V3155" s="2">
        <v>0</v>
      </c>
      <c r="W3155" s="2">
        <f t="shared" si="445"/>
        <v>0</v>
      </c>
      <c r="X3155" s="5">
        <v>0</v>
      </c>
      <c r="Z3155" s="2" t="s">
        <v>3227</v>
      </c>
      <c r="AA3155" s="2" t="s">
        <v>46</v>
      </c>
      <c r="AB3155" s="2" t="s">
        <v>56</v>
      </c>
      <c r="AC3155" s="2" t="s">
        <v>57</v>
      </c>
      <c r="AF3155" s="2">
        <f t="shared" si="443"/>
        <v>0</v>
      </c>
      <c r="AJ3155" s="2">
        <f t="shared" si="444"/>
        <v>0</v>
      </c>
      <c r="AK3155" s="2">
        <f t="shared" si="439"/>
        <v>0</v>
      </c>
      <c r="AL3155" s="5">
        <f>IF(T3155=0,IF(W3155&gt;0,-100%,0%),(T3155-W3155)/T3155)</f>
        <v>0</v>
      </c>
    </row>
    <row r="3156" spans="1:38" x14ac:dyDescent="0.2">
      <c r="A3156" s="2">
        <v>2026</v>
      </c>
      <c r="B3156" s="2">
        <v>2</v>
      </c>
      <c r="D3156" s="2" t="s">
        <v>422</v>
      </c>
      <c r="E3156" s="2" t="s">
        <v>98</v>
      </c>
      <c r="F3156" s="2" t="s">
        <v>39</v>
      </c>
      <c r="G3156" s="2">
        <v>503523470</v>
      </c>
      <c r="H3156" s="2" t="s">
        <v>40</v>
      </c>
      <c r="I3156" s="2" t="s">
        <v>423</v>
      </c>
      <c r="J3156" s="2" t="s">
        <v>424</v>
      </c>
      <c r="L3156" s="2" t="s">
        <v>201</v>
      </c>
      <c r="M3156" s="2" t="s">
        <v>80</v>
      </c>
      <c r="P3156" s="2" t="s">
        <v>43</v>
      </c>
      <c r="Q3156" s="2" t="s">
        <v>240</v>
      </c>
      <c r="R3156" s="2" t="s">
        <v>241</v>
      </c>
      <c r="S3156" s="2">
        <v>1</v>
      </c>
      <c r="T3156" s="2">
        <v>25.2</v>
      </c>
      <c r="U3156" s="2">
        <v>5.7960000000000003</v>
      </c>
      <c r="V3156" s="2">
        <v>30.995999999999999</v>
      </c>
      <c r="W3156" s="2">
        <f t="shared" ref="W3156:W3157" si="446">13.4067*S3156</f>
        <v>13.406700000000001</v>
      </c>
      <c r="X3156" s="5">
        <f>(T3156-W3156)/T3156</f>
        <v>0.4679880952380952</v>
      </c>
      <c r="Z3156" s="2" t="s">
        <v>3227</v>
      </c>
      <c r="AA3156" s="2" t="s">
        <v>46</v>
      </c>
      <c r="AB3156" s="2" t="s">
        <v>56</v>
      </c>
      <c r="AC3156" s="2" t="s">
        <v>57</v>
      </c>
      <c r="AF3156" s="2">
        <f t="shared" si="443"/>
        <v>0</v>
      </c>
      <c r="AJ3156" s="2">
        <f t="shared" si="444"/>
        <v>0</v>
      </c>
      <c r="AK3156" s="2">
        <f t="shared" si="439"/>
        <v>11.793299999999999</v>
      </c>
      <c r="AL3156" s="5">
        <f>(T3156-W3156)/T3156</f>
        <v>0.4679880952380952</v>
      </c>
    </row>
    <row r="3157" spans="1:38" x14ac:dyDescent="0.2">
      <c r="A3157" s="2">
        <v>2026</v>
      </c>
      <c r="B3157" s="2">
        <v>2</v>
      </c>
      <c r="D3157" s="2" t="s">
        <v>425</v>
      </c>
      <c r="E3157" s="2" t="s">
        <v>98</v>
      </c>
      <c r="F3157" s="2" t="s">
        <v>39</v>
      </c>
      <c r="G3157" s="2">
        <v>510613888</v>
      </c>
      <c r="H3157" s="2" t="s">
        <v>40</v>
      </c>
      <c r="I3157" s="2" t="s">
        <v>426</v>
      </c>
      <c r="J3157" s="2" t="s">
        <v>427</v>
      </c>
      <c r="L3157" s="2" t="s">
        <v>99</v>
      </c>
      <c r="M3157" s="2" t="s">
        <v>80</v>
      </c>
      <c r="P3157" s="2" t="s">
        <v>43</v>
      </c>
      <c r="Q3157" s="2" t="s">
        <v>240</v>
      </c>
      <c r="R3157" s="2" t="s">
        <v>241</v>
      </c>
      <c r="S3157" s="2">
        <v>0</v>
      </c>
      <c r="T3157" s="2">
        <v>0</v>
      </c>
      <c r="U3157" s="2">
        <v>0</v>
      </c>
      <c r="V3157" s="2">
        <v>0</v>
      </c>
      <c r="W3157" s="2">
        <f t="shared" si="446"/>
        <v>0</v>
      </c>
      <c r="X3157" s="5">
        <v>0</v>
      </c>
      <c r="Z3157" s="2" t="s">
        <v>3227</v>
      </c>
      <c r="AA3157" s="2" t="s">
        <v>46</v>
      </c>
      <c r="AB3157" s="2" t="s">
        <v>56</v>
      </c>
      <c r="AC3157" s="2" t="s">
        <v>57</v>
      </c>
      <c r="AF3157" s="2">
        <f t="shared" si="443"/>
        <v>0</v>
      </c>
      <c r="AJ3157" s="2">
        <f t="shared" si="444"/>
        <v>0</v>
      </c>
      <c r="AK3157" s="2">
        <f t="shared" si="439"/>
        <v>0</v>
      </c>
      <c r="AL3157" s="5">
        <f>IF(T3157=0,IF(W3157&gt;0,-100%,0%),(T3157-W3157)/T3157)</f>
        <v>0</v>
      </c>
    </row>
    <row r="3158" spans="1:38" x14ac:dyDescent="0.2">
      <c r="A3158" s="2">
        <v>2026</v>
      </c>
      <c r="B3158" s="2">
        <v>3</v>
      </c>
      <c r="D3158" s="2" t="s">
        <v>689</v>
      </c>
      <c r="E3158" s="2" t="s">
        <v>108</v>
      </c>
      <c r="F3158" s="2" t="s">
        <v>39</v>
      </c>
      <c r="G3158" s="2">
        <v>503589950</v>
      </c>
      <c r="H3158" s="2" t="s">
        <v>41</v>
      </c>
      <c r="I3158" s="2" t="s">
        <v>610</v>
      </c>
      <c r="J3158" s="2" t="s">
        <v>690</v>
      </c>
      <c r="K3158" s="2">
        <v>913036545</v>
      </c>
      <c r="L3158" s="2" t="s">
        <v>177</v>
      </c>
      <c r="M3158" s="2" t="s">
        <v>40</v>
      </c>
      <c r="O3158" s="2" t="s">
        <v>2441</v>
      </c>
      <c r="P3158" s="2" t="s">
        <v>114</v>
      </c>
      <c r="Q3158" s="2" t="s">
        <v>2099</v>
      </c>
      <c r="R3158" s="2" t="s">
        <v>2100</v>
      </c>
      <c r="S3158" s="2">
        <v>-1</v>
      </c>
      <c r="T3158" s="2">
        <v>-55.13</v>
      </c>
      <c r="U3158" s="2">
        <v>-12.6799</v>
      </c>
      <c r="V3158" s="2">
        <v>-67.809899999999999</v>
      </c>
      <c r="W3158" s="2">
        <v>42.23</v>
      </c>
      <c r="Z3158" s="2" t="s">
        <v>117</v>
      </c>
      <c r="AA3158" s="2" t="s">
        <v>118</v>
      </c>
      <c r="AB3158" s="2" t="s">
        <v>119</v>
      </c>
      <c r="AC3158" s="2" t="s">
        <v>114</v>
      </c>
      <c r="AF3158" s="2">
        <f t="shared" si="443"/>
        <v>0</v>
      </c>
      <c r="AG3158" s="2">
        <v>42.23</v>
      </c>
      <c r="AJ3158" s="2">
        <f t="shared" si="444"/>
        <v>0</v>
      </c>
    </row>
    <row r="3159" spans="1:38" x14ac:dyDescent="0.2">
      <c r="A3159" s="2">
        <v>2026</v>
      </c>
      <c r="B3159" s="2">
        <v>2</v>
      </c>
      <c r="D3159" s="2" t="s">
        <v>422</v>
      </c>
      <c r="E3159" s="2" t="s">
        <v>98</v>
      </c>
      <c r="F3159" s="2" t="s">
        <v>39</v>
      </c>
      <c r="G3159" s="2">
        <v>503523470</v>
      </c>
      <c r="H3159" s="2" t="s">
        <v>40</v>
      </c>
      <c r="I3159" s="2" t="s">
        <v>423</v>
      </c>
      <c r="J3159" s="2" t="s">
        <v>424</v>
      </c>
      <c r="L3159" s="2" t="s">
        <v>201</v>
      </c>
      <c r="M3159" s="2" t="s">
        <v>80</v>
      </c>
      <c r="P3159" s="2" t="s">
        <v>43</v>
      </c>
      <c r="Q3159" s="2" t="s">
        <v>242</v>
      </c>
      <c r="R3159" s="2" t="s">
        <v>243</v>
      </c>
      <c r="S3159" s="2">
        <v>1</v>
      </c>
      <c r="T3159" s="2">
        <v>30</v>
      </c>
      <c r="U3159" s="2">
        <v>6.9</v>
      </c>
      <c r="V3159" s="2">
        <v>36.9</v>
      </c>
      <c r="W3159" s="2">
        <f t="shared" ref="W3159:W3160" si="447">16.2249*S3159</f>
        <v>16.224900000000002</v>
      </c>
      <c r="X3159" s="5">
        <f>(T3159-W3159)/T3159</f>
        <v>0.45916999999999997</v>
      </c>
      <c r="Z3159" s="2" t="s">
        <v>3227</v>
      </c>
      <c r="AA3159" s="2" t="s">
        <v>46</v>
      </c>
      <c r="AB3159" s="2" t="s">
        <v>56</v>
      </c>
      <c r="AC3159" s="2" t="s">
        <v>57</v>
      </c>
      <c r="AF3159" s="2">
        <f t="shared" si="443"/>
        <v>0</v>
      </c>
      <c r="AJ3159" s="2">
        <f t="shared" si="444"/>
        <v>0</v>
      </c>
      <c r="AK3159" s="2">
        <f>T3159-W3159</f>
        <v>13.775099999999998</v>
      </c>
      <c r="AL3159" s="5">
        <f>(T3159-W3159)/T3159</f>
        <v>0.45916999999999997</v>
      </c>
    </row>
    <row r="3160" spans="1:38" x14ac:dyDescent="0.2">
      <c r="A3160" s="2">
        <v>2026</v>
      </c>
      <c r="B3160" s="2">
        <v>2</v>
      </c>
      <c r="D3160" s="2" t="s">
        <v>425</v>
      </c>
      <c r="E3160" s="2" t="s">
        <v>98</v>
      </c>
      <c r="F3160" s="2" t="s">
        <v>39</v>
      </c>
      <c r="G3160" s="2">
        <v>510613888</v>
      </c>
      <c r="H3160" s="2" t="s">
        <v>40</v>
      </c>
      <c r="I3160" s="2" t="s">
        <v>426</v>
      </c>
      <c r="J3160" s="2" t="s">
        <v>427</v>
      </c>
      <c r="L3160" s="2" t="s">
        <v>99</v>
      </c>
      <c r="M3160" s="2" t="s">
        <v>80</v>
      </c>
      <c r="P3160" s="2" t="s">
        <v>43</v>
      </c>
      <c r="Q3160" s="2" t="s">
        <v>242</v>
      </c>
      <c r="R3160" s="2" t="s">
        <v>243</v>
      </c>
      <c r="S3160" s="2">
        <v>0</v>
      </c>
      <c r="T3160" s="2">
        <v>0</v>
      </c>
      <c r="U3160" s="2">
        <v>0</v>
      </c>
      <c r="V3160" s="2">
        <v>0</v>
      </c>
      <c r="W3160" s="2">
        <f t="shared" si="447"/>
        <v>0</v>
      </c>
      <c r="X3160" s="5">
        <v>0</v>
      </c>
      <c r="Z3160" s="2" t="s">
        <v>3227</v>
      </c>
      <c r="AA3160" s="2" t="s">
        <v>46</v>
      </c>
      <c r="AB3160" s="2" t="s">
        <v>56</v>
      </c>
      <c r="AC3160" s="2" t="s">
        <v>57</v>
      </c>
      <c r="AF3160" s="2">
        <f t="shared" si="443"/>
        <v>0</v>
      </c>
      <c r="AJ3160" s="2">
        <f t="shared" si="444"/>
        <v>0</v>
      </c>
      <c r="AK3160" s="2">
        <v>0</v>
      </c>
      <c r="AL3160" s="5">
        <v>0</v>
      </c>
    </row>
    <row r="3161" spans="1:38" x14ac:dyDescent="0.2">
      <c r="A3161" s="2">
        <v>2026</v>
      </c>
      <c r="B3161" s="2">
        <v>2</v>
      </c>
      <c r="D3161" s="2" t="s">
        <v>37</v>
      </c>
      <c r="E3161" s="2" t="s">
        <v>38</v>
      </c>
      <c r="F3161" s="2" t="s">
        <v>39</v>
      </c>
      <c r="H3161" s="2" t="s">
        <v>40</v>
      </c>
      <c r="P3161" s="2" t="s">
        <v>43</v>
      </c>
      <c r="Q3161" s="2" t="s">
        <v>54</v>
      </c>
      <c r="R3161" s="2" t="s">
        <v>55</v>
      </c>
      <c r="S3161" s="2">
        <v>4</v>
      </c>
      <c r="T3161" s="2">
        <v>58</v>
      </c>
      <c r="U3161" s="2">
        <v>13.34</v>
      </c>
      <c r="V3161" s="2">
        <v>71.34</v>
      </c>
      <c r="W3161" s="2">
        <f>10.6*S3161</f>
        <v>42.4</v>
      </c>
      <c r="X3161" s="5">
        <f t="shared" ref="X3161:X3169" si="448">(T3161-W3161)/T3161</f>
        <v>0.26896551724137935</v>
      </c>
      <c r="Z3161" s="2" t="s">
        <v>3227</v>
      </c>
      <c r="AA3161" s="2" t="s">
        <v>46</v>
      </c>
      <c r="AB3161" s="2" t="s">
        <v>56</v>
      </c>
      <c r="AC3161" s="2" t="s">
        <v>57</v>
      </c>
      <c r="AF3161" s="2">
        <f t="shared" si="443"/>
        <v>0</v>
      </c>
      <c r="AG3161" s="2">
        <v>10.6</v>
      </c>
      <c r="AH3161" s="2">
        <v>18</v>
      </c>
      <c r="AJ3161" s="2">
        <f t="shared" si="444"/>
        <v>0</v>
      </c>
      <c r="AK3161" s="2">
        <f t="shared" ref="AK3161:AK3192" si="449">T3161-W3161</f>
        <v>15.600000000000001</v>
      </c>
      <c r="AL3161" s="5">
        <f t="shared" ref="AL3161:AL3169" si="450">(T3161-W3161)/T3161</f>
        <v>0.26896551724137935</v>
      </c>
    </row>
    <row r="3162" spans="1:38" x14ac:dyDescent="0.2">
      <c r="A3162" s="2">
        <v>2026</v>
      </c>
      <c r="B3162" s="2">
        <v>2</v>
      </c>
      <c r="D3162" s="2" t="s">
        <v>308</v>
      </c>
      <c r="E3162" s="2" t="s">
        <v>108</v>
      </c>
      <c r="F3162" s="2" t="s">
        <v>39</v>
      </c>
      <c r="G3162" s="2">
        <v>503724300</v>
      </c>
      <c r="H3162" s="2" t="s">
        <v>109</v>
      </c>
      <c r="I3162" s="2" t="s">
        <v>3115</v>
      </c>
      <c r="J3162" s="2" t="s">
        <v>3116</v>
      </c>
      <c r="L3162" s="2" t="s">
        <v>112</v>
      </c>
      <c r="M3162" s="2" t="s">
        <v>109</v>
      </c>
      <c r="O3162" s="2" t="s">
        <v>3119</v>
      </c>
      <c r="P3162" s="2" t="s">
        <v>43</v>
      </c>
      <c r="Q3162" s="2" t="s">
        <v>54</v>
      </c>
      <c r="R3162" s="2" t="s">
        <v>55</v>
      </c>
      <c r="S3162" s="2">
        <v>3</v>
      </c>
      <c r="T3162" s="2">
        <v>54</v>
      </c>
      <c r="U3162" s="2">
        <v>12.42</v>
      </c>
      <c r="V3162" s="2">
        <v>66.42</v>
      </c>
      <c r="W3162" s="2">
        <f>10.6*S3162</f>
        <v>31.799999999999997</v>
      </c>
      <c r="X3162" s="5">
        <f t="shared" si="448"/>
        <v>0.41111111111111115</v>
      </c>
      <c r="Z3162" s="2" t="s">
        <v>3227</v>
      </c>
      <c r="AA3162" s="2" t="s">
        <v>46</v>
      </c>
      <c r="AB3162" s="2" t="s">
        <v>56</v>
      </c>
      <c r="AC3162" s="2" t="s">
        <v>57</v>
      </c>
      <c r="AF3162" s="2">
        <f t="shared" si="443"/>
        <v>0</v>
      </c>
      <c r="AG3162" s="2">
        <v>10.6</v>
      </c>
      <c r="AH3162" s="2">
        <v>18</v>
      </c>
      <c r="AJ3162" s="2">
        <f t="shared" si="444"/>
        <v>0</v>
      </c>
      <c r="AK3162" s="2">
        <f t="shared" si="449"/>
        <v>22.200000000000003</v>
      </c>
      <c r="AL3162" s="5">
        <f t="shared" si="450"/>
        <v>0.41111111111111115</v>
      </c>
    </row>
    <row r="3163" spans="1:38" x14ac:dyDescent="0.2">
      <c r="A3163" s="2">
        <v>2026</v>
      </c>
      <c r="B3163" s="2">
        <v>2</v>
      </c>
      <c r="D3163" s="2" t="s">
        <v>2531</v>
      </c>
      <c r="P3163" s="2" t="s">
        <v>43</v>
      </c>
      <c r="Q3163" s="2" t="s">
        <v>54</v>
      </c>
      <c r="R3163" s="2" t="s">
        <v>55</v>
      </c>
      <c r="S3163" s="2">
        <v>10</v>
      </c>
      <c r="T3163" s="2">
        <v>140</v>
      </c>
      <c r="U3163" s="2">
        <v>32.200000000000003</v>
      </c>
      <c r="V3163" s="2">
        <v>172.2</v>
      </c>
      <c r="W3163" s="2">
        <f>10.6*S3163</f>
        <v>106</v>
      </c>
      <c r="X3163" s="5">
        <f t="shared" si="448"/>
        <v>0.24285714285714285</v>
      </c>
      <c r="Z3163" s="2" t="s">
        <v>3227</v>
      </c>
      <c r="AA3163" s="2" t="s">
        <v>46</v>
      </c>
      <c r="AB3163" s="2" t="s">
        <v>56</v>
      </c>
      <c r="AC3163" s="2" t="s">
        <v>57</v>
      </c>
      <c r="AF3163" s="2">
        <f t="shared" si="443"/>
        <v>0</v>
      </c>
      <c r="AG3163" s="2">
        <v>10.6</v>
      </c>
      <c r="AH3163" s="2">
        <v>18</v>
      </c>
      <c r="AJ3163" s="2">
        <f t="shared" si="444"/>
        <v>0</v>
      </c>
      <c r="AK3163" s="2">
        <f t="shared" si="449"/>
        <v>34</v>
      </c>
      <c r="AL3163" s="5">
        <f t="shared" si="450"/>
        <v>0.24285714285714285</v>
      </c>
    </row>
    <row r="3164" spans="1:38" x14ac:dyDescent="0.2">
      <c r="A3164" s="2">
        <v>2026</v>
      </c>
      <c r="B3164" s="2">
        <v>2</v>
      </c>
      <c r="D3164" s="2" t="s">
        <v>422</v>
      </c>
      <c r="E3164" s="2" t="s">
        <v>98</v>
      </c>
      <c r="F3164" s="2" t="s">
        <v>39</v>
      </c>
      <c r="G3164" s="2">
        <v>503523470</v>
      </c>
      <c r="H3164" s="2" t="s">
        <v>40</v>
      </c>
      <c r="I3164" s="2" t="s">
        <v>423</v>
      </c>
      <c r="J3164" s="2" t="s">
        <v>424</v>
      </c>
      <c r="L3164" s="2" t="s">
        <v>201</v>
      </c>
      <c r="M3164" s="2" t="s">
        <v>80</v>
      </c>
      <c r="P3164" s="2" t="s">
        <v>43</v>
      </c>
      <c r="Q3164" s="2" t="s">
        <v>54</v>
      </c>
      <c r="R3164" s="2" t="s">
        <v>55</v>
      </c>
      <c r="S3164" s="2">
        <v>1</v>
      </c>
      <c r="T3164" s="2">
        <v>18</v>
      </c>
      <c r="U3164" s="2">
        <v>4.1400000000000006</v>
      </c>
      <c r="V3164" s="2">
        <v>22.14</v>
      </c>
      <c r="W3164" s="2">
        <f>10.6*S3164</f>
        <v>10.6</v>
      </c>
      <c r="X3164" s="5">
        <f t="shared" si="448"/>
        <v>0.41111111111111115</v>
      </c>
      <c r="Z3164" s="2" t="s">
        <v>3227</v>
      </c>
      <c r="AA3164" s="2" t="s">
        <v>46</v>
      </c>
      <c r="AB3164" s="2" t="s">
        <v>56</v>
      </c>
      <c r="AC3164" s="2" t="s">
        <v>57</v>
      </c>
      <c r="AF3164" s="2">
        <f t="shared" si="443"/>
        <v>0</v>
      </c>
      <c r="AG3164" s="2">
        <v>10.6</v>
      </c>
      <c r="AH3164" s="2">
        <v>18</v>
      </c>
      <c r="AJ3164" s="2">
        <f t="shared" si="444"/>
        <v>0</v>
      </c>
      <c r="AK3164" s="2">
        <f t="shared" si="449"/>
        <v>7.4</v>
      </c>
      <c r="AL3164" s="5">
        <f t="shared" si="450"/>
        <v>0.41111111111111115</v>
      </c>
    </row>
    <row r="3165" spans="1:38" x14ac:dyDescent="0.2">
      <c r="A3165" s="2">
        <v>2026</v>
      </c>
      <c r="B3165" s="2">
        <v>2</v>
      </c>
      <c r="D3165" s="2" t="s">
        <v>1021</v>
      </c>
      <c r="E3165" s="2" t="s">
        <v>38</v>
      </c>
      <c r="F3165" s="2" t="s">
        <v>39</v>
      </c>
      <c r="G3165" s="2">
        <v>504493612</v>
      </c>
      <c r="H3165" s="2" t="s">
        <v>41</v>
      </c>
      <c r="I3165" s="2" t="s">
        <v>1554</v>
      </c>
      <c r="J3165" s="2" t="s">
        <v>2525</v>
      </c>
      <c r="L3165" s="2" t="s">
        <v>177</v>
      </c>
      <c r="P3165" s="2" t="s">
        <v>43</v>
      </c>
      <c r="Q3165" s="2" t="s">
        <v>54</v>
      </c>
      <c r="R3165" s="2" t="s">
        <v>55</v>
      </c>
      <c r="S3165" s="2">
        <v>2</v>
      </c>
      <c r="T3165" s="2">
        <v>36</v>
      </c>
      <c r="U3165" s="2">
        <v>8.2800000000000011</v>
      </c>
      <c r="V3165" s="2">
        <v>44.28</v>
      </c>
      <c r="W3165" s="2">
        <f>10.6*S3165</f>
        <v>21.2</v>
      </c>
      <c r="X3165" s="5">
        <f t="shared" si="448"/>
        <v>0.41111111111111115</v>
      </c>
      <c r="Z3165" s="2" t="s">
        <v>3227</v>
      </c>
      <c r="AA3165" s="2" t="s">
        <v>46</v>
      </c>
      <c r="AB3165" s="2" t="s">
        <v>56</v>
      </c>
      <c r="AC3165" s="2" t="s">
        <v>57</v>
      </c>
      <c r="AF3165" s="2">
        <f t="shared" si="443"/>
        <v>0</v>
      </c>
      <c r="AG3165" s="2">
        <v>10.6</v>
      </c>
      <c r="AH3165" s="2">
        <v>18</v>
      </c>
      <c r="AJ3165" s="2">
        <f t="shared" si="444"/>
        <v>0</v>
      </c>
      <c r="AK3165" s="2">
        <f t="shared" si="449"/>
        <v>14.8</v>
      </c>
      <c r="AL3165" s="5">
        <f t="shared" si="450"/>
        <v>0.41111111111111115</v>
      </c>
    </row>
    <row r="3166" spans="1:38" x14ac:dyDescent="0.2">
      <c r="A3166" s="2">
        <v>2026</v>
      </c>
      <c r="B3166" s="2">
        <v>2</v>
      </c>
      <c r="D3166" s="2" t="s">
        <v>1021</v>
      </c>
      <c r="E3166" s="2" t="s">
        <v>38</v>
      </c>
      <c r="F3166" s="2" t="s">
        <v>39</v>
      </c>
      <c r="G3166" s="2">
        <v>504493612</v>
      </c>
      <c r="H3166" s="2" t="s">
        <v>41</v>
      </c>
      <c r="I3166" s="2" t="s">
        <v>1554</v>
      </c>
      <c r="J3166" s="2" t="s">
        <v>2525</v>
      </c>
      <c r="L3166" s="2" t="s">
        <v>177</v>
      </c>
      <c r="M3166" s="2" t="s">
        <v>41</v>
      </c>
      <c r="O3166" s="2" t="s">
        <v>2532</v>
      </c>
      <c r="P3166" s="2" t="s">
        <v>43</v>
      </c>
      <c r="Q3166" s="2" t="s">
        <v>58</v>
      </c>
      <c r="R3166" s="2" t="s">
        <v>59</v>
      </c>
      <c r="S3166" s="2">
        <v>100</v>
      </c>
      <c r="T3166" s="2">
        <v>14</v>
      </c>
      <c r="U3166" s="2">
        <v>3.22</v>
      </c>
      <c r="V3166" s="2">
        <v>17.22</v>
      </c>
      <c r="W3166" s="2">
        <f>0.0914*S3166</f>
        <v>9.1399999999999988</v>
      </c>
      <c r="X3166" s="5">
        <f t="shared" si="448"/>
        <v>0.34714285714285725</v>
      </c>
      <c r="Z3166" s="2" t="s">
        <v>3227</v>
      </c>
      <c r="AA3166" s="2" t="s">
        <v>46</v>
      </c>
      <c r="AB3166" s="2" t="s">
        <v>60</v>
      </c>
      <c r="AC3166" s="2" t="s">
        <v>57</v>
      </c>
      <c r="AF3166" s="2">
        <f t="shared" si="443"/>
        <v>0</v>
      </c>
      <c r="AG3166" s="2">
        <v>9.14</v>
      </c>
      <c r="AH3166" s="2">
        <v>16</v>
      </c>
      <c r="AJ3166" s="2">
        <f t="shared" si="444"/>
        <v>0</v>
      </c>
      <c r="AK3166" s="2">
        <f t="shared" si="449"/>
        <v>4.8600000000000012</v>
      </c>
      <c r="AL3166" s="5">
        <f t="shared" si="450"/>
        <v>0.34714285714285725</v>
      </c>
    </row>
    <row r="3167" spans="1:38" x14ac:dyDescent="0.2">
      <c r="A3167" s="2">
        <v>2026</v>
      </c>
      <c r="B3167" s="2">
        <v>2</v>
      </c>
      <c r="D3167" s="2" t="s">
        <v>617</v>
      </c>
      <c r="E3167" s="2" t="s">
        <v>38</v>
      </c>
      <c r="F3167" s="2" t="s">
        <v>39</v>
      </c>
      <c r="G3167" s="2">
        <v>513759654</v>
      </c>
      <c r="H3167" s="2" t="s">
        <v>41</v>
      </c>
      <c r="I3167" s="2" t="s">
        <v>618</v>
      </c>
      <c r="J3167" s="2" t="s">
        <v>619</v>
      </c>
      <c r="L3167" s="2" t="s">
        <v>418</v>
      </c>
      <c r="M3167" s="2" t="s">
        <v>41</v>
      </c>
      <c r="O3167" s="2" t="s">
        <v>2533</v>
      </c>
      <c r="P3167" s="2" t="s">
        <v>43</v>
      </c>
      <c r="Q3167" s="2" t="s">
        <v>58</v>
      </c>
      <c r="R3167" s="2" t="s">
        <v>59</v>
      </c>
      <c r="S3167" s="2">
        <v>200</v>
      </c>
      <c r="T3167" s="2">
        <v>26</v>
      </c>
      <c r="U3167" s="2">
        <v>5.98</v>
      </c>
      <c r="V3167" s="2">
        <v>31.98</v>
      </c>
      <c r="W3167" s="2">
        <f>0.0914*S3167</f>
        <v>18.279999999999998</v>
      </c>
      <c r="X3167" s="5">
        <f t="shared" si="448"/>
        <v>0.29692307692307701</v>
      </c>
      <c r="Z3167" s="2" t="s">
        <v>3227</v>
      </c>
      <c r="AA3167" s="2" t="s">
        <v>46</v>
      </c>
      <c r="AB3167" s="2" t="s">
        <v>60</v>
      </c>
      <c r="AC3167" s="2" t="s">
        <v>57</v>
      </c>
      <c r="AF3167" s="2">
        <f t="shared" si="443"/>
        <v>0</v>
      </c>
      <c r="AG3167" s="2">
        <v>9.14</v>
      </c>
      <c r="AH3167" s="2">
        <v>16</v>
      </c>
      <c r="AJ3167" s="2">
        <f t="shared" si="444"/>
        <v>0</v>
      </c>
      <c r="AK3167" s="2">
        <f t="shared" si="449"/>
        <v>7.7200000000000024</v>
      </c>
      <c r="AL3167" s="5">
        <f t="shared" si="450"/>
        <v>0.29692307692307701</v>
      </c>
    </row>
    <row r="3168" spans="1:38" x14ac:dyDescent="0.2">
      <c r="A3168" s="2">
        <v>2026</v>
      </c>
      <c r="B3168" s="2">
        <v>2</v>
      </c>
      <c r="D3168" s="2" t="s">
        <v>37</v>
      </c>
      <c r="E3168" s="2" t="s">
        <v>38</v>
      </c>
      <c r="F3168" s="2" t="s">
        <v>39</v>
      </c>
      <c r="H3168" s="2" t="s">
        <v>40</v>
      </c>
      <c r="P3168" s="2" t="s">
        <v>43</v>
      </c>
      <c r="Q3168" s="2" t="s">
        <v>61</v>
      </c>
      <c r="R3168" s="2" t="s">
        <v>62</v>
      </c>
      <c r="S3168" s="2">
        <v>1900</v>
      </c>
      <c r="T3168" s="2">
        <v>209</v>
      </c>
      <c r="U3168" s="2">
        <v>48.07</v>
      </c>
      <c r="V3168" s="2">
        <v>257.07</v>
      </c>
      <c r="W3168" s="2">
        <f>0.082*S3168</f>
        <v>155.80000000000001</v>
      </c>
      <c r="X3168" s="5">
        <f t="shared" si="448"/>
        <v>0.25454545454545446</v>
      </c>
      <c r="Z3168" s="2" t="s">
        <v>3227</v>
      </c>
      <c r="AA3168" s="2" t="s">
        <v>46</v>
      </c>
      <c r="AB3168" s="2" t="s">
        <v>60</v>
      </c>
      <c r="AC3168" s="2" t="s">
        <v>57</v>
      </c>
      <c r="AF3168" s="2">
        <f t="shared" si="443"/>
        <v>0</v>
      </c>
      <c r="AG3168" s="2">
        <v>8.1999999999999993</v>
      </c>
      <c r="AH3168" s="2">
        <v>13</v>
      </c>
      <c r="AJ3168" s="2">
        <f t="shared" si="444"/>
        <v>0</v>
      </c>
      <c r="AK3168" s="2">
        <f t="shared" si="449"/>
        <v>53.199999999999989</v>
      </c>
      <c r="AL3168" s="5">
        <f t="shared" si="450"/>
        <v>0.25454545454545446</v>
      </c>
    </row>
    <row r="3169" spans="1:38" x14ac:dyDescent="0.2">
      <c r="A3169" s="2">
        <v>2026</v>
      </c>
      <c r="B3169" s="2">
        <v>2</v>
      </c>
      <c r="D3169" s="2" t="s">
        <v>422</v>
      </c>
      <c r="E3169" s="2" t="s">
        <v>98</v>
      </c>
      <c r="F3169" s="2" t="s">
        <v>39</v>
      </c>
      <c r="G3169" s="2">
        <v>503523470</v>
      </c>
      <c r="H3169" s="2" t="s">
        <v>40</v>
      </c>
      <c r="I3169" s="2" t="s">
        <v>423</v>
      </c>
      <c r="J3169" s="2" t="s">
        <v>424</v>
      </c>
      <c r="L3169" s="2" t="s">
        <v>201</v>
      </c>
      <c r="M3169" s="2" t="s">
        <v>80</v>
      </c>
      <c r="P3169" s="2" t="s">
        <v>43</v>
      </c>
      <c r="Q3169" s="2" t="s">
        <v>61</v>
      </c>
      <c r="R3169" s="2" t="s">
        <v>62</v>
      </c>
      <c r="S3169" s="2">
        <v>200</v>
      </c>
      <c r="T3169" s="2">
        <v>26</v>
      </c>
      <c r="U3169" s="2">
        <v>5.98</v>
      </c>
      <c r="V3169" s="2">
        <v>31.98</v>
      </c>
      <c r="W3169" s="2">
        <f>0.082*S3169</f>
        <v>16.400000000000002</v>
      </c>
      <c r="X3169" s="5">
        <f t="shared" si="448"/>
        <v>0.36923076923076914</v>
      </c>
      <c r="Z3169" s="2" t="s">
        <v>3227</v>
      </c>
      <c r="AA3169" s="2" t="s">
        <v>46</v>
      </c>
      <c r="AB3169" s="2" t="s">
        <v>60</v>
      </c>
      <c r="AC3169" s="2" t="s">
        <v>57</v>
      </c>
      <c r="AF3169" s="2">
        <f t="shared" si="443"/>
        <v>0</v>
      </c>
      <c r="AG3169" s="2">
        <v>8.1999999999999993</v>
      </c>
      <c r="AH3169" s="2">
        <v>13</v>
      </c>
      <c r="AJ3169" s="2">
        <f t="shared" si="444"/>
        <v>0</v>
      </c>
      <c r="AK3169" s="2">
        <f t="shared" si="449"/>
        <v>9.5999999999999979</v>
      </c>
      <c r="AL3169" s="5">
        <f t="shared" si="450"/>
        <v>0.36923076923076914</v>
      </c>
    </row>
    <row r="3170" spans="1:38" x14ac:dyDescent="0.2">
      <c r="A3170" s="2">
        <v>2026</v>
      </c>
      <c r="B3170" s="2">
        <v>2</v>
      </c>
      <c r="D3170" s="2" t="s">
        <v>425</v>
      </c>
      <c r="E3170" s="2" t="s">
        <v>98</v>
      </c>
      <c r="F3170" s="2" t="s">
        <v>39</v>
      </c>
      <c r="G3170" s="2">
        <v>510613888</v>
      </c>
      <c r="H3170" s="2" t="s">
        <v>40</v>
      </c>
      <c r="I3170" s="2" t="s">
        <v>426</v>
      </c>
      <c r="J3170" s="2" t="s">
        <v>427</v>
      </c>
      <c r="L3170" s="2" t="s">
        <v>99</v>
      </c>
      <c r="M3170" s="2" t="s">
        <v>80</v>
      </c>
      <c r="P3170" s="2" t="s">
        <v>43</v>
      </c>
      <c r="Q3170" s="2" t="s">
        <v>61</v>
      </c>
      <c r="R3170" s="2" t="s">
        <v>62</v>
      </c>
      <c r="S3170" s="2">
        <v>0</v>
      </c>
      <c r="T3170" s="2">
        <v>0</v>
      </c>
      <c r="U3170" s="2">
        <v>0</v>
      </c>
      <c r="V3170" s="2">
        <v>0</v>
      </c>
      <c r="W3170" s="2">
        <v>0</v>
      </c>
      <c r="X3170" s="5">
        <v>0</v>
      </c>
      <c r="Z3170" s="2" t="s">
        <v>3227</v>
      </c>
      <c r="AA3170" s="2" t="s">
        <v>46</v>
      </c>
      <c r="AB3170" s="2" t="s">
        <v>60</v>
      </c>
      <c r="AC3170" s="2" t="s">
        <v>57</v>
      </c>
      <c r="AF3170" s="2">
        <f t="shared" si="443"/>
        <v>0</v>
      </c>
      <c r="AG3170" s="2">
        <v>8.1999999999999993</v>
      </c>
      <c r="AH3170" s="2">
        <v>13</v>
      </c>
      <c r="AJ3170" s="2">
        <f t="shared" si="444"/>
        <v>0</v>
      </c>
      <c r="AK3170" s="2">
        <f t="shared" si="449"/>
        <v>0</v>
      </c>
      <c r="AL3170" s="5">
        <f>IF(T3170=0,IF(W3170&gt;0,-100%,0%),(T3170-W3170)/T3170)</f>
        <v>0</v>
      </c>
    </row>
    <row r="3171" spans="1:38" x14ac:dyDescent="0.2">
      <c r="A3171" s="2">
        <v>2026</v>
      </c>
      <c r="B3171" s="2">
        <v>2</v>
      </c>
      <c r="D3171" s="2" t="s">
        <v>2534</v>
      </c>
      <c r="P3171" s="2" t="s">
        <v>43</v>
      </c>
      <c r="Q3171" s="2" t="s">
        <v>61</v>
      </c>
      <c r="R3171" s="2" t="s">
        <v>62</v>
      </c>
      <c r="S3171" s="2">
        <v>200</v>
      </c>
      <c r="T3171" s="2">
        <v>24</v>
      </c>
      <c r="U3171" s="2">
        <v>5.52</v>
      </c>
      <c r="V3171" s="2">
        <v>29.52</v>
      </c>
      <c r="W3171" s="2">
        <f>0.082*S3171</f>
        <v>16.400000000000002</v>
      </c>
      <c r="X3171" s="5">
        <f t="shared" ref="X3171:X3181" si="451">(T3171-W3171)/T3171</f>
        <v>0.3166666666666666</v>
      </c>
      <c r="Z3171" s="2" t="s">
        <v>3227</v>
      </c>
      <c r="AA3171" s="2" t="s">
        <v>46</v>
      </c>
      <c r="AB3171" s="2" t="s">
        <v>60</v>
      </c>
      <c r="AC3171" s="2" t="s">
        <v>57</v>
      </c>
      <c r="AF3171" s="2">
        <f t="shared" si="443"/>
        <v>0</v>
      </c>
      <c r="AG3171" s="2">
        <v>8.1999999999999993</v>
      </c>
      <c r="AH3171" s="2">
        <v>13</v>
      </c>
      <c r="AJ3171" s="2">
        <f t="shared" si="444"/>
        <v>0</v>
      </c>
      <c r="AK3171" s="2">
        <f t="shared" si="449"/>
        <v>7.5999999999999979</v>
      </c>
      <c r="AL3171" s="5">
        <f t="shared" ref="AL3171:AL3181" si="452">(T3171-W3171)/T3171</f>
        <v>0.3166666666666666</v>
      </c>
    </row>
    <row r="3172" spans="1:38" x14ac:dyDescent="0.2">
      <c r="A3172" s="2">
        <v>2026</v>
      </c>
      <c r="B3172" s="2">
        <v>2</v>
      </c>
      <c r="D3172" s="2" t="s">
        <v>1021</v>
      </c>
      <c r="E3172" s="2" t="s">
        <v>38</v>
      </c>
      <c r="F3172" s="2" t="s">
        <v>39</v>
      </c>
      <c r="G3172" s="2">
        <v>504493612</v>
      </c>
      <c r="H3172" s="2" t="s">
        <v>41</v>
      </c>
      <c r="I3172" s="2" t="s">
        <v>1554</v>
      </c>
      <c r="J3172" s="2" t="s">
        <v>2525</v>
      </c>
      <c r="L3172" s="2" t="s">
        <v>177</v>
      </c>
      <c r="P3172" s="2" t="s">
        <v>43</v>
      </c>
      <c r="Q3172" s="2" t="s">
        <v>61</v>
      </c>
      <c r="R3172" s="2" t="s">
        <v>62</v>
      </c>
      <c r="S3172" s="2">
        <v>100</v>
      </c>
      <c r="T3172" s="2">
        <v>13</v>
      </c>
      <c r="U3172" s="2">
        <v>2.99</v>
      </c>
      <c r="V3172" s="2">
        <v>15.99</v>
      </c>
      <c r="W3172" s="2">
        <f>0.082*S3172</f>
        <v>8.2000000000000011</v>
      </c>
      <c r="X3172" s="5">
        <f t="shared" si="451"/>
        <v>0.36923076923076914</v>
      </c>
      <c r="Z3172" s="2" t="s">
        <v>3227</v>
      </c>
      <c r="AA3172" s="2" t="s">
        <v>46</v>
      </c>
      <c r="AB3172" s="2" t="s">
        <v>60</v>
      </c>
      <c r="AC3172" s="2" t="s">
        <v>57</v>
      </c>
      <c r="AF3172" s="2">
        <f t="shared" si="443"/>
        <v>0</v>
      </c>
      <c r="AG3172" s="2">
        <v>8.1999999999999993</v>
      </c>
      <c r="AH3172" s="2">
        <v>13</v>
      </c>
      <c r="AJ3172" s="2">
        <f t="shared" si="444"/>
        <v>0</v>
      </c>
      <c r="AK3172" s="2">
        <f t="shared" si="449"/>
        <v>4.7999999999999989</v>
      </c>
      <c r="AL3172" s="5">
        <f t="shared" si="452"/>
        <v>0.36923076923076914</v>
      </c>
    </row>
    <row r="3173" spans="1:38" x14ac:dyDescent="0.2">
      <c r="A3173" s="2">
        <v>2026</v>
      </c>
      <c r="B3173" s="2">
        <v>2</v>
      </c>
      <c r="D3173" s="2" t="s">
        <v>617</v>
      </c>
      <c r="E3173" s="2" t="s">
        <v>38</v>
      </c>
      <c r="F3173" s="2" t="s">
        <v>39</v>
      </c>
      <c r="G3173" s="2">
        <v>513759654</v>
      </c>
      <c r="H3173" s="2" t="s">
        <v>41</v>
      </c>
      <c r="I3173" s="2" t="s">
        <v>618</v>
      </c>
      <c r="J3173" s="2" t="s">
        <v>619</v>
      </c>
      <c r="L3173" s="2" t="s">
        <v>418</v>
      </c>
      <c r="M3173" s="2" t="s">
        <v>41</v>
      </c>
      <c r="P3173" s="2" t="s">
        <v>43</v>
      </c>
      <c r="Q3173" s="2" t="s">
        <v>61</v>
      </c>
      <c r="R3173" s="2" t="s">
        <v>62</v>
      </c>
      <c r="S3173" s="2">
        <v>100</v>
      </c>
      <c r="T3173" s="2">
        <v>12</v>
      </c>
      <c r="U3173" s="2">
        <v>2.76</v>
      </c>
      <c r="V3173" s="2">
        <v>14.76</v>
      </c>
      <c r="W3173" s="2">
        <f>0.082*S3173</f>
        <v>8.2000000000000011</v>
      </c>
      <c r="X3173" s="5">
        <f t="shared" si="451"/>
        <v>0.3166666666666666</v>
      </c>
      <c r="Z3173" s="2" t="s">
        <v>3227</v>
      </c>
      <c r="AA3173" s="2" t="s">
        <v>46</v>
      </c>
      <c r="AB3173" s="2" t="s">
        <v>60</v>
      </c>
      <c r="AC3173" s="2" t="s">
        <v>57</v>
      </c>
      <c r="AF3173" s="2">
        <f t="shared" si="443"/>
        <v>0</v>
      </c>
      <c r="AG3173" s="2">
        <v>8.1999999999999993</v>
      </c>
      <c r="AH3173" s="2">
        <v>13</v>
      </c>
      <c r="AJ3173" s="2">
        <f t="shared" si="444"/>
        <v>0</v>
      </c>
      <c r="AK3173" s="2">
        <f t="shared" si="449"/>
        <v>3.7999999999999989</v>
      </c>
      <c r="AL3173" s="5">
        <f t="shared" si="452"/>
        <v>0.3166666666666666</v>
      </c>
    </row>
    <row r="3174" spans="1:38" x14ac:dyDescent="0.2">
      <c r="A3174" s="2">
        <v>2026</v>
      </c>
      <c r="B3174" s="2">
        <v>2</v>
      </c>
      <c r="D3174" s="2" t="s">
        <v>1312</v>
      </c>
      <c r="E3174" s="2" t="s">
        <v>38</v>
      </c>
      <c r="F3174" s="2" t="s">
        <v>39</v>
      </c>
      <c r="G3174" s="2">
        <v>509512739</v>
      </c>
      <c r="H3174" s="2" t="s">
        <v>41</v>
      </c>
      <c r="I3174" s="2" t="s">
        <v>177</v>
      </c>
      <c r="J3174" s="2" t="s">
        <v>1313</v>
      </c>
      <c r="L3174" s="2" t="s">
        <v>177</v>
      </c>
      <c r="M3174" s="2" t="s">
        <v>41</v>
      </c>
      <c r="O3174" s="2" t="s">
        <v>2535</v>
      </c>
      <c r="P3174" s="2" t="s">
        <v>43</v>
      </c>
      <c r="Q3174" s="2" t="s">
        <v>61</v>
      </c>
      <c r="R3174" s="2" t="s">
        <v>62</v>
      </c>
      <c r="S3174" s="2">
        <v>200</v>
      </c>
      <c r="T3174" s="2">
        <v>24</v>
      </c>
      <c r="U3174" s="2">
        <v>5.52</v>
      </c>
      <c r="V3174" s="2">
        <v>29.52</v>
      </c>
      <c r="W3174" s="2">
        <f>0.082*S3174</f>
        <v>16.400000000000002</v>
      </c>
      <c r="X3174" s="5">
        <f t="shared" si="451"/>
        <v>0.3166666666666666</v>
      </c>
      <c r="Z3174" s="2" t="s">
        <v>3227</v>
      </c>
      <c r="AA3174" s="2" t="s">
        <v>46</v>
      </c>
      <c r="AB3174" s="2" t="s">
        <v>60</v>
      </c>
      <c r="AC3174" s="2" t="s">
        <v>57</v>
      </c>
      <c r="AF3174" s="2">
        <f t="shared" si="443"/>
        <v>0</v>
      </c>
      <c r="AG3174" s="2">
        <v>8.1999999999999993</v>
      </c>
      <c r="AH3174" s="2">
        <v>13</v>
      </c>
      <c r="AJ3174" s="2">
        <f t="shared" si="444"/>
        <v>0</v>
      </c>
      <c r="AK3174" s="2">
        <f t="shared" si="449"/>
        <v>7.5999999999999979</v>
      </c>
      <c r="AL3174" s="5">
        <f t="shared" si="452"/>
        <v>0.3166666666666666</v>
      </c>
    </row>
    <row r="3175" spans="1:38" x14ac:dyDescent="0.2">
      <c r="A3175" s="2">
        <v>2026</v>
      </c>
      <c r="B3175" s="2">
        <v>2</v>
      </c>
      <c r="D3175" s="2" t="s">
        <v>2534</v>
      </c>
      <c r="P3175" s="2" t="s">
        <v>43</v>
      </c>
      <c r="Q3175" s="2" t="s">
        <v>254</v>
      </c>
      <c r="R3175" s="2" t="s">
        <v>255</v>
      </c>
      <c r="S3175" s="2">
        <v>100</v>
      </c>
      <c r="T3175" s="2">
        <v>14</v>
      </c>
      <c r="U3175" s="2">
        <v>3.22</v>
      </c>
      <c r="V3175" s="2">
        <v>17.22</v>
      </c>
      <c r="W3175" s="2">
        <f>0.0914*S3175</f>
        <v>9.1399999999999988</v>
      </c>
      <c r="X3175" s="5">
        <f t="shared" si="451"/>
        <v>0.34714285714285725</v>
      </c>
      <c r="Z3175" s="2" t="s">
        <v>3227</v>
      </c>
      <c r="AA3175" s="2" t="s">
        <v>46</v>
      </c>
      <c r="AB3175" s="2" t="s">
        <v>60</v>
      </c>
      <c r="AC3175" s="2" t="s">
        <v>57</v>
      </c>
      <c r="AF3175" s="2">
        <f t="shared" si="443"/>
        <v>0</v>
      </c>
      <c r="AJ3175" s="2">
        <f t="shared" si="444"/>
        <v>0</v>
      </c>
      <c r="AK3175" s="2">
        <f t="shared" si="449"/>
        <v>4.8600000000000012</v>
      </c>
      <c r="AL3175" s="5">
        <f t="shared" si="452"/>
        <v>0.34714285714285725</v>
      </c>
    </row>
    <row r="3176" spans="1:38" x14ac:dyDescent="0.2">
      <c r="A3176" s="2">
        <v>2026</v>
      </c>
      <c r="B3176" s="2">
        <v>2</v>
      </c>
      <c r="D3176" s="2" t="s">
        <v>1312</v>
      </c>
      <c r="E3176" s="2" t="s">
        <v>38</v>
      </c>
      <c r="F3176" s="2" t="s">
        <v>39</v>
      </c>
      <c r="G3176" s="2">
        <v>509512739</v>
      </c>
      <c r="H3176" s="2" t="s">
        <v>41</v>
      </c>
      <c r="I3176" s="2" t="s">
        <v>177</v>
      </c>
      <c r="J3176" s="2" t="s">
        <v>1313</v>
      </c>
      <c r="L3176" s="2" t="s">
        <v>177</v>
      </c>
      <c r="M3176" s="2" t="s">
        <v>41</v>
      </c>
      <c r="O3176" s="2" t="s">
        <v>2535</v>
      </c>
      <c r="P3176" s="2" t="s">
        <v>43</v>
      </c>
      <c r="Q3176" s="2" t="s">
        <v>254</v>
      </c>
      <c r="R3176" s="2" t="s">
        <v>255</v>
      </c>
      <c r="S3176" s="2">
        <v>100</v>
      </c>
      <c r="T3176" s="2">
        <v>14</v>
      </c>
      <c r="U3176" s="2">
        <v>3.22</v>
      </c>
      <c r="V3176" s="2">
        <v>17.22</v>
      </c>
      <c r="W3176" s="2">
        <f>0.0914*S3176</f>
        <v>9.1399999999999988</v>
      </c>
      <c r="X3176" s="5">
        <f t="shared" si="451"/>
        <v>0.34714285714285725</v>
      </c>
      <c r="Z3176" s="2" t="s">
        <v>3227</v>
      </c>
      <c r="AA3176" s="2" t="s">
        <v>46</v>
      </c>
      <c r="AB3176" s="2" t="s">
        <v>60</v>
      </c>
      <c r="AC3176" s="2" t="s">
        <v>57</v>
      </c>
      <c r="AF3176" s="2">
        <f t="shared" si="443"/>
        <v>0</v>
      </c>
      <c r="AJ3176" s="2">
        <f t="shared" si="444"/>
        <v>0</v>
      </c>
      <c r="AK3176" s="2">
        <f t="shared" si="449"/>
        <v>4.8600000000000012</v>
      </c>
      <c r="AL3176" s="5">
        <f t="shared" si="452"/>
        <v>0.34714285714285725</v>
      </c>
    </row>
    <row r="3177" spans="1:38" x14ac:dyDescent="0.2">
      <c r="A3177" s="2">
        <v>2026</v>
      </c>
      <c r="B3177" s="2">
        <v>2</v>
      </c>
      <c r="D3177" s="2" t="s">
        <v>1021</v>
      </c>
      <c r="E3177" s="2" t="s">
        <v>38</v>
      </c>
      <c r="F3177" s="2" t="s">
        <v>39</v>
      </c>
      <c r="G3177" s="2">
        <v>504493612</v>
      </c>
      <c r="H3177" s="2" t="s">
        <v>41</v>
      </c>
      <c r="I3177" s="2" t="s">
        <v>1554</v>
      </c>
      <c r="J3177" s="2" t="s">
        <v>2525</v>
      </c>
      <c r="L3177" s="2" t="s">
        <v>177</v>
      </c>
      <c r="M3177" s="2" t="s">
        <v>41</v>
      </c>
      <c r="P3177" s="2" t="s">
        <v>43</v>
      </c>
      <c r="Q3177" s="2" t="s">
        <v>420</v>
      </c>
      <c r="R3177" s="2" t="s">
        <v>421</v>
      </c>
      <c r="S3177" s="2">
        <v>4</v>
      </c>
      <c r="T3177" s="2">
        <v>28.8</v>
      </c>
      <c r="U3177" s="2">
        <v>6.6240000000000014</v>
      </c>
      <c r="V3177" s="2">
        <v>35.423999999999999</v>
      </c>
      <c r="W3177" s="2">
        <f>3.7556*S3177</f>
        <v>15.022399999999999</v>
      </c>
      <c r="X3177" s="5">
        <f t="shared" si="451"/>
        <v>0.47838888888888892</v>
      </c>
      <c r="Z3177" s="2" t="s">
        <v>3227</v>
      </c>
      <c r="AA3177" s="2" t="s">
        <v>46</v>
      </c>
      <c r="AB3177" s="2" t="s">
        <v>60</v>
      </c>
      <c r="AC3177" s="2" t="s">
        <v>57</v>
      </c>
      <c r="AF3177" s="2">
        <f t="shared" si="443"/>
        <v>0</v>
      </c>
      <c r="AG3177" s="2">
        <v>3.7555999999999998</v>
      </c>
      <c r="AH3177" s="2">
        <v>7.2</v>
      </c>
      <c r="AJ3177" s="2">
        <f t="shared" si="444"/>
        <v>0</v>
      </c>
      <c r="AK3177" s="2">
        <f t="shared" si="449"/>
        <v>13.777600000000001</v>
      </c>
      <c r="AL3177" s="5">
        <f t="shared" si="452"/>
        <v>0.47838888888888892</v>
      </c>
    </row>
    <row r="3178" spans="1:38" x14ac:dyDescent="0.2">
      <c r="A3178" s="2">
        <v>2026</v>
      </c>
      <c r="B3178" s="2">
        <v>2</v>
      </c>
      <c r="D3178" s="2" t="s">
        <v>1021</v>
      </c>
      <c r="E3178" s="2" t="s">
        <v>38</v>
      </c>
      <c r="F3178" s="2" t="s">
        <v>39</v>
      </c>
      <c r="G3178" s="2">
        <v>504493612</v>
      </c>
      <c r="H3178" s="2" t="s">
        <v>41</v>
      </c>
      <c r="I3178" s="2" t="s">
        <v>1554</v>
      </c>
      <c r="J3178" s="2" t="s">
        <v>2525</v>
      </c>
      <c r="L3178" s="2" t="s">
        <v>177</v>
      </c>
      <c r="P3178" s="2" t="s">
        <v>43</v>
      </c>
      <c r="Q3178" s="2" t="s">
        <v>63</v>
      </c>
      <c r="R3178" s="2" t="s">
        <v>64</v>
      </c>
      <c r="S3178" s="2">
        <v>1</v>
      </c>
      <c r="T3178" s="2">
        <v>1.8</v>
      </c>
      <c r="U3178" s="2">
        <v>0.41399999999999998</v>
      </c>
      <c r="V3178" s="2">
        <v>2.214</v>
      </c>
      <c r="W3178" s="2">
        <f>0.8561*S3178</f>
        <v>0.85609999999999997</v>
      </c>
      <c r="X3178" s="5">
        <f t="shared" si="451"/>
        <v>0.5243888888888889</v>
      </c>
      <c r="Z3178" s="2" t="s">
        <v>3227</v>
      </c>
      <c r="AA3178" s="2" t="s">
        <v>46</v>
      </c>
      <c r="AB3178" s="2" t="s">
        <v>60</v>
      </c>
      <c r="AC3178" s="2" t="s">
        <v>57</v>
      </c>
      <c r="AF3178" s="2">
        <f t="shared" si="443"/>
        <v>0</v>
      </c>
      <c r="AG3178" s="2">
        <v>0.85609999999999997</v>
      </c>
      <c r="AH3178" s="2">
        <v>1.8</v>
      </c>
      <c r="AJ3178" s="2">
        <f t="shared" si="444"/>
        <v>0</v>
      </c>
      <c r="AK3178" s="2">
        <f t="shared" si="449"/>
        <v>0.94390000000000007</v>
      </c>
      <c r="AL3178" s="5">
        <f t="shared" si="452"/>
        <v>0.5243888888888889</v>
      </c>
    </row>
    <row r="3179" spans="1:38" x14ac:dyDescent="0.2">
      <c r="A3179" s="2">
        <v>2026</v>
      </c>
      <c r="B3179" s="2">
        <v>2</v>
      </c>
      <c r="D3179" s="2" t="s">
        <v>2536</v>
      </c>
      <c r="P3179" s="2" t="s">
        <v>43</v>
      </c>
      <c r="Q3179" s="2" t="s">
        <v>63</v>
      </c>
      <c r="R3179" s="2" t="s">
        <v>64</v>
      </c>
      <c r="S3179" s="2">
        <v>1</v>
      </c>
      <c r="T3179" s="2">
        <v>3</v>
      </c>
      <c r="U3179" s="2">
        <v>0.69000000000000006</v>
      </c>
      <c r="V3179" s="2">
        <v>3.69</v>
      </c>
      <c r="W3179" s="2">
        <f>0.8561*S3179</f>
        <v>0.85609999999999997</v>
      </c>
      <c r="X3179" s="5">
        <f t="shared" si="451"/>
        <v>0.71463333333333334</v>
      </c>
      <c r="Z3179" s="2" t="s">
        <v>3227</v>
      </c>
      <c r="AA3179" s="2" t="s">
        <v>46</v>
      </c>
      <c r="AB3179" s="2" t="s">
        <v>60</v>
      </c>
      <c r="AC3179" s="2" t="s">
        <v>57</v>
      </c>
      <c r="AF3179" s="2">
        <f t="shared" si="443"/>
        <v>0</v>
      </c>
      <c r="AG3179" s="2">
        <v>0.85609999999999997</v>
      </c>
      <c r="AH3179" s="2">
        <v>1.8</v>
      </c>
      <c r="AJ3179" s="2">
        <f t="shared" si="444"/>
        <v>0</v>
      </c>
      <c r="AK3179" s="2">
        <f t="shared" si="449"/>
        <v>2.1438999999999999</v>
      </c>
      <c r="AL3179" s="5">
        <f t="shared" si="452"/>
        <v>0.71463333333333334</v>
      </c>
    </row>
    <row r="3180" spans="1:38" x14ac:dyDescent="0.2">
      <c r="A3180" s="2">
        <v>2026</v>
      </c>
      <c r="B3180" s="2">
        <v>2</v>
      </c>
      <c r="D3180" s="2" t="s">
        <v>2537</v>
      </c>
      <c r="M3180" s="2" t="s">
        <v>80</v>
      </c>
      <c r="P3180" s="2" t="s">
        <v>43</v>
      </c>
      <c r="Q3180" s="2" t="s">
        <v>334</v>
      </c>
      <c r="R3180" s="2" t="s">
        <v>335</v>
      </c>
      <c r="S3180" s="2">
        <v>3</v>
      </c>
      <c r="T3180" s="2">
        <v>9</v>
      </c>
      <c r="U3180" s="2">
        <v>2.0699999999999998</v>
      </c>
      <c r="V3180" s="2">
        <v>11.07</v>
      </c>
      <c r="W3180" s="2">
        <f>1.1122*S3180</f>
        <v>3.3366000000000002</v>
      </c>
      <c r="X3180" s="5">
        <f t="shared" si="451"/>
        <v>0.62926666666666664</v>
      </c>
      <c r="Z3180" s="2" t="s">
        <v>3227</v>
      </c>
      <c r="AA3180" s="2" t="s">
        <v>46</v>
      </c>
      <c r="AB3180" s="2" t="s">
        <v>60</v>
      </c>
      <c r="AC3180" s="2" t="s">
        <v>57</v>
      </c>
      <c r="AF3180" s="2">
        <f t="shared" si="443"/>
        <v>0</v>
      </c>
      <c r="AG3180" s="2">
        <v>1.1122000000000001</v>
      </c>
      <c r="AH3180" s="2">
        <v>3</v>
      </c>
      <c r="AJ3180" s="2">
        <f t="shared" si="444"/>
        <v>0</v>
      </c>
      <c r="AK3180" s="2">
        <f t="shared" si="449"/>
        <v>5.6633999999999993</v>
      </c>
      <c r="AL3180" s="5">
        <f t="shared" si="452"/>
        <v>0.62926666666666664</v>
      </c>
    </row>
    <row r="3181" spans="1:38" x14ac:dyDescent="0.2">
      <c r="A3181" s="2">
        <v>2026</v>
      </c>
      <c r="B3181" s="2">
        <v>2</v>
      </c>
      <c r="D3181" s="2" t="s">
        <v>2521</v>
      </c>
      <c r="M3181" s="2" t="s">
        <v>109</v>
      </c>
      <c r="P3181" s="2" t="s">
        <v>43</v>
      </c>
      <c r="Q3181" s="2" t="s">
        <v>2378</v>
      </c>
      <c r="R3181" s="2" t="s">
        <v>2379</v>
      </c>
      <c r="S3181" s="2">
        <v>1</v>
      </c>
      <c r="T3181" s="2">
        <v>60</v>
      </c>
      <c r="U3181" s="2">
        <v>13.8</v>
      </c>
      <c r="V3181" s="2">
        <v>73.8</v>
      </c>
      <c r="W3181" s="2">
        <v>100</v>
      </c>
      <c r="X3181" s="18">
        <f t="shared" si="451"/>
        <v>-0.66666666666666663</v>
      </c>
      <c r="Z3181" s="2" t="s">
        <v>3227</v>
      </c>
      <c r="AA3181" s="2" t="s">
        <v>46</v>
      </c>
      <c r="AB3181" s="2" t="s">
        <v>90</v>
      </c>
      <c r="AC3181" s="2" t="s">
        <v>57</v>
      </c>
      <c r="AF3181" s="2">
        <f t="shared" si="443"/>
        <v>0</v>
      </c>
      <c r="AJ3181" s="2">
        <f t="shared" si="444"/>
        <v>0</v>
      </c>
      <c r="AK3181" s="2">
        <f t="shared" si="449"/>
        <v>-40</v>
      </c>
      <c r="AL3181" s="18">
        <f t="shared" si="452"/>
        <v>-0.66666666666666663</v>
      </c>
    </row>
    <row r="3182" spans="1:38" x14ac:dyDescent="0.2">
      <c r="A3182" s="2">
        <v>2026</v>
      </c>
      <c r="B3182" s="2">
        <v>2</v>
      </c>
      <c r="D3182" s="2" t="s">
        <v>1015</v>
      </c>
      <c r="E3182" s="2" t="s">
        <v>108</v>
      </c>
      <c r="F3182" s="2" t="s">
        <v>477</v>
      </c>
      <c r="G3182" s="2">
        <v>503815284</v>
      </c>
      <c r="H3182" s="2" t="s">
        <v>40</v>
      </c>
      <c r="I3182" s="2" t="s">
        <v>156</v>
      </c>
      <c r="J3182" s="2" t="s">
        <v>2538</v>
      </c>
      <c r="L3182" s="2" t="s">
        <v>99</v>
      </c>
      <c r="M3182" s="2" t="s">
        <v>80</v>
      </c>
      <c r="O3182" s="2" t="s">
        <v>2539</v>
      </c>
      <c r="P3182" s="2" t="s">
        <v>43</v>
      </c>
      <c r="Q3182" s="2" t="s">
        <v>164</v>
      </c>
      <c r="R3182" s="2" t="s">
        <v>165</v>
      </c>
      <c r="S3182" s="2">
        <v>1</v>
      </c>
      <c r="T3182" s="2">
        <v>0</v>
      </c>
      <c r="U3182" s="2">
        <v>0</v>
      </c>
      <c r="V3182" s="2">
        <v>0</v>
      </c>
      <c r="W3182" s="2">
        <f>7.9612*S3182</f>
        <v>7.9611999999999998</v>
      </c>
      <c r="X3182" s="18">
        <f>IF(T3182=0,IF(W3182&gt;0,-100%,0%),(T3182-W3182)/T3182)</f>
        <v>-1</v>
      </c>
      <c r="Z3182" s="2" t="s">
        <v>3227</v>
      </c>
      <c r="AA3182" s="2" t="s">
        <v>46</v>
      </c>
      <c r="AB3182" s="2" t="s">
        <v>67</v>
      </c>
      <c r="AC3182" s="2" t="s">
        <v>57</v>
      </c>
      <c r="AF3182" s="2">
        <f t="shared" si="443"/>
        <v>0</v>
      </c>
      <c r="AG3182" s="2">
        <v>7.9611999999999998</v>
      </c>
      <c r="AH3182" s="2">
        <v>14.4</v>
      </c>
      <c r="AJ3182" s="2">
        <f t="shared" si="444"/>
        <v>0</v>
      </c>
      <c r="AK3182" s="2">
        <f t="shared" si="449"/>
        <v>-7.9611999999999998</v>
      </c>
      <c r="AL3182" s="18">
        <f>IF(T3182=0,IF(W3182&gt;0,-100%,0%),(T3182-W3182)/T3182)</f>
        <v>-1</v>
      </c>
    </row>
    <row r="3183" spans="1:38" x14ac:dyDescent="0.2">
      <c r="A3183" s="2">
        <v>2026</v>
      </c>
      <c r="B3183" s="2">
        <v>2</v>
      </c>
      <c r="D3183" s="2" t="s">
        <v>574</v>
      </c>
      <c r="E3183" s="2" t="s">
        <v>38</v>
      </c>
      <c r="F3183" s="2" t="s">
        <v>39</v>
      </c>
      <c r="G3183" s="2">
        <v>504811029</v>
      </c>
      <c r="H3183" s="2" t="s">
        <v>41</v>
      </c>
      <c r="I3183" s="2" t="s">
        <v>177</v>
      </c>
      <c r="J3183" s="2" t="s">
        <v>575</v>
      </c>
      <c r="L3183" s="2" t="s">
        <v>177</v>
      </c>
      <c r="M3183" s="2" t="s">
        <v>41</v>
      </c>
      <c r="P3183" s="2" t="s">
        <v>43</v>
      </c>
      <c r="Q3183" s="2" t="s">
        <v>164</v>
      </c>
      <c r="R3183" s="2" t="s">
        <v>165</v>
      </c>
      <c r="S3183" s="2">
        <v>1</v>
      </c>
      <c r="T3183" s="2">
        <v>23.5</v>
      </c>
      <c r="U3183" s="2">
        <v>5.4050000000000002</v>
      </c>
      <c r="V3183" s="2">
        <v>28.905000000000001</v>
      </c>
      <c r="W3183" s="2">
        <f>7.9612*S3183</f>
        <v>7.9611999999999998</v>
      </c>
      <c r="X3183" s="5">
        <f t="shared" ref="X3183:X3214" si="453">(T3183-W3183)/T3183</f>
        <v>0.66122553191489364</v>
      </c>
      <c r="Z3183" s="2" t="s">
        <v>3227</v>
      </c>
      <c r="AA3183" s="2" t="s">
        <v>46</v>
      </c>
      <c r="AB3183" s="2" t="s">
        <v>67</v>
      </c>
      <c r="AC3183" s="2" t="s">
        <v>57</v>
      </c>
      <c r="AF3183" s="2">
        <f t="shared" si="443"/>
        <v>0</v>
      </c>
      <c r="AG3183" s="2">
        <v>7.9611999999999998</v>
      </c>
      <c r="AH3183" s="2">
        <v>14.4</v>
      </c>
      <c r="AJ3183" s="2">
        <f t="shared" si="444"/>
        <v>0</v>
      </c>
      <c r="AK3183" s="2">
        <f t="shared" si="449"/>
        <v>15.5388</v>
      </c>
      <c r="AL3183" s="5">
        <f t="shared" ref="AL3183:AL3214" si="454">(T3183-W3183)/T3183</f>
        <v>0.66122553191489364</v>
      </c>
    </row>
    <row r="3184" spans="1:38" x14ac:dyDescent="0.2">
      <c r="A3184" s="2">
        <v>2026</v>
      </c>
      <c r="B3184" s="2">
        <v>2</v>
      </c>
      <c r="D3184" s="2" t="s">
        <v>2531</v>
      </c>
      <c r="P3184" s="2" t="s">
        <v>43</v>
      </c>
      <c r="Q3184" s="2" t="s">
        <v>65</v>
      </c>
      <c r="R3184" s="2" t="s">
        <v>66</v>
      </c>
      <c r="S3184" s="2">
        <v>3</v>
      </c>
      <c r="T3184" s="2">
        <v>70.5</v>
      </c>
      <c r="U3184" s="2">
        <v>16.215</v>
      </c>
      <c r="V3184" s="2">
        <v>86.715000000000003</v>
      </c>
      <c r="W3184" s="2">
        <f>15.0203*S3184</f>
        <v>45.060900000000004</v>
      </c>
      <c r="X3184" s="5">
        <f t="shared" si="453"/>
        <v>0.3608382978723404</v>
      </c>
      <c r="Z3184" s="2" t="s">
        <v>3227</v>
      </c>
      <c r="AA3184" s="2" t="s">
        <v>46</v>
      </c>
      <c r="AB3184" s="2" t="s">
        <v>67</v>
      </c>
      <c r="AC3184" s="2" t="s">
        <v>57</v>
      </c>
      <c r="AF3184" s="2">
        <f t="shared" si="443"/>
        <v>0</v>
      </c>
      <c r="AG3184" s="2">
        <v>15.020300000000001</v>
      </c>
      <c r="AH3184" s="2">
        <v>27.6</v>
      </c>
      <c r="AJ3184" s="2">
        <f t="shared" si="444"/>
        <v>0</v>
      </c>
      <c r="AK3184" s="2">
        <f t="shared" si="449"/>
        <v>25.439099999999996</v>
      </c>
      <c r="AL3184" s="5">
        <f t="shared" si="454"/>
        <v>0.3608382978723404</v>
      </c>
    </row>
    <row r="3185" spans="1:38" x14ac:dyDescent="0.2">
      <c r="A3185" s="2">
        <v>2026</v>
      </c>
      <c r="B3185" s="2">
        <v>2</v>
      </c>
      <c r="D3185" s="2" t="s">
        <v>332</v>
      </c>
      <c r="E3185" s="2" t="s">
        <v>108</v>
      </c>
      <c r="F3185" s="2" t="s">
        <v>39</v>
      </c>
      <c r="G3185" s="2">
        <v>513493557</v>
      </c>
      <c r="H3185" s="2" t="s">
        <v>41</v>
      </c>
      <c r="I3185" s="2" t="s">
        <v>279</v>
      </c>
      <c r="J3185" s="2" t="s">
        <v>333</v>
      </c>
      <c r="L3185" s="2" t="s">
        <v>177</v>
      </c>
      <c r="M3185" s="2" t="s">
        <v>41</v>
      </c>
      <c r="P3185" s="2" t="s">
        <v>43</v>
      </c>
      <c r="Q3185" s="2" t="s">
        <v>65</v>
      </c>
      <c r="R3185" s="2" t="s">
        <v>66</v>
      </c>
      <c r="S3185" s="2">
        <v>3</v>
      </c>
      <c r="T3185" s="2">
        <v>70.5</v>
      </c>
      <c r="U3185" s="2">
        <v>16.215</v>
      </c>
      <c r="V3185" s="2">
        <v>86.715000000000003</v>
      </c>
      <c r="W3185" s="2">
        <f>15.0203*S3185</f>
        <v>45.060900000000004</v>
      </c>
      <c r="X3185" s="5">
        <f t="shared" si="453"/>
        <v>0.3608382978723404</v>
      </c>
      <c r="Z3185" s="2" t="s">
        <v>3227</v>
      </c>
      <c r="AA3185" s="2" t="s">
        <v>46</v>
      </c>
      <c r="AB3185" s="2" t="s">
        <v>67</v>
      </c>
      <c r="AC3185" s="2" t="s">
        <v>57</v>
      </c>
      <c r="AF3185" s="2">
        <f t="shared" si="443"/>
        <v>0</v>
      </c>
      <c r="AG3185" s="2">
        <v>15.020300000000001</v>
      </c>
      <c r="AH3185" s="2">
        <v>27.6</v>
      </c>
      <c r="AJ3185" s="2">
        <f t="shared" si="444"/>
        <v>0</v>
      </c>
      <c r="AK3185" s="2">
        <f t="shared" si="449"/>
        <v>25.439099999999996</v>
      </c>
      <c r="AL3185" s="5">
        <f t="shared" si="454"/>
        <v>0.3608382978723404</v>
      </c>
    </row>
    <row r="3186" spans="1:38" x14ac:dyDescent="0.2">
      <c r="A3186" s="2">
        <v>2026</v>
      </c>
      <c r="B3186" s="2">
        <v>2</v>
      </c>
      <c r="C3186" s="2" t="s">
        <v>3300</v>
      </c>
      <c r="D3186" s="2" t="s">
        <v>1372</v>
      </c>
      <c r="E3186" s="2" t="s">
        <v>38</v>
      </c>
      <c r="F3186" s="2" t="s">
        <v>39</v>
      </c>
      <c r="I3186" s="2" t="s">
        <v>3299</v>
      </c>
      <c r="L3186" s="2" t="s">
        <v>133</v>
      </c>
      <c r="M3186" s="2" t="s">
        <v>2540</v>
      </c>
      <c r="P3186" s="2" t="s">
        <v>43</v>
      </c>
      <c r="Q3186" s="2" t="s">
        <v>65</v>
      </c>
      <c r="R3186" s="2" t="s">
        <v>66</v>
      </c>
      <c r="S3186" s="2">
        <v>2</v>
      </c>
      <c r="T3186" s="2">
        <v>55.2</v>
      </c>
      <c r="U3186" s="2">
        <v>12.696</v>
      </c>
      <c r="V3186" s="2">
        <v>67.896000000000001</v>
      </c>
      <c r="W3186" s="2">
        <f>15.0203*S3186</f>
        <v>30.040600000000001</v>
      </c>
      <c r="X3186" s="5">
        <f t="shared" si="453"/>
        <v>0.45578623188405798</v>
      </c>
      <c r="Z3186" s="2" t="s">
        <v>3227</v>
      </c>
      <c r="AA3186" s="2" t="s">
        <v>46</v>
      </c>
      <c r="AB3186" s="2" t="s">
        <v>67</v>
      </c>
      <c r="AC3186" s="2" t="s">
        <v>57</v>
      </c>
      <c r="AF3186" s="2">
        <f t="shared" si="443"/>
        <v>0</v>
      </c>
      <c r="AG3186" s="2">
        <v>15.020300000000001</v>
      </c>
      <c r="AH3186" s="2">
        <v>27.6</v>
      </c>
      <c r="AJ3186" s="2">
        <f t="shared" si="444"/>
        <v>0</v>
      </c>
      <c r="AK3186" s="2">
        <f t="shared" si="449"/>
        <v>25.159400000000002</v>
      </c>
      <c r="AL3186" s="5">
        <f t="shared" si="454"/>
        <v>0.45578623188405798</v>
      </c>
    </row>
    <row r="3187" spans="1:38" x14ac:dyDescent="0.2">
      <c r="A3187" s="2">
        <v>2026</v>
      </c>
      <c r="B3187" s="2">
        <v>2</v>
      </c>
      <c r="D3187" s="2" t="s">
        <v>1015</v>
      </c>
      <c r="E3187" s="2" t="s">
        <v>108</v>
      </c>
      <c r="F3187" s="2" t="s">
        <v>477</v>
      </c>
      <c r="G3187" s="2">
        <v>503815284</v>
      </c>
      <c r="H3187" s="2" t="s">
        <v>40</v>
      </c>
      <c r="I3187" s="2" t="s">
        <v>156</v>
      </c>
      <c r="J3187" s="2" t="s">
        <v>2538</v>
      </c>
      <c r="L3187" s="2" t="s">
        <v>99</v>
      </c>
      <c r="M3187" s="2" t="s">
        <v>80</v>
      </c>
      <c r="O3187" s="2" t="s">
        <v>2539</v>
      </c>
      <c r="P3187" s="2" t="s">
        <v>43</v>
      </c>
      <c r="Q3187" s="2" t="s">
        <v>65</v>
      </c>
      <c r="R3187" s="2" t="s">
        <v>66</v>
      </c>
      <c r="S3187" s="2">
        <v>2</v>
      </c>
      <c r="T3187" s="2">
        <v>46</v>
      </c>
      <c r="U3187" s="2">
        <v>10.58</v>
      </c>
      <c r="V3187" s="2">
        <v>56.58</v>
      </c>
      <c r="W3187" s="2">
        <f>15.0203*S3187</f>
        <v>30.040600000000001</v>
      </c>
      <c r="X3187" s="5">
        <f t="shared" si="453"/>
        <v>0.34694347826086952</v>
      </c>
      <c r="Z3187" s="2" t="s">
        <v>3227</v>
      </c>
      <c r="AA3187" s="2" t="s">
        <v>46</v>
      </c>
      <c r="AB3187" s="2" t="s">
        <v>67</v>
      </c>
      <c r="AC3187" s="2" t="s">
        <v>57</v>
      </c>
      <c r="AF3187" s="2">
        <f t="shared" si="443"/>
        <v>0</v>
      </c>
      <c r="AG3187" s="2">
        <v>15.020300000000001</v>
      </c>
      <c r="AH3187" s="2">
        <v>27.6</v>
      </c>
      <c r="AJ3187" s="2">
        <f t="shared" si="444"/>
        <v>0</v>
      </c>
      <c r="AK3187" s="2">
        <f t="shared" si="449"/>
        <v>15.959399999999999</v>
      </c>
      <c r="AL3187" s="5">
        <f t="shared" si="454"/>
        <v>0.34694347826086952</v>
      </c>
    </row>
    <row r="3188" spans="1:38" x14ac:dyDescent="0.2">
      <c r="A3188" s="2">
        <v>2026</v>
      </c>
      <c r="B3188" s="2">
        <v>2</v>
      </c>
      <c r="D3188" s="2" t="s">
        <v>617</v>
      </c>
      <c r="E3188" s="2" t="s">
        <v>38</v>
      </c>
      <c r="F3188" s="2" t="s">
        <v>39</v>
      </c>
      <c r="G3188" s="2">
        <v>513759654</v>
      </c>
      <c r="H3188" s="2" t="s">
        <v>41</v>
      </c>
      <c r="I3188" s="2" t="s">
        <v>618</v>
      </c>
      <c r="J3188" s="2" t="s">
        <v>619</v>
      </c>
      <c r="L3188" s="2" t="s">
        <v>418</v>
      </c>
      <c r="M3188" s="2" t="s">
        <v>41</v>
      </c>
      <c r="P3188" s="2" t="s">
        <v>43</v>
      </c>
      <c r="Q3188" s="2" t="s">
        <v>65</v>
      </c>
      <c r="R3188" s="2" t="s">
        <v>66</v>
      </c>
      <c r="S3188" s="2">
        <v>1</v>
      </c>
      <c r="T3188" s="2">
        <v>23.5</v>
      </c>
      <c r="U3188" s="2">
        <v>5.4050000000000002</v>
      </c>
      <c r="V3188" s="2">
        <v>28.905000000000001</v>
      </c>
      <c r="W3188" s="2">
        <f>15.0203*S3188</f>
        <v>15.020300000000001</v>
      </c>
      <c r="X3188" s="5">
        <f t="shared" si="453"/>
        <v>0.3608382978723404</v>
      </c>
      <c r="Z3188" s="2" t="s">
        <v>3227</v>
      </c>
      <c r="AA3188" s="2" t="s">
        <v>46</v>
      </c>
      <c r="AB3188" s="2" t="s">
        <v>67</v>
      </c>
      <c r="AC3188" s="2" t="s">
        <v>57</v>
      </c>
      <c r="AF3188" s="2">
        <f t="shared" si="443"/>
        <v>0</v>
      </c>
      <c r="AG3188" s="2">
        <v>15.020300000000001</v>
      </c>
      <c r="AH3188" s="2">
        <v>27.6</v>
      </c>
      <c r="AJ3188" s="2">
        <f t="shared" si="444"/>
        <v>0</v>
      </c>
      <c r="AK3188" s="2">
        <f t="shared" si="449"/>
        <v>8.4796999999999993</v>
      </c>
      <c r="AL3188" s="5">
        <f t="shared" si="454"/>
        <v>0.3608382978723404</v>
      </c>
    </row>
    <row r="3189" spans="1:38" x14ac:dyDescent="0.2">
      <c r="A3189" s="2">
        <v>2026</v>
      </c>
      <c r="B3189" s="2">
        <v>2</v>
      </c>
      <c r="D3189" s="2" t="s">
        <v>574</v>
      </c>
      <c r="E3189" s="2" t="s">
        <v>38</v>
      </c>
      <c r="F3189" s="2" t="s">
        <v>39</v>
      </c>
      <c r="G3189" s="2">
        <v>504811029</v>
      </c>
      <c r="H3189" s="2" t="s">
        <v>41</v>
      </c>
      <c r="I3189" s="2" t="s">
        <v>177</v>
      </c>
      <c r="J3189" s="2" t="s">
        <v>575</v>
      </c>
      <c r="L3189" s="2" t="s">
        <v>177</v>
      </c>
      <c r="M3189" s="2" t="s">
        <v>41</v>
      </c>
      <c r="P3189" s="2" t="s">
        <v>101</v>
      </c>
      <c r="Q3189" s="2" t="s">
        <v>1093</v>
      </c>
      <c r="R3189" s="2" t="s">
        <v>1094</v>
      </c>
      <c r="S3189" s="2">
        <v>3</v>
      </c>
      <c r="T3189" s="2">
        <v>9000</v>
      </c>
      <c r="U3189" s="2">
        <v>2070</v>
      </c>
      <c r="V3189" s="2">
        <v>11070</v>
      </c>
      <c r="W3189" s="2">
        <f>2256.42*S3189</f>
        <v>6769.26</v>
      </c>
      <c r="X3189" s="5">
        <f t="shared" si="453"/>
        <v>0.24785999999999997</v>
      </c>
      <c r="Z3189" s="2" t="s">
        <v>104</v>
      </c>
      <c r="AA3189" s="2" t="s">
        <v>264</v>
      </c>
      <c r="AB3189" s="2" t="s">
        <v>1095</v>
      </c>
      <c r="AC3189" s="2" t="s">
        <v>101</v>
      </c>
      <c r="AF3189" s="2">
        <f t="shared" si="443"/>
        <v>0</v>
      </c>
      <c r="AG3189" s="2">
        <f>2084.42+172</f>
        <v>2256.42</v>
      </c>
      <c r="AJ3189" s="2">
        <f t="shared" si="444"/>
        <v>0</v>
      </c>
      <c r="AK3189" s="2">
        <f t="shared" si="449"/>
        <v>2230.7399999999998</v>
      </c>
      <c r="AL3189" s="5">
        <f t="shared" si="454"/>
        <v>0.24785999999999997</v>
      </c>
    </row>
    <row r="3190" spans="1:38" x14ac:dyDescent="0.2">
      <c r="A3190" s="2">
        <v>2026</v>
      </c>
      <c r="B3190" s="2">
        <v>2</v>
      </c>
      <c r="D3190" s="2" t="s">
        <v>37</v>
      </c>
      <c r="E3190" s="2" t="s">
        <v>38</v>
      </c>
      <c r="F3190" s="2" t="s">
        <v>39</v>
      </c>
      <c r="H3190" s="2" t="s">
        <v>40</v>
      </c>
      <c r="M3190" s="2" t="s">
        <v>41</v>
      </c>
      <c r="O3190" s="2" t="s">
        <v>2541</v>
      </c>
      <c r="P3190" s="2" t="s">
        <v>43</v>
      </c>
      <c r="Q3190" s="2" t="s">
        <v>2542</v>
      </c>
      <c r="R3190" s="2" t="s">
        <v>2543</v>
      </c>
      <c r="S3190" s="2">
        <v>2</v>
      </c>
      <c r="T3190" s="2">
        <v>36</v>
      </c>
      <c r="U3190" s="2">
        <v>8.2800000000000011</v>
      </c>
      <c r="V3190" s="2">
        <v>44.28</v>
      </c>
      <c r="W3190" s="2">
        <f>10.6*S3190</f>
        <v>21.2</v>
      </c>
      <c r="X3190" s="5">
        <f t="shared" si="453"/>
        <v>0.41111111111111115</v>
      </c>
      <c r="Z3190" s="2" t="s">
        <v>3227</v>
      </c>
      <c r="AA3190" s="2" t="s">
        <v>46</v>
      </c>
      <c r="AB3190" s="2" t="s">
        <v>56</v>
      </c>
      <c r="AC3190" s="2" t="s">
        <v>57</v>
      </c>
      <c r="AF3190" s="2">
        <f t="shared" si="443"/>
        <v>0</v>
      </c>
      <c r="AG3190" s="2">
        <v>10.6</v>
      </c>
      <c r="AH3190" s="2">
        <v>18</v>
      </c>
      <c r="AJ3190" s="2">
        <f t="shared" si="444"/>
        <v>0</v>
      </c>
      <c r="AK3190" s="2">
        <f t="shared" si="449"/>
        <v>14.8</v>
      </c>
      <c r="AL3190" s="5">
        <f t="shared" si="454"/>
        <v>0.41111111111111115</v>
      </c>
    </row>
    <row r="3191" spans="1:38" x14ac:dyDescent="0.2">
      <c r="A3191" s="2">
        <v>2026</v>
      </c>
      <c r="B3191" s="2">
        <v>2</v>
      </c>
      <c r="D3191" s="2" t="s">
        <v>574</v>
      </c>
      <c r="E3191" s="2" t="s">
        <v>38</v>
      </c>
      <c r="F3191" s="2" t="s">
        <v>39</v>
      </c>
      <c r="G3191" s="2">
        <v>504811029</v>
      </c>
      <c r="H3191" s="2" t="s">
        <v>41</v>
      </c>
      <c r="I3191" s="2" t="s">
        <v>177</v>
      </c>
      <c r="J3191" s="2" t="s">
        <v>575</v>
      </c>
      <c r="L3191" s="2" t="s">
        <v>177</v>
      </c>
      <c r="M3191" s="2" t="s">
        <v>41</v>
      </c>
      <c r="P3191" s="2" t="s">
        <v>68</v>
      </c>
      <c r="Q3191" s="2" t="s">
        <v>2544</v>
      </c>
      <c r="R3191" s="2" t="s">
        <v>2545</v>
      </c>
      <c r="S3191" s="2">
        <v>1</v>
      </c>
      <c r="T3191" s="2">
        <v>13.61</v>
      </c>
      <c r="U3191" s="2">
        <v>3.1303000000000001</v>
      </c>
      <c r="V3191" s="2">
        <v>16.740300000000001</v>
      </c>
      <c r="W3191" s="2">
        <v>8.17</v>
      </c>
      <c r="X3191" s="5">
        <f t="shared" si="453"/>
        <v>0.39970609845701688</v>
      </c>
      <c r="Z3191" s="2" t="s">
        <v>3227</v>
      </c>
      <c r="AA3191" s="2" t="s">
        <v>71</v>
      </c>
      <c r="AB3191" s="2" t="s">
        <v>68</v>
      </c>
      <c r="AC3191" s="2" t="s">
        <v>3231</v>
      </c>
      <c r="AF3191" s="2">
        <f t="shared" si="443"/>
        <v>0</v>
      </c>
      <c r="AG3191" s="2">
        <v>8.17</v>
      </c>
      <c r="AJ3191" s="2">
        <f t="shared" si="444"/>
        <v>0</v>
      </c>
      <c r="AK3191" s="2">
        <f t="shared" si="449"/>
        <v>5.4399999999999995</v>
      </c>
      <c r="AL3191" s="5">
        <f t="shared" si="454"/>
        <v>0.39970609845701688</v>
      </c>
    </row>
    <row r="3192" spans="1:38" x14ac:dyDescent="0.2">
      <c r="A3192" s="2">
        <v>2026</v>
      </c>
      <c r="B3192" s="2">
        <v>2</v>
      </c>
      <c r="D3192" s="2" t="s">
        <v>574</v>
      </c>
      <c r="E3192" s="2" t="s">
        <v>38</v>
      </c>
      <c r="F3192" s="2" t="s">
        <v>39</v>
      </c>
      <c r="G3192" s="2">
        <v>504811029</v>
      </c>
      <c r="H3192" s="2" t="s">
        <v>41</v>
      </c>
      <c r="I3192" s="2" t="s">
        <v>177</v>
      </c>
      <c r="J3192" s="2" t="s">
        <v>575</v>
      </c>
      <c r="L3192" s="2" t="s">
        <v>177</v>
      </c>
      <c r="M3192" s="2" t="s">
        <v>41</v>
      </c>
      <c r="P3192" s="2" t="s">
        <v>68</v>
      </c>
      <c r="Q3192" s="2" t="s">
        <v>2546</v>
      </c>
      <c r="R3192" s="2" t="s">
        <v>2547</v>
      </c>
      <c r="S3192" s="2">
        <v>1</v>
      </c>
      <c r="T3192" s="2">
        <v>16.96</v>
      </c>
      <c r="U3192" s="2">
        <v>3.9007999999999998</v>
      </c>
      <c r="V3192" s="2">
        <v>20.860800000000001</v>
      </c>
      <c r="W3192" s="2">
        <v>10.18</v>
      </c>
      <c r="X3192" s="5">
        <f t="shared" si="453"/>
        <v>0.39976415094339629</v>
      </c>
      <c r="Z3192" s="2" t="s">
        <v>3227</v>
      </c>
      <c r="AA3192" s="2" t="s">
        <v>71</v>
      </c>
      <c r="AB3192" s="2" t="s">
        <v>68</v>
      </c>
      <c r="AC3192" s="2" t="s">
        <v>3231</v>
      </c>
      <c r="AF3192" s="2">
        <f t="shared" si="443"/>
        <v>0</v>
      </c>
      <c r="AG3192" s="2">
        <v>10.18</v>
      </c>
      <c r="AJ3192" s="2">
        <f t="shared" si="444"/>
        <v>0</v>
      </c>
      <c r="AK3192" s="2">
        <f t="shared" si="449"/>
        <v>6.7800000000000011</v>
      </c>
      <c r="AL3192" s="5">
        <f t="shared" si="454"/>
        <v>0.39976415094339629</v>
      </c>
    </row>
    <row r="3193" spans="1:38" x14ac:dyDescent="0.2">
      <c r="A3193" s="2">
        <v>2026</v>
      </c>
      <c r="B3193" s="2">
        <v>2</v>
      </c>
      <c r="D3193" s="2" t="s">
        <v>574</v>
      </c>
      <c r="E3193" s="2" t="s">
        <v>38</v>
      </c>
      <c r="F3193" s="2" t="s">
        <v>39</v>
      </c>
      <c r="G3193" s="2">
        <v>504811029</v>
      </c>
      <c r="H3193" s="2" t="s">
        <v>41</v>
      </c>
      <c r="I3193" s="2" t="s">
        <v>177</v>
      </c>
      <c r="J3193" s="2" t="s">
        <v>575</v>
      </c>
      <c r="L3193" s="2" t="s">
        <v>177</v>
      </c>
      <c r="M3193" s="2" t="s">
        <v>41</v>
      </c>
      <c r="P3193" s="2" t="s">
        <v>68</v>
      </c>
      <c r="Q3193" s="2" t="s">
        <v>2548</v>
      </c>
      <c r="R3193" s="2" t="s">
        <v>2549</v>
      </c>
      <c r="S3193" s="2">
        <v>1</v>
      </c>
      <c r="T3193" s="2">
        <v>16.88</v>
      </c>
      <c r="U3193" s="2">
        <v>3.8824000000000001</v>
      </c>
      <c r="V3193" s="2">
        <v>20.7624</v>
      </c>
      <c r="W3193" s="2">
        <v>10.130000000000001</v>
      </c>
      <c r="X3193" s="5">
        <f t="shared" si="453"/>
        <v>0.39988151658767762</v>
      </c>
      <c r="Z3193" s="2" t="s">
        <v>3227</v>
      </c>
      <c r="AA3193" s="2" t="s">
        <v>71</v>
      </c>
      <c r="AB3193" s="2" t="s">
        <v>68</v>
      </c>
      <c r="AC3193" s="2" t="s">
        <v>3231</v>
      </c>
      <c r="AF3193" s="2">
        <f t="shared" si="443"/>
        <v>0</v>
      </c>
      <c r="AG3193" s="2">
        <v>10.130000000000001</v>
      </c>
      <c r="AJ3193" s="2">
        <f t="shared" si="444"/>
        <v>0</v>
      </c>
      <c r="AK3193" s="2">
        <f t="shared" ref="AK3193:AK3214" si="455">T3193-W3193</f>
        <v>6.7499999999999982</v>
      </c>
      <c r="AL3193" s="5">
        <f t="shared" si="454"/>
        <v>0.39988151658767762</v>
      </c>
    </row>
    <row r="3194" spans="1:38" x14ac:dyDescent="0.2">
      <c r="A3194" s="2">
        <v>2026</v>
      </c>
      <c r="B3194" s="2">
        <v>2</v>
      </c>
      <c r="D3194" s="2" t="s">
        <v>1486</v>
      </c>
      <c r="M3194" s="2" t="s">
        <v>41</v>
      </c>
      <c r="P3194" s="2" t="s">
        <v>68</v>
      </c>
      <c r="Q3194" s="2" t="s">
        <v>1160</v>
      </c>
      <c r="R3194" s="2" t="s">
        <v>1161</v>
      </c>
      <c r="S3194" s="2">
        <v>1</v>
      </c>
      <c r="T3194" s="2">
        <v>60</v>
      </c>
      <c r="U3194" s="2">
        <v>13.8</v>
      </c>
      <c r="V3194" s="2">
        <v>73.8</v>
      </c>
      <c r="W3194" s="2">
        <v>47.4</v>
      </c>
      <c r="X3194" s="5">
        <f t="shared" si="453"/>
        <v>0.21000000000000002</v>
      </c>
      <c r="Z3194" s="2" t="s">
        <v>3227</v>
      </c>
      <c r="AA3194" s="2" t="s">
        <v>71</v>
      </c>
      <c r="AB3194" s="2" t="s">
        <v>68</v>
      </c>
      <c r="AC3194" s="2" t="s">
        <v>3231</v>
      </c>
      <c r="AF3194" s="2">
        <f t="shared" si="443"/>
        <v>0</v>
      </c>
      <c r="AG3194" s="2">
        <v>47.4</v>
      </c>
      <c r="AJ3194" s="2">
        <f t="shared" si="444"/>
        <v>0</v>
      </c>
      <c r="AK3194" s="2">
        <f t="shared" si="455"/>
        <v>12.600000000000001</v>
      </c>
      <c r="AL3194" s="5">
        <f t="shared" si="454"/>
        <v>0.21000000000000002</v>
      </c>
    </row>
    <row r="3195" spans="1:38" x14ac:dyDescent="0.2">
      <c r="A3195" s="2">
        <v>2026</v>
      </c>
      <c r="B3195" s="2">
        <v>2</v>
      </c>
      <c r="D3195" s="2" t="s">
        <v>2516</v>
      </c>
      <c r="E3195" s="2" t="s">
        <v>752</v>
      </c>
      <c r="F3195" s="2" t="s">
        <v>39</v>
      </c>
      <c r="G3195" s="2">
        <v>515570354</v>
      </c>
      <c r="H3195" s="2" t="s">
        <v>109</v>
      </c>
      <c r="I3195" s="2" t="s">
        <v>2517</v>
      </c>
      <c r="J3195" s="2" t="s">
        <v>2518</v>
      </c>
      <c r="K3195" s="2">
        <v>967032538</v>
      </c>
      <c r="L3195" s="2" t="s">
        <v>398</v>
      </c>
      <c r="M3195" s="2" t="s">
        <v>109</v>
      </c>
      <c r="P3195" s="2" t="s">
        <v>68</v>
      </c>
      <c r="Q3195" s="2" t="s">
        <v>2550</v>
      </c>
      <c r="R3195" s="2" t="s">
        <v>2551</v>
      </c>
      <c r="S3195" s="2">
        <v>1</v>
      </c>
      <c r="T3195" s="2">
        <v>490</v>
      </c>
      <c r="U3195" s="2">
        <v>112.7</v>
      </c>
      <c r="V3195" s="2">
        <v>602.70000000000005</v>
      </c>
      <c r="W3195" s="2">
        <v>235.29</v>
      </c>
      <c r="X3195" s="5">
        <f t="shared" si="453"/>
        <v>0.51981632653061227</v>
      </c>
      <c r="Z3195" s="2" t="s">
        <v>104</v>
      </c>
      <c r="AA3195" s="2" t="s">
        <v>150</v>
      </c>
      <c r="AB3195" s="2" t="s">
        <v>151</v>
      </c>
      <c r="AC3195" s="2" t="s">
        <v>3231</v>
      </c>
      <c r="AF3195" s="2">
        <f t="shared" si="443"/>
        <v>0</v>
      </c>
      <c r="AG3195" s="2">
        <v>235.29</v>
      </c>
      <c r="AJ3195" s="2">
        <f t="shared" si="444"/>
        <v>0</v>
      </c>
      <c r="AK3195" s="2">
        <f t="shared" si="455"/>
        <v>254.71</v>
      </c>
      <c r="AL3195" s="5">
        <f t="shared" si="454"/>
        <v>0.51981632653061227</v>
      </c>
    </row>
    <row r="3196" spans="1:38" x14ac:dyDescent="0.2">
      <c r="A3196" s="2">
        <v>2026</v>
      </c>
      <c r="B3196" s="2">
        <v>2</v>
      </c>
      <c r="D3196" s="2" t="s">
        <v>2516</v>
      </c>
      <c r="E3196" s="2" t="s">
        <v>752</v>
      </c>
      <c r="F3196" s="2" t="s">
        <v>39</v>
      </c>
      <c r="G3196" s="2">
        <v>515570354</v>
      </c>
      <c r="H3196" s="2" t="s">
        <v>109</v>
      </c>
      <c r="I3196" s="2" t="s">
        <v>2517</v>
      </c>
      <c r="J3196" s="2" t="s">
        <v>2518</v>
      </c>
      <c r="K3196" s="2">
        <v>967032538</v>
      </c>
      <c r="L3196" s="2" t="s">
        <v>398</v>
      </c>
      <c r="M3196" s="2" t="s">
        <v>109</v>
      </c>
      <c r="O3196" s="2" t="s">
        <v>2552</v>
      </c>
      <c r="P3196" s="2" t="s">
        <v>68</v>
      </c>
      <c r="Q3196" s="2" t="s">
        <v>2553</v>
      </c>
      <c r="R3196" s="2" t="s">
        <v>2554</v>
      </c>
      <c r="S3196" s="2">
        <v>1</v>
      </c>
      <c r="T3196" s="2">
        <v>1200</v>
      </c>
      <c r="U3196" s="2">
        <v>276</v>
      </c>
      <c r="V3196" s="2">
        <v>1476</v>
      </c>
      <c r="W3196" s="2">
        <v>647.05999999999995</v>
      </c>
      <c r="X3196" s="5">
        <f t="shared" si="453"/>
        <v>0.46078333333333338</v>
      </c>
      <c r="Z3196" s="2" t="s">
        <v>104</v>
      </c>
      <c r="AA3196" s="2" t="s">
        <v>150</v>
      </c>
      <c r="AB3196" s="2" t="s">
        <v>151</v>
      </c>
      <c r="AC3196" s="2" t="s">
        <v>3231</v>
      </c>
      <c r="AF3196" s="2">
        <f t="shared" si="443"/>
        <v>0</v>
      </c>
      <c r="AG3196" s="2">
        <v>647.05999999999995</v>
      </c>
      <c r="AJ3196" s="2">
        <f t="shared" si="444"/>
        <v>0</v>
      </c>
      <c r="AK3196" s="2">
        <f t="shared" si="455"/>
        <v>552.94000000000005</v>
      </c>
      <c r="AL3196" s="5">
        <f t="shared" si="454"/>
        <v>0.46078333333333338</v>
      </c>
    </row>
    <row r="3197" spans="1:38" x14ac:dyDescent="0.2">
      <c r="A3197" s="2">
        <v>2026</v>
      </c>
      <c r="B3197" s="2">
        <v>2</v>
      </c>
      <c r="D3197" s="2" t="s">
        <v>1785</v>
      </c>
      <c r="M3197" s="2" t="s">
        <v>109</v>
      </c>
      <c r="O3197" s="2" t="s">
        <v>2555</v>
      </c>
      <c r="P3197" s="2" t="s">
        <v>68</v>
      </c>
      <c r="Q3197" s="2" t="s">
        <v>2553</v>
      </c>
      <c r="R3197" s="2" t="s">
        <v>2554</v>
      </c>
      <c r="S3197" s="2">
        <v>1</v>
      </c>
      <c r="T3197" s="2">
        <v>1181.5</v>
      </c>
      <c r="U3197" s="2">
        <v>271.745</v>
      </c>
      <c r="V3197" s="2">
        <v>1453.2449999999999</v>
      </c>
      <c r="W3197" s="2">
        <v>647.05999999999995</v>
      </c>
      <c r="X3197" s="5">
        <f t="shared" si="453"/>
        <v>0.45234024545069829</v>
      </c>
      <c r="Z3197" s="2" t="s">
        <v>104</v>
      </c>
      <c r="AA3197" s="2" t="s">
        <v>150</v>
      </c>
      <c r="AB3197" s="2" t="s">
        <v>151</v>
      </c>
      <c r="AC3197" s="2" t="s">
        <v>3231</v>
      </c>
      <c r="AF3197" s="2">
        <f t="shared" si="443"/>
        <v>0</v>
      </c>
      <c r="AG3197" s="2">
        <v>647.05999999999995</v>
      </c>
      <c r="AJ3197" s="2">
        <f t="shared" si="444"/>
        <v>0</v>
      </c>
      <c r="AK3197" s="2">
        <f t="shared" si="455"/>
        <v>534.44000000000005</v>
      </c>
      <c r="AL3197" s="5">
        <f t="shared" si="454"/>
        <v>0.45234024545069829</v>
      </c>
    </row>
    <row r="3198" spans="1:38" x14ac:dyDescent="0.2">
      <c r="A3198" s="2">
        <v>2026</v>
      </c>
      <c r="B3198" s="2">
        <v>2</v>
      </c>
      <c r="D3198" s="2" t="s">
        <v>37</v>
      </c>
      <c r="E3198" s="2" t="s">
        <v>38</v>
      </c>
      <c r="F3198" s="2" t="s">
        <v>39</v>
      </c>
      <c r="H3198" s="2" t="s">
        <v>40</v>
      </c>
      <c r="M3198" s="2" t="s">
        <v>80</v>
      </c>
      <c r="O3198" s="2" t="s">
        <v>2556</v>
      </c>
      <c r="P3198" s="2" t="s">
        <v>72</v>
      </c>
      <c r="Q3198" s="2" t="s">
        <v>73</v>
      </c>
      <c r="R3198" s="2" t="s">
        <v>74</v>
      </c>
      <c r="S3198" s="2">
        <v>1</v>
      </c>
      <c r="T3198" s="2">
        <v>242.45</v>
      </c>
      <c r="U3198" s="2">
        <v>55.763500000000001</v>
      </c>
      <c r="V3198" s="2">
        <v>298.21350000000001</v>
      </c>
      <c r="W3198" s="2">
        <v>125.51600000000001</v>
      </c>
      <c r="X3198" s="5">
        <f t="shared" si="453"/>
        <v>0.4823015054650443</v>
      </c>
      <c r="Z3198" s="2" t="s">
        <v>3227</v>
      </c>
      <c r="AA3198" s="2" t="s">
        <v>75</v>
      </c>
      <c r="AB3198" s="2" t="s">
        <v>76</v>
      </c>
      <c r="AC3198" s="2" t="s">
        <v>77</v>
      </c>
      <c r="AF3198" s="2">
        <f t="shared" si="443"/>
        <v>0</v>
      </c>
      <c r="AG3198" s="2">
        <v>125.51600000000001</v>
      </c>
      <c r="AH3198" s="2">
        <v>220</v>
      </c>
      <c r="AJ3198" s="2">
        <f t="shared" si="444"/>
        <v>0</v>
      </c>
      <c r="AK3198" s="2">
        <f t="shared" si="455"/>
        <v>116.93399999999998</v>
      </c>
      <c r="AL3198" s="5">
        <f t="shared" si="454"/>
        <v>0.4823015054650443</v>
      </c>
    </row>
    <row r="3199" spans="1:38" x14ac:dyDescent="0.2">
      <c r="A3199" s="2">
        <v>2026</v>
      </c>
      <c r="B3199" s="2">
        <v>2</v>
      </c>
      <c r="D3199" s="2" t="s">
        <v>2537</v>
      </c>
      <c r="M3199" s="2" t="s">
        <v>80</v>
      </c>
      <c r="P3199" s="2" t="s">
        <v>72</v>
      </c>
      <c r="Q3199" s="2" t="s">
        <v>73</v>
      </c>
      <c r="R3199" s="2" t="s">
        <v>74</v>
      </c>
      <c r="S3199" s="2">
        <v>2</v>
      </c>
      <c r="T3199" s="2">
        <v>440</v>
      </c>
      <c r="U3199" s="2">
        <v>101.2</v>
      </c>
      <c r="V3199" s="2">
        <v>541.20000000000005</v>
      </c>
      <c r="W3199" s="2">
        <v>251.03200000000001</v>
      </c>
      <c r="X3199" s="5">
        <f t="shared" si="453"/>
        <v>0.42947272727272723</v>
      </c>
      <c r="Z3199" s="2" t="s">
        <v>3227</v>
      </c>
      <c r="AA3199" s="2" t="s">
        <v>75</v>
      </c>
      <c r="AB3199" s="2" t="s">
        <v>76</v>
      </c>
      <c r="AC3199" s="2" t="s">
        <v>77</v>
      </c>
      <c r="AF3199" s="2">
        <f t="shared" si="443"/>
        <v>0</v>
      </c>
      <c r="AG3199" s="2">
        <v>125.51600000000001</v>
      </c>
      <c r="AH3199" s="2">
        <v>220</v>
      </c>
      <c r="AJ3199" s="2">
        <f t="shared" si="444"/>
        <v>0</v>
      </c>
      <c r="AK3199" s="2">
        <f t="shared" si="455"/>
        <v>188.96799999999999</v>
      </c>
      <c r="AL3199" s="5">
        <f t="shared" si="454"/>
        <v>0.42947272727272723</v>
      </c>
    </row>
    <row r="3200" spans="1:38" x14ac:dyDescent="0.2">
      <c r="A3200" s="2">
        <v>2026</v>
      </c>
      <c r="B3200" s="2">
        <v>2</v>
      </c>
      <c r="D3200" s="2" t="s">
        <v>2557</v>
      </c>
      <c r="P3200" s="2" t="s">
        <v>72</v>
      </c>
      <c r="Q3200" s="2" t="s">
        <v>73</v>
      </c>
      <c r="R3200" s="2" t="s">
        <v>74</v>
      </c>
      <c r="S3200" s="2">
        <v>1</v>
      </c>
      <c r="T3200" s="2">
        <v>220</v>
      </c>
      <c r="U3200" s="2">
        <v>50.6</v>
      </c>
      <c r="V3200" s="2">
        <v>270.60000000000002</v>
      </c>
      <c r="W3200" s="2">
        <v>125.51600000000001</v>
      </c>
      <c r="X3200" s="5">
        <f t="shared" si="453"/>
        <v>0.42947272727272723</v>
      </c>
      <c r="Z3200" s="2" t="s">
        <v>3227</v>
      </c>
      <c r="AA3200" s="2" t="s">
        <v>75</v>
      </c>
      <c r="AB3200" s="2" t="s">
        <v>76</v>
      </c>
      <c r="AC3200" s="2" t="s">
        <v>77</v>
      </c>
      <c r="AF3200" s="2">
        <f t="shared" si="443"/>
        <v>0</v>
      </c>
      <c r="AG3200" s="2">
        <v>125.51600000000001</v>
      </c>
      <c r="AH3200" s="2">
        <v>220</v>
      </c>
      <c r="AJ3200" s="2">
        <f t="shared" si="444"/>
        <v>0</v>
      </c>
      <c r="AK3200" s="2">
        <f t="shared" si="455"/>
        <v>94.483999999999995</v>
      </c>
      <c r="AL3200" s="5">
        <f t="shared" si="454"/>
        <v>0.42947272727272723</v>
      </c>
    </row>
    <row r="3201" spans="1:38" x14ac:dyDescent="0.2">
      <c r="A3201" s="2">
        <v>2026</v>
      </c>
      <c r="B3201" s="2">
        <v>2</v>
      </c>
      <c r="D3201" s="2" t="s">
        <v>1994</v>
      </c>
      <c r="M3201" s="2" t="s">
        <v>80</v>
      </c>
      <c r="P3201" s="2" t="s">
        <v>72</v>
      </c>
      <c r="Q3201" s="2" t="s">
        <v>73</v>
      </c>
      <c r="R3201" s="2" t="s">
        <v>74</v>
      </c>
      <c r="S3201" s="2">
        <v>1</v>
      </c>
      <c r="T3201" s="2">
        <v>220</v>
      </c>
      <c r="U3201" s="2">
        <v>50.6</v>
      </c>
      <c r="V3201" s="2">
        <v>270.60000000000002</v>
      </c>
      <c r="W3201" s="2">
        <v>125.51600000000001</v>
      </c>
      <c r="X3201" s="5">
        <f t="shared" si="453"/>
        <v>0.42947272727272723</v>
      </c>
      <c r="Z3201" s="2" t="s">
        <v>3227</v>
      </c>
      <c r="AA3201" s="2" t="s">
        <v>75</v>
      </c>
      <c r="AB3201" s="2" t="s">
        <v>76</v>
      </c>
      <c r="AC3201" s="2" t="s">
        <v>77</v>
      </c>
      <c r="AF3201" s="2">
        <f t="shared" si="443"/>
        <v>0</v>
      </c>
      <c r="AG3201" s="2">
        <v>125.51600000000001</v>
      </c>
      <c r="AH3201" s="2">
        <v>220</v>
      </c>
      <c r="AJ3201" s="2">
        <f t="shared" si="444"/>
        <v>0</v>
      </c>
      <c r="AK3201" s="2">
        <f t="shared" si="455"/>
        <v>94.483999999999995</v>
      </c>
      <c r="AL3201" s="5">
        <f t="shared" si="454"/>
        <v>0.42947272727272723</v>
      </c>
    </row>
    <row r="3202" spans="1:38" x14ac:dyDescent="0.2">
      <c r="A3202" s="2">
        <v>2026</v>
      </c>
      <c r="B3202" s="2">
        <v>2</v>
      </c>
      <c r="D3202" s="2" t="s">
        <v>1553</v>
      </c>
      <c r="E3202" s="2" t="s">
        <v>108</v>
      </c>
      <c r="F3202" s="2" t="s">
        <v>717</v>
      </c>
      <c r="G3202" s="2">
        <v>500975914</v>
      </c>
      <c r="H3202" s="2" t="s">
        <v>41</v>
      </c>
      <c r="I3202" s="2" t="s">
        <v>1554</v>
      </c>
      <c r="J3202" s="2" t="s">
        <v>1555</v>
      </c>
      <c r="L3202" s="2" t="s">
        <v>177</v>
      </c>
      <c r="M3202" s="2" t="s">
        <v>41</v>
      </c>
      <c r="P3202" s="2" t="s">
        <v>72</v>
      </c>
      <c r="Q3202" s="2" t="s">
        <v>73</v>
      </c>
      <c r="R3202" s="2" t="s">
        <v>74</v>
      </c>
      <c r="S3202" s="2">
        <v>1</v>
      </c>
      <c r="T3202" s="2">
        <v>220</v>
      </c>
      <c r="U3202" s="2">
        <v>50.6</v>
      </c>
      <c r="V3202" s="2">
        <v>270.60000000000002</v>
      </c>
      <c r="W3202" s="2">
        <v>125.51600000000001</v>
      </c>
      <c r="X3202" s="5">
        <f t="shared" si="453"/>
        <v>0.42947272727272723</v>
      </c>
      <c r="Z3202" s="2" t="s">
        <v>3227</v>
      </c>
      <c r="AA3202" s="2" t="s">
        <v>75</v>
      </c>
      <c r="AB3202" s="2" t="s">
        <v>76</v>
      </c>
      <c r="AC3202" s="2" t="s">
        <v>77</v>
      </c>
      <c r="AF3202" s="2">
        <f t="shared" ref="AF3202:AF3265" si="456">AJ3202</f>
        <v>0</v>
      </c>
      <c r="AG3202" s="2">
        <v>125.51600000000001</v>
      </c>
      <c r="AH3202" s="2">
        <v>220</v>
      </c>
      <c r="AJ3202" s="2">
        <f t="shared" ref="AJ3202:AJ3265" si="457">AI3202*T3202</f>
        <v>0</v>
      </c>
      <c r="AK3202" s="2">
        <f t="shared" si="455"/>
        <v>94.483999999999995</v>
      </c>
      <c r="AL3202" s="5">
        <f t="shared" si="454"/>
        <v>0.42947272727272723</v>
      </c>
    </row>
    <row r="3203" spans="1:38" x14ac:dyDescent="0.2">
      <c r="A3203" s="2">
        <v>2026</v>
      </c>
      <c r="B3203" s="2">
        <v>2</v>
      </c>
      <c r="D3203" s="2" t="s">
        <v>1376</v>
      </c>
      <c r="E3203" s="2" t="s">
        <v>183</v>
      </c>
      <c r="F3203" s="2" t="s">
        <v>366</v>
      </c>
      <c r="L3203" s="2" t="s">
        <v>571</v>
      </c>
      <c r="M3203" s="2" t="s">
        <v>80</v>
      </c>
      <c r="P3203" s="2" t="s">
        <v>72</v>
      </c>
      <c r="Q3203" s="2" t="s">
        <v>73</v>
      </c>
      <c r="R3203" s="2" t="s">
        <v>74</v>
      </c>
      <c r="S3203" s="2">
        <v>1</v>
      </c>
      <c r="T3203" s="2">
        <v>220</v>
      </c>
      <c r="U3203" s="2">
        <v>50.6</v>
      </c>
      <c r="V3203" s="2">
        <v>270.60000000000002</v>
      </c>
      <c r="W3203" s="2">
        <v>125.51600000000001</v>
      </c>
      <c r="X3203" s="5">
        <f t="shared" si="453"/>
        <v>0.42947272727272723</v>
      </c>
      <c r="Z3203" s="2" t="s">
        <v>3227</v>
      </c>
      <c r="AA3203" s="2" t="s">
        <v>75</v>
      </c>
      <c r="AB3203" s="2" t="s">
        <v>76</v>
      </c>
      <c r="AC3203" s="2" t="s">
        <v>77</v>
      </c>
      <c r="AF3203" s="2">
        <f t="shared" si="456"/>
        <v>0</v>
      </c>
      <c r="AG3203" s="2">
        <v>125.51600000000001</v>
      </c>
      <c r="AH3203" s="2">
        <v>220</v>
      </c>
      <c r="AJ3203" s="2">
        <f t="shared" si="457"/>
        <v>0</v>
      </c>
      <c r="AK3203" s="2">
        <f t="shared" si="455"/>
        <v>94.483999999999995</v>
      </c>
      <c r="AL3203" s="5">
        <f t="shared" si="454"/>
        <v>0.42947272727272723</v>
      </c>
    </row>
    <row r="3204" spans="1:38" x14ac:dyDescent="0.2">
      <c r="A3204" s="2">
        <v>2026</v>
      </c>
      <c r="B3204" s="2">
        <v>2</v>
      </c>
      <c r="D3204" s="2" t="s">
        <v>549</v>
      </c>
      <c r="E3204" s="2" t="s">
        <v>108</v>
      </c>
      <c r="F3204" s="2" t="s">
        <v>395</v>
      </c>
      <c r="G3204" s="2">
        <v>503641790</v>
      </c>
      <c r="H3204" s="2" t="s">
        <v>40</v>
      </c>
      <c r="I3204" s="2" t="s">
        <v>550</v>
      </c>
      <c r="J3204" s="2" t="s">
        <v>551</v>
      </c>
      <c r="K3204" s="2">
        <v>917753665</v>
      </c>
      <c r="L3204" s="2" t="s">
        <v>99</v>
      </c>
      <c r="M3204" s="2" t="s">
        <v>80</v>
      </c>
      <c r="O3204" s="2" t="s">
        <v>2558</v>
      </c>
      <c r="P3204" s="2" t="s">
        <v>72</v>
      </c>
      <c r="Q3204" s="2" t="s">
        <v>73</v>
      </c>
      <c r="R3204" s="2" t="s">
        <v>74</v>
      </c>
      <c r="S3204" s="2">
        <v>1</v>
      </c>
      <c r="T3204" s="2">
        <v>220</v>
      </c>
      <c r="U3204" s="2">
        <v>50.6</v>
      </c>
      <c r="V3204" s="2">
        <v>270.60000000000002</v>
      </c>
      <c r="W3204" s="2">
        <v>125.51600000000001</v>
      </c>
      <c r="X3204" s="5">
        <f t="shared" si="453"/>
        <v>0.42947272727272723</v>
      </c>
      <c r="Z3204" s="2" t="s">
        <v>3227</v>
      </c>
      <c r="AA3204" s="2" t="s">
        <v>75</v>
      </c>
      <c r="AB3204" s="2" t="s">
        <v>76</v>
      </c>
      <c r="AC3204" s="2" t="s">
        <v>77</v>
      </c>
      <c r="AF3204" s="2">
        <f t="shared" si="456"/>
        <v>0</v>
      </c>
      <c r="AG3204" s="2">
        <v>125.51600000000001</v>
      </c>
      <c r="AH3204" s="2">
        <v>220</v>
      </c>
      <c r="AJ3204" s="2">
        <f t="shared" si="457"/>
        <v>0</v>
      </c>
      <c r="AK3204" s="2">
        <f t="shared" si="455"/>
        <v>94.483999999999995</v>
      </c>
      <c r="AL3204" s="5">
        <f t="shared" si="454"/>
        <v>0.42947272727272723</v>
      </c>
    </row>
    <row r="3205" spans="1:38" x14ac:dyDescent="0.2">
      <c r="A3205" s="2">
        <v>2026</v>
      </c>
      <c r="B3205" s="2">
        <v>2</v>
      </c>
      <c r="D3205" s="2" t="s">
        <v>2559</v>
      </c>
      <c r="M3205" s="2" t="s">
        <v>80</v>
      </c>
      <c r="P3205" s="2" t="s">
        <v>72</v>
      </c>
      <c r="Q3205" s="2" t="s">
        <v>73</v>
      </c>
      <c r="R3205" s="2" t="s">
        <v>74</v>
      </c>
      <c r="S3205" s="2">
        <v>3</v>
      </c>
      <c r="T3205" s="2">
        <v>660</v>
      </c>
      <c r="U3205" s="2">
        <v>151.80000000000001</v>
      </c>
      <c r="V3205" s="2">
        <v>811.8</v>
      </c>
      <c r="W3205" s="2">
        <v>376.548</v>
      </c>
      <c r="X3205" s="5">
        <f t="shared" si="453"/>
        <v>0.42947272727272728</v>
      </c>
      <c r="Z3205" s="2" t="s">
        <v>3227</v>
      </c>
      <c r="AA3205" s="2" t="s">
        <v>75</v>
      </c>
      <c r="AB3205" s="2" t="s">
        <v>76</v>
      </c>
      <c r="AC3205" s="2" t="s">
        <v>77</v>
      </c>
      <c r="AF3205" s="2">
        <f t="shared" si="456"/>
        <v>0</v>
      </c>
      <c r="AG3205" s="2">
        <v>125.51600000000001</v>
      </c>
      <c r="AH3205" s="2">
        <v>220</v>
      </c>
      <c r="AJ3205" s="2">
        <f t="shared" si="457"/>
        <v>0</v>
      </c>
      <c r="AK3205" s="2">
        <f t="shared" si="455"/>
        <v>283.452</v>
      </c>
      <c r="AL3205" s="5">
        <f t="shared" si="454"/>
        <v>0.42947272727272728</v>
      </c>
    </row>
    <row r="3206" spans="1:38" x14ac:dyDescent="0.2">
      <c r="A3206" s="2">
        <v>2026</v>
      </c>
      <c r="B3206" s="2">
        <v>2</v>
      </c>
      <c r="D3206" s="2" t="s">
        <v>1593</v>
      </c>
      <c r="E3206" s="2" t="s">
        <v>108</v>
      </c>
      <c r="F3206" s="2" t="s">
        <v>395</v>
      </c>
      <c r="G3206" s="2">
        <v>500314594</v>
      </c>
      <c r="H3206" s="2" t="s">
        <v>40</v>
      </c>
      <c r="I3206" s="2" t="s">
        <v>1594</v>
      </c>
      <c r="J3206" s="2" t="s">
        <v>1595</v>
      </c>
      <c r="L3206" s="2" t="s">
        <v>201</v>
      </c>
      <c r="M3206" s="2" t="s">
        <v>80</v>
      </c>
      <c r="O3206" s="2" t="s">
        <v>2560</v>
      </c>
      <c r="P3206" s="2" t="s">
        <v>72</v>
      </c>
      <c r="Q3206" s="2" t="s">
        <v>681</v>
      </c>
      <c r="R3206" s="2" t="s">
        <v>74</v>
      </c>
      <c r="S3206" s="2">
        <v>1</v>
      </c>
      <c r="T3206" s="2">
        <v>220</v>
      </c>
      <c r="U3206" s="2">
        <v>50.6</v>
      </c>
      <c r="V3206" s="2">
        <v>270.60000000000002</v>
      </c>
      <c r="W3206" s="2">
        <v>104.49</v>
      </c>
      <c r="X3206" s="5">
        <f t="shared" si="453"/>
        <v>0.52504545454545459</v>
      </c>
      <c r="Z3206" s="2" t="s">
        <v>3227</v>
      </c>
      <c r="AA3206" s="2" t="s">
        <v>75</v>
      </c>
      <c r="AB3206" s="2" t="s">
        <v>76</v>
      </c>
      <c r="AC3206" s="2" t="s">
        <v>77</v>
      </c>
      <c r="AF3206" s="2">
        <f t="shared" si="456"/>
        <v>0</v>
      </c>
      <c r="AG3206" s="2">
        <v>104.49</v>
      </c>
      <c r="AH3206" s="2">
        <v>220</v>
      </c>
      <c r="AJ3206" s="2">
        <f t="shared" si="457"/>
        <v>0</v>
      </c>
      <c r="AK3206" s="2">
        <f t="shared" si="455"/>
        <v>115.51</v>
      </c>
      <c r="AL3206" s="5">
        <f t="shared" si="454"/>
        <v>0.52504545454545459</v>
      </c>
    </row>
    <row r="3207" spans="1:38" x14ac:dyDescent="0.2">
      <c r="A3207" s="2">
        <v>2026</v>
      </c>
      <c r="B3207" s="2">
        <v>2</v>
      </c>
      <c r="D3207" s="2" t="s">
        <v>37</v>
      </c>
      <c r="E3207" s="2" t="s">
        <v>38</v>
      </c>
      <c r="F3207" s="2" t="s">
        <v>39</v>
      </c>
      <c r="H3207" s="2" t="s">
        <v>40</v>
      </c>
      <c r="M3207" s="2" t="s">
        <v>80</v>
      </c>
      <c r="O3207" s="2" t="s">
        <v>2561</v>
      </c>
      <c r="P3207" s="2" t="s">
        <v>72</v>
      </c>
      <c r="Q3207" s="2" t="s">
        <v>432</v>
      </c>
      <c r="R3207" s="2" t="s">
        <v>331</v>
      </c>
      <c r="S3207" s="2">
        <v>1</v>
      </c>
      <c r="T3207" s="2">
        <v>258.68</v>
      </c>
      <c r="U3207" s="2">
        <v>59.496400000000001</v>
      </c>
      <c r="V3207" s="2">
        <v>318.1764</v>
      </c>
      <c r="W3207" s="2">
        <v>108.075</v>
      </c>
      <c r="X3207" s="5">
        <f t="shared" si="453"/>
        <v>0.5822058141332922</v>
      </c>
      <c r="Z3207" s="2" t="s">
        <v>3227</v>
      </c>
      <c r="AA3207" s="2" t="s">
        <v>75</v>
      </c>
      <c r="AB3207" s="2" t="s">
        <v>76</v>
      </c>
      <c r="AC3207" s="2" t="s">
        <v>77</v>
      </c>
      <c r="AF3207" s="2">
        <f t="shared" si="456"/>
        <v>0</v>
      </c>
      <c r="AG3207" s="2">
        <f>101.305+6.77</f>
        <v>108.075</v>
      </c>
      <c r="AH3207" s="2">
        <v>210</v>
      </c>
      <c r="AJ3207" s="2">
        <f t="shared" si="457"/>
        <v>0</v>
      </c>
      <c r="AK3207" s="2">
        <f t="shared" si="455"/>
        <v>150.60500000000002</v>
      </c>
      <c r="AL3207" s="5">
        <f t="shared" si="454"/>
        <v>0.5822058141332922</v>
      </c>
    </row>
    <row r="3208" spans="1:38" x14ac:dyDescent="0.2">
      <c r="A3208" s="2">
        <v>2026</v>
      </c>
      <c r="B3208" s="2">
        <v>2</v>
      </c>
      <c r="D3208" s="2" t="s">
        <v>846</v>
      </c>
      <c r="E3208" s="2" t="s">
        <v>98</v>
      </c>
      <c r="F3208" s="2" t="s">
        <v>39</v>
      </c>
      <c r="G3208" s="2">
        <v>507148886</v>
      </c>
      <c r="H3208" s="2" t="s">
        <v>290</v>
      </c>
      <c r="I3208" s="2" t="s">
        <v>2562</v>
      </c>
      <c r="J3208" s="2" t="s">
        <v>2563</v>
      </c>
      <c r="K3208" s="2">
        <v>912897776</v>
      </c>
      <c r="L3208" s="2" t="s">
        <v>339</v>
      </c>
      <c r="M3208" s="2" t="s">
        <v>80</v>
      </c>
      <c r="O3208" s="2" t="s">
        <v>2564</v>
      </c>
      <c r="P3208" s="2" t="s">
        <v>72</v>
      </c>
      <c r="Q3208" s="2" t="s">
        <v>895</v>
      </c>
      <c r="R3208" s="2" t="s">
        <v>381</v>
      </c>
      <c r="S3208" s="2">
        <v>1</v>
      </c>
      <c r="T3208" s="2">
        <v>230</v>
      </c>
      <c r="U3208" s="2">
        <v>52.900000000000013</v>
      </c>
      <c r="V3208" s="2">
        <v>282.89999999999998</v>
      </c>
      <c r="W3208" s="2">
        <v>113.17</v>
      </c>
      <c r="X3208" s="5">
        <f t="shared" si="453"/>
        <v>0.50795652173913042</v>
      </c>
      <c r="Z3208" s="2" t="s">
        <v>3227</v>
      </c>
      <c r="AA3208" s="2" t="s">
        <v>75</v>
      </c>
      <c r="AB3208" s="2" t="s">
        <v>76</v>
      </c>
      <c r="AC3208" s="2" t="s">
        <v>77</v>
      </c>
      <c r="AF3208" s="2">
        <f t="shared" si="456"/>
        <v>0</v>
      </c>
      <c r="AG3208" s="2">
        <v>113.17</v>
      </c>
      <c r="AJ3208" s="2">
        <f t="shared" si="457"/>
        <v>0</v>
      </c>
      <c r="AK3208" s="2">
        <f t="shared" si="455"/>
        <v>116.83</v>
      </c>
      <c r="AL3208" s="5">
        <f t="shared" si="454"/>
        <v>0.50795652173913042</v>
      </c>
    </row>
    <row r="3209" spans="1:38" x14ac:dyDescent="0.2">
      <c r="A3209" s="2">
        <v>2026</v>
      </c>
      <c r="B3209" s="2">
        <v>2</v>
      </c>
      <c r="D3209" s="2" t="s">
        <v>1256</v>
      </c>
      <c r="E3209" s="2" t="s">
        <v>108</v>
      </c>
      <c r="F3209" s="2" t="s">
        <v>39</v>
      </c>
      <c r="G3209" s="2">
        <v>502217650</v>
      </c>
      <c r="H3209" s="2" t="s">
        <v>40</v>
      </c>
      <c r="I3209" s="2" t="s">
        <v>201</v>
      </c>
      <c r="J3209" s="2" t="s">
        <v>2565</v>
      </c>
      <c r="L3209" s="2" t="s">
        <v>201</v>
      </c>
      <c r="M3209" s="2" t="s">
        <v>80</v>
      </c>
      <c r="O3209" s="2" t="s">
        <v>2566</v>
      </c>
      <c r="P3209" s="2" t="s">
        <v>72</v>
      </c>
      <c r="Q3209" s="2" t="s">
        <v>301</v>
      </c>
      <c r="R3209" s="2" t="s">
        <v>74</v>
      </c>
      <c r="S3209" s="2">
        <v>2</v>
      </c>
      <c r="T3209" s="2">
        <v>440</v>
      </c>
      <c r="U3209" s="2">
        <v>101.2</v>
      </c>
      <c r="V3209" s="2">
        <v>541.20000000000005</v>
      </c>
      <c r="W3209" s="2">
        <f>121.46*S3209</f>
        <v>242.92</v>
      </c>
      <c r="X3209" s="5">
        <f t="shared" si="453"/>
        <v>0.44790909090909092</v>
      </c>
      <c r="Z3209" s="2" t="s">
        <v>3227</v>
      </c>
      <c r="AA3209" s="2" t="s">
        <v>75</v>
      </c>
      <c r="AB3209" s="2" t="s">
        <v>76</v>
      </c>
      <c r="AC3209" s="2" t="s">
        <v>77</v>
      </c>
      <c r="AF3209" s="2">
        <f t="shared" si="456"/>
        <v>0</v>
      </c>
      <c r="AG3209" s="2">
        <v>121.46</v>
      </c>
      <c r="AH3209" s="2">
        <v>210</v>
      </c>
      <c r="AJ3209" s="2">
        <f t="shared" si="457"/>
        <v>0</v>
      </c>
      <c r="AK3209" s="2">
        <f t="shared" si="455"/>
        <v>197.08</v>
      </c>
      <c r="AL3209" s="5">
        <f t="shared" si="454"/>
        <v>0.44790909090909092</v>
      </c>
    </row>
    <row r="3210" spans="1:38" x14ac:dyDescent="0.2">
      <c r="A3210" s="2">
        <v>2026</v>
      </c>
      <c r="B3210" s="2">
        <v>2</v>
      </c>
      <c r="D3210" s="2" t="s">
        <v>749</v>
      </c>
      <c r="E3210" s="2" t="s">
        <v>108</v>
      </c>
      <c r="F3210" s="2" t="s">
        <v>39</v>
      </c>
      <c r="G3210" s="2">
        <v>510039537</v>
      </c>
      <c r="H3210" s="2" t="s">
        <v>40</v>
      </c>
      <c r="I3210" s="2" t="s">
        <v>571</v>
      </c>
      <c r="J3210" s="2" t="s">
        <v>750</v>
      </c>
      <c r="K3210" s="2">
        <v>969042927</v>
      </c>
      <c r="L3210" s="2" t="s">
        <v>571</v>
      </c>
      <c r="M3210" s="2" t="s">
        <v>80</v>
      </c>
      <c r="P3210" s="2" t="s">
        <v>72</v>
      </c>
      <c r="Q3210" s="2" t="s">
        <v>1448</v>
      </c>
      <c r="R3210" s="2" t="s">
        <v>381</v>
      </c>
      <c r="S3210" s="2">
        <v>1</v>
      </c>
      <c r="T3210" s="2">
        <v>230</v>
      </c>
      <c r="U3210" s="2">
        <v>52.900000000000013</v>
      </c>
      <c r="V3210" s="2">
        <v>282.89999999999998</v>
      </c>
      <c r="W3210" s="2">
        <v>133.916</v>
      </c>
      <c r="X3210" s="5">
        <f t="shared" si="453"/>
        <v>0.41775652173913047</v>
      </c>
      <c r="Z3210" s="2" t="s">
        <v>3227</v>
      </c>
      <c r="AA3210" s="2" t="s">
        <v>75</v>
      </c>
      <c r="AB3210" s="2" t="s">
        <v>76</v>
      </c>
      <c r="AC3210" s="2" t="s">
        <v>77</v>
      </c>
      <c r="AF3210" s="2">
        <f t="shared" si="456"/>
        <v>0</v>
      </c>
      <c r="AJ3210" s="2">
        <f t="shared" si="457"/>
        <v>0</v>
      </c>
      <c r="AK3210" s="2">
        <f t="shared" si="455"/>
        <v>96.084000000000003</v>
      </c>
      <c r="AL3210" s="5">
        <f t="shared" si="454"/>
        <v>0.41775652173913047</v>
      </c>
    </row>
    <row r="3211" spans="1:38" x14ac:dyDescent="0.2">
      <c r="A3211" s="2">
        <v>2026</v>
      </c>
      <c r="B3211" s="2">
        <v>2</v>
      </c>
      <c r="D3211" s="2" t="s">
        <v>2567</v>
      </c>
      <c r="E3211" s="2" t="s">
        <v>38</v>
      </c>
      <c r="F3211" s="2" t="s">
        <v>39</v>
      </c>
      <c r="G3211" s="2">
        <v>501561196</v>
      </c>
      <c r="H3211" s="2" t="s">
        <v>109</v>
      </c>
      <c r="I3211" s="2" t="s">
        <v>2568</v>
      </c>
      <c r="J3211" s="2" t="s">
        <v>2569</v>
      </c>
      <c r="L3211" s="2" t="s">
        <v>133</v>
      </c>
      <c r="M3211" s="2" t="s">
        <v>80</v>
      </c>
      <c r="O3211" s="2" t="s">
        <v>2570</v>
      </c>
      <c r="P3211" s="2" t="s">
        <v>72</v>
      </c>
      <c r="Q3211" s="2" t="s">
        <v>484</v>
      </c>
      <c r="R3211" s="2" t="s">
        <v>74</v>
      </c>
      <c r="S3211" s="2">
        <v>1</v>
      </c>
      <c r="T3211" s="2">
        <v>230</v>
      </c>
      <c r="U3211" s="2">
        <v>52.900000000000013</v>
      </c>
      <c r="V3211" s="2">
        <v>282.89999999999998</v>
      </c>
      <c r="W3211" s="2">
        <v>131.93</v>
      </c>
      <c r="X3211" s="5">
        <f t="shared" si="453"/>
        <v>0.42639130434782607</v>
      </c>
      <c r="Z3211" s="2" t="s">
        <v>3227</v>
      </c>
      <c r="AA3211" s="2" t="s">
        <v>75</v>
      </c>
      <c r="AB3211" s="2" t="s">
        <v>76</v>
      </c>
      <c r="AC3211" s="2" t="s">
        <v>77</v>
      </c>
      <c r="AF3211" s="2">
        <f t="shared" si="456"/>
        <v>0</v>
      </c>
      <c r="AG3211" s="2">
        <v>131.93</v>
      </c>
      <c r="AH3211" s="2">
        <v>220</v>
      </c>
      <c r="AJ3211" s="2">
        <f t="shared" si="457"/>
        <v>0</v>
      </c>
      <c r="AK3211" s="2">
        <f t="shared" si="455"/>
        <v>98.07</v>
      </c>
      <c r="AL3211" s="5">
        <f t="shared" si="454"/>
        <v>0.42639130434782607</v>
      </c>
    </row>
    <row r="3212" spans="1:38" x14ac:dyDescent="0.2">
      <c r="A3212" s="2">
        <v>2026</v>
      </c>
      <c r="B3212" s="2">
        <v>2</v>
      </c>
      <c r="D3212" s="2" t="s">
        <v>2567</v>
      </c>
      <c r="P3212" s="2" t="s">
        <v>72</v>
      </c>
      <c r="Q3212" s="2" t="s">
        <v>912</v>
      </c>
      <c r="R3212" s="2" t="s">
        <v>74</v>
      </c>
      <c r="S3212" s="2">
        <v>1</v>
      </c>
      <c r="T3212" s="2">
        <v>230</v>
      </c>
      <c r="U3212" s="2">
        <v>52.900000000000013</v>
      </c>
      <c r="V3212" s="2">
        <v>282.89999999999998</v>
      </c>
      <c r="W3212" s="2">
        <f>115.92+6.06</f>
        <v>121.98</v>
      </c>
      <c r="X3212" s="5">
        <f t="shared" si="453"/>
        <v>0.46965217391304348</v>
      </c>
      <c r="Z3212" s="2" t="s">
        <v>3227</v>
      </c>
      <c r="AA3212" s="2" t="s">
        <v>75</v>
      </c>
      <c r="AB3212" s="2" t="s">
        <v>76</v>
      </c>
      <c r="AC3212" s="2" t="s">
        <v>77</v>
      </c>
      <c r="AF3212" s="2">
        <f t="shared" si="456"/>
        <v>0</v>
      </c>
      <c r="AJ3212" s="2">
        <f t="shared" si="457"/>
        <v>0</v>
      </c>
      <c r="AK3212" s="2">
        <f t="shared" si="455"/>
        <v>108.02</v>
      </c>
      <c r="AL3212" s="5">
        <f t="shared" si="454"/>
        <v>0.46965217391304348</v>
      </c>
    </row>
    <row r="3213" spans="1:38" x14ac:dyDescent="0.2">
      <c r="A3213" s="2">
        <v>2026</v>
      </c>
      <c r="B3213" s="2">
        <v>2</v>
      </c>
      <c r="D3213" s="2" t="s">
        <v>981</v>
      </c>
      <c r="E3213" s="2" t="s">
        <v>108</v>
      </c>
      <c r="F3213" s="2" t="s">
        <v>717</v>
      </c>
      <c r="G3213" s="2">
        <v>500594309</v>
      </c>
      <c r="H3213" s="2" t="s">
        <v>290</v>
      </c>
      <c r="I3213" s="2" t="s">
        <v>982</v>
      </c>
      <c r="J3213" s="2" t="s">
        <v>983</v>
      </c>
      <c r="L3213" s="2" t="s">
        <v>293</v>
      </c>
      <c r="M3213" s="2" t="s">
        <v>80</v>
      </c>
      <c r="O3213" s="2" t="s">
        <v>2571</v>
      </c>
      <c r="P3213" s="2" t="s">
        <v>72</v>
      </c>
      <c r="Q3213" s="2" t="s">
        <v>1035</v>
      </c>
      <c r="R3213" s="2" t="s">
        <v>79</v>
      </c>
      <c r="S3213" s="2">
        <v>1</v>
      </c>
      <c r="T3213" s="2">
        <v>220</v>
      </c>
      <c r="U3213" s="2">
        <v>50.6</v>
      </c>
      <c r="V3213" s="2">
        <v>270.60000000000002</v>
      </c>
      <c r="W3213" s="2">
        <v>113.33</v>
      </c>
      <c r="X3213" s="5">
        <f t="shared" si="453"/>
        <v>0.48486363636363639</v>
      </c>
      <c r="Z3213" s="2" t="s">
        <v>3227</v>
      </c>
      <c r="AA3213" s="2" t="s">
        <v>75</v>
      </c>
      <c r="AB3213" s="2" t="s">
        <v>76</v>
      </c>
      <c r="AC3213" s="2" t="s">
        <v>77</v>
      </c>
      <c r="AF3213" s="2">
        <f t="shared" si="456"/>
        <v>0</v>
      </c>
      <c r="AG3213" s="2">
        <v>113.33</v>
      </c>
      <c r="AH3213" s="2">
        <v>220</v>
      </c>
      <c r="AJ3213" s="2">
        <f t="shared" si="457"/>
        <v>0</v>
      </c>
      <c r="AK3213" s="2">
        <f t="shared" si="455"/>
        <v>106.67</v>
      </c>
      <c r="AL3213" s="5">
        <f t="shared" si="454"/>
        <v>0.48486363636363639</v>
      </c>
    </row>
    <row r="3214" spans="1:38" x14ac:dyDescent="0.2">
      <c r="A3214" s="2">
        <v>2026</v>
      </c>
      <c r="B3214" s="2">
        <v>2</v>
      </c>
      <c r="D3214" s="2" t="s">
        <v>37</v>
      </c>
      <c r="E3214" s="2" t="s">
        <v>38</v>
      </c>
      <c r="F3214" s="2" t="s">
        <v>39</v>
      </c>
      <c r="H3214" s="2" t="s">
        <v>40</v>
      </c>
      <c r="M3214" s="2" t="s">
        <v>80</v>
      </c>
      <c r="O3214" s="2" t="s">
        <v>2572</v>
      </c>
      <c r="P3214" s="2" t="s">
        <v>72</v>
      </c>
      <c r="Q3214" s="2" t="s">
        <v>557</v>
      </c>
      <c r="R3214" s="2" t="s">
        <v>307</v>
      </c>
      <c r="S3214" s="2">
        <v>1</v>
      </c>
      <c r="T3214" s="2">
        <v>138</v>
      </c>
      <c r="U3214" s="2">
        <v>31.74</v>
      </c>
      <c r="V3214" s="2">
        <v>169.74</v>
      </c>
      <c r="W3214" s="2">
        <v>122.446</v>
      </c>
      <c r="X3214" s="5">
        <f t="shared" si="453"/>
        <v>0.11271014492753624</v>
      </c>
      <c r="Z3214" s="2" t="s">
        <v>3227</v>
      </c>
      <c r="AA3214" s="2" t="s">
        <v>75</v>
      </c>
      <c r="AB3214" s="2" t="s">
        <v>76</v>
      </c>
      <c r="AC3214" s="2" t="s">
        <v>77</v>
      </c>
      <c r="AF3214" s="2">
        <f t="shared" si="456"/>
        <v>0</v>
      </c>
      <c r="AG3214" s="2">
        <v>122.446</v>
      </c>
      <c r="AH3214" s="2">
        <v>230</v>
      </c>
      <c r="AJ3214" s="2">
        <f t="shared" si="457"/>
        <v>0</v>
      </c>
      <c r="AK3214" s="2">
        <f t="shared" si="455"/>
        <v>15.554000000000002</v>
      </c>
      <c r="AL3214" s="5">
        <f t="shared" si="454"/>
        <v>0.11271014492753624</v>
      </c>
    </row>
    <row r="3215" spans="1:38" x14ac:dyDescent="0.2">
      <c r="A3215" s="2">
        <v>2026</v>
      </c>
      <c r="B3215" s="2">
        <v>4</v>
      </c>
      <c r="D3215" s="2" t="s">
        <v>689</v>
      </c>
      <c r="E3215" s="2" t="s">
        <v>108</v>
      </c>
      <c r="F3215" s="2" t="s">
        <v>39</v>
      </c>
      <c r="G3215" s="2">
        <v>503589950</v>
      </c>
      <c r="H3215" s="2" t="s">
        <v>41</v>
      </c>
      <c r="I3215" s="2" t="s">
        <v>610</v>
      </c>
      <c r="J3215" s="2" t="s">
        <v>690</v>
      </c>
      <c r="K3215" s="2">
        <v>913036545</v>
      </c>
      <c r="L3215" s="2" t="s">
        <v>177</v>
      </c>
      <c r="M3215" s="2" t="s">
        <v>40</v>
      </c>
      <c r="O3215" s="2" t="s">
        <v>2441</v>
      </c>
      <c r="P3215" s="2" t="s">
        <v>114</v>
      </c>
      <c r="Q3215" s="2" t="s">
        <v>1424</v>
      </c>
      <c r="R3215" s="2" t="s">
        <v>1425</v>
      </c>
      <c r="S3215" s="2">
        <v>-1</v>
      </c>
      <c r="T3215" s="2">
        <v>-1867.81</v>
      </c>
      <c r="U3215" s="2">
        <v>-429.59629999999999</v>
      </c>
      <c r="V3215" s="2">
        <v>-2297.4063000000001</v>
      </c>
      <c r="Z3215" s="2" t="s">
        <v>117</v>
      </c>
      <c r="AA3215" s="2" t="s">
        <v>616</v>
      </c>
      <c r="AB3215" s="2" t="s">
        <v>957</v>
      </c>
      <c r="AC3215" s="2" t="s">
        <v>114</v>
      </c>
      <c r="AF3215" s="2">
        <f t="shared" si="456"/>
        <v>0</v>
      </c>
      <c r="AG3215" s="2">
        <f>868.26+3.61</f>
        <v>871.87</v>
      </c>
      <c r="AJ3215" s="2">
        <f t="shared" si="457"/>
        <v>0</v>
      </c>
    </row>
    <row r="3216" spans="1:38" x14ac:dyDescent="0.2">
      <c r="A3216" s="2">
        <v>2026</v>
      </c>
      <c r="B3216" s="2">
        <v>2</v>
      </c>
      <c r="D3216" s="2" t="s">
        <v>1256</v>
      </c>
      <c r="P3216" s="2" t="s">
        <v>72</v>
      </c>
      <c r="Q3216" s="2" t="s">
        <v>325</v>
      </c>
      <c r="R3216" s="2" t="s">
        <v>79</v>
      </c>
      <c r="S3216" s="2">
        <v>1</v>
      </c>
      <c r="T3216" s="2">
        <v>210</v>
      </c>
      <c r="U3216" s="2">
        <v>48.3</v>
      </c>
      <c r="V3216" s="2">
        <v>258.3</v>
      </c>
      <c r="W3216" s="2">
        <f>110.68*S3216</f>
        <v>110.68</v>
      </c>
      <c r="X3216" s="5">
        <f t="shared" ref="X3216:X3261" si="458">(T3216-W3216)/T3216</f>
        <v>0.4729523809523809</v>
      </c>
      <c r="Z3216" s="2" t="s">
        <v>3227</v>
      </c>
      <c r="AA3216" s="2" t="s">
        <v>75</v>
      </c>
      <c r="AB3216" s="2" t="s">
        <v>76</v>
      </c>
      <c r="AC3216" s="2" t="s">
        <v>77</v>
      </c>
      <c r="AF3216" s="2">
        <f t="shared" si="456"/>
        <v>0</v>
      </c>
      <c r="AG3216" s="2">
        <v>110.68</v>
      </c>
      <c r="AH3216" s="2">
        <v>210</v>
      </c>
      <c r="AJ3216" s="2">
        <f t="shared" si="457"/>
        <v>0</v>
      </c>
      <c r="AK3216" s="2">
        <f t="shared" ref="AK3216:AK3261" si="459">T3216-W3216</f>
        <v>99.32</v>
      </c>
      <c r="AL3216" s="5">
        <f t="shared" ref="AL3216:AL3261" si="460">(T3216-W3216)/T3216</f>
        <v>0.4729523809523809</v>
      </c>
    </row>
    <row r="3217" spans="1:38" x14ac:dyDescent="0.2">
      <c r="A3217" s="2">
        <v>2026</v>
      </c>
      <c r="B3217" s="2">
        <v>2</v>
      </c>
      <c r="D3217" s="2" t="s">
        <v>1053</v>
      </c>
      <c r="E3217" s="2" t="s">
        <v>183</v>
      </c>
      <c r="F3217" s="2" t="s">
        <v>1054</v>
      </c>
      <c r="G3217" s="2">
        <v>500199523</v>
      </c>
      <c r="H3217" s="2" t="s">
        <v>290</v>
      </c>
      <c r="I3217" s="2" t="s">
        <v>293</v>
      </c>
      <c r="J3217" s="2" t="s">
        <v>1055</v>
      </c>
      <c r="L3217" s="2" t="s">
        <v>293</v>
      </c>
      <c r="M3217" s="2" t="s">
        <v>80</v>
      </c>
      <c r="O3217" s="2" t="s">
        <v>2573</v>
      </c>
      <c r="P3217" s="2" t="s">
        <v>72</v>
      </c>
      <c r="Q3217" s="2" t="s">
        <v>325</v>
      </c>
      <c r="R3217" s="2" t="s">
        <v>79</v>
      </c>
      <c r="S3217" s="2">
        <v>1</v>
      </c>
      <c r="T3217" s="2">
        <v>210</v>
      </c>
      <c r="U3217" s="2">
        <v>48.3</v>
      </c>
      <c r="V3217" s="2">
        <v>258.3</v>
      </c>
      <c r="W3217" s="2">
        <f>110.68*S3217</f>
        <v>110.68</v>
      </c>
      <c r="X3217" s="5">
        <f t="shared" si="458"/>
        <v>0.4729523809523809</v>
      </c>
      <c r="Z3217" s="2" t="s">
        <v>3227</v>
      </c>
      <c r="AA3217" s="2" t="s">
        <v>75</v>
      </c>
      <c r="AB3217" s="2" t="s">
        <v>76</v>
      </c>
      <c r="AC3217" s="2" t="s">
        <v>77</v>
      </c>
      <c r="AF3217" s="2">
        <f t="shared" si="456"/>
        <v>0</v>
      </c>
      <c r="AG3217" s="2">
        <v>110.68</v>
      </c>
      <c r="AH3217" s="2">
        <v>210</v>
      </c>
      <c r="AJ3217" s="2">
        <f t="shared" si="457"/>
        <v>0</v>
      </c>
      <c r="AK3217" s="2">
        <f t="shared" si="459"/>
        <v>99.32</v>
      </c>
      <c r="AL3217" s="5">
        <f t="shared" si="460"/>
        <v>0.4729523809523809</v>
      </c>
    </row>
    <row r="3218" spans="1:38" x14ac:dyDescent="0.2">
      <c r="A3218" s="2">
        <v>2026</v>
      </c>
      <c r="B3218" s="2">
        <v>2</v>
      </c>
      <c r="D3218" s="2" t="s">
        <v>37</v>
      </c>
      <c r="E3218" s="2" t="s">
        <v>38</v>
      </c>
      <c r="F3218" s="2" t="s">
        <v>39</v>
      </c>
      <c r="H3218" s="2" t="s">
        <v>40</v>
      </c>
      <c r="M3218" s="2" t="s">
        <v>80</v>
      </c>
      <c r="O3218" s="2" t="s">
        <v>2574</v>
      </c>
      <c r="P3218" s="2" t="s">
        <v>72</v>
      </c>
      <c r="Q3218" s="2" t="s">
        <v>533</v>
      </c>
      <c r="R3218" s="2" t="s">
        <v>534</v>
      </c>
      <c r="S3218" s="2">
        <v>1</v>
      </c>
      <c r="T3218" s="2">
        <v>194.75</v>
      </c>
      <c r="U3218" s="2">
        <v>44.792499999999997</v>
      </c>
      <c r="V3218" s="2">
        <v>239.54249999999999</v>
      </c>
      <c r="W3218" s="2">
        <f>110.125+11.77</f>
        <v>121.895</v>
      </c>
      <c r="X3218" s="5">
        <f t="shared" si="458"/>
        <v>0.37409499358151477</v>
      </c>
      <c r="Z3218" s="2" t="s">
        <v>3227</v>
      </c>
      <c r="AA3218" s="2" t="s">
        <v>75</v>
      </c>
      <c r="AB3218" s="2" t="s">
        <v>76</v>
      </c>
      <c r="AC3218" s="2" t="s">
        <v>77</v>
      </c>
      <c r="AF3218" s="2">
        <f t="shared" si="456"/>
        <v>0</v>
      </c>
      <c r="AG3218" s="2">
        <f>110.125+11.77</f>
        <v>121.895</v>
      </c>
      <c r="AJ3218" s="2">
        <f t="shared" si="457"/>
        <v>0</v>
      </c>
      <c r="AK3218" s="2">
        <f t="shared" si="459"/>
        <v>72.855000000000004</v>
      </c>
      <c r="AL3218" s="5">
        <f t="shared" si="460"/>
        <v>0.37409499358151477</v>
      </c>
    </row>
    <row r="3219" spans="1:38" x14ac:dyDescent="0.2">
      <c r="A3219" s="2">
        <v>2026</v>
      </c>
      <c r="B3219" s="2">
        <v>2</v>
      </c>
      <c r="D3219" s="2" t="s">
        <v>1994</v>
      </c>
      <c r="M3219" s="2" t="s">
        <v>80</v>
      </c>
      <c r="P3219" s="2" t="s">
        <v>72</v>
      </c>
      <c r="Q3219" s="2" t="s">
        <v>1134</v>
      </c>
      <c r="R3219" s="2" t="s">
        <v>534</v>
      </c>
      <c r="S3219" s="2">
        <v>1</v>
      </c>
      <c r="T3219" s="2">
        <v>220</v>
      </c>
      <c r="U3219" s="2">
        <v>50.6</v>
      </c>
      <c r="V3219" s="2">
        <v>270.60000000000002</v>
      </c>
      <c r="W3219" s="2">
        <v>122.25</v>
      </c>
      <c r="X3219" s="5">
        <f t="shared" si="458"/>
        <v>0.44431818181818183</v>
      </c>
      <c r="Z3219" s="2" t="s">
        <v>3227</v>
      </c>
      <c r="AA3219" s="2" t="s">
        <v>75</v>
      </c>
      <c r="AB3219" s="2" t="s">
        <v>76</v>
      </c>
      <c r="AC3219" s="2" t="s">
        <v>77</v>
      </c>
      <c r="AF3219" s="2">
        <f t="shared" si="456"/>
        <v>0</v>
      </c>
      <c r="AJ3219" s="2">
        <f t="shared" si="457"/>
        <v>0</v>
      </c>
      <c r="AK3219" s="2">
        <f t="shared" si="459"/>
        <v>97.75</v>
      </c>
      <c r="AL3219" s="5">
        <f t="shared" si="460"/>
        <v>0.44431818181818183</v>
      </c>
    </row>
    <row r="3220" spans="1:38" x14ac:dyDescent="0.2">
      <c r="A3220" s="2">
        <v>2026</v>
      </c>
      <c r="B3220" s="2">
        <v>2</v>
      </c>
      <c r="D3220" s="2" t="s">
        <v>530</v>
      </c>
      <c r="E3220" s="2" t="s">
        <v>108</v>
      </c>
      <c r="F3220" s="2" t="s">
        <v>531</v>
      </c>
      <c r="G3220" s="2">
        <v>502139552</v>
      </c>
      <c r="H3220" s="2" t="s">
        <v>40</v>
      </c>
      <c r="I3220" s="2" t="s">
        <v>339</v>
      </c>
      <c r="J3220" s="2" t="s">
        <v>532</v>
      </c>
      <c r="L3220" s="2" t="s">
        <v>339</v>
      </c>
      <c r="M3220" s="2" t="s">
        <v>80</v>
      </c>
      <c r="P3220" s="2" t="s">
        <v>72</v>
      </c>
      <c r="Q3220" s="2" t="s">
        <v>1025</v>
      </c>
      <c r="R3220" s="2" t="s">
        <v>197</v>
      </c>
      <c r="S3220" s="2">
        <v>1</v>
      </c>
      <c r="T3220" s="2">
        <v>257.60000000000002</v>
      </c>
      <c r="U3220" s="2">
        <v>59.247999999999998</v>
      </c>
      <c r="V3220" s="2">
        <v>316.84800000000001</v>
      </c>
      <c r="W3220" s="2">
        <v>152.85</v>
      </c>
      <c r="X3220" s="5">
        <f t="shared" si="458"/>
        <v>0.40663819875776402</v>
      </c>
      <c r="Z3220" s="2" t="s">
        <v>3227</v>
      </c>
      <c r="AA3220" s="2" t="s">
        <v>75</v>
      </c>
      <c r="AB3220" s="2" t="s">
        <v>76</v>
      </c>
      <c r="AC3220" s="2" t="s">
        <v>77</v>
      </c>
      <c r="AF3220" s="2">
        <f t="shared" si="456"/>
        <v>0</v>
      </c>
      <c r="AJ3220" s="2">
        <f t="shared" si="457"/>
        <v>0</v>
      </c>
      <c r="AK3220" s="2">
        <f t="shared" si="459"/>
        <v>104.75000000000003</v>
      </c>
      <c r="AL3220" s="5">
        <f t="shared" si="460"/>
        <v>0.40663819875776402</v>
      </c>
    </row>
    <row r="3221" spans="1:38" x14ac:dyDescent="0.2">
      <c r="A3221" s="2">
        <v>2026</v>
      </c>
      <c r="B3221" s="2">
        <v>2</v>
      </c>
      <c r="C3221" s="2" t="s">
        <v>3300</v>
      </c>
      <c r="D3221" s="2" t="s">
        <v>2575</v>
      </c>
      <c r="E3221" s="2" t="s">
        <v>108</v>
      </c>
      <c r="F3221" s="2" t="s">
        <v>477</v>
      </c>
      <c r="L3221" s="2" t="s">
        <v>461</v>
      </c>
      <c r="M3221" s="2" t="s">
        <v>109</v>
      </c>
      <c r="P3221" s="2" t="s">
        <v>72</v>
      </c>
      <c r="Q3221" s="2" t="s">
        <v>2576</v>
      </c>
      <c r="R3221" s="2" t="s">
        <v>2577</v>
      </c>
      <c r="S3221" s="2">
        <v>1</v>
      </c>
      <c r="T3221" s="2">
        <v>250</v>
      </c>
      <c r="U3221" s="2">
        <v>57.5</v>
      </c>
      <c r="V3221" s="2">
        <v>307.5</v>
      </c>
      <c r="W3221" s="2">
        <v>132.59</v>
      </c>
      <c r="X3221" s="5">
        <f t="shared" si="458"/>
        <v>0.46964</v>
      </c>
      <c r="Z3221" s="2" t="s">
        <v>3227</v>
      </c>
      <c r="AA3221" s="2" t="s">
        <v>75</v>
      </c>
      <c r="AB3221" s="2" t="s">
        <v>76</v>
      </c>
      <c r="AC3221" s="2" t="s">
        <v>77</v>
      </c>
      <c r="AF3221" s="2">
        <f t="shared" si="456"/>
        <v>0</v>
      </c>
      <c r="AJ3221" s="2">
        <f t="shared" si="457"/>
        <v>0</v>
      </c>
      <c r="AK3221" s="2">
        <f t="shared" si="459"/>
        <v>117.41</v>
      </c>
      <c r="AL3221" s="5">
        <f t="shared" si="460"/>
        <v>0.46964</v>
      </c>
    </row>
    <row r="3222" spans="1:38" x14ac:dyDescent="0.2">
      <c r="A3222" s="2">
        <v>2026</v>
      </c>
      <c r="B3222" s="2">
        <v>2</v>
      </c>
      <c r="D3222" s="2" t="s">
        <v>2578</v>
      </c>
      <c r="E3222" s="2" t="s">
        <v>183</v>
      </c>
      <c r="F3222" s="2" t="s">
        <v>2579</v>
      </c>
      <c r="G3222" s="2">
        <v>515259144</v>
      </c>
      <c r="H3222" s="2" t="s">
        <v>80</v>
      </c>
      <c r="I3222" s="2" t="s">
        <v>156</v>
      </c>
      <c r="J3222" s="2" t="s">
        <v>2580</v>
      </c>
      <c r="K3222" s="2">
        <v>968626165</v>
      </c>
      <c r="L3222" s="2" t="s">
        <v>99</v>
      </c>
      <c r="M3222" s="2" t="s">
        <v>80</v>
      </c>
      <c r="O3222" s="2" t="s">
        <v>2581</v>
      </c>
      <c r="P3222" s="2" t="s">
        <v>1038</v>
      </c>
      <c r="Q3222" s="2" t="s">
        <v>1953</v>
      </c>
      <c r="R3222" s="2" t="s">
        <v>1954</v>
      </c>
      <c r="S3222" s="2">
        <v>8</v>
      </c>
      <c r="T3222" s="2">
        <v>1766.4</v>
      </c>
      <c r="U3222" s="2">
        <v>406.27199999999999</v>
      </c>
      <c r="V3222" s="2">
        <v>2172.672</v>
      </c>
      <c r="W3222" s="2">
        <v>963.12</v>
      </c>
      <c r="X3222" s="5">
        <f t="shared" si="458"/>
        <v>0.45475543478260871</v>
      </c>
      <c r="Z3222" s="2" t="s">
        <v>3227</v>
      </c>
      <c r="AA3222" s="2" t="s">
        <v>75</v>
      </c>
      <c r="AB3222" s="2" t="s">
        <v>76</v>
      </c>
      <c r="AC3222" s="2" t="s">
        <v>1038</v>
      </c>
      <c r="AF3222" s="2">
        <f t="shared" si="456"/>
        <v>0</v>
      </c>
      <c r="AJ3222" s="2">
        <f t="shared" si="457"/>
        <v>0</v>
      </c>
      <c r="AK3222" s="2">
        <f t="shared" si="459"/>
        <v>803.28000000000009</v>
      </c>
      <c r="AL3222" s="5">
        <f t="shared" si="460"/>
        <v>0.45475543478260871</v>
      </c>
    </row>
    <row r="3223" spans="1:38" x14ac:dyDescent="0.2">
      <c r="A3223" s="2">
        <v>2026</v>
      </c>
      <c r="B3223" s="2">
        <v>2</v>
      </c>
      <c r="D3223" s="2" t="s">
        <v>37</v>
      </c>
      <c r="E3223" s="2" t="s">
        <v>38</v>
      </c>
      <c r="F3223" s="2" t="s">
        <v>39</v>
      </c>
      <c r="H3223" s="2" t="s">
        <v>40</v>
      </c>
      <c r="M3223" s="2" t="s">
        <v>80</v>
      </c>
      <c r="P3223" s="2" t="s">
        <v>1038</v>
      </c>
      <c r="Q3223" s="2" t="s">
        <v>2582</v>
      </c>
      <c r="R3223" s="2" t="s">
        <v>2583</v>
      </c>
      <c r="S3223" s="2">
        <v>2</v>
      </c>
      <c r="T3223" s="2">
        <v>475</v>
      </c>
      <c r="U3223" s="2">
        <v>109.25</v>
      </c>
      <c r="V3223" s="2">
        <v>584.25</v>
      </c>
      <c r="W3223" s="2">
        <v>245.06</v>
      </c>
      <c r="X3223" s="5">
        <f t="shared" si="458"/>
        <v>0.48408421052631578</v>
      </c>
      <c r="Z3223" s="2" t="s">
        <v>3227</v>
      </c>
      <c r="AA3223" s="2" t="s">
        <v>75</v>
      </c>
      <c r="AB3223" s="2" t="s">
        <v>76</v>
      </c>
      <c r="AC3223" s="2" t="s">
        <v>1038</v>
      </c>
      <c r="AF3223" s="2">
        <f t="shared" si="456"/>
        <v>0</v>
      </c>
      <c r="AJ3223" s="2">
        <f t="shared" si="457"/>
        <v>0</v>
      </c>
      <c r="AK3223" s="2">
        <f t="shared" si="459"/>
        <v>229.94</v>
      </c>
      <c r="AL3223" s="5">
        <f t="shared" si="460"/>
        <v>0.48408421052631578</v>
      </c>
    </row>
    <row r="3224" spans="1:38" x14ac:dyDescent="0.2">
      <c r="A3224" s="2">
        <v>2026</v>
      </c>
      <c r="B3224" s="2">
        <v>2</v>
      </c>
      <c r="C3224" s="2" t="s">
        <v>3321</v>
      </c>
      <c r="D3224" s="2" t="s">
        <v>1162</v>
      </c>
      <c r="E3224" s="2" t="s">
        <v>752</v>
      </c>
      <c r="F3224" s="2" t="s">
        <v>1217</v>
      </c>
      <c r="G3224" s="2">
        <v>508199280</v>
      </c>
      <c r="H3224" s="2" t="s">
        <v>40</v>
      </c>
      <c r="I3224" s="2" t="s">
        <v>1163</v>
      </c>
      <c r="L3224" s="2" t="s">
        <v>293</v>
      </c>
      <c r="M3224" s="2" t="s">
        <v>80</v>
      </c>
      <c r="P3224" s="2" t="s">
        <v>1038</v>
      </c>
      <c r="Q3224" s="2" t="s">
        <v>2584</v>
      </c>
      <c r="R3224" s="2" t="s">
        <v>2585</v>
      </c>
      <c r="S3224" s="2">
        <v>1</v>
      </c>
      <c r="T3224" s="2">
        <v>285</v>
      </c>
      <c r="U3224" s="2">
        <v>65.55</v>
      </c>
      <c r="V3224" s="2">
        <v>350.55</v>
      </c>
      <c r="W3224" s="2">
        <v>122.535</v>
      </c>
      <c r="X3224" s="5">
        <f t="shared" si="458"/>
        <v>0.57005263157894737</v>
      </c>
      <c r="Z3224" s="2" t="s">
        <v>3227</v>
      </c>
      <c r="AA3224" s="2" t="s">
        <v>75</v>
      </c>
      <c r="AB3224" s="2" t="s">
        <v>76</v>
      </c>
      <c r="AC3224" s="2" t="s">
        <v>1038</v>
      </c>
      <c r="AF3224" s="2">
        <f t="shared" si="456"/>
        <v>0</v>
      </c>
      <c r="AJ3224" s="2">
        <f t="shared" si="457"/>
        <v>0</v>
      </c>
      <c r="AK3224" s="2">
        <f t="shared" si="459"/>
        <v>162.465</v>
      </c>
      <c r="AL3224" s="5">
        <f t="shared" si="460"/>
        <v>0.57005263157894737</v>
      </c>
    </row>
    <row r="3225" spans="1:38" x14ac:dyDescent="0.2">
      <c r="A3225" s="2">
        <v>2026</v>
      </c>
      <c r="B3225" s="2">
        <v>2</v>
      </c>
      <c r="D3225" s="2" t="s">
        <v>422</v>
      </c>
      <c r="E3225" s="2" t="s">
        <v>98</v>
      </c>
      <c r="F3225" s="2" t="s">
        <v>39</v>
      </c>
      <c r="G3225" s="2">
        <v>503523470</v>
      </c>
      <c r="H3225" s="2" t="s">
        <v>40</v>
      </c>
      <c r="I3225" s="2" t="s">
        <v>423</v>
      </c>
      <c r="J3225" s="2" t="s">
        <v>424</v>
      </c>
      <c r="L3225" s="2" t="s">
        <v>201</v>
      </c>
      <c r="M3225" s="2" t="s">
        <v>80</v>
      </c>
      <c r="P3225" s="2" t="s">
        <v>84</v>
      </c>
      <c r="Q3225" s="2" t="s">
        <v>268</v>
      </c>
      <c r="R3225" s="2" t="s">
        <v>269</v>
      </c>
      <c r="S3225" s="2">
        <v>1</v>
      </c>
      <c r="T3225" s="2">
        <v>6</v>
      </c>
      <c r="U3225" s="2">
        <v>1.38</v>
      </c>
      <c r="V3225" s="2">
        <v>7.38</v>
      </c>
      <c r="W3225" s="2">
        <v>2.4154</v>
      </c>
      <c r="X3225" s="5">
        <f t="shared" si="458"/>
        <v>0.59743333333333337</v>
      </c>
      <c r="Z3225" s="2" t="s">
        <v>3227</v>
      </c>
      <c r="AA3225" s="2" t="s">
        <v>87</v>
      </c>
      <c r="AB3225" s="2" t="s">
        <v>90</v>
      </c>
      <c r="AC3225" s="2" t="s">
        <v>84</v>
      </c>
      <c r="AF3225" s="2">
        <f t="shared" si="456"/>
        <v>0</v>
      </c>
      <c r="AJ3225" s="2">
        <f t="shared" si="457"/>
        <v>0</v>
      </c>
      <c r="AK3225" s="2">
        <f t="shared" si="459"/>
        <v>3.5846</v>
      </c>
      <c r="AL3225" s="5">
        <f t="shared" si="460"/>
        <v>0.59743333333333337</v>
      </c>
    </row>
    <row r="3226" spans="1:38" x14ac:dyDescent="0.2">
      <c r="A3226" s="2">
        <v>2026</v>
      </c>
      <c r="B3226" s="2">
        <v>2</v>
      </c>
      <c r="D3226" s="2" t="s">
        <v>425</v>
      </c>
      <c r="E3226" s="2" t="s">
        <v>98</v>
      </c>
      <c r="F3226" s="2" t="s">
        <v>39</v>
      </c>
      <c r="G3226" s="2">
        <v>510613888</v>
      </c>
      <c r="H3226" s="2" t="s">
        <v>40</v>
      </c>
      <c r="I3226" s="2" t="s">
        <v>426</v>
      </c>
      <c r="J3226" s="2" t="s">
        <v>427</v>
      </c>
      <c r="L3226" s="2" t="s">
        <v>99</v>
      </c>
      <c r="M3226" s="2" t="s">
        <v>80</v>
      </c>
      <c r="P3226" s="2" t="s">
        <v>84</v>
      </c>
      <c r="Q3226" s="2" t="s">
        <v>268</v>
      </c>
      <c r="R3226" s="2" t="s">
        <v>269</v>
      </c>
      <c r="S3226" s="2">
        <v>0</v>
      </c>
      <c r="T3226" s="2">
        <v>6</v>
      </c>
      <c r="U3226" s="2">
        <v>1.38</v>
      </c>
      <c r="V3226" s="2">
        <v>7.38</v>
      </c>
      <c r="W3226" s="2">
        <v>2.4154</v>
      </c>
      <c r="X3226" s="5">
        <f t="shared" si="458"/>
        <v>0.59743333333333337</v>
      </c>
      <c r="Z3226" s="2" t="s">
        <v>3227</v>
      </c>
      <c r="AA3226" s="2" t="s">
        <v>87</v>
      </c>
      <c r="AB3226" s="2" t="s">
        <v>90</v>
      </c>
      <c r="AC3226" s="2" t="s">
        <v>84</v>
      </c>
      <c r="AF3226" s="2">
        <f t="shared" si="456"/>
        <v>0</v>
      </c>
      <c r="AJ3226" s="2">
        <f t="shared" si="457"/>
        <v>0</v>
      </c>
      <c r="AK3226" s="2">
        <f t="shared" si="459"/>
        <v>3.5846</v>
      </c>
      <c r="AL3226" s="5">
        <f t="shared" si="460"/>
        <v>0.59743333333333337</v>
      </c>
    </row>
    <row r="3227" spans="1:38" x14ac:dyDescent="0.2">
      <c r="A3227" s="2">
        <v>2026</v>
      </c>
      <c r="B3227" s="2">
        <v>2</v>
      </c>
      <c r="D3227" s="2" t="s">
        <v>643</v>
      </c>
      <c r="E3227" s="2" t="s">
        <v>108</v>
      </c>
      <c r="F3227" s="2" t="s">
        <v>477</v>
      </c>
      <c r="G3227" s="2">
        <v>509056946</v>
      </c>
      <c r="H3227" s="2" t="s">
        <v>109</v>
      </c>
      <c r="I3227" s="2" t="s">
        <v>644</v>
      </c>
      <c r="J3227" s="2" t="s">
        <v>645</v>
      </c>
      <c r="K3227" s="2">
        <v>964495536</v>
      </c>
      <c r="L3227" s="2" t="s">
        <v>112</v>
      </c>
      <c r="M3227" s="2" t="s">
        <v>109</v>
      </c>
      <c r="O3227" s="2" t="s">
        <v>2586</v>
      </c>
      <c r="P3227" s="2" t="s">
        <v>84</v>
      </c>
      <c r="Q3227" s="2" t="s">
        <v>2587</v>
      </c>
      <c r="R3227" s="2" t="s">
        <v>2588</v>
      </c>
      <c r="S3227" s="2">
        <v>1</v>
      </c>
      <c r="T3227" s="2">
        <v>77</v>
      </c>
      <c r="U3227" s="2">
        <v>17.71</v>
      </c>
      <c r="V3227" s="2">
        <v>94.710000000000008</v>
      </c>
      <c r="X3227" s="5">
        <f t="shared" si="458"/>
        <v>1</v>
      </c>
      <c r="Z3227" s="2" t="s">
        <v>3227</v>
      </c>
      <c r="AA3227" s="2" t="s">
        <v>87</v>
      </c>
      <c r="AB3227" s="2" t="s">
        <v>60</v>
      </c>
      <c r="AC3227" s="2" t="s">
        <v>84</v>
      </c>
      <c r="AF3227" s="2">
        <f t="shared" si="456"/>
        <v>0</v>
      </c>
      <c r="AJ3227" s="2">
        <f t="shared" si="457"/>
        <v>0</v>
      </c>
      <c r="AK3227" s="2">
        <f t="shared" si="459"/>
        <v>77</v>
      </c>
      <c r="AL3227" s="5">
        <f t="shared" si="460"/>
        <v>1</v>
      </c>
    </row>
    <row r="3228" spans="1:38" x14ac:dyDescent="0.2">
      <c r="A3228" s="2">
        <v>2026</v>
      </c>
      <c r="B3228" s="2">
        <v>2</v>
      </c>
      <c r="D3228" s="2" t="s">
        <v>643</v>
      </c>
      <c r="E3228" s="2" t="s">
        <v>108</v>
      </c>
      <c r="F3228" s="2" t="s">
        <v>477</v>
      </c>
      <c r="G3228" s="2">
        <v>509056946</v>
      </c>
      <c r="H3228" s="2" t="s">
        <v>109</v>
      </c>
      <c r="I3228" s="2" t="s">
        <v>644</v>
      </c>
      <c r="J3228" s="2" t="s">
        <v>645</v>
      </c>
      <c r="K3228" s="2">
        <v>964495536</v>
      </c>
      <c r="L3228" s="2" t="s">
        <v>112</v>
      </c>
      <c r="M3228" s="2" t="s">
        <v>109</v>
      </c>
      <c r="O3228" s="2" t="s">
        <v>2589</v>
      </c>
      <c r="P3228" s="2" t="s">
        <v>1194</v>
      </c>
      <c r="Q3228" s="2" t="s">
        <v>2590</v>
      </c>
      <c r="R3228" s="2" t="s">
        <v>2591</v>
      </c>
      <c r="S3228" s="2">
        <v>1</v>
      </c>
      <c r="T3228" s="2">
        <v>1020</v>
      </c>
      <c r="U3228" s="2">
        <v>234.6</v>
      </c>
      <c r="V3228" s="2">
        <v>1254.5999999999999</v>
      </c>
      <c r="X3228" s="5">
        <f t="shared" si="458"/>
        <v>1</v>
      </c>
      <c r="Z3228" s="2" t="s">
        <v>104</v>
      </c>
      <c r="AA3228" s="2" t="s">
        <v>1199</v>
      </c>
      <c r="AB3228" s="2" t="s">
        <v>119</v>
      </c>
      <c r="AC3228" s="2" t="s">
        <v>1194</v>
      </c>
      <c r="AF3228" s="2">
        <f t="shared" si="456"/>
        <v>0</v>
      </c>
      <c r="AJ3228" s="2">
        <f t="shared" si="457"/>
        <v>0</v>
      </c>
      <c r="AK3228" s="2">
        <f t="shared" si="459"/>
        <v>1020</v>
      </c>
      <c r="AL3228" s="5">
        <f t="shared" si="460"/>
        <v>1</v>
      </c>
    </row>
    <row r="3229" spans="1:38" x14ac:dyDescent="0.2">
      <c r="A3229" s="2">
        <v>2026</v>
      </c>
      <c r="B3229" s="2">
        <v>2</v>
      </c>
      <c r="D3229" s="2" t="s">
        <v>1785</v>
      </c>
      <c r="O3229" s="2" t="s">
        <v>2592</v>
      </c>
      <c r="P3229" s="2" t="s">
        <v>3395</v>
      </c>
      <c r="Q3229" s="2" t="s">
        <v>2593</v>
      </c>
      <c r="R3229" s="2" t="s">
        <v>2594</v>
      </c>
      <c r="S3229" s="2">
        <v>1</v>
      </c>
      <c r="T3229" s="2">
        <v>2507.5</v>
      </c>
      <c r="U3229" s="2">
        <v>576.72500000000002</v>
      </c>
      <c r="V3229" s="2">
        <v>3084.2249999999999</v>
      </c>
      <c r="W3229" s="2">
        <v>963.33989999999994</v>
      </c>
      <c r="X3229" s="5">
        <f t="shared" si="458"/>
        <v>0.61581659022931212</v>
      </c>
      <c r="Z3229" s="2" t="s">
        <v>104</v>
      </c>
      <c r="AA3229" s="2" t="s">
        <v>616</v>
      </c>
      <c r="AB3229" s="2" t="s">
        <v>151</v>
      </c>
      <c r="AC3229" s="2" t="s">
        <v>3395</v>
      </c>
      <c r="AF3229" s="2">
        <f t="shared" si="456"/>
        <v>0</v>
      </c>
      <c r="AG3229" s="2">
        <f>527.7299+435.61</f>
        <v>963.33990000000006</v>
      </c>
      <c r="AJ3229" s="2">
        <f t="shared" si="457"/>
        <v>0</v>
      </c>
      <c r="AK3229" s="2">
        <f t="shared" si="459"/>
        <v>1544.1601000000001</v>
      </c>
      <c r="AL3229" s="5">
        <f t="shared" si="460"/>
        <v>0.61581659022931212</v>
      </c>
    </row>
    <row r="3230" spans="1:38" x14ac:dyDescent="0.2">
      <c r="A3230" s="2">
        <v>2026</v>
      </c>
      <c r="B3230" s="2">
        <v>2</v>
      </c>
      <c r="D3230" s="2" t="s">
        <v>2516</v>
      </c>
      <c r="E3230" s="2" t="s">
        <v>752</v>
      </c>
      <c r="F3230" s="2" t="s">
        <v>39</v>
      </c>
      <c r="G3230" s="2">
        <v>515570354</v>
      </c>
      <c r="H3230" s="2" t="s">
        <v>109</v>
      </c>
      <c r="I3230" s="2" t="s">
        <v>2517</v>
      </c>
      <c r="J3230" s="2" t="s">
        <v>2518</v>
      </c>
      <c r="K3230" s="2">
        <v>967032538</v>
      </c>
      <c r="L3230" s="2" t="s">
        <v>398</v>
      </c>
      <c r="M3230" s="2" t="s">
        <v>109</v>
      </c>
      <c r="O3230" s="2" t="s">
        <v>2552</v>
      </c>
      <c r="P3230" s="2" t="s">
        <v>3395</v>
      </c>
      <c r="Q3230" s="2" t="s">
        <v>2595</v>
      </c>
      <c r="R3230" s="2" t="s">
        <v>2596</v>
      </c>
      <c r="S3230" s="2">
        <v>1</v>
      </c>
      <c r="T3230" s="2">
        <v>2593.0500000000002</v>
      </c>
      <c r="U3230" s="2">
        <v>596.40150000000006</v>
      </c>
      <c r="V3230" s="2">
        <v>3189.4515000000001</v>
      </c>
      <c r="W3230" s="2">
        <v>1330.9204999999999</v>
      </c>
      <c r="X3230" s="5">
        <f t="shared" si="458"/>
        <v>0.48673550452170228</v>
      </c>
      <c r="Z3230" s="2" t="s">
        <v>104</v>
      </c>
      <c r="AA3230" s="2" t="s">
        <v>616</v>
      </c>
      <c r="AB3230" s="2" t="s">
        <v>151</v>
      </c>
      <c r="AC3230" s="2" t="s">
        <v>3395</v>
      </c>
      <c r="AF3230" s="2">
        <f t="shared" si="456"/>
        <v>0</v>
      </c>
      <c r="AG3230" s="2">
        <f>729.1005+601.82</f>
        <v>1330.9205000000002</v>
      </c>
      <c r="AJ3230" s="2">
        <f t="shared" si="457"/>
        <v>0</v>
      </c>
      <c r="AK3230" s="2">
        <f t="shared" si="459"/>
        <v>1262.1295000000002</v>
      </c>
      <c r="AL3230" s="5">
        <f t="shared" si="460"/>
        <v>0.48673550452170228</v>
      </c>
    </row>
    <row r="3231" spans="1:38" x14ac:dyDescent="0.2">
      <c r="A3231" s="2">
        <v>2026</v>
      </c>
      <c r="B3231" s="2">
        <v>2</v>
      </c>
      <c r="D3231" s="2" t="s">
        <v>2597</v>
      </c>
      <c r="M3231" s="2" t="s">
        <v>80</v>
      </c>
      <c r="P3231" s="2" t="s">
        <v>1038</v>
      </c>
      <c r="Q3231" s="2" t="s">
        <v>1924</v>
      </c>
      <c r="R3231" s="2" t="s">
        <v>1925</v>
      </c>
      <c r="S3231" s="2">
        <v>4</v>
      </c>
      <c r="T3231" s="2">
        <v>609.76</v>
      </c>
      <c r="U3231" s="2">
        <v>140.2448</v>
      </c>
      <c r="V3231" s="2">
        <v>750.00479999999993</v>
      </c>
      <c r="W3231" s="2">
        <v>379.52</v>
      </c>
      <c r="X3231" s="5">
        <f t="shared" si="458"/>
        <v>0.37759118341642617</v>
      </c>
      <c r="Z3231" s="2" t="s">
        <v>3227</v>
      </c>
      <c r="AA3231" s="2" t="s">
        <v>1041</v>
      </c>
      <c r="AB3231" s="2" t="s">
        <v>1270</v>
      </c>
      <c r="AC3231" s="2" t="s">
        <v>1038</v>
      </c>
      <c r="AF3231" s="2">
        <f t="shared" si="456"/>
        <v>0</v>
      </c>
      <c r="AJ3231" s="2">
        <f t="shared" si="457"/>
        <v>0</v>
      </c>
      <c r="AK3231" s="2">
        <f t="shared" si="459"/>
        <v>230.24</v>
      </c>
      <c r="AL3231" s="5">
        <f t="shared" si="460"/>
        <v>0.37759118341642617</v>
      </c>
    </row>
    <row r="3232" spans="1:38" x14ac:dyDescent="0.2">
      <c r="A3232" s="2">
        <v>2026</v>
      </c>
      <c r="B3232" s="2">
        <v>2</v>
      </c>
      <c r="D3232" s="2" t="s">
        <v>37</v>
      </c>
      <c r="E3232" s="2" t="s">
        <v>38</v>
      </c>
      <c r="F3232" s="2" t="s">
        <v>39</v>
      </c>
      <c r="H3232" s="2" t="s">
        <v>40</v>
      </c>
      <c r="M3232" s="2" t="s">
        <v>80</v>
      </c>
      <c r="P3232" s="2" t="s">
        <v>1038</v>
      </c>
      <c r="Q3232" s="2" t="s">
        <v>2598</v>
      </c>
      <c r="R3232" s="2" t="s">
        <v>2599</v>
      </c>
      <c r="S3232" s="2">
        <v>4</v>
      </c>
      <c r="T3232" s="2">
        <v>487.81</v>
      </c>
      <c r="U3232" s="2">
        <v>112.19629999999999</v>
      </c>
      <c r="V3232" s="2">
        <v>600.00630000000001</v>
      </c>
      <c r="W3232" s="2">
        <v>304.52</v>
      </c>
      <c r="X3232" s="5">
        <f t="shared" si="458"/>
        <v>0.37574055472417545</v>
      </c>
      <c r="Z3232" s="2" t="s">
        <v>3227</v>
      </c>
      <c r="AA3232" s="2" t="s">
        <v>1041</v>
      </c>
      <c r="AB3232" s="2" t="s">
        <v>1270</v>
      </c>
      <c r="AC3232" s="2" t="s">
        <v>1038</v>
      </c>
      <c r="AF3232" s="2">
        <f t="shared" si="456"/>
        <v>0</v>
      </c>
      <c r="AJ3232" s="2">
        <f t="shared" si="457"/>
        <v>0</v>
      </c>
      <c r="AK3232" s="2">
        <f t="shared" si="459"/>
        <v>183.29000000000002</v>
      </c>
      <c r="AL3232" s="5">
        <f t="shared" si="460"/>
        <v>0.37574055472417545</v>
      </c>
    </row>
    <row r="3233" spans="1:38" x14ac:dyDescent="0.2">
      <c r="A3233" s="2">
        <v>2026</v>
      </c>
      <c r="B3233" s="2">
        <v>2</v>
      </c>
      <c r="D3233" s="2" t="s">
        <v>2510</v>
      </c>
      <c r="M3233" s="2" t="s">
        <v>80</v>
      </c>
      <c r="P3233" s="2" t="s">
        <v>1038</v>
      </c>
      <c r="Q3233" s="2" t="s">
        <v>2600</v>
      </c>
      <c r="R3233" s="2" t="s">
        <v>2601</v>
      </c>
      <c r="S3233" s="2">
        <v>4</v>
      </c>
      <c r="T3233" s="2">
        <v>1422.77</v>
      </c>
      <c r="U3233" s="2">
        <v>327.2371</v>
      </c>
      <c r="V3233" s="2">
        <v>1750.0071</v>
      </c>
      <c r="W3233" s="2">
        <v>1013.8</v>
      </c>
      <c r="X3233" s="5">
        <f t="shared" si="458"/>
        <v>0.28744631950350374</v>
      </c>
      <c r="Z3233" s="2" t="s">
        <v>3227</v>
      </c>
      <c r="AA3233" s="2" t="s">
        <v>1041</v>
      </c>
      <c r="AB3233" s="2" t="s">
        <v>2168</v>
      </c>
      <c r="AC3233" s="2" t="s">
        <v>1038</v>
      </c>
      <c r="AF3233" s="2">
        <f t="shared" si="456"/>
        <v>0</v>
      </c>
      <c r="AJ3233" s="2">
        <f t="shared" si="457"/>
        <v>0</v>
      </c>
      <c r="AK3233" s="2">
        <f t="shared" si="459"/>
        <v>408.97</v>
      </c>
      <c r="AL3233" s="5">
        <f t="shared" si="460"/>
        <v>0.28744631950350374</v>
      </c>
    </row>
    <row r="3234" spans="1:38" x14ac:dyDescent="0.2">
      <c r="A3234" s="2">
        <v>2026</v>
      </c>
      <c r="B3234" s="2">
        <v>2</v>
      </c>
      <c r="D3234" s="2" t="s">
        <v>488</v>
      </c>
      <c r="E3234" s="2" t="s">
        <v>38</v>
      </c>
      <c r="F3234" s="2" t="s">
        <v>39</v>
      </c>
      <c r="G3234" s="2">
        <v>507380312</v>
      </c>
      <c r="H3234" s="2" t="s">
        <v>40</v>
      </c>
      <c r="I3234" s="2" t="s">
        <v>489</v>
      </c>
      <c r="J3234" s="2" t="s">
        <v>490</v>
      </c>
      <c r="K3234" s="2">
        <v>912293443</v>
      </c>
      <c r="L3234" s="2" t="s">
        <v>99</v>
      </c>
      <c r="M3234" s="2" t="s">
        <v>40</v>
      </c>
      <c r="O3234" s="2" t="s">
        <v>2602</v>
      </c>
      <c r="P3234" s="2" t="s">
        <v>40</v>
      </c>
      <c r="Q3234" s="2" t="s">
        <v>491</v>
      </c>
      <c r="R3234" s="2" t="s">
        <v>492</v>
      </c>
      <c r="S3234" s="2">
        <v>1</v>
      </c>
      <c r="T3234" s="2">
        <v>664.04</v>
      </c>
      <c r="U3234" s="2">
        <v>152.72919999999999</v>
      </c>
      <c r="V3234" s="2">
        <v>816.76919999999996</v>
      </c>
      <c r="X3234" s="5">
        <f t="shared" si="458"/>
        <v>1</v>
      </c>
      <c r="Z3234" s="2" t="s">
        <v>119</v>
      </c>
      <c r="AA3234" s="2" t="s">
        <v>492</v>
      </c>
      <c r="AF3234" s="2">
        <f t="shared" si="456"/>
        <v>0</v>
      </c>
      <c r="AJ3234" s="2">
        <f t="shared" si="457"/>
        <v>0</v>
      </c>
      <c r="AK3234" s="2">
        <f t="shared" si="459"/>
        <v>664.04</v>
      </c>
      <c r="AL3234" s="5">
        <f t="shared" si="460"/>
        <v>1</v>
      </c>
    </row>
    <row r="3235" spans="1:38" x14ac:dyDescent="0.2">
      <c r="A3235" s="2">
        <v>2026</v>
      </c>
      <c r="B3235" s="2">
        <v>2</v>
      </c>
      <c r="D3235" s="2" t="s">
        <v>2526</v>
      </c>
      <c r="M3235" s="2" t="s">
        <v>40</v>
      </c>
      <c r="P3235" s="2" t="s">
        <v>187</v>
      </c>
      <c r="Q3235" s="2" t="s">
        <v>317</v>
      </c>
      <c r="R3235" s="2" t="s">
        <v>318</v>
      </c>
      <c r="S3235" s="2">
        <v>1</v>
      </c>
      <c r="T3235" s="2">
        <v>696.5</v>
      </c>
      <c r="U3235" s="2">
        <v>160.19499999999999</v>
      </c>
      <c r="V3235" s="2">
        <v>856.69499999999994</v>
      </c>
      <c r="X3235" s="5">
        <f t="shared" si="458"/>
        <v>1</v>
      </c>
      <c r="Z3235" s="2" t="s">
        <v>117</v>
      </c>
      <c r="AA3235" s="2" t="s">
        <v>317</v>
      </c>
      <c r="AF3235" s="2">
        <f t="shared" si="456"/>
        <v>0</v>
      </c>
      <c r="AJ3235" s="2">
        <f t="shared" si="457"/>
        <v>0</v>
      </c>
      <c r="AK3235" s="2">
        <f t="shared" si="459"/>
        <v>696.5</v>
      </c>
      <c r="AL3235" s="5">
        <f t="shared" si="460"/>
        <v>1</v>
      </c>
    </row>
    <row r="3236" spans="1:38" x14ac:dyDescent="0.2">
      <c r="A3236" s="2">
        <v>2026</v>
      </c>
      <c r="B3236" s="2">
        <v>3</v>
      </c>
      <c r="D3236" s="2" t="s">
        <v>741</v>
      </c>
      <c r="M3236" s="2" t="s">
        <v>40</v>
      </c>
      <c r="P3236" s="2" t="s">
        <v>187</v>
      </c>
      <c r="Q3236" s="2" t="s">
        <v>191</v>
      </c>
      <c r="R3236" s="2" t="s">
        <v>190</v>
      </c>
      <c r="S3236" s="2">
        <v>1</v>
      </c>
      <c r="T3236" s="2">
        <v>55</v>
      </c>
      <c r="U3236" s="2">
        <v>12.65</v>
      </c>
      <c r="V3236" s="2">
        <v>67.650000000000006</v>
      </c>
      <c r="W3236" s="2">
        <f>T3236*50%</f>
        <v>27.5</v>
      </c>
      <c r="X3236" s="5">
        <f t="shared" si="458"/>
        <v>0.5</v>
      </c>
      <c r="Z3236" s="2" t="s">
        <v>117</v>
      </c>
      <c r="AA3236" s="2" t="s">
        <v>190</v>
      </c>
      <c r="AB3236" s="2" t="s">
        <v>190</v>
      </c>
      <c r="AC3236" s="2" t="s">
        <v>40</v>
      </c>
      <c r="AF3236" s="2">
        <f t="shared" si="456"/>
        <v>0</v>
      </c>
      <c r="AG3236" s="2">
        <f t="shared" ref="AG3236:AG3267" si="461">W3236</f>
        <v>27.5</v>
      </c>
      <c r="AJ3236" s="2">
        <f t="shared" si="457"/>
        <v>0</v>
      </c>
      <c r="AK3236" s="2">
        <f t="shared" si="459"/>
        <v>27.5</v>
      </c>
      <c r="AL3236" s="5">
        <f t="shared" si="460"/>
        <v>0.5</v>
      </c>
    </row>
    <row r="3237" spans="1:38" x14ac:dyDescent="0.2">
      <c r="A3237" s="2">
        <v>2026</v>
      </c>
      <c r="B3237" s="2">
        <v>2</v>
      </c>
      <c r="D3237" s="2" t="s">
        <v>1354</v>
      </c>
      <c r="E3237" s="2" t="s">
        <v>108</v>
      </c>
      <c r="F3237" s="2" t="s">
        <v>395</v>
      </c>
      <c r="G3237" s="2">
        <v>502401010</v>
      </c>
      <c r="H3237" s="2" t="s">
        <v>290</v>
      </c>
      <c r="I3237" s="2" t="s">
        <v>2500</v>
      </c>
      <c r="J3237" s="2" t="s">
        <v>2501</v>
      </c>
      <c r="L3237" s="2" t="s">
        <v>293</v>
      </c>
      <c r="M3237" s="2" t="s">
        <v>40</v>
      </c>
      <c r="P3237" s="2" t="s">
        <v>187</v>
      </c>
      <c r="Q3237" s="2" t="s">
        <v>188</v>
      </c>
      <c r="R3237" s="2" t="s">
        <v>189</v>
      </c>
      <c r="S3237" s="2">
        <v>2</v>
      </c>
      <c r="T3237" s="2">
        <v>100</v>
      </c>
      <c r="U3237" s="2">
        <v>23</v>
      </c>
      <c r="V3237" s="2">
        <v>123</v>
      </c>
      <c r="W3237" s="2">
        <f>T3237*40%</f>
        <v>40</v>
      </c>
      <c r="X3237" s="5">
        <f t="shared" si="458"/>
        <v>0.6</v>
      </c>
      <c r="Z3237" s="2" t="s">
        <v>117</v>
      </c>
      <c r="AA3237" s="2" t="s">
        <v>190</v>
      </c>
      <c r="AB3237" s="2" t="s">
        <v>189</v>
      </c>
      <c r="AC3237" s="2" t="s">
        <v>40</v>
      </c>
      <c r="AF3237" s="2">
        <f t="shared" si="456"/>
        <v>0</v>
      </c>
      <c r="AG3237" s="2">
        <f t="shared" si="461"/>
        <v>40</v>
      </c>
      <c r="AJ3237" s="2">
        <f t="shared" si="457"/>
        <v>0</v>
      </c>
      <c r="AK3237" s="2">
        <f t="shared" si="459"/>
        <v>60</v>
      </c>
      <c r="AL3237" s="5">
        <f t="shared" si="460"/>
        <v>0.6</v>
      </c>
    </row>
    <row r="3238" spans="1:38" x14ac:dyDescent="0.2">
      <c r="A3238" s="2">
        <v>2026</v>
      </c>
      <c r="B3238" s="2">
        <v>2</v>
      </c>
      <c r="D3238" s="2" t="s">
        <v>1354</v>
      </c>
      <c r="E3238" s="2" t="s">
        <v>108</v>
      </c>
      <c r="F3238" s="2" t="s">
        <v>395</v>
      </c>
      <c r="G3238" s="2">
        <v>502401010</v>
      </c>
      <c r="H3238" s="2" t="s">
        <v>290</v>
      </c>
      <c r="I3238" s="2" t="s">
        <v>2500</v>
      </c>
      <c r="J3238" s="2" t="s">
        <v>2501</v>
      </c>
      <c r="L3238" s="2" t="s">
        <v>293</v>
      </c>
      <c r="M3238" s="2" t="s">
        <v>40</v>
      </c>
      <c r="P3238" s="2" t="s">
        <v>187</v>
      </c>
      <c r="Q3238" s="2" t="s">
        <v>191</v>
      </c>
      <c r="R3238" s="2" t="s">
        <v>190</v>
      </c>
      <c r="S3238" s="2">
        <v>4</v>
      </c>
      <c r="T3238" s="2">
        <v>220</v>
      </c>
      <c r="U3238" s="2">
        <v>50.6</v>
      </c>
      <c r="V3238" s="2">
        <v>270.60000000000002</v>
      </c>
      <c r="W3238" s="2">
        <f>T3238*50%</f>
        <v>110</v>
      </c>
      <c r="X3238" s="5">
        <f t="shared" si="458"/>
        <v>0.5</v>
      </c>
      <c r="Z3238" s="2" t="s">
        <v>117</v>
      </c>
      <c r="AA3238" s="2" t="s">
        <v>190</v>
      </c>
      <c r="AB3238" s="2" t="s">
        <v>190</v>
      </c>
      <c r="AC3238" s="2" t="s">
        <v>40</v>
      </c>
      <c r="AF3238" s="2">
        <f t="shared" si="456"/>
        <v>0</v>
      </c>
      <c r="AG3238" s="2">
        <f t="shared" si="461"/>
        <v>110</v>
      </c>
      <c r="AJ3238" s="2">
        <f t="shared" si="457"/>
        <v>0</v>
      </c>
      <c r="AK3238" s="2">
        <f t="shared" si="459"/>
        <v>110</v>
      </c>
      <c r="AL3238" s="5">
        <f t="shared" si="460"/>
        <v>0.5</v>
      </c>
    </row>
    <row r="3239" spans="1:38" x14ac:dyDescent="0.2">
      <c r="A3239" s="2">
        <v>2026</v>
      </c>
      <c r="B3239" s="2">
        <v>2</v>
      </c>
      <c r="D3239" s="2" t="s">
        <v>744</v>
      </c>
      <c r="E3239" s="2" t="s">
        <v>108</v>
      </c>
      <c r="F3239" s="2" t="s">
        <v>39</v>
      </c>
      <c r="G3239" s="2">
        <v>509181163</v>
      </c>
      <c r="H3239" s="2" t="s">
        <v>40</v>
      </c>
      <c r="I3239" s="2" t="s">
        <v>745</v>
      </c>
      <c r="J3239" s="2" t="s">
        <v>746</v>
      </c>
      <c r="K3239" s="2">
        <v>962372760</v>
      </c>
      <c r="L3239" s="2" t="s">
        <v>201</v>
      </c>
      <c r="M3239" s="2" t="s">
        <v>40</v>
      </c>
      <c r="P3239" s="2" t="s">
        <v>187</v>
      </c>
      <c r="Q3239" s="2" t="s">
        <v>188</v>
      </c>
      <c r="R3239" s="2" t="s">
        <v>189</v>
      </c>
      <c r="S3239" s="2">
        <v>3</v>
      </c>
      <c r="T3239" s="2">
        <v>219</v>
      </c>
      <c r="U3239" s="2">
        <v>50.37</v>
      </c>
      <c r="V3239" s="2">
        <v>269.37</v>
      </c>
      <c r="W3239" s="2">
        <f>T3239*40%</f>
        <v>87.600000000000009</v>
      </c>
      <c r="X3239" s="5">
        <f t="shared" si="458"/>
        <v>0.59999999999999987</v>
      </c>
      <c r="Z3239" s="2" t="s">
        <v>117</v>
      </c>
      <c r="AA3239" s="2" t="s">
        <v>190</v>
      </c>
      <c r="AB3239" s="2" t="s">
        <v>189</v>
      </c>
      <c r="AC3239" s="2" t="s">
        <v>40</v>
      </c>
      <c r="AF3239" s="2">
        <f t="shared" si="456"/>
        <v>0</v>
      </c>
      <c r="AG3239" s="2">
        <f t="shared" si="461"/>
        <v>87.600000000000009</v>
      </c>
      <c r="AJ3239" s="2">
        <f t="shared" si="457"/>
        <v>0</v>
      </c>
      <c r="AK3239" s="2">
        <f t="shared" si="459"/>
        <v>131.39999999999998</v>
      </c>
      <c r="AL3239" s="5">
        <f t="shared" si="460"/>
        <v>0.59999999999999987</v>
      </c>
    </row>
    <row r="3240" spans="1:38" x14ac:dyDescent="0.2">
      <c r="A3240" s="2">
        <v>2026</v>
      </c>
      <c r="B3240" s="2">
        <v>2</v>
      </c>
      <c r="D3240" s="2" t="s">
        <v>744</v>
      </c>
      <c r="E3240" s="2" t="s">
        <v>108</v>
      </c>
      <c r="F3240" s="2" t="s">
        <v>39</v>
      </c>
      <c r="G3240" s="2">
        <v>509181163</v>
      </c>
      <c r="H3240" s="2" t="s">
        <v>40</v>
      </c>
      <c r="I3240" s="2" t="s">
        <v>745</v>
      </c>
      <c r="J3240" s="2" t="s">
        <v>746</v>
      </c>
      <c r="K3240" s="2">
        <v>962372760</v>
      </c>
      <c r="L3240" s="2" t="s">
        <v>201</v>
      </c>
      <c r="M3240" s="2" t="s">
        <v>40</v>
      </c>
      <c r="P3240" s="2" t="s">
        <v>187</v>
      </c>
      <c r="Q3240" s="2" t="s">
        <v>191</v>
      </c>
      <c r="R3240" s="2" t="s">
        <v>190</v>
      </c>
      <c r="S3240" s="2">
        <v>3</v>
      </c>
      <c r="T3240" s="2">
        <v>165</v>
      </c>
      <c r="U3240" s="2">
        <v>37.950000000000003</v>
      </c>
      <c r="V3240" s="2">
        <v>202.95</v>
      </c>
      <c r="W3240" s="2">
        <f>T3240*50%</f>
        <v>82.5</v>
      </c>
      <c r="X3240" s="5">
        <f t="shared" si="458"/>
        <v>0.5</v>
      </c>
      <c r="Z3240" s="2" t="s">
        <v>117</v>
      </c>
      <c r="AA3240" s="2" t="s">
        <v>190</v>
      </c>
      <c r="AB3240" s="2" t="s">
        <v>190</v>
      </c>
      <c r="AC3240" s="2" t="s">
        <v>40</v>
      </c>
      <c r="AF3240" s="2">
        <f t="shared" si="456"/>
        <v>0</v>
      </c>
      <c r="AG3240" s="2">
        <f t="shared" si="461"/>
        <v>82.5</v>
      </c>
      <c r="AJ3240" s="2">
        <f t="shared" si="457"/>
        <v>0</v>
      </c>
      <c r="AK3240" s="2">
        <f t="shared" si="459"/>
        <v>82.5</v>
      </c>
      <c r="AL3240" s="5">
        <f t="shared" si="460"/>
        <v>0.5</v>
      </c>
    </row>
    <row r="3241" spans="1:38" x14ac:dyDescent="0.2">
      <c r="A3241" s="2">
        <v>2026</v>
      </c>
      <c r="B3241" s="2">
        <v>1</v>
      </c>
      <c r="D3241" s="2" t="s">
        <v>2231</v>
      </c>
      <c r="M3241" s="2" t="s">
        <v>40</v>
      </c>
      <c r="P3241" s="2" t="s">
        <v>187</v>
      </c>
      <c r="Q3241" s="2" t="s">
        <v>188</v>
      </c>
      <c r="R3241" s="2" t="s">
        <v>189</v>
      </c>
      <c r="S3241" s="2">
        <v>1</v>
      </c>
      <c r="T3241" s="2">
        <v>138</v>
      </c>
      <c r="U3241" s="2">
        <v>31.74</v>
      </c>
      <c r="V3241" s="2">
        <v>169.74</v>
      </c>
      <c r="W3241" s="2">
        <f>T3241*40%</f>
        <v>55.2</v>
      </c>
      <c r="X3241" s="5">
        <f t="shared" si="458"/>
        <v>0.6</v>
      </c>
      <c r="Z3241" s="2" t="s">
        <v>117</v>
      </c>
      <c r="AA3241" s="2" t="s">
        <v>190</v>
      </c>
      <c r="AB3241" s="2" t="s">
        <v>189</v>
      </c>
      <c r="AC3241" s="2" t="s">
        <v>40</v>
      </c>
      <c r="AF3241" s="2">
        <f t="shared" si="456"/>
        <v>0</v>
      </c>
      <c r="AG3241" s="2">
        <f t="shared" si="461"/>
        <v>55.2</v>
      </c>
      <c r="AJ3241" s="2">
        <f t="shared" si="457"/>
        <v>0</v>
      </c>
      <c r="AK3241" s="2">
        <f t="shared" si="459"/>
        <v>82.8</v>
      </c>
      <c r="AL3241" s="5">
        <f t="shared" si="460"/>
        <v>0.6</v>
      </c>
    </row>
    <row r="3242" spans="1:38" x14ac:dyDescent="0.2">
      <c r="A3242" s="2">
        <v>2026</v>
      </c>
      <c r="B3242" s="2">
        <v>1</v>
      </c>
      <c r="D3242" s="2" t="s">
        <v>2231</v>
      </c>
      <c r="M3242" s="2" t="s">
        <v>40</v>
      </c>
      <c r="P3242" s="2" t="s">
        <v>187</v>
      </c>
      <c r="Q3242" s="2" t="s">
        <v>191</v>
      </c>
      <c r="R3242" s="2" t="s">
        <v>190</v>
      </c>
      <c r="S3242" s="2">
        <v>0.75</v>
      </c>
      <c r="T3242" s="2">
        <v>37.5</v>
      </c>
      <c r="U3242" s="2">
        <v>8.625</v>
      </c>
      <c r="V3242" s="2">
        <v>46.125</v>
      </c>
      <c r="W3242" s="2">
        <f>T3242*50%</f>
        <v>18.75</v>
      </c>
      <c r="X3242" s="5">
        <f t="shared" si="458"/>
        <v>0.5</v>
      </c>
      <c r="Z3242" s="2" t="s">
        <v>117</v>
      </c>
      <c r="AA3242" s="2" t="s">
        <v>190</v>
      </c>
      <c r="AB3242" s="2" t="s">
        <v>190</v>
      </c>
      <c r="AC3242" s="2" t="s">
        <v>40</v>
      </c>
      <c r="AF3242" s="2">
        <f t="shared" si="456"/>
        <v>0</v>
      </c>
      <c r="AG3242" s="2">
        <f t="shared" si="461"/>
        <v>18.75</v>
      </c>
      <c r="AJ3242" s="2">
        <f t="shared" si="457"/>
        <v>0</v>
      </c>
      <c r="AK3242" s="2">
        <f t="shared" si="459"/>
        <v>18.75</v>
      </c>
      <c r="AL3242" s="5">
        <f t="shared" si="460"/>
        <v>0.5</v>
      </c>
    </row>
    <row r="3243" spans="1:38" x14ac:dyDescent="0.2">
      <c r="A3243" s="2">
        <v>2026</v>
      </c>
      <c r="B3243" s="2">
        <v>4</v>
      </c>
      <c r="D3243" s="2" t="s">
        <v>1000</v>
      </c>
      <c r="E3243" s="2" t="s">
        <v>38</v>
      </c>
      <c r="F3243" s="2" t="s">
        <v>39</v>
      </c>
      <c r="G3243" s="2">
        <v>510743854</v>
      </c>
      <c r="H3243" s="2" t="s">
        <v>40</v>
      </c>
      <c r="I3243" s="2" t="s">
        <v>1001</v>
      </c>
      <c r="J3243" s="2" t="s">
        <v>1002</v>
      </c>
      <c r="K3243" s="2">
        <v>917233128</v>
      </c>
      <c r="L3243" s="2" t="s">
        <v>99</v>
      </c>
      <c r="M3243" s="2" t="s">
        <v>40</v>
      </c>
      <c r="O3243" s="2" t="s">
        <v>2603</v>
      </c>
      <c r="P3243" s="2" t="s">
        <v>187</v>
      </c>
      <c r="Q3243" s="2" t="s">
        <v>188</v>
      </c>
      <c r="R3243" s="2" t="s">
        <v>189</v>
      </c>
      <c r="S3243" s="2">
        <v>1</v>
      </c>
      <c r="T3243" s="2">
        <v>55</v>
      </c>
      <c r="U3243" s="2">
        <v>12.65</v>
      </c>
      <c r="V3243" s="2">
        <v>67.650000000000006</v>
      </c>
      <c r="W3243" s="2">
        <f>T3243*40%</f>
        <v>22</v>
      </c>
      <c r="X3243" s="5">
        <f t="shared" si="458"/>
        <v>0.6</v>
      </c>
      <c r="Z3243" s="2" t="s">
        <v>117</v>
      </c>
      <c r="AA3243" s="2" t="s">
        <v>190</v>
      </c>
      <c r="AB3243" s="2" t="s">
        <v>189</v>
      </c>
      <c r="AC3243" s="2" t="s">
        <v>40</v>
      </c>
      <c r="AF3243" s="2">
        <f t="shared" si="456"/>
        <v>0</v>
      </c>
      <c r="AG3243" s="2">
        <f t="shared" si="461"/>
        <v>22</v>
      </c>
      <c r="AJ3243" s="2">
        <f t="shared" si="457"/>
        <v>0</v>
      </c>
      <c r="AK3243" s="2">
        <f t="shared" si="459"/>
        <v>33</v>
      </c>
      <c r="AL3243" s="5">
        <f t="shared" si="460"/>
        <v>0.6</v>
      </c>
    </row>
    <row r="3244" spans="1:38" x14ac:dyDescent="0.2">
      <c r="A3244" s="2">
        <v>2026</v>
      </c>
      <c r="B3244" s="2">
        <v>4</v>
      </c>
      <c r="D3244" s="2" t="s">
        <v>1000</v>
      </c>
      <c r="E3244" s="2" t="s">
        <v>38</v>
      </c>
      <c r="F3244" s="2" t="s">
        <v>39</v>
      </c>
      <c r="G3244" s="2">
        <v>510743854</v>
      </c>
      <c r="H3244" s="2" t="s">
        <v>40</v>
      </c>
      <c r="I3244" s="2" t="s">
        <v>1001</v>
      </c>
      <c r="J3244" s="2" t="s">
        <v>1002</v>
      </c>
      <c r="K3244" s="2">
        <v>917233128</v>
      </c>
      <c r="L3244" s="2" t="s">
        <v>99</v>
      </c>
      <c r="M3244" s="2" t="s">
        <v>40</v>
      </c>
      <c r="O3244" s="2" t="s">
        <v>2603</v>
      </c>
      <c r="P3244" s="2" t="s">
        <v>187</v>
      </c>
      <c r="Q3244" s="2" t="s">
        <v>191</v>
      </c>
      <c r="R3244" s="2" t="s">
        <v>190</v>
      </c>
      <c r="S3244" s="2">
        <v>2</v>
      </c>
      <c r="T3244" s="2">
        <v>110</v>
      </c>
      <c r="U3244" s="2">
        <v>25.3</v>
      </c>
      <c r="V3244" s="2">
        <v>135.30000000000001</v>
      </c>
      <c r="W3244" s="2">
        <f>T3244*50%</f>
        <v>55</v>
      </c>
      <c r="X3244" s="5">
        <f t="shared" si="458"/>
        <v>0.5</v>
      </c>
      <c r="Z3244" s="2" t="s">
        <v>117</v>
      </c>
      <c r="AA3244" s="2" t="s">
        <v>190</v>
      </c>
      <c r="AB3244" s="2" t="s">
        <v>190</v>
      </c>
      <c r="AC3244" s="2" t="s">
        <v>40</v>
      </c>
      <c r="AF3244" s="2">
        <f t="shared" si="456"/>
        <v>0</v>
      </c>
      <c r="AG3244" s="2">
        <f t="shared" si="461"/>
        <v>55</v>
      </c>
      <c r="AJ3244" s="2">
        <f t="shared" si="457"/>
        <v>0</v>
      </c>
      <c r="AK3244" s="2">
        <f t="shared" si="459"/>
        <v>55</v>
      </c>
      <c r="AL3244" s="5">
        <f t="shared" si="460"/>
        <v>0.5</v>
      </c>
    </row>
    <row r="3245" spans="1:38" x14ac:dyDescent="0.2">
      <c r="A3245" s="2">
        <v>2026</v>
      </c>
      <c r="B3245" s="2">
        <v>1</v>
      </c>
      <c r="D3245" s="2" t="s">
        <v>2333</v>
      </c>
      <c r="M3245" s="2" t="s">
        <v>40</v>
      </c>
      <c r="P3245" s="2" t="s">
        <v>187</v>
      </c>
      <c r="Q3245" s="2" t="s">
        <v>188</v>
      </c>
      <c r="R3245" s="2" t="s">
        <v>189</v>
      </c>
      <c r="S3245" s="2">
        <v>1</v>
      </c>
      <c r="T3245" s="2">
        <v>293</v>
      </c>
      <c r="U3245" s="2">
        <v>67.39</v>
      </c>
      <c r="V3245" s="2">
        <v>360.39</v>
      </c>
      <c r="W3245" s="2">
        <f>T3245*40%</f>
        <v>117.2</v>
      </c>
      <c r="X3245" s="5">
        <f t="shared" si="458"/>
        <v>0.60000000000000009</v>
      </c>
      <c r="Z3245" s="2" t="s">
        <v>117</v>
      </c>
      <c r="AA3245" s="2" t="s">
        <v>190</v>
      </c>
      <c r="AB3245" s="2" t="s">
        <v>189</v>
      </c>
      <c r="AC3245" s="2" t="s">
        <v>40</v>
      </c>
      <c r="AF3245" s="2">
        <f t="shared" si="456"/>
        <v>0</v>
      </c>
      <c r="AG3245" s="2">
        <f t="shared" si="461"/>
        <v>117.2</v>
      </c>
      <c r="AJ3245" s="2">
        <f t="shared" si="457"/>
        <v>0</v>
      </c>
      <c r="AK3245" s="2">
        <f t="shared" si="459"/>
        <v>175.8</v>
      </c>
      <c r="AL3245" s="5">
        <f t="shared" si="460"/>
        <v>0.60000000000000009</v>
      </c>
    </row>
    <row r="3246" spans="1:38" x14ac:dyDescent="0.2">
      <c r="A3246" s="2">
        <v>2026</v>
      </c>
      <c r="B3246" s="2">
        <v>1</v>
      </c>
      <c r="D3246" s="2" t="s">
        <v>2333</v>
      </c>
      <c r="M3246" s="2" t="s">
        <v>40</v>
      </c>
      <c r="P3246" s="2" t="s">
        <v>187</v>
      </c>
      <c r="Q3246" s="2" t="s">
        <v>191</v>
      </c>
      <c r="R3246" s="2" t="s">
        <v>190</v>
      </c>
      <c r="S3246" s="2">
        <v>1.75</v>
      </c>
      <c r="T3246" s="2">
        <v>87.5</v>
      </c>
      <c r="U3246" s="2">
        <v>20.125</v>
      </c>
      <c r="V3246" s="2">
        <v>107.625</v>
      </c>
      <c r="W3246" s="2">
        <f>T3246*50%</f>
        <v>43.75</v>
      </c>
      <c r="X3246" s="5">
        <f t="shared" si="458"/>
        <v>0.5</v>
      </c>
      <c r="Z3246" s="2" t="s">
        <v>117</v>
      </c>
      <c r="AA3246" s="2" t="s">
        <v>190</v>
      </c>
      <c r="AB3246" s="2" t="s">
        <v>190</v>
      </c>
      <c r="AC3246" s="2" t="s">
        <v>40</v>
      </c>
      <c r="AF3246" s="2">
        <f t="shared" si="456"/>
        <v>0</v>
      </c>
      <c r="AG3246" s="2">
        <f t="shared" si="461"/>
        <v>43.75</v>
      </c>
      <c r="AJ3246" s="2">
        <f t="shared" si="457"/>
        <v>0</v>
      </c>
      <c r="AK3246" s="2">
        <f t="shared" si="459"/>
        <v>43.75</v>
      </c>
      <c r="AL3246" s="5">
        <f t="shared" si="460"/>
        <v>0.5</v>
      </c>
    </row>
    <row r="3247" spans="1:38" x14ac:dyDescent="0.2">
      <c r="A3247" s="2">
        <v>2026</v>
      </c>
      <c r="B3247" s="2">
        <v>1</v>
      </c>
      <c r="D3247" s="2" t="s">
        <v>775</v>
      </c>
      <c r="E3247" s="2" t="s">
        <v>38</v>
      </c>
      <c r="F3247" s="2" t="s">
        <v>39</v>
      </c>
      <c r="G3247" s="2">
        <v>507324560</v>
      </c>
      <c r="H3247" s="2" t="s">
        <v>40</v>
      </c>
      <c r="I3247" s="2" t="s">
        <v>776</v>
      </c>
      <c r="J3247" s="2" t="s">
        <v>777</v>
      </c>
      <c r="L3247" s="2" t="s">
        <v>339</v>
      </c>
      <c r="M3247" s="2" t="s">
        <v>40</v>
      </c>
      <c r="O3247" s="2" t="s">
        <v>2304</v>
      </c>
      <c r="P3247" s="2" t="s">
        <v>187</v>
      </c>
      <c r="Q3247" s="2" t="s">
        <v>188</v>
      </c>
      <c r="R3247" s="2" t="s">
        <v>189</v>
      </c>
      <c r="S3247" s="2">
        <v>1</v>
      </c>
      <c r="T3247" s="2">
        <v>50</v>
      </c>
      <c r="U3247" s="2">
        <v>11.5</v>
      </c>
      <c r="V3247" s="2">
        <v>61.5</v>
      </c>
      <c r="W3247" s="2">
        <f>T3247*40%</f>
        <v>20</v>
      </c>
      <c r="X3247" s="5">
        <f t="shared" si="458"/>
        <v>0.6</v>
      </c>
      <c r="Z3247" s="2" t="s">
        <v>117</v>
      </c>
      <c r="AA3247" s="2" t="s">
        <v>190</v>
      </c>
      <c r="AB3247" s="2" t="s">
        <v>189</v>
      </c>
      <c r="AC3247" s="2" t="s">
        <v>40</v>
      </c>
      <c r="AF3247" s="2">
        <f t="shared" si="456"/>
        <v>0</v>
      </c>
      <c r="AG3247" s="2">
        <f t="shared" si="461"/>
        <v>20</v>
      </c>
      <c r="AJ3247" s="2">
        <f t="shared" si="457"/>
        <v>0</v>
      </c>
      <c r="AK3247" s="2">
        <f t="shared" si="459"/>
        <v>30</v>
      </c>
      <c r="AL3247" s="5">
        <f t="shared" si="460"/>
        <v>0.6</v>
      </c>
    </row>
    <row r="3248" spans="1:38" x14ac:dyDescent="0.2">
      <c r="A3248" s="2">
        <v>2026</v>
      </c>
      <c r="B3248" s="2">
        <v>1</v>
      </c>
      <c r="D3248" s="2" t="s">
        <v>775</v>
      </c>
      <c r="E3248" s="2" t="s">
        <v>38</v>
      </c>
      <c r="F3248" s="2" t="s">
        <v>39</v>
      </c>
      <c r="G3248" s="2">
        <v>507324560</v>
      </c>
      <c r="H3248" s="2" t="s">
        <v>40</v>
      </c>
      <c r="I3248" s="2" t="s">
        <v>776</v>
      </c>
      <c r="J3248" s="2" t="s">
        <v>777</v>
      </c>
      <c r="L3248" s="2" t="s">
        <v>339</v>
      </c>
      <c r="M3248" s="2" t="s">
        <v>40</v>
      </c>
      <c r="O3248" s="2" t="s">
        <v>2304</v>
      </c>
      <c r="P3248" s="2" t="s">
        <v>187</v>
      </c>
      <c r="Q3248" s="2" t="s">
        <v>191</v>
      </c>
      <c r="R3248" s="2" t="s">
        <v>190</v>
      </c>
      <c r="S3248" s="2">
        <v>1.25</v>
      </c>
      <c r="T3248" s="2">
        <v>62.5</v>
      </c>
      <c r="U3248" s="2">
        <v>14.375</v>
      </c>
      <c r="V3248" s="2">
        <v>76.875</v>
      </c>
      <c r="W3248" s="2">
        <f>T3248*50%</f>
        <v>31.25</v>
      </c>
      <c r="X3248" s="5">
        <f t="shared" si="458"/>
        <v>0.5</v>
      </c>
      <c r="Z3248" s="2" t="s">
        <v>117</v>
      </c>
      <c r="AA3248" s="2" t="s">
        <v>190</v>
      </c>
      <c r="AB3248" s="2" t="s">
        <v>190</v>
      </c>
      <c r="AC3248" s="2" t="s">
        <v>40</v>
      </c>
      <c r="AF3248" s="2">
        <f t="shared" si="456"/>
        <v>0</v>
      </c>
      <c r="AG3248" s="2">
        <f t="shared" si="461"/>
        <v>31.25</v>
      </c>
      <c r="AJ3248" s="2">
        <f t="shared" si="457"/>
        <v>0</v>
      </c>
      <c r="AK3248" s="2">
        <f t="shared" si="459"/>
        <v>31.25</v>
      </c>
      <c r="AL3248" s="5">
        <f t="shared" si="460"/>
        <v>0.5</v>
      </c>
    </row>
    <row r="3249" spans="1:38" x14ac:dyDescent="0.2">
      <c r="A3249" s="2">
        <v>2026</v>
      </c>
      <c r="B3249" s="2">
        <v>2</v>
      </c>
      <c r="D3249" s="2" t="s">
        <v>775</v>
      </c>
      <c r="E3249" s="2" t="s">
        <v>38</v>
      </c>
      <c r="F3249" s="2" t="s">
        <v>39</v>
      </c>
      <c r="G3249" s="2">
        <v>507324560</v>
      </c>
      <c r="H3249" s="2" t="s">
        <v>40</v>
      </c>
      <c r="I3249" s="2" t="s">
        <v>776</v>
      </c>
      <c r="J3249" s="2" t="s">
        <v>777</v>
      </c>
      <c r="L3249" s="2" t="s">
        <v>339</v>
      </c>
      <c r="M3249" s="2" t="s">
        <v>40</v>
      </c>
      <c r="O3249" s="2" t="s">
        <v>2474</v>
      </c>
      <c r="P3249" s="2" t="s">
        <v>187</v>
      </c>
      <c r="Q3249" s="2" t="s">
        <v>188</v>
      </c>
      <c r="R3249" s="2" t="s">
        <v>189</v>
      </c>
      <c r="S3249" s="2">
        <v>1</v>
      </c>
      <c r="T3249" s="2">
        <v>55</v>
      </c>
      <c r="U3249" s="2">
        <v>12.65</v>
      </c>
      <c r="V3249" s="2">
        <v>67.650000000000006</v>
      </c>
      <c r="W3249" s="2">
        <f>T3249*40%</f>
        <v>22</v>
      </c>
      <c r="X3249" s="5">
        <f t="shared" si="458"/>
        <v>0.6</v>
      </c>
      <c r="Z3249" s="2" t="s">
        <v>117</v>
      </c>
      <c r="AA3249" s="2" t="s">
        <v>190</v>
      </c>
      <c r="AB3249" s="2" t="s">
        <v>189</v>
      </c>
      <c r="AC3249" s="2" t="s">
        <v>40</v>
      </c>
      <c r="AF3249" s="2">
        <f t="shared" si="456"/>
        <v>0</v>
      </c>
      <c r="AG3249" s="2">
        <f t="shared" si="461"/>
        <v>22</v>
      </c>
      <c r="AJ3249" s="2">
        <f t="shared" si="457"/>
        <v>0</v>
      </c>
      <c r="AK3249" s="2">
        <f t="shared" si="459"/>
        <v>33</v>
      </c>
      <c r="AL3249" s="5">
        <f t="shared" si="460"/>
        <v>0.6</v>
      </c>
    </row>
    <row r="3250" spans="1:38" x14ac:dyDescent="0.2">
      <c r="A3250" s="2">
        <v>2026</v>
      </c>
      <c r="B3250" s="2">
        <v>2</v>
      </c>
      <c r="D3250" s="2" t="s">
        <v>775</v>
      </c>
      <c r="E3250" s="2" t="s">
        <v>38</v>
      </c>
      <c r="F3250" s="2" t="s">
        <v>39</v>
      </c>
      <c r="G3250" s="2">
        <v>507324560</v>
      </c>
      <c r="H3250" s="2" t="s">
        <v>40</v>
      </c>
      <c r="I3250" s="2" t="s">
        <v>776</v>
      </c>
      <c r="J3250" s="2" t="s">
        <v>777</v>
      </c>
      <c r="L3250" s="2" t="s">
        <v>339</v>
      </c>
      <c r="M3250" s="2" t="s">
        <v>40</v>
      </c>
      <c r="O3250" s="2" t="s">
        <v>2474</v>
      </c>
      <c r="P3250" s="2" t="s">
        <v>187</v>
      </c>
      <c r="Q3250" s="2" t="s">
        <v>191</v>
      </c>
      <c r="R3250" s="2" t="s">
        <v>190</v>
      </c>
      <c r="S3250" s="2">
        <v>1</v>
      </c>
      <c r="T3250" s="2">
        <v>55</v>
      </c>
      <c r="U3250" s="2">
        <v>12.65</v>
      </c>
      <c r="V3250" s="2">
        <v>67.650000000000006</v>
      </c>
      <c r="W3250" s="2">
        <f>T3250*50%</f>
        <v>27.5</v>
      </c>
      <c r="X3250" s="5">
        <f t="shared" si="458"/>
        <v>0.5</v>
      </c>
      <c r="Z3250" s="2" t="s">
        <v>117</v>
      </c>
      <c r="AA3250" s="2" t="s">
        <v>190</v>
      </c>
      <c r="AB3250" s="2" t="s">
        <v>190</v>
      </c>
      <c r="AC3250" s="2" t="s">
        <v>40</v>
      </c>
      <c r="AF3250" s="2">
        <f t="shared" si="456"/>
        <v>0</v>
      </c>
      <c r="AG3250" s="2">
        <f t="shared" si="461"/>
        <v>27.5</v>
      </c>
      <c r="AJ3250" s="2">
        <f t="shared" si="457"/>
        <v>0</v>
      </c>
      <c r="AK3250" s="2">
        <f t="shared" si="459"/>
        <v>27.5</v>
      </c>
      <c r="AL3250" s="5">
        <f t="shared" si="460"/>
        <v>0.5</v>
      </c>
    </row>
    <row r="3251" spans="1:38" x14ac:dyDescent="0.2">
      <c r="A3251" s="2">
        <v>2026</v>
      </c>
      <c r="B3251" s="2">
        <v>1</v>
      </c>
      <c r="D3251" s="2" t="s">
        <v>1008</v>
      </c>
      <c r="E3251" s="2" t="s">
        <v>108</v>
      </c>
      <c r="F3251" s="2" t="s">
        <v>39</v>
      </c>
      <c r="L3251" s="2" t="s">
        <v>418</v>
      </c>
      <c r="M3251" s="2" t="s">
        <v>40</v>
      </c>
      <c r="P3251" s="2" t="s">
        <v>187</v>
      </c>
      <c r="Q3251" s="2" t="s">
        <v>188</v>
      </c>
      <c r="R3251" s="2" t="s">
        <v>189</v>
      </c>
      <c r="S3251" s="2">
        <v>1</v>
      </c>
      <c r="T3251" s="2">
        <v>88</v>
      </c>
      <c r="U3251" s="2">
        <v>20.239999999999998</v>
      </c>
      <c r="V3251" s="2">
        <v>108.24</v>
      </c>
      <c r="W3251" s="2">
        <f>T3251*40%</f>
        <v>35.200000000000003</v>
      </c>
      <c r="X3251" s="5">
        <f t="shared" si="458"/>
        <v>0.6</v>
      </c>
      <c r="Z3251" s="2" t="s">
        <v>117</v>
      </c>
      <c r="AA3251" s="2" t="s">
        <v>190</v>
      </c>
      <c r="AB3251" s="2" t="s">
        <v>189</v>
      </c>
      <c r="AC3251" s="2" t="s">
        <v>40</v>
      </c>
      <c r="AF3251" s="2">
        <f t="shared" si="456"/>
        <v>0</v>
      </c>
      <c r="AG3251" s="2">
        <f t="shared" si="461"/>
        <v>35.200000000000003</v>
      </c>
      <c r="AJ3251" s="2">
        <f t="shared" si="457"/>
        <v>0</v>
      </c>
      <c r="AK3251" s="2">
        <f t="shared" si="459"/>
        <v>52.8</v>
      </c>
      <c r="AL3251" s="5">
        <f t="shared" si="460"/>
        <v>0.6</v>
      </c>
    </row>
    <row r="3252" spans="1:38" x14ac:dyDescent="0.2">
      <c r="A3252" s="2">
        <v>2026</v>
      </c>
      <c r="B3252" s="2">
        <v>1</v>
      </c>
      <c r="D3252" s="2" t="s">
        <v>1008</v>
      </c>
      <c r="E3252" s="2" t="s">
        <v>108</v>
      </c>
      <c r="F3252" s="2" t="s">
        <v>39</v>
      </c>
      <c r="L3252" s="2" t="s">
        <v>418</v>
      </c>
      <c r="M3252" s="2" t="s">
        <v>40</v>
      </c>
      <c r="P3252" s="2" t="s">
        <v>187</v>
      </c>
      <c r="Q3252" s="2" t="s">
        <v>191</v>
      </c>
      <c r="R3252" s="2" t="s">
        <v>190</v>
      </c>
      <c r="S3252" s="2">
        <v>1</v>
      </c>
      <c r="T3252" s="2">
        <v>50</v>
      </c>
      <c r="U3252" s="2">
        <v>11.5</v>
      </c>
      <c r="V3252" s="2">
        <v>61.5</v>
      </c>
      <c r="W3252" s="2">
        <f>T3252*50%</f>
        <v>25</v>
      </c>
      <c r="X3252" s="5">
        <f t="shared" si="458"/>
        <v>0.5</v>
      </c>
      <c r="Z3252" s="2" t="s">
        <v>117</v>
      </c>
      <c r="AA3252" s="2" t="s">
        <v>190</v>
      </c>
      <c r="AB3252" s="2" t="s">
        <v>190</v>
      </c>
      <c r="AC3252" s="2" t="s">
        <v>40</v>
      </c>
      <c r="AF3252" s="2">
        <f t="shared" si="456"/>
        <v>0</v>
      </c>
      <c r="AG3252" s="2">
        <f t="shared" si="461"/>
        <v>25</v>
      </c>
      <c r="AJ3252" s="2">
        <f t="shared" si="457"/>
        <v>0</v>
      </c>
      <c r="AK3252" s="2">
        <f t="shared" si="459"/>
        <v>25</v>
      </c>
      <c r="AL3252" s="5">
        <f t="shared" si="460"/>
        <v>0.5</v>
      </c>
    </row>
    <row r="3253" spans="1:38" x14ac:dyDescent="0.2">
      <c r="A3253" s="2">
        <v>2026</v>
      </c>
      <c r="B3253" s="2">
        <v>4</v>
      </c>
      <c r="C3253" s="2" t="s">
        <v>3451</v>
      </c>
      <c r="D3253" s="2" t="s">
        <v>1009</v>
      </c>
      <c r="E3253" s="2" t="s">
        <v>108</v>
      </c>
      <c r="F3253" s="2" t="s">
        <v>39</v>
      </c>
      <c r="G3253" s="2">
        <v>507063481</v>
      </c>
      <c r="H3253" s="2" t="s">
        <v>290</v>
      </c>
      <c r="I3253" s="2" t="s">
        <v>1010</v>
      </c>
      <c r="J3253" s="2" t="s">
        <v>1011</v>
      </c>
      <c r="L3253" s="2" t="s">
        <v>293</v>
      </c>
      <c r="M3253" s="2" t="s">
        <v>40</v>
      </c>
      <c r="P3253" s="2" t="s">
        <v>187</v>
      </c>
      <c r="Q3253" s="2" t="s">
        <v>188</v>
      </c>
      <c r="R3253" s="2" t="s">
        <v>189</v>
      </c>
      <c r="S3253" s="2">
        <v>1</v>
      </c>
      <c r="T3253" s="2">
        <v>60</v>
      </c>
      <c r="U3253" s="2">
        <v>13.8</v>
      </c>
      <c r="V3253" s="2">
        <v>73.8</v>
      </c>
      <c r="W3253" s="2">
        <f>T3253*40%</f>
        <v>24</v>
      </c>
      <c r="X3253" s="5">
        <f t="shared" si="458"/>
        <v>0.6</v>
      </c>
      <c r="Z3253" s="2" t="s">
        <v>117</v>
      </c>
      <c r="AA3253" s="2" t="s">
        <v>190</v>
      </c>
      <c r="AB3253" s="2" t="s">
        <v>189</v>
      </c>
      <c r="AC3253" s="2" t="s">
        <v>40</v>
      </c>
      <c r="AF3253" s="2">
        <f t="shared" si="456"/>
        <v>0</v>
      </c>
      <c r="AG3253" s="2">
        <f t="shared" si="461"/>
        <v>24</v>
      </c>
      <c r="AJ3253" s="2">
        <f t="shared" si="457"/>
        <v>0</v>
      </c>
      <c r="AK3253" s="2">
        <f t="shared" si="459"/>
        <v>36</v>
      </c>
      <c r="AL3253" s="5">
        <f t="shared" si="460"/>
        <v>0.6</v>
      </c>
    </row>
    <row r="3254" spans="1:38" x14ac:dyDescent="0.2">
      <c r="A3254" s="2">
        <v>2026</v>
      </c>
      <c r="B3254" s="2">
        <v>4</v>
      </c>
      <c r="C3254" s="2" t="s">
        <v>3451</v>
      </c>
      <c r="D3254" s="2" t="s">
        <v>1009</v>
      </c>
      <c r="E3254" s="2" t="s">
        <v>108</v>
      </c>
      <c r="F3254" s="2" t="s">
        <v>39</v>
      </c>
      <c r="G3254" s="2">
        <v>507063481</v>
      </c>
      <c r="H3254" s="2" t="s">
        <v>290</v>
      </c>
      <c r="I3254" s="2" t="s">
        <v>1010</v>
      </c>
      <c r="J3254" s="2" t="s">
        <v>1011</v>
      </c>
      <c r="L3254" s="2" t="s">
        <v>293</v>
      </c>
      <c r="M3254" s="2" t="s">
        <v>40</v>
      </c>
      <c r="P3254" s="2" t="s">
        <v>187</v>
      </c>
      <c r="Q3254" s="2" t="s">
        <v>191</v>
      </c>
      <c r="R3254" s="2" t="s">
        <v>190</v>
      </c>
      <c r="S3254" s="2">
        <v>1</v>
      </c>
      <c r="T3254" s="2">
        <v>55</v>
      </c>
      <c r="U3254" s="2">
        <v>12.65</v>
      </c>
      <c r="V3254" s="2">
        <v>67.650000000000006</v>
      </c>
      <c r="W3254" s="2">
        <f>T3254*50%</f>
        <v>27.5</v>
      </c>
      <c r="X3254" s="5">
        <f t="shared" si="458"/>
        <v>0.5</v>
      </c>
      <c r="Z3254" s="2" t="s">
        <v>117</v>
      </c>
      <c r="AA3254" s="2" t="s">
        <v>190</v>
      </c>
      <c r="AB3254" s="2" t="s">
        <v>190</v>
      </c>
      <c r="AC3254" s="2" t="s">
        <v>40</v>
      </c>
      <c r="AF3254" s="2">
        <f t="shared" si="456"/>
        <v>0</v>
      </c>
      <c r="AG3254" s="2">
        <f t="shared" si="461"/>
        <v>27.5</v>
      </c>
      <c r="AJ3254" s="2">
        <f t="shared" si="457"/>
        <v>0</v>
      </c>
      <c r="AK3254" s="2">
        <f t="shared" si="459"/>
        <v>27.5</v>
      </c>
      <c r="AL3254" s="5">
        <f t="shared" si="460"/>
        <v>0.5</v>
      </c>
    </row>
    <row r="3255" spans="1:38" x14ac:dyDescent="0.2">
      <c r="A3255" s="2">
        <v>2026</v>
      </c>
      <c r="B3255" s="2">
        <v>4</v>
      </c>
      <c r="D3255" s="2" t="s">
        <v>1241</v>
      </c>
      <c r="M3255" s="2" t="s">
        <v>40</v>
      </c>
      <c r="P3255" s="2" t="s">
        <v>187</v>
      </c>
      <c r="Q3255" s="2" t="s">
        <v>188</v>
      </c>
      <c r="R3255" s="2" t="s">
        <v>189</v>
      </c>
      <c r="S3255" s="2">
        <v>3</v>
      </c>
      <c r="T3255" s="2">
        <v>110</v>
      </c>
      <c r="U3255" s="2">
        <v>25.3</v>
      </c>
      <c r="V3255" s="2">
        <v>135.30000000000001</v>
      </c>
      <c r="W3255" s="2">
        <f>T3255*40%</f>
        <v>44</v>
      </c>
      <c r="X3255" s="5">
        <f t="shared" si="458"/>
        <v>0.6</v>
      </c>
      <c r="Z3255" s="2" t="s">
        <v>117</v>
      </c>
      <c r="AA3255" s="2" t="s">
        <v>190</v>
      </c>
      <c r="AB3255" s="2" t="s">
        <v>189</v>
      </c>
      <c r="AC3255" s="2" t="s">
        <v>40</v>
      </c>
      <c r="AF3255" s="2">
        <f t="shared" si="456"/>
        <v>0</v>
      </c>
      <c r="AG3255" s="2">
        <f t="shared" si="461"/>
        <v>44</v>
      </c>
      <c r="AJ3255" s="2">
        <f t="shared" si="457"/>
        <v>0</v>
      </c>
      <c r="AK3255" s="2">
        <f t="shared" si="459"/>
        <v>66</v>
      </c>
      <c r="AL3255" s="5">
        <f t="shared" si="460"/>
        <v>0.6</v>
      </c>
    </row>
    <row r="3256" spans="1:38" x14ac:dyDescent="0.2">
      <c r="A3256" s="2">
        <v>2026</v>
      </c>
      <c r="B3256" s="2">
        <v>4</v>
      </c>
      <c r="D3256" s="2" t="s">
        <v>1241</v>
      </c>
      <c r="M3256" s="2" t="s">
        <v>40</v>
      </c>
      <c r="P3256" s="2" t="s">
        <v>187</v>
      </c>
      <c r="Q3256" s="2" t="s">
        <v>191</v>
      </c>
      <c r="R3256" s="2" t="s">
        <v>190</v>
      </c>
      <c r="S3256" s="2">
        <v>3.75</v>
      </c>
      <c r="T3256" s="2">
        <v>206.25</v>
      </c>
      <c r="U3256" s="2">
        <v>47.4375</v>
      </c>
      <c r="V3256" s="2">
        <v>253.6875</v>
      </c>
      <c r="W3256" s="2">
        <f>T3256*50%</f>
        <v>103.125</v>
      </c>
      <c r="X3256" s="5">
        <f t="shared" si="458"/>
        <v>0.5</v>
      </c>
      <c r="Z3256" s="2" t="s">
        <v>117</v>
      </c>
      <c r="AA3256" s="2" t="s">
        <v>190</v>
      </c>
      <c r="AB3256" s="2" t="s">
        <v>190</v>
      </c>
      <c r="AC3256" s="2" t="s">
        <v>40</v>
      </c>
      <c r="AF3256" s="2">
        <f t="shared" si="456"/>
        <v>0</v>
      </c>
      <c r="AG3256" s="2">
        <f t="shared" si="461"/>
        <v>103.125</v>
      </c>
      <c r="AJ3256" s="2">
        <f t="shared" si="457"/>
        <v>0</v>
      </c>
      <c r="AK3256" s="2">
        <f t="shared" si="459"/>
        <v>103.125</v>
      </c>
      <c r="AL3256" s="5">
        <f t="shared" si="460"/>
        <v>0.5</v>
      </c>
    </row>
    <row r="3257" spans="1:38" x14ac:dyDescent="0.2">
      <c r="A3257" s="2">
        <v>2026</v>
      </c>
      <c r="B3257" s="2">
        <v>2</v>
      </c>
      <c r="D3257" s="2" t="s">
        <v>2509</v>
      </c>
      <c r="M3257" s="2" t="s">
        <v>40</v>
      </c>
      <c r="P3257" s="2" t="s">
        <v>187</v>
      </c>
      <c r="Q3257" s="2" t="s">
        <v>188</v>
      </c>
      <c r="R3257" s="2" t="s">
        <v>189</v>
      </c>
      <c r="S3257" s="2">
        <v>1</v>
      </c>
      <c r="T3257" s="2">
        <v>210</v>
      </c>
      <c r="U3257" s="2">
        <v>48.3</v>
      </c>
      <c r="V3257" s="2">
        <v>258.3</v>
      </c>
      <c r="W3257" s="2">
        <f>T3257*40%</f>
        <v>84</v>
      </c>
      <c r="X3257" s="5">
        <f t="shared" si="458"/>
        <v>0.6</v>
      </c>
      <c r="Z3257" s="2" t="s">
        <v>117</v>
      </c>
      <c r="AA3257" s="2" t="s">
        <v>190</v>
      </c>
      <c r="AB3257" s="2" t="s">
        <v>189</v>
      </c>
      <c r="AC3257" s="2" t="s">
        <v>40</v>
      </c>
      <c r="AF3257" s="2">
        <f t="shared" si="456"/>
        <v>0</v>
      </c>
      <c r="AG3257" s="2">
        <f t="shared" si="461"/>
        <v>84</v>
      </c>
      <c r="AJ3257" s="2">
        <f t="shared" si="457"/>
        <v>0</v>
      </c>
      <c r="AK3257" s="2">
        <f t="shared" si="459"/>
        <v>126</v>
      </c>
      <c r="AL3257" s="5">
        <f t="shared" si="460"/>
        <v>0.6</v>
      </c>
    </row>
    <row r="3258" spans="1:38" x14ac:dyDescent="0.2">
      <c r="A3258" s="2">
        <v>2026</v>
      </c>
      <c r="B3258" s="2">
        <v>2</v>
      </c>
      <c r="D3258" s="2" t="s">
        <v>2509</v>
      </c>
      <c r="M3258" s="2" t="s">
        <v>40</v>
      </c>
      <c r="P3258" s="2" t="s">
        <v>187</v>
      </c>
      <c r="Q3258" s="2" t="s">
        <v>191</v>
      </c>
      <c r="R3258" s="2" t="s">
        <v>190</v>
      </c>
      <c r="S3258" s="2">
        <v>1.5</v>
      </c>
      <c r="T3258" s="2">
        <v>75</v>
      </c>
      <c r="U3258" s="2">
        <v>17.25</v>
      </c>
      <c r="V3258" s="2">
        <v>92.25</v>
      </c>
      <c r="W3258" s="2">
        <f>T3258*50%</f>
        <v>37.5</v>
      </c>
      <c r="X3258" s="5">
        <f t="shared" si="458"/>
        <v>0.5</v>
      </c>
      <c r="Z3258" s="2" t="s">
        <v>117</v>
      </c>
      <c r="AA3258" s="2" t="s">
        <v>190</v>
      </c>
      <c r="AB3258" s="2" t="s">
        <v>190</v>
      </c>
      <c r="AC3258" s="2" t="s">
        <v>40</v>
      </c>
      <c r="AF3258" s="2">
        <f t="shared" si="456"/>
        <v>0</v>
      </c>
      <c r="AG3258" s="2">
        <f t="shared" si="461"/>
        <v>37.5</v>
      </c>
      <c r="AJ3258" s="2">
        <f t="shared" si="457"/>
        <v>0</v>
      </c>
      <c r="AK3258" s="2">
        <f t="shared" si="459"/>
        <v>37.5</v>
      </c>
      <c r="AL3258" s="5">
        <f t="shared" si="460"/>
        <v>0.5</v>
      </c>
    </row>
    <row r="3259" spans="1:38" x14ac:dyDescent="0.2">
      <c r="A3259" s="2">
        <v>2026</v>
      </c>
      <c r="B3259" s="2">
        <v>4</v>
      </c>
      <c r="D3259" s="2" t="s">
        <v>2604</v>
      </c>
      <c r="E3259" s="2" t="s">
        <v>108</v>
      </c>
      <c r="F3259" s="2" t="s">
        <v>39</v>
      </c>
      <c r="G3259" s="2">
        <v>5056222351</v>
      </c>
      <c r="H3259" s="2" t="s">
        <v>109</v>
      </c>
      <c r="I3259" s="2" t="s">
        <v>112</v>
      </c>
      <c r="J3259" s="2" t="s">
        <v>2605</v>
      </c>
      <c r="K3259" s="2">
        <v>935402550</v>
      </c>
      <c r="L3259" s="2" t="s">
        <v>112</v>
      </c>
      <c r="M3259" s="2" t="s">
        <v>40</v>
      </c>
      <c r="O3259" s="2" t="s">
        <v>2606</v>
      </c>
      <c r="P3259" s="2" t="s">
        <v>187</v>
      </c>
      <c r="Q3259" s="2" t="s">
        <v>188</v>
      </c>
      <c r="R3259" s="2" t="s">
        <v>189</v>
      </c>
      <c r="S3259" s="2">
        <v>1</v>
      </c>
      <c r="T3259" s="2">
        <v>164</v>
      </c>
      <c r="U3259" s="2">
        <v>37.72</v>
      </c>
      <c r="V3259" s="2">
        <v>201.72</v>
      </c>
      <c r="W3259" s="2">
        <f>T3259*40%</f>
        <v>65.600000000000009</v>
      </c>
      <c r="X3259" s="5">
        <f t="shared" si="458"/>
        <v>0.6</v>
      </c>
      <c r="Z3259" s="2" t="s">
        <v>117</v>
      </c>
      <c r="AA3259" s="2" t="s">
        <v>190</v>
      </c>
      <c r="AB3259" s="2" t="s">
        <v>189</v>
      </c>
      <c r="AC3259" s="2" t="s">
        <v>40</v>
      </c>
      <c r="AF3259" s="2">
        <f t="shared" si="456"/>
        <v>0</v>
      </c>
      <c r="AG3259" s="2">
        <f t="shared" si="461"/>
        <v>65.600000000000009</v>
      </c>
      <c r="AJ3259" s="2">
        <f t="shared" si="457"/>
        <v>0</v>
      </c>
      <c r="AK3259" s="2">
        <f t="shared" si="459"/>
        <v>98.399999999999991</v>
      </c>
      <c r="AL3259" s="5">
        <f t="shared" si="460"/>
        <v>0.6</v>
      </c>
    </row>
    <row r="3260" spans="1:38" x14ac:dyDescent="0.2">
      <c r="A3260" s="2">
        <v>2026</v>
      </c>
      <c r="B3260" s="2">
        <v>4</v>
      </c>
      <c r="D3260" s="2" t="s">
        <v>2604</v>
      </c>
      <c r="E3260" s="2" t="s">
        <v>108</v>
      </c>
      <c r="F3260" s="2" t="s">
        <v>39</v>
      </c>
      <c r="G3260" s="2">
        <v>5056222351</v>
      </c>
      <c r="H3260" s="2" t="s">
        <v>109</v>
      </c>
      <c r="I3260" s="2" t="s">
        <v>112</v>
      </c>
      <c r="J3260" s="2" t="s">
        <v>2605</v>
      </c>
      <c r="K3260" s="2">
        <v>935402550</v>
      </c>
      <c r="L3260" s="2" t="s">
        <v>112</v>
      </c>
      <c r="M3260" s="2" t="s">
        <v>40</v>
      </c>
      <c r="O3260" s="2" t="s">
        <v>2606</v>
      </c>
      <c r="P3260" s="2" t="s">
        <v>187</v>
      </c>
      <c r="Q3260" s="2" t="s">
        <v>191</v>
      </c>
      <c r="R3260" s="2" t="s">
        <v>190</v>
      </c>
      <c r="S3260" s="2">
        <v>2.5</v>
      </c>
      <c r="T3260" s="2">
        <v>137.5</v>
      </c>
      <c r="U3260" s="2">
        <v>31.625</v>
      </c>
      <c r="V3260" s="2">
        <v>169.125</v>
      </c>
      <c r="W3260" s="2">
        <f>T3260*50%</f>
        <v>68.75</v>
      </c>
      <c r="X3260" s="5">
        <f t="shared" si="458"/>
        <v>0.5</v>
      </c>
      <c r="Z3260" s="2" t="s">
        <v>117</v>
      </c>
      <c r="AA3260" s="2" t="s">
        <v>190</v>
      </c>
      <c r="AB3260" s="2" t="s">
        <v>190</v>
      </c>
      <c r="AC3260" s="2" t="s">
        <v>40</v>
      </c>
      <c r="AF3260" s="2">
        <f t="shared" si="456"/>
        <v>0</v>
      </c>
      <c r="AG3260" s="2">
        <f t="shared" si="461"/>
        <v>68.75</v>
      </c>
      <c r="AJ3260" s="2">
        <f t="shared" si="457"/>
        <v>0</v>
      </c>
      <c r="AK3260" s="2">
        <f t="shared" si="459"/>
        <v>68.75</v>
      </c>
      <c r="AL3260" s="5">
        <f t="shared" si="460"/>
        <v>0.5</v>
      </c>
    </row>
    <row r="3261" spans="1:38" x14ac:dyDescent="0.2">
      <c r="A3261" s="2">
        <v>2026</v>
      </c>
      <c r="B3261" s="2">
        <v>4</v>
      </c>
      <c r="D3261" s="2" t="s">
        <v>2607</v>
      </c>
      <c r="E3261" s="2" t="s">
        <v>38</v>
      </c>
      <c r="F3261" s="2" t="s">
        <v>39</v>
      </c>
      <c r="G3261" s="2">
        <v>225260913</v>
      </c>
      <c r="H3261" s="2" t="s">
        <v>40</v>
      </c>
      <c r="I3261" s="2" t="s">
        <v>2608</v>
      </c>
      <c r="J3261" s="2" t="s">
        <v>2609</v>
      </c>
      <c r="K3261" s="2">
        <v>912183782</v>
      </c>
      <c r="L3261" s="2" t="s">
        <v>201</v>
      </c>
      <c r="M3261" s="2" t="s">
        <v>40</v>
      </c>
      <c r="O3261" s="2" t="s">
        <v>2610</v>
      </c>
      <c r="P3261" s="2" t="s">
        <v>187</v>
      </c>
      <c r="Q3261" s="2" t="s">
        <v>188</v>
      </c>
      <c r="R3261" s="2" t="s">
        <v>189</v>
      </c>
      <c r="S3261" s="2">
        <v>1</v>
      </c>
      <c r="T3261" s="2">
        <v>58</v>
      </c>
      <c r="U3261" s="2">
        <v>13.34</v>
      </c>
      <c r="V3261" s="2">
        <v>71.34</v>
      </c>
      <c r="W3261" s="2">
        <f>T3261*40%</f>
        <v>23.200000000000003</v>
      </c>
      <c r="X3261" s="5">
        <f t="shared" si="458"/>
        <v>0.6</v>
      </c>
      <c r="Z3261" s="2" t="s">
        <v>117</v>
      </c>
      <c r="AA3261" s="2" t="s">
        <v>190</v>
      </c>
      <c r="AB3261" s="2" t="s">
        <v>189</v>
      </c>
      <c r="AC3261" s="2" t="s">
        <v>40</v>
      </c>
      <c r="AF3261" s="2">
        <f t="shared" si="456"/>
        <v>0</v>
      </c>
      <c r="AG3261" s="2">
        <f t="shared" si="461"/>
        <v>23.200000000000003</v>
      </c>
      <c r="AJ3261" s="2">
        <f t="shared" si="457"/>
        <v>0</v>
      </c>
      <c r="AK3261" s="2">
        <f t="shared" si="459"/>
        <v>34.799999999999997</v>
      </c>
      <c r="AL3261" s="5">
        <f t="shared" si="460"/>
        <v>0.6</v>
      </c>
    </row>
    <row r="3262" spans="1:38" x14ac:dyDescent="0.2">
      <c r="A3262" s="2">
        <v>2026</v>
      </c>
      <c r="B3262" s="2">
        <v>4</v>
      </c>
      <c r="D3262" s="2" t="s">
        <v>2607</v>
      </c>
      <c r="E3262" s="2" t="s">
        <v>38</v>
      </c>
      <c r="F3262" s="2" t="s">
        <v>39</v>
      </c>
      <c r="G3262" s="2">
        <v>225260913</v>
      </c>
      <c r="H3262" s="2" t="s">
        <v>40</v>
      </c>
      <c r="I3262" s="2" t="s">
        <v>2608</v>
      </c>
      <c r="J3262" s="2" t="s">
        <v>2609</v>
      </c>
      <c r="K3262" s="2">
        <v>912183782</v>
      </c>
      <c r="L3262" s="2" t="s">
        <v>201</v>
      </c>
      <c r="M3262" s="2" t="s">
        <v>40</v>
      </c>
      <c r="O3262" s="2" t="s">
        <v>2610</v>
      </c>
      <c r="P3262" s="2" t="s">
        <v>187</v>
      </c>
      <c r="Q3262" s="2" t="s">
        <v>191</v>
      </c>
      <c r="R3262" s="2" t="s">
        <v>190</v>
      </c>
      <c r="S3262" s="2">
        <v>1</v>
      </c>
      <c r="T3262" s="2">
        <v>0</v>
      </c>
      <c r="U3262" s="2">
        <v>0</v>
      </c>
      <c r="V3262" s="2">
        <v>0</v>
      </c>
      <c r="W3262" s="2">
        <f>T3262*50%</f>
        <v>0</v>
      </c>
      <c r="X3262" s="5">
        <v>0</v>
      </c>
      <c r="Z3262" s="2" t="s">
        <v>117</v>
      </c>
      <c r="AA3262" s="2" t="s">
        <v>190</v>
      </c>
      <c r="AB3262" s="2" t="s">
        <v>190</v>
      </c>
      <c r="AC3262" s="2" t="s">
        <v>40</v>
      </c>
      <c r="AF3262" s="2">
        <f t="shared" si="456"/>
        <v>0</v>
      </c>
      <c r="AG3262" s="2">
        <f t="shared" si="461"/>
        <v>0</v>
      </c>
      <c r="AJ3262" s="2">
        <f t="shared" si="457"/>
        <v>0</v>
      </c>
      <c r="AK3262" s="2">
        <v>0</v>
      </c>
      <c r="AL3262" s="5">
        <v>0</v>
      </c>
    </row>
    <row r="3263" spans="1:38" x14ac:dyDescent="0.2">
      <c r="A3263" s="2">
        <v>2026</v>
      </c>
      <c r="B3263" s="2">
        <v>4</v>
      </c>
      <c r="D3263" s="2" t="s">
        <v>451</v>
      </c>
      <c r="E3263" s="2" t="s">
        <v>108</v>
      </c>
      <c r="F3263" s="2" t="s">
        <v>39</v>
      </c>
      <c r="G3263" s="2">
        <v>506085686</v>
      </c>
      <c r="H3263" s="2" t="s">
        <v>40</v>
      </c>
      <c r="I3263" s="2" t="s">
        <v>452</v>
      </c>
      <c r="J3263" s="2" t="s">
        <v>453</v>
      </c>
      <c r="K3263" s="2">
        <v>917241919</v>
      </c>
      <c r="L3263" s="2" t="s">
        <v>398</v>
      </c>
      <c r="M3263" s="2" t="s">
        <v>40</v>
      </c>
      <c r="P3263" s="2" t="s">
        <v>187</v>
      </c>
      <c r="Q3263" s="2" t="s">
        <v>188</v>
      </c>
      <c r="R3263" s="2" t="s">
        <v>189</v>
      </c>
      <c r="S3263" s="2">
        <v>5</v>
      </c>
      <c r="T3263" s="2">
        <v>435</v>
      </c>
      <c r="U3263" s="2">
        <v>100.05</v>
      </c>
      <c r="V3263" s="2">
        <v>535.04999999999995</v>
      </c>
      <c r="W3263" s="2">
        <f>T3263*40%</f>
        <v>174</v>
      </c>
      <c r="X3263" s="5">
        <f t="shared" ref="X3263:X3275" si="462">(T3263-W3263)/T3263</f>
        <v>0.6</v>
      </c>
      <c r="Z3263" s="2" t="s">
        <v>117</v>
      </c>
      <c r="AA3263" s="2" t="s">
        <v>190</v>
      </c>
      <c r="AB3263" s="2" t="s">
        <v>189</v>
      </c>
      <c r="AC3263" s="2" t="s">
        <v>40</v>
      </c>
      <c r="AF3263" s="2">
        <f t="shared" si="456"/>
        <v>0</v>
      </c>
      <c r="AG3263" s="2">
        <f t="shared" si="461"/>
        <v>174</v>
      </c>
      <c r="AJ3263" s="2">
        <f t="shared" si="457"/>
        <v>0</v>
      </c>
      <c r="AK3263" s="2">
        <f>T3263-W3263</f>
        <v>261</v>
      </c>
      <c r="AL3263" s="5">
        <f>(T3263-W3263)/T3263</f>
        <v>0.6</v>
      </c>
    </row>
    <row r="3264" spans="1:38" x14ac:dyDescent="0.2">
      <c r="A3264" s="2">
        <v>2026</v>
      </c>
      <c r="B3264" s="2">
        <v>4</v>
      </c>
      <c r="D3264" s="2" t="s">
        <v>451</v>
      </c>
      <c r="E3264" s="2" t="s">
        <v>108</v>
      </c>
      <c r="F3264" s="2" t="s">
        <v>39</v>
      </c>
      <c r="G3264" s="2">
        <v>506085686</v>
      </c>
      <c r="H3264" s="2" t="s">
        <v>40</v>
      </c>
      <c r="I3264" s="2" t="s">
        <v>452</v>
      </c>
      <c r="J3264" s="2" t="s">
        <v>453</v>
      </c>
      <c r="K3264" s="2">
        <v>917241919</v>
      </c>
      <c r="L3264" s="2" t="s">
        <v>398</v>
      </c>
      <c r="M3264" s="2" t="s">
        <v>40</v>
      </c>
      <c r="P3264" s="2" t="s">
        <v>187</v>
      </c>
      <c r="Q3264" s="2" t="s">
        <v>191</v>
      </c>
      <c r="R3264" s="2" t="s">
        <v>190</v>
      </c>
      <c r="S3264" s="2">
        <v>11</v>
      </c>
      <c r="T3264" s="2">
        <v>522.5</v>
      </c>
      <c r="U3264" s="2">
        <v>120.175</v>
      </c>
      <c r="V3264" s="2">
        <v>642.67499999999995</v>
      </c>
      <c r="W3264" s="2">
        <f>T3264*50%</f>
        <v>261.25</v>
      </c>
      <c r="X3264" s="5">
        <f t="shared" si="462"/>
        <v>0.5</v>
      </c>
      <c r="Z3264" s="2" t="s">
        <v>117</v>
      </c>
      <c r="AA3264" s="2" t="s">
        <v>190</v>
      </c>
      <c r="AB3264" s="2" t="s">
        <v>190</v>
      </c>
      <c r="AC3264" s="2" t="s">
        <v>40</v>
      </c>
      <c r="AF3264" s="2">
        <f t="shared" si="456"/>
        <v>0</v>
      </c>
      <c r="AG3264" s="2">
        <f t="shared" si="461"/>
        <v>261.25</v>
      </c>
      <c r="AJ3264" s="2">
        <f t="shared" si="457"/>
        <v>0</v>
      </c>
      <c r="AK3264" s="2">
        <f>T3264-W3264</f>
        <v>261.25</v>
      </c>
      <c r="AL3264" s="5">
        <f>(T3264-W3264)/T3264</f>
        <v>0.5</v>
      </c>
    </row>
    <row r="3265" spans="1:38" x14ac:dyDescent="0.2">
      <c r="A3265" s="2">
        <v>2026</v>
      </c>
      <c r="B3265" s="2">
        <v>3</v>
      </c>
      <c r="D3265" s="2" t="s">
        <v>822</v>
      </c>
      <c r="E3265" s="2" t="s">
        <v>38</v>
      </c>
      <c r="F3265" s="2" t="s">
        <v>39</v>
      </c>
      <c r="G3265" s="2">
        <v>513812342</v>
      </c>
      <c r="H3265" s="2" t="s">
        <v>41</v>
      </c>
      <c r="I3265" s="2" t="s">
        <v>825</v>
      </c>
      <c r="J3265" s="2" t="s">
        <v>826</v>
      </c>
      <c r="L3265" s="2" t="s">
        <v>418</v>
      </c>
      <c r="M3265" s="2" t="s">
        <v>40</v>
      </c>
      <c r="P3265" s="2" t="s">
        <v>187</v>
      </c>
      <c r="Q3265" s="2" t="s">
        <v>188</v>
      </c>
      <c r="R3265" s="2" t="s">
        <v>189</v>
      </c>
      <c r="S3265" s="2">
        <v>1</v>
      </c>
      <c r="T3265" s="2">
        <v>103</v>
      </c>
      <c r="U3265" s="2">
        <v>23.69</v>
      </c>
      <c r="V3265" s="2">
        <v>126.69</v>
      </c>
      <c r="W3265" s="2">
        <f>T3265*40%</f>
        <v>41.2</v>
      </c>
      <c r="X3265" s="5">
        <f t="shared" si="462"/>
        <v>0.6</v>
      </c>
      <c r="Z3265" s="2" t="s">
        <v>117</v>
      </c>
      <c r="AA3265" s="2" t="s">
        <v>190</v>
      </c>
      <c r="AB3265" s="2" t="s">
        <v>189</v>
      </c>
      <c r="AC3265" s="2" t="s">
        <v>40</v>
      </c>
      <c r="AF3265" s="2">
        <f t="shared" si="456"/>
        <v>0</v>
      </c>
      <c r="AG3265" s="2">
        <f t="shared" si="461"/>
        <v>41.2</v>
      </c>
      <c r="AJ3265" s="2">
        <f t="shared" si="457"/>
        <v>0</v>
      </c>
      <c r="AK3265" s="2">
        <f>T3265-W3265</f>
        <v>61.8</v>
      </c>
      <c r="AL3265" s="5">
        <f>(T3265-W3265)/T3265</f>
        <v>0.6</v>
      </c>
    </row>
    <row r="3266" spans="1:38" x14ac:dyDescent="0.2">
      <c r="A3266" s="2">
        <v>2026</v>
      </c>
      <c r="B3266" s="2">
        <v>3</v>
      </c>
      <c r="D3266" s="2" t="s">
        <v>822</v>
      </c>
      <c r="E3266" s="2" t="s">
        <v>38</v>
      </c>
      <c r="F3266" s="2" t="s">
        <v>39</v>
      </c>
      <c r="G3266" s="2">
        <v>513812342</v>
      </c>
      <c r="H3266" s="2" t="s">
        <v>41</v>
      </c>
      <c r="I3266" s="2" t="s">
        <v>825</v>
      </c>
      <c r="J3266" s="2" t="s">
        <v>826</v>
      </c>
      <c r="L3266" s="2" t="s">
        <v>418</v>
      </c>
      <c r="M3266" s="2" t="s">
        <v>40</v>
      </c>
      <c r="P3266" s="2" t="s">
        <v>187</v>
      </c>
      <c r="Q3266" s="2" t="s">
        <v>191</v>
      </c>
      <c r="R3266" s="2" t="s">
        <v>190</v>
      </c>
      <c r="S3266" s="2">
        <v>0.75</v>
      </c>
      <c r="T3266" s="2">
        <v>41.25</v>
      </c>
      <c r="U3266" s="2">
        <v>9.4875000000000007</v>
      </c>
      <c r="V3266" s="2">
        <v>50.737499999999997</v>
      </c>
      <c r="W3266" s="2">
        <f>T3266*50%</f>
        <v>20.625</v>
      </c>
      <c r="X3266" s="5">
        <f t="shared" si="462"/>
        <v>0.5</v>
      </c>
      <c r="Z3266" s="2" t="s">
        <v>117</v>
      </c>
      <c r="AA3266" s="2" t="s">
        <v>190</v>
      </c>
      <c r="AB3266" s="2" t="s">
        <v>190</v>
      </c>
      <c r="AC3266" s="2" t="s">
        <v>40</v>
      </c>
      <c r="AF3266" s="2">
        <f t="shared" ref="AF3266:AF3329" si="463">AJ3266</f>
        <v>0</v>
      </c>
      <c r="AG3266" s="2">
        <f t="shared" si="461"/>
        <v>20.625</v>
      </c>
      <c r="AJ3266" s="2">
        <f t="shared" ref="AJ3266:AJ3329" si="464">AI3266*T3266</f>
        <v>0</v>
      </c>
      <c r="AK3266" s="2">
        <f>T3266-W3266</f>
        <v>20.625</v>
      </c>
      <c r="AL3266" s="5">
        <f>(T3266-W3266)/T3266</f>
        <v>0.5</v>
      </c>
    </row>
    <row r="3267" spans="1:38" x14ac:dyDescent="0.2">
      <c r="A3267" s="2">
        <v>2026</v>
      </c>
      <c r="B3267" s="2">
        <v>4</v>
      </c>
      <c r="D3267" s="2" t="s">
        <v>822</v>
      </c>
      <c r="E3267" s="2" t="s">
        <v>38</v>
      </c>
      <c r="F3267" s="2" t="s">
        <v>39</v>
      </c>
      <c r="G3267" s="2">
        <v>513812342</v>
      </c>
      <c r="H3267" s="2" t="s">
        <v>41</v>
      </c>
      <c r="I3267" s="2" t="s">
        <v>825</v>
      </c>
      <c r="J3267" s="2" t="s">
        <v>826</v>
      </c>
      <c r="L3267" s="2" t="s">
        <v>418</v>
      </c>
      <c r="M3267" s="2" t="s">
        <v>40</v>
      </c>
      <c r="P3267" s="2" t="s">
        <v>187</v>
      </c>
      <c r="Q3267" s="2" t="s">
        <v>188</v>
      </c>
      <c r="R3267" s="2" t="s">
        <v>189</v>
      </c>
      <c r="S3267" s="2">
        <v>1</v>
      </c>
      <c r="T3267" s="2">
        <v>124</v>
      </c>
      <c r="U3267" s="2">
        <v>28.52</v>
      </c>
      <c r="V3267" s="2">
        <v>152.52000000000001</v>
      </c>
      <c r="W3267" s="2">
        <f>T3267*40%</f>
        <v>49.6</v>
      </c>
      <c r="X3267" s="5">
        <f t="shared" si="462"/>
        <v>0.60000000000000009</v>
      </c>
      <c r="Z3267" s="2" t="s">
        <v>117</v>
      </c>
      <c r="AA3267" s="2" t="s">
        <v>190</v>
      </c>
      <c r="AB3267" s="2" t="s">
        <v>189</v>
      </c>
      <c r="AC3267" s="2" t="s">
        <v>40</v>
      </c>
      <c r="AF3267" s="2">
        <f t="shared" si="463"/>
        <v>0</v>
      </c>
      <c r="AG3267" s="2">
        <f t="shared" si="461"/>
        <v>49.6</v>
      </c>
      <c r="AJ3267" s="2">
        <f t="shared" si="464"/>
        <v>0</v>
      </c>
      <c r="AK3267" s="2">
        <f>T3267-W3267</f>
        <v>74.400000000000006</v>
      </c>
      <c r="AL3267" s="5">
        <f>(T3267-W3267)/T3267</f>
        <v>0.60000000000000009</v>
      </c>
    </row>
    <row r="3268" spans="1:38" x14ac:dyDescent="0.2">
      <c r="A3268" s="2">
        <v>2026</v>
      </c>
      <c r="B3268" s="2">
        <v>2</v>
      </c>
      <c r="C3268" s="2" t="s">
        <v>3321</v>
      </c>
      <c r="D3268" s="2" t="s">
        <v>1162</v>
      </c>
      <c r="E3268" s="2" t="s">
        <v>752</v>
      </c>
      <c r="F3268" s="2" t="s">
        <v>1217</v>
      </c>
      <c r="G3268" s="2">
        <v>508199280</v>
      </c>
      <c r="H3268" s="2" t="s">
        <v>40</v>
      </c>
      <c r="I3268" s="2" t="s">
        <v>1163</v>
      </c>
      <c r="L3268" s="2" t="s">
        <v>293</v>
      </c>
      <c r="M3268" s="2" t="s">
        <v>80</v>
      </c>
      <c r="P3268" s="2" t="s">
        <v>169</v>
      </c>
      <c r="Q3268" s="2" t="s">
        <v>170</v>
      </c>
      <c r="R3268" s="2" t="s">
        <v>170</v>
      </c>
      <c r="S3268" s="2">
        <v>1</v>
      </c>
      <c r="T3268" s="2">
        <v>15</v>
      </c>
      <c r="U3268" s="2">
        <v>3.45</v>
      </c>
      <c r="V3268" s="2">
        <v>18.45</v>
      </c>
      <c r="W3268" s="2">
        <v>23</v>
      </c>
      <c r="X3268" s="5">
        <f t="shared" si="462"/>
        <v>-0.53333333333333333</v>
      </c>
      <c r="Z3268" s="2" t="s">
        <v>169</v>
      </c>
      <c r="AA3268" s="2" t="s">
        <v>169</v>
      </c>
      <c r="AF3268" s="2">
        <f t="shared" si="463"/>
        <v>0</v>
      </c>
      <c r="AJ3268" s="2">
        <f t="shared" si="464"/>
        <v>0</v>
      </c>
    </row>
    <row r="3269" spans="1:38" x14ac:dyDescent="0.2">
      <c r="A3269" s="2">
        <v>2026</v>
      </c>
      <c r="B3269" s="2">
        <v>2</v>
      </c>
      <c r="D3269" s="2" t="s">
        <v>2510</v>
      </c>
      <c r="P3269" s="2" t="s">
        <v>169</v>
      </c>
      <c r="Q3269" s="2" t="s">
        <v>170</v>
      </c>
      <c r="R3269" s="2" t="s">
        <v>170</v>
      </c>
      <c r="S3269" s="2">
        <v>1</v>
      </c>
      <c r="T3269" s="2">
        <v>50</v>
      </c>
      <c r="U3269" s="2">
        <v>11.5</v>
      </c>
      <c r="V3269" s="2">
        <v>61.5</v>
      </c>
      <c r="W3269" s="2">
        <v>46</v>
      </c>
      <c r="X3269" s="5">
        <f t="shared" si="462"/>
        <v>0.08</v>
      </c>
      <c r="Z3269" s="2" t="s">
        <v>169</v>
      </c>
      <c r="AA3269" s="2" t="s">
        <v>169</v>
      </c>
      <c r="AF3269" s="2">
        <f t="shared" si="463"/>
        <v>0</v>
      </c>
      <c r="AJ3269" s="2">
        <f t="shared" si="464"/>
        <v>0</v>
      </c>
      <c r="AK3269" s="2">
        <f t="shared" ref="AK3269:AK3275" si="465">T3269-W3269</f>
        <v>4</v>
      </c>
      <c r="AL3269" s="5">
        <f t="shared" ref="AL3269:AL3275" si="466">(T3269-W3269)/T3269</f>
        <v>0.08</v>
      </c>
    </row>
    <row r="3270" spans="1:38" x14ac:dyDescent="0.2">
      <c r="A3270" s="2">
        <v>2026</v>
      </c>
      <c r="B3270" s="2">
        <v>2</v>
      </c>
      <c r="D3270" s="2" t="s">
        <v>2578</v>
      </c>
      <c r="E3270" s="2" t="s">
        <v>183</v>
      </c>
      <c r="F3270" s="2" t="s">
        <v>2579</v>
      </c>
      <c r="G3270" s="2">
        <v>515259144</v>
      </c>
      <c r="H3270" s="2" t="s">
        <v>80</v>
      </c>
      <c r="I3270" s="2" t="s">
        <v>156</v>
      </c>
      <c r="J3270" s="2" t="s">
        <v>2580</v>
      </c>
      <c r="K3270" s="2">
        <v>968626165</v>
      </c>
      <c r="L3270" s="2" t="s">
        <v>99</v>
      </c>
      <c r="M3270" s="2" t="s">
        <v>80</v>
      </c>
      <c r="O3270" s="2" t="s">
        <v>2611</v>
      </c>
      <c r="P3270" s="2" t="s">
        <v>169</v>
      </c>
      <c r="Q3270" s="2" t="s">
        <v>170</v>
      </c>
      <c r="R3270" s="2" t="s">
        <v>170</v>
      </c>
      <c r="S3270" s="2">
        <v>1</v>
      </c>
      <c r="T3270" s="2">
        <v>100</v>
      </c>
      <c r="U3270" s="2">
        <v>23</v>
      </c>
      <c r="V3270" s="2">
        <v>123</v>
      </c>
      <c r="W3270" s="2">
        <v>90</v>
      </c>
      <c r="X3270" s="5">
        <f t="shared" si="462"/>
        <v>0.1</v>
      </c>
      <c r="Z3270" s="2" t="s">
        <v>169</v>
      </c>
      <c r="AA3270" s="2" t="s">
        <v>169</v>
      </c>
      <c r="AF3270" s="2">
        <f t="shared" si="463"/>
        <v>0</v>
      </c>
      <c r="AJ3270" s="2">
        <f t="shared" si="464"/>
        <v>0</v>
      </c>
      <c r="AK3270" s="2">
        <f t="shared" si="465"/>
        <v>10</v>
      </c>
      <c r="AL3270" s="5">
        <f t="shared" si="466"/>
        <v>0.1</v>
      </c>
    </row>
    <row r="3271" spans="1:38" x14ac:dyDescent="0.2">
      <c r="A3271" s="2">
        <v>2026</v>
      </c>
      <c r="B3271" s="2">
        <v>2</v>
      </c>
      <c r="D3271" s="2" t="s">
        <v>1021</v>
      </c>
      <c r="E3271" s="2" t="s">
        <v>38</v>
      </c>
      <c r="F3271" s="2" t="s">
        <v>39</v>
      </c>
      <c r="G3271" s="2">
        <v>504493612</v>
      </c>
      <c r="H3271" s="2" t="s">
        <v>41</v>
      </c>
      <c r="I3271" s="2" t="s">
        <v>1554</v>
      </c>
      <c r="J3271" s="2" t="s">
        <v>2525</v>
      </c>
      <c r="L3271" s="2" t="s">
        <v>177</v>
      </c>
      <c r="P3271" s="2" t="s">
        <v>169</v>
      </c>
      <c r="Q3271" s="2" t="s">
        <v>170</v>
      </c>
      <c r="R3271" s="2" t="s">
        <v>170</v>
      </c>
      <c r="S3271" s="2">
        <v>1</v>
      </c>
      <c r="T3271" s="2">
        <v>8</v>
      </c>
      <c r="U3271" s="2">
        <v>1.84</v>
      </c>
      <c r="V3271" s="2">
        <v>9.84</v>
      </c>
      <c r="W3271" s="2">
        <v>6</v>
      </c>
      <c r="X3271" s="5">
        <f t="shared" si="462"/>
        <v>0.25</v>
      </c>
      <c r="Z3271" s="2" t="s">
        <v>169</v>
      </c>
      <c r="AA3271" s="2" t="s">
        <v>169</v>
      </c>
      <c r="AF3271" s="2">
        <f t="shared" si="463"/>
        <v>0</v>
      </c>
      <c r="AJ3271" s="2">
        <f t="shared" si="464"/>
        <v>0</v>
      </c>
      <c r="AK3271" s="2">
        <f t="shared" si="465"/>
        <v>2</v>
      </c>
      <c r="AL3271" s="5">
        <f t="shared" si="466"/>
        <v>0.25</v>
      </c>
    </row>
    <row r="3272" spans="1:38" x14ac:dyDescent="0.2">
      <c r="A3272" s="2">
        <v>2026</v>
      </c>
      <c r="B3272" s="2">
        <v>2</v>
      </c>
      <c r="D3272" s="2" t="s">
        <v>2536</v>
      </c>
      <c r="P3272" s="2" t="s">
        <v>169</v>
      </c>
      <c r="Q3272" s="2" t="s">
        <v>170</v>
      </c>
      <c r="R3272" s="2" t="s">
        <v>170</v>
      </c>
      <c r="S3272" s="2">
        <v>1</v>
      </c>
      <c r="T3272" s="2">
        <v>8</v>
      </c>
      <c r="U3272" s="2">
        <v>1.84</v>
      </c>
      <c r="V3272" s="2">
        <v>9.84</v>
      </c>
      <c r="W3272" s="2">
        <v>6</v>
      </c>
      <c r="X3272" s="5">
        <f t="shared" si="462"/>
        <v>0.25</v>
      </c>
      <c r="Z3272" s="2" t="s">
        <v>169</v>
      </c>
      <c r="AA3272" s="2" t="s">
        <v>169</v>
      </c>
      <c r="AF3272" s="2">
        <f t="shared" si="463"/>
        <v>0</v>
      </c>
      <c r="AJ3272" s="2">
        <f t="shared" si="464"/>
        <v>0</v>
      </c>
      <c r="AK3272" s="2">
        <f t="shared" si="465"/>
        <v>2</v>
      </c>
      <c r="AL3272" s="5">
        <f t="shared" si="466"/>
        <v>0.25</v>
      </c>
    </row>
    <row r="3273" spans="1:38" x14ac:dyDescent="0.2">
      <c r="A3273" s="2">
        <v>2026</v>
      </c>
      <c r="B3273" s="2">
        <v>2</v>
      </c>
      <c r="D3273" s="2" t="s">
        <v>1397</v>
      </c>
      <c r="E3273" s="2" t="s">
        <v>38</v>
      </c>
      <c r="F3273" s="2" t="s">
        <v>39</v>
      </c>
      <c r="G3273" s="2">
        <v>509014313</v>
      </c>
      <c r="H3273" s="2" t="s">
        <v>40</v>
      </c>
      <c r="I3273" s="2" t="s">
        <v>3217</v>
      </c>
      <c r="J3273" s="2" t="s">
        <v>3216</v>
      </c>
      <c r="K3273" s="2">
        <v>913814877</v>
      </c>
      <c r="L3273" s="2" t="s">
        <v>201</v>
      </c>
      <c r="M3273" s="2" t="s">
        <v>80</v>
      </c>
      <c r="O3273" s="2" t="s">
        <v>3213</v>
      </c>
      <c r="P3273" s="2" t="s">
        <v>169</v>
      </c>
      <c r="Q3273" s="2" t="s">
        <v>170</v>
      </c>
      <c r="R3273" s="2" t="s">
        <v>170</v>
      </c>
      <c r="S3273" s="2">
        <v>1</v>
      </c>
      <c r="T3273" s="2">
        <v>8</v>
      </c>
      <c r="U3273" s="2">
        <v>1.84</v>
      </c>
      <c r="V3273" s="2">
        <v>9.84</v>
      </c>
      <c r="W3273" s="2">
        <v>6</v>
      </c>
      <c r="X3273" s="5">
        <f t="shared" si="462"/>
        <v>0.25</v>
      </c>
      <c r="Z3273" s="2" t="s">
        <v>169</v>
      </c>
      <c r="AA3273" s="2" t="s">
        <v>169</v>
      </c>
      <c r="AF3273" s="2">
        <f t="shared" si="463"/>
        <v>0</v>
      </c>
      <c r="AJ3273" s="2">
        <f t="shared" si="464"/>
        <v>0</v>
      </c>
      <c r="AK3273" s="2">
        <f t="shared" si="465"/>
        <v>2</v>
      </c>
      <c r="AL3273" s="5">
        <f t="shared" si="466"/>
        <v>0.25</v>
      </c>
    </row>
    <row r="3274" spans="1:38" x14ac:dyDescent="0.2">
      <c r="A3274" s="2">
        <v>2026</v>
      </c>
      <c r="B3274" s="2">
        <v>2</v>
      </c>
      <c r="D3274" s="2" t="s">
        <v>617</v>
      </c>
      <c r="E3274" s="2" t="s">
        <v>38</v>
      </c>
      <c r="F3274" s="2" t="s">
        <v>39</v>
      </c>
      <c r="G3274" s="2">
        <v>513759654</v>
      </c>
      <c r="H3274" s="2" t="s">
        <v>41</v>
      </c>
      <c r="I3274" s="2" t="s">
        <v>618</v>
      </c>
      <c r="J3274" s="2" t="s">
        <v>619</v>
      </c>
      <c r="L3274" s="2" t="s">
        <v>418</v>
      </c>
      <c r="M3274" s="2" t="s">
        <v>41</v>
      </c>
      <c r="P3274" s="2" t="s">
        <v>169</v>
      </c>
      <c r="Q3274" s="2" t="s">
        <v>170</v>
      </c>
      <c r="R3274" s="2" t="s">
        <v>170</v>
      </c>
      <c r="S3274" s="2">
        <v>1</v>
      </c>
      <c r="T3274" s="2">
        <v>5</v>
      </c>
      <c r="U3274" s="2">
        <v>1.1499999999999999</v>
      </c>
      <c r="V3274" s="2">
        <v>6.15</v>
      </c>
      <c r="W3274" s="2">
        <v>6</v>
      </c>
      <c r="X3274" s="5">
        <f t="shared" si="462"/>
        <v>-0.2</v>
      </c>
      <c r="Z3274" s="2" t="s">
        <v>169</v>
      </c>
      <c r="AA3274" s="2" t="s">
        <v>169</v>
      </c>
      <c r="AF3274" s="2">
        <f t="shared" si="463"/>
        <v>0</v>
      </c>
      <c r="AJ3274" s="2">
        <f t="shared" si="464"/>
        <v>0</v>
      </c>
      <c r="AK3274" s="2">
        <f t="shared" si="465"/>
        <v>-1</v>
      </c>
      <c r="AL3274" s="5">
        <f t="shared" si="466"/>
        <v>-0.2</v>
      </c>
    </row>
    <row r="3275" spans="1:38" x14ac:dyDescent="0.2">
      <c r="A3275" s="2">
        <v>2026</v>
      </c>
      <c r="B3275" s="2">
        <v>2</v>
      </c>
      <c r="D3275" s="2" t="s">
        <v>643</v>
      </c>
      <c r="E3275" s="2" t="s">
        <v>108</v>
      </c>
      <c r="F3275" s="2" t="s">
        <v>477</v>
      </c>
      <c r="G3275" s="2">
        <v>509056946</v>
      </c>
      <c r="H3275" s="2" t="s">
        <v>109</v>
      </c>
      <c r="I3275" s="2" t="s">
        <v>644</v>
      </c>
      <c r="J3275" s="2" t="s">
        <v>645</v>
      </c>
      <c r="K3275" s="2">
        <v>964495536</v>
      </c>
      <c r="L3275" s="2" t="s">
        <v>112</v>
      </c>
      <c r="M3275" s="2" t="s">
        <v>109</v>
      </c>
      <c r="O3275" s="2" t="s">
        <v>2586</v>
      </c>
      <c r="P3275" s="2" t="s">
        <v>169</v>
      </c>
      <c r="Q3275" s="2" t="s">
        <v>170</v>
      </c>
      <c r="R3275" s="2" t="s">
        <v>170</v>
      </c>
      <c r="S3275" s="2">
        <v>1</v>
      </c>
      <c r="T3275" s="2">
        <v>5</v>
      </c>
      <c r="U3275" s="2">
        <v>1.1499999999999999</v>
      </c>
      <c r="V3275" s="2">
        <v>6.15</v>
      </c>
      <c r="W3275" s="2">
        <v>6</v>
      </c>
      <c r="X3275" s="5">
        <f t="shared" si="462"/>
        <v>-0.2</v>
      </c>
      <c r="Z3275" s="2" t="s">
        <v>169</v>
      </c>
      <c r="AA3275" s="2" t="s">
        <v>169</v>
      </c>
      <c r="AF3275" s="2">
        <f t="shared" si="463"/>
        <v>0</v>
      </c>
      <c r="AJ3275" s="2">
        <f t="shared" si="464"/>
        <v>0</v>
      </c>
      <c r="AK3275" s="2">
        <f t="shared" si="465"/>
        <v>-1</v>
      </c>
      <c r="AL3275" s="5">
        <f t="shared" si="466"/>
        <v>-0.2</v>
      </c>
    </row>
    <row r="3276" spans="1:38" x14ac:dyDescent="0.2">
      <c r="A3276" s="2">
        <v>2026</v>
      </c>
      <c r="B3276" s="2">
        <v>2</v>
      </c>
      <c r="D3276" s="2" t="s">
        <v>530</v>
      </c>
      <c r="E3276" s="2" t="s">
        <v>108</v>
      </c>
      <c r="F3276" s="2" t="s">
        <v>531</v>
      </c>
      <c r="G3276" s="2">
        <v>502139552</v>
      </c>
      <c r="H3276" s="2" t="s">
        <v>40</v>
      </c>
      <c r="I3276" s="2" t="s">
        <v>339</v>
      </c>
      <c r="J3276" s="2" t="s">
        <v>532</v>
      </c>
      <c r="L3276" s="2" t="s">
        <v>339</v>
      </c>
      <c r="M3276" s="2" t="s">
        <v>40</v>
      </c>
      <c r="P3276" s="2" t="s">
        <v>40</v>
      </c>
      <c r="Q3276" s="2" t="s">
        <v>140</v>
      </c>
      <c r="R3276" s="2" t="s">
        <v>141</v>
      </c>
      <c r="S3276" s="2">
        <v>-1</v>
      </c>
      <c r="T3276" s="2">
        <v>-4.5</v>
      </c>
      <c r="U3276" s="2">
        <v>-1.0349999999999999</v>
      </c>
      <c r="V3276" s="2">
        <v>-5.5350000000000001</v>
      </c>
      <c r="Z3276" s="2" t="s">
        <v>119</v>
      </c>
      <c r="AA3276" s="2" t="s">
        <v>142</v>
      </c>
      <c r="AF3276" s="2">
        <f t="shared" si="463"/>
        <v>0</v>
      </c>
      <c r="AJ3276" s="2">
        <f t="shared" si="464"/>
        <v>0</v>
      </c>
    </row>
    <row r="3277" spans="1:38" x14ac:dyDescent="0.2">
      <c r="A3277" s="2">
        <v>2026</v>
      </c>
      <c r="B3277" s="2">
        <v>2</v>
      </c>
      <c r="D3277" s="2" t="s">
        <v>2153</v>
      </c>
      <c r="M3277" s="2" t="s">
        <v>40</v>
      </c>
      <c r="P3277" s="2" t="s">
        <v>187</v>
      </c>
      <c r="Q3277" s="2" t="s">
        <v>1308</v>
      </c>
      <c r="R3277" s="2" t="s">
        <v>1309</v>
      </c>
      <c r="S3277" s="2">
        <v>28</v>
      </c>
      <c r="T3277" s="2">
        <v>477.28</v>
      </c>
      <c r="U3277" s="2">
        <v>109.7744</v>
      </c>
      <c r="V3277" s="2">
        <v>587.05439999999999</v>
      </c>
      <c r="X3277" s="5">
        <f t="shared" ref="X3277:X3316" si="467">(T3277-W3277)/T3277</f>
        <v>1</v>
      </c>
      <c r="Z3277" s="2" t="s">
        <v>117</v>
      </c>
      <c r="AA3277" s="2" t="s">
        <v>1310</v>
      </c>
      <c r="AF3277" s="2">
        <f t="shared" si="463"/>
        <v>0</v>
      </c>
      <c r="AJ3277" s="2">
        <f t="shared" si="464"/>
        <v>0</v>
      </c>
      <c r="AK3277" s="2">
        <f t="shared" ref="AK3277:AK3316" si="468">T3277-W3277</f>
        <v>477.28</v>
      </c>
      <c r="AL3277" s="5">
        <f t="shared" ref="AL3277:AL3316" si="469">(T3277-W3277)/T3277</f>
        <v>1</v>
      </c>
    </row>
    <row r="3278" spans="1:38" x14ac:dyDescent="0.2">
      <c r="A3278" s="2">
        <v>2026</v>
      </c>
      <c r="B3278" s="2">
        <v>2</v>
      </c>
      <c r="D3278" s="2" t="s">
        <v>37</v>
      </c>
      <c r="E3278" s="2" t="s">
        <v>38</v>
      </c>
      <c r="F3278" s="2" t="s">
        <v>39</v>
      </c>
      <c r="H3278" s="2" t="s">
        <v>40</v>
      </c>
      <c r="M3278" s="2" t="s">
        <v>80</v>
      </c>
      <c r="O3278" s="2" t="s">
        <v>2612</v>
      </c>
      <c r="P3278" s="2" t="s">
        <v>93</v>
      </c>
      <c r="Q3278" s="2" t="s">
        <v>94</v>
      </c>
      <c r="R3278" s="2" t="s">
        <v>95</v>
      </c>
      <c r="S3278" s="2">
        <v>6</v>
      </c>
      <c r="T3278" s="2">
        <v>8.8800000000000008</v>
      </c>
      <c r="U3278" s="2">
        <v>2.0424000000000002</v>
      </c>
      <c r="V3278" s="2">
        <v>10.9224</v>
      </c>
      <c r="W3278" s="2">
        <v>8.879999999999999</v>
      </c>
      <c r="X3278" s="5">
        <f t="shared" si="467"/>
        <v>2.000401846171453E-16</v>
      </c>
      <c r="Z3278" s="2" t="s">
        <v>3227</v>
      </c>
      <c r="AA3278" s="2" t="s">
        <v>96</v>
      </c>
      <c r="AB3278" s="2" t="s">
        <v>76</v>
      </c>
      <c r="AC3278" s="2" t="s">
        <v>93</v>
      </c>
      <c r="AF3278" s="2">
        <f t="shared" si="463"/>
        <v>0</v>
      </c>
      <c r="AJ3278" s="2">
        <f t="shared" si="464"/>
        <v>0</v>
      </c>
      <c r="AK3278" s="2">
        <f t="shared" si="468"/>
        <v>0</v>
      </c>
      <c r="AL3278" s="5">
        <f t="shared" si="469"/>
        <v>2.000401846171453E-16</v>
      </c>
    </row>
    <row r="3279" spans="1:38" x14ac:dyDescent="0.2">
      <c r="A3279" s="2">
        <v>2026</v>
      </c>
      <c r="B3279" s="2">
        <v>2</v>
      </c>
      <c r="D3279" s="2" t="s">
        <v>2537</v>
      </c>
      <c r="M3279" s="2" t="s">
        <v>80</v>
      </c>
      <c r="P3279" s="2" t="s">
        <v>93</v>
      </c>
      <c r="Q3279" s="2" t="s">
        <v>94</v>
      </c>
      <c r="R3279" s="2" t="s">
        <v>95</v>
      </c>
      <c r="S3279" s="2">
        <v>2</v>
      </c>
      <c r="T3279" s="2">
        <v>2.96</v>
      </c>
      <c r="U3279" s="2">
        <v>0.68080000000000007</v>
      </c>
      <c r="V3279" s="2">
        <v>3.6408</v>
      </c>
      <c r="W3279" s="2">
        <v>2.96</v>
      </c>
      <c r="X3279" s="5">
        <f t="shared" si="467"/>
        <v>0</v>
      </c>
      <c r="Z3279" s="2" t="s">
        <v>3227</v>
      </c>
      <c r="AA3279" s="2" t="s">
        <v>96</v>
      </c>
      <c r="AB3279" s="2" t="s">
        <v>76</v>
      </c>
      <c r="AC3279" s="2" t="s">
        <v>93</v>
      </c>
      <c r="AF3279" s="2">
        <f t="shared" si="463"/>
        <v>0</v>
      </c>
      <c r="AJ3279" s="2">
        <f t="shared" si="464"/>
        <v>0</v>
      </c>
      <c r="AK3279" s="2">
        <f t="shared" si="468"/>
        <v>0</v>
      </c>
      <c r="AL3279" s="5">
        <f t="shared" si="469"/>
        <v>0</v>
      </c>
    </row>
    <row r="3280" spans="1:38" x14ac:dyDescent="0.2">
      <c r="A3280" s="2">
        <v>2026</v>
      </c>
      <c r="B3280" s="2">
        <v>2</v>
      </c>
      <c r="C3280" s="2" t="s">
        <v>3321</v>
      </c>
      <c r="D3280" s="2" t="s">
        <v>1162</v>
      </c>
      <c r="E3280" s="2" t="s">
        <v>752</v>
      </c>
      <c r="F3280" s="2" t="s">
        <v>1217</v>
      </c>
      <c r="G3280" s="2">
        <v>508199280</v>
      </c>
      <c r="H3280" s="2" t="s">
        <v>40</v>
      </c>
      <c r="I3280" s="2" t="s">
        <v>1163</v>
      </c>
      <c r="L3280" s="2" t="s">
        <v>293</v>
      </c>
      <c r="M3280" s="2" t="s">
        <v>80</v>
      </c>
      <c r="P3280" s="2" t="s">
        <v>93</v>
      </c>
      <c r="Q3280" s="2" t="s">
        <v>94</v>
      </c>
      <c r="R3280" s="2" t="s">
        <v>95</v>
      </c>
      <c r="S3280" s="2">
        <v>1</v>
      </c>
      <c r="T3280" s="2">
        <v>1.48</v>
      </c>
      <c r="U3280" s="2">
        <v>0.34039999999999998</v>
      </c>
      <c r="V3280" s="2">
        <v>1.8204</v>
      </c>
      <c r="W3280" s="2">
        <v>1.48</v>
      </c>
      <c r="X3280" s="5">
        <f t="shared" si="467"/>
        <v>0</v>
      </c>
      <c r="Z3280" s="2" t="s">
        <v>3227</v>
      </c>
      <c r="AA3280" s="2" t="s">
        <v>96</v>
      </c>
      <c r="AB3280" s="2" t="s">
        <v>76</v>
      </c>
      <c r="AC3280" s="2" t="s">
        <v>93</v>
      </c>
      <c r="AF3280" s="2">
        <f t="shared" si="463"/>
        <v>0</v>
      </c>
      <c r="AJ3280" s="2">
        <f t="shared" si="464"/>
        <v>0</v>
      </c>
      <c r="AK3280" s="2">
        <f t="shared" si="468"/>
        <v>0</v>
      </c>
      <c r="AL3280" s="5">
        <f t="shared" si="469"/>
        <v>0</v>
      </c>
    </row>
    <row r="3281" spans="1:38" x14ac:dyDescent="0.2">
      <c r="A3281" s="2">
        <v>2026</v>
      </c>
      <c r="B3281" s="2">
        <v>2</v>
      </c>
      <c r="C3281" s="2" t="s">
        <v>3300</v>
      </c>
      <c r="D3281" s="2" t="s">
        <v>2575</v>
      </c>
      <c r="E3281" s="2" t="s">
        <v>108</v>
      </c>
      <c r="F3281" s="2" t="s">
        <v>477</v>
      </c>
      <c r="L3281" s="2" t="s">
        <v>461</v>
      </c>
      <c r="M3281" s="2" t="s">
        <v>109</v>
      </c>
      <c r="P3281" s="2" t="s">
        <v>93</v>
      </c>
      <c r="Q3281" s="2" t="s">
        <v>94</v>
      </c>
      <c r="R3281" s="2" t="s">
        <v>95</v>
      </c>
      <c r="S3281" s="2">
        <v>1</v>
      </c>
      <c r="T3281" s="2">
        <v>1.48</v>
      </c>
      <c r="U3281" s="2">
        <v>0.34039999999999998</v>
      </c>
      <c r="V3281" s="2">
        <v>1.8204</v>
      </c>
      <c r="W3281" s="2">
        <v>1.48</v>
      </c>
      <c r="X3281" s="5">
        <f t="shared" si="467"/>
        <v>0</v>
      </c>
      <c r="Z3281" s="2" t="s">
        <v>3227</v>
      </c>
      <c r="AA3281" s="2" t="s">
        <v>96</v>
      </c>
      <c r="AB3281" s="2" t="s">
        <v>76</v>
      </c>
      <c r="AC3281" s="2" t="s">
        <v>93</v>
      </c>
      <c r="AF3281" s="2">
        <f t="shared" si="463"/>
        <v>0</v>
      </c>
      <c r="AJ3281" s="2">
        <f t="shared" si="464"/>
        <v>0</v>
      </c>
      <c r="AK3281" s="2">
        <f t="shared" si="468"/>
        <v>0</v>
      </c>
      <c r="AL3281" s="5">
        <f t="shared" si="469"/>
        <v>0</v>
      </c>
    </row>
    <row r="3282" spans="1:38" x14ac:dyDescent="0.2">
      <c r="A3282" s="2">
        <v>2026</v>
      </c>
      <c r="B3282" s="2">
        <v>4</v>
      </c>
      <c r="D3282" s="2" t="s">
        <v>689</v>
      </c>
      <c r="E3282" s="2" t="s">
        <v>108</v>
      </c>
      <c r="F3282" s="2" t="s">
        <v>39</v>
      </c>
      <c r="G3282" s="2">
        <v>503589950</v>
      </c>
      <c r="H3282" s="2" t="s">
        <v>41</v>
      </c>
      <c r="I3282" s="2" t="s">
        <v>610</v>
      </c>
      <c r="J3282" s="2" t="s">
        <v>690</v>
      </c>
      <c r="K3282" s="2">
        <v>913036545</v>
      </c>
      <c r="L3282" s="2" t="s">
        <v>177</v>
      </c>
      <c r="M3282" s="2" t="s">
        <v>41</v>
      </c>
      <c r="O3282" s="2" t="s">
        <v>2613</v>
      </c>
      <c r="P3282" s="2" t="s">
        <v>43</v>
      </c>
      <c r="Q3282" s="2" t="s">
        <v>158</v>
      </c>
      <c r="R3282" s="2" t="s">
        <v>159</v>
      </c>
      <c r="S3282" s="2">
        <v>2</v>
      </c>
      <c r="T3282" s="2">
        <v>42</v>
      </c>
      <c r="U3282" s="2">
        <v>9.66</v>
      </c>
      <c r="V3282" s="2">
        <v>51.66</v>
      </c>
      <c r="W3282" s="2">
        <f>9.3*S3282</f>
        <v>18.600000000000001</v>
      </c>
      <c r="X3282" s="5">
        <f t="shared" si="467"/>
        <v>0.55714285714285716</v>
      </c>
      <c r="Z3282" s="2" t="s">
        <v>3227</v>
      </c>
      <c r="AA3282" s="2" t="s">
        <v>46</v>
      </c>
      <c r="AB3282" s="2" t="s">
        <v>47</v>
      </c>
      <c r="AC3282" s="2" t="s">
        <v>57</v>
      </c>
      <c r="AF3282" s="2">
        <f t="shared" si="463"/>
        <v>0</v>
      </c>
      <c r="AG3282" s="2">
        <v>9.3000000000000007</v>
      </c>
      <c r="AH3282" s="2">
        <v>21</v>
      </c>
      <c r="AJ3282" s="2">
        <f t="shared" si="464"/>
        <v>0</v>
      </c>
      <c r="AK3282" s="2">
        <f t="shared" si="468"/>
        <v>23.4</v>
      </c>
      <c r="AL3282" s="5">
        <f t="shared" si="469"/>
        <v>0.55714285714285716</v>
      </c>
    </row>
    <row r="3283" spans="1:38" x14ac:dyDescent="0.2">
      <c r="A3283" s="2">
        <v>2026</v>
      </c>
      <c r="B3283" s="2">
        <v>2</v>
      </c>
      <c r="D3283" s="2" t="s">
        <v>981</v>
      </c>
      <c r="E3283" s="2" t="s">
        <v>108</v>
      </c>
      <c r="F3283" s="2" t="s">
        <v>717</v>
      </c>
      <c r="G3283" s="2">
        <v>500594309</v>
      </c>
      <c r="H3283" s="2" t="s">
        <v>290</v>
      </c>
      <c r="I3283" s="2" t="s">
        <v>982</v>
      </c>
      <c r="J3283" s="2" t="s">
        <v>983</v>
      </c>
      <c r="L3283" s="2" t="s">
        <v>293</v>
      </c>
      <c r="M3283" s="2" t="s">
        <v>80</v>
      </c>
      <c r="O3283" s="2" t="s">
        <v>2571</v>
      </c>
      <c r="P3283" s="2" t="s">
        <v>93</v>
      </c>
      <c r="Q3283" s="2" t="s">
        <v>94</v>
      </c>
      <c r="R3283" s="2" t="s">
        <v>95</v>
      </c>
      <c r="S3283" s="2">
        <v>1</v>
      </c>
      <c r="T3283" s="2">
        <v>1.48</v>
      </c>
      <c r="U3283" s="2">
        <v>0.34039999999999998</v>
      </c>
      <c r="V3283" s="2">
        <v>1.8204</v>
      </c>
      <c r="W3283" s="2">
        <v>1.48</v>
      </c>
      <c r="X3283" s="5">
        <f t="shared" si="467"/>
        <v>0</v>
      </c>
      <c r="Z3283" s="2" t="s">
        <v>3227</v>
      </c>
      <c r="AA3283" s="2" t="s">
        <v>96</v>
      </c>
      <c r="AB3283" s="2" t="s">
        <v>76</v>
      </c>
      <c r="AC3283" s="2" t="s">
        <v>93</v>
      </c>
      <c r="AF3283" s="2">
        <f t="shared" si="463"/>
        <v>0</v>
      </c>
      <c r="AG3283" s="2">
        <v>1.48</v>
      </c>
      <c r="AH3283" s="2">
        <v>1.48</v>
      </c>
      <c r="AJ3283" s="2">
        <f t="shared" si="464"/>
        <v>0</v>
      </c>
      <c r="AK3283" s="2">
        <f t="shared" si="468"/>
        <v>0</v>
      </c>
      <c r="AL3283" s="5">
        <f t="shared" si="469"/>
        <v>0</v>
      </c>
    </row>
    <row r="3284" spans="1:38" x14ac:dyDescent="0.2">
      <c r="A3284" s="2">
        <v>2026</v>
      </c>
      <c r="B3284" s="2">
        <v>2</v>
      </c>
      <c r="D3284" s="2" t="s">
        <v>2557</v>
      </c>
      <c r="P3284" s="2" t="s">
        <v>93</v>
      </c>
      <c r="Q3284" s="2" t="s">
        <v>94</v>
      </c>
      <c r="R3284" s="2" t="s">
        <v>95</v>
      </c>
      <c r="S3284" s="2">
        <v>1</v>
      </c>
      <c r="T3284" s="2">
        <v>1.48</v>
      </c>
      <c r="U3284" s="2">
        <v>0.34039999999999998</v>
      </c>
      <c r="V3284" s="2">
        <v>1.8204</v>
      </c>
      <c r="W3284" s="2">
        <v>1.48</v>
      </c>
      <c r="X3284" s="5">
        <f t="shared" si="467"/>
        <v>0</v>
      </c>
      <c r="Z3284" s="2" t="s">
        <v>3227</v>
      </c>
      <c r="AA3284" s="2" t="s">
        <v>96</v>
      </c>
      <c r="AB3284" s="2" t="s">
        <v>76</v>
      </c>
      <c r="AC3284" s="2" t="s">
        <v>93</v>
      </c>
      <c r="AF3284" s="2">
        <f t="shared" si="463"/>
        <v>0</v>
      </c>
      <c r="AJ3284" s="2">
        <f t="shared" si="464"/>
        <v>0</v>
      </c>
      <c r="AK3284" s="2">
        <f t="shared" si="468"/>
        <v>0</v>
      </c>
      <c r="AL3284" s="5">
        <f t="shared" si="469"/>
        <v>0</v>
      </c>
    </row>
    <row r="3285" spans="1:38" x14ac:dyDescent="0.2">
      <c r="A3285" s="2">
        <v>2026</v>
      </c>
      <c r="B3285" s="2">
        <v>2</v>
      </c>
      <c r="D3285" s="2" t="s">
        <v>749</v>
      </c>
      <c r="E3285" s="2" t="s">
        <v>108</v>
      </c>
      <c r="F3285" s="2" t="s">
        <v>39</v>
      </c>
      <c r="G3285" s="2">
        <v>510039537</v>
      </c>
      <c r="H3285" s="2" t="s">
        <v>40</v>
      </c>
      <c r="I3285" s="2" t="s">
        <v>571</v>
      </c>
      <c r="J3285" s="2" t="s">
        <v>750</v>
      </c>
      <c r="K3285" s="2">
        <v>969042927</v>
      </c>
      <c r="L3285" s="2" t="s">
        <v>571</v>
      </c>
      <c r="M3285" s="2" t="s">
        <v>80</v>
      </c>
      <c r="P3285" s="2" t="s">
        <v>93</v>
      </c>
      <c r="Q3285" s="2" t="s">
        <v>94</v>
      </c>
      <c r="R3285" s="2" t="s">
        <v>95</v>
      </c>
      <c r="S3285" s="2">
        <v>1</v>
      </c>
      <c r="T3285" s="2">
        <v>1.48</v>
      </c>
      <c r="U3285" s="2">
        <v>0.34039999999999998</v>
      </c>
      <c r="V3285" s="2">
        <v>1.8204</v>
      </c>
      <c r="W3285" s="2">
        <v>1.48</v>
      </c>
      <c r="X3285" s="5">
        <f t="shared" si="467"/>
        <v>0</v>
      </c>
      <c r="Z3285" s="2" t="s">
        <v>3227</v>
      </c>
      <c r="AA3285" s="2" t="s">
        <v>96</v>
      </c>
      <c r="AB3285" s="2" t="s">
        <v>76</v>
      </c>
      <c r="AC3285" s="2" t="s">
        <v>93</v>
      </c>
      <c r="AF3285" s="2">
        <f t="shared" si="463"/>
        <v>0</v>
      </c>
      <c r="AJ3285" s="2">
        <f t="shared" si="464"/>
        <v>0</v>
      </c>
      <c r="AK3285" s="2">
        <f t="shared" si="468"/>
        <v>0</v>
      </c>
      <c r="AL3285" s="5">
        <f t="shared" si="469"/>
        <v>0</v>
      </c>
    </row>
    <row r="3286" spans="1:38" x14ac:dyDescent="0.2">
      <c r="A3286" s="2">
        <v>2026</v>
      </c>
      <c r="B3286" s="2">
        <v>2</v>
      </c>
      <c r="D3286" s="2" t="s">
        <v>1994</v>
      </c>
      <c r="M3286" s="2" t="s">
        <v>80</v>
      </c>
      <c r="P3286" s="2" t="s">
        <v>93</v>
      </c>
      <c r="Q3286" s="2" t="s">
        <v>94</v>
      </c>
      <c r="R3286" s="2" t="s">
        <v>95</v>
      </c>
      <c r="S3286" s="2">
        <v>2</v>
      </c>
      <c r="T3286" s="2">
        <v>2.96</v>
      </c>
      <c r="U3286" s="2">
        <v>0.68080000000000007</v>
      </c>
      <c r="V3286" s="2">
        <v>3.6408</v>
      </c>
      <c r="W3286" s="2">
        <v>2.96</v>
      </c>
      <c r="X3286" s="5">
        <f t="shared" si="467"/>
        <v>0</v>
      </c>
      <c r="Z3286" s="2" t="s">
        <v>3227</v>
      </c>
      <c r="AA3286" s="2" t="s">
        <v>96</v>
      </c>
      <c r="AB3286" s="2" t="s">
        <v>76</v>
      </c>
      <c r="AC3286" s="2" t="s">
        <v>93</v>
      </c>
      <c r="AF3286" s="2">
        <f t="shared" si="463"/>
        <v>0</v>
      </c>
      <c r="AJ3286" s="2">
        <f t="shared" si="464"/>
        <v>0</v>
      </c>
      <c r="AK3286" s="2">
        <f t="shared" si="468"/>
        <v>0</v>
      </c>
      <c r="AL3286" s="5">
        <f t="shared" si="469"/>
        <v>0</v>
      </c>
    </row>
    <row r="3287" spans="1:38" x14ac:dyDescent="0.2">
      <c r="A3287" s="2">
        <v>2026</v>
      </c>
      <c r="B3287" s="2">
        <v>2</v>
      </c>
      <c r="D3287" s="2" t="s">
        <v>2578</v>
      </c>
      <c r="E3287" s="2" t="s">
        <v>183</v>
      </c>
      <c r="F3287" s="2" t="s">
        <v>2579</v>
      </c>
      <c r="G3287" s="2">
        <v>515259144</v>
      </c>
      <c r="H3287" s="2" t="s">
        <v>80</v>
      </c>
      <c r="I3287" s="2" t="s">
        <v>156</v>
      </c>
      <c r="J3287" s="2" t="s">
        <v>2580</v>
      </c>
      <c r="K3287" s="2">
        <v>968626165</v>
      </c>
      <c r="L3287" s="2" t="s">
        <v>99</v>
      </c>
      <c r="M3287" s="2" t="s">
        <v>80</v>
      </c>
      <c r="O3287" s="2" t="s">
        <v>2581</v>
      </c>
      <c r="P3287" s="2" t="s">
        <v>93</v>
      </c>
      <c r="Q3287" s="2" t="s">
        <v>94</v>
      </c>
      <c r="R3287" s="2" t="s">
        <v>95</v>
      </c>
      <c r="S3287" s="2">
        <v>8</v>
      </c>
      <c r="T3287" s="2">
        <v>11.84</v>
      </c>
      <c r="U3287" s="2">
        <v>2.7231999999999998</v>
      </c>
      <c r="V3287" s="2">
        <v>14.5632</v>
      </c>
      <c r="W3287" s="2">
        <v>11.84</v>
      </c>
      <c r="X3287" s="5">
        <f t="shared" si="467"/>
        <v>0</v>
      </c>
      <c r="Z3287" s="2" t="s">
        <v>3227</v>
      </c>
      <c r="AA3287" s="2" t="s">
        <v>96</v>
      </c>
      <c r="AB3287" s="2" t="s">
        <v>76</v>
      </c>
      <c r="AC3287" s="2" t="s">
        <v>93</v>
      </c>
      <c r="AF3287" s="2">
        <f t="shared" si="463"/>
        <v>0</v>
      </c>
      <c r="AJ3287" s="2">
        <f t="shared" si="464"/>
        <v>0</v>
      </c>
      <c r="AK3287" s="2">
        <f t="shared" si="468"/>
        <v>0</v>
      </c>
      <c r="AL3287" s="5">
        <f t="shared" si="469"/>
        <v>0</v>
      </c>
    </row>
    <row r="3288" spans="1:38" x14ac:dyDescent="0.2">
      <c r="A3288" s="2">
        <v>2026</v>
      </c>
      <c r="B3288" s="2">
        <v>2</v>
      </c>
      <c r="D3288" s="2" t="s">
        <v>1553</v>
      </c>
      <c r="E3288" s="2" t="s">
        <v>108</v>
      </c>
      <c r="F3288" s="2" t="s">
        <v>717</v>
      </c>
      <c r="G3288" s="2">
        <v>500975914</v>
      </c>
      <c r="H3288" s="2" t="s">
        <v>41</v>
      </c>
      <c r="I3288" s="2" t="s">
        <v>1554</v>
      </c>
      <c r="J3288" s="2" t="s">
        <v>1555</v>
      </c>
      <c r="L3288" s="2" t="s">
        <v>177</v>
      </c>
      <c r="M3288" s="2" t="s">
        <v>41</v>
      </c>
      <c r="P3288" s="2" t="s">
        <v>93</v>
      </c>
      <c r="Q3288" s="2" t="s">
        <v>94</v>
      </c>
      <c r="R3288" s="2" t="s">
        <v>95</v>
      </c>
      <c r="S3288" s="2">
        <v>1</v>
      </c>
      <c r="T3288" s="2">
        <v>1.48</v>
      </c>
      <c r="U3288" s="2">
        <v>0.34039999999999998</v>
      </c>
      <c r="V3288" s="2">
        <v>1.8204</v>
      </c>
      <c r="W3288" s="2">
        <v>1.48</v>
      </c>
      <c r="X3288" s="5">
        <f t="shared" si="467"/>
        <v>0</v>
      </c>
      <c r="Z3288" s="2" t="s">
        <v>3227</v>
      </c>
      <c r="AA3288" s="2" t="s">
        <v>96</v>
      </c>
      <c r="AB3288" s="2" t="s">
        <v>76</v>
      </c>
      <c r="AC3288" s="2" t="s">
        <v>93</v>
      </c>
      <c r="AF3288" s="2">
        <f t="shared" si="463"/>
        <v>0</v>
      </c>
      <c r="AJ3288" s="2">
        <f t="shared" si="464"/>
        <v>0</v>
      </c>
      <c r="AK3288" s="2">
        <f t="shared" si="468"/>
        <v>0</v>
      </c>
      <c r="AL3288" s="5">
        <f t="shared" si="469"/>
        <v>0</v>
      </c>
    </row>
    <row r="3289" spans="1:38" x14ac:dyDescent="0.2">
      <c r="A3289" s="2">
        <v>2026</v>
      </c>
      <c r="B3289" s="2">
        <v>2</v>
      </c>
      <c r="D3289" s="2" t="s">
        <v>1376</v>
      </c>
      <c r="E3289" s="2" t="s">
        <v>183</v>
      </c>
      <c r="F3289" s="2" t="s">
        <v>366</v>
      </c>
      <c r="L3289" s="2" t="s">
        <v>571</v>
      </c>
      <c r="M3289" s="2" t="s">
        <v>80</v>
      </c>
      <c r="P3289" s="2" t="s">
        <v>93</v>
      </c>
      <c r="Q3289" s="2" t="s">
        <v>94</v>
      </c>
      <c r="R3289" s="2" t="s">
        <v>95</v>
      </c>
      <c r="S3289" s="2">
        <v>1</v>
      </c>
      <c r="T3289" s="2">
        <v>1.48</v>
      </c>
      <c r="U3289" s="2">
        <v>0.34039999999999998</v>
      </c>
      <c r="V3289" s="2">
        <v>1.8204</v>
      </c>
      <c r="W3289" s="2">
        <v>1.48</v>
      </c>
      <c r="X3289" s="5">
        <f t="shared" si="467"/>
        <v>0</v>
      </c>
      <c r="Z3289" s="2" t="s">
        <v>3227</v>
      </c>
      <c r="AA3289" s="2" t="s">
        <v>96</v>
      </c>
      <c r="AB3289" s="2" t="s">
        <v>76</v>
      </c>
      <c r="AC3289" s="2" t="s">
        <v>93</v>
      </c>
      <c r="AF3289" s="2">
        <f t="shared" si="463"/>
        <v>0</v>
      </c>
      <c r="AJ3289" s="2">
        <f t="shared" si="464"/>
        <v>0</v>
      </c>
      <c r="AK3289" s="2">
        <f t="shared" si="468"/>
        <v>0</v>
      </c>
      <c r="AL3289" s="5">
        <f t="shared" si="469"/>
        <v>0</v>
      </c>
    </row>
    <row r="3290" spans="1:38" x14ac:dyDescent="0.2">
      <c r="A3290" s="2">
        <v>2026</v>
      </c>
      <c r="B3290" s="2">
        <v>2</v>
      </c>
      <c r="D3290" s="2" t="s">
        <v>2567</v>
      </c>
      <c r="P3290" s="2" t="s">
        <v>93</v>
      </c>
      <c r="Q3290" s="2" t="s">
        <v>94</v>
      </c>
      <c r="R3290" s="2" t="s">
        <v>95</v>
      </c>
      <c r="S3290" s="2">
        <v>2</v>
      </c>
      <c r="T3290" s="2">
        <v>2.96</v>
      </c>
      <c r="U3290" s="2">
        <v>0.68080000000000007</v>
      </c>
      <c r="V3290" s="2">
        <v>3.6408</v>
      </c>
      <c r="W3290" s="2">
        <v>2.96</v>
      </c>
      <c r="X3290" s="5">
        <f t="shared" si="467"/>
        <v>0</v>
      </c>
      <c r="Z3290" s="2" t="s">
        <v>3227</v>
      </c>
      <c r="AA3290" s="2" t="s">
        <v>96</v>
      </c>
      <c r="AB3290" s="2" t="s">
        <v>76</v>
      </c>
      <c r="AC3290" s="2" t="s">
        <v>93</v>
      </c>
      <c r="AF3290" s="2">
        <f t="shared" si="463"/>
        <v>0</v>
      </c>
      <c r="AJ3290" s="2">
        <f t="shared" si="464"/>
        <v>0</v>
      </c>
      <c r="AK3290" s="2">
        <f t="shared" si="468"/>
        <v>0</v>
      </c>
      <c r="AL3290" s="5">
        <f t="shared" si="469"/>
        <v>0</v>
      </c>
    </row>
    <row r="3291" spans="1:38" x14ac:dyDescent="0.2">
      <c r="A3291" s="2">
        <v>2026</v>
      </c>
      <c r="B3291" s="2">
        <v>2</v>
      </c>
      <c r="D3291" s="2" t="s">
        <v>846</v>
      </c>
      <c r="P3291" s="2" t="s">
        <v>93</v>
      </c>
      <c r="Q3291" s="2" t="s">
        <v>94</v>
      </c>
      <c r="R3291" s="2" t="s">
        <v>95</v>
      </c>
      <c r="S3291" s="2">
        <v>1</v>
      </c>
      <c r="T3291" s="2">
        <v>1.48</v>
      </c>
      <c r="U3291" s="2">
        <v>0.34039999999999998</v>
      </c>
      <c r="V3291" s="2">
        <v>1.8204</v>
      </c>
      <c r="W3291" s="2">
        <v>1.48</v>
      </c>
      <c r="X3291" s="5">
        <f t="shared" si="467"/>
        <v>0</v>
      </c>
      <c r="Z3291" s="2" t="s">
        <v>3227</v>
      </c>
      <c r="AA3291" s="2" t="s">
        <v>96</v>
      </c>
      <c r="AB3291" s="2" t="s">
        <v>76</v>
      </c>
      <c r="AC3291" s="2" t="s">
        <v>93</v>
      </c>
      <c r="AF3291" s="2">
        <f t="shared" si="463"/>
        <v>0</v>
      </c>
      <c r="AJ3291" s="2">
        <f t="shared" si="464"/>
        <v>0</v>
      </c>
      <c r="AK3291" s="2">
        <f t="shared" si="468"/>
        <v>0</v>
      </c>
      <c r="AL3291" s="5">
        <f t="shared" si="469"/>
        <v>0</v>
      </c>
    </row>
    <row r="3292" spans="1:38" x14ac:dyDescent="0.2">
      <c r="A3292" s="2">
        <v>2026</v>
      </c>
      <c r="B3292" s="2">
        <v>2</v>
      </c>
      <c r="D3292" s="2" t="s">
        <v>1256</v>
      </c>
      <c r="P3292" s="2" t="s">
        <v>93</v>
      </c>
      <c r="Q3292" s="2" t="s">
        <v>94</v>
      </c>
      <c r="R3292" s="2" t="s">
        <v>95</v>
      </c>
      <c r="S3292" s="2">
        <v>3</v>
      </c>
      <c r="T3292" s="2">
        <v>4.4400000000000004</v>
      </c>
      <c r="U3292" s="2">
        <v>1.0212000000000001</v>
      </c>
      <c r="V3292" s="2">
        <v>5.4612000000000007</v>
      </c>
      <c r="W3292" s="2">
        <v>4.4400000000000004</v>
      </c>
      <c r="X3292" s="5">
        <f t="shared" si="467"/>
        <v>0</v>
      </c>
      <c r="Z3292" s="2" t="s">
        <v>3227</v>
      </c>
      <c r="AA3292" s="2" t="s">
        <v>96</v>
      </c>
      <c r="AB3292" s="2" t="s">
        <v>76</v>
      </c>
      <c r="AC3292" s="2" t="s">
        <v>93</v>
      </c>
      <c r="AF3292" s="2">
        <f t="shared" si="463"/>
        <v>0</v>
      </c>
      <c r="AJ3292" s="2">
        <f t="shared" si="464"/>
        <v>0</v>
      </c>
      <c r="AK3292" s="2">
        <f t="shared" si="468"/>
        <v>0</v>
      </c>
      <c r="AL3292" s="5">
        <f t="shared" si="469"/>
        <v>0</v>
      </c>
    </row>
    <row r="3293" spans="1:38" x14ac:dyDescent="0.2">
      <c r="A3293" s="2">
        <v>2026</v>
      </c>
      <c r="B3293" s="2">
        <v>2</v>
      </c>
      <c r="D3293" s="2" t="s">
        <v>1053</v>
      </c>
      <c r="E3293" s="2" t="s">
        <v>183</v>
      </c>
      <c r="F3293" s="2" t="s">
        <v>1054</v>
      </c>
      <c r="G3293" s="2">
        <v>500199523</v>
      </c>
      <c r="H3293" s="2" t="s">
        <v>290</v>
      </c>
      <c r="I3293" s="2" t="s">
        <v>293</v>
      </c>
      <c r="J3293" s="2" t="s">
        <v>1055</v>
      </c>
      <c r="L3293" s="2" t="s">
        <v>293</v>
      </c>
      <c r="M3293" s="2" t="s">
        <v>80</v>
      </c>
      <c r="O3293" s="2" t="s">
        <v>2573</v>
      </c>
      <c r="P3293" s="2" t="s">
        <v>93</v>
      </c>
      <c r="Q3293" s="2" t="s">
        <v>94</v>
      </c>
      <c r="R3293" s="2" t="s">
        <v>95</v>
      </c>
      <c r="S3293" s="2">
        <v>1</v>
      </c>
      <c r="T3293" s="2">
        <v>1.48</v>
      </c>
      <c r="U3293" s="2">
        <v>0.34039999999999998</v>
      </c>
      <c r="V3293" s="2">
        <v>1.8204</v>
      </c>
      <c r="W3293" s="2">
        <v>1.48</v>
      </c>
      <c r="X3293" s="5">
        <f t="shared" si="467"/>
        <v>0</v>
      </c>
      <c r="Z3293" s="2" t="s">
        <v>3227</v>
      </c>
      <c r="AA3293" s="2" t="s">
        <v>96</v>
      </c>
      <c r="AB3293" s="2" t="s">
        <v>76</v>
      </c>
      <c r="AC3293" s="2" t="s">
        <v>93</v>
      </c>
      <c r="AF3293" s="2">
        <f t="shared" si="463"/>
        <v>0</v>
      </c>
      <c r="AJ3293" s="2">
        <f t="shared" si="464"/>
        <v>0</v>
      </c>
      <c r="AK3293" s="2">
        <f t="shared" si="468"/>
        <v>0</v>
      </c>
      <c r="AL3293" s="5">
        <f t="shared" si="469"/>
        <v>0</v>
      </c>
    </row>
    <row r="3294" spans="1:38" x14ac:dyDescent="0.2">
      <c r="A3294" s="2">
        <v>2026</v>
      </c>
      <c r="B3294" s="2">
        <v>2</v>
      </c>
      <c r="D3294" s="2" t="s">
        <v>1593</v>
      </c>
      <c r="E3294" s="2" t="s">
        <v>108</v>
      </c>
      <c r="F3294" s="2" t="s">
        <v>395</v>
      </c>
      <c r="G3294" s="2">
        <v>500314594</v>
      </c>
      <c r="H3294" s="2" t="s">
        <v>40</v>
      </c>
      <c r="I3294" s="2" t="s">
        <v>1594</v>
      </c>
      <c r="J3294" s="2" t="s">
        <v>1595</v>
      </c>
      <c r="L3294" s="2" t="s">
        <v>201</v>
      </c>
      <c r="M3294" s="2" t="s">
        <v>80</v>
      </c>
      <c r="O3294" s="2" t="s">
        <v>2560</v>
      </c>
      <c r="P3294" s="2" t="s">
        <v>93</v>
      </c>
      <c r="Q3294" s="2" t="s">
        <v>94</v>
      </c>
      <c r="R3294" s="2" t="s">
        <v>95</v>
      </c>
      <c r="S3294" s="2">
        <v>1</v>
      </c>
      <c r="T3294" s="2">
        <v>1.48</v>
      </c>
      <c r="U3294" s="2">
        <v>0.34039999999999998</v>
      </c>
      <c r="V3294" s="2">
        <v>1.8204</v>
      </c>
      <c r="W3294" s="2">
        <v>1.48</v>
      </c>
      <c r="X3294" s="5">
        <f t="shared" si="467"/>
        <v>0</v>
      </c>
      <c r="Z3294" s="2" t="s">
        <v>3227</v>
      </c>
      <c r="AA3294" s="2" t="s">
        <v>96</v>
      </c>
      <c r="AB3294" s="2" t="s">
        <v>76</v>
      </c>
      <c r="AC3294" s="2" t="s">
        <v>93</v>
      </c>
      <c r="AF3294" s="2">
        <f t="shared" si="463"/>
        <v>0</v>
      </c>
      <c r="AG3294" s="2">
        <v>1.48</v>
      </c>
      <c r="AH3294" s="2">
        <v>1.48</v>
      </c>
      <c r="AJ3294" s="2">
        <f t="shared" si="464"/>
        <v>0</v>
      </c>
      <c r="AK3294" s="2">
        <f t="shared" si="468"/>
        <v>0</v>
      </c>
      <c r="AL3294" s="5">
        <f t="shared" si="469"/>
        <v>0</v>
      </c>
    </row>
    <row r="3295" spans="1:38" x14ac:dyDescent="0.2">
      <c r="A3295" s="2">
        <v>2026</v>
      </c>
      <c r="B3295" s="2">
        <v>2</v>
      </c>
      <c r="D3295" s="2" t="s">
        <v>530</v>
      </c>
      <c r="E3295" s="2" t="s">
        <v>108</v>
      </c>
      <c r="F3295" s="2" t="s">
        <v>531</v>
      </c>
      <c r="G3295" s="2">
        <v>502139552</v>
      </c>
      <c r="H3295" s="2" t="s">
        <v>40</v>
      </c>
      <c r="I3295" s="2" t="s">
        <v>339</v>
      </c>
      <c r="J3295" s="2" t="s">
        <v>532</v>
      </c>
      <c r="L3295" s="2" t="s">
        <v>339</v>
      </c>
      <c r="M3295" s="2" t="s">
        <v>80</v>
      </c>
      <c r="P3295" s="2" t="s">
        <v>93</v>
      </c>
      <c r="Q3295" s="2" t="s">
        <v>94</v>
      </c>
      <c r="R3295" s="2" t="s">
        <v>95</v>
      </c>
      <c r="S3295" s="2">
        <v>1</v>
      </c>
      <c r="T3295" s="2">
        <v>1.48</v>
      </c>
      <c r="U3295" s="2">
        <v>0.34039999999999998</v>
      </c>
      <c r="V3295" s="2">
        <v>1.8204</v>
      </c>
      <c r="W3295" s="2">
        <v>1.48</v>
      </c>
      <c r="X3295" s="5">
        <f t="shared" si="467"/>
        <v>0</v>
      </c>
      <c r="Z3295" s="2" t="s">
        <v>3227</v>
      </c>
      <c r="AA3295" s="2" t="s">
        <v>96</v>
      </c>
      <c r="AB3295" s="2" t="s">
        <v>76</v>
      </c>
      <c r="AC3295" s="2" t="s">
        <v>93</v>
      </c>
      <c r="AF3295" s="2">
        <f t="shared" si="463"/>
        <v>0</v>
      </c>
      <c r="AJ3295" s="2">
        <f t="shared" si="464"/>
        <v>0</v>
      </c>
      <c r="AK3295" s="2">
        <f t="shared" si="468"/>
        <v>0</v>
      </c>
      <c r="AL3295" s="5">
        <f t="shared" si="469"/>
        <v>0</v>
      </c>
    </row>
    <row r="3296" spans="1:38" x14ac:dyDescent="0.2">
      <c r="A3296" s="2">
        <v>2026</v>
      </c>
      <c r="B3296" s="2">
        <v>2</v>
      </c>
      <c r="D3296" s="2" t="s">
        <v>549</v>
      </c>
      <c r="E3296" s="2" t="s">
        <v>108</v>
      </c>
      <c r="F3296" s="2" t="s">
        <v>395</v>
      </c>
      <c r="G3296" s="2">
        <v>503641790</v>
      </c>
      <c r="H3296" s="2" t="s">
        <v>40</v>
      </c>
      <c r="I3296" s="2" t="s">
        <v>550</v>
      </c>
      <c r="J3296" s="2" t="s">
        <v>551</v>
      </c>
      <c r="K3296" s="2">
        <v>917753665</v>
      </c>
      <c r="L3296" s="2" t="s">
        <v>99</v>
      </c>
      <c r="M3296" s="2" t="s">
        <v>80</v>
      </c>
      <c r="O3296" s="2" t="s">
        <v>2558</v>
      </c>
      <c r="P3296" s="2" t="s">
        <v>93</v>
      </c>
      <c r="Q3296" s="2" t="s">
        <v>94</v>
      </c>
      <c r="R3296" s="2" t="s">
        <v>95</v>
      </c>
      <c r="S3296" s="2">
        <v>1</v>
      </c>
      <c r="T3296" s="2">
        <v>1.48</v>
      </c>
      <c r="U3296" s="2">
        <v>0.34039999999999998</v>
      </c>
      <c r="V3296" s="2">
        <v>1.8204</v>
      </c>
      <c r="W3296" s="2">
        <v>1.48</v>
      </c>
      <c r="X3296" s="5">
        <f t="shared" si="467"/>
        <v>0</v>
      </c>
      <c r="Z3296" s="2" t="s">
        <v>3227</v>
      </c>
      <c r="AA3296" s="2" t="s">
        <v>96</v>
      </c>
      <c r="AB3296" s="2" t="s">
        <v>76</v>
      </c>
      <c r="AC3296" s="2" t="s">
        <v>93</v>
      </c>
      <c r="AF3296" s="2">
        <f t="shared" si="463"/>
        <v>0</v>
      </c>
      <c r="AG3296" s="2">
        <v>1.48</v>
      </c>
      <c r="AH3296" s="2">
        <v>1.48</v>
      </c>
      <c r="AJ3296" s="2">
        <f t="shared" si="464"/>
        <v>0</v>
      </c>
      <c r="AK3296" s="2">
        <f t="shared" si="468"/>
        <v>0</v>
      </c>
      <c r="AL3296" s="5">
        <f t="shared" si="469"/>
        <v>0</v>
      </c>
    </row>
    <row r="3297" spans="1:38" x14ac:dyDescent="0.2">
      <c r="A3297" s="2">
        <v>2026</v>
      </c>
      <c r="B3297" s="2">
        <v>2</v>
      </c>
      <c r="D3297" s="2" t="s">
        <v>2559</v>
      </c>
      <c r="M3297" s="2" t="s">
        <v>80</v>
      </c>
      <c r="P3297" s="2" t="s">
        <v>93</v>
      </c>
      <c r="Q3297" s="2" t="s">
        <v>94</v>
      </c>
      <c r="R3297" s="2" t="s">
        <v>95</v>
      </c>
      <c r="S3297" s="2">
        <v>3</v>
      </c>
      <c r="T3297" s="2">
        <v>4.4400000000000004</v>
      </c>
      <c r="U3297" s="2">
        <v>1.0212000000000001</v>
      </c>
      <c r="V3297" s="2">
        <v>5.4612000000000007</v>
      </c>
      <c r="W3297" s="2">
        <v>4.4400000000000004</v>
      </c>
      <c r="X3297" s="5">
        <f t="shared" si="467"/>
        <v>0</v>
      </c>
      <c r="Z3297" s="2" t="s">
        <v>3227</v>
      </c>
      <c r="AA3297" s="2" t="s">
        <v>96</v>
      </c>
      <c r="AB3297" s="2" t="s">
        <v>76</v>
      </c>
      <c r="AC3297" s="2" t="s">
        <v>93</v>
      </c>
      <c r="AF3297" s="2">
        <f t="shared" si="463"/>
        <v>0</v>
      </c>
      <c r="AJ3297" s="2">
        <f t="shared" si="464"/>
        <v>0</v>
      </c>
      <c r="AK3297" s="2">
        <f t="shared" si="468"/>
        <v>0</v>
      </c>
      <c r="AL3297" s="5">
        <f t="shared" si="469"/>
        <v>0</v>
      </c>
    </row>
    <row r="3298" spans="1:38" x14ac:dyDescent="0.2">
      <c r="A3298" s="2">
        <v>2026</v>
      </c>
      <c r="B3298" s="2">
        <v>2</v>
      </c>
      <c r="D3298" s="2" t="s">
        <v>2526</v>
      </c>
      <c r="M3298" s="2" t="s">
        <v>40</v>
      </c>
      <c r="P3298" s="2" t="s">
        <v>114</v>
      </c>
      <c r="Q3298" s="2" t="s">
        <v>408</v>
      </c>
      <c r="R3298" s="2" t="s">
        <v>409</v>
      </c>
      <c r="S3298" s="2">
        <v>1</v>
      </c>
      <c r="T3298" s="2">
        <v>0</v>
      </c>
      <c r="U3298" s="2">
        <v>0</v>
      </c>
      <c r="V3298" s="2">
        <v>0</v>
      </c>
      <c r="X3298" s="5" t="e">
        <f t="shared" si="467"/>
        <v>#DIV/0!</v>
      </c>
      <c r="Z3298" s="2" t="s">
        <v>117</v>
      </c>
      <c r="AA3298" s="2" t="s">
        <v>317</v>
      </c>
      <c r="AF3298" s="2">
        <f t="shared" si="463"/>
        <v>0</v>
      </c>
      <c r="AJ3298" s="2">
        <f t="shared" si="464"/>
        <v>0</v>
      </c>
      <c r="AK3298" s="2">
        <f t="shared" si="468"/>
        <v>0</v>
      </c>
      <c r="AL3298" s="5" t="e">
        <f t="shared" si="469"/>
        <v>#DIV/0!</v>
      </c>
    </row>
    <row r="3299" spans="1:38" x14ac:dyDescent="0.2">
      <c r="A3299" s="2">
        <v>2026</v>
      </c>
      <c r="B3299" s="2">
        <v>2</v>
      </c>
      <c r="D3299" s="2" t="s">
        <v>2614</v>
      </c>
      <c r="P3299" s="2" t="s">
        <v>40</v>
      </c>
      <c r="Q3299" s="2" t="s">
        <v>363</v>
      </c>
      <c r="R3299" s="2" t="s">
        <v>364</v>
      </c>
      <c r="S3299" s="2">
        <v>1</v>
      </c>
      <c r="T3299" s="2">
        <v>200.03</v>
      </c>
      <c r="U3299" s="2">
        <v>46.006900000000002</v>
      </c>
      <c r="V3299" s="2">
        <v>246.0369</v>
      </c>
      <c r="X3299" s="5">
        <f t="shared" si="467"/>
        <v>1</v>
      </c>
      <c r="Z3299" s="2" t="s">
        <v>119</v>
      </c>
      <c r="AA3299" s="2" t="s">
        <v>3380</v>
      </c>
      <c r="AF3299" s="2">
        <f t="shared" si="463"/>
        <v>0</v>
      </c>
      <c r="AJ3299" s="2">
        <f t="shared" si="464"/>
        <v>0</v>
      </c>
      <c r="AK3299" s="2">
        <f t="shared" si="468"/>
        <v>200.03</v>
      </c>
      <c r="AL3299" s="5">
        <f t="shared" si="469"/>
        <v>1</v>
      </c>
    </row>
    <row r="3300" spans="1:38" x14ac:dyDescent="0.2">
      <c r="A3300" s="2">
        <v>2026</v>
      </c>
      <c r="B3300" s="2">
        <v>2</v>
      </c>
      <c r="D3300" s="2" t="s">
        <v>1088</v>
      </c>
      <c r="E3300" s="2" t="s">
        <v>108</v>
      </c>
      <c r="F3300" s="2" t="s">
        <v>39</v>
      </c>
      <c r="G3300" s="2">
        <v>505194147</v>
      </c>
      <c r="H3300" s="2" t="s">
        <v>109</v>
      </c>
      <c r="I3300" s="2" t="s">
        <v>1089</v>
      </c>
      <c r="J3300" s="2" t="s">
        <v>1090</v>
      </c>
      <c r="K3300" s="2">
        <v>917523997</v>
      </c>
      <c r="L3300" s="2" t="s">
        <v>112</v>
      </c>
      <c r="M3300" s="2" t="s">
        <v>40</v>
      </c>
      <c r="O3300" s="2" t="s">
        <v>2615</v>
      </c>
      <c r="P3300" s="2" t="s">
        <v>40</v>
      </c>
      <c r="Q3300" s="2" t="s">
        <v>363</v>
      </c>
      <c r="R3300" s="2" t="s">
        <v>364</v>
      </c>
      <c r="S3300" s="2">
        <v>1</v>
      </c>
      <c r="T3300" s="2">
        <v>352.08</v>
      </c>
      <c r="U3300" s="2">
        <v>80.978399999999993</v>
      </c>
      <c r="V3300" s="2">
        <v>433.05840000000001</v>
      </c>
      <c r="X3300" s="5">
        <f t="shared" si="467"/>
        <v>1</v>
      </c>
      <c r="Z3300" s="2" t="s">
        <v>117</v>
      </c>
      <c r="AA3300" s="2" t="s">
        <v>118</v>
      </c>
      <c r="AB3300" s="2" t="s">
        <v>119</v>
      </c>
      <c r="AF3300" s="2">
        <f t="shared" si="463"/>
        <v>0</v>
      </c>
      <c r="AJ3300" s="2">
        <f t="shared" si="464"/>
        <v>0</v>
      </c>
      <c r="AK3300" s="2">
        <f t="shared" si="468"/>
        <v>352.08</v>
      </c>
      <c r="AL3300" s="5">
        <f t="shared" si="469"/>
        <v>1</v>
      </c>
    </row>
    <row r="3301" spans="1:38" x14ac:dyDescent="0.2">
      <c r="A3301" s="2">
        <v>2026</v>
      </c>
      <c r="B3301" s="2">
        <v>2</v>
      </c>
      <c r="D3301" s="2" t="s">
        <v>525</v>
      </c>
      <c r="E3301" s="2" t="s">
        <v>108</v>
      </c>
      <c r="F3301" s="2" t="s">
        <v>39</v>
      </c>
      <c r="G3301" s="2">
        <v>509391583</v>
      </c>
      <c r="H3301" s="2" t="s">
        <v>40</v>
      </c>
      <c r="I3301" s="2" t="s">
        <v>526</v>
      </c>
      <c r="J3301" s="2" t="s">
        <v>527</v>
      </c>
      <c r="L3301" s="2" t="s">
        <v>344</v>
      </c>
      <c r="M3301" s="2" t="s">
        <v>40</v>
      </c>
      <c r="O3301" s="2" t="s">
        <v>2616</v>
      </c>
      <c r="P3301" s="2" t="s">
        <v>114</v>
      </c>
      <c r="Q3301" s="2" t="s">
        <v>2225</v>
      </c>
      <c r="R3301" s="2" t="s">
        <v>2226</v>
      </c>
      <c r="S3301" s="2">
        <v>1</v>
      </c>
      <c r="T3301" s="2">
        <v>11.25</v>
      </c>
      <c r="U3301" s="2">
        <v>2.5874999999999999</v>
      </c>
      <c r="V3301" s="2">
        <v>13.8375</v>
      </c>
      <c r="W3301" s="2">
        <v>5.35</v>
      </c>
      <c r="X3301" s="5">
        <f t="shared" si="467"/>
        <v>0.52444444444444449</v>
      </c>
      <c r="Z3301" s="2" t="s">
        <v>117</v>
      </c>
      <c r="AA3301" s="2" t="s">
        <v>118</v>
      </c>
      <c r="AB3301" s="2" t="s">
        <v>119</v>
      </c>
      <c r="AC3301" s="2" t="s">
        <v>114</v>
      </c>
      <c r="AF3301" s="2">
        <f t="shared" si="463"/>
        <v>0</v>
      </c>
      <c r="AG3301" s="2">
        <v>5.35</v>
      </c>
      <c r="AJ3301" s="2">
        <f t="shared" si="464"/>
        <v>0</v>
      </c>
      <c r="AK3301" s="2">
        <f t="shared" si="468"/>
        <v>5.9</v>
      </c>
      <c r="AL3301" s="5">
        <f t="shared" si="469"/>
        <v>0.52444444444444449</v>
      </c>
    </row>
    <row r="3302" spans="1:38" x14ac:dyDescent="0.2">
      <c r="A3302" s="2">
        <v>2026</v>
      </c>
      <c r="B3302" s="2">
        <v>2</v>
      </c>
      <c r="D3302" s="2" t="s">
        <v>2258</v>
      </c>
      <c r="G3302" s="2">
        <v>503636002</v>
      </c>
      <c r="I3302" s="2" t="s">
        <v>2617</v>
      </c>
      <c r="M3302" s="2" t="s">
        <v>40</v>
      </c>
      <c r="O3302" s="2" t="s">
        <v>2618</v>
      </c>
      <c r="P3302" s="2" t="s">
        <v>114</v>
      </c>
      <c r="Q3302" s="2" t="s">
        <v>2227</v>
      </c>
      <c r="R3302" s="2" t="s">
        <v>2228</v>
      </c>
      <c r="S3302" s="2">
        <v>4</v>
      </c>
      <c r="T3302" s="2">
        <v>210.64</v>
      </c>
      <c r="U3302" s="2">
        <v>48.447200000000002</v>
      </c>
      <c r="V3302" s="2">
        <v>259.0872</v>
      </c>
      <c r="W3302" s="2">
        <f>28.3725*S3302</f>
        <v>113.49</v>
      </c>
      <c r="X3302" s="5">
        <f t="shared" si="467"/>
        <v>0.46121344473984049</v>
      </c>
      <c r="Z3302" s="2" t="s">
        <v>117</v>
      </c>
      <c r="AA3302" s="2" t="s">
        <v>118</v>
      </c>
      <c r="AB3302" s="2" t="s">
        <v>119</v>
      </c>
      <c r="AC3302" s="2" t="s">
        <v>114</v>
      </c>
      <c r="AF3302" s="2">
        <f t="shared" si="463"/>
        <v>0</v>
      </c>
      <c r="AG3302" s="2">
        <v>28.372499999999999</v>
      </c>
      <c r="AJ3302" s="2">
        <f t="shared" si="464"/>
        <v>0</v>
      </c>
      <c r="AK3302" s="2">
        <f t="shared" si="468"/>
        <v>97.149999999999991</v>
      </c>
      <c r="AL3302" s="5">
        <f t="shared" si="469"/>
        <v>0.46121344473984049</v>
      </c>
    </row>
    <row r="3303" spans="1:38" x14ac:dyDescent="0.2">
      <c r="A3303" s="2">
        <v>2026</v>
      </c>
      <c r="B3303" s="2">
        <v>2</v>
      </c>
      <c r="D3303" s="2" t="s">
        <v>289</v>
      </c>
      <c r="E3303" s="2" t="s">
        <v>108</v>
      </c>
      <c r="F3303" s="2" t="s">
        <v>39</v>
      </c>
      <c r="G3303" s="2">
        <v>508428300</v>
      </c>
      <c r="H3303" s="2" t="s">
        <v>290</v>
      </c>
      <c r="I3303" s="2" t="s">
        <v>291</v>
      </c>
      <c r="J3303" s="2" t="s">
        <v>292</v>
      </c>
      <c r="K3303" s="2">
        <v>917165642</v>
      </c>
      <c r="L3303" s="2" t="s">
        <v>293</v>
      </c>
      <c r="M3303" s="2" t="s">
        <v>40</v>
      </c>
      <c r="O3303" s="2" t="s">
        <v>2619</v>
      </c>
      <c r="P3303" s="2" t="s">
        <v>114</v>
      </c>
      <c r="Q3303" s="2" t="s">
        <v>2620</v>
      </c>
      <c r="R3303" s="2" t="s">
        <v>2621</v>
      </c>
      <c r="S3303" s="2">
        <v>4</v>
      </c>
      <c r="T3303" s="2">
        <v>40.56</v>
      </c>
      <c r="U3303" s="2">
        <v>9.3288000000000011</v>
      </c>
      <c r="V3303" s="2">
        <v>49.888800000000003</v>
      </c>
      <c r="W3303" s="2">
        <f>3.5*S3303</f>
        <v>14</v>
      </c>
      <c r="X3303" s="5">
        <f t="shared" si="467"/>
        <v>0.65483234714003946</v>
      </c>
      <c r="Z3303" s="2" t="s">
        <v>117</v>
      </c>
      <c r="AA3303" s="2" t="s">
        <v>118</v>
      </c>
      <c r="AB3303" s="2" t="s">
        <v>119</v>
      </c>
      <c r="AC3303" s="2" t="s">
        <v>114</v>
      </c>
      <c r="AF3303" s="2">
        <f t="shared" si="463"/>
        <v>0</v>
      </c>
      <c r="AG3303" s="2">
        <v>3.5</v>
      </c>
      <c r="AJ3303" s="2">
        <f t="shared" si="464"/>
        <v>0</v>
      </c>
      <c r="AK3303" s="2">
        <f t="shared" si="468"/>
        <v>26.560000000000002</v>
      </c>
      <c r="AL3303" s="5">
        <f t="shared" si="469"/>
        <v>0.65483234714003946</v>
      </c>
    </row>
    <row r="3304" spans="1:38" x14ac:dyDescent="0.2">
      <c r="A3304" s="2">
        <v>2026</v>
      </c>
      <c r="B3304" s="2">
        <v>3</v>
      </c>
      <c r="D3304" s="2" t="s">
        <v>2049</v>
      </c>
      <c r="M3304" s="2" t="s">
        <v>40</v>
      </c>
      <c r="O3304" s="2" t="s">
        <v>2622</v>
      </c>
      <c r="P3304" s="2" t="s">
        <v>114</v>
      </c>
      <c r="Q3304" s="2" t="s">
        <v>779</v>
      </c>
      <c r="R3304" s="2" t="s">
        <v>780</v>
      </c>
      <c r="S3304" s="2">
        <v>2</v>
      </c>
      <c r="T3304" s="2">
        <v>157.18</v>
      </c>
      <c r="U3304" s="2">
        <v>36.151400000000002</v>
      </c>
      <c r="V3304" s="2">
        <v>193.3314</v>
      </c>
      <c r="W3304" s="2">
        <f>35.9317*S3304</f>
        <v>71.863399999999999</v>
      </c>
      <c r="X3304" s="5">
        <f t="shared" si="467"/>
        <v>0.54279552105865891</v>
      </c>
      <c r="Z3304" s="2" t="s">
        <v>117</v>
      </c>
      <c r="AA3304" s="2" t="s">
        <v>118</v>
      </c>
      <c r="AB3304" s="2" t="s">
        <v>119</v>
      </c>
      <c r="AC3304" s="2" t="s">
        <v>114</v>
      </c>
      <c r="AF3304" s="2">
        <f t="shared" si="463"/>
        <v>0</v>
      </c>
      <c r="AG3304" s="2">
        <v>35.931699999999999</v>
      </c>
      <c r="AJ3304" s="2">
        <f t="shared" si="464"/>
        <v>0</v>
      </c>
      <c r="AK3304" s="2">
        <f t="shared" si="468"/>
        <v>85.316600000000008</v>
      </c>
      <c r="AL3304" s="5">
        <f t="shared" si="469"/>
        <v>0.54279552105865891</v>
      </c>
    </row>
    <row r="3305" spans="1:38" x14ac:dyDescent="0.2">
      <c r="A3305" s="2">
        <v>2026</v>
      </c>
      <c r="B3305" s="2">
        <v>2</v>
      </c>
      <c r="D3305" s="2" t="s">
        <v>2258</v>
      </c>
      <c r="M3305" s="2" t="s">
        <v>40</v>
      </c>
      <c r="O3305" s="2" t="s">
        <v>2618</v>
      </c>
      <c r="P3305" s="2" t="s">
        <v>114</v>
      </c>
      <c r="Q3305" s="2" t="s">
        <v>953</v>
      </c>
      <c r="R3305" s="2" t="s">
        <v>954</v>
      </c>
      <c r="S3305" s="2">
        <v>1</v>
      </c>
      <c r="T3305" s="2">
        <v>31.32</v>
      </c>
      <c r="U3305" s="2">
        <v>7.2036000000000007</v>
      </c>
      <c r="V3305" s="2">
        <v>38.523600000000002</v>
      </c>
      <c r="W3305" s="2">
        <f>14.67*S3305</f>
        <v>14.67</v>
      </c>
      <c r="X3305" s="5">
        <f t="shared" si="467"/>
        <v>0.53160919540229878</v>
      </c>
      <c r="Z3305" s="2" t="s">
        <v>117</v>
      </c>
      <c r="AA3305" s="2" t="s">
        <v>578</v>
      </c>
      <c r="AB3305" s="2" t="s">
        <v>119</v>
      </c>
      <c r="AC3305" s="2" t="s">
        <v>114</v>
      </c>
      <c r="AF3305" s="2">
        <f t="shared" si="463"/>
        <v>0</v>
      </c>
      <c r="AG3305" s="2">
        <f>14.4+0.27</f>
        <v>14.67</v>
      </c>
      <c r="AJ3305" s="2">
        <f t="shared" si="464"/>
        <v>0</v>
      </c>
      <c r="AK3305" s="2">
        <f t="shared" si="468"/>
        <v>16.649999999999999</v>
      </c>
      <c r="AL3305" s="5">
        <f t="shared" si="469"/>
        <v>0.53160919540229878</v>
      </c>
    </row>
    <row r="3306" spans="1:38" x14ac:dyDescent="0.2">
      <c r="A3306" s="2">
        <v>2026</v>
      </c>
      <c r="B3306" s="2">
        <v>3</v>
      </c>
      <c r="D3306" s="2" t="s">
        <v>1168</v>
      </c>
      <c r="E3306" s="2" t="s">
        <v>752</v>
      </c>
      <c r="F3306" s="2" t="s">
        <v>1169</v>
      </c>
      <c r="G3306" s="2">
        <v>505760088</v>
      </c>
      <c r="H3306" s="2" t="s">
        <v>290</v>
      </c>
      <c r="I3306" s="2" t="s">
        <v>1170</v>
      </c>
      <c r="J3306" s="2" t="s">
        <v>1171</v>
      </c>
      <c r="L3306" s="2" t="s">
        <v>339</v>
      </c>
      <c r="M3306" s="2" t="s">
        <v>40</v>
      </c>
      <c r="O3306" s="2" t="s">
        <v>2445</v>
      </c>
      <c r="P3306" s="2" t="s">
        <v>114</v>
      </c>
      <c r="Q3306" s="2" t="s">
        <v>904</v>
      </c>
      <c r="R3306" s="2" t="s">
        <v>905</v>
      </c>
      <c r="S3306" s="2">
        <v>1</v>
      </c>
      <c r="T3306" s="2">
        <v>699.3</v>
      </c>
      <c r="U3306" s="2">
        <v>160.839</v>
      </c>
      <c r="V3306" s="2">
        <v>860.1389999999999</v>
      </c>
      <c r="W3306" s="2">
        <v>345.20339999999999</v>
      </c>
      <c r="X3306" s="5">
        <f t="shared" si="467"/>
        <v>0.50635864435864431</v>
      </c>
      <c r="Z3306" s="2" t="s">
        <v>117</v>
      </c>
      <c r="AA3306" s="2" t="s">
        <v>181</v>
      </c>
      <c r="AB3306" s="2" t="s">
        <v>119</v>
      </c>
      <c r="AC3306" s="2" t="s">
        <v>114</v>
      </c>
      <c r="AF3306" s="2">
        <f t="shared" si="463"/>
        <v>0</v>
      </c>
      <c r="AG3306" s="2">
        <v>342.22</v>
      </c>
      <c r="AJ3306" s="2">
        <f t="shared" si="464"/>
        <v>0</v>
      </c>
      <c r="AK3306" s="2">
        <f t="shared" si="468"/>
        <v>354.09659999999997</v>
      </c>
      <c r="AL3306" s="5">
        <f t="shared" si="469"/>
        <v>0.50635864435864431</v>
      </c>
    </row>
    <row r="3307" spans="1:38" x14ac:dyDescent="0.2">
      <c r="A3307" s="2">
        <v>2026</v>
      </c>
      <c r="B3307" s="2">
        <v>3</v>
      </c>
      <c r="C3307" s="2" t="s">
        <v>3320</v>
      </c>
      <c r="D3307" s="2" t="s">
        <v>2150</v>
      </c>
      <c r="E3307" s="2" t="s">
        <v>38</v>
      </c>
      <c r="F3307" s="2" t="s">
        <v>39</v>
      </c>
      <c r="G3307" s="2">
        <v>513368523</v>
      </c>
      <c r="H3307" s="2" t="s">
        <v>41</v>
      </c>
      <c r="L3307" s="2" t="s">
        <v>177</v>
      </c>
      <c r="M3307" s="2" t="s">
        <v>40</v>
      </c>
      <c r="O3307" s="2" t="s">
        <v>2623</v>
      </c>
      <c r="P3307" s="2" t="s">
        <v>114</v>
      </c>
      <c r="Q3307" s="2" t="s">
        <v>639</v>
      </c>
      <c r="R3307" s="2" t="s">
        <v>640</v>
      </c>
      <c r="S3307" s="2">
        <v>1</v>
      </c>
      <c r="T3307" s="2">
        <v>1222.1199999999999</v>
      </c>
      <c r="U3307" s="2">
        <v>281.08760000000001</v>
      </c>
      <c r="V3307" s="2">
        <v>1503.2076</v>
      </c>
      <c r="W3307" s="2">
        <v>585.00340000000006</v>
      </c>
      <c r="X3307" s="5">
        <f t="shared" si="467"/>
        <v>0.52132081955945397</v>
      </c>
      <c r="Z3307" s="2" t="s">
        <v>117</v>
      </c>
      <c r="AA3307" s="2" t="s">
        <v>118</v>
      </c>
      <c r="AB3307" s="2" t="s">
        <v>119</v>
      </c>
      <c r="AC3307" s="2" t="s">
        <v>114</v>
      </c>
      <c r="AF3307" s="2">
        <f t="shared" si="463"/>
        <v>0</v>
      </c>
      <c r="AG3307" s="2">
        <f>597.47+8.18</f>
        <v>605.65</v>
      </c>
      <c r="AJ3307" s="2">
        <f t="shared" si="464"/>
        <v>0</v>
      </c>
      <c r="AK3307" s="2">
        <f t="shared" si="468"/>
        <v>637.11659999999983</v>
      </c>
      <c r="AL3307" s="5">
        <f t="shared" si="469"/>
        <v>0.52132081955945397</v>
      </c>
    </row>
    <row r="3308" spans="1:38" x14ac:dyDescent="0.2">
      <c r="A3308" s="2">
        <v>2026</v>
      </c>
      <c r="B3308" s="2">
        <v>4</v>
      </c>
      <c r="D3308" s="2" t="s">
        <v>689</v>
      </c>
      <c r="E3308" s="2" t="s">
        <v>108</v>
      </c>
      <c r="F3308" s="2" t="s">
        <v>39</v>
      </c>
      <c r="G3308" s="2">
        <v>503589950</v>
      </c>
      <c r="H3308" s="2" t="s">
        <v>41</v>
      </c>
      <c r="I3308" s="2" t="s">
        <v>610</v>
      </c>
      <c r="J3308" s="2" t="s">
        <v>690</v>
      </c>
      <c r="K3308" s="2">
        <v>913036545</v>
      </c>
      <c r="L3308" s="2" t="s">
        <v>177</v>
      </c>
      <c r="M3308" s="2" t="s">
        <v>41</v>
      </c>
      <c r="O3308" s="2" t="s">
        <v>2613</v>
      </c>
      <c r="P3308" s="2" t="s">
        <v>43</v>
      </c>
      <c r="Q3308" s="2" t="s">
        <v>857</v>
      </c>
      <c r="R3308" s="2" t="s">
        <v>858</v>
      </c>
      <c r="S3308" s="2">
        <v>2</v>
      </c>
      <c r="T3308" s="2">
        <v>46.8</v>
      </c>
      <c r="U3308" s="2">
        <v>10.763999999999999</v>
      </c>
      <c r="V3308" s="2">
        <v>57.563999999999993</v>
      </c>
      <c r="W3308" s="2">
        <f>8.735*S3308</f>
        <v>17.47</v>
      </c>
      <c r="X3308" s="5">
        <f t="shared" si="467"/>
        <v>0.6267094017094017</v>
      </c>
      <c r="Z3308" s="2" t="s">
        <v>3227</v>
      </c>
      <c r="AA3308" s="2" t="s">
        <v>46</v>
      </c>
      <c r="AB3308" s="2" t="s">
        <v>47</v>
      </c>
      <c r="AC3308" s="2" t="s">
        <v>57</v>
      </c>
      <c r="AF3308" s="2">
        <f t="shared" si="463"/>
        <v>0</v>
      </c>
      <c r="AJ3308" s="2">
        <f t="shared" si="464"/>
        <v>0</v>
      </c>
      <c r="AK3308" s="2">
        <f t="shared" si="468"/>
        <v>29.33</v>
      </c>
      <c r="AL3308" s="5">
        <f t="shared" si="469"/>
        <v>0.6267094017094017</v>
      </c>
    </row>
    <row r="3309" spans="1:38" x14ac:dyDescent="0.2">
      <c r="A3309" s="2">
        <v>2026</v>
      </c>
      <c r="B3309" s="2">
        <v>3</v>
      </c>
      <c r="D3309" s="2" t="s">
        <v>2624</v>
      </c>
      <c r="M3309" s="2" t="s">
        <v>40</v>
      </c>
      <c r="O3309" s="2" t="s">
        <v>2625</v>
      </c>
      <c r="P3309" s="2" t="s">
        <v>114</v>
      </c>
      <c r="Q3309" s="2" t="s">
        <v>2626</v>
      </c>
      <c r="R3309" s="2" t="s">
        <v>2627</v>
      </c>
      <c r="S3309" s="2">
        <v>1</v>
      </c>
      <c r="T3309" s="2">
        <v>18.41</v>
      </c>
      <c r="U3309" s="2">
        <v>4.2343000000000002</v>
      </c>
      <c r="V3309" s="2">
        <v>22.644300000000001</v>
      </c>
      <c r="W3309" s="2">
        <v>8.77</v>
      </c>
      <c r="X3309" s="5">
        <f t="shared" si="467"/>
        <v>0.52362846279196096</v>
      </c>
      <c r="Z3309" s="2" t="s">
        <v>117</v>
      </c>
      <c r="AA3309" s="2" t="s">
        <v>118</v>
      </c>
      <c r="AB3309" s="2" t="s">
        <v>119</v>
      </c>
      <c r="AC3309" s="2" t="s">
        <v>114</v>
      </c>
      <c r="AF3309" s="2">
        <f t="shared" si="463"/>
        <v>0</v>
      </c>
      <c r="AG3309" s="2">
        <v>8.77</v>
      </c>
      <c r="AJ3309" s="2">
        <f t="shared" si="464"/>
        <v>0</v>
      </c>
      <c r="AK3309" s="2">
        <f t="shared" si="468"/>
        <v>9.64</v>
      </c>
      <c r="AL3309" s="5">
        <f t="shared" si="469"/>
        <v>0.52362846279196096</v>
      </c>
    </row>
    <row r="3310" spans="1:38" x14ac:dyDescent="0.2">
      <c r="A3310" s="2">
        <v>2026</v>
      </c>
      <c r="B3310" s="2">
        <v>2</v>
      </c>
      <c r="D3310" s="2" t="s">
        <v>741</v>
      </c>
      <c r="P3310" s="2" t="s">
        <v>114</v>
      </c>
      <c r="Q3310" s="2" t="s">
        <v>978</v>
      </c>
      <c r="R3310" s="2" t="s">
        <v>979</v>
      </c>
      <c r="S3310" s="2">
        <v>1</v>
      </c>
      <c r="T3310" s="2">
        <v>79.819999999999993</v>
      </c>
      <c r="U3310" s="2">
        <v>18.358599999999999</v>
      </c>
      <c r="V3310" s="2">
        <v>98.178599999999989</v>
      </c>
      <c r="X3310" s="5">
        <f t="shared" si="467"/>
        <v>1</v>
      </c>
      <c r="Z3310" s="2" t="s">
        <v>117</v>
      </c>
      <c r="AF3310" s="2">
        <f t="shared" si="463"/>
        <v>0</v>
      </c>
      <c r="AJ3310" s="2">
        <f t="shared" si="464"/>
        <v>0</v>
      </c>
      <c r="AK3310" s="2">
        <f t="shared" si="468"/>
        <v>79.819999999999993</v>
      </c>
      <c r="AL3310" s="5">
        <f t="shared" si="469"/>
        <v>1</v>
      </c>
    </row>
    <row r="3311" spans="1:38" x14ac:dyDescent="0.2">
      <c r="A3311" s="2">
        <v>2026</v>
      </c>
      <c r="B3311" s="2">
        <v>2</v>
      </c>
      <c r="D3311" s="2" t="s">
        <v>617</v>
      </c>
      <c r="E3311" s="2" t="s">
        <v>38</v>
      </c>
      <c r="F3311" s="2" t="s">
        <v>39</v>
      </c>
      <c r="G3311" s="2">
        <v>513759654</v>
      </c>
      <c r="H3311" s="2" t="s">
        <v>41</v>
      </c>
      <c r="I3311" s="2" t="s">
        <v>618</v>
      </c>
      <c r="J3311" s="2" t="s">
        <v>619</v>
      </c>
      <c r="L3311" s="2" t="s">
        <v>418</v>
      </c>
      <c r="M3311" s="2" t="s">
        <v>41</v>
      </c>
      <c r="P3311" s="2" t="s">
        <v>114</v>
      </c>
      <c r="Q3311" s="2" t="s">
        <v>978</v>
      </c>
      <c r="R3311" s="2" t="s">
        <v>979</v>
      </c>
      <c r="S3311" s="2">
        <v>1</v>
      </c>
      <c r="T3311" s="2">
        <v>83.46</v>
      </c>
      <c r="U3311" s="2">
        <v>19.195799999999998</v>
      </c>
      <c r="V3311" s="2">
        <v>102.6558</v>
      </c>
      <c r="X3311" s="5">
        <f t="shared" si="467"/>
        <v>1</v>
      </c>
      <c r="Z3311" s="2" t="s">
        <v>117</v>
      </c>
      <c r="AF3311" s="2">
        <f t="shared" si="463"/>
        <v>0</v>
      </c>
      <c r="AJ3311" s="2">
        <f t="shared" si="464"/>
        <v>0</v>
      </c>
      <c r="AK3311" s="2">
        <f t="shared" si="468"/>
        <v>83.46</v>
      </c>
      <c r="AL3311" s="5">
        <f t="shared" si="469"/>
        <v>1</v>
      </c>
    </row>
    <row r="3312" spans="1:38" x14ac:dyDescent="0.2">
      <c r="A3312" s="2">
        <v>2026</v>
      </c>
      <c r="B3312" s="2">
        <v>2</v>
      </c>
      <c r="D3312" s="2" t="s">
        <v>643</v>
      </c>
      <c r="E3312" s="2" t="s">
        <v>108</v>
      </c>
      <c r="F3312" s="2" t="s">
        <v>477</v>
      </c>
      <c r="G3312" s="2">
        <v>509056946</v>
      </c>
      <c r="H3312" s="2" t="s">
        <v>109</v>
      </c>
      <c r="I3312" s="2" t="s">
        <v>644</v>
      </c>
      <c r="J3312" s="2" t="s">
        <v>645</v>
      </c>
      <c r="K3312" s="2">
        <v>964495536</v>
      </c>
      <c r="L3312" s="2" t="s">
        <v>112</v>
      </c>
      <c r="M3312" s="2" t="s">
        <v>40</v>
      </c>
      <c r="O3312" s="2" t="s">
        <v>2628</v>
      </c>
      <c r="P3312" s="2" t="s">
        <v>114</v>
      </c>
      <c r="Q3312" s="2" t="s">
        <v>978</v>
      </c>
      <c r="R3312" s="2" t="s">
        <v>979</v>
      </c>
      <c r="S3312" s="2">
        <v>1</v>
      </c>
      <c r="T3312" s="2">
        <v>83.46</v>
      </c>
      <c r="U3312" s="2">
        <v>19.195799999999998</v>
      </c>
      <c r="V3312" s="2">
        <v>102.6558</v>
      </c>
      <c r="X3312" s="5">
        <f t="shared" si="467"/>
        <v>1</v>
      </c>
      <c r="Z3312" s="2" t="s">
        <v>117</v>
      </c>
      <c r="AA3312" s="2" t="s">
        <v>118</v>
      </c>
      <c r="AB3312" s="2" t="s">
        <v>119</v>
      </c>
      <c r="AC3312" s="2" t="s">
        <v>114</v>
      </c>
      <c r="AF3312" s="2">
        <f t="shared" si="463"/>
        <v>0</v>
      </c>
      <c r="AJ3312" s="2">
        <f t="shared" si="464"/>
        <v>0</v>
      </c>
      <c r="AK3312" s="2">
        <f t="shared" si="468"/>
        <v>83.46</v>
      </c>
      <c r="AL3312" s="5">
        <f t="shared" si="469"/>
        <v>1</v>
      </c>
    </row>
    <row r="3313" spans="1:38" x14ac:dyDescent="0.2">
      <c r="A3313" s="2">
        <v>2026</v>
      </c>
      <c r="B3313" s="2">
        <v>2</v>
      </c>
      <c r="D3313" s="2" t="s">
        <v>906</v>
      </c>
      <c r="P3313" s="2" t="s">
        <v>114</v>
      </c>
      <c r="Q3313" s="2" t="s">
        <v>1471</v>
      </c>
      <c r="R3313" s="2" t="s">
        <v>1472</v>
      </c>
      <c r="S3313" s="2">
        <v>1</v>
      </c>
      <c r="T3313" s="2">
        <v>689.22</v>
      </c>
      <c r="U3313" s="2">
        <v>158.5206</v>
      </c>
      <c r="V3313" s="2">
        <v>847.74060000000009</v>
      </c>
      <c r="X3313" s="5">
        <f t="shared" si="467"/>
        <v>1</v>
      </c>
      <c r="Z3313" s="2" t="s">
        <v>117</v>
      </c>
      <c r="AF3313" s="2">
        <f t="shared" si="463"/>
        <v>0</v>
      </c>
      <c r="AJ3313" s="2">
        <f t="shared" si="464"/>
        <v>0</v>
      </c>
      <c r="AK3313" s="2">
        <f t="shared" si="468"/>
        <v>689.22</v>
      </c>
      <c r="AL3313" s="5">
        <f t="shared" si="469"/>
        <v>1</v>
      </c>
    </row>
    <row r="3314" spans="1:38" x14ac:dyDescent="0.2">
      <c r="A3314" s="2">
        <v>2026</v>
      </c>
      <c r="B3314" s="2">
        <v>2</v>
      </c>
      <c r="D3314" s="2" t="s">
        <v>2624</v>
      </c>
      <c r="P3314" s="2" t="s">
        <v>114</v>
      </c>
      <c r="Q3314" s="2" t="s">
        <v>1471</v>
      </c>
      <c r="R3314" s="2" t="s">
        <v>1472</v>
      </c>
      <c r="S3314" s="2">
        <v>1</v>
      </c>
      <c r="T3314" s="2">
        <v>699.3</v>
      </c>
      <c r="U3314" s="2">
        <v>160.839</v>
      </c>
      <c r="V3314" s="2">
        <v>860.1389999999999</v>
      </c>
      <c r="X3314" s="5">
        <f t="shared" si="467"/>
        <v>1</v>
      </c>
      <c r="Z3314" s="2" t="s">
        <v>117</v>
      </c>
      <c r="AF3314" s="2">
        <f t="shared" si="463"/>
        <v>0</v>
      </c>
      <c r="AJ3314" s="2">
        <f t="shared" si="464"/>
        <v>0</v>
      </c>
      <c r="AK3314" s="2">
        <f t="shared" si="468"/>
        <v>699.3</v>
      </c>
      <c r="AL3314" s="5">
        <f t="shared" si="469"/>
        <v>1</v>
      </c>
    </row>
    <row r="3315" spans="1:38" x14ac:dyDescent="0.2">
      <c r="A3315" s="2">
        <v>2026</v>
      </c>
      <c r="B3315" s="2">
        <v>2</v>
      </c>
      <c r="D3315" s="2" t="s">
        <v>2629</v>
      </c>
      <c r="P3315" s="2" t="s">
        <v>114</v>
      </c>
      <c r="Q3315" s="2" t="s">
        <v>2114</v>
      </c>
      <c r="R3315" s="2" t="s">
        <v>2115</v>
      </c>
      <c r="S3315" s="2">
        <v>1</v>
      </c>
      <c r="T3315" s="2">
        <v>698.4</v>
      </c>
      <c r="U3315" s="2">
        <v>160.63200000000001</v>
      </c>
      <c r="V3315" s="2">
        <v>859.03199999999993</v>
      </c>
      <c r="X3315" s="5">
        <f t="shared" si="467"/>
        <v>1</v>
      </c>
      <c r="Z3315" s="2" t="s">
        <v>117</v>
      </c>
      <c r="AF3315" s="2">
        <f t="shared" si="463"/>
        <v>0</v>
      </c>
      <c r="AJ3315" s="2">
        <f t="shared" si="464"/>
        <v>0</v>
      </c>
      <c r="AK3315" s="2">
        <f t="shared" si="468"/>
        <v>698.4</v>
      </c>
      <c r="AL3315" s="5">
        <f t="shared" si="469"/>
        <v>1</v>
      </c>
    </row>
    <row r="3316" spans="1:38" x14ac:dyDescent="0.2">
      <c r="A3316" s="2">
        <v>2026</v>
      </c>
      <c r="B3316" s="2">
        <v>2</v>
      </c>
      <c r="D3316" s="2" t="s">
        <v>1590</v>
      </c>
      <c r="M3316" s="2" t="s">
        <v>41</v>
      </c>
      <c r="P3316" s="2" t="s">
        <v>114</v>
      </c>
      <c r="Q3316" s="2" t="s">
        <v>2630</v>
      </c>
      <c r="R3316" s="2" t="s">
        <v>2631</v>
      </c>
      <c r="S3316" s="2">
        <v>1</v>
      </c>
      <c r="T3316" s="2">
        <v>136.22999999999999</v>
      </c>
      <c r="U3316" s="2">
        <v>31.332899999999999</v>
      </c>
      <c r="V3316" s="2">
        <v>167.56290000000001</v>
      </c>
      <c r="X3316" s="5">
        <f t="shared" si="467"/>
        <v>1</v>
      </c>
      <c r="Z3316" s="2" t="s">
        <v>117</v>
      </c>
      <c r="AF3316" s="2">
        <f t="shared" si="463"/>
        <v>0</v>
      </c>
      <c r="AJ3316" s="2">
        <f t="shared" si="464"/>
        <v>0</v>
      </c>
      <c r="AK3316" s="2">
        <f t="shared" si="468"/>
        <v>136.22999999999999</v>
      </c>
      <c r="AL3316" s="5">
        <f t="shared" si="469"/>
        <v>1</v>
      </c>
    </row>
    <row r="3317" spans="1:38" x14ac:dyDescent="0.2">
      <c r="A3317" s="2">
        <v>2026</v>
      </c>
      <c r="B3317" s="2">
        <v>2</v>
      </c>
      <c r="D3317" s="2" t="s">
        <v>97</v>
      </c>
      <c r="E3317" s="2" t="s">
        <v>98</v>
      </c>
      <c r="F3317" s="2" t="s">
        <v>39</v>
      </c>
      <c r="G3317" s="2">
        <v>517450925</v>
      </c>
      <c r="H3317" s="2" t="s">
        <v>40</v>
      </c>
      <c r="I3317" s="2" t="s">
        <v>99</v>
      </c>
      <c r="J3317" s="2" t="s">
        <v>100</v>
      </c>
      <c r="L3317" s="2" t="s">
        <v>99</v>
      </c>
      <c r="M3317" s="2" t="s">
        <v>40</v>
      </c>
      <c r="P3317" s="2" t="s">
        <v>114</v>
      </c>
      <c r="Q3317" s="2" t="s">
        <v>1183</v>
      </c>
      <c r="R3317" s="2" t="s">
        <v>1184</v>
      </c>
      <c r="S3317" s="2">
        <v>-1</v>
      </c>
      <c r="T3317" s="2">
        <v>-8130.08</v>
      </c>
      <c r="U3317" s="2">
        <v>-1869.9184</v>
      </c>
      <c r="V3317" s="2">
        <v>-9999.9984000000004</v>
      </c>
      <c r="W3317" s="2">
        <v>7437.5950000000003</v>
      </c>
      <c r="X3317" s="5">
        <f>SIGN(T3317)*((ABS(T3317)-W3317)/ABS(T3317))</f>
        <v>-8.5175668628106938E-2</v>
      </c>
      <c r="Z3317" s="2" t="s">
        <v>104</v>
      </c>
      <c r="AA3317" s="2" t="s">
        <v>414</v>
      </c>
      <c r="AB3317" s="2" t="s">
        <v>151</v>
      </c>
      <c r="AC3317" s="2" t="s">
        <v>114</v>
      </c>
      <c r="AF3317" s="2">
        <f t="shared" si="463"/>
        <v>0</v>
      </c>
      <c r="AG3317" s="2">
        <v>7437.5950000000003</v>
      </c>
      <c r="AJ3317" s="2">
        <f t="shared" si="464"/>
        <v>0</v>
      </c>
      <c r="AK3317" s="2">
        <f>W3317+(T3317)</f>
        <v>-692.48499999999967</v>
      </c>
      <c r="AL3317" s="5">
        <f>SIGN(T3317)*((ABS(T3317)-W3317)/ABS(T3317))</f>
        <v>-8.5175668628106938E-2</v>
      </c>
    </row>
    <row r="3318" spans="1:38" x14ac:dyDescent="0.2">
      <c r="A3318" s="2">
        <v>2026</v>
      </c>
      <c r="B3318" s="2">
        <v>3</v>
      </c>
      <c r="C3318" s="2" t="s">
        <v>3421</v>
      </c>
      <c r="D3318" s="2" t="s">
        <v>2629</v>
      </c>
      <c r="E3318" s="2" t="s">
        <v>38</v>
      </c>
      <c r="F3318" s="2" t="s">
        <v>39</v>
      </c>
      <c r="M3318" s="2" t="s">
        <v>41</v>
      </c>
      <c r="P3318" s="2" t="s">
        <v>114</v>
      </c>
      <c r="Q3318" s="2" t="s">
        <v>1183</v>
      </c>
      <c r="R3318" s="2" t="s">
        <v>1184</v>
      </c>
      <c r="S3318" s="2">
        <v>1</v>
      </c>
      <c r="T3318" s="2">
        <v>12299.6</v>
      </c>
      <c r="U3318" s="2">
        <v>2828.9079999999999</v>
      </c>
      <c r="V3318" s="2">
        <v>15128.508</v>
      </c>
      <c r="W3318" s="2">
        <v>7437.5950000000003</v>
      </c>
      <c r="X3318" s="5">
        <f>(T3318-W3318)/T3318</f>
        <v>0.39529781456307522</v>
      </c>
      <c r="Z3318" s="2" t="s">
        <v>104</v>
      </c>
      <c r="AA3318" s="2" t="s">
        <v>414</v>
      </c>
      <c r="AB3318" s="2" t="s">
        <v>151</v>
      </c>
      <c r="AC3318" s="2" t="s">
        <v>114</v>
      </c>
      <c r="AF3318" s="2">
        <f t="shared" si="463"/>
        <v>0</v>
      </c>
      <c r="AG3318" s="2">
        <v>7437.5950000000003</v>
      </c>
      <c r="AJ3318" s="2">
        <f t="shared" si="464"/>
        <v>0</v>
      </c>
      <c r="AK3318" s="2">
        <f t="shared" ref="AK3318:AK3349" si="470">T3318-W3318</f>
        <v>4862.0050000000001</v>
      </c>
      <c r="AL3318" s="5">
        <f t="shared" ref="AL3318:AL3328" si="471">(T3318-W3318)/T3318</f>
        <v>0.39529781456307522</v>
      </c>
    </row>
    <row r="3319" spans="1:38" x14ac:dyDescent="0.2">
      <c r="A3319" s="2">
        <v>2026</v>
      </c>
      <c r="B3319" s="2">
        <v>3</v>
      </c>
      <c r="C3319" s="2" t="s">
        <v>3421</v>
      </c>
      <c r="D3319" s="2" t="s">
        <v>2632</v>
      </c>
      <c r="E3319" s="2" t="s">
        <v>38</v>
      </c>
      <c r="G3319" s="2">
        <v>508857562</v>
      </c>
      <c r="H3319" s="2" t="s">
        <v>109</v>
      </c>
      <c r="I3319" s="2" t="s">
        <v>2633</v>
      </c>
      <c r="J3319" s="2" t="s">
        <v>2634</v>
      </c>
      <c r="L3319" s="2" t="s">
        <v>461</v>
      </c>
      <c r="M3319" s="2" t="s">
        <v>109</v>
      </c>
      <c r="P3319" s="2" t="s">
        <v>114</v>
      </c>
      <c r="Q3319" s="2" t="s">
        <v>412</v>
      </c>
      <c r="R3319" s="2" t="s">
        <v>413</v>
      </c>
      <c r="S3319" s="2">
        <v>1</v>
      </c>
      <c r="T3319" s="2">
        <v>14990</v>
      </c>
      <c r="U3319" s="2">
        <v>3447.7</v>
      </c>
      <c r="V3319" s="2">
        <v>18437.7</v>
      </c>
      <c r="W3319" s="2">
        <v>10669.4</v>
      </c>
      <c r="X3319" s="5">
        <f>(T3319-W3319)/T3319</f>
        <v>0.28823215476984659</v>
      </c>
      <c r="Z3319" s="2" t="s">
        <v>104</v>
      </c>
      <c r="AA3319" s="2" t="s">
        <v>414</v>
      </c>
      <c r="AB3319" s="2" t="s">
        <v>151</v>
      </c>
      <c r="AC3319" s="2" t="s">
        <v>114</v>
      </c>
      <c r="AF3319" s="2">
        <f t="shared" si="463"/>
        <v>0</v>
      </c>
      <c r="AJ3319" s="2">
        <f t="shared" si="464"/>
        <v>0</v>
      </c>
      <c r="AK3319" s="2">
        <f t="shared" si="470"/>
        <v>4320.6000000000004</v>
      </c>
      <c r="AL3319" s="5">
        <f t="shared" si="471"/>
        <v>0.28823215476984659</v>
      </c>
    </row>
    <row r="3320" spans="1:38" x14ac:dyDescent="0.2">
      <c r="A3320" s="2">
        <v>2026</v>
      </c>
      <c r="B3320" s="2">
        <v>3</v>
      </c>
      <c r="D3320" s="2" t="s">
        <v>1884</v>
      </c>
      <c r="M3320" s="2" t="s">
        <v>290</v>
      </c>
      <c r="O3320" s="2" t="s">
        <v>2635</v>
      </c>
      <c r="P3320" s="2" t="s">
        <v>2636</v>
      </c>
      <c r="Q3320" s="2" t="s">
        <v>2637</v>
      </c>
      <c r="R3320" s="2" t="s">
        <v>2638</v>
      </c>
      <c r="S3320" s="2">
        <v>1</v>
      </c>
      <c r="T3320" s="2">
        <v>369</v>
      </c>
      <c r="U3320" s="2">
        <v>84.87</v>
      </c>
      <c r="V3320" s="2">
        <v>453.87</v>
      </c>
      <c r="W3320" s="2">
        <v>299</v>
      </c>
      <c r="X3320" s="5">
        <f>(T3320-W3320)/T3320</f>
        <v>0.18970189701897019</v>
      </c>
      <c r="Z3320" s="2" t="s">
        <v>3227</v>
      </c>
      <c r="AA3320" s="2" t="s">
        <v>71</v>
      </c>
      <c r="AB3320" s="2" t="s">
        <v>119</v>
      </c>
      <c r="AC3320" s="2" t="s">
        <v>2636</v>
      </c>
      <c r="AF3320" s="2">
        <f t="shared" si="463"/>
        <v>0</v>
      </c>
      <c r="AG3320" s="2">
        <v>299</v>
      </c>
      <c r="AJ3320" s="2">
        <f t="shared" si="464"/>
        <v>0</v>
      </c>
      <c r="AK3320" s="2">
        <f t="shared" si="470"/>
        <v>70</v>
      </c>
      <c r="AL3320" s="5">
        <f t="shared" si="471"/>
        <v>0.18970189701897019</v>
      </c>
    </row>
    <row r="3321" spans="1:38" x14ac:dyDescent="0.2">
      <c r="A3321" s="2">
        <v>2026</v>
      </c>
      <c r="B3321" s="2">
        <v>3</v>
      </c>
      <c r="D3321" s="2" t="s">
        <v>2516</v>
      </c>
      <c r="E3321" s="2" t="s">
        <v>752</v>
      </c>
      <c r="F3321" s="2" t="s">
        <v>39</v>
      </c>
      <c r="G3321" s="2">
        <v>515570354</v>
      </c>
      <c r="H3321" s="2" t="s">
        <v>109</v>
      </c>
      <c r="I3321" s="2" t="s">
        <v>2517</v>
      </c>
      <c r="J3321" s="2" t="s">
        <v>2518</v>
      </c>
      <c r="K3321" s="2">
        <v>967032538</v>
      </c>
      <c r="L3321" s="2" t="s">
        <v>398</v>
      </c>
      <c r="M3321" s="2" t="s">
        <v>109</v>
      </c>
      <c r="O3321" s="2" t="s">
        <v>2639</v>
      </c>
      <c r="P3321" s="2" t="s">
        <v>282</v>
      </c>
      <c r="Q3321" s="2" t="s">
        <v>1205</v>
      </c>
      <c r="R3321" s="2" t="s">
        <v>1206</v>
      </c>
      <c r="S3321" s="2">
        <v>1</v>
      </c>
      <c r="T3321" s="2">
        <v>23.9</v>
      </c>
      <c r="U3321" s="2">
        <v>5.4969999999999999</v>
      </c>
      <c r="V3321" s="2">
        <v>29.396999999999998</v>
      </c>
      <c r="W3321" s="2">
        <v>14.34</v>
      </c>
      <c r="X3321" s="5">
        <f>(T3321-W3321)/T3321</f>
        <v>0.39999999999999997</v>
      </c>
      <c r="Z3321" s="2" t="s">
        <v>3227</v>
      </c>
      <c r="AA3321" s="2" t="s">
        <v>71</v>
      </c>
      <c r="AB3321" s="2" t="s">
        <v>119</v>
      </c>
      <c r="AC3321" s="2" t="s">
        <v>119</v>
      </c>
      <c r="AF3321" s="2">
        <f t="shared" si="463"/>
        <v>0</v>
      </c>
      <c r="AG3321" s="2">
        <v>14.34</v>
      </c>
      <c r="AJ3321" s="2">
        <f t="shared" si="464"/>
        <v>0</v>
      </c>
      <c r="AK3321" s="2">
        <f t="shared" si="470"/>
        <v>9.5599999999999987</v>
      </c>
      <c r="AL3321" s="5">
        <f t="shared" si="471"/>
        <v>0.39999999999999997</v>
      </c>
    </row>
    <row r="3322" spans="1:38" x14ac:dyDescent="0.2">
      <c r="A3322" s="2">
        <v>2026</v>
      </c>
      <c r="B3322" s="2">
        <v>3</v>
      </c>
      <c r="D3322" s="2" t="s">
        <v>2640</v>
      </c>
      <c r="P3322" s="2" t="s">
        <v>282</v>
      </c>
      <c r="Q3322" s="2" t="s">
        <v>1662</v>
      </c>
      <c r="R3322" s="2" t="s">
        <v>1663</v>
      </c>
      <c r="S3322" s="2">
        <v>1</v>
      </c>
      <c r="T3322" s="2">
        <v>4900</v>
      </c>
      <c r="U3322" s="2">
        <v>1127</v>
      </c>
      <c r="V3322" s="2">
        <v>6027</v>
      </c>
      <c r="W3322" s="2">
        <v>3290</v>
      </c>
      <c r="X3322" s="5">
        <f>(T3322-W3322)/T3322</f>
        <v>0.32857142857142857</v>
      </c>
      <c r="Z3322" s="2" t="s">
        <v>104</v>
      </c>
      <c r="AA3322" s="2" t="s">
        <v>387</v>
      </c>
      <c r="AB3322" s="2" t="s">
        <v>2641</v>
      </c>
      <c r="AC3322" s="2" t="s">
        <v>1327</v>
      </c>
      <c r="AF3322" s="2">
        <f t="shared" si="463"/>
        <v>0</v>
      </c>
      <c r="AJ3322" s="2">
        <f t="shared" si="464"/>
        <v>0</v>
      </c>
      <c r="AK3322" s="2">
        <f t="shared" si="470"/>
        <v>1610</v>
      </c>
      <c r="AL3322" s="5">
        <f t="shared" si="471"/>
        <v>0.32857142857142857</v>
      </c>
    </row>
    <row r="3323" spans="1:38" x14ac:dyDescent="0.2">
      <c r="A3323" s="2">
        <v>2026</v>
      </c>
      <c r="B3323" s="2">
        <v>3</v>
      </c>
      <c r="D3323" s="2" t="s">
        <v>2640</v>
      </c>
      <c r="P3323" s="2" t="s">
        <v>282</v>
      </c>
      <c r="Q3323" s="2" t="s">
        <v>1664</v>
      </c>
      <c r="R3323" s="2" t="s">
        <v>1665</v>
      </c>
      <c r="S3323" s="2">
        <v>1</v>
      </c>
      <c r="T3323" s="2">
        <v>0</v>
      </c>
      <c r="U3323" s="2">
        <v>0</v>
      </c>
      <c r="V3323" s="2">
        <v>0</v>
      </c>
      <c r="W3323" s="2">
        <v>0</v>
      </c>
      <c r="X3323" s="5">
        <v>0</v>
      </c>
      <c r="Z3323" s="2" t="s">
        <v>104</v>
      </c>
      <c r="AA3323" s="2" t="s">
        <v>387</v>
      </c>
      <c r="AB3323" s="2" t="s">
        <v>2641</v>
      </c>
      <c r="AC3323" s="2" t="s">
        <v>1327</v>
      </c>
      <c r="AF3323" s="2">
        <f t="shared" si="463"/>
        <v>0</v>
      </c>
      <c r="AJ3323" s="2">
        <f t="shared" si="464"/>
        <v>0</v>
      </c>
      <c r="AK3323" s="2">
        <f t="shared" si="470"/>
        <v>0</v>
      </c>
      <c r="AL3323" s="5" t="e">
        <f t="shared" si="471"/>
        <v>#DIV/0!</v>
      </c>
    </row>
    <row r="3324" spans="1:38" x14ac:dyDescent="0.2">
      <c r="A3324" s="2">
        <v>2026</v>
      </c>
      <c r="B3324" s="2">
        <v>3</v>
      </c>
      <c r="D3324" s="2" t="s">
        <v>2642</v>
      </c>
      <c r="E3324" s="2" t="s">
        <v>38</v>
      </c>
      <c r="G3324" s="2">
        <v>506820378</v>
      </c>
      <c r="H3324" s="2" t="s">
        <v>41</v>
      </c>
      <c r="I3324" s="2" t="s">
        <v>2643</v>
      </c>
      <c r="J3324" s="2" t="s">
        <v>2644</v>
      </c>
      <c r="L3324" s="2" t="s">
        <v>418</v>
      </c>
      <c r="M3324" s="2" t="s">
        <v>41</v>
      </c>
      <c r="O3324" s="2" t="s">
        <v>2645</v>
      </c>
      <c r="P3324" s="2" t="s">
        <v>282</v>
      </c>
      <c r="Q3324" s="2" t="s">
        <v>1779</v>
      </c>
      <c r="R3324" s="2" t="s">
        <v>1780</v>
      </c>
      <c r="S3324" s="2">
        <v>1</v>
      </c>
      <c r="T3324" s="2">
        <v>1990</v>
      </c>
      <c r="U3324" s="2">
        <v>457.7</v>
      </c>
      <c r="V3324" s="2">
        <v>2447.6999999999998</v>
      </c>
      <c r="W3324" s="2">
        <v>1458</v>
      </c>
      <c r="X3324" s="5">
        <f>(T3324-W3324)/T3324</f>
        <v>0.26733668341708544</v>
      </c>
      <c r="Z3324" s="2" t="s">
        <v>104</v>
      </c>
      <c r="AA3324" s="2" t="s">
        <v>387</v>
      </c>
      <c r="AB3324" s="2" t="s">
        <v>1330</v>
      </c>
      <c r="AC3324" s="2" t="s">
        <v>1327</v>
      </c>
      <c r="AF3324" s="2">
        <f t="shared" si="463"/>
        <v>0</v>
      </c>
      <c r="AG3324" s="2">
        <v>1458</v>
      </c>
      <c r="AJ3324" s="2">
        <f t="shared" si="464"/>
        <v>0</v>
      </c>
      <c r="AK3324" s="2">
        <f t="shared" si="470"/>
        <v>532</v>
      </c>
      <c r="AL3324" s="5">
        <f t="shared" si="471"/>
        <v>0.26733668341708544</v>
      </c>
    </row>
    <row r="3325" spans="1:38" x14ac:dyDescent="0.2">
      <c r="A3325" s="2">
        <v>2026</v>
      </c>
      <c r="B3325" s="2">
        <v>3</v>
      </c>
      <c r="D3325" s="2" t="s">
        <v>3258</v>
      </c>
      <c r="E3325" s="2" t="s">
        <v>38</v>
      </c>
      <c r="G3325" s="2">
        <v>500844321</v>
      </c>
      <c r="H3325" s="2" t="s">
        <v>40</v>
      </c>
      <c r="I3325" s="2" t="s">
        <v>339</v>
      </c>
      <c r="J3325" s="2" t="s">
        <v>2646</v>
      </c>
      <c r="L3325" s="2" t="s">
        <v>418</v>
      </c>
      <c r="M3325" s="2" t="s">
        <v>41</v>
      </c>
      <c r="O3325" s="2" t="s">
        <v>3257</v>
      </c>
      <c r="P3325" s="2" t="s">
        <v>282</v>
      </c>
      <c r="Q3325" s="2" t="s">
        <v>2647</v>
      </c>
      <c r="R3325" s="2" t="s">
        <v>2648</v>
      </c>
      <c r="S3325" s="2">
        <v>1</v>
      </c>
      <c r="T3325" s="2">
        <v>0</v>
      </c>
      <c r="U3325" s="2">
        <v>0</v>
      </c>
      <c r="V3325" s="2">
        <v>0</v>
      </c>
      <c r="W3325" s="2">
        <v>0</v>
      </c>
      <c r="X3325" s="5">
        <v>0</v>
      </c>
      <c r="Z3325" s="2" t="s">
        <v>104</v>
      </c>
      <c r="AA3325" s="2" t="s">
        <v>1574</v>
      </c>
      <c r="AB3325" s="2" t="s">
        <v>388</v>
      </c>
      <c r="AC3325" s="2" t="s">
        <v>1327</v>
      </c>
      <c r="AF3325" s="2">
        <f t="shared" si="463"/>
        <v>0</v>
      </c>
      <c r="AJ3325" s="2">
        <f t="shared" si="464"/>
        <v>0</v>
      </c>
      <c r="AK3325" s="2">
        <f t="shared" si="470"/>
        <v>0</v>
      </c>
      <c r="AL3325" s="5" t="e">
        <f t="shared" si="471"/>
        <v>#DIV/0!</v>
      </c>
    </row>
    <row r="3326" spans="1:38" x14ac:dyDescent="0.2">
      <c r="A3326" s="2">
        <v>2026</v>
      </c>
      <c r="B3326" s="2">
        <v>3</v>
      </c>
      <c r="D3326" s="2" t="s">
        <v>3258</v>
      </c>
      <c r="E3326" s="2" t="s">
        <v>38</v>
      </c>
      <c r="G3326" s="2">
        <v>500844321</v>
      </c>
      <c r="H3326" s="2" t="s">
        <v>40</v>
      </c>
      <c r="I3326" s="2" t="s">
        <v>339</v>
      </c>
      <c r="J3326" s="2" t="s">
        <v>2646</v>
      </c>
      <c r="L3326" s="2" t="s">
        <v>418</v>
      </c>
      <c r="M3326" s="2" t="s">
        <v>41</v>
      </c>
      <c r="O3326" s="2" t="s">
        <v>3257</v>
      </c>
      <c r="P3326" s="2" t="s">
        <v>282</v>
      </c>
      <c r="Q3326" s="2" t="s">
        <v>2649</v>
      </c>
      <c r="R3326" s="2" t="s">
        <v>2650</v>
      </c>
      <c r="S3326" s="2">
        <v>1</v>
      </c>
      <c r="T3326" s="2">
        <v>12500</v>
      </c>
      <c r="U3326" s="2">
        <v>2875</v>
      </c>
      <c r="V3326" s="2">
        <v>15375</v>
      </c>
      <c r="W3326" s="2">
        <v>10257</v>
      </c>
      <c r="X3326" s="5">
        <f>(T3326-W3326)/T3326</f>
        <v>0.17943999999999999</v>
      </c>
      <c r="Z3326" s="2" t="s">
        <v>104</v>
      </c>
      <c r="AA3326" s="2" t="s">
        <v>1574</v>
      </c>
      <c r="AB3326" s="2" t="s">
        <v>388</v>
      </c>
      <c r="AC3326" s="2" t="s">
        <v>1327</v>
      </c>
      <c r="AF3326" s="2">
        <f t="shared" si="463"/>
        <v>0</v>
      </c>
      <c r="AG3326" s="2">
        <v>10257</v>
      </c>
      <c r="AJ3326" s="2">
        <f t="shared" si="464"/>
        <v>0</v>
      </c>
      <c r="AK3326" s="2">
        <f t="shared" si="470"/>
        <v>2243</v>
      </c>
      <c r="AL3326" s="5">
        <f t="shared" si="471"/>
        <v>0.17943999999999999</v>
      </c>
    </row>
    <row r="3327" spans="1:38" x14ac:dyDescent="0.2">
      <c r="A3327" s="2">
        <v>2026</v>
      </c>
      <c r="B3327" s="2">
        <v>3</v>
      </c>
      <c r="D3327" s="2" t="s">
        <v>3258</v>
      </c>
      <c r="E3327" s="2" t="s">
        <v>38</v>
      </c>
      <c r="G3327" s="2">
        <v>500844321</v>
      </c>
      <c r="H3327" s="2" t="s">
        <v>40</v>
      </c>
      <c r="I3327" s="2" t="s">
        <v>339</v>
      </c>
      <c r="J3327" s="2" t="s">
        <v>2646</v>
      </c>
      <c r="L3327" s="2" t="s">
        <v>418</v>
      </c>
      <c r="M3327" s="2" t="s">
        <v>41</v>
      </c>
      <c r="O3327" s="2" t="s">
        <v>3257</v>
      </c>
      <c r="P3327" s="2" t="s">
        <v>282</v>
      </c>
      <c r="Q3327" s="2" t="s">
        <v>2651</v>
      </c>
      <c r="R3327" s="2" t="s">
        <v>2652</v>
      </c>
      <c r="S3327" s="2">
        <v>1</v>
      </c>
      <c r="T3327" s="2">
        <v>0</v>
      </c>
      <c r="U3327" s="2">
        <v>0</v>
      </c>
      <c r="V3327" s="2">
        <v>0</v>
      </c>
      <c r="W3327" s="2">
        <v>0</v>
      </c>
      <c r="X3327" s="5">
        <v>0</v>
      </c>
      <c r="Z3327" s="2" t="s">
        <v>104</v>
      </c>
      <c r="AA3327" s="2" t="s">
        <v>1574</v>
      </c>
      <c r="AB3327" s="2" t="s">
        <v>388</v>
      </c>
      <c r="AC3327" s="2" t="s">
        <v>1327</v>
      </c>
      <c r="AF3327" s="2">
        <f t="shared" si="463"/>
        <v>0</v>
      </c>
      <c r="AJ3327" s="2">
        <f t="shared" si="464"/>
        <v>0</v>
      </c>
      <c r="AK3327" s="2">
        <f t="shared" si="470"/>
        <v>0</v>
      </c>
      <c r="AL3327" s="5" t="e">
        <f t="shared" si="471"/>
        <v>#DIV/0!</v>
      </c>
    </row>
    <row r="3328" spans="1:38" x14ac:dyDescent="0.2">
      <c r="A3328" s="2">
        <v>2026</v>
      </c>
      <c r="B3328" s="2">
        <v>3</v>
      </c>
      <c r="C3328" s="2" t="s">
        <v>3421</v>
      </c>
      <c r="D3328" s="2" t="s">
        <v>3418</v>
      </c>
      <c r="E3328" s="2" t="s">
        <v>3419</v>
      </c>
      <c r="F3328" s="2" t="s">
        <v>3420</v>
      </c>
      <c r="L3328" s="2" t="s">
        <v>293</v>
      </c>
      <c r="M3328" s="2" t="s">
        <v>290</v>
      </c>
      <c r="O3328" s="2" t="s">
        <v>2653</v>
      </c>
      <c r="P3328" s="2" t="s">
        <v>282</v>
      </c>
      <c r="Q3328" s="2" t="s">
        <v>1282</v>
      </c>
      <c r="R3328" s="2" t="s">
        <v>1283</v>
      </c>
      <c r="S3328" s="2">
        <v>1</v>
      </c>
      <c r="T3328" s="2">
        <v>1500</v>
      </c>
      <c r="U3328" s="2">
        <v>345</v>
      </c>
      <c r="V3328" s="2">
        <v>1845</v>
      </c>
      <c r="W3328" s="2">
        <v>1389</v>
      </c>
      <c r="X3328" s="5">
        <f>(T3328-W3328)/T3328</f>
        <v>7.3999999999999996E-2</v>
      </c>
      <c r="Z3328" s="2" t="s">
        <v>104</v>
      </c>
      <c r="AA3328" s="2" t="s">
        <v>1574</v>
      </c>
      <c r="AB3328" s="2" t="s">
        <v>388</v>
      </c>
      <c r="AC3328" s="2" t="s">
        <v>1327</v>
      </c>
      <c r="AF3328" s="2">
        <f t="shared" si="463"/>
        <v>0</v>
      </c>
      <c r="AG3328" s="2">
        <v>1389</v>
      </c>
      <c r="AJ3328" s="2">
        <f t="shared" si="464"/>
        <v>0</v>
      </c>
      <c r="AK3328" s="2">
        <f t="shared" si="470"/>
        <v>111</v>
      </c>
      <c r="AL3328" s="5">
        <f t="shared" si="471"/>
        <v>7.3999999999999996E-2</v>
      </c>
    </row>
    <row r="3329" spans="1:38" x14ac:dyDescent="0.2">
      <c r="A3329" s="2">
        <v>2026</v>
      </c>
      <c r="B3329" s="2">
        <v>3</v>
      </c>
      <c r="C3329" s="2" t="s">
        <v>3421</v>
      </c>
      <c r="D3329" s="2" t="s">
        <v>3418</v>
      </c>
      <c r="E3329" s="2" t="s">
        <v>3419</v>
      </c>
      <c r="F3329" s="2" t="s">
        <v>3420</v>
      </c>
      <c r="L3329" s="2" t="s">
        <v>293</v>
      </c>
      <c r="M3329" s="2" t="s">
        <v>290</v>
      </c>
      <c r="O3329" s="2" t="s">
        <v>2653</v>
      </c>
      <c r="P3329" s="2" t="s">
        <v>282</v>
      </c>
      <c r="Q3329" s="2" t="s">
        <v>1284</v>
      </c>
      <c r="R3329" s="2" t="s">
        <v>1285</v>
      </c>
      <c r="S3329" s="2">
        <v>1</v>
      </c>
      <c r="T3329" s="2">
        <v>0</v>
      </c>
      <c r="U3329" s="2">
        <v>0</v>
      </c>
      <c r="V3329" s="2">
        <v>0</v>
      </c>
      <c r="W3329" s="2">
        <v>0</v>
      </c>
      <c r="X3329" s="5">
        <v>0</v>
      </c>
      <c r="Z3329" s="2" t="s">
        <v>117</v>
      </c>
      <c r="AA3329" s="2" t="s">
        <v>181</v>
      </c>
      <c r="AB3329" s="2" t="s">
        <v>3381</v>
      </c>
      <c r="AC3329" s="2" t="s">
        <v>1327</v>
      </c>
      <c r="AF3329" s="2">
        <f t="shared" si="463"/>
        <v>0</v>
      </c>
      <c r="AJ3329" s="2">
        <f t="shared" si="464"/>
        <v>0</v>
      </c>
      <c r="AK3329" s="2">
        <f t="shared" si="470"/>
        <v>0</v>
      </c>
      <c r="AL3329" s="5">
        <v>0</v>
      </c>
    </row>
    <row r="3330" spans="1:38" x14ac:dyDescent="0.2">
      <c r="A3330" s="2">
        <v>2026</v>
      </c>
      <c r="B3330" s="2">
        <v>3</v>
      </c>
      <c r="C3330" s="2" t="s">
        <v>3421</v>
      </c>
      <c r="D3330" s="2" t="s">
        <v>3418</v>
      </c>
      <c r="E3330" s="2" t="s">
        <v>3419</v>
      </c>
      <c r="F3330" s="2" t="s">
        <v>3420</v>
      </c>
      <c r="L3330" s="2" t="s">
        <v>293</v>
      </c>
      <c r="M3330" s="2" t="s">
        <v>290</v>
      </c>
      <c r="O3330" s="2" t="s">
        <v>2653</v>
      </c>
      <c r="P3330" s="2" t="s">
        <v>282</v>
      </c>
      <c r="Q3330" s="2" t="s">
        <v>1154</v>
      </c>
      <c r="R3330" s="2" t="s">
        <v>1155</v>
      </c>
      <c r="S3330" s="2">
        <v>1</v>
      </c>
      <c r="T3330" s="2">
        <v>2990</v>
      </c>
      <c r="U3330" s="2">
        <v>687.7</v>
      </c>
      <c r="V3330" s="2">
        <v>3677.7</v>
      </c>
      <c r="W3330" s="2">
        <v>2190</v>
      </c>
      <c r="X3330" s="5">
        <f>(T3330-W3330)/T3330</f>
        <v>0.26755852842809363</v>
      </c>
      <c r="Z3330" s="2" t="s">
        <v>104</v>
      </c>
      <c r="AA3330" s="2" t="s">
        <v>1574</v>
      </c>
      <c r="AB3330" s="2" t="s">
        <v>388</v>
      </c>
      <c r="AC3330" s="2" t="s">
        <v>1327</v>
      </c>
      <c r="AF3330" s="2">
        <f t="shared" ref="AF3330:AF3393" si="472">AJ3330</f>
        <v>0</v>
      </c>
      <c r="AG3330" s="2">
        <v>2189</v>
      </c>
      <c r="AJ3330" s="2">
        <f t="shared" ref="AJ3330:AJ3393" si="473">AI3330*T3330</f>
        <v>0</v>
      </c>
      <c r="AK3330" s="2">
        <f t="shared" si="470"/>
        <v>800</v>
      </c>
      <c r="AL3330" s="5">
        <f t="shared" ref="AL3330:AL3336" si="474">(T3330-W3330)/T3330</f>
        <v>0.26755852842809363</v>
      </c>
    </row>
    <row r="3331" spans="1:38" x14ac:dyDescent="0.2">
      <c r="A3331" s="2">
        <v>2026</v>
      </c>
      <c r="B3331" s="2">
        <v>3</v>
      </c>
      <c r="D3331" s="2" t="s">
        <v>2654</v>
      </c>
      <c r="E3331" s="2" t="s">
        <v>752</v>
      </c>
      <c r="F3331" s="2" t="s">
        <v>39</v>
      </c>
      <c r="G3331" s="2">
        <v>157409490</v>
      </c>
      <c r="H3331" s="2" t="s">
        <v>40</v>
      </c>
      <c r="I3331" s="2" t="s">
        <v>2655</v>
      </c>
      <c r="J3331" s="2" t="s">
        <v>2656</v>
      </c>
      <c r="K3331" s="2">
        <v>917531684</v>
      </c>
      <c r="L3331" s="2" t="s">
        <v>177</v>
      </c>
      <c r="M3331" s="2" t="s">
        <v>40</v>
      </c>
      <c r="O3331" s="2" t="s">
        <v>2657</v>
      </c>
      <c r="P3331" s="2" t="s">
        <v>282</v>
      </c>
      <c r="Q3331" s="2" t="s">
        <v>1286</v>
      </c>
      <c r="R3331" s="2" t="s">
        <v>1287</v>
      </c>
      <c r="S3331" s="2">
        <v>1</v>
      </c>
      <c r="T3331" s="2">
        <v>1900</v>
      </c>
      <c r="U3331" s="2">
        <v>437</v>
      </c>
      <c r="V3331" s="2">
        <v>2337</v>
      </c>
      <c r="W3331" s="2">
        <v>1195</v>
      </c>
      <c r="X3331" s="5">
        <f>(T3331-W3331)/T3331</f>
        <v>0.37105263157894736</v>
      </c>
      <c r="Z3331" s="2" t="s">
        <v>104</v>
      </c>
      <c r="AA3331" s="2" t="s">
        <v>1574</v>
      </c>
      <c r="AB3331" s="2" t="s">
        <v>388</v>
      </c>
      <c r="AC3331" s="2" t="s">
        <v>1327</v>
      </c>
      <c r="AF3331" s="2">
        <f t="shared" si="472"/>
        <v>0</v>
      </c>
      <c r="AG3331" s="2">
        <v>1195</v>
      </c>
      <c r="AJ3331" s="2">
        <f t="shared" si="473"/>
        <v>0</v>
      </c>
      <c r="AK3331" s="2">
        <f t="shared" si="470"/>
        <v>705</v>
      </c>
      <c r="AL3331" s="5">
        <f t="shared" si="474"/>
        <v>0.37105263157894736</v>
      </c>
    </row>
    <row r="3332" spans="1:38" x14ac:dyDescent="0.2">
      <c r="A3332" s="2">
        <v>2026</v>
      </c>
      <c r="B3332" s="2">
        <v>3</v>
      </c>
      <c r="D3332" s="2" t="s">
        <v>2640</v>
      </c>
      <c r="P3332" s="2" t="s">
        <v>282</v>
      </c>
      <c r="Q3332" s="2" t="s">
        <v>1286</v>
      </c>
      <c r="R3332" s="2" t="s">
        <v>1287</v>
      </c>
      <c r="S3332" s="2">
        <v>1</v>
      </c>
      <c r="T3332" s="2">
        <v>1890</v>
      </c>
      <c r="U3332" s="2">
        <v>434.7</v>
      </c>
      <c r="V3332" s="2">
        <v>2324.6999999999998</v>
      </c>
      <c r="W3332" s="2">
        <v>1195</v>
      </c>
      <c r="X3332" s="5">
        <f>(T3332-W3332)/T3332</f>
        <v>0.36772486772486773</v>
      </c>
      <c r="Z3332" s="2" t="s">
        <v>104</v>
      </c>
      <c r="AA3332" s="2" t="s">
        <v>1574</v>
      </c>
      <c r="AB3332" s="2" t="s">
        <v>388</v>
      </c>
      <c r="AC3332" s="2" t="s">
        <v>1327</v>
      </c>
      <c r="AF3332" s="2">
        <f t="shared" si="472"/>
        <v>0</v>
      </c>
      <c r="AG3332" s="2">
        <v>1195</v>
      </c>
      <c r="AJ3332" s="2">
        <f t="shared" si="473"/>
        <v>0</v>
      </c>
      <c r="AK3332" s="2">
        <f t="shared" si="470"/>
        <v>695</v>
      </c>
      <c r="AL3332" s="5">
        <f t="shared" si="474"/>
        <v>0.36772486772486773</v>
      </c>
    </row>
    <row r="3333" spans="1:38" x14ac:dyDescent="0.2">
      <c r="A3333" s="2">
        <v>2026</v>
      </c>
      <c r="B3333" s="2">
        <v>3</v>
      </c>
      <c r="D3333" s="2" t="s">
        <v>2658</v>
      </c>
      <c r="P3333" s="2" t="s">
        <v>282</v>
      </c>
      <c r="Q3333" s="2" t="s">
        <v>1286</v>
      </c>
      <c r="R3333" s="2" t="s">
        <v>1287</v>
      </c>
      <c r="S3333" s="2">
        <v>1</v>
      </c>
      <c r="T3333" s="2">
        <v>1900</v>
      </c>
      <c r="U3333" s="2">
        <v>437</v>
      </c>
      <c r="V3333" s="2">
        <v>2337</v>
      </c>
      <c r="W3333" s="2">
        <v>1195</v>
      </c>
      <c r="X3333" s="5">
        <f>(T3333-W3333)/T3333</f>
        <v>0.37105263157894736</v>
      </c>
      <c r="Z3333" s="2" t="s">
        <v>104</v>
      </c>
      <c r="AA3333" s="2" t="s">
        <v>1574</v>
      </c>
      <c r="AB3333" s="2" t="s">
        <v>388</v>
      </c>
      <c r="AC3333" s="2" t="s">
        <v>1327</v>
      </c>
      <c r="AF3333" s="2">
        <f t="shared" si="472"/>
        <v>0</v>
      </c>
      <c r="AG3333" s="2">
        <v>1195</v>
      </c>
      <c r="AJ3333" s="2">
        <f t="shared" si="473"/>
        <v>0</v>
      </c>
      <c r="AK3333" s="2">
        <f t="shared" si="470"/>
        <v>705</v>
      </c>
      <c r="AL3333" s="5">
        <f t="shared" si="474"/>
        <v>0.37105263157894736</v>
      </c>
    </row>
    <row r="3334" spans="1:38" x14ac:dyDescent="0.2">
      <c r="A3334" s="2">
        <v>2026</v>
      </c>
      <c r="B3334" s="2">
        <v>3</v>
      </c>
      <c r="D3334" s="2" t="s">
        <v>2659</v>
      </c>
      <c r="E3334" s="2" t="s">
        <v>752</v>
      </c>
      <c r="F3334" s="2" t="s">
        <v>39</v>
      </c>
      <c r="G3334" s="2">
        <v>514057190</v>
      </c>
      <c r="H3334" s="2" t="s">
        <v>40</v>
      </c>
      <c r="I3334" s="2" t="s">
        <v>2660</v>
      </c>
      <c r="J3334" s="2" t="s">
        <v>2661</v>
      </c>
      <c r="K3334" s="2">
        <v>934367883</v>
      </c>
      <c r="L3334" s="2" t="s">
        <v>418</v>
      </c>
      <c r="O3334" s="2" t="s">
        <v>2662</v>
      </c>
      <c r="P3334" s="2" t="s">
        <v>282</v>
      </c>
      <c r="Q3334" s="2" t="s">
        <v>1286</v>
      </c>
      <c r="R3334" s="2" t="s">
        <v>1287</v>
      </c>
      <c r="S3334" s="2">
        <v>1</v>
      </c>
      <c r="T3334" s="2">
        <v>1900</v>
      </c>
      <c r="U3334" s="2">
        <v>437</v>
      </c>
      <c r="V3334" s="2">
        <v>2337</v>
      </c>
      <c r="W3334" s="2">
        <v>1195</v>
      </c>
      <c r="X3334" s="5">
        <f>(T3334-W3334)/T3334</f>
        <v>0.37105263157894736</v>
      </c>
      <c r="Z3334" s="2" t="s">
        <v>104</v>
      </c>
      <c r="AA3334" s="2" t="s">
        <v>1574</v>
      </c>
      <c r="AB3334" s="2" t="s">
        <v>388</v>
      </c>
      <c r="AC3334" s="2" t="s">
        <v>1327</v>
      </c>
      <c r="AF3334" s="2">
        <f t="shared" si="472"/>
        <v>0</v>
      </c>
      <c r="AG3334" s="2">
        <v>1195</v>
      </c>
      <c r="AJ3334" s="2">
        <f t="shared" si="473"/>
        <v>0</v>
      </c>
      <c r="AK3334" s="2">
        <f t="shared" si="470"/>
        <v>705</v>
      </c>
      <c r="AL3334" s="5">
        <f t="shared" si="474"/>
        <v>0.37105263157894736</v>
      </c>
    </row>
    <row r="3335" spans="1:38" x14ac:dyDescent="0.2">
      <c r="A3335" s="2">
        <v>2026</v>
      </c>
      <c r="B3335" s="2">
        <v>3</v>
      </c>
      <c r="D3335" s="2" t="s">
        <v>2654</v>
      </c>
      <c r="E3335" s="2" t="s">
        <v>752</v>
      </c>
      <c r="F3335" s="2" t="s">
        <v>39</v>
      </c>
      <c r="G3335" s="2">
        <v>157409490</v>
      </c>
      <c r="H3335" s="2" t="s">
        <v>40</v>
      </c>
      <c r="I3335" s="2" t="s">
        <v>2655</v>
      </c>
      <c r="J3335" s="2" t="s">
        <v>2656</v>
      </c>
      <c r="K3335" s="2">
        <v>917531684</v>
      </c>
      <c r="L3335" s="2" t="s">
        <v>177</v>
      </c>
      <c r="M3335" s="2" t="s">
        <v>40</v>
      </c>
      <c r="O3335" s="2" t="s">
        <v>2657</v>
      </c>
      <c r="P3335" s="2" t="s">
        <v>282</v>
      </c>
      <c r="Q3335" s="2" t="s">
        <v>1158</v>
      </c>
      <c r="R3335" s="2" t="s">
        <v>1159</v>
      </c>
      <c r="S3335" s="2">
        <v>1</v>
      </c>
      <c r="T3335" s="2">
        <v>0</v>
      </c>
      <c r="U3335" s="2">
        <v>0</v>
      </c>
      <c r="V3335" s="2">
        <v>0</v>
      </c>
      <c r="W3335" s="2">
        <v>0</v>
      </c>
      <c r="X3335" s="5">
        <v>0</v>
      </c>
      <c r="Z3335" s="2" t="s">
        <v>104</v>
      </c>
      <c r="AA3335" s="2" t="s">
        <v>1574</v>
      </c>
      <c r="AB3335" s="2" t="s">
        <v>388</v>
      </c>
      <c r="AC3335" s="2" t="s">
        <v>1327</v>
      </c>
      <c r="AF3335" s="2">
        <f t="shared" si="472"/>
        <v>0</v>
      </c>
      <c r="AG3335" s="2">
        <v>0</v>
      </c>
      <c r="AH3335" s="2">
        <v>0</v>
      </c>
      <c r="AJ3335" s="2">
        <f t="shared" si="473"/>
        <v>0</v>
      </c>
      <c r="AK3335" s="2">
        <f t="shared" si="470"/>
        <v>0</v>
      </c>
      <c r="AL3335" s="5" t="e">
        <f t="shared" si="474"/>
        <v>#DIV/0!</v>
      </c>
    </row>
    <row r="3336" spans="1:38" x14ac:dyDescent="0.2">
      <c r="A3336" s="2">
        <v>2026</v>
      </c>
      <c r="B3336" s="2">
        <v>3</v>
      </c>
      <c r="D3336" s="2" t="s">
        <v>2640</v>
      </c>
      <c r="P3336" s="2" t="s">
        <v>282</v>
      </c>
      <c r="Q3336" s="2" t="s">
        <v>1158</v>
      </c>
      <c r="R3336" s="2" t="s">
        <v>1159</v>
      </c>
      <c r="S3336" s="2">
        <v>1</v>
      </c>
      <c r="T3336" s="2">
        <v>0</v>
      </c>
      <c r="U3336" s="2">
        <v>0</v>
      </c>
      <c r="V3336" s="2">
        <v>0</v>
      </c>
      <c r="W3336" s="2">
        <v>0</v>
      </c>
      <c r="X3336" s="5" t="e">
        <f>(T3336-W3336)/T3336</f>
        <v>#DIV/0!</v>
      </c>
      <c r="Z3336" s="2" t="s">
        <v>104</v>
      </c>
      <c r="AA3336" s="2" t="s">
        <v>1574</v>
      </c>
      <c r="AB3336" s="2" t="s">
        <v>388</v>
      </c>
      <c r="AC3336" s="2" t="s">
        <v>1327</v>
      </c>
      <c r="AF3336" s="2">
        <f t="shared" si="472"/>
        <v>0</v>
      </c>
      <c r="AG3336" s="2">
        <v>0</v>
      </c>
      <c r="AH3336" s="2">
        <v>0</v>
      </c>
      <c r="AJ3336" s="2">
        <f t="shared" si="473"/>
        <v>0</v>
      </c>
      <c r="AK3336" s="2">
        <f t="shared" si="470"/>
        <v>0</v>
      </c>
      <c r="AL3336" s="5" t="e">
        <f t="shared" si="474"/>
        <v>#DIV/0!</v>
      </c>
    </row>
    <row r="3337" spans="1:38" x14ac:dyDescent="0.2">
      <c r="A3337" s="2">
        <v>2026</v>
      </c>
      <c r="B3337" s="2">
        <v>3</v>
      </c>
      <c r="C3337" s="2" t="s">
        <v>3421</v>
      </c>
      <c r="D3337" s="2" t="s">
        <v>3418</v>
      </c>
      <c r="E3337" s="2" t="s">
        <v>3419</v>
      </c>
      <c r="F3337" s="2" t="s">
        <v>3420</v>
      </c>
      <c r="L3337" s="2" t="s">
        <v>293</v>
      </c>
      <c r="M3337" s="2" t="s">
        <v>290</v>
      </c>
      <c r="O3337" s="2" t="s">
        <v>2653</v>
      </c>
      <c r="P3337" s="2" t="s">
        <v>282</v>
      </c>
      <c r="Q3337" s="2" t="s">
        <v>1158</v>
      </c>
      <c r="R3337" s="2" t="s">
        <v>1159</v>
      </c>
      <c r="S3337" s="2">
        <v>1</v>
      </c>
      <c r="T3337" s="2">
        <v>0</v>
      </c>
      <c r="U3337" s="2">
        <v>0</v>
      </c>
      <c r="V3337" s="2">
        <v>0</v>
      </c>
      <c r="W3337" s="2">
        <v>0</v>
      </c>
      <c r="X3337" s="5">
        <v>0</v>
      </c>
      <c r="Z3337" s="2" t="s">
        <v>104</v>
      </c>
      <c r="AA3337" s="2" t="s">
        <v>1574</v>
      </c>
      <c r="AB3337" s="2" t="s">
        <v>388</v>
      </c>
      <c r="AC3337" s="2" t="s">
        <v>1327</v>
      </c>
      <c r="AF3337" s="2">
        <f t="shared" si="472"/>
        <v>0</v>
      </c>
      <c r="AG3337" s="2">
        <v>0</v>
      </c>
      <c r="AH3337" s="2">
        <v>0</v>
      </c>
      <c r="AJ3337" s="2">
        <f t="shared" si="473"/>
        <v>0</v>
      </c>
      <c r="AK3337" s="2">
        <f t="shared" si="470"/>
        <v>0</v>
      </c>
      <c r="AL3337" s="5">
        <v>0</v>
      </c>
    </row>
    <row r="3338" spans="1:38" x14ac:dyDescent="0.2">
      <c r="A3338" s="2">
        <v>2026</v>
      </c>
      <c r="B3338" s="2">
        <v>3</v>
      </c>
      <c r="D3338" s="2" t="s">
        <v>2658</v>
      </c>
      <c r="P3338" s="2" t="s">
        <v>282</v>
      </c>
      <c r="Q3338" s="2" t="s">
        <v>1158</v>
      </c>
      <c r="R3338" s="2" t="s">
        <v>1159</v>
      </c>
      <c r="S3338" s="2">
        <v>1</v>
      </c>
      <c r="T3338" s="2">
        <v>0</v>
      </c>
      <c r="U3338" s="2">
        <v>0</v>
      </c>
      <c r="V3338" s="2">
        <v>0</v>
      </c>
      <c r="W3338" s="2">
        <v>0</v>
      </c>
      <c r="X3338" s="5" t="e">
        <f>(T3338-W3338)/T3338</f>
        <v>#DIV/0!</v>
      </c>
      <c r="Z3338" s="2" t="s">
        <v>104</v>
      </c>
      <c r="AA3338" s="2" t="s">
        <v>1574</v>
      </c>
      <c r="AB3338" s="2" t="s">
        <v>388</v>
      </c>
      <c r="AC3338" s="2" t="s">
        <v>1327</v>
      </c>
      <c r="AF3338" s="2">
        <f t="shared" si="472"/>
        <v>0</v>
      </c>
      <c r="AG3338" s="2">
        <v>0</v>
      </c>
      <c r="AH3338" s="2">
        <v>0</v>
      </c>
      <c r="AJ3338" s="2">
        <f t="shared" si="473"/>
        <v>0</v>
      </c>
      <c r="AK3338" s="2">
        <f t="shared" si="470"/>
        <v>0</v>
      </c>
      <c r="AL3338" s="5" t="e">
        <f t="shared" ref="AL3338:AL3364" si="475">(T3338-W3338)/T3338</f>
        <v>#DIV/0!</v>
      </c>
    </row>
    <row r="3339" spans="1:38" x14ac:dyDescent="0.2">
      <c r="A3339" s="2">
        <v>2026</v>
      </c>
      <c r="B3339" s="2">
        <v>3</v>
      </c>
      <c r="D3339" s="2" t="s">
        <v>2659</v>
      </c>
      <c r="E3339" s="2" t="s">
        <v>752</v>
      </c>
      <c r="F3339" s="2" t="s">
        <v>39</v>
      </c>
      <c r="G3339" s="2">
        <v>514057190</v>
      </c>
      <c r="H3339" s="2" t="s">
        <v>40</v>
      </c>
      <c r="I3339" s="2" t="s">
        <v>2660</v>
      </c>
      <c r="J3339" s="2" t="s">
        <v>2661</v>
      </c>
      <c r="K3339" s="2">
        <v>934367883</v>
      </c>
      <c r="L3339" s="2" t="s">
        <v>418</v>
      </c>
      <c r="O3339" s="2" t="s">
        <v>2662</v>
      </c>
      <c r="P3339" s="2" t="s">
        <v>282</v>
      </c>
      <c r="Q3339" s="2" t="s">
        <v>1158</v>
      </c>
      <c r="R3339" s="2" t="s">
        <v>1159</v>
      </c>
      <c r="S3339" s="2">
        <v>1</v>
      </c>
      <c r="T3339" s="2">
        <v>0</v>
      </c>
      <c r="U3339" s="2">
        <v>0</v>
      </c>
      <c r="V3339" s="2">
        <v>0</v>
      </c>
      <c r="W3339" s="2">
        <v>0</v>
      </c>
      <c r="X3339" s="5">
        <v>0</v>
      </c>
      <c r="Z3339" s="2" t="s">
        <v>104</v>
      </c>
      <c r="AA3339" s="2" t="s">
        <v>1574</v>
      </c>
      <c r="AB3339" s="2" t="s">
        <v>388</v>
      </c>
      <c r="AC3339" s="2" t="s">
        <v>1327</v>
      </c>
      <c r="AF3339" s="2">
        <f t="shared" si="472"/>
        <v>0</v>
      </c>
      <c r="AG3339" s="2">
        <v>0</v>
      </c>
      <c r="AH3339" s="2">
        <v>0</v>
      </c>
      <c r="AJ3339" s="2">
        <f t="shared" si="473"/>
        <v>0</v>
      </c>
      <c r="AK3339" s="2">
        <f t="shared" si="470"/>
        <v>0</v>
      </c>
      <c r="AL3339" s="5" t="e">
        <f t="shared" si="475"/>
        <v>#DIV/0!</v>
      </c>
    </row>
    <row r="3340" spans="1:38" x14ac:dyDescent="0.2">
      <c r="A3340" s="2">
        <v>2026</v>
      </c>
      <c r="B3340" s="2">
        <v>3</v>
      </c>
      <c r="D3340" s="2" t="s">
        <v>2654</v>
      </c>
      <c r="E3340" s="2" t="s">
        <v>752</v>
      </c>
      <c r="F3340" s="2" t="s">
        <v>39</v>
      </c>
      <c r="G3340" s="2">
        <v>157409490</v>
      </c>
      <c r="H3340" s="2" t="s">
        <v>40</v>
      </c>
      <c r="I3340" s="2" t="s">
        <v>2655</v>
      </c>
      <c r="J3340" s="2" t="s">
        <v>2656</v>
      </c>
      <c r="K3340" s="2">
        <v>917531684</v>
      </c>
      <c r="L3340" s="2" t="s">
        <v>177</v>
      </c>
      <c r="M3340" s="2" t="s">
        <v>40</v>
      </c>
      <c r="O3340" s="2" t="s">
        <v>2657</v>
      </c>
      <c r="P3340" s="2" t="s">
        <v>282</v>
      </c>
      <c r="Q3340" s="2" t="s">
        <v>1288</v>
      </c>
      <c r="R3340" s="2" t="s">
        <v>1289</v>
      </c>
      <c r="S3340" s="2">
        <v>1</v>
      </c>
      <c r="U3340" s="2">
        <v>0</v>
      </c>
      <c r="V3340" s="2">
        <v>0</v>
      </c>
      <c r="W3340" s="2">
        <v>0</v>
      </c>
      <c r="X3340" s="5">
        <v>0</v>
      </c>
      <c r="Z3340" s="2" t="s">
        <v>104</v>
      </c>
      <c r="AA3340" s="2" t="s">
        <v>1574</v>
      </c>
      <c r="AB3340" s="2" t="s">
        <v>388</v>
      </c>
      <c r="AC3340" s="2" t="s">
        <v>1327</v>
      </c>
      <c r="AF3340" s="2">
        <f t="shared" si="472"/>
        <v>0</v>
      </c>
      <c r="AG3340" s="2">
        <v>0</v>
      </c>
      <c r="AH3340" s="2">
        <v>0</v>
      </c>
      <c r="AJ3340" s="2">
        <f t="shared" si="473"/>
        <v>0</v>
      </c>
      <c r="AK3340" s="2">
        <f t="shared" si="470"/>
        <v>0</v>
      </c>
      <c r="AL3340" s="5" t="e">
        <f t="shared" si="475"/>
        <v>#DIV/0!</v>
      </c>
    </row>
    <row r="3341" spans="1:38" x14ac:dyDescent="0.2">
      <c r="A3341" s="2">
        <v>2026</v>
      </c>
      <c r="B3341" s="2">
        <v>3</v>
      </c>
      <c r="D3341" s="2" t="s">
        <v>2640</v>
      </c>
      <c r="E3341" s="2" t="s">
        <v>752</v>
      </c>
      <c r="G3341" s="2">
        <v>504481991</v>
      </c>
      <c r="H3341" s="2" t="s">
        <v>40</v>
      </c>
      <c r="I3341" s="2" t="s">
        <v>2663</v>
      </c>
      <c r="J3341" s="2" t="s">
        <v>2664</v>
      </c>
      <c r="L3341" s="2" t="s">
        <v>201</v>
      </c>
      <c r="P3341" s="2" t="s">
        <v>282</v>
      </c>
      <c r="Q3341" s="2" t="s">
        <v>1288</v>
      </c>
      <c r="R3341" s="2" t="s">
        <v>1289</v>
      </c>
      <c r="S3341" s="2">
        <v>1</v>
      </c>
      <c r="T3341" s="2">
        <v>0</v>
      </c>
      <c r="U3341" s="2">
        <v>0</v>
      </c>
      <c r="V3341" s="2">
        <v>0</v>
      </c>
      <c r="W3341" s="2">
        <v>0</v>
      </c>
      <c r="X3341" s="5" t="e">
        <f>(T3341-W3341)/T3341</f>
        <v>#DIV/0!</v>
      </c>
      <c r="Z3341" s="2" t="s">
        <v>104</v>
      </c>
      <c r="AA3341" s="2" t="s">
        <v>1574</v>
      </c>
      <c r="AB3341" s="2" t="s">
        <v>388</v>
      </c>
      <c r="AC3341" s="2" t="s">
        <v>1327</v>
      </c>
      <c r="AF3341" s="2">
        <f t="shared" si="472"/>
        <v>0</v>
      </c>
      <c r="AG3341" s="2">
        <v>0</v>
      </c>
      <c r="AH3341" s="2">
        <v>0</v>
      </c>
      <c r="AJ3341" s="2">
        <f t="shared" si="473"/>
        <v>0</v>
      </c>
      <c r="AK3341" s="2">
        <f t="shared" si="470"/>
        <v>0</v>
      </c>
      <c r="AL3341" s="5" t="e">
        <f t="shared" si="475"/>
        <v>#DIV/0!</v>
      </c>
    </row>
    <row r="3342" spans="1:38" x14ac:dyDescent="0.2">
      <c r="A3342" s="2">
        <v>2026</v>
      </c>
      <c r="B3342" s="2">
        <v>3</v>
      </c>
      <c r="D3342" s="2" t="s">
        <v>2658</v>
      </c>
      <c r="E3342" s="2" t="s">
        <v>752</v>
      </c>
      <c r="G3342" s="2">
        <v>509674658</v>
      </c>
      <c r="H3342" s="2" t="s">
        <v>40</v>
      </c>
      <c r="I3342" s="2" t="s">
        <v>2665</v>
      </c>
      <c r="J3342" s="2" t="s">
        <v>2666</v>
      </c>
      <c r="L3342" s="2" t="s">
        <v>177</v>
      </c>
      <c r="P3342" s="2" t="s">
        <v>282</v>
      </c>
      <c r="Q3342" s="2" t="s">
        <v>1288</v>
      </c>
      <c r="R3342" s="2" t="s">
        <v>1289</v>
      </c>
      <c r="S3342" s="2">
        <v>1</v>
      </c>
      <c r="T3342" s="2">
        <v>0</v>
      </c>
      <c r="U3342" s="2">
        <v>0</v>
      </c>
      <c r="V3342" s="2">
        <v>0</v>
      </c>
      <c r="W3342" s="2">
        <v>0</v>
      </c>
      <c r="X3342" s="5" t="e">
        <f>(T3342-W3342)/T3342</f>
        <v>#DIV/0!</v>
      </c>
      <c r="Z3342" s="2" t="s">
        <v>104</v>
      </c>
      <c r="AA3342" s="2" t="s">
        <v>1574</v>
      </c>
      <c r="AB3342" s="2" t="s">
        <v>388</v>
      </c>
      <c r="AC3342" s="2" t="s">
        <v>1327</v>
      </c>
      <c r="AF3342" s="2">
        <f t="shared" si="472"/>
        <v>0</v>
      </c>
      <c r="AG3342" s="2">
        <v>0</v>
      </c>
      <c r="AH3342" s="2">
        <v>0</v>
      </c>
      <c r="AJ3342" s="2">
        <f t="shared" si="473"/>
        <v>0</v>
      </c>
      <c r="AK3342" s="2">
        <f t="shared" si="470"/>
        <v>0</v>
      </c>
      <c r="AL3342" s="5" t="e">
        <f t="shared" si="475"/>
        <v>#DIV/0!</v>
      </c>
    </row>
    <row r="3343" spans="1:38" x14ac:dyDescent="0.2">
      <c r="A3343" s="2">
        <v>2026</v>
      </c>
      <c r="B3343" s="2">
        <v>3</v>
      </c>
      <c r="D3343" s="2" t="s">
        <v>2659</v>
      </c>
      <c r="E3343" s="2" t="s">
        <v>752</v>
      </c>
      <c r="F3343" s="2" t="s">
        <v>39</v>
      </c>
      <c r="G3343" s="2">
        <v>514057190</v>
      </c>
      <c r="H3343" s="2" t="s">
        <v>40</v>
      </c>
      <c r="I3343" s="2" t="s">
        <v>2660</v>
      </c>
      <c r="J3343" s="2" t="s">
        <v>2661</v>
      </c>
      <c r="K3343" s="2">
        <v>934367883</v>
      </c>
      <c r="L3343" s="2" t="s">
        <v>418</v>
      </c>
      <c r="O3343" s="2" t="s">
        <v>2662</v>
      </c>
      <c r="P3343" s="2" t="s">
        <v>282</v>
      </c>
      <c r="Q3343" s="2" t="s">
        <v>1288</v>
      </c>
      <c r="R3343" s="2" t="s">
        <v>1289</v>
      </c>
      <c r="S3343" s="2">
        <v>1</v>
      </c>
      <c r="T3343" s="2">
        <v>0</v>
      </c>
      <c r="U3343" s="2">
        <v>0</v>
      </c>
      <c r="V3343" s="2">
        <v>0</v>
      </c>
      <c r="W3343" s="2">
        <v>0</v>
      </c>
      <c r="X3343" s="5">
        <v>0</v>
      </c>
      <c r="Z3343" s="2" t="s">
        <v>104</v>
      </c>
      <c r="AA3343" s="2" t="s">
        <v>1574</v>
      </c>
      <c r="AB3343" s="2" t="s">
        <v>388</v>
      </c>
      <c r="AC3343" s="2" t="s">
        <v>1327</v>
      </c>
      <c r="AF3343" s="2">
        <f t="shared" si="472"/>
        <v>0</v>
      </c>
      <c r="AG3343" s="2">
        <v>0</v>
      </c>
      <c r="AH3343" s="2">
        <v>0</v>
      </c>
      <c r="AJ3343" s="2">
        <f t="shared" si="473"/>
        <v>0</v>
      </c>
      <c r="AK3343" s="2">
        <f t="shared" si="470"/>
        <v>0</v>
      </c>
      <c r="AL3343" s="5" t="e">
        <f t="shared" si="475"/>
        <v>#DIV/0!</v>
      </c>
    </row>
    <row r="3344" spans="1:38" x14ac:dyDescent="0.2">
      <c r="A3344" s="2">
        <v>2026</v>
      </c>
      <c r="B3344" s="2">
        <v>3</v>
      </c>
      <c r="D3344" s="2" t="s">
        <v>1884</v>
      </c>
      <c r="P3344" s="2" t="s">
        <v>282</v>
      </c>
      <c r="Q3344" s="2" t="s">
        <v>1950</v>
      </c>
      <c r="R3344" s="2" t="s">
        <v>1951</v>
      </c>
      <c r="S3344" s="2">
        <v>1</v>
      </c>
      <c r="T3344" s="2">
        <v>269</v>
      </c>
      <c r="U3344" s="2">
        <v>61.87</v>
      </c>
      <c r="V3344" s="2">
        <v>330.87</v>
      </c>
      <c r="W3344" s="2">
        <v>144.28</v>
      </c>
      <c r="X3344" s="5">
        <f t="shared" ref="X3344:X3364" si="476">(T3344-W3344)/T3344</f>
        <v>0.46364312267657992</v>
      </c>
      <c r="Z3344" s="2" t="s">
        <v>3227</v>
      </c>
      <c r="AA3344" s="2" t="s">
        <v>71</v>
      </c>
      <c r="AB3344" s="2" t="s">
        <v>119</v>
      </c>
      <c r="AC3344" s="2" t="s">
        <v>119</v>
      </c>
      <c r="AF3344" s="2">
        <f t="shared" si="472"/>
        <v>0</v>
      </c>
      <c r="AJ3344" s="2">
        <f t="shared" si="473"/>
        <v>0</v>
      </c>
      <c r="AK3344" s="2">
        <f t="shared" si="470"/>
        <v>124.72</v>
      </c>
      <c r="AL3344" s="5">
        <f t="shared" si="475"/>
        <v>0.46364312267657992</v>
      </c>
    </row>
    <row r="3345" spans="1:38" x14ac:dyDescent="0.2">
      <c r="A3345" s="2">
        <v>2026</v>
      </c>
      <c r="B3345" s="2">
        <v>3</v>
      </c>
      <c r="D3345" s="2" t="s">
        <v>2667</v>
      </c>
      <c r="P3345" s="2" t="s">
        <v>282</v>
      </c>
      <c r="Q3345" s="2" t="s">
        <v>1436</v>
      </c>
      <c r="R3345" s="2" t="s">
        <v>1437</v>
      </c>
      <c r="S3345" s="2">
        <v>30</v>
      </c>
      <c r="T3345" s="2">
        <v>207</v>
      </c>
      <c r="U3345" s="2">
        <v>47.61</v>
      </c>
      <c r="V3345" s="2">
        <v>254.61</v>
      </c>
      <c r="W3345" s="2">
        <f>5.135*S3345</f>
        <v>154.04999999999998</v>
      </c>
      <c r="X3345" s="5">
        <f t="shared" si="476"/>
        <v>0.25579710144927542</v>
      </c>
      <c r="Z3345" s="2" t="s">
        <v>3227</v>
      </c>
      <c r="AA3345" s="2" t="s">
        <v>71</v>
      </c>
      <c r="AB3345" s="2" t="s">
        <v>119</v>
      </c>
      <c r="AC3345" s="2" t="s">
        <v>119</v>
      </c>
      <c r="AF3345" s="2">
        <f t="shared" si="472"/>
        <v>0</v>
      </c>
      <c r="AG3345" s="2">
        <v>2.4323999999999999</v>
      </c>
      <c r="AH3345" s="2">
        <v>7.9</v>
      </c>
      <c r="AJ3345" s="2">
        <f t="shared" si="473"/>
        <v>0</v>
      </c>
      <c r="AK3345" s="2">
        <f t="shared" si="470"/>
        <v>52.950000000000017</v>
      </c>
      <c r="AL3345" s="5">
        <f t="shared" si="475"/>
        <v>0.25579710144927542</v>
      </c>
    </row>
    <row r="3346" spans="1:38" x14ac:dyDescent="0.2">
      <c r="A3346" s="2">
        <v>2026</v>
      </c>
      <c r="B3346" s="2">
        <v>3</v>
      </c>
      <c r="D3346" s="2" t="s">
        <v>488</v>
      </c>
      <c r="E3346" s="2" t="s">
        <v>38</v>
      </c>
      <c r="F3346" s="2" t="s">
        <v>39</v>
      </c>
      <c r="G3346" s="2">
        <v>507380312</v>
      </c>
      <c r="H3346" s="2" t="s">
        <v>40</v>
      </c>
      <c r="I3346" s="2" t="s">
        <v>489</v>
      </c>
      <c r="J3346" s="2" t="s">
        <v>490</v>
      </c>
      <c r="K3346" s="2">
        <v>912293443</v>
      </c>
      <c r="L3346" s="2" t="s">
        <v>99</v>
      </c>
      <c r="M3346" s="2" t="s">
        <v>80</v>
      </c>
      <c r="O3346" s="2" t="s">
        <v>2668</v>
      </c>
      <c r="P3346" s="2" t="s">
        <v>282</v>
      </c>
      <c r="Q3346" s="2" t="s">
        <v>1436</v>
      </c>
      <c r="R3346" s="2" t="s">
        <v>1437</v>
      </c>
      <c r="S3346" s="2">
        <v>2</v>
      </c>
      <c r="T3346" s="2">
        <v>15.8</v>
      </c>
      <c r="U3346" s="2">
        <v>3.6339999999999999</v>
      </c>
      <c r="V3346" s="2">
        <v>19.434000000000001</v>
      </c>
      <c r="W3346" s="2">
        <f>5.135*S3346</f>
        <v>10.27</v>
      </c>
      <c r="X3346" s="5">
        <f t="shared" si="476"/>
        <v>0.35000000000000003</v>
      </c>
      <c r="Z3346" s="2" t="s">
        <v>3227</v>
      </c>
      <c r="AA3346" s="2" t="s">
        <v>71</v>
      </c>
      <c r="AB3346" s="2" t="s">
        <v>119</v>
      </c>
      <c r="AC3346" s="2" t="s">
        <v>119</v>
      </c>
      <c r="AF3346" s="2">
        <f t="shared" si="472"/>
        <v>0</v>
      </c>
      <c r="AG3346" s="2">
        <v>2.4323999999999999</v>
      </c>
      <c r="AH3346" s="2">
        <v>7.9</v>
      </c>
      <c r="AJ3346" s="2">
        <f t="shared" si="473"/>
        <v>0</v>
      </c>
      <c r="AK3346" s="2">
        <f t="shared" si="470"/>
        <v>5.5300000000000011</v>
      </c>
      <c r="AL3346" s="5">
        <f t="shared" si="475"/>
        <v>0.35000000000000003</v>
      </c>
    </row>
    <row r="3347" spans="1:38" x14ac:dyDescent="0.2">
      <c r="A3347" s="2">
        <v>2026</v>
      </c>
      <c r="B3347" s="2">
        <v>3</v>
      </c>
      <c r="D3347" s="2" t="s">
        <v>2669</v>
      </c>
      <c r="E3347" s="2" t="s">
        <v>38</v>
      </c>
      <c r="F3347" s="2" t="s">
        <v>39</v>
      </c>
      <c r="G3347" s="2">
        <v>186862520</v>
      </c>
      <c r="H3347" s="2" t="s">
        <v>41</v>
      </c>
      <c r="I3347" s="2" t="s">
        <v>1554</v>
      </c>
      <c r="K3347" s="2">
        <v>965119464</v>
      </c>
      <c r="L3347" s="2" t="s">
        <v>177</v>
      </c>
      <c r="M3347" s="2" t="s">
        <v>41</v>
      </c>
      <c r="P3347" s="2" t="s">
        <v>282</v>
      </c>
      <c r="Q3347" s="2" t="s">
        <v>1547</v>
      </c>
      <c r="R3347" s="2" t="s">
        <v>1548</v>
      </c>
      <c r="S3347" s="2">
        <v>1</v>
      </c>
      <c r="T3347" s="2">
        <v>495</v>
      </c>
      <c r="U3347" s="2">
        <v>113.85</v>
      </c>
      <c r="V3347" s="2">
        <v>608.85</v>
      </c>
      <c r="W3347" s="2">
        <v>297</v>
      </c>
      <c r="X3347" s="5">
        <f t="shared" si="476"/>
        <v>0.4</v>
      </c>
      <c r="Z3347" s="2" t="s">
        <v>104</v>
      </c>
      <c r="AA3347" s="2" t="s">
        <v>387</v>
      </c>
      <c r="AB3347" s="2" t="s">
        <v>388</v>
      </c>
      <c r="AC3347" s="2" t="s">
        <v>389</v>
      </c>
      <c r="AF3347" s="2">
        <f t="shared" si="472"/>
        <v>0</v>
      </c>
      <c r="AG3347" s="2">
        <v>297</v>
      </c>
      <c r="AH3347" s="2">
        <v>595</v>
      </c>
      <c r="AJ3347" s="2">
        <f t="shared" si="473"/>
        <v>0</v>
      </c>
      <c r="AK3347" s="2">
        <f t="shared" si="470"/>
        <v>198</v>
      </c>
      <c r="AL3347" s="5">
        <f t="shared" si="475"/>
        <v>0.4</v>
      </c>
    </row>
    <row r="3348" spans="1:38" x14ac:dyDescent="0.2">
      <c r="A3348" s="2">
        <v>2026</v>
      </c>
      <c r="B3348" s="2">
        <v>3</v>
      </c>
      <c r="D3348" s="2" t="s">
        <v>3258</v>
      </c>
      <c r="E3348" s="2" t="s">
        <v>38</v>
      </c>
      <c r="G3348" s="2">
        <v>500844321</v>
      </c>
      <c r="H3348" s="2" t="s">
        <v>40</v>
      </c>
      <c r="I3348" s="2" t="s">
        <v>339</v>
      </c>
      <c r="J3348" s="2" t="s">
        <v>2646</v>
      </c>
      <c r="L3348" s="2" t="s">
        <v>418</v>
      </c>
      <c r="M3348" s="2" t="s">
        <v>41</v>
      </c>
      <c r="O3348" s="2" t="s">
        <v>3257</v>
      </c>
      <c r="P3348" s="2" t="s">
        <v>282</v>
      </c>
      <c r="Q3348" s="2" t="s">
        <v>1252</v>
      </c>
      <c r="R3348" s="2" t="s">
        <v>1253</v>
      </c>
      <c r="S3348" s="2">
        <v>1</v>
      </c>
      <c r="T3348" s="2">
        <v>1500</v>
      </c>
      <c r="U3348" s="2">
        <v>345</v>
      </c>
      <c r="V3348" s="2">
        <v>1845</v>
      </c>
      <c r="W3348" s="2">
        <v>1239</v>
      </c>
      <c r="X3348" s="5">
        <f t="shared" si="476"/>
        <v>0.17399999999999999</v>
      </c>
      <c r="Z3348" s="2" t="s">
        <v>104</v>
      </c>
      <c r="AA3348" s="2" t="s">
        <v>387</v>
      </c>
      <c r="AB3348" s="2" t="s">
        <v>388</v>
      </c>
      <c r="AC3348" s="2" t="s">
        <v>389</v>
      </c>
      <c r="AF3348" s="2">
        <f t="shared" si="472"/>
        <v>0</v>
      </c>
      <c r="AG3348" s="2">
        <v>1239</v>
      </c>
      <c r="AH3348" s="2">
        <v>2950</v>
      </c>
      <c r="AJ3348" s="2">
        <f t="shared" si="473"/>
        <v>0</v>
      </c>
      <c r="AK3348" s="2">
        <f t="shared" si="470"/>
        <v>261</v>
      </c>
      <c r="AL3348" s="5">
        <f t="shared" si="475"/>
        <v>0.17399999999999999</v>
      </c>
    </row>
    <row r="3349" spans="1:38" x14ac:dyDescent="0.2">
      <c r="A3349" s="2">
        <v>2026</v>
      </c>
      <c r="B3349" s="2">
        <v>3</v>
      </c>
      <c r="D3349" s="2" t="s">
        <v>2669</v>
      </c>
      <c r="E3349" s="2" t="s">
        <v>38</v>
      </c>
      <c r="F3349" s="2" t="s">
        <v>39</v>
      </c>
      <c r="G3349" s="2">
        <v>186862520</v>
      </c>
      <c r="H3349" s="2" t="s">
        <v>41</v>
      </c>
      <c r="I3349" s="2" t="s">
        <v>1554</v>
      </c>
      <c r="K3349" s="2">
        <v>965119464</v>
      </c>
      <c r="L3349" s="2" t="s">
        <v>177</v>
      </c>
      <c r="M3349" s="2" t="s">
        <v>41</v>
      </c>
      <c r="P3349" s="2" t="s">
        <v>282</v>
      </c>
      <c r="Q3349" s="2" t="s">
        <v>399</v>
      </c>
      <c r="R3349" s="2" t="s">
        <v>400</v>
      </c>
      <c r="S3349" s="2">
        <v>10</v>
      </c>
      <c r="T3349" s="2">
        <v>200</v>
      </c>
      <c r="U3349" s="2">
        <v>46</v>
      </c>
      <c r="V3349" s="2">
        <v>246</v>
      </c>
      <c r="W3349" s="2">
        <f t="shared" ref="W3349:W3356" si="477">14.5099*S3349</f>
        <v>145.09899999999999</v>
      </c>
      <c r="X3349" s="5">
        <f t="shared" si="476"/>
        <v>0.27450500000000005</v>
      </c>
      <c r="Z3349" s="2" t="s">
        <v>3227</v>
      </c>
      <c r="AA3349" s="2" t="s">
        <v>46</v>
      </c>
      <c r="AB3349" s="2" t="s">
        <v>60</v>
      </c>
      <c r="AC3349" s="2" t="s">
        <v>3332</v>
      </c>
      <c r="AF3349" s="2">
        <f t="shared" si="472"/>
        <v>0</v>
      </c>
      <c r="AJ3349" s="2">
        <f t="shared" si="473"/>
        <v>0</v>
      </c>
      <c r="AK3349" s="2">
        <f t="shared" si="470"/>
        <v>54.90100000000001</v>
      </c>
      <c r="AL3349" s="5">
        <f t="shared" si="475"/>
        <v>0.27450500000000005</v>
      </c>
    </row>
    <row r="3350" spans="1:38" x14ac:dyDescent="0.2">
      <c r="A3350" s="2">
        <v>2026</v>
      </c>
      <c r="B3350" s="2">
        <v>3</v>
      </c>
      <c r="D3350" s="2" t="s">
        <v>1355</v>
      </c>
      <c r="E3350" s="2" t="s">
        <v>752</v>
      </c>
      <c r="F3350" s="2" t="s">
        <v>39</v>
      </c>
      <c r="G3350" s="2">
        <v>518238334</v>
      </c>
      <c r="H3350" s="2" t="s">
        <v>41</v>
      </c>
      <c r="I3350" s="2" t="s">
        <v>762</v>
      </c>
      <c r="J3350" s="2" t="s">
        <v>1356</v>
      </c>
      <c r="L3350" s="2" t="s">
        <v>418</v>
      </c>
      <c r="M3350" s="2" t="s">
        <v>41</v>
      </c>
      <c r="P3350" s="2" t="s">
        <v>282</v>
      </c>
      <c r="Q3350" s="2" t="s">
        <v>399</v>
      </c>
      <c r="R3350" s="2" t="s">
        <v>400</v>
      </c>
      <c r="S3350" s="2">
        <v>10</v>
      </c>
      <c r="T3350" s="2">
        <v>200</v>
      </c>
      <c r="U3350" s="2">
        <v>46</v>
      </c>
      <c r="V3350" s="2">
        <v>246</v>
      </c>
      <c r="W3350" s="2">
        <f t="shared" si="477"/>
        <v>145.09899999999999</v>
      </c>
      <c r="X3350" s="5">
        <f t="shared" si="476"/>
        <v>0.27450500000000005</v>
      </c>
      <c r="Z3350" s="2" t="s">
        <v>3227</v>
      </c>
      <c r="AA3350" s="2" t="s">
        <v>46</v>
      </c>
      <c r="AB3350" s="2" t="s">
        <v>60</v>
      </c>
      <c r="AC3350" s="2" t="s">
        <v>3332</v>
      </c>
      <c r="AF3350" s="2">
        <f t="shared" si="472"/>
        <v>0</v>
      </c>
      <c r="AJ3350" s="2">
        <f t="shared" si="473"/>
        <v>0</v>
      </c>
      <c r="AK3350" s="2">
        <f t="shared" ref="AK3350:AK3381" si="478">T3350-W3350</f>
        <v>54.90100000000001</v>
      </c>
      <c r="AL3350" s="5">
        <f t="shared" si="475"/>
        <v>0.27450500000000005</v>
      </c>
    </row>
    <row r="3351" spans="1:38" x14ac:dyDescent="0.2">
      <c r="A3351" s="2">
        <v>2026</v>
      </c>
      <c r="B3351" s="2">
        <v>3</v>
      </c>
      <c r="D3351" s="2" t="s">
        <v>1006</v>
      </c>
      <c r="E3351" s="2" t="s">
        <v>108</v>
      </c>
      <c r="F3351" s="2" t="s">
        <v>39</v>
      </c>
      <c r="L3351" s="2" t="s">
        <v>177</v>
      </c>
      <c r="M3351" s="2" t="s">
        <v>41</v>
      </c>
      <c r="P3351" s="2" t="s">
        <v>282</v>
      </c>
      <c r="Q3351" s="2" t="s">
        <v>399</v>
      </c>
      <c r="R3351" s="2" t="s">
        <v>400</v>
      </c>
      <c r="S3351" s="2">
        <v>10</v>
      </c>
      <c r="T3351" s="2">
        <v>200</v>
      </c>
      <c r="U3351" s="2">
        <v>46</v>
      </c>
      <c r="V3351" s="2">
        <v>246</v>
      </c>
      <c r="W3351" s="2">
        <f t="shared" si="477"/>
        <v>145.09899999999999</v>
      </c>
      <c r="X3351" s="5">
        <f t="shared" si="476"/>
        <v>0.27450500000000005</v>
      </c>
      <c r="Z3351" s="2" t="s">
        <v>3227</v>
      </c>
      <c r="AA3351" s="2" t="s">
        <v>46</v>
      </c>
      <c r="AB3351" s="2" t="s">
        <v>60</v>
      </c>
      <c r="AC3351" s="2" t="s">
        <v>3332</v>
      </c>
      <c r="AF3351" s="2">
        <f t="shared" si="472"/>
        <v>0</v>
      </c>
      <c r="AJ3351" s="2">
        <f t="shared" si="473"/>
        <v>0</v>
      </c>
      <c r="AK3351" s="2">
        <f t="shared" si="478"/>
        <v>54.90100000000001</v>
      </c>
      <c r="AL3351" s="5">
        <f t="shared" si="475"/>
        <v>0.27450500000000005</v>
      </c>
    </row>
    <row r="3352" spans="1:38" x14ac:dyDescent="0.2">
      <c r="A3352" s="2">
        <v>2026</v>
      </c>
      <c r="B3352" s="2">
        <v>3</v>
      </c>
      <c r="D3352" s="2" t="s">
        <v>1553</v>
      </c>
      <c r="E3352" s="2" t="s">
        <v>108</v>
      </c>
      <c r="F3352" s="2" t="s">
        <v>717</v>
      </c>
      <c r="G3352" s="2">
        <v>500975914</v>
      </c>
      <c r="H3352" s="2" t="s">
        <v>41</v>
      </c>
      <c r="I3352" s="2" t="s">
        <v>1554</v>
      </c>
      <c r="J3352" s="2" t="s">
        <v>1555</v>
      </c>
      <c r="L3352" s="2" t="s">
        <v>177</v>
      </c>
      <c r="M3352" s="2" t="s">
        <v>41</v>
      </c>
      <c r="P3352" s="2" t="s">
        <v>282</v>
      </c>
      <c r="Q3352" s="2" t="s">
        <v>399</v>
      </c>
      <c r="R3352" s="2" t="s">
        <v>400</v>
      </c>
      <c r="S3352" s="2">
        <v>20</v>
      </c>
      <c r="T3352" s="2">
        <v>400</v>
      </c>
      <c r="U3352" s="2">
        <v>92</v>
      </c>
      <c r="V3352" s="2">
        <v>492</v>
      </c>
      <c r="W3352" s="2">
        <f t="shared" si="477"/>
        <v>290.19799999999998</v>
      </c>
      <c r="X3352" s="5">
        <f t="shared" si="476"/>
        <v>0.27450500000000005</v>
      </c>
      <c r="Z3352" s="2" t="s">
        <v>3227</v>
      </c>
      <c r="AA3352" s="2" t="s">
        <v>46</v>
      </c>
      <c r="AB3352" s="2" t="s">
        <v>60</v>
      </c>
      <c r="AC3352" s="2" t="s">
        <v>3332</v>
      </c>
      <c r="AF3352" s="2">
        <f t="shared" si="472"/>
        <v>0</v>
      </c>
      <c r="AJ3352" s="2">
        <f t="shared" si="473"/>
        <v>0</v>
      </c>
      <c r="AK3352" s="2">
        <f t="shared" si="478"/>
        <v>109.80200000000002</v>
      </c>
      <c r="AL3352" s="5">
        <f t="shared" si="475"/>
        <v>0.27450500000000005</v>
      </c>
    </row>
    <row r="3353" spans="1:38" x14ac:dyDescent="0.2">
      <c r="A3353" s="2">
        <v>2026</v>
      </c>
      <c r="B3353" s="2">
        <v>3</v>
      </c>
      <c r="D3353" s="2" t="s">
        <v>2669</v>
      </c>
      <c r="E3353" s="2" t="s">
        <v>38</v>
      </c>
      <c r="F3353" s="2" t="s">
        <v>39</v>
      </c>
      <c r="G3353" s="2">
        <v>186862520</v>
      </c>
      <c r="H3353" s="2" t="s">
        <v>41</v>
      </c>
      <c r="I3353" s="2" t="s">
        <v>1554</v>
      </c>
      <c r="K3353" s="2">
        <v>965119464</v>
      </c>
      <c r="L3353" s="2" t="s">
        <v>177</v>
      </c>
      <c r="M3353" s="2" t="s">
        <v>41</v>
      </c>
      <c r="P3353" s="2" t="s">
        <v>282</v>
      </c>
      <c r="Q3353" s="2" t="s">
        <v>401</v>
      </c>
      <c r="R3353" s="2" t="s">
        <v>402</v>
      </c>
      <c r="S3353" s="2">
        <v>10</v>
      </c>
      <c r="T3353" s="2">
        <v>200</v>
      </c>
      <c r="U3353" s="2">
        <v>46</v>
      </c>
      <c r="V3353" s="2">
        <v>246</v>
      </c>
      <c r="W3353" s="2">
        <f t="shared" si="477"/>
        <v>145.09899999999999</v>
      </c>
      <c r="X3353" s="5">
        <f t="shared" si="476"/>
        <v>0.27450500000000005</v>
      </c>
      <c r="Z3353" s="2" t="s">
        <v>3227</v>
      </c>
      <c r="AA3353" s="2" t="s">
        <v>46</v>
      </c>
      <c r="AB3353" s="2" t="s">
        <v>60</v>
      </c>
      <c r="AC3353" s="2" t="s">
        <v>3332</v>
      </c>
      <c r="AF3353" s="2">
        <f t="shared" si="472"/>
        <v>0</v>
      </c>
      <c r="AJ3353" s="2">
        <f t="shared" si="473"/>
        <v>0</v>
      </c>
      <c r="AK3353" s="2">
        <f t="shared" si="478"/>
        <v>54.90100000000001</v>
      </c>
      <c r="AL3353" s="5">
        <f t="shared" si="475"/>
        <v>0.27450500000000005</v>
      </c>
    </row>
    <row r="3354" spans="1:38" x14ac:dyDescent="0.2">
      <c r="A3354" s="2">
        <v>2026</v>
      </c>
      <c r="B3354" s="2">
        <v>3</v>
      </c>
      <c r="D3354" s="2" t="s">
        <v>1355</v>
      </c>
      <c r="E3354" s="2" t="s">
        <v>752</v>
      </c>
      <c r="F3354" s="2" t="s">
        <v>39</v>
      </c>
      <c r="G3354" s="2">
        <v>518238334</v>
      </c>
      <c r="H3354" s="2" t="s">
        <v>41</v>
      </c>
      <c r="I3354" s="2" t="s">
        <v>762</v>
      </c>
      <c r="J3354" s="2" t="s">
        <v>1356</v>
      </c>
      <c r="L3354" s="2" t="s">
        <v>418</v>
      </c>
      <c r="M3354" s="2" t="s">
        <v>41</v>
      </c>
      <c r="P3354" s="2" t="s">
        <v>282</v>
      </c>
      <c r="Q3354" s="2" t="s">
        <v>401</v>
      </c>
      <c r="R3354" s="2" t="s">
        <v>402</v>
      </c>
      <c r="S3354" s="2">
        <v>10</v>
      </c>
      <c r="T3354" s="2">
        <v>200</v>
      </c>
      <c r="U3354" s="2">
        <v>46</v>
      </c>
      <c r="V3354" s="2">
        <v>246</v>
      </c>
      <c r="W3354" s="2">
        <f t="shared" si="477"/>
        <v>145.09899999999999</v>
      </c>
      <c r="X3354" s="5">
        <f t="shared" si="476"/>
        <v>0.27450500000000005</v>
      </c>
      <c r="Z3354" s="2" t="s">
        <v>3227</v>
      </c>
      <c r="AA3354" s="2" t="s">
        <v>46</v>
      </c>
      <c r="AB3354" s="2" t="s">
        <v>60</v>
      </c>
      <c r="AC3354" s="2" t="s">
        <v>3332</v>
      </c>
      <c r="AF3354" s="2">
        <f t="shared" si="472"/>
        <v>0</v>
      </c>
      <c r="AJ3354" s="2">
        <f t="shared" si="473"/>
        <v>0</v>
      </c>
      <c r="AK3354" s="2">
        <f t="shared" si="478"/>
        <v>54.90100000000001</v>
      </c>
      <c r="AL3354" s="5">
        <f t="shared" si="475"/>
        <v>0.27450500000000005</v>
      </c>
    </row>
    <row r="3355" spans="1:38" x14ac:dyDescent="0.2">
      <c r="A3355" s="2">
        <v>2026</v>
      </c>
      <c r="B3355" s="2">
        <v>3</v>
      </c>
      <c r="D3355" s="2" t="s">
        <v>1006</v>
      </c>
      <c r="E3355" s="2" t="s">
        <v>108</v>
      </c>
      <c r="F3355" s="2" t="s">
        <v>39</v>
      </c>
      <c r="L3355" s="2" t="s">
        <v>177</v>
      </c>
      <c r="M3355" s="2" t="s">
        <v>41</v>
      </c>
      <c r="P3355" s="2" t="s">
        <v>282</v>
      </c>
      <c r="Q3355" s="2" t="s">
        <v>401</v>
      </c>
      <c r="R3355" s="2" t="s">
        <v>402</v>
      </c>
      <c r="S3355" s="2">
        <v>10</v>
      </c>
      <c r="T3355" s="2">
        <v>200</v>
      </c>
      <c r="U3355" s="2">
        <v>46</v>
      </c>
      <c r="V3355" s="2">
        <v>246</v>
      </c>
      <c r="W3355" s="2">
        <f t="shared" si="477"/>
        <v>145.09899999999999</v>
      </c>
      <c r="X3355" s="5">
        <f t="shared" si="476"/>
        <v>0.27450500000000005</v>
      </c>
      <c r="Z3355" s="2" t="s">
        <v>3227</v>
      </c>
      <c r="AA3355" s="2" t="s">
        <v>46</v>
      </c>
      <c r="AB3355" s="2" t="s">
        <v>60</v>
      </c>
      <c r="AC3355" s="2" t="s">
        <v>3332</v>
      </c>
      <c r="AF3355" s="2">
        <f t="shared" si="472"/>
        <v>0</v>
      </c>
      <c r="AJ3355" s="2">
        <f t="shared" si="473"/>
        <v>0</v>
      </c>
      <c r="AK3355" s="2">
        <f t="shared" si="478"/>
        <v>54.90100000000001</v>
      </c>
      <c r="AL3355" s="5">
        <f t="shared" si="475"/>
        <v>0.27450500000000005</v>
      </c>
    </row>
    <row r="3356" spans="1:38" x14ac:dyDescent="0.2">
      <c r="A3356" s="2">
        <v>2026</v>
      </c>
      <c r="B3356" s="2">
        <v>3</v>
      </c>
      <c r="D3356" s="2" t="s">
        <v>1553</v>
      </c>
      <c r="E3356" s="2" t="s">
        <v>108</v>
      </c>
      <c r="F3356" s="2" t="s">
        <v>717</v>
      </c>
      <c r="G3356" s="2">
        <v>500975914</v>
      </c>
      <c r="H3356" s="2" t="s">
        <v>41</v>
      </c>
      <c r="I3356" s="2" t="s">
        <v>1554</v>
      </c>
      <c r="J3356" s="2" t="s">
        <v>1555</v>
      </c>
      <c r="L3356" s="2" t="s">
        <v>177</v>
      </c>
      <c r="M3356" s="2" t="s">
        <v>41</v>
      </c>
      <c r="P3356" s="2" t="s">
        <v>282</v>
      </c>
      <c r="Q3356" s="2" t="s">
        <v>401</v>
      </c>
      <c r="R3356" s="2" t="s">
        <v>402</v>
      </c>
      <c r="S3356" s="2">
        <v>20</v>
      </c>
      <c r="T3356" s="2">
        <v>400</v>
      </c>
      <c r="U3356" s="2">
        <v>92</v>
      </c>
      <c r="V3356" s="2">
        <v>492</v>
      </c>
      <c r="W3356" s="2">
        <f t="shared" si="477"/>
        <v>290.19799999999998</v>
      </c>
      <c r="X3356" s="5">
        <f t="shared" si="476"/>
        <v>0.27450500000000005</v>
      </c>
      <c r="Z3356" s="2" t="s">
        <v>3227</v>
      </c>
      <c r="AA3356" s="2" t="s">
        <v>46</v>
      </c>
      <c r="AB3356" s="2" t="s">
        <v>60</v>
      </c>
      <c r="AC3356" s="2" t="s">
        <v>3332</v>
      </c>
      <c r="AF3356" s="2">
        <f t="shared" si="472"/>
        <v>0</v>
      </c>
      <c r="AJ3356" s="2">
        <f t="shared" si="473"/>
        <v>0</v>
      </c>
      <c r="AK3356" s="2">
        <f t="shared" si="478"/>
        <v>109.80200000000002</v>
      </c>
      <c r="AL3356" s="5">
        <f t="shared" si="475"/>
        <v>0.27450500000000005</v>
      </c>
    </row>
    <row r="3357" spans="1:38" x14ac:dyDescent="0.2">
      <c r="A3357" s="2">
        <v>2026</v>
      </c>
      <c r="B3357" s="2">
        <v>3</v>
      </c>
      <c r="D3357" s="2" t="s">
        <v>2516</v>
      </c>
      <c r="E3357" s="2" t="s">
        <v>752</v>
      </c>
      <c r="F3357" s="2" t="s">
        <v>39</v>
      </c>
      <c r="G3357" s="2">
        <v>515570354</v>
      </c>
      <c r="H3357" s="2" t="s">
        <v>109</v>
      </c>
      <c r="I3357" s="2" t="s">
        <v>2517</v>
      </c>
      <c r="J3357" s="2" t="s">
        <v>2518</v>
      </c>
      <c r="K3357" s="2">
        <v>967032538</v>
      </c>
      <c r="L3357" s="2" t="s">
        <v>398</v>
      </c>
      <c r="M3357" s="2" t="s">
        <v>109</v>
      </c>
      <c r="O3357" s="2" t="s">
        <v>2639</v>
      </c>
      <c r="P3357" s="2" t="s">
        <v>43</v>
      </c>
      <c r="Q3357" s="2" t="s">
        <v>1104</v>
      </c>
      <c r="R3357" s="2" t="s">
        <v>1105</v>
      </c>
      <c r="S3357" s="2">
        <v>1</v>
      </c>
      <c r="T3357" s="2">
        <v>21</v>
      </c>
      <c r="U3357" s="2">
        <v>4.83</v>
      </c>
      <c r="V3357" s="2">
        <v>25.83</v>
      </c>
      <c r="W3357" s="2">
        <v>10</v>
      </c>
      <c r="X3357" s="5">
        <f t="shared" si="476"/>
        <v>0.52380952380952384</v>
      </c>
      <c r="Z3357" s="2" t="s">
        <v>3227</v>
      </c>
      <c r="AA3357" s="2" t="s">
        <v>46</v>
      </c>
      <c r="AB3357" s="2" t="s">
        <v>47</v>
      </c>
      <c r="AC3357" s="2" t="s">
        <v>57</v>
      </c>
      <c r="AF3357" s="2">
        <f t="shared" si="472"/>
        <v>0</v>
      </c>
      <c r="AG3357" s="2">
        <v>10</v>
      </c>
      <c r="AH3357" s="2">
        <v>21</v>
      </c>
      <c r="AJ3357" s="2">
        <f t="shared" si="473"/>
        <v>0</v>
      </c>
      <c r="AK3357" s="2">
        <f t="shared" si="478"/>
        <v>11</v>
      </c>
      <c r="AL3357" s="5">
        <f t="shared" si="475"/>
        <v>0.52380952380952384</v>
      </c>
    </row>
    <row r="3358" spans="1:38" x14ac:dyDescent="0.2">
      <c r="A3358" s="2">
        <v>2026</v>
      </c>
      <c r="B3358" s="2">
        <v>3</v>
      </c>
      <c r="D3358" s="2" t="s">
        <v>37</v>
      </c>
      <c r="E3358" s="2" t="s">
        <v>38</v>
      </c>
      <c r="F3358" s="2" t="s">
        <v>39</v>
      </c>
      <c r="H3358" s="2" t="s">
        <v>40</v>
      </c>
      <c r="M3358" s="2" t="s">
        <v>41</v>
      </c>
      <c r="P3358" s="2" t="s">
        <v>43</v>
      </c>
      <c r="Q3358" s="2" t="s">
        <v>48</v>
      </c>
      <c r="R3358" s="2" t="s">
        <v>49</v>
      </c>
      <c r="S3358" s="2">
        <v>2</v>
      </c>
      <c r="T3358" s="2">
        <v>26</v>
      </c>
      <c r="U3358" s="2">
        <v>5.98</v>
      </c>
      <c r="V3358" s="2">
        <v>31.98</v>
      </c>
      <c r="W3358" s="2">
        <f>6.6267*S3358</f>
        <v>13.253399999999999</v>
      </c>
      <c r="X3358" s="5">
        <f t="shared" si="476"/>
        <v>0.49025384615384621</v>
      </c>
      <c r="Z3358" s="2" t="s">
        <v>3227</v>
      </c>
      <c r="AA3358" s="2" t="s">
        <v>46</v>
      </c>
      <c r="AB3358" s="2" t="s">
        <v>47</v>
      </c>
      <c r="AC3358" s="2" t="s">
        <v>57</v>
      </c>
      <c r="AF3358" s="2">
        <f t="shared" si="472"/>
        <v>0</v>
      </c>
      <c r="AG3358" s="2">
        <v>6.6266999999999996</v>
      </c>
      <c r="AH3358" s="2">
        <v>12</v>
      </c>
      <c r="AJ3358" s="2">
        <f t="shared" si="473"/>
        <v>0</v>
      </c>
      <c r="AK3358" s="2">
        <f t="shared" si="478"/>
        <v>12.746600000000001</v>
      </c>
      <c r="AL3358" s="5">
        <f t="shared" si="475"/>
        <v>0.49025384615384621</v>
      </c>
    </row>
    <row r="3359" spans="1:38" x14ac:dyDescent="0.2">
      <c r="A3359" s="2">
        <v>2026</v>
      </c>
      <c r="B3359" s="2">
        <v>3</v>
      </c>
      <c r="D3359" s="2" t="s">
        <v>2516</v>
      </c>
      <c r="E3359" s="2" t="s">
        <v>752</v>
      </c>
      <c r="F3359" s="2" t="s">
        <v>39</v>
      </c>
      <c r="G3359" s="2">
        <v>515570354</v>
      </c>
      <c r="H3359" s="2" t="s">
        <v>109</v>
      </c>
      <c r="I3359" s="2" t="s">
        <v>2517</v>
      </c>
      <c r="J3359" s="2" t="s">
        <v>2518</v>
      </c>
      <c r="K3359" s="2">
        <v>967032538</v>
      </c>
      <c r="L3359" s="2" t="s">
        <v>398</v>
      </c>
      <c r="M3359" s="2" t="s">
        <v>109</v>
      </c>
      <c r="P3359" s="2" t="s">
        <v>43</v>
      </c>
      <c r="Q3359" s="2" t="s">
        <v>48</v>
      </c>
      <c r="R3359" s="2" t="s">
        <v>49</v>
      </c>
      <c r="S3359" s="2">
        <v>1</v>
      </c>
      <c r="T3359" s="2">
        <v>12</v>
      </c>
      <c r="U3359" s="2">
        <v>2.76</v>
      </c>
      <c r="V3359" s="2">
        <v>14.76</v>
      </c>
      <c r="W3359" s="2">
        <f>6.6267*S3359</f>
        <v>6.6266999999999996</v>
      </c>
      <c r="X3359" s="5">
        <f t="shared" si="476"/>
        <v>0.44777500000000003</v>
      </c>
      <c r="Z3359" s="2" t="s">
        <v>3227</v>
      </c>
      <c r="AA3359" s="2" t="s">
        <v>46</v>
      </c>
      <c r="AB3359" s="2" t="s">
        <v>47</v>
      </c>
      <c r="AC3359" s="2" t="s">
        <v>57</v>
      </c>
      <c r="AF3359" s="2">
        <f t="shared" si="472"/>
        <v>0</v>
      </c>
      <c r="AG3359" s="2">
        <v>6.6266999999999996</v>
      </c>
      <c r="AH3359" s="2">
        <v>12</v>
      </c>
      <c r="AJ3359" s="2">
        <f t="shared" si="473"/>
        <v>0</v>
      </c>
      <c r="AK3359" s="2">
        <f t="shared" si="478"/>
        <v>5.3733000000000004</v>
      </c>
      <c r="AL3359" s="5">
        <f t="shared" si="475"/>
        <v>0.44777500000000003</v>
      </c>
    </row>
    <row r="3360" spans="1:38" x14ac:dyDescent="0.2">
      <c r="A3360" s="2">
        <v>2026</v>
      </c>
      <c r="B3360" s="2">
        <v>3</v>
      </c>
      <c r="D3360" s="2" t="s">
        <v>1008</v>
      </c>
      <c r="E3360" s="2" t="s">
        <v>108</v>
      </c>
      <c r="F3360" s="2" t="s">
        <v>39</v>
      </c>
      <c r="L3360" s="2" t="s">
        <v>418</v>
      </c>
      <c r="M3360" s="2" t="s">
        <v>41</v>
      </c>
      <c r="P3360" s="2" t="s">
        <v>43</v>
      </c>
      <c r="Q3360" s="2" t="s">
        <v>48</v>
      </c>
      <c r="R3360" s="2" t="s">
        <v>49</v>
      </c>
      <c r="S3360" s="2">
        <v>1</v>
      </c>
      <c r="T3360" s="2">
        <v>13</v>
      </c>
      <c r="U3360" s="2">
        <v>2.99</v>
      </c>
      <c r="V3360" s="2">
        <v>15.99</v>
      </c>
      <c r="W3360" s="2">
        <f>6.6267*S3360</f>
        <v>6.6266999999999996</v>
      </c>
      <c r="X3360" s="5">
        <f t="shared" si="476"/>
        <v>0.49025384615384621</v>
      </c>
      <c r="Z3360" s="2" t="s">
        <v>3227</v>
      </c>
      <c r="AA3360" s="2" t="s">
        <v>46</v>
      </c>
      <c r="AB3360" s="2" t="s">
        <v>47</v>
      </c>
      <c r="AC3360" s="2" t="s">
        <v>57</v>
      </c>
      <c r="AF3360" s="2">
        <f t="shared" si="472"/>
        <v>0</v>
      </c>
      <c r="AG3360" s="2">
        <v>6.6266999999999996</v>
      </c>
      <c r="AH3360" s="2">
        <v>12</v>
      </c>
      <c r="AJ3360" s="2">
        <f t="shared" si="473"/>
        <v>0</v>
      </c>
      <c r="AK3360" s="2">
        <f t="shared" si="478"/>
        <v>6.3733000000000004</v>
      </c>
      <c r="AL3360" s="5">
        <f t="shared" si="475"/>
        <v>0.49025384615384621</v>
      </c>
    </row>
    <row r="3361" spans="1:38" x14ac:dyDescent="0.2">
      <c r="A3361" s="2">
        <v>2026</v>
      </c>
      <c r="B3361" s="2">
        <v>3</v>
      </c>
      <c r="D3361" s="2" t="s">
        <v>843</v>
      </c>
      <c r="E3361" s="2" t="s">
        <v>38</v>
      </c>
      <c r="F3361" s="2" t="s">
        <v>39</v>
      </c>
      <c r="G3361" s="2">
        <v>161685080</v>
      </c>
      <c r="H3361" s="2" t="s">
        <v>41</v>
      </c>
      <c r="I3361" s="2" t="s">
        <v>418</v>
      </c>
      <c r="K3361" s="2" t="s">
        <v>844</v>
      </c>
      <c r="L3361" s="2" t="s">
        <v>418</v>
      </c>
      <c r="M3361" s="2" t="s">
        <v>41</v>
      </c>
      <c r="O3361" s="2" t="s">
        <v>2670</v>
      </c>
      <c r="P3361" s="2" t="s">
        <v>43</v>
      </c>
      <c r="Q3361" s="2" t="s">
        <v>48</v>
      </c>
      <c r="R3361" s="2" t="s">
        <v>49</v>
      </c>
      <c r="S3361" s="2">
        <v>1</v>
      </c>
      <c r="T3361" s="2">
        <v>13</v>
      </c>
      <c r="U3361" s="2">
        <v>2.99</v>
      </c>
      <c r="V3361" s="2">
        <v>15.99</v>
      </c>
      <c r="W3361" s="2">
        <f>6.6267*S3361</f>
        <v>6.6266999999999996</v>
      </c>
      <c r="X3361" s="5">
        <f t="shared" si="476"/>
        <v>0.49025384615384621</v>
      </c>
      <c r="Z3361" s="2" t="s">
        <v>3227</v>
      </c>
      <c r="AA3361" s="2" t="s">
        <v>46</v>
      </c>
      <c r="AB3361" s="2" t="s">
        <v>47</v>
      </c>
      <c r="AC3361" s="2" t="s">
        <v>57</v>
      </c>
      <c r="AF3361" s="2">
        <f t="shared" si="472"/>
        <v>0</v>
      </c>
      <c r="AG3361" s="2">
        <v>6.6266999999999996</v>
      </c>
      <c r="AH3361" s="2">
        <v>12</v>
      </c>
      <c r="AJ3361" s="2">
        <f t="shared" si="473"/>
        <v>0</v>
      </c>
      <c r="AK3361" s="2">
        <f t="shared" si="478"/>
        <v>6.3733000000000004</v>
      </c>
      <c r="AL3361" s="5">
        <f t="shared" si="475"/>
        <v>0.49025384615384621</v>
      </c>
    </row>
    <row r="3362" spans="1:38" x14ac:dyDescent="0.2">
      <c r="A3362" s="2">
        <v>2026</v>
      </c>
      <c r="B3362" s="2">
        <v>4</v>
      </c>
      <c r="D3362" s="2" t="s">
        <v>689</v>
      </c>
      <c r="E3362" s="2" t="s">
        <v>108</v>
      </c>
      <c r="F3362" s="2" t="s">
        <v>39</v>
      </c>
      <c r="G3362" s="2">
        <v>503589950</v>
      </c>
      <c r="H3362" s="2" t="s">
        <v>41</v>
      </c>
      <c r="I3362" s="2" t="s">
        <v>610</v>
      </c>
      <c r="J3362" s="2" t="s">
        <v>690</v>
      </c>
      <c r="K3362" s="2">
        <v>913036545</v>
      </c>
      <c r="L3362" s="2" t="s">
        <v>177</v>
      </c>
      <c r="M3362" s="2" t="s">
        <v>41</v>
      </c>
      <c r="O3362" s="2" t="s">
        <v>2613</v>
      </c>
      <c r="P3362" s="2" t="s">
        <v>43</v>
      </c>
      <c r="Q3362" s="2" t="s">
        <v>50</v>
      </c>
      <c r="R3362" s="2" t="s">
        <v>51</v>
      </c>
      <c r="S3362" s="2">
        <v>2</v>
      </c>
      <c r="T3362" s="2">
        <v>42</v>
      </c>
      <c r="U3362" s="2">
        <v>9.66</v>
      </c>
      <c r="V3362" s="2">
        <v>51.66</v>
      </c>
      <c r="W3362" s="2">
        <f>14.4*S3362</f>
        <v>28.8</v>
      </c>
      <c r="X3362" s="5">
        <f t="shared" si="476"/>
        <v>0.31428571428571428</v>
      </c>
      <c r="Z3362" s="2" t="s">
        <v>3227</v>
      </c>
      <c r="AA3362" s="2" t="s">
        <v>46</v>
      </c>
      <c r="AB3362" s="2" t="s">
        <v>47</v>
      </c>
      <c r="AC3362" s="2" t="s">
        <v>57</v>
      </c>
      <c r="AF3362" s="2">
        <f t="shared" si="472"/>
        <v>0</v>
      </c>
      <c r="AG3362" s="2">
        <v>14.4</v>
      </c>
      <c r="AH3362" s="2">
        <v>21</v>
      </c>
      <c r="AJ3362" s="2">
        <f t="shared" si="473"/>
        <v>0</v>
      </c>
      <c r="AK3362" s="2">
        <f t="shared" si="478"/>
        <v>13.2</v>
      </c>
      <c r="AL3362" s="5">
        <f t="shared" si="475"/>
        <v>0.31428571428571428</v>
      </c>
    </row>
    <row r="3363" spans="1:38" x14ac:dyDescent="0.2">
      <c r="A3363" s="2">
        <v>2026</v>
      </c>
      <c r="B3363" s="2">
        <v>3</v>
      </c>
      <c r="D3363" s="2" t="s">
        <v>864</v>
      </c>
      <c r="E3363" s="2" t="s">
        <v>38</v>
      </c>
      <c r="G3363" s="2">
        <v>517724308</v>
      </c>
      <c r="I3363" s="2" t="s">
        <v>177</v>
      </c>
      <c r="L3363" s="2" t="s">
        <v>177</v>
      </c>
      <c r="M3363" s="2" t="s">
        <v>41</v>
      </c>
      <c r="O3363" s="2" t="s">
        <v>2671</v>
      </c>
      <c r="P3363" s="2" t="s">
        <v>43</v>
      </c>
      <c r="Q3363" s="2" t="s">
        <v>48</v>
      </c>
      <c r="R3363" s="2" t="s">
        <v>49</v>
      </c>
      <c r="S3363" s="2">
        <v>1</v>
      </c>
      <c r="T3363" s="2">
        <v>12</v>
      </c>
      <c r="U3363" s="2">
        <v>2.76</v>
      </c>
      <c r="V3363" s="2">
        <v>14.76</v>
      </c>
      <c r="W3363" s="2">
        <f>6.6267*S3363</f>
        <v>6.6266999999999996</v>
      </c>
      <c r="X3363" s="5">
        <f t="shared" si="476"/>
        <v>0.44777500000000003</v>
      </c>
      <c r="Z3363" s="2" t="s">
        <v>3227</v>
      </c>
      <c r="AA3363" s="2" t="s">
        <v>46</v>
      </c>
      <c r="AB3363" s="2" t="s">
        <v>47</v>
      </c>
      <c r="AC3363" s="2" t="s">
        <v>57</v>
      </c>
      <c r="AF3363" s="2">
        <f t="shared" si="472"/>
        <v>0</v>
      </c>
      <c r="AG3363" s="2">
        <v>6.6266999999999996</v>
      </c>
      <c r="AH3363" s="2">
        <v>12</v>
      </c>
      <c r="AJ3363" s="2">
        <f t="shared" si="473"/>
        <v>0</v>
      </c>
      <c r="AK3363" s="2">
        <f t="shared" si="478"/>
        <v>5.3733000000000004</v>
      </c>
      <c r="AL3363" s="5">
        <f t="shared" si="475"/>
        <v>0.44777500000000003</v>
      </c>
    </row>
    <row r="3364" spans="1:38" x14ac:dyDescent="0.2">
      <c r="A3364" s="2">
        <v>2026</v>
      </c>
      <c r="B3364" s="2">
        <v>3</v>
      </c>
      <c r="D3364" s="2" t="s">
        <v>1092</v>
      </c>
      <c r="E3364" s="2" t="s">
        <v>108</v>
      </c>
      <c r="F3364" s="2" t="s">
        <v>39</v>
      </c>
      <c r="G3364" s="2">
        <v>513356932</v>
      </c>
      <c r="H3364" s="2" t="s">
        <v>41</v>
      </c>
      <c r="I3364" s="2" t="s">
        <v>2672</v>
      </c>
      <c r="J3364" s="2" t="s">
        <v>2673</v>
      </c>
      <c r="K3364" s="2">
        <v>962939747</v>
      </c>
      <c r="L3364" s="2" t="s">
        <v>99</v>
      </c>
      <c r="M3364" s="2" t="s">
        <v>41</v>
      </c>
      <c r="O3364" s="2" t="s">
        <v>2674</v>
      </c>
      <c r="P3364" s="2" t="s">
        <v>43</v>
      </c>
      <c r="Q3364" s="2" t="s">
        <v>48</v>
      </c>
      <c r="R3364" s="2" t="s">
        <v>49</v>
      </c>
      <c r="S3364" s="2">
        <v>10</v>
      </c>
      <c r="T3364" s="2">
        <v>110</v>
      </c>
      <c r="U3364" s="2">
        <v>25.3</v>
      </c>
      <c r="V3364" s="2">
        <v>135.30000000000001</v>
      </c>
      <c r="W3364" s="2">
        <f>6.6267*S3364</f>
        <v>66.266999999999996</v>
      </c>
      <c r="X3364" s="5">
        <f t="shared" si="476"/>
        <v>0.3975727272727273</v>
      </c>
      <c r="Z3364" s="2" t="s">
        <v>3227</v>
      </c>
      <c r="AA3364" s="2" t="s">
        <v>46</v>
      </c>
      <c r="AB3364" s="2" t="s">
        <v>47</v>
      </c>
      <c r="AC3364" s="2" t="s">
        <v>57</v>
      </c>
      <c r="AF3364" s="2">
        <f t="shared" si="472"/>
        <v>0</v>
      </c>
      <c r="AG3364" s="2">
        <v>6.6266999999999996</v>
      </c>
      <c r="AH3364" s="2">
        <v>12</v>
      </c>
      <c r="AJ3364" s="2">
        <f t="shared" si="473"/>
        <v>0</v>
      </c>
      <c r="AK3364" s="2">
        <f t="shared" si="478"/>
        <v>43.733000000000004</v>
      </c>
      <c r="AL3364" s="5">
        <f t="shared" si="475"/>
        <v>0.3975727272727273</v>
      </c>
    </row>
    <row r="3365" spans="1:38" x14ac:dyDescent="0.2">
      <c r="A3365" s="2">
        <v>2026</v>
      </c>
      <c r="B3365" s="2">
        <v>3</v>
      </c>
      <c r="D3365" s="2" t="s">
        <v>597</v>
      </c>
      <c r="E3365" s="2" t="s">
        <v>38</v>
      </c>
      <c r="F3365" s="2" t="s">
        <v>39</v>
      </c>
      <c r="G3365" s="2">
        <v>509680364</v>
      </c>
      <c r="H3365" s="2" t="s">
        <v>41</v>
      </c>
      <c r="I3365" s="2" t="s">
        <v>598</v>
      </c>
      <c r="J3365" s="2" t="s">
        <v>599</v>
      </c>
      <c r="K3365" s="2">
        <v>919603867</v>
      </c>
      <c r="L3365" s="2" t="s">
        <v>600</v>
      </c>
      <c r="M3365" s="2" t="s">
        <v>41</v>
      </c>
      <c r="O3365" s="2" t="s">
        <v>2675</v>
      </c>
      <c r="P3365" s="2" t="s">
        <v>43</v>
      </c>
      <c r="Q3365" s="2" t="s">
        <v>48</v>
      </c>
      <c r="R3365" s="2" t="s">
        <v>49</v>
      </c>
      <c r="S3365" s="2">
        <v>2</v>
      </c>
      <c r="T3365" s="2">
        <v>0</v>
      </c>
      <c r="U3365" s="2">
        <v>0</v>
      </c>
      <c r="V3365" s="2">
        <v>0</v>
      </c>
      <c r="W3365" s="2">
        <f>6.6267*S3365</f>
        <v>13.253399999999999</v>
      </c>
      <c r="X3365" s="18">
        <f>IF(T3365=0,IF(W3365&gt;0,-100%,0%),(T3365-W3365)/T3365)</f>
        <v>-1</v>
      </c>
      <c r="Z3365" s="2" t="s">
        <v>3227</v>
      </c>
      <c r="AA3365" s="2" t="s">
        <v>46</v>
      </c>
      <c r="AB3365" s="2" t="s">
        <v>47</v>
      </c>
      <c r="AC3365" s="2" t="s">
        <v>57</v>
      </c>
      <c r="AF3365" s="2">
        <f t="shared" si="472"/>
        <v>0</v>
      </c>
      <c r="AG3365" s="2">
        <v>6.6266999999999996</v>
      </c>
      <c r="AH3365" s="2">
        <v>12</v>
      </c>
      <c r="AJ3365" s="2">
        <f t="shared" si="473"/>
        <v>0</v>
      </c>
      <c r="AK3365" s="2">
        <f t="shared" si="478"/>
        <v>-13.253399999999999</v>
      </c>
      <c r="AL3365" s="18">
        <f>IF(T3365=0,IF(W3365&gt;0,-100%,0%),(T3365-W3365)/T3365)</f>
        <v>-1</v>
      </c>
    </row>
    <row r="3366" spans="1:38" x14ac:dyDescent="0.2">
      <c r="A3366" s="2">
        <v>2026</v>
      </c>
      <c r="B3366" s="2">
        <v>3</v>
      </c>
      <c r="D3366" s="2" t="s">
        <v>1312</v>
      </c>
      <c r="E3366" s="2" t="s">
        <v>38</v>
      </c>
      <c r="F3366" s="2" t="s">
        <v>39</v>
      </c>
      <c r="G3366" s="2">
        <v>509512739</v>
      </c>
      <c r="H3366" s="2" t="s">
        <v>41</v>
      </c>
      <c r="I3366" s="2" t="s">
        <v>177</v>
      </c>
      <c r="J3366" s="2" t="s">
        <v>1313</v>
      </c>
      <c r="L3366" s="2" t="s">
        <v>177</v>
      </c>
      <c r="M3366" s="2" t="s">
        <v>41</v>
      </c>
      <c r="O3366" s="2" t="s">
        <v>2676</v>
      </c>
      <c r="P3366" s="2" t="s">
        <v>43</v>
      </c>
      <c r="Q3366" s="2" t="s">
        <v>592</v>
      </c>
      <c r="R3366" s="2" t="s">
        <v>593</v>
      </c>
      <c r="S3366" s="2">
        <v>1</v>
      </c>
      <c r="T3366" s="2">
        <v>36</v>
      </c>
      <c r="U3366" s="2">
        <v>8.2800000000000011</v>
      </c>
      <c r="V3366" s="2">
        <v>44.28</v>
      </c>
      <c r="W3366" s="2">
        <f>11.295*S3366</f>
        <v>11.295</v>
      </c>
      <c r="X3366" s="5">
        <f t="shared" ref="X3366:X3373" si="479">(T3366-W3366)/T3366</f>
        <v>0.68624999999999992</v>
      </c>
      <c r="Z3366" s="2" t="s">
        <v>3227</v>
      </c>
      <c r="AA3366" s="2" t="s">
        <v>46</v>
      </c>
      <c r="AB3366" s="2" t="s">
        <v>47</v>
      </c>
      <c r="AC3366" s="2" t="s">
        <v>57</v>
      </c>
      <c r="AF3366" s="2">
        <f t="shared" si="472"/>
        <v>0</v>
      </c>
      <c r="AG3366" s="2">
        <v>11.76</v>
      </c>
      <c r="AH3366" s="2">
        <v>36</v>
      </c>
      <c r="AJ3366" s="2">
        <f t="shared" si="473"/>
        <v>0</v>
      </c>
      <c r="AK3366" s="2">
        <f t="shared" si="478"/>
        <v>24.704999999999998</v>
      </c>
      <c r="AL3366" s="5">
        <f t="shared" ref="AL3366:AL3373" si="480">(T3366-W3366)/T3366</f>
        <v>0.68624999999999992</v>
      </c>
    </row>
    <row r="3367" spans="1:38" x14ac:dyDescent="0.2">
      <c r="A3367" s="2">
        <v>2026</v>
      </c>
      <c r="B3367" s="2">
        <v>3</v>
      </c>
      <c r="D3367" s="2" t="s">
        <v>813</v>
      </c>
      <c r="E3367" s="2" t="s">
        <v>38</v>
      </c>
      <c r="F3367" s="2" t="s">
        <v>39</v>
      </c>
      <c r="G3367" s="2" t="s">
        <v>814</v>
      </c>
      <c r="H3367" s="2" t="s">
        <v>41</v>
      </c>
      <c r="I3367" s="2" t="s">
        <v>626</v>
      </c>
      <c r="L3367" s="2" t="s">
        <v>626</v>
      </c>
      <c r="M3367" s="2" t="s">
        <v>41</v>
      </c>
      <c r="O3367" s="2" t="s">
        <v>2677</v>
      </c>
      <c r="P3367" s="2" t="s">
        <v>43</v>
      </c>
      <c r="Q3367" s="2" t="s">
        <v>50</v>
      </c>
      <c r="R3367" s="2" t="s">
        <v>51</v>
      </c>
      <c r="S3367" s="2">
        <v>1</v>
      </c>
      <c r="T3367" s="2">
        <v>21</v>
      </c>
      <c r="U3367" s="2">
        <v>4.83</v>
      </c>
      <c r="V3367" s="2">
        <v>25.83</v>
      </c>
      <c r="W3367" s="2">
        <f>14.4*S3367</f>
        <v>14.4</v>
      </c>
      <c r="X3367" s="5">
        <f t="shared" si="479"/>
        <v>0.31428571428571428</v>
      </c>
      <c r="Z3367" s="2" t="s">
        <v>3227</v>
      </c>
      <c r="AA3367" s="2" t="s">
        <v>46</v>
      </c>
      <c r="AB3367" s="2" t="s">
        <v>47</v>
      </c>
      <c r="AC3367" s="2" t="s">
        <v>57</v>
      </c>
      <c r="AF3367" s="2">
        <f t="shared" si="472"/>
        <v>0</v>
      </c>
      <c r="AG3367" s="2">
        <v>14.4</v>
      </c>
      <c r="AH3367" s="2">
        <v>21</v>
      </c>
      <c r="AJ3367" s="2">
        <f t="shared" si="473"/>
        <v>0</v>
      </c>
      <c r="AK3367" s="2">
        <f t="shared" si="478"/>
        <v>6.6</v>
      </c>
      <c r="AL3367" s="5">
        <f t="shared" si="480"/>
        <v>0.31428571428571428</v>
      </c>
    </row>
    <row r="3368" spans="1:38" x14ac:dyDescent="0.2">
      <c r="A3368" s="2">
        <v>2026</v>
      </c>
      <c r="B3368" s="2">
        <v>3</v>
      </c>
      <c r="D3368" s="2" t="s">
        <v>37</v>
      </c>
      <c r="E3368" s="2" t="s">
        <v>38</v>
      </c>
      <c r="F3368" s="2" t="s">
        <v>39</v>
      </c>
      <c r="H3368" s="2" t="s">
        <v>40</v>
      </c>
      <c r="M3368" s="2" t="s">
        <v>41</v>
      </c>
      <c r="P3368" s="2" t="s">
        <v>43</v>
      </c>
      <c r="Q3368" s="2" t="s">
        <v>160</v>
      </c>
      <c r="R3368" s="2" t="s">
        <v>161</v>
      </c>
      <c r="S3368" s="2">
        <v>1</v>
      </c>
      <c r="T3368" s="2">
        <v>9</v>
      </c>
      <c r="U3368" s="2">
        <v>2.0699999999999998</v>
      </c>
      <c r="V3368" s="2">
        <v>11.07</v>
      </c>
      <c r="W3368" s="2">
        <f>3.7358*S3368</f>
        <v>3.7357999999999998</v>
      </c>
      <c r="X3368" s="5">
        <f t="shared" si="479"/>
        <v>0.58491111111111116</v>
      </c>
      <c r="Z3368" s="2" t="s">
        <v>3227</v>
      </c>
      <c r="AA3368" s="2" t="s">
        <v>46</v>
      </c>
      <c r="AB3368" s="2" t="s">
        <v>47</v>
      </c>
      <c r="AC3368" s="2" t="s">
        <v>57</v>
      </c>
      <c r="AF3368" s="2">
        <f t="shared" si="472"/>
        <v>0</v>
      </c>
      <c r="AG3368" s="2">
        <v>3.7357999999999998</v>
      </c>
      <c r="AH3368" s="2">
        <v>9</v>
      </c>
      <c r="AJ3368" s="2">
        <f t="shared" si="473"/>
        <v>0</v>
      </c>
      <c r="AK3368" s="2">
        <f t="shared" si="478"/>
        <v>5.2642000000000007</v>
      </c>
      <c r="AL3368" s="5">
        <f t="shared" si="480"/>
        <v>0.58491111111111116</v>
      </c>
    </row>
    <row r="3369" spans="1:38" x14ac:dyDescent="0.2">
      <c r="A3369" s="2">
        <v>2026</v>
      </c>
      <c r="B3369" s="2">
        <v>3</v>
      </c>
      <c r="D3369" s="2" t="s">
        <v>813</v>
      </c>
      <c r="E3369" s="2" t="s">
        <v>38</v>
      </c>
      <c r="F3369" s="2" t="s">
        <v>39</v>
      </c>
      <c r="G3369" s="2" t="s">
        <v>814</v>
      </c>
      <c r="H3369" s="2" t="s">
        <v>41</v>
      </c>
      <c r="I3369" s="2" t="s">
        <v>626</v>
      </c>
      <c r="L3369" s="2" t="s">
        <v>626</v>
      </c>
      <c r="M3369" s="2" t="s">
        <v>41</v>
      </c>
      <c r="O3369" s="2" t="s">
        <v>2677</v>
      </c>
      <c r="P3369" s="2" t="s">
        <v>43</v>
      </c>
      <c r="Q3369" s="2" t="s">
        <v>160</v>
      </c>
      <c r="R3369" s="2" t="s">
        <v>161</v>
      </c>
      <c r="S3369" s="2">
        <v>1</v>
      </c>
      <c r="T3369" s="2">
        <v>9</v>
      </c>
      <c r="U3369" s="2">
        <v>2.0699999999999998</v>
      </c>
      <c r="V3369" s="2">
        <v>11.07</v>
      </c>
      <c r="W3369" s="2">
        <f>3.7358*S3369</f>
        <v>3.7357999999999998</v>
      </c>
      <c r="X3369" s="5">
        <f t="shared" si="479"/>
        <v>0.58491111111111116</v>
      </c>
      <c r="Z3369" s="2" t="s">
        <v>3227</v>
      </c>
      <c r="AA3369" s="2" t="s">
        <v>46</v>
      </c>
      <c r="AB3369" s="2" t="s">
        <v>47</v>
      </c>
      <c r="AC3369" s="2" t="s">
        <v>57</v>
      </c>
      <c r="AF3369" s="2">
        <f t="shared" si="472"/>
        <v>0</v>
      </c>
      <c r="AG3369" s="2">
        <v>3.7357999999999998</v>
      </c>
      <c r="AH3369" s="2">
        <v>9</v>
      </c>
      <c r="AJ3369" s="2">
        <f t="shared" si="473"/>
        <v>0</v>
      </c>
      <c r="AK3369" s="2">
        <f t="shared" si="478"/>
        <v>5.2642000000000007</v>
      </c>
      <c r="AL3369" s="5">
        <f t="shared" si="480"/>
        <v>0.58491111111111116</v>
      </c>
    </row>
    <row r="3370" spans="1:38" x14ac:dyDescent="0.2">
      <c r="A3370" s="2">
        <v>2026</v>
      </c>
      <c r="B3370" s="2">
        <v>3</v>
      </c>
      <c r="D3370" s="2" t="s">
        <v>439</v>
      </c>
      <c r="E3370" s="2" t="s">
        <v>38</v>
      </c>
      <c r="F3370" s="2" t="s">
        <v>39</v>
      </c>
      <c r="G3370" s="2">
        <v>205800831</v>
      </c>
      <c r="H3370" s="2" t="s">
        <v>41</v>
      </c>
      <c r="I3370" s="2" t="s">
        <v>177</v>
      </c>
      <c r="J3370" s="2" t="s">
        <v>3176</v>
      </c>
      <c r="K3370" s="2">
        <v>911577458</v>
      </c>
      <c r="L3370" s="2" t="s">
        <v>177</v>
      </c>
      <c r="M3370" s="2" t="s">
        <v>41</v>
      </c>
      <c r="O3370" s="2" t="s">
        <v>3180</v>
      </c>
      <c r="P3370" s="2" t="s">
        <v>43</v>
      </c>
      <c r="Q3370" s="2" t="s">
        <v>160</v>
      </c>
      <c r="R3370" s="2" t="s">
        <v>161</v>
      </c>
      <c r="S3370" s="2">
        <v>2</v>
      </c>
      <c r="T3370" s="2">
        <v>18</v>
      </c>
      <c r="U3370" s="2">
        <v>4.1400000000000006</v>
      </c>
      <c r="V3370" s="2">
        <v>22.14</v>
      </c>
      <c r="W3370" s="2">
        <f>3.7358*S3370</f>
        <v>7.4715999999999996</v>
      </c>
      <c r="X3370" s="5">
        <f t="shared" si="479"/>
        <v>0.58491111111111116</v>
      </c>
      <c r="Z3370" s="2" t="s">
        <v>3227</v>
      </c>
      <c r="AA3370" s="2" t="s">
        <v>46</v>
      </c>
      <c r="AB3370" s="2" t="s">
        <v>47</v>
      </c>
      <c r="AC3370" s="2" t="s">
        <v>57</v>
      </c>
      <c r="AF3370" s="2">
        <f t="shared" si="472"/>
        <v>0</v>
      </c>
      <c r="AG3370" s="2">
        <v>3.7357999999999998</v>
      </c>
      <c r="AH3370" s="2">
        <v>9</v>
      </c>
      <c r="AJ3370" s="2">
        <f t="shared" si="473"/>
        <v>0</v>
      </c>
      <c r="AK3370" s="2">
        <f t="shared" si="478"/>
        <v>10.528400000000001</v>
      </c>
      <c r="AL3370" s="5">
        <f t="shared" si="480"/>
        <v>0.58491111111111116</v>
      </c>
    </row>
    <row r="3371" spans="1:38" x14ac:dyDescent="0.2">
      <c r="A3371" s="2">
        <v>2026</v>
      </c>
      <c r="B3371" s="2">
        <v>3</v>
      </c>
      <c r="D3371" s="2" t="s">
        <v>588</v>
      </c>
      <c r="E3371" s="2" t="s">
        <v>38</v>
      </c>
      <c r="F3371" s="2" t="s">
        <v>39</v>
      </c>
      <c r="G3371" s="2">
        <v>510339298</v>
      </c>
      <c r="H3371" s="2" t="s">
        <v>41</v>
      </c>
      <c r="I3371" s="2" t="s">
        <v>177</v>
      </c>
      <c r="J3371" s="2" t="s">
        <v>589</v>
      </c>
      <c r="L3371" s="2" t="s">
        <v>177</v>
      </c>
      <c r="M3371" s="2" t="s">
        <v>41</v>
      </c>
      <c r="P3371" s="2" t="s">
        <v>43</v>
      </c>
      <c r="Q3371" s="2" t="s">
        <v>160</v>
      </c>
      <c r="R3371" s="2" t="s">
        <v>161</v>
      </c>
      <c r="S3371" s="2">
        <v>1</v>
      </c>
      <c r="T3371" s="2">
        <v>9</v>
      </c>
      <c r="U3371" s="2">
        <v>2.0699999999999998</v>
      </c>
      <c r="V3371" s="2">
        <v>11.07</v>
      </c>
      <c r="W3371" s="2">
        <f>3.7358*S3371</f>
        <v>3.7357999999999998</v>
      </c>
      <c r="X3371" s="5">
        <f t="shared" si="479"/>
        <v>0.58491111111111116</v>
      </c>
      <c r="Z3371" s="2" t="s">
        <v>3227</v>
      </c>
      <c r="AA3371" s="2" t="s">
        <v>46</v>
      </c>
      <c r="AB3371" s="2" t="s">
        <v>47</v>
      </c>
      <c r="AC3371" s="2" t="s">
        <v>57</v>
      </c>
      <c r="AF3371" s="2">
        <f t="shared" si="472"/>
        <v>0</v>
      </c>
      <c r="AG3371" s="2">
        <v>3.7357999999999998</v>
      </c>
      <c r="AH3371" s="2">
        <v>9</v>
      </c>
      <c r="AJ3371" s="2">
        <f t="shared" si="473"/>
        <v>0</v>
      </c>
      <c r="AK3371" s="2">
        <f t="shared" si="478"/>
        <v>5.2642000000000007</v>
      </c>
      <c r="AL3371" s="5">
        <f t="shared" si="480"/>
        <v>0.58491111111111116</v>
      </c>
    </row>
    <row r="3372" spans="1:38" x14ac:dyDescent="0.2">
      <c r="A3372" s="2">
        <v>2026</v>
      </c>
      <c r="B3372" s="2">
        <v>3</v>
      </c>
      <c r="D3372" s="2" t="s">
        <v>2516</v>
      </c>
      <c r="E3372" s="2" t="s">
        <v>752</v>
      </c>
      <c r="F3372" s="2" t="s">
        <v>39</v>
      </c>
      <c r="G3372" s="2">
        <v>515570354</v>
      </c>
      <c r="H3372" s="2" t="s">
        <v>109</v>
      </c>
      <c r="I3372" s="2" t="s">
        <v>2517</v>
      </c>
      <c r="J3372" s="2" t="s">
        <v>2518</v>
      </c>
      <c r="K3372" s="2">
        <v>967032538</v>
      </c>
      <c r="L3372" s="2" t="s">
        <v>398</v>
      </c>
      <c r="M3372" s="2" t="s">
        <v>109</v>
      </c>
      <c r="P3372" s="2" t="s">
        <v>43</v>
      </c>
      <c r="Q3372" s="2" t="s">
        <v>52</v>
      </c>
      <c r="R3372" s="2" t="s">
        <v>53</v>
      </c>
      <c r="S3372" s="2">
        <v>1</v>
      </c>
      <c r="T3372" s="2">
        <v>10.8</v>
      </c>
      <c r="U3372" s="2">
        <v>2.484</v>
      </c>
      <c r="V3372" s="2">
        <v>13.284000000000001</v>
      </c>
      <c r="W3372" s="2">
        <f>5.2973*S3372</f>
        <v>5.2972999999999999</v>
      </c>
      <c r="X3372" s="5">
        <f t="shared" si="479"/>
        <v>0.50950925925925927</v>
      </c>
      <c r="Z3372" s="2" t="s">
        <v>3227</v>
      </c>
      <c r="AA3372" s="2" t="s">
        <v>46</v>
      </c>
      <c r="AB3372" s="2" t="s">
        <v>47</v>
      </c>
      <c r="AC3372" s="2" t="s">
        <v>57</v>
      </c>
      <c r="AF3372" s="2">
        <f t="shared" si="472"/>
        <v>0</v>
      </c>
      <c r="AG3372" s="2">
        <v>5.2972999999999999</v>
      </c>
      <c r="AH3372" s="2">
        <v>10.8</v>
      </c>
      <c r="AJ3372" s="2">
        <f t="shared" si="473"/>
        <v>0</v>
      </c>
      <c r="AK3372" s="2">
        <f t="shared" si="478"/>
        <v>5.5027000000000008</v>
      </c>
      <c r="AL3372" s="5">
        <f t="shared" si="480"/>
        <v>0.50950925925925927</v>
      </c>
    </row>
    <row r="3373" spans="1:38" x14ac:dyDescent="0.2">
      <c r="A3373" s="2">
        <v>2026</v>
      </c>
      <c r="B3373" s="2">
        <v>3</v>
      </c>
      <c r="D3373" s="2" t="s">
        <v>864</v>
      </c>
      <c r="E3373" s="2" t="s">
        <v>38</v>
      </c>
      <c r="G3373" s="2">
        <v>517724308</v>
      </c>
      <c r="I3373" s="2" t="s">
        <v>177</v>
      </c>
      <c r="L3373" s="2" t="s">
        <v>177</v>
      </c>
      <c r="M3373" s="2" t="s">
        <v>41</v>
      </c>
      <c r="O3373" s="2" t="s">
        <v>2678</v>
      </c>
      <c r="P3373" s="2" t="s">
        <v>43</v>
      </c>
      <c r="Q3373" s="2" t="s">
        <v>52</v>
      </c>
      <c r="R3373" s="2" t="s">
        <v>53</v>
      </c>
      <c r="S3373" s="2">
        <v>1</v>
      </c>
      <c r="T3373" s="2">
        <v>10.8</v>
      </c>
      <c r="U3373" s="2">
        <v>2.484</v>
      </c>
      <c r="V3373" s="2">
        <v>13.284000000000001</v>
      </c>
      <c r="W3373" s="2">
        <f>5.2973*S3373</f>
        <v>5.2972999999999999</v>
      </c>
      <c r="X3373" s="5">
        <f t="shared" si="479"/>
        <v>0.50950925925925927</v>
      </c>
      <c r="Z3373" s="2" t="s">
        <v>3227</v>
      </c>
      <c r="AA3373" s="2" t="s">
        <v>46</v>
      </c>
      <c r="AB3373" s="2" t="s">
        <v>47</v>
      </c>
      <c r="AC3373" s="2" t="s">
        <v>57</v>
      </c>
      <c r="AF3373" s="2">
        <f t="shared" si="472"/>
        <v>0</v>
      </c>
      <c r="AG3373" s="2">
        <v>5.2972999999999999</v>
      </c>
      <c r="AH3373" s="2">
        <v>10.8</v>
      </c>
      <c r="AJ3373" s="2">
        <f t="shared" si="473"/>
        <v>0</v>
      </c>
      <c r="AK3373" s="2">
        <f t="shared" si="478"/>
        <v>5.5027000000000008</v>
      </c>
      <c r="AL3373" s="5">
        <f t="shared" si="480"/>
        <v>0.50950925925925927</v>
      </c>
    </row>
    <row r="3374" spans="1:38" x14ac:dyDescent="0.2">
      <c r="A3374" s="2">
        <v>2026</v>
      </c>
      <c r="B3374" s="2">
        <v>3</v>
      </c>
      <c r="D3374" s="2" t="s">
        <v>597</v>
      </c>
      <c r="E3374" s="2" t="s">
        <v>38</v>
      </c>
      <c r="F3374" s="2" t="s">
        <v>39</v>
      </c>
      <c r="G3374" s="2">
        <v>509680364</v>
      </c>
      <c r="H3374" s="2" t="s">
        <v>41</v>
      </c>
      <c r="I3374" s="2" t="s">
        <v>598</v>
      </c>
      <c r="J3374" s="2" t="s">
        <v>599</v>
      </c>
      <c r="K3374" s="2">
        <v>919603867</v>
      </c>
      <c r="L3374" s="2" t="s">
        <v>600</v>
      </c>
      <c r="M3374" s="2" t="s">
        <v>41</v>
      </c>
      <c r="O3374" s="2" t="s">
        <v>2675</v>
      </c>
      <c r="P3374" s="2" t="s">
        <v>43</v>
      </c>
      <c r="Q3374" s="2" t="s">
        <v>52</v>
      </c>
      <c r="R3374" s="2" t="s">
        <v>53</v>
      </c>
      <c r="S3374" s="2">
        <v>1</v>
      </c>
      <c r="T3374" s="2">
        <v>0</v>
      </c>
      <c r="U3374" s="2">
        <v>0</v>
      </c>
      <c r="V3374" s="2">
        <v>0</v>
      </c>
      <c r="W3374" s="2">
        <f>5.2973*S3374</f>
        <v>5.2972999999999999</v>
      </c>
      <c r="X3374" s="18">
        <f>IF(T3374=0,IF(W3374&gt;0,-100%,0%),(T3374-W3374)/T3374)</f>
        <v>-1</v>
      </c>
      <c r="Z3374" s="2" t="s">
        <v>3227</v>
      </c>
      <c r="AA3374" s="2" t="s">
        <v>46</v>
      </c>
      <c r="AB3374" s="2" t="s">
        <v>47</v>
      </c>
      <c r="AC3374" s="2" t="s">
        <v>57</v>
      </c>
      <c r="AF3374" s="2">
        <f t="shared" si="472"/>
        <v>0</v>
      </c>
      <c r="AG3374" s="2">
        <v>5.2972999999999999</v>
      </c>
      <c r="AH3374" s="2">
        <v>10.8</v>
      </c>
      <c r="AJ3374" s="2">
        <f t="shared" si="473"/>
        <v>0</v>
      </c>
      <c r="AK3374" s="2">
        <f t="shared" si="478"/>
        <v>-5.2972999999999999</v>
      </c>
      <c r="AL3374" s="18">
        <f>IF(T3374=0,IF(W3374&gt;0,-100%,0%),(T3374-W3374)/T3374)</f>
        <v>-1</v>
      </c>
    </row>
    <row r="3375" spans="1:38" x14ac:dyDescent="0.2">
      <c r="A3375" s="2">
        <v>2026</v>
      </c>
      <c r="B3375" s="2">
        <v>3</v>
      </c>
      <c r="D3375" s="2" t="s">
        <v>889</v>
      </c>
      <c r="E3375" s="2" t="s">
        <v>108</v>
      </c>
      <c r="F3375" s="2" t="s">
        <v>39</v>
      </c>
      <c r="G3375" s="2">
        <v>507216970</v>
      </c>
      <c r="H3375" s="2" t="s">
        <v>41</v>
      </c>
      <c r="I3375" s="2" t="s">
        <v>890</v>
      </c>
      <c r="J3375" s="2" t="s">
        <v>891</v>
      </c>
      <c r="L3375" s="2" t="s">
        <v>99</v>
      </c>
      <c r="M3375" s="2" t="s">
        <v>41</v>
      </c>
      <c r="O3375" s="2" t="s">
        <v>2679</v>
      </c>
      <c r="P3375" s="2" t="s">
        <v>43</v>
      </c>
      <c r="Q3375" s="2" t="s">
        <v>214</v>
      </c>
      <c r="R3375" s="2" t="s">
        <v>215</v>
      </c>
      <c r="S3375" s="2">
        <v>1</v>
      </c>
      <c r="T3375" s="2">
        <v>15</v>
      </c>
      <c r="U3375" s="2">
        <v>3.45</v>
      </c>
      <c r="V3375" s="2">
        <v>18.45</v>
      </c>
      <c r="W3375" s="2">
        <f>7.915*S3375</f>
        <v>7.915</v>
      </c>
      <c r="X3375" s="5">
        <f t="shared" ref="X3375:X3406" si="481">(T3375-W3375)/T3375</f>
        <v>0.47233333333333333</v>
      </c>
      <c r="Z3375" s="2" t="s">
        <v>3227</v>
      </c>
      <c r="AA3375" s="2" t="s">
        <v>46</v>
      </c>
      <c r="AB3375" s="2" t="s">
        <v>56</v>
      </c>
      <c r="AC3375" s="2" t="s">
        <v>57</v>
      </c>
      <c r="AF3375" s="2">
        <f t="shared" si="472"/>
        <v>0</v>
      </c>
      <c r="AJ3375" s="2">
        <f t="shared" si="473"/>
        <v>0</v>
      </c>
      <c r="AK3375" s="2">
        <f t="shared" si="478"/>
        <v>7.085</v>
      </c>
      <c r="AL3375" s="5">
        <f t="shared" ref="AL3375:AL3406" si="482">(T3375-W3375)/T3375</f>
        <v>0.47233333333333333</v>
      </c>
    </row>
    <row r="3376" spans="1:38" x14ac:dyDescent="0.2">
      <c r="A3376" s="2">
        <v>2026</v>
      </c>
      <c r="B3376" s="2">
        <v>3</v>
      </c>
      <c r="D3376" s="2" t="s">
        <v>889</v>
      </c>
      <c r="E3376" s="2" t="s">
        <v>108</v>
      </c>
      <c r="F3376" s="2" t="s">
        <v>39</v>
      </c>
      <c r="G3376" s="2">
        <v>507216970</v>
      </c>
      <c r="H3376" s="2" t="s">
        <v>41</v>
      </c>
      <c r="I3376" s="2" t="s">
        <v>890</v>
      </c>
      <c r="J3376" s="2" t="s">
        <v>891</v>
      </c>
      <c r="L3376" s="2" t="s">
        <v>99</v>
      </c>
      <c r="M3376" s="2" t="s">
        <v>41</v>
      </c>
      <c r="O3376" s="2" t="s">
        <v>2679</v>
      </c>
      <c r="P3376" s="2" t="s">
        <v>43</v>
      </c>
      <c r="Q3376" s="2" t="s">
        <v>216</v>
      </c>
      <c r="R3376" s="2" t="s">
        <v>217</v>
      </c>
      <c r="S3376" s="2">
        <v>1</v>
      </c>
      <c r="T3376" s="2">
        <v>19.2</v>
      </c>
      <c r="U3376" s="2">
        <v>4.4160000000000004</v>
      </c>
      <c r="V3376" s="2">
        <v>23.616</v>
      </c>
      <c r="W3376" s="2">
        <v>10.035</v>
      </c>
      <c r="X3376" s="5">
        <f t="shared" si="481"/>
        <v>0.47734374999999996</v>
      </c>
      <c r="Z3376" s="2" t="s">
        <v>3227</v>
      </c>
      <c r="AA3376" s="2" t="s">
        <v>46</v>
      </c>
      <c r="AB3376" s="2" t="s">
        <v>56</v>
      </c>
      <c r="AC3376" s="2" t="s">
        <v>57</v>
      </c>
      <c r="AF3376" s="2">
        <f t="shared" si="472"/>
        <v>0</v>
      </c>
      <c r="AJ3376" s="2">
        <f t="shared" si="473"/>
        <v>0</v>
      </c>
      <c r="AK3376" s="2">
        <f t="shared" si="478"/>
        <v>9.1649999999999991</v>
      </c>
      <c r="AL3376" s="5">
        <f t="shared" si="482"/>
        <v>0.47734374999999996</v>
      </c>
    </row>
    <row r="3377" spans="1:38" x14ac:dyDescent="0.2">
      <c r="A3377" s="2">
        <v>2026</v>
      </c>
      <c r="B3377" s="2">
        <v>3</v>
      </c>
      <c r="D3377" s="2" t="s">
        <v>980</v>
      </c>
      <c r="E3377" s="2" t="s">
        <v>38</v>
      </c>
      <c r="F3377" s="2" t="s">
        <v>39</v>
      </c>
      <c r="L3377" s="2" t="s">
        <v>418</v>
      </c>
      <c r="M3377" s="2" t="s">
        <v>41</v>
      </c>
      <c r="P3377" s="2" t="s">
        <v>43</v>
      </c>
      <c r="Q3377" s="2" t="s">
        <v>220</v>
      </c>
      <c r="R3377" s="2" t="s">
        <v>221</v>
      </c>
      <c r="S3377" s="2">
        <v>1</v>
      </c>
      <c r="T3377" s="2">
        <v>27.6</v>
      </c>
      <c r="U3377" s="2">
        <v>6.3480000000000008</v>
      </c>
      <c r="V3377" s="2">
        <v>33.948</v>
      </c>
      <c r="W3377" s="2">
        <v>14.855</v>
      </c>
      <c r="X3377" s="5">
        <f t="shared" si="481"/>
        <v>0.46177536231884059</v>
      </c>
      <c r="Z3377" s="2" t="s">
        <v>3227</v>
      </c>
      <c r="AA3377" s="2" t="s">
        <v>46</v>
      </c>
      <c r="AB3377" s="2" t="s">
        <v>56</v>
      </c>
      <c r="AC3377" s="2" t="s">
        <v>57</v>
      </c>
      <c r="AF3377" s="2">
        <f t="shared" si="472"/>
        <v>0</v>
      </c>
      <c r="AJ3377" s="2">
        <f t="shared" si="473"/>
        <v>0</v>
      </c>
      <c r="AK3377" s="2">
        <f t="shared" si="478"/>
        <v>12.745000000000001</v>
      </c>
      <c r="AL3377" s="5">
        <f t="shared" si="482"/>
        <v>0.46177536231884059</v>
      </c>
    </row>
    <row r="3378" spans="1:38" x14ac:dyDescent="0.2">
      <c r="A3378" s="2">
        <v>2026</v>
      </c>
      <c r="B3378" s="2">
        <v>3</v>
      </c>
      <c r="D3378" s="2" t="s">
        <v>980</v>
      </c>
      <c r="E3378" s="2" t="s">
        <v>38</v>
      </c>
      <c r="F3378" s="2" t="s">
        <v>39</v>
      </c>
      <c r="L3378" s="2" t="s">
        <v>418</v>
      </c>
      <c r="M3378" s="2" t="s">
        <v>41</v>
      </c>
      <c r="P3378" s="2" t="s">
        <v>43</v>
      </c>
      <c r="Q3378" s="2" t="s">
        <v>222</v>
      </c>
      <c r="R3378" s="2" t="s">
        <v>223</v>
      </c>
      <c r="S3378" s="2">
        <v>2</v>
      </c>
      <c r="T3378" s="2">
        <v>49.2</v>
      </c>
      <c r="U3378" s="2">
        <v>11.316000000000001</v>
      </c>
      <c r="V3378" s="2">
        <v>60.516000000000012</v>
      </c>
      <c r="W3378" s="2">
        <f t="shared" ref="W3378:W3379" si="483">16*S3378</f>
        <v>32</v>
      </c>
      <c r="X3378" s="5">
        <f t="shared" si="481"/>
        <v>0.34959349593495936</v>
      </c>
      <c r="Z3378" s="2" t="s">
        <v>3227</v>
      </c>
      <c r="AA3378" s="2" t="s">
        <v>46</v>
      </c>
      <c r="AB3378" s="2" t="s">
        <v>56</v>
      </c>
      <c r="AC3378" s="2" t="s">
        <v>57</v>
      </c>
      <c r="AF3378" s="2">
        <f t="shared" si="472"/>
        <v>0</v>
      </c>
      <c r="AJ3378" s="2">
        <f t="shared" si="473"/>
        <v>0</v>
      </c>
      <c r="AK3378" s="2">
        <f t="shared" si="478"/>
        <v>17.200000000000003</v>
      </c>
      <c r="AL3378" s="5">
        <f t="shared" si="482"/>
        <v>0.34959349593495936</v>
      </c>
    </row>
    <row r="3379" spans="1:38" x14ac:dyDescent="0.2">
      <c r="A3379" s="2">
        <v>2026</v>
      </c>
      <c r="B3379" s="2">
        <v>3</v>
      </c>
      <c r="D3379" s="2" t="s">
        <v>889</v>
      </c>
      <c r="E3379" s="2" t="s">
        <v>108</v>
      </c>
      <c r="F3379" s="2" t="s">
        <v>39</v>
      </c>
      <c r="G3379" s="2">
        <v>507216970</v>
      </c>
      <c r="H3379" s="2" t="s">
        <v>41</v>
      </c>
      <c r="I3379" s="2" t="s">
        <v>890</v>
      </c>
      <c r="J3379" s="2" t="s">
        <v>891</v>
      </c>
      <c r="L3379" s="2" t="s">
        <v>99</v>
      </c>
      <c r="M3379" s="2" t="s">
        <v>41</v>
      </c>
      <c r="O3379" s="2" t="s">
        <v>2679</v>
      </c>
      <c r="P3379" s="2" t="s">
        <v>43</v>
      </c>
      <c r="Q3379" s="2" t="s">
        <v>222</v>
      </c>
      <c r="R3379" s="2" t="s">
        <v>223</v>
      </c>
      <c r="S3379" s="2">
        <v>1</v>
      </c>
      <c r="T3379" s="2">
        <v>30</v>
      </c>
      <c r="U3379" s="2">
        <v>6.9</v>
      </c>
      <c r="V3379" s="2">
        <v>36.9</v>
      </c>
      <c r="W3379" s="2">
        <f t="shared" si="483"/>
        <v>16</v>
      </c>
      <c r="X3379" s="5">
        <f t="shared" si="481"/>
        <v>0.46666666666666667</v>
      </c>
      <c r="Z3379" s="2" t="s">
        <v>3227</v>
      </c>
      <c r="AA3379" s="2" t="s">
        <v>46</v>
      </c>
      <c r="AB3379" s="2" t="s">
        <v>56</v>
      </c>
      <c r="AC3379" s="2" t="s">
        <v>57</v>
      </c>
      <c r="AF3379" s="2">
        <f t="shared" si="472"/>
        <v>0</v>
      </c>
      <c r="AJ3379" s="2">
        <f t="shared" si="473"/>
        <v>0</v>
      </c>
      <c r="AK3379" s="2">
        <f t="shared" si="478"/>
        <v>14</v>
      </c>
      <c r="AL3379" s="5">
        <f t="shared" si="482"/>
        <v>0.46666666666666667</v>
      </c>
    </row>
    <row r="3380" spans="1:38" x14ac:dyDescent="0.2">
      <c r="A3380" s="2">
        <v>2026</v>
      </c>
      <c r="B3380" s="2">
        <v>3</v>
      </c>
      <c r="D3380" s="2" t="s">
        <v>889</v>
      </c>
      <c r="E3380" s="2" t="s">
        <v>108</v>
      </c>
      <c r="F3380" s="2" t="s">
        <v>39</v>
      </c>
      <c r="G3380" s="2">
        <v>507216970</v>
      </c>
      <c r="H3380" s="2" t="s">
        <v>41</v>
      </c>
      <c r="I3380" s="2" t="s">
        <v>890</v>
      </c>
      <c r="J3380" s="2" t="s">
        <v>891</v>
      </c>
      <c r="L3380" s="2" t="s">
        <v>99</v>
      </c>
      <c r="M3380" s="2" t="s">
        <v>41</v>
      </c>
      <c r="O3380" s="2" t="s">
        <v>2679</v>
      </c>
      <c r="P3380" s="2" t="s">
        <v>43</v>
      </c>
      <c r="Q3380" s="2" t="s">
        <v>230</v>
      </c>
      <c r="R3380" s="2" t="s">
        <v>231</v>
      </c>
      <c r="S3380" s="2">
        <v>1</v>
      </c>
      <c r="T3380" s="2">
        <v>13.2</v>
      </c>
      <c r="U3380" s="2">
        <v>3.036</v>
      </c>
      <c r="V3380" s="2">
        <v>16.236000000000001</v>
      </c>
      <c r="W3380" s="2">
        <f>6.605*S3380</f>
        <v>6.6050000000000004</v>
      </c>
      <c r="X3380" s="5">
        <f t="shared" si="481"/>
        <v>0.49962121212121208</v>
      </c>
      <c r="Z3380" s="2" t="s">
        <v>3227</v>
      </c>
      <c r="AA3380" s="2" t="s">
        <v>46</v>
      </c>
      <c r="AB3380" s="2" t="s">
        <v>56</v>
      </c>
      <c r="AC3380" s="2" t="s">
        <v>57</v>
      </c>
      <c r="AF3380" s="2">
        <f t="shared" si="472"/>
        <v>0</v>
      </c>
      <c r="AJ3380" s="2">
        <f t="shared" si="473"/>
        <v>0</v>
      </c>
      <c r="AK3380" s="2">
        <f t="shared" si="478"/>
        <v>6.5949999999999989</v>
      </c>
      <c r="AL3380" s="5">
        <f t="shared" si="482"/>
        <v>0.49962121212121208</v>
      </c>
    </row>
    <row r="3381" spans="1:38" x14ac:dyDescent="0.2">
      <c r="A3381" s="2">
        <v>2026</v>
      </c>
      <c r="B3381" s="2">
        <v>3</v>
      </c>
      <c r="D3381" s="2" t="s">
        <v>2516</v>
      </c>
      <c r="E3381" s="2" t="s">
        <v>752</v>
      </c>
      <c r="F3381" s="2" t="s">
        <v>39</v>
      </c>
      <c r="G3381" s="2">
        <v>515570354</v>
      </c>
      <c r="H3381" s="2" t="s">
        <v>109</v>
      </c>
      <c r="I3381" s="2" t="s">
        <v>2517</v>
      </c>
      <c r="J3381" s="2" t="s">
        <v>2518</v>
      </c>
      <c r="K3381" s="2">
        <v>967032538</v>
      </c>
      <c r="L3381" s="2" t="s">
        <v>398</v>
      </c>
      <c r="M3381" s="2" t="s">
        <v>109</v>
      </c>
      <c r="P3381" s="2" t="s">
        <v>43</v>
      </c>
      <c r="Q3381" s="2" t="s">
        <v>232</v>
      </c>
      <c r="R3381" s="2" t="s">
        <v>233</v>
      </c>
      <c r="S3381" s="2">
        <v>1</v>
      </c>
      <c r="T3381" s="2">
        <v>12.6</v>
      </c>
      <c r="U3381" s="2">
        <v>2.8980000000000001</v>
      </c>
      <c r="V3381" s="2">
        <v>15.497999999999999</v>
      </c>
      <c r="W3381" s="2">
        <v>5.9066999999999998</v>
      </c>
      <c r="X3381" s="5">
        <f t="shared" si="481"/>
        <v>0.53121428571428575</v>
      </c>
      <c r="Z3381" s="2" t="s">
        <v>3227</v>
      </c>
      <c r="AA3381" s="2" t="s">
        <v>46</v>
      </c>
      <c r="AB3381" s="2" t="s">
        <v>56</v>
      </c>
      <c r="AC3381" s="2" t="s">
        <v>57</v>
      </c>
      <c r="AF3381" s="2">
        <f t="shared" si="472"/>
        <v>0</v>
      </c>
      <c r="AG3381" s="2">
        <v>5.9066999999999998</v>
      </c>
      <c r="AH3381" s="2">
        <v>12.6</v>
      </c>
      <c r="AJ3381" s="2">
        <f t="shared" si="473"/>
        <v>0</v>
      </c>
      <c r="AK3381" s="2">
        <f t="shared" si="478"/>
        <v>6.6932999999999998</v>
      </c>
      <c r="AL3381" s="5">
        <f t="shared" si="482"/>
        <v>0.53121428571428575</v>
      </c>
    </row>
    <row r="3382" spans="1:38" x14ac:dyDescent="0.2">
      <c r="A3382" s="2">
        <v>2026</v>
      </c>
      <c r="B3382" s="2">
        <v>3</v>
      </c>
      <c r="D3382" s="2" t="s">
        <v>889</v>
      </c>
      <c r="E3382" s="2" t="s">
        <v>108</v>
      </c>
      <c r="F3382" s="2" t="s">
        <v>39</v>
      </c>
      <c r="G3382" s="2">
        <v>507216970</v>
      </c>
      <c r="H3382" s="2" t="s">
        <v>41</v>
      </c>
      <c r="I3382" s="2" t="s">
        <v>890</v>
      </c>
      <c r="J3382" s="2" t="s">
        <v>891</v>
      </c>
      <c r="L3382" s="2" t="s">
        <v>99</v>
      </c>
      <c r="M3382" s="2" t="s">
        <v>41</v>
      </c>
      <c r="O3382" s="2" t="s">
        <v>2679</v>
      </c>
      <c r="P3382" s="2" t="s">
        <v>43</v>
      </c>
      <c r="Q3382" s="2" t="s">
        <v>232</v>
      </c>
      <c r="R3382" s="2" t="s">
        <v>233</v>
      </c>
      <c r="S3382" s="2">
        <v>1</v>
      </c>
      <c r="T3382" s="2">
        <v>12.6</v>
      </c>
      <c r="U3382" s="2">
        <v>2.8980000000000001</v>
      </c>
      <c r="V3382" s="2">
        <v>15.497999999999999</v>
      </c>
      <c r="W3382" s="2">
        <v>5.9066999999999998</v>
      </c>
      <c r="X3382" s="5">
        <f t="shared" si="481"/>
        <v>0.53121428571428575</v>
      </c>
      <c r="Z3382" s="2" t="s">
        <v>3227</v>
      </c>
      <c r="AA3382" s="2" t="s">
        <v>46</v>
      </c>
      <c r="AB3382" s="2" t="s">
        <v>56</v>
      </c>
      <c r="AC3382" s="2" t="s">
        <v>57</v>
      </c>
      <c r="AF3382" s="2">
        <f t="shared" si="472"/>
        <v>0</v>
      </c>
      <c r="AG3382" s="2">
        <v>5.9066999999999998</v>
      </c>
      <c r="AH3382" s="2">
        <v>12.6</v>
      </c>
      <c r="AJ3382" s="2">
        <f t="shared" si="473"/>
        <v>0</v>
      </c>
      <c r="AK3382" s="2">
        <f t="shared" ref="AK3382:AK3413" si="484">T3382-W3382</f>
        <v>6.6932999999999998</v>
      </c>
      <c r="AL3382" s="5">
        <f t="shared" si="482"/>
        <v>0.53121428571428575</v>
      </c>
    </row>
    <row r="3383" spans="1:38" x14ac:dyDescent="0.2">
      <c r="A3383" s="2">
        <v>2026</v>
      </c>
      <c r="B3383" s="2">
        <v>3</v>
      </c>
      <c r="D3383" s="2" t="s">
        <v>1419</v>
      </c>
      <c r="E3383" s="2" t="s">
        <v>108</v>
      </c>
      <c r="F3383" s="2" t="s">
        <v>39</v>
      </c>
      <c r="G3383" s="2">
        <v>513795855</v>
      </c>
      <c r="H3383" s="2" t="s">
        <v>41</v>
      </c>
      <c r="I3383" s="2" t="s">
        <v>1272</v>
      </c>
      <c r="J3383" s="2" t="s">
        <v>2394</v>
      </c>
      <c r="L3383" s="2" t="s">
        <v>177</v>
      </c>
      <c r="M3383" s="2" t="s">
        <v>41</v>
      </c>
      <c r="P3383" s="2" t="s">
        <v>43</v>
      </c>
      <c r="Q3383" s="2" t="s">
        <v>234</v>
      </c>
      <c r="R3383" s="2" t="s">
        <v>235</v>
      </c>
      <c r="S3383" s="2">
        <v>2</v>
      </c>
      <c r="T3383" s="2">
        <v>28.8</v>
      </c>
      <c r="U3383" s="2">
        <v>6.6240000000000014</v>
      </c>
      <c r="V3383" s="2">
        <v>35.423999999999999</v>
      </c>
      <c r="W3383" s="2">
        <f>7.2217*S3383</f>
        <v>14.4434</v>
      </c>
      <c r="X3383" s="5">
        <f t="shared" si="481"/>
        <v>0.49849305555555556</v>
      </c>
      <c r="Z3383" s="2" t="s">
        <v>3227</v>
      </c>
      <c r="AA3383" s="2" t="s">
        <v>46</v>
      </c>
      <c r="AB3383" s="2" t="s">
        <v>56</v>
      </c>
      <c r="AC3383" s="2" t="s">
        <v>57</v>
      </c>
      <c r="AF3383" s="2">
        <f t="shared" si="472"/>
        <v>0</v>
      </c>
      <c r="AG3383" s="2">
        <v>7.2217000000000002</v>
      </c>
      <c r="AH3383" s="2">
        <v>14.4</v>
      </c>
      <c r="AJ3383" s="2">
        <f t="shared" si="473"/>
        <v>0</v>
      </c>
      <c r="AK3383" s="2">
        <f t="shared" si="484"/>
        <v>14.3566</v>
      </c>
      <c r="AL3383" s="5">
        <f t="shared" si="482"/>
        <v>0.49849305555555556</v>
      </c>
    </row>
    <row r="3384" spans="1:38" x14ac:dyDescent="0.2">
      <c r="A3384" s="2">
        <v>2026</v>
      </c>
      <c r="B3384" s="2">
        <v>3</v>
      </c>
      <c r="D3384" s="2" t="s">
        <v>889</v>
      </c>
      <c r="E3384" s="2" t="s">
        <v>108</v>
      </c>
      <c r="F3384" s="2" t="s">
        <v>39</v>
      </c>
      <c r="G3384" s="2">
        <v>507216970</v>
      </c>
      <c r="H3384" s="2" t="s">
        <v>41</v>
      </c>
      <c r="I3384" s="2" t="s">
        <v>890</v>
      </c>
      <c r="J3384" s="2" t="s">
        <v>891</v>
      </c>
      <c r="L3384" s="2" t="s">
        <v>99</v>
      </c>
      <c r="M3384" s="2" t="s">
        <v>41</v>
      </c>
      <c r="O3384" s="2" t="s">
        <v>2679</v>
      </c>
      <c r="P3384" s="2" t="s">
        <v>43</v>
      </c>
      <c r="Q3384" s="2" t="s">
        <v>234</v>
      </c>
      <c r="R3384" s="2" t="s">
        <v>235</v>
      </c>
      <c r="S3384" s="2">
        <v>1</v>
      </c>
      <c r="T3384" s="2">
        <v>14.4</v>
      </c>
      <c r="U3384" s="2">
        <v>3.3119999999999998</v>
      </c>
      <c r="V3384" s="2">
        <v>17.712</v>
      </c>
      <c r="W3384" s="2">
        <v>7.2217000000000002</v>
      </c>
      <c r="X3384" s="5">
        <f t="shared" si="481"/>
        <v>0.49849305555555556</v>
      </c>
      <c r="Z3384" s="2" t="s">
        <v>3227</v>
      </c>
      <c r="AA3384" s="2" t="s">
        <v>46</v>
      </c>
      <c r="AB3384" s="2" t="s">
        <v>56</v>
      </c>
      <c r="AC3384" s="2" t="s">
        <v>57</v>
      </c>
      <c r="AF3384" s="2">
        <f t="shared" si="472"/>
        <v>0</v>
      </c>
      <c r="AG3384" s="2">
        <v>7.2217000000000002</v>
      </c>
      <c r="AH3384" s="2">
        <v>14.4</v>
      </c>
      <c r="AJ3384" s="2">
        <f t="shared" si="473"/>
        <v>0</v>
      </c>
      <c r="AK3384" s="2">
        <f t="shared" si="484"/>
        <v>7.1783000000000001</v>
      </c>
      <c r="AL3384" s="5">
        <f t="shared" si="482"/>
        <v>0.49849305555555556</v>
      </c>
    </row>
    <row r="3385" spans="1:38" x14ac:dyDescent="0.2">
      <c r="A3385" s="2">
        <v>2026</v>
      </c>
      <c r="B3385" s="2">
        <v>3</v>
      </c>
      <c r="D3385" s="2" t="s">
        <v>2516</v>
      </c>
      <c r="E3385" s="2" t="s">
        <v>752</v>
      </c>
      <c r="F3385" s="2" t="s">
        <v>39</v>
      </c>
      <c r="G3385" s="2">
        <v>515570354</v>
      </c>
      <c r="H3385" s="2" t="s">
        <v>109</v>
      </c>
      <c r="I3385" s="2" t="s">
        <v>2517</v>
      </c>
      <c r="J3385" s="2" t="s">
        <v>2518</v>
      </c>
      <c r="K3385" s="2">
        <v>967032538</v>
      </c>
      <c r="L3385" s="2" t="s">
        <v>398</v>
      </c>
      <c r="M3385" s="2" t="s">
        <v>109</v>
      </c>
      <c r="P3385" s="2" t="s">
        <v>43</v>
      </c>
      <c r="Q3385" s="2" t="s">
        <v>236</v>
      </c>
      <c r="R3385" s="2" t="s">
        <v>237</v>
      </c>
      <c r="S3385" s="2">
        <v>1</v>
      </c>
      <c r="T3385" s="2">
        <v>17.399999999999999</v>
      </c>
      <c r="U3385" s="2">
        <v>4.0019999999999998</v>
      </c>
      <c r="V3385" s="2">
        <v>21.402000000000001</v>
      </c>
      <c r="W3385" s="2">
        <f>9.075*S3385</f>
        <v>9.0749999999999993</v>
      </c>
      <c r="X3385" s="5">
        <f t="shared" si="481"/>
        <v>0.47844827586206895</v>
      </c>
      <c r="Z3385" s="2" t="s">
        <v>3227</v>
      </c>
      <c r="AA3385" s="2" t="s">
        <v>46</v>
      </c>
      <c r="AB3385" s="2" t="s">
        <v>56</v>
      </c>
      <c r="AC3385" s="2" t="s">
        <v>57</v>
      </c>
      <c r="AF3385" s="2">
        <f t="shared" si="472"/>
        <v>0</v>
      </c>
      <c r="AJ3385" s="2">
        <f t="shared" si="473"/>
        <v>0</v>
      </c>
      <c r="AK3385" s="2">
        <f t="shared" si="484"/>
        <v>8.3249999999999993</v>
      </c>
      <c r="AL3385" s="5">
        <f t="shared" si="482"/>
        <v>0.47844827586206895</v>
      </c>
    </row>
    <row r="3386" spans="1:38" x14ac:dyDescent="0.2">
      <c r="A3386" s="2">
        <v>2026</v>
      </c>
      <c r="B3386" s="2">
        <v>3</v>
      </c>
      <c r="D3386" s="2" t="s">
        <v>1419</v>
      </c>
      <c r="E3386" s="2" t="s">
        <v>108</v>
      </c>
      <c r="F3386" s="2" t="s">
        <v>39</v>
      </c>
      <c r="G3386" s="2">
        <v>513795855</v>
      </c>
      <c r="H3386" s="2" t="s">
        <v>41</v>
      </c>
      <c r="I3386" s="2" t="s">
        <v>1272</v>
      </c>
      <c r="J3386" s="2" t="s">
        <v>2394</v>
      </c>
      <c r="L3386" s="2" t="s">
        <v>177</v>
      </c>
      <c r="M3386" s="2" t="s">
        <v>41</v>
      </c>
      <c r="P3386" s="2" t="s">
        <v>43</v>
      </c>
      <c r="Q3386" s="2" t="s">
        <v>236</v>
      </c>
      <c r="R3386" s="2" t="s">
        <v>237</v>
      </c>
      <c r="S3386" s="2">
        <v>2</v>
      </c>
      <c r="T3386" s="2">
        <v>34.799999999999997</v>
      </c>
      <c r="U3386" s="2">
        <v>8.0039999999999996</v>
      </c>
      <c r="V3386" s="2">
        <v>42.803999999999988</v>
      </c>
      <c r="W3386" s="2">
        <f>9.075*S3386</f>
        <v>18.149999999999999</v>
      </c>
      <c r="X3386" s="5">
        <f t="shared" si="481"/>
        <v>0.47844827586206895</v>
      </c>
      <c r="Z3386" s="2" t="s">
        <v>3227</v>
      </c>
      <c r="AA3386" s="2" t="s">
        <v>46</v>
      </c>
      <c r="AB3386" s="2" t="s">
        <v>56</v>
      </c>
      <c r="AC3386" s="2" t="s">
        <v>57</v>
      </c>
      <c r="AF3386" s="2">
        <f t="shared" si="472"/>
        <v>0</v>
      </c>
      <c r="AJ3386" s="2">
        <f t="shared" si="473"/>
        <v>0</v>
      </c>
      <c r="AK3386" s="2">
        <f t="shared" si="484"/>
        <v>16.649999999999999</v>
      </c>
      <c r="AL3386" s="5">
        <f t="shared" si="482"/>
        <v>0.47844827586206895</v>
      </c>
    </row>
    <row r="3387" spans="1:38" x14ac:dyDescent="0.2">
      <c r="A3387" s="2">
        <v>2026</v>
      </c>
      <c r="B3387" s="2">
        <v>3</v>
      </c>
      <c r="D3387" s="2" t="s">
        <v>889</v>
      </c>
      <c r="E3387" s="2" t="s">
        <v>108</v>
      </c>
      <c r="F3387" s="2" t="s">
        <v>39</v>
      </c>
      <c r="G3387" s="2">
        <v>507216970</v>
      </c>
      <c r="H3387" s="2" t="s">
        <v>41</v>
      </c>
      <c r="I3387" s="2" t="s">
        <v>890</v>
      </c>
      <c r="J3387" s="2" t="s">
        <v>891</v>
      </c>
      <c r="L3387" s="2" t="s">
        <v>99</v>
      </c>
      <c r="M3387" s="2" t="s">
        <v>41</v>
      </c>
      <c r="O3387" s="2" t="s">
        <v>2680</v>
      </c>
      <c r="P3387" s="2" t="s">
        <v>43</v>
      </c>
      <c r="Q3387" s="2" t="s">
        <v>236</v>
      </c>
      <c r="R3387" s="2" t="s">
        <v>237</v>
      </c>
      <c r="S3387" s="2">
        <v>1</v>
      </c>
      <c r="T3387" s="2">
        <v>17.399999999999999</v>
      </c>
      <c r="U3387" s="2">
        <v>4.0019999999999998</v>
      </c>
      <c r="V3387" s="2">
        <v>21.402000000000001</v>
      </c>
      <c r="W3387" s="2">
        <f>9.075*S3387</f>
        <v>9.0749999999999993</v>
      </c>
      <c r="X3387" s="5">
        <f t="shared" si="481"/>
        <v>0.47844827586206895</v>
      </c>
      <c r="Z3387" s="2" t="s">
        <v>3227</v>
      </c>
      <c r="AA3387" s="2" t="s">
        <v>46</v>
      </c>
      <c r="AB3387" s="2" t="s">
        <v>56</v>
      </c>
      <c r="AC3387" s="2" t="s">
        <v>57</v>
      </c>
      <c r="AF3387" s="2">
        <f t="shared" si="472"/>
        <v>0</v>
      </c>
      <c r="AJ3387" s="2">
        <f t="shared" si="473"/>
        <v>0</v>
      </c>
      <c r="AK3387" s="2">
        <f t="shared" si="484"/>
        <v>8.3249999999999993</v>
      </c>
      <c r="AL3387" s="5">
        <f t="shared" si="482"/>
        <v>0.47844827586206895</v>
      </c>
    </row>
    <row r="3388" spans="1:38" x14ac:dyDescent="0.2">
      <c r="A3388" s="2">
        <v>2026</v>
      </c>
      <c r="B3388" s="2">
        <v>3</v>
      </c>
      <c r="D3388" s="2" t="s">
        <v>2516</v>
      </c>
      <c r="E3388" s="2" t="s">
        <v>752</v>
      </c>
      <c r="F3388" s="2" t="s">
        <v>39</v>
      </c>
      <c r="G3388" s="2">
        <v>515570354</v>
      </c>
      <c r="H3388" s="2" t="s">
        <v>109</v>
      </c>
      <c r="I3388" s="2" t="s">
        <v>2517</v>
      </c>
      <c r="J3388" s="2" t="s">
        <v>2518</v>
      </c>
      <c r="K3388" s="2">
        <v>967032538</v>
      </c>
      <c r="L3388" s="2" t="s">
        <v>398</v>
      </c>
      <c r="M3388" s="2" t="s">
        <v>109</v>
      </c>
      <c r="P3388" s="2" t="s">
        <v>43</v>
      </c>
      <c r="Q3388" s="2" t="s">
        <v>238</v>
      </c>
      <c r="R3388" s="2" t="s">
        <v>239</v>
      </c>
      <c r="S3388" s="2">
        <v>1</v>
      </c>
      <c r="T3388" s="2">
        <v>21</v>
      </c>
      <c r="U3388" s="2">
        <v>4.83</v>
      </c>
      <c r="V3388" s="2">
        <v>25.83</v>
      </c>
      <c r="W3388" s="2">
        <f t="shared" ref="W3388:W3389" si="485">11.045*S3388</f>
        <v>11.045</v>
      </c>
      <c r="X3388" s="5">
        <f t="shared" si="481"/>
        <v>0.47404761904761905</v>
      </c>
      <c r="Z3388" s="2" t="s">
        <v>3227</v>
      </c>
      <c r="AA3388" s="2" t="s">
        <v>46</v>
      </c>
      <c r="AB3388" s="2" t="s">
        <v>56</v>
      </c>
      <c r="AC3388" s="2" t="s">
        <v>57</v>
      </c>
      <c r="AF3388" s="2">
        <f t="shared" si="472"/>
        <v>0</v>
      </c>
      <c r="AJ3388" s="2">
        <f t="shared" si="473"/>
        <v>0</v>
      </c>
      <c r="AK3388" s="2">
        <f t="shared" si="484"/>
        <v>9.9550000000000001</v>
      </c>
      <c r="AL3388" s="5">
        <f t="shared" si="482"/>
        <v>0.47404761904761905</v>
      </c>
    </row>
    <row r="3389" spans="1:38" x14ac:dyDescent="0.2">
      <c r="A3389" s="2">
        <v>2026</v>
      </c>
      <c r="B3389" s="2">
        <v>3</v>
      </c>
      <c r="D3389" s="2" t="s">
        <v>1419</v>
      </c>
      <c r="E3389" s="2" t="s">
        <v>108</v>
      </c>
      <c r="F3389" s="2" t="s">
        <v>39</v>
      </c>
      <c r="G3389" s="2">
        <v>513795855</v>
      </c>
      <c r="H3389" s="2" t="s">
        <v>41</v>
      </c>
      <c r="I3389" s="2" t="s">
        <v>1272</v>
      </c>
      <c r="J3389" s="2" t="s">
        <v>2394</v>
      </c>
      <c r="L3389" s="2" t="s">
        <v>177</v>
      </c>
      <c r="M3389" s="2" t="s">
        <v>41</v>
      </c>
      <c r="P3389" s="2" t="s">
        <v>43</v>
      </c>
      <c r="Q3389" s="2" t="s">
        <v>238</v>
      </c>
      <c r="R3389" s="2" t="s">
        <v>239</v>
      </c>
      <c r="S3389" s="2">
        <v>2</v>
      </c>
      <c r="T3389" s="2">
        <v>42</v>
      </c>
      <c r="U3389" s="2">
        <v>9.66</v>
      </c>
      <c r="V3389" s="2">
        <v>51.66</v>
      </c>
      <c r="W3389" s="2">
        <f t="shared" si="485"/>
        <v>22.09</v>
      </c>
      <c r="X3389" s="5">
        <f t="shared" si="481"/>
        <v>0.47404761904761905</v>
      </c>
      <c r="Z3389" s="2" t="s">
        <v>3227</v>
      </c>
      <c r="AA3389" s="2" t="s">
        <v>46</v>
      </c>
      <c r="AB3389" s="2" t="s">
        <v>56</v>
      </c>
      <c r="AC3389" s="2" t="s">
        <v>57</v>
      </c>
      <c r="AF3389" s="2">
        <f t="shared" si="472"/>
        <v>0</v>
      </c>
      <c r="AJ3389" s="2">
        <f t="shared" si="473"/>
        <v>0</v>
      </c>
      <c r="AK3389" s="2">
        <f t="shared" si="484"/>
        <v>19.91</v>
      </c>
      <c r="AL3389" s="5">
        <f t="shared" si="482"/>
        <v>0.47404761904761905</v>
      </c>
    </row>
    <row r="3390" spans="1:38" x14ac:dyDescent="0.2">
      <c r="A3390" s="2">
        <v>2026</v>
      </c>
      <c r="B3390" s="2">
        <v>3</v>
      </c>
      <c r="D3390" s="2" t="s">
        <v>1419</v>
      </c>
      <c r="E3390" s="2" t="s">
        <v>108</v>
      </c>
      <c r="F3390" s="2" t="s">
        <v>39</v>
      </c>
      <c r="G3390" s="2">
        <v>513795855</v>
      </c>
      <c r="H3390" s="2" t="s">
        <v>41</v>
      </c>
      <c r="I3390" s="2" t="s">
        <v>1272</v>
      </c>
      <c r="J3390" s="2" t="s">
        <v>2394</v>
      </c>
      <c r="L3390" s="2" t="s">
        <v>177</v>
      </c>
      <c r="M3390" s="2" t="s">
        <v>41</v>
      </c>
      <c r="P3390" s="2" t="s">
        <v>43</v>
      </c>
      <c r="Q3390" s="2" t="s">
        <v>240</v>
      </c>
      <c r="R3390" s="2" t="s">
        <v>241</v>
      </c>
      <c r="S3390" s="2">
        <v>2</v>
      </c>
      <c r="T3390" s="2">
        <v>50.4</v>
      </c>
      <c r="U3390" s="2">
        <v>11.592000000000001</v>
      </c>
      <c r="V3390" s="2">
        <v>61.991999999999997</v>
      </c>
      <c r="W3390" s="2">
        <f t="shared" ref="W3390:W3391" si="486">13.4067*S3390</f>
        <v>26.813400000000001</v>
      </c>
      <c r="X3390" s="5">
        <f t="shared" si="481"/>
        <v>0.4679880952380952</v>
      </c>
      <c r="Z3390" s="2" t="s">
        <v>3227</v>
      </c>
      <c r="AA3390" s="2" t="s">
        <v>46</v>
      </c>
      <c r="AB3390" s="2" t="s">
        <v>56</v>
      </c>
      <c r="AC3390" s="2" t="s">
        <v>57</v>
      </c>
      <c r="AF3390" s="2">
        <f t="shared" si="472"/>
        <v>0</v>
      </c>
      <c r="AJ3390" s="2">
        <f t="shared" si="473"/>
        <v>0</v>
      </c>
      <c r="AK3390" s="2">
        <f t="shared" si="484"/>
        <v>23.586599999999997</v>
      </c>
      <c r="AL3390" s="5">
        <f t="shared" si="482"/>
        <v>0.4679880952380952</v>
      </c>
    </row>
    <row r="3391" spans="1:38" x14ac:dyDescent="0.2">
      <c r="A3391" s="2">
        <v>2026</v>
      </c>
      <c r="B3391" s="2">
        <v>3</v>
      </c>
      <c r="D3391" s="2" t="s">
        <v>889</v>
      </c>
      <c r="E3391" s="2" t="s">
        <v>108</v>
      </c>
      <c r="F3391" s="2" t="s">
        <v>39</v>
      </c>
      <c r="G3391" s="2">
        <v>507216970</v>
      </c>
      <c r="H3391" s="2" t="s">
        <v>41</v>
      </c>
      <c r="I3391" s="2" t="s">
        <v>890</v>
      </c>
      <c r="J3391" s="2" t="s">
        <v>891</v>
      </c>
      <c r="L3391" s="2" t="s">
        <v>99</v>
      </c>
      <c r="M3391" s="2" t="s">
        <v>41</v>
      </c>
      <c r="O3391" s="2" t="s">
        <v>2680</v>
      </c>
      <c r="P3391" s="2" t="s">
        <v>43</v>
      </c>
      <c r="Q3391" s="2" t="s">
        <v>240</v>
      </c>
      <c r="R3391" s="2" t="s">
        <v>241</v>
      </c>
      <c r="S3391" s="2">
        <v>1</v>
      </c>
      <c r="T3391" s="2">
        <v>25.2</v>
      </c>
      <c r="U3391" s="2">
        <v>5.7960000000000003</v>
      </c>
      <c r="V3391" s="2">
        <v>30.995999999999999</v>
      </c>
      <c r="W3391" s="2">
        <f t="shared" si="486"/>
        <v>13.406700000000001</v>
      </c>
      <c r="X3391" s="5">
        <f t="shared" si="481"/>
        <v>0.4679880952380952</v>
      </c>
      <c r="Z3391" s="2" t="s">
        <v>3227</v>
      </c>
      <c r="AA3391" s="2" t="s">
        <v>46</v>
      </c>
      <c r="AB3391" s="2" t="s">
        <v>56</v>
      </c>
      <c r="AC3391" s="2" t="s">
        <v>57</v>
      </c>
      <c r="AF3391" s="2">
        <f t="shared" si="472"/>
        <v>0</v>
      </c>
      <c r="AJ3391" s="2">
        <f t="shared" si="473"/>
        <v>0</v>
      </c>
      <c r="AK3391" s="2">
        <f t="shared" si="484"/>
        <v>11.793299999999999</v>
      </c>
      <c r="AL3391" s="5">
        <f t="shared" si="482"/>
        <v>0.4679880952380952</v>
      </c>
    </row>
    <row r="3392" spans="1:38" x14ac:dyDescent="0.2">
      <c r="A3392" s="2">
        <v>2026</v>
      </c>
      <c r="B3392" s="2">
        <v>3</v>
      </c>
      <c r="D3392" s="2" t="s">
        <v>1419</v>
      </c>
      <c r="E3392" s="2" t="s">
        <v>108</v>
      </c>
      <c r="F3392" s="2" t="s">
        <v>39</v>
      </c>
      <c r="G3392" s="2">
        <v>513795855</v>
      </c>
      <c r="H3392" s="2" t="s">
        <v>41</v>
      </c>
      <c r="I3392" s="2" t="s">
        <v>1272</v>
      </c>
      <c r="J3392" s="2" t="s">
        <v>2394</v>
      </c>
      <c r="L3392" s="2" t="s">
        <v>177</v>
      </c>
      <c r="M3392" s="2" t="s">
        <v>41</v>
      </c>
      <c r="P3392" s="2" t="s">
        <v>43</v>
      </c>
      <c r="Q3392" s="2" t="s">
        <v>242</v>
      </c>
      <c r="R3392" s="2" t="s">
        <v>243</v>
      </c>
      <c r="S3392" s="2">
        <v>2</v>
      </c>
      <c r="T3392" s="2">
        <v>60</v>
      </c>
      <c r="U3392" s="2">
        <v>13.8</v>
      </c>
      <c r="V3392" s="2">
        <v>73.8</v>
      </c>
      <c r="W3392" s="2">
        <f t="shared" ref="W3392:W3393" si="487">16.2249*S3392</f>
        <v>32.449800000000003</v>
      </c>
      <c r="X3392" s="5">
        <f t="shared" si="481"/>
        <v>0.45916999999999997</v>
      </c>
      <c r="Z3392" s="2" t="s">
        <v>3227</v>
      </c>
      <c r="AA3392" s="2" t="s">
        <v>46</v>
      </c>
      <c r="AB3392" s="2" t="s">
        <v>56</v>
      </c>
      <c r="AC3392" s="2" t="s">
        <v>57</v>
      </c>
      <c r="AF3392" s="2">
        <f t="shared" si="472"/>
        <v>0</v>
      </c>
      <c r="AJ3392" s="2">
        <f t="shared" si="473"/>
        <v>0</v>
      </c>
      <c r="AK3392" s="2">
        <f t="shared" si="484"/>
        <v>27.550199999999997</v>
      </c>
      <c r="AL3392" s="5">
        <f t="shared" si="482"/>
        <v>0.45916999999999997</v>
      </c>
    </row>
    <row r="3393" spans="1:38" x14ac:dyDescent="0.2">
      <c r="A3393" s="2">
        <v>2026</v>
      </c>
      <c r="B3393" s="2">
        <v>3</v>
      </c>
      <c r="D3393" s="2" t="s">
        <v>889</v>
      </c>
      <c r="E3393" s="2" t="s">
        <v>108</v>
      </c>
      <c r="F3393" s="2" t="s">
        <v>39</v>
      </c>
      <c r="G3393" s="2">
        <v>507216970</v>
      </c>
      <c r="H3393" s="2" t="s">
        <v>41</v>
      </c>
      <c r="I3393" s="2" t="s">
        <v>890</v>
      </c>
      <c r="J3393" s="2" t="s">
        <v>891</v>
      </c>
      <c r="L3393" s="2" t="s">
        <v>99</v>
      </c>
      <c r="M3393" s="2" t="s">
        <v>41</v>
      </c>
      <c r="O3393" s="2" t="s">
        <v>2679</v>
      </c>
      <c r="P3393" s="2" t="s">
        <v>43</v>
      </c>
      <c r="Q3393" s="2" t="s">
        <v>242</v>
      </c>
      <c r="R3393" s="2" t="s">
        <v>243</v>
      </c>
      <c r="S3393" s="2">
        <v>1</v>
      </c>
      <c r="T3393" s="2">
        <v>30</v>
      </c>
      <c r="U3393" s="2">
        <v>6.9</v>
      </c>
      <c r="V3393" s="2">
        <v>36.9</v>
      </c>
      <c r="W3393" s="2">
        <f t="shared" si="487"/>
        <v>16.224900000000002</v>
      </c>
      <c r="X3393" s="5">
        <f t="shared" si="481"/>
        <v>0.45916999999999997</v>
      </c>
      <c r="Z3393" s="2" t="s">
        <v>3227</v>
      </c>
      <c r="AA3393" s="2" t="s">
        <v>46</v>
      </c>
      <c r="AB3393" s="2" t="s">
        <v>56</v>
      </c>
      <c r="AC3393" s="2" t="s">
        <v>57</v>
      </c>
      <c r="AF3393" s="2">
        <f t="shared" si="472"/>
        <v>0</v>
      </c>
      <c r="AJ3393" s="2">
        <f t="shared" si="473"/>
        <v>0</v>
      </c>
      <c r="AK3393" s="2">
        <f t="shared" si="484"/>
        <v>13.775099999999998</v>
      </c>
      <c r="AL3393" s="5">
        <f t="shared" si="482"/>
        <v>0.45916999999999997</v>
      </c>
    </row>
    <row r="3394" spans="1:38" x14ac:dyDescent="0.2">
      <c r="A3394" s="2">
        <v>2026</v>
      </c>
      <c r="B3394" s="2">
        <v>3</v>
      </c>
      <c r="D3394" s="2" t="s">
        <v>509</v>
      </c>
      <c r="E3394" s="2" t="s">
        <v>38</v>
      </c>
      <c r="F3394" s="2" t="s">
        <v>39</v>
      </c>
      <c r="G3394" s="2">
        <v>513405020</v>
      </c>
      <c r="H3394" s="2" t="s">
        <v>40</v>
      </c>
      <c r="I3394" s="2" t="s">
        <v>156</v>
      </c>
      <c r="J3394" s="2" t="s">
        <v>510</v>
      </c>
      <c r="K3394" s="2">
        <v>919770433</v>
      </c>
      <c r="L3394" s="2" t="s">
        <v>99</v>
      </c>
      <c r="M3394" s="2" t="s">
        <v>80</v>
      </c>
      <c r="P3394" s="2" t="s">
        <v>43</v>
      </c>
      <c r="Q3394" s="2" t="s">
        <v>244</v>
      </c>
      <c r="R3394" s="2" t="s">
        <v>245</v>
      </c>
      <c r="S3394" s="2">
        <v>1</v>
      </c>
      <c r="T3394" s="2">
        <v>18</v>
      </c>
      <c r="U3394" s="2">
        <v>4.1400000000000006</v>
      </c>
      <c r="V3394" s="2">
        <v>22.14</v>
      </c>
      <c r="W3394" s="2">
        <f t="shared" ref="W3394:W3395" si="488">9.2346*S3394</f>
        <v>9.2346000000000004</v>
      </c>
      <c r="X3394" s="5">
        <f t="shared" si="481"/>
        <v>0.48696666666666666</v>
      </c>
      <c r="Z3394" s="2" t="s">
        <v>3227</v>
      </c>
      <c r="AA3394" s="2" t="s">
        <v>46</v>
      </c>
      <c r="AB3394" s="2" t="s">
        <v>56</v>
      </c>
      <c r="AC3394" s="2" t="s">
        <v>57</v>
      </c>
      <c r="AF3394" s="2">
        <f t="shared" ref="AF3394:AF3457" si="489">AJ3394</f>
        <v>0</v>
      </c>
      <c r="AJ3394" s="2">
        <f t="shared" ref="AJ3394:AJ3457" si="490">AI3394*T3394</f>
        <v>0</v>
      </c>
      <c r="AK3394" s="2">
        <f t="shared" si="484"/>
        <v>8.7653999999999996</v>
      </c>
      <c r="AL3394" s="5">
        <f t="shared" si="482"/>
        <v>0.48696666666666666</v>
      </c>
    </row>
    <row r="3395" spans="1:38" x14ac:dyDescent="0.2">
      <c r="A3395" s="2">
        <v>2026</v>
      </c>
      <c r="B3395" s="2">
        <v>3</v>
      </c>
      <c r="D3395" s="2" t="s">
        <v>1419</v>
      </c>
      <c r="E3395" s="2" t="s">
        <v>108</v>
      </c>
      <c r="F3395" s="2" t="s">
        <v>39</v>
      </c>
      <c r="G3395" s="2">
        <v>513795855</v>
      </c>
      <c r="H3395" s="2" t="s">
        <v>41</v>
      </c>
      <c r="I3395" s="2" t="s">
        <v>1272</v>
      </c>
      <c r="J3395" s="2" t="s">
        <v>2394</v>
      </c>
      <c r="L3395" s="2" t="s">
        <v>177</v>
      </c>
      <c r="M3395" s="2" t="s">
        <v>41</v>
      </c>
      <c r="P3395" s="2" t="s">
        <v>43</v>
      </c>
      <c r="Q3395" s="2" t="s">
        <v>244</v>
      </c>
      <c r="R3395" s="2" t="s">
        <v>245</v>
      </c>
      <c r="S3395" s="2">
        <v>2</v>
      </c>
      <c r="T3395" s="2">
        <v>36</v>
      </c>
      <c r="U3395" s="2">
        <v>8.2800000000000011</v>
      </c>
      <c r="V3395" s="2">
        <v>44.28</v>
      </c>
      <c r="W3395" s="2">
        <f t="shared" si="488"/>
        <v>18.469200000000001</v>
      </c>
      <c r="X3395" s="5">
        <f t="shared" si="481"/>
        <v>0.48696666666666666</v>
      </c>
      <c r="Z3395" s="2" t="s">
        <v>3227</v>
      </c>
      <c r="AA3395" s="2" t="s">
        <v>46</v>
      </c>
      <c r="AB3395" s="2" t="s">
        <v>56</v>
      </c>
      <c r="AC3395" s="2" t="s">
        <v>57</v>
      </c>
      <c r="AF3395" s="2">
        <f t="shared" si="489"/>
        <v>0</v>
      </c>
      <c r="AJ3395" s="2">
        <f t="shared" si="490"/>
        <v>0</v>
      </c>
      <c r="AK3395" s="2">
        <f t="shared" si="484"/>
        <v>17.530799999999999</v>
      </c>
      <c r="AL3395" s="5">
        <f t="shared" si="482"/>
        <v>0.48696666666666666</v>
      </c>
    </row>
    <row r="3396" spans="1:38" x14ac:dyDescent="0.2">
      <c r="A3396" s="2">
        <v>2026</v>
      </c>
      <c r="B3396" s="2">
        <v>3</v>
      </c>
      <c r="D3396" s="2" t="s">
        <v>1419</v>
      </c>
      <c r="E3396" s="2" t="s">
        <v>108</v>
      </c>
      <c r="F3396" s="2" t="s">
        <v>39</v>
      </c>
      <c r="G3396" s="2">
        <v>513795855</v>
      </c>
      <c r="H3396" s="2" t="s">
        <v>41</v>
      </c>
      <c r="I3396" s="2" t="s">
        <v>1272</v>
      </c>
      <c r="J3396" s="2" t="s">
        <v>2394</v>
      </c>
      <c r="L3396" s="2" t="s">
        <v>177</v>
      </c>
      <c r="M3396" s="2" t="s">
        <v>41</v>
      </c>
      <c r="P3396" s="2" t="s">
        <v>43</v>
      </c>
      <c r="Q3396" s="2" t="s">
        <v>246</v>
      </c>
      <c r="R3396" s="2" t="s">
        <v>247</v>
      </c>
      <c r="S3396" s="2">
        <v>2</v>
      </c>
      <c r="T3396" s="2">
        <v>39.6</v>
      </c>
      <c r="U3396" s="2">
        <v>9.1080000000000005</v>
      </c>
      <c r="V3396" s="2">
        <v>48.707999999999998</v>
      </c>
      <c r="W3396" s="2">
        <f>10.5267*S3396</f>
        <v>21.0534</v>
      </c>
      <c r="X3396" s="5">
        <f t="shared" si="481"/>
        <v>0.46834848484848485</v>
      </c>
      <c r="Z3396" s="2" t="s">
        <v>3227</v>
      </c>
      <c r="AA3396" s="2" t="s">
        <v>46</v>
      </c>
      <c r="AB3396" s="2" t="s">
        <v>56</v>
      </c>
      <c r="AC3396" s="2" t="s">
        <v>57</v>
      </c>
      <c r="AF3396" s="2">
        <f t="shared" si="489"/>
        <v>0</v>
      </c>
      <c r="AJ3396" s="2">
        <f t="shared" si="490"/>
        <v>0</v>
      </c>
      <c r="AK3396" s="2">
        <f t="shared" si="484"/>
        <v>18.546600000000002</v>
      </c>
      <c r="AL3396" s="5">
        <f t="shared" si="482"/>
        <v>0.46834848484848485</v>
      </c>
    </row>
    <row r="3397" spans="1:38" x14ac:dyDescent="0.2">
      <c r="A3397" s="2">
        <v>2026</v>
      </c>
      <c r="B3397" s="2">
        <v>3</v>
      </c>
      <c r="D3397" s="2" t="s">
        <v>1419</v>
      </c>
      <c r="E3397" s="2" t="s">
        <v>108</v>
      </c>
      <c r="F3397" s="2" t="s">
        <v>39</v>
      </c>
      <c r="G3397" s="2">
        <v>513795855</v>
      </c>
      <c r="H3397" s="2" t="s">
        <v>41</v>
      </c>
      <c r="I3397" s="2" t="s">
        <v>1272</v>
      </c>
      <c r="J3397" s="2" t="s">
        <v>2394</v>
      </c>
      <c r="L3397" s="2" t="s">
        <v>177</v>
      </c>
      <c r="M3397" s="2" t="s">
        <v>41</v>
      </c>
      <c r="P3397" s="2" t="s">
        <v>43</v>
      </c>
      <c r="Q3397" s="2" t="s">
        <v>285</v>
      </c>
      <c r="R3397" s="2" t="s">
        <v>286</v>
      </c>
      <c r="S3397" s="2">
        <v>2</v>
      </c>
      <c r="T3397" s="2">
        <v>45.6</v>
      </c>
      <c r="U3397" s="2">
        <v>10.488</v>
      </c>
      <c r="V3397" s="2">
        <v>56.088000000000001</v>
      </c>
      <c r="W3397" s="2">
        <f>12.2604*S3397</f>
        <v>24.520800000000001</v>
      </c>
      <c r="X3397" s="5">
        <f t="shared" si="481"/>
        <v>0.46226315789473682</v>
      </c>
      <c r="Z3397" s="2" t="s">
        <v>3227</v>
      </c>
      <c r="AA3397" s="2" t="s">
        <v>46</v>
      </c>
      <c r="AB3397" s="2" t="s">
        <v>56</v>
      </c>
      <c r="AC3397" s="2" t="s">
        <v>57</v>
      </c>
      <c r="AF3397" s="2">
        <f t="shared" si="489"/>
        <v>0</v>
      </c>
      <c r="AJ3397" s="2">
        <f t="shared" si="490"/>
        <v>0</v>
      </c>
      <c r="AK3397" s="2">
        <f t="shared" si="484"/>
        <v>21.0792</v>
      </c>
      <c r="AL3397" s="5">
        <f t="shared" si="482"/>
        <v>0.46226315789473682</v>
      </c>
    </row>
    <row r="3398" spans="1:38" x14ac:dyDescent="0.2">
      <c r="A3398" s="2">
        <v>2026</v>
      </c>
      <c r="B3398" s="2">
        <v>3</v>
      </c>
      <c r="D3398" s="2" t="s">
        <v>1419</v>
      </c>
      <c r="E3398" s="2" t="s">
        <v>108</v>
      </c>
      <c r="F3398" s="2" t="s">
        <v>39</v>
      </c>
      <c r="G3398" s="2">
        <v>513795855</v>
      </c>
      <c r="H3398" s="2" t="s">
        <v>41</v>
      </c>
      <c r="I3398" s="2" t="s">
        <v>1272</v>
      </c>
      <c r="J3398" s="2" t="s">
        <v>2394</v>
      </c>
      <c r="L3398" s="2" t="s">
        <v>177</v>
      </c>
      <c r="M3398" s="2" t="s">
        <v>41</v>
      </c>
      <c r="P3398" s="2" t="s">
        <v>43</v>
      </c>
      <c r="Q3398" s="2" t="s">
        <v>248</v>
      </c>
      <c r="R3398" s="2" t="s">
        <v>249</v>
      </c>
      <c r="S3398" s="2">
        <v>2</v>
      </c>
      <c r="T3398" s="2">
        <v>48</v>
      </c>
      <c r="U3398" s="2">
        <v>11.04</v>
      </c>
      <c r="V3398" s="2">
        <v>59.04</v>
      </c>
      <c r="W3398" s="2">
        <f>12.71*S3398</f>
        <v>25.42</v>
      </c>
      <c r="X3398" s="5">
        <f t="shared" si="481"/>
        <v>0.47041666666666665</v>
      </c>
      <c r="Z3398" s="2" t="s">
        <v>3227</v>
      </c>
      <c r="AA3398" s="2" t="s">
        <v>46</v>
      </c>
      <c r="AB3398" s="2" t="s">
        <v>56</v>
      </c>
      <c r="AC3398" s="2" t="s">
        <v>57</v>
      </c>
      <c r="AF3398" s="2">
        <f t="shared" si="489"/>
        <v>0</v>
      </c>
      <c r="AJ3398" s="2">
        <f t="shared" si="490"/>
        <v>0</v>
      </c>
      <c r="AK3398" s="2">
        <f t="shared" si="484"/>
        <v>22.58</v>
      </c>
      <c r="AL3398" s="5">
        <f t="shared" si="482"/>
        <v>0.47041666666666665</v>
      </c>
    </row>
    <row r="3399" spans="1:38" x14ac:dyDescent="0.2">
      <c r="A3399" s="2">
        <v>2026</v>
      </c>
      <c r="B3399" s="2">
        <v>3</v>
      </c>
      <c r="D3399" s="2" t="s">
        <v>37</v>
      </c>
      <c r="E3399" s="2" t="s">
        <v>38</v>
      </c>
      <c r="F3399" s="2" t="s">
        <v>39</v>
      </c>
      <c r="H3399" s="2" t="s">
        <v>40</v>
      </c>
      <c r="P3399" s="2" t="s">
        <v>43</v>
      </c>
      <c r="Q3399" s="2" t="s">
        <v>54</v>
      </c>
      <c r="R3399" s="2" t="s">
        <v>55</v>
      </c>
      <c r="S3399" s="2">
        <v>10</v>
      </c>
      <c r="T3399" s="2">
        <v>145</v>
      </c>
      <c r="U3399" s="2">
        <v>33.35</v>
      </c>
      <c r="V3399" s="2">
        <v>178.35</v>
      </c>
      <c r="W3399" s="2">
        <f t="shared" ref="W3399:W3404" si="491">10.6*S3399</f>
        <v>106</v>
      </c>
      <c r="X3399" s="5">
        <f t="shared" si="481"/>
        <v>0.26896551724137929</v>
      </c>
      <c r="Z3399" s="2" t="s">
        <v>3227</v>
      </c>
      <c r="AA3399" s="2" t="s">
        <v>46</v>
      </c>
      <c r="AB3399" s="2" t="s">
        <v>56</v>
      </c>
      <c r="AC3399" s="2" t="s">
        <v>57</v>
      </c>
      <c r="AF3399" s="2">
        <f t="shared" si="489"/>
        <v>0</v>
      </c>
      <c r="AG3399" s="2">
        <v>10.6</v>
      </c>
      <c r="AH3399" s="2">
        <v>18</v>
      </c>
      <c r="AJ3399" s="2">
        <f t="shared" si="490"/>
        <v>0</v>
      </c>
      <c r="AK3399" s="2">
        <f t="shared" si="484"/>
        <v>39</v>
      </c>
      <c r="AL3399" s="5">
        <f t="shared" si="482"/>
        <v>0.26896551724137929</v>
      </c>
    </row>
    <row r="3400" spans="1:38" x14ac:dyDescent="0.2">
      <c r="A3400" s="2">
        <v>2026</v>
      </c>
      <c r="B3400" s="2">
        <v>3</v>
      </c>
      <c r="D3400" s="2" t="s">
        <v>1145</v>
      </c>
      <c r="E3400" s="2" t="s">
        <v>108</v>
      </c>
      <c r="F3400" s="2" t="s">
        <v>39</v>
      </c>
      <c r="G3400" s="2">
        <v>518312798</v>
      </c>
      <c r="H3400" s="2" t="s">
        <v>41</v>
      </c>
      <c r="I3400" s="2" t="s">
        <v>1146</v>
      </c>
      <c r="J3400" s="2" t="s">
        <v>1147</v>
      </c>
      <c r="L3400" s="2" t="s">
        <v>133</v>
      </c>
      <c r="M3400" s="2" t="s">
        <v>41</v>
      </c>
      <c r="O3400" s="2" t="s">
        <v>2681</v>
      </c>
      <c r="P3400" s="2" t="s">
        <v>43</v>
      </c>
      <c r="Q3400" s="2" t="s">
        <v>54</v>
      </c>
      <c r="R3400" s="2" t="s">
        <v>55</v>
      </c>
      <c r="S3400" s="2">
        <v>12</v>
      </c>
      <c r="T3400" s="2">
        <v>180</v>
      </c>
      <c r="U3400" s="2">
        <v>41.4</v>
      </c>
      <c r="V3400" s="2">
        <v>221.4</v>
      </c>
      <c r="W3400" s="2">
        <f t="shared" si="491"/>
        <v>127.19999999999999</v>
      </c>
      <c r="X3400" s="5">
        <f t="shared" si="481"/>
        <v>0.29333333333333339</v>
      </c>
      <c r="Z3400" s="2" t="s">
        <v>3227</v>
      </c>
      <c r="AA3400" s="2" t="s">
        <v>46</v>
      </c>
      <c r="AB3400" s="2" t="s">
        <v>56</v>
      </c>
      <c r="AC3400" s="2" t="s">
        <v>57</v>
      </c>
      <c r="AF3400" s="2">
        <f t="shared" si="489"/>
        <v>0</v>
      </c>
      <c r="AG3400" s="2">
        <v>10.6</v>
      </c>
      <c r="AH3400" s="2">
        <v>18</v>
      </c>
      <c r="AJ3400" s="2">
        <f t="shared" si="490"/>
        <v>0</v>
      </c>
      <c r="AK3400" s="2">
        <f t="shared" si="484"/>
        <v>52.800000000000011</v>
      </c>
      <c r="AL3400" s="5">
        <f t="shared" si="482"/>
        <v>0.29333333333333339</v>
      </c>
    </row>
    <row r="3401" spans="1:38" x14ac:dyDescent="0.2">
      <c r="A3401" s="2">
        <v>2026</v>
      </c>
      <c r="B3401" s="2">
        <v>3</v>
      </c>
      <c r="D3401" s="2" t="s">
        <v>2682</v>
      </c>
      <c r="P3401" s="2" t="s">
        <v>43</v>
      </c>
      <c r="Q3401" s="2" t="s">
        <v>54</v>
      </c>
      <c r="R3401" s="2" t="s">
        <v>55</v>
      </c>
      <c r="S3401" s="2">
        <v>2</v>
      </c>
      <c r="T3401" s="2">
        <v>36</v>
      </c>
      <c r="U3401" s="2">
        <v>8.2800000000000011</v>
      </c>
      <c r="V3401" s="2">
        <v>44.28</v>
      </c>
      <c r="W3401" s="2">
        <f t="shared" si="491"/>
        <v>21.2</v>
      </c>
      <c r="X3401" s="5">
        <f t="shared" si="481"/>
        <v>0.41111111111111115</v>
      </c>
      <c r="Z3401" s="2" t="s">
        <v>3227</v>
      </c>
      <c r="AA3401" s="2" t="s">
        <v>46</v>
      </c>
      <c r="AB3401" s="2" t="s">
        <v>56</v>
      </c>
      <c r="AC3401" s="2" t="s">
        <v>57</v>
      </c>
      <c r="AF3401" s="2">
        <f t="shared" si="489"/>
        <v>0</v>
      </c>
      <c r="AG3401" s="2">
        <v>10.6</v>
      </c>
      <c r="AH3401" s="2">
        <v>18</v>
      </c>
      <c r="AJ3401" s="2">
        <f t="shared" si="490"/>
        <v>0</v>
      </c>
      <c r="AK3401" s="2">
        <f t="shared" si="484"/>
        <v>14.8</v>
      </c>
      <c r="AL3401" s="5">
        <f t="shared" si="482"/>
        <v>0.41111111111111115</v>
      </c>
    </row>
    <row r="3402" spans="1:38" x14ac:dyDescent="0.2">
      <c r="A3402" s="2">
        <v>2026</v>
      </c>
      <c r="B3402" s="2">
        <v>3</v>
      </c>
      <c r="D3402" s="2" t="s">
        <v>1008</v>
      </c>
      <c r="E3402" s="2" t="s">
        <v>108</v>
      </c>
      <c r="F3402" s="2" t="s">
        <v>39</v>
      </c>
      <c r="L3402" s="2" t="s">
        <v>418</v>
      </c>
      <c r="M3402" s="2" t="s">
        <v>41</v>
      </c>
      <c r="P3402" s="2" t="s">
        <v>43</v>
      </c>
      <c r="Q3402" s="2" t="s">
        <v>54</v>
      </c>
      <c r="R3402" s="2" t="s">
        <v>55</v>
      </c>
      <c r="S3402" s="2">
        <v>2</v>
      </c>
      <c r="T3402" s="2">
        <v>36</v>
      </c>
      <c r="U3402" s="2">
        <v>8.2800000000000011</v>
      </c>
      <c r="V3402" s="2">
        <v>44.28</v>
      </c>
      <c r="W3402" s="2">
        <f t="shared" si="491"/>
        <v>21.2</v>
      </c>
      <c r="X3402" s="5">
        <f t="shared" si="481"/>
        <v>0.41111111111111115</v>
      </c>
      <c r="Z3402" s="2" t="s">
        <v>3227</v>
      </c>
      <c r="AA3402" s="2" t="s">
        <v>46</v>
      </c>
      <c r="AB3402" s="2" t="s">
        <v>56</v>
      </c>
      <c r="AC3402" s="2" t="s">
        <v>57</v>
      </c>
      <c r="AF3402" s="2">
        <f t="shared" si="489"/>
        <v>0</v>
      </c>
      <c r="AG3402" s="2">
        <v>10.6</v>
      </c>
      <c r="AH3402" s="2">
        <v>18</v>
      </c>
      <c r="AJ3402" s="2">
        <f t="shared" si="490"/>
        <v>0</v>
      </c>
      <c r="AK3402" s="2">
        <f t="shared" si="484"/>
        <v>14.8</v>
      </c>
      <c r="AL3402" s="5">
        <f t="shared" si="482"/>
        <v>0.41111111111111115</v>
      </c>
    </row>
    <row r="3403" spans="1:38" x14ac:dyDescent="0.2">
      <c r="A3403" s="2">
        <v>2026</v>
      </c>
      <c r="B3403" s="2">
        <v>3</v>
      </c>
      <c r="D3403" s="2" t="s">
        <v>781</v>
      </c>
      <c r="E3403" s="2" t="s">
        <v>38</v>
      </c>
      <c r="F3403" s="2" t="s">
        <v>39</v>
      </c>
      <c r="G3403" s="2">
        <v>510219675</v>
      </c>
      <c r="H3403" s="2" t="s">
        <v>40</v>
      </c>
      <c r="I3403" s="2" t="s">
        <v>782</v>
      </c>
      <c r="J3403" s="2" t="s">
        <v>783</v>
      </c>
      <c r="K3403" s="2">
        <v>917341136</v>
      </c>
      <c r="L3403" s="2" t="s">
        <v>99</v>
      </c>
      <c r="M3403" s="2" t="s">
        <v>80</v>
      </c>
      <c r="P3403" s="2" t="s">
        <v>43</v>
      </c>
      <c r="Q3403" s="2" t="s">
        <v>54</v>
      </c>
      <c r="R3403" s="2" t="s">
        <v>55</v>
      </c>
      <c r="S3403" s="2">
        <v>1</v>
      </c>
      <c r="T3403" s="2">
        <v>18</v>
      </c>
      <c r="U3403" s="2">
        <v>4.1400000000000006</v>
      </c>
      <c r="V3403" s="2">
        <v>22.14</v>
      </c>
      <c r="W3403" s="2">
        <f t="shared" si="491"/>
        <v>10.6</v>
      </c>
      <c r="X3403" s="5">
        <f t="shared" si="481"/>
        <v>0.41111111111111115</v>
      </c>
      <c r="Z3403" s="2" t="s">
        <v>3227</v>
      </c>
      <c r="AA3403" s="2" t="s">
        <v>46</v>
      </c>
      <c r="AB3403" s="2" t="s">
        <v>56</v>
      </c>
      <c r="AC3403" s="2" t="s">
        <v>57</v>
      </c>
      <c r="AF3403" s="2">
        <f t="shared" si="489"/>
        <v>0</v>
      </c>
      <c r="AG3403" s="2">
        <v>10.6</v>
      </c>
      <c r="AH3403" s="2">
        <v>18</v>
      </c>
      <c r="AJ3403" s="2">
        <f t="shared" si="490"/>
        <v>0</v>
      </c>
      <c r="AK3403" s="2">
        <f t="shared" si="484"/>
        <v>7.4</v>
      </c>
      <c r="AL3403" s="5">
        <f t="shared" si="482"/>
        <v>0.41111111111111115</v>
      </c>
    </row>
    <row r="3404" spans="1:38" x14ac:dyDescent="0.2">
      <c r="A3404" s="2">
        <v>2026</v>
      </c>
      <c r="B3404" s="2">
        <v>3</v>
      </c>
      <c r="D3404" s="2" t="s">
        <v>843</v>
      </c>
      <c r="E3404" s="2" t="s">
        <v>38</v>
      </c>
      <c r="F3404" s="2" t="s">
        <v>39</v>
      </c>
      <c r="G3404" s="2">
        <v>161685080</v>
      </c>
      <c r="H3404" s="2" t="s">
        <v>41</v>
      </c>
      <c r="I3404" s="2" t="s">
        <v>418</v>
      </c>
      <c r="K3404" s="2" t="s">
        <v>844</v>
      </c>
      <c r="L3404" s="2" t="s">
        <v>418</v>
      </c>
      <c r="M3404" s="2" t="s">
        <v>41</v>
      </c>
      <c r="O3404" s="2" t="s">
        <v>2670</v>
      </c>
      <c r="P3404" s="2" t="s">
        <v>43</v>
      </c>
      <c r="Q3404" s="2" t="s">
        <v>54</v>
      </c>
      <c r="R3404" s="2" t="s">
        <v>55</v>
      </c>
      <c r="S3404" s="2">
        <v>2</v>
      </c>
      <c r="T3404" s="2">
        <v>36</v>
      </c>
      <c r="U3404" s="2">
        <v>8.2800000000000011</v>
      </c>
      <c r="V3404" s="2">
        <v>44.28</v>
      </c>
      <c r="W3404" s="2">
        <f t="shared" si="491"/>
        <v>21.2</v>
      </c>
      <c r="X3404" s="5">
        <f t="shared" si="481"/>
        <v>0.41111111111111115</v>
      </c>
      <c r="Z3404" s="2" t="s">
        <v>3227</v>
      </c>
      <c r="AA3404" s="2" t="s">
        <v>46</v>
      </c>
      <c r="AB3404" s="2" t="s">
        <v>56</v>
      </c>
      <c r="AC3404" s="2" t="s">
        <v>57</v>
      </c>
      <c r="AF3404" s="2">
        <f t="shared" si="489"/>
        <v>0</v>
      </c>
      <c r="AG3404" s="2">
        <v>10.6</v>
      </c>
      <c r="AH3404" s="2">
        <v>18</v>
      </c>
      <c r="AJ3404" s="2">
        <f t="shared" si="490"/>
        <v>0</v>
      </c>
      <c r="AK3404" s="2">
        <f t="shared" si="484"/>
        <v>14.8</v>
      </c>
      <c r="AL3404" s="5">
        <f t="shared" si="482"/>
        <v>0.41111111111111115</v>
      </c>
    </row>
    <row r="3405" spans="1:38" x14ac:dyDescent="0.2">
      <c r="A3405" s="2">
        <v>2026</v>
      </c>
      <c r="B3405" s="2">
        <v>4</v>
      </c>
      <c r="D3405" s="2" t="s">
        <v>689</v>
      </c>
      <c r="E3405" s="2" t="s">
        <v>108</v>
      </c>
      <c r="F3405" s="2" t="s">
        <v>39</v>
      </c>
      <c r="G3405" s="2">
        <v>503589950</v>
      </c>
      <c r="H3405" s="2" t="s">
        <v>41</v>
      </c>
      <c r="I3405" s="2" t="s">
        <v>610</v>
      </c>
      <c r="J3405" s="2" t="s">
        <v>690</v>
      </c>
      <c r="K3405" s="2">
        <v>913036545</v>
      </c>
      <c r="L3405" s="2" t="s">
        <v>177</v>
      </c>
      <c r="M3405" s="2" t="s">
        <v>41</v>
      </c>
      <c r="O3405" s="2" t="s">
        <v>2613</v>
      </c>
      <c r="P3405" s="2" t="s">
        <v>43</v>
      </c>
      <c r="Q3405" s="2" t="s">
        <v>212</v>
      </c>
      <c r="R3405" s="2" t="s">
        <v>213</v>
      </c>
      <c r="S3405" s="2">
        <v>1</v>
      </c>
      <c r="T3405" s="2">
        <v>48</v>
      </c>
      <c r="U3405" s="2">
        <v>11.04</v>
      </c>
      <c r="V3405" s="2">
        <v>59.04</v>
      </c>
      <c r="W3405" s="2">
        <v>25.6</v>
      </c>
      <c r="X3405" s="5">
        <f t="shared" si="481"/>
        <v>0.46666666666666662</v>
      </c>
      <c r="Z3405" s="2" t="s">
        <v>3227</v>
      </c>
      <c r="AA3405" s="2" t="s">
        <v>46</v>
      </c>
      <c r="AB3405" s="2" t="s">
        <v>47</v>
      </c>
      <c r="AC3405" s="2" t="s">
        <v>57</v>
      </c>
      <c r="AF3405" s="2">
        <f t="shared" si="489"/>
        <v>0</v>
      </c>
      <c r="AJ3405" s="2">
        <f t="shared" si="490"/>
        <v>0</v>
      </c>
      <c r="AK3405" s="2">
        <f t="shared" si="484"/>
        <v>22.4</v>
      </c>
      <c r="AL3405" s="5">
        <f t="shared" si="482"/>
        <v>0.46666666666666662</v>
      </c>
    </row>
    <row r="3406" spans="1:38" x14ac:dyDescent="0.2">
      <c r="A3406" s="2">
        <v>2026</v>
      </c>
      <c r="B3406" s="2">
        <v>3</v>
      </c>
      <c r="D3406" s="2" t="s">
        <v>1397</v>
      </c>
      <c r="E3406" s="2" t="s">
        <v>38</v>
      </c>
      <c r="F3406" s="2" t="s">
        <v>39</v>
      </c>
      <c r="G3406" s="2">
        <v>509014313</v>
      </c>
      <c r="H3406" s="2" t="s">
        <v>40</v>
      </c>
      <c r="I3406" s="2" t="s">
        <v>3217</v>
      </c>
      <c r="J3406" s="2" t="s">
        <v>3216</v>
      </c>
      <c r="K3406" s="2">
        <v>913814877</v>
      </c>
      <c r="L3406" s="2" t="s">
        <v>201</v>
      </c>
      <c r="M3406" s="2" t="s">
        <v>80</v>
      </c>
      <c r="O3406" s="2" t="s">
        <v>3214</v>
      </c>
      <c r="P3406" s="2" t="s">
        <v>43</v>
      </c>
      <c r="Q3406" s="2" t="s">
        <v>54</v>
      </c>
      <c r="R3406" s="2" t="s">
        <v>55</v>
      </c>
      <c r="S3406" s="2">
        <v>3</v>
      </c>
      <c r="T3406" s="2">
        <v>54</v>
      </c>
      <c r="U3406" s="2">
        <v>12.42</v>
      </c>
      <c r="V3406" s="2">
        <v>66.42</v>
      </c>
      <c r="W3406" s="2">
        <f t="shared" ref="W3406:W3412" si="492">10.6*S3406</f>
        <v>31.799999999999997</v>
      </c>
      <c r="X3406" s="5">
        <f t="shared" si="481"/>
        <v>0.41111111111111115</v>
      </c>
      <c r="Z3406" s="2" t="s">
        <v>3227</v>
      </c>
      <c r="AA3406" s="2" t="s">
        <v>46</v>
      </c>
      <c r="AB3406" s="2" t="s">
        <v>56</v>
      </c>
      <c r="AC3406" s="2" t="s">
        <v>57</v>
      </c>
      <c r="AF3406" s="2">
        <f t="shared" si="489"/>
        <v>0</v>
      </c>
      <c r="AG3406" s="2">
        <v>10.6</v>
      </c>
      <c r="AH3406" s="2">
        <v>18</v>
      </c>
      <c r="AJ3406" s="2">
        <f t="shared" si="490"/>
        <v>0</v>
      </c>
      <c r="AK3406" s="2">
        <f t="shared" si="484"/>
        <v>22.200000000000003</v>
      </c>
      <c r="AL3406" s="5">
        <f t="shared" si="482"/>
        <v>0.41111111111111115</v>
      </c>
    </row>
    <row r="3407" spans="1:38" x14ac:dyDescent="0.2">
      <c r="A3407" s="2">
        <v>2026</v>
      </c>
      <c r="B3407" s="2">
        <v>3</v>
      </c>
      <c r="D3407" s="2" t="s">
        <v>508</v>
      </c>
      <c r="P3407" s="2" t="s">
        <v>43</v>
      </c>
      <c r="Q3407" s="2" t="s">
        <v>54</v>
      </c>
      <c r="R3407" s="2" t="s">
        <v>55</v>
      </c>
      <c r="S3407" s="2">
        <v>4</v>
      </c>
      <c r="T3407" s="2">
        <v>64</v>
      </c>
      <c r="U3407" s="2">
        <v>14.72</v>
      </c>
      <c r="V3407" s="2">
        <v>78.72</v>
      </c>
      <c r="W3407" s="2">
        <f t="shared" si="492"/>
        <v>42.4</v>
      </c>
      <c r="X3407" s="5">
        <f t="shared" ref="X3407:X3425" si="493">(T3407-W3407)/T3407</f>
        <v>0.33750000000000002</v>
      </c>
      <c r="Z3407" s="2" t="s">
        <v>3227</v>
      </c>
      <c r="AA3407" s="2" t="s">
        <v>46</v>
      </c>
      <c r="AB3407" s="2" t="s">
        <v>56</v>
      </c>
      <c r="AC3407" s="2" t="s">
        <v>57</v>
      </c>
      <c r="AF3407" s="2">
        <f t="shared" si="489"/>
        <v>0</v>
      </c>
      <c r="AG3407" s="2">
        <v>10.6</v>
      </c>
      <c r="AH3407" s="2">
        <v>18</v>
      </c>
      <c r="AJ3407" s="2">
        <f t="shared" si="490"/>
        <v>0</v>
      </c>
      <c r="AK3407" s="2">
        <f t="shared" si="484"/>
        <v>21.6</v>
      </c>
      <c r="AL3407" s="5">
        <f t="shared" ref="AL3407:AL3425" si="494">(T3407-W3407)/T3407</f>
        <v>0.33750000000000002</v>
      </c>
    </row>
    <row r="3408" spans="1:38" x14ac:dyDescent="0.2">
      <c r="A3408" s="2">
        <v>2026</v>
      </c>
      <c r="B3408" s="2">
        <v>3</v>
      </c>
      <c r="D3408" s="2" t="s">
        <v>864</v>
      </c>
      <c r="E3408" s="2" t="s">
        <v>38</v>
      </c>
      <c r="G3408" s="2">
        <v>517724308</v>
      </c>
      <c r="I3408" s="2" t="s">
        <v>177</v>
      </c>
      <c r="L3408" s="2" t="s">
        <v>177</v>
      </c>
      <c r="M3408" s="2" t="s">
        <v>41</v>
      </c>
      <c r="O3408" s="2" t="s">
        <v>2671</v>
      </c>
      <c r="P3408" s="2" t="s">
        <v>43</v>
      </c>
      <c r="Q3408" s="2" t="s">
        <v>54</v>
      </c>
      <c r="R3408" s="2" t="s">
        <v>55</v>
      </c>
      <c r="S3408" s="2">
        <v>1</v>
      </c>
      <c r="T3408" s="2">
        <v>18</v>
      </c>
      <c r="U3408" s="2">
        <v>4.1400000000000006</v>
      </c>
      <c r="V3408" s="2">
        <v>22.14</v>
      </c>
      <c r="W3408" s="2">
        <f t="shared" si="492"/>
        <v>10.6</v>
      </c>
      <c r="X3408" s="5">
        <f t="shared" si="493"/>
        <v>0.41111111111111115</v>
      </c>
      <c r="Z3408" s="2" t="s">
        <v>3227</v>
      </c>
      <c r="AA3408" s="2" t="s">
        <v>46</v>
      </c>
      <c r="AB3408" s="2" t="s">
        <v>56</v>
      </c>
      <c r="AC3408" s="2" t="s">
        <v>57</v>
      </c>
      <c r="AF3408" s="2">
        <f t="shared" si="489"/>
        <v>0</v>
      </c>
      <c r="AG3408" s="2">
        <v>10.6</v>
      </c>
      <c r="AH3408" s="2">
        <v>18</v>
      </c>
      <c r="AJ3408" s="2">
        <f t="shared" si="490"/>
        <v>0</v>
      </c>
      <c r="AK3408" s="2">
        <f t="shared" si="484"/>
        <v>7.4</v>
      </c>
      <c r="AL3408" s="5">
        <f t="shared" si="494"/>
        <v>0.41111111111111115</v>
      </c>
    </row>
    <row r="3409" spans="1:38" x14ac:dyDescent="0.2">
      <c r="A3409" s="2">
        <v>2026</v>
      </c>
      <c r="B3409" s="2">
        <v>3</v>
      </c>
      <c r="D3409" s="2" t="s">
        <v>889</v>
      </c>
      <c r="E3409" s="2" t="s">
        <v>108</v>
      </c>
      <c r="F3409" s="2" t="s">
        <v>39</v>
      </c>
      <c r="G3409" s="2">
        <v>507216970</v>
      </c>
      <c r="H3409" s="2" t="s">
        <v>41</v>
      </c>
      <c r="I3409" s="2" t="s">
        <v>890</v>
      </c>
      <c r="J3409" s="2" t="s">
        <v>891</v>
      </c>
      <c r="L3409" s="2" t="s">
        <v>99</v>
      </c>
      <c r="M3409" s="2" t="s">
        <v>41</v>
      </c>
      <c r="O3409" s="2" t="s">
        <v>2683</v>
      </c>
      <c r="P3409" s="2" t="s">
        <v>43</v>
      </c>
      <c r="Q3409" s="2" t="s">
        <v>54</v>
      </c>
      <c r="R3409" s="2" t="s">
        <v>55</v>
      </c>
      <c r="S3409" s="2">
        <v>10</v>
      </c>
      <c r="T3409" s="2">
        <v>150</v>
      </c>
      <c r="U3409" s="2">
        <v>34.5</v>
      </c>
      <c r="V3409" s="2">
        <v>184.5</v>
      </c>
      <c r="W3409" s="2">
        <f t="shared" si="492"/>
        <v>106</v>
      </c>
      <c r="X3409" s="5">
        <f t="shared" si="493"/>
        <v>0.29333333333333333</v>
      </c>
      <c r="Z3409" s="2" t="s">
        <v>3227</v>
      </c>
      <c r="AA3409" s="2" t="s">
        <v>46</v>
      </c>
      <c r="AB3409" s="2" t="s">
        <v>56</v>
      </c>
      <c r="AC3409" s="2" t="s">
        <v>57</v>
      </c>
      <c r="AF3409" s="2">
        <f t="shared" si="489"/>
        <v>0</v>
      </c>
      <c r="AG3409" s="2">
        <v>10.6</v>
      </c>
      <c r="AH3409" s="2">
        <v>18</v>
      </c>
      <c r="AJ3409" s="2">
        <f t="shared" si="490"/>
        <v>0</v>
      </c>
      <c r="AK3409" s="2">
        <f t="shared" si="484"/>
        <v>44</v>
      </c>
      <c r="AL3409" s="5">
        <f t="shared" si="494"/>
        <v>0.29333333333333333</v>
      </c>
    </row>
    <row r="3410" spans="1:38" x14ac:dyDescent="0.2">
      <c r="A3410" s="2">
        <v>2026</v>
      </c>
      <c r="B3410" s="2">
        <v>3</v>
      </c>
      <c r="D3410" s="2" t="s">
        <v>606</v>
      </c>
      <c r="E3410" s="2" t="s">
        <v>108</v>
      </c>
      <c r="F3410" s="2" t="s">
        <v>39</v>
      </c>
      <c r="G3410" s="2">
        <v>504822187</v>
      </c>
      <c r="H3410" s="2" t="s">
        <v>109</v>
      </c>
      <c r="I3410" s="2" t="s">
        <v>607</v>
      </c>
      <c r="J3410" s="2" t="s">
        <v>608</v>
      </c>
      <c r="K3410" s="2">
        <v>966216853</v>
      </c>
      <c r="L3410" s="2" t="s">
        <v>461</v>
      </c>
      <c r="P3410" s="2" t="s">
        <v>43</v>
      </c>
      <c r="Q3410" s="2" t="s">
        <v>54</v>
      </c>
      <c r="R3410" s="2" t="s">
        <v>55</v>
      </c>
      <c r="S3410" s="2">
        <v>10</v>
      </c>
      <c r="T3410" s="2">
        <v>145</v>
      </c>
      <c r="U3410" s="2">
        <v>33.35</v>
      </c>
      <c r="V3410" s="2">
        <v>178.35</v>
      </c>
      <c r="W3410" s="2">
        <f t="shared" si="492"/>
        <v>106</v>
      </c>
      <c r="X3410" s="5">
        <f t="shared" si="493"/>
        <v>0.26896551724137929</v>
      </c>
      <c r="Z3410" s="2" t="s">
        <v>3227</v>
      </c>
      <c r="AA3410" s="2" t="s">
        <v>46</v>
      </c>
      <c r="AB3410" s="2" t="s">
        <v>56</v>
      </c>
      <c r="AC3410" s="2" t="s">
        <v>57</v>
      </c>
      <c r="AF3410" s="2">
        <f t="shared" si="489"/>
        <v>0</v>
      </c>
      <c r="AG3410" s="2">
        <v>10.6</v>
      </c>
      <c r="AH3410" s="2">
        <v>18</v>
      </c>
      <c r="AJ3410" s="2">
        <f t="shared" si="490"/>
        <v>0</v>
      </c>
      <c r="AK3410" s="2">
        <f t="shared" si="484"/>
        <v>39</v>
      </c>
      <c r="AL3410" s="5">
        <f t="shared" si="494"/>
        <v>0.26896551724137929</v>
      </c>
    </row>
    <row r="3411" spans="1:38" x14ac:dyDescent="0.2">
      <c r="A3411" s="2">
        <v>2026</v>
      </c>
      <c r="B3411" s="2">
        <v>3</v>
      </c>
      <c r="D3411" s="2" t="s">
        <v>917</v>
      </c>
      <c r="E3411" s="2" t="s">
        <v>752</v>
      </c>
      <c r="F3411" s="2" t="s">
        <v>918</v>
      </c>
      <c r="G3411" s="2">
        <v>505973960</v>
      </c>
      <c r="H3411" s="2" t="s">
        <v>40</v>
      </c>
      <c r="I3411" s="2" t="s">
        <v>156</v>
      </c>
      <c r="J3411" s="2" t="s">
        <v>919</v>
      </c>
      <c r="L3411" s="2" t="s">
        <v>99</v>
      </c>
      <c r="M3411" s="2" t="s">
        <v>80</v>
      </c>
      <c r="O3411" s="2" t="s">
        <v>2684</v>
      </c>
      <c r="P3411" s="2" t="s">
        <v>43</v>
      </c>
      <c r="Q3411" s="2" t="s">
        <v>54</v>
      </c>
      <c r="R3411" s="2" t="s">
        <v>55</v>
      </c>
      <c r="S3411" s="2">
        <v>1</v>
      </c>
      <c r="T3411" s="2">
        <v>18</v>
      </c>
      <c r="U3411" s="2">
        <v>4.1400000000000006</v>
      </c>
      <c r="V3411" s="2">
        <v>22.14</v>
      </c>
      <c r="W3411" s="2">
        <f t="shared" si="492"/>
        <v>10.6</v>
      </c>
      <c r="X3411" s="5">
        <f t="shared" si="493"/>
        <v>0.41111111111111115</v>
      </c>
      <c r="Z3411" s="2" t="s">
        <v>3227</v>
      </c>
      <c r="AA3411" s="2" t="s">
        <v>46</v>
      </c>
      <c r="AB3411" s="2" t="s">
        <v>56</v>
      </c>
      <c r="AC3411" s="2" t="s">
        <v>57</v>
      </c>
      <c r="AF3411" s="2">
        <f t="shared" si="489"/>
        <v>0</v>
      </c>
      <c r="AG3411" s="2">
        <v>10.6</v>
      </c>
      <c r="AH3411" s="2">
        <v>18</v>
      </c>
      <c r="AJ3411" s="2">
        <f t="shared" si="490"/>
        <v>0</v>
      </c>
      <c r="AK3411" s="2">
        <f t="shared" si="484"/>
        <v>7.4</v>
      </c>
      <c r="AL3411" s="5">
        <f t="shared" si="494"/>
        <v>0.41111111111111115</v>
      </c>
    </row>
    <row r="3412" spans="1:38" x14ac:dyDescent="0.2">
      <c r="A3412" s="2">
        <v>2026</v>
      </c>
      <c r="B3412" s="2">
        <v>3</v>
      </c>
      <c r="D3412" s="2" t="s">
        <v>1312</v>
      </c>
      <c r="E3412" s="2" t="s">
        <v>38</v>
      </c>
      <c r="F3412" s="2" t="s">
        <v>39</v>
      </c>
      <c r="G3412" s="2">
        <v>509512739</v>
      </c>
      <c r="H3412" s="2" t="s">
        <v>41</v>
      </c>
      <c r="I3412" s="2" t="s">
        <v>177</v>
      </c>
      <c r="J3412" s="2" t="s">
        <v>1313</v>
      </c>
      <c r="L3412" s="2" t="s">
        <v>177</v>
      </c>
      <c r="M3412" s="2" t="s">
        <v>41</v>
      </c>
      <c r="O3412" s="2" t="s">
        <v>2676</v>
      </c>
      <c r="P3412" s="2" t="s">
        <v>43</v>
      </c>
      <c r="Q3412" s="2" t="s">
        <v>54</v>
      </c>
      <c r="R3412" s="2" t="s">
        <v>55</v>
      </c>
      <c r="S3412" s="2">
        <v>2</v>
      </c>
      <c r="T3412" s="2">
        <v>36</v>
      </c>
      <c r="U3412" s="2">
        <v>8.2800000000000011</v>
      </c>
      <c r="V3412" s="2">
        <v>44.28</v>
      </c>
      <c r="W3412" s="2">
        <f t="shared" si="492"/>
        <v>21.2</v>
      </c>
      <c r="X3412" s="5">
        <f t="shared" si="493"/>
        <v>0.41111111111111115</v>
      </c>
      <c r="Z3412" s="2" t="s">
        <v>3227</v>
      </c>
      <c r="AA3412" s="2" t="s">
        <v>46</v>
      </c>
      <c r="AB3412" s="2" t="s">
        <v>56</v>
      </c>
      <c r="AC3412" s="2" t="s">
        <v>57</v>
      </c>
      <c r="AF3412" s="2">
        <f t="shared" si="489"/>
        <v>0</v>
      </c>
      <c r="AG3412" s="2">
        <v>10.6</v>
      </c>
      <c r="AH3412" s="2">
        <v>18</v>
      </c>
      <c r="AJ3412" s="2">
        <f t="shared" si="490"/>
        <v>0</v>
      </c>
      <c r="AK3412" s="2">
        <f t="shared" si="484"/>
        <v>14.8</v>
      </c>
      <c r="AL3412" s="5">
        <f t="shared" si="494"/>
        <v>0.41111111111111115</v>
      </c>
    </row>
    <row r="3413" spans="1:38" x14ac:dyDescent="0.2">
      <c r="A3413" s="2">
        <v>2026</v>
      </c>
      <c r="B3413" s="2">
        <v>3</v>
      </c>
      <c r="D3413" s="2" t="s">
        <v>864</v>
      </c>
      <c r="E3413" s="2" t="s">
        <v>38</v>
      </c>
      <c r="G3413" s="2">
        <v>517724308</v>
      </c>
      <c r="I3413" s="2" t="s">
        <v>177</v>
      </c>
      <c r="L3413" s="2" t="s">
        <v>177</v>
      </c>
      <c r="M3413" s="2" t="s">
        <v>41</v>
      </c>
      <c r="O3413" s="2" t="s">
        <v>2685</v>
      </c>
      <c r="P3413" s="2" t="s">
        <v>43</v>
      </c>
      <c r="Q3413" s="2" t="s">
        <v>669</v>
      </c>
      <c r="R3413" s="2" t="s">
        <v>670</v>
      </c>
      <c r="S3413" s="2">
        <v>1</v>
      </c>
      <c r="T3413" s="2">
        <v>60</v>
      </c>
      <c r="U3413" s="2">
        <v>13.8</v>
      </c>
      <c r="V3413" s="2">
        <v>73.8</v>
      </c>
      <c r="W3413" s="2">
        <v>29.27</v>
      </c>
      <c r="X3413" s="5">
        <f t="shared" si="493"/>
        <v>0.51216666666666666</v>
      </c>
      <c r="Z3413" s="2" t="s">
        <v>3227</v>
      </c>
      <c r="AA3413" s="2" t="s">
        <v>46</v>
      </c>
      <c r="AB3413" s="2" t="s">
        <v>56</v>
      </c>
      <c r="AC3413" s="2" t="s">
        <v>57</v>
      </c>
      <c r="AF3413" s="2">
        <f t="shared" si="489"/>
        <v>0</v>
      </c>
      <c r="AG3413" s="2">
        <v>29.27</v>
      </c>
      <c r="AH3413" s="2">
        <v>60</v>
      </c>
      <c r="AJ3413" s="2">
        <f t="shared" si="490"/>
        <v>0</v>
      </c>
      <c r="AK3413" s="2">
        <f t="shared" si="484"/>
        <v>30.73</v>
      </c>
      <c r="AL3413" s="5">
        <f t="shared" si="494"/>
        <v>0.51216666666666666</v>
      </c>
    </row>
    <row r="3414" spans="1:38" x14ac:dyDescent="0.2">
      <c r="A3414" s="2">
        <v>2026</v>
      </c>
      <c r="B3414" s="2">
        <v>3</v>
      </c>
      <c r="D3414" s="2" t="s">
        <v>1312</v>
      </c>
      <c r="E3414" s="2" t="s">
        <v>38</v>
      </c>
      <c r="F3414" s="2" t="s">
        <v>39</v>
      </c>
      <c r="G3414" s="2">
        <v>509512739</v>
      </c>
      <c r="H3414" s="2" t="s">
        <v>41</v>
      </c>
      <c r="I3414" s="2" t="s">
        <v>177</v>
      </c>
      <c r="J3414" s="2" t="s">
        <v>1313</v>
      </c>
      <c r="L3414" s="2" t="s">
        <v>177</v>
      </c>
      <c r="M3414" s="2" t="s">
        <v>41</v>
      </c>
      <c r="O3414" s="2" t="s">
        <v>2686</v>
      </c>
      <c r="P3414" s="2" t="s">
        <v>43</v>
      </c>
      <c r="Q3414" s="2" t="s">
        <v>669</v>
      </c>
      <c r="R3414" s="2" t="s">
        <v>670</v>
      </c>
      <c r="S3414" s="2">
        <v>1</v>
      </c>
      <c r="T3414" s="2">
        <v>60</v>
      </c>
      <c r="U3414" s="2">
        <v>13.8</v>
      </c>
      <c r="V3414" s="2">
        <v>73.8</v>
      </c>
      <c r="W3414" s="2">
        <v>29.27</v>
      </c>
      <c r="X3414" s="5">
        <f t="shared" si="493"/>
        <v>0.51216666666666666</v>
      </c>
      <c r="Z3414" s="2" t="s">
        <v>3227</v>
      </c>
      <c r="AA3414" s="2" t="s">
        <v>46</v>
      </c>
      <c r="AB3414" s="2" t="s">
        <v>56</v>
      </c>
      <c r="AC3414" s="2" t="s">
        <v>57</v>
      </c>
      <c r="AF3414" s="2">
        <f t="shared" si="489"/>
        <v>0</v>
      </c>
      <c r="AG3414" s="2">
        <v>29.27</v>
      </c>
      <c r="AH3414" s="2">
        <v>60</v>
      </c>
      <c r="AJ3414" s="2">
        <f t="shared" si="490"/>
        <v>0</v>
      </c>
      <c r="AK3414" s="2">
        <f t="shared" ref="AK3414:AK3445" si="495">T3414-W3414</f>
        <v>30.73</v>
      </c>
      <c r="AL3414" s="5">
        <f t="shared" si="494"/>
        <v>0.51216666666666666</v>
      </c>
    </row>
    <row r="3415" spans="1:38" x14ac:dyDescent="0.2">
      <c r="A3415" s="2">
        <v>2026</v>
      </c>
      <c r="B3415" s="2">
        <v>3</v>
      </c>
      <c r="D3415" s="2" t="s">
        <v>332</v>
      </c>
      <c r="E3415" s="2" t="s">
        <v>108</v>
      </c>
      <c r="F3415" s="2" t="s">
        <v>39</v>
      </c>
      <c r="G3415" s="2">
        <v>513493557</v>
      </c>
      <c r="H3415" s="2" t="s">
        <v>41</v>
      </c>
      <c r="I3415" s="2" t="s">
        <v>279</v>
      </c>
      <c r="J3415" s="2" t="s">
        <v>333</v>
      </c>
      <c r="L3415" s="2" t="s">
        <v>177</v>
      </c>
      <c r="M3415" s="2" t="s">
        <v>41</v>
      </c>
      <c r="O3415" s="2" t="s">
        <v>2687</v>
      </c>
      <c r="P3415" s="2" t="s">
        <v>43</v>
      </c>
      <c r="Q3415" s="2" t="s">
        <v>58</v>
      </c>
      <c r="R3415" s="2" t="s">
        <v>59</v>
      </c>
      <c r="S3415" s="2">
        <v>500</v>
      </c>
      <c r="T3415" s="2">
        <v>65</v>
      </c>
      <c r="U3415" s="2">
        <v>14.95</v>
      </c>
      <c r="V3415" s="2">
        <v>79.95</v>
      </c>
      <c r="W3415" s="2">
        <f>0.0914*S3415</f>
        <v>45.699999999999996</v>
      </c>
      <c r="X3415" s="5">
        <f t="shared" si="493"/>
        <v>0.29692307692307701</v>
      </c>
      <c r="Z3415" s="2" t="s">
        <v>3227</v>
      </c>
      <c r="AA3415" s="2" t="s">
        <v>46</v>
      </c>
      <c r="AB3415" s="2" t="s">
        <v>60</v>
      </c>
      <c r="AC3415" s="2" t="s">
        <v>57</v>
      </c>
      <c r="AF3415" s="2">
        <f t="shared" si="489"/>
        <v>0</v>
      </c>
      <c r="AG3415" s="2">
        <v>9.14</v>
      </c>
      <c r="AH3415" s="2">
        <v>16</v>
      </c>
      <c r="AJ3415" s="2">
        <f t="shared" si="490"/>
        <v>0</v>
      </c>
      <c r="AK3415" s="2">
        <f t="shared" si="495"/>
        <v>19.300000000000004</v>
      </c>
      <c r="AL3415" s="5">
        <f t="shared" si="494"/>
        <v>0.29692307692307701</v>
      </c>
    </row>
    <row r="3416" spans="1:38" x14ac:dyDescent="0.2">
      <c r="A3416" s="2">
        <v>2026</v>
      </c>
      <c r="B3416" s="2">
        <v>3</v>
      </c>
      <c r="D3416" s="2" t="s">
        <v>2516</v>
      </c>
      <c r="E3416" s="2" t="s">
        <v>752</v>
      </c>
      <c r="F3416" s="2" t="s">
        <v>39</v>
      </c>
      <c r="G3416" s="2">
        <v>515570354</v>
      </c>
      <c r="H3416" s="2" t="s">
        <v>109</v>
      </c>
      <c r="I3416" s="2" t="s">
        <v>2517</v>
      </c>
      <c r="J3416" s="2" t="s">
        <v>2518</v>
      </c>
      <c r="K3416" s="2">
        <v>967032538</v>
      </c>
      <c r="L3416" s="2" t="s">
        <v>398</v>
      </c>
      <c r="M3416" s="2" t="s">
        <v>109</v>
      </c>
      <c r="O3416" s="2" t="s">
        <v>2639</v>
      </c>
      <c r="P3416" s="2" t="s">
        <v>43</v>
      </c>
      <c r="Q3416" s="2" t="s">
        <v>58</v>
      </c>
      <c r="R3416" s="2" t="s">
        <v>59</v>
      </c>
      <c r="S3416" s="2">
        <v>100</v>
      </c>
      <c r="T3416" s="2">
        <v>15</v>
      </c>
      <c r="U3416" s="2">
        <v>3.45</v>
      </c>
      <c r="V3416" s="2">
        <v>18.45</v>
      </c>
      <c r="W3416" s="2">
        <f>0.0914*S3416</f>
        <v>9.1399999999999988</v>
      </c>
      <c r="X3416" s="5">
        <f t="shared" si="493"/>
        <v>0.39066666666666677</v>
      </c>
      <c r="Z3416" s="2" t="s">
        <v>3227</v>
      </c>
      <c r="AA3416" s="2" t="s">
        <v>46</v>
      </c>
      <c r="AB3416" s="2" t="s">
        <v>60</v>
      </c>
      <c r="AC3416" s="2" t="s">
        <v>57</v>
      </c>
      <c r="AF3416" s="2">
        <f t="shared" si="489"/>
        <v>0</v>
      </c>
      <c r="AG3416" s="2">
        <v>9.14</v>
      </c>
      <c r="AH3416" s="2">
        <v>16</v>
      </c>
      <c r="AJ3416" s="2">
        <f t="shared" si="490"/>
        <v>0</v>
      </c>
      <c r="AK3416" s="2">
        <f t="shared" si="495"/>
        <v>5.8600000000000012</v>
      </c>
      <c r="AL3416" s="5">
        <f t="shared" si="494"/>
        <v>0.39066666666666677</v>
      </c>
    </row>
    <row r="3417" spans="1:38" x14ac:dyDescent="0.2">
      <c r="A3417" s="2">
        <v>2026</v>
      </c>
      <c r="B3417" s="2">
        <v>3</v>
      </c>
      <c r="D3417" s="2" t="s">
        <v>37</v>
      </c>
      <c r="E3417" s="2" t="s">
        <v>38</v>
      </c>
      <c r="F3417" s="2" t="s">
        <v>39</v>
      </c>
      <c r="H3417" s="2" t="s">
        <v>40</v>
      </c>
      <c r="P3417" s="2" t="s">
        <v>43</v>
      </c>
      <c r="Q3417" s="2" t="s">
        <v>61</v>
      </c>
      <c r="R3417" s="2" t="s">
        <v>62</v>
      </c>
      <c r="S3417" s="2">
        <v>2200</v>
      </c>
      <c r="T3417" s="2">
        <v>246</v>
      </c>
      <c r="U3417" s="2">
        <v>56.580000000000013</v>
      </c>
      <c r="V3417" s="2">
        <v>302.58</v>
      </c>
      <c r="W3417" s="2">
        <f>0.082*S3417</f>
        <v>180.4</v>
      </c>
      <c r="X3417" s="5">
        <f t="shared" si="493"/>
        <v>0.26666666666666666</v>
      </c>
      <c r="Z3417" s="2" t="s">
        <v>3227</v>
      </c>
      <c r="AA3417" s="2" t="s">
        <v>46</v>
      </c>
      <c r="AB3417" s="2" t="s">
        <v>60</v>
      </c>
      <c r="AC3417" s="2" t="s">
        <v>57</v>
      </c>
      <c r="AF3417" s="2">
        <f t="shared" si="489"/>
        <v>0</v>
      </c>
      <c r="AG3417" s="2">
        <v>8.1999999999999993</v>
      </c>
      <c r="AH3417" s="2">
        <v>13</v>
      </c>
      <c r="AJ3417" s="2">
        <f t="shared" si="490"/>
        <v>0</v>
      </c>
      <c r="AK3417" s="2">
        <f t="shared" si="495"/>
        <v>65.599999999999994</v>
      </c>
      <c r="AL3417" s="5">
        <f t="shared" si="494"/>
        <v>0.26666666666666666</v>
      </c>
    </row>
    <row r="3418" spans="1:38" x14ac:dyDescent="0.2">
      <c r="A3418" s="2">
        <v>2026</v>
      </c>
      <c r="B3418" s="2">
        <v>3</v>
      </c>
      <c r="D3418" s="2" t="s">
        <v>2682</v>
      </c>
      <c r="P3418" s="2" t="s">
        <v>43</v>
      </c>
      <c r="Q3418" s="2" t="s">
        <v>61</v>
      </c>
      <c r="R3418" s="2" t="s">
        <v>62</v>
      </c>
      <c r="S3418" s="2">
        <v>100</v>
      </c>
      <c r="T3418" s="2">
        <v>13</v>
      </c>
      <c r="U3418" s="2">
        <v>2.99</v>
      </c>
      <c r="V3418" s="2">
        <v>15.99</v>
      </c>
      <c r="W3418" s="2">
        <f>0.082*S3418</f>
        <v>8.2000000000000011</v>
      </c>
      <c r="X3418" s="5">
        <f t="shared" si="493"/>
        <v>0.36923076923076914</v>
      </c>
      <c r="Z3418" s="2" t="s">
        <v>3227</v>
      </c>
      <c r="AA3418" s="2" t="s">
        <v>46</v>
      </c>
      <c r="AB3418" s="2" t="s">
        <v>60</v>
      </c>
      <c r="AC3418" s="2" t="s">
        <v>57</v>
      </c>
      <c r="AF3418" s="2">
        <f t="shared" si="489"/>
        <v>0</v>
      </c>
      <c r="AG3418" s="2">
        <v>8.1999999999999993</v>
      </c>
      <c r="AH3418" s="2">
        <v>13</v>
      </c>
      <c r="AJ3418" s="2">
        <f t="shared" si="490"/>
        <v>0</v>
      </c>
      <c r="AK3418" s="2">
        <f t="shared" si="495"/>
        <v>4.7999999999999989</v>
      </c>
      <c r="AL3418" s="5">
        <f t="shared" si="494"/>
        <v>0.36923076923076914</v>
      </c>
    </row>
    <row r="3419" spans="1:38" x14ac:dyDescent="0.2">
      <c r="A3419" s="2">
        <v>2026</v>
      </c>
      <c r="B3419" s="2">
        <v>3</v>
      </c>
      <c r="D3419" s="2" t="s">
        <v>2516</v>
      </c>
      <c r="E3419" s="2" t="s">
        <v>752</v>
      </c>
      <c r="F3419" s="2" t="s">
        <v>39</v>
      </c>
      <c r="G3419" s="2">
        <v>515570354</v>
      </c>
      <c r="H3419" s="2" t="s">
        <v>109</v>
      </c>
      <c r="I3419" s="2" t="s">
        <v>2517</v>
      </c>
      <c r="J3419" s="2" t="s">
        <v>2518</v>
      </c>
      <c r="K3419" s="2">
        <v>967032538</v>
      </c>
      <c r="L3419" s="2" t="s">
        <v>398</v>
      </c>
      <c r="M3419" s="2" t="s">
        <v>109</v>
      </c>
      <c r="P3419" s="2" t="s">
        <v>43</v>
      </c>
      <c r="Q3419" s="2" t="s">
        <v>61</v>
      </c>
      <c r="R3419" s="2" t="s">
        <v>62</v>
      </c>
      <c r="S3419" s="2">
        <v>100</v>
      </c>
      <c r="T3419" s="2">
        <v>13</v>
      </c>
      <c r="U3419" s="2">
        <v>2.99</v>
      </c>
      <c r="V3419" s="2">
        <v>15.99</v>
      </c>
      <c r="W3419" s="2">
        <f>0.082*S3419</f>
        <v>8.2000000000000011</v>
      </c>
      <c r="X3419" s="5">
        <f t="shared" si="493"/>
        <v>0.36923076923076914</v>
      </c>
      <c r="Z3419" s="2" t="s">
        <v>3227</v>
      </c>
      <c r="AA3419" s="2" t="s">
        <v>46</v>
      </c>
      <c r="AB3419" s="2" t="s">
        <v>60</v>
      </c>
      <c r="AC3419" s="2" t="s">
        <v>57</v>
      </c>
      <c r="AF3419" s="2">
        <f t="shared" si="489"/>
        <v>0</v>
      </c>
      <c r="AG3419" s="2">
        <v>8.1999999999999993</v>
      </c>
      <c r="AH3419" s="2">
        <v>13</v>
      </c>
      <c r="AJ3419" s="2">
        <f t="shared" si="490"/>
        <v>0</v>
      </c>
      <c r="AK3419" s="2">
        <f t="shared" si="495"/>
        <v>4.7999999999999989</v>
      </c>
      <c r="AL3419" s="5">
        <f t="shared" si="494"/>
        <v>0.36923076923076914</v>
      </c>
    </row>
    <row r="3420" spans="1:38" x14ac:dyDescent="0.2">
      <c r="A3420" s="2">
        <v>2026</v>
      </c>
      <c r="B3420" s="2">
        <v>3</v>
      </c>
      <c r="D3420" s="2" t="s">
        <v>1008</v>
      </c>
      <c r="E3420" s="2" t="s">
        <v>108</v>
      </c>
      <c r="F3420" s="2" t="s">
        <v>39</v>
      </c>
      <c r="L3420" s="2" t="s">
        <v>418</v>
      </c>
      <c r="M3420" s="2" t="s">
        <v>41</v>
      </c>
      <c r="P3420" s="2" t="s">
        <v>43</v>
      </c>
      <c r="Q3420" s="2" t="s">
        <v>61</v>
      </c>
      <c r="R3420" s="2" t="s">
        <v>62</v>
      </c>
      <c r="S3420" s="2">
        <v>100</v>
      </c>
      <c r="T3420" s="2">
        <v>13</v>
      </c>
      <c r="U3420" s="2">
        <v>2.99</v>
      </c>
      <c r="V3420" s="2">
        <v>15.99</v>
      </c>
      <c r="W3420" s="2">
        <f>0.082*S3420</f>
        <v>8.2000000000000011</v>
      </c>
      <c r="X3420" s="5">
        <f t="shared" si="493"/>
        <v>0.36923076923076914</v>
      </c>
      <c r="Z3420" s="2" t="s">
        <v>3227</v>
      </c>
      <c r="AA3420" s="2" t="s">
        <v>46</v>
      </c>
      <c r="AB3420" s="2" t="s">
        <v>60</v>
      </c>
      <c r="AC3420" s="2" t="s">
        <v>57</v>
      </c>
      <c r="AF3420" s="2">
        <f t="shared" si="489"/>
        <v>0</v>
      </c>
      <c r="AG3420" s="2">
        <v>8.1999999999999993</v>
      </c>
      <c r="AH3420" s="2">
        <v>13</v>
      </c>
      <c r="AJ3420" s="2">
        <f t="shared" si="490"/>
        <v>0</v>
      </c>
      <c r="AK3420" s="2">
        <f t="shared" si="495"/>
        <v>4.7999999999999989</v>
      </c>
      <c r="AL3420" s="5">
        <f t="shared" si="494"/>
        <v>0.36923076923076914</v>
      </c>
    </row>
    <row r="3421" spans="1:38" x14ac:dyDescent="0.2">
      <c r="A3421" s="2">
        <v>2026</v>
      </c>
      <c r="B3421" s="2">
        <v>3</v>
      </c>
      <c r="D3421" s="2" t="s">
        <v>781</v>
      </c>
      <c r="E3421" s="2" t="s">
        <v>38</v>
      </c>
      <c r="F3421" s="2" t="s">
        <v>39</v>
      </c>
      <c r="G3421" s="2">
        <v>510219675</v>
      </c>
      <c r="H3421" s="2" t="s">
        <v>40</v>
      </c>
      <c r="I3421" s="2" t="s">
        <v>782</v>
      </c>
      <c r="J3421" s="2" t="s">
        <v>783</v>
      </c>
      <c r="K3421" s="2">
        <v>917341136</v>
      </c>
      <c r="L3421" s="2" t="s">
        <v>99</v>
      </c>
      <c r="M3421" s="2" t="s">
        <v>80</v>
      </c>
      <c r="P3421" s="2" t="s">
        <v>43</v>
      </c>
      <c r="Q3421" s="2" t="s">
        <v>61</v>
      </c>
      <c r="R3421" s="2" t="s">
        <v>62</v>
      </c>
      <c r="S3421" s="2">
        <v>100</v>
      </c>
      <c r="T3421" s="2">
        <v>13</v>
      </c>
      <c r="U3421" s="2">
        <v>2.99</v>
      </c>
      <c r="V3421" s="2">
        <v>15.99</v>
      </c>
      <c r="W3421" s="2">
        <f>0.082*S3421</f>
        <v>8.2000000000000011</v>
      </c>
      <c r="X3421" s="5">
        <f t="shared" si="493"/>
        <v>0.36923076923076914</v>
      </c>
      <c r="Z3421" s="2" t="s">
        <v>3227</v>
      </c>
      <c r="AA3421" s="2" t="s">
        <v>46</v>
      </c>
      <c r="AB3421" s="2" t="s">
        <v>60</v>
      </c>
      <c r="AC3421" s="2" t="s">
        <v>57</v>
      </c>
      <c r="AF3421" s="2">
        <f t="shared" si="489"/>
        <v>0</v>
      </c>
      <c r="AG3421" s="2">
        <v>8.1999999999999993</v>
      </c>
      <c r="AH3421" s="2">
        <v>13</v>
      </c>
      <c r="AJ3421" s="2">
        <f t="shared" si="490"/>
        <v>0</v>
      </c>
      <c r="AK3421" s="2">
        <f t="shared" si="495"/>
        <v>4.7999999999999989</v>
      </c>
      <c r="AL3421" s="5">
        <f t="shared" si="494"/>
        <v>0.36923076923076914</v>
      </c>
    </row>
    <row r="3422" spans="1:38" x14ac:dyDescent="0.2">
      <c r="A3422" s="2">
        <v>2026</v>
      </c>
      <c r="B3422" s="2">
        <v>4</v>
      </c>
      <c r="D3422" s="2" t="s">
        <v>689</v>
      </c>
      <c r="E3422" s="2" t="s">
        <v>108</v>
      </c>
      <c r="F3422" s="2" t="s">
        <v>39</v>
      </c>
      <c r="G3422" s="2">
        <v>503589950</v>
      </c>
      <c r="H3422" s="2" t="s">
        <v>41</v>
      </c>
      <c r="I3422" s="2" t="s">
        <v>610</v>
      </c>
      <c r="J3422" s="2" t="s">
        <v>690</v>
      </c>
      <c r="K3422" s="2">
        <v>913036545</v>
      </c>
      <c r="L3422" s="2" t="s">
        <v>177</v>
      </c>
      <c r="M3422" s="2" t="s">
        <v>41</v>
      </c>
      <c r="O3422" s="2" t="s">
        <v>2613</v>
      </c>
      <c r="P3422" s="2" t="s">
        <v>43</v>
      </c>
      <c r="Q3422" s="2" t="s">
        <v>232</v>
      </c>
      <c r="R3422" s="2" t="s">
        <v>233</v>
      </c>
      <c r="S3422" s="2">
        <v>2</v>
      </c>
      <c r="T3422" s="2">
        <v>25.2</v>
      </c>
      <c r="U3422" s="2">
        <v>5.7960000000000003</v>
      </c>
      <c r="V3422" s="2">
        <v>30.995999999999999</v>
      </c>
      <c r="W3422" s="2">
        <f>5.9067*S3422</f>
        <v>11.8134</v>
      </c>
      <c r="X3422" s="5">
        <f t="shared" si="493"/>
        <v>0.53121428571428575</v>
      </c>
      <c r="Z3422" s="2" t="s">
        <v>3227</v>
      </c>
      <c r="AA3422" s="2" t="s">
        <v>46</v>
      </c>
      <c r="AB3422" s="2" t="s">
        <v>56</v>
      </c>
      <c r="AC3422" s="2" t="s">
        <v>57</v>
      </c>
      <c r="AF3422" s="2">
        <f t="shared" si="489"/>
        <v>0</v>
      </c>
      <c r="AG3422" s="2">
        <v>5.9066999999999998</v>
      </c>
      <c r="AH3422" s="2">
        <v>12.6</v>
      </c>
      <c r="AJ3422" s="2">
        <f t="shared" si="490"/>
        <v>0</v>
      </c>
      <c r="AK3422" s="2">
        <f t="shared" si="495"/>
        <v>13.3866</v>
      </c>
      <c r="AL3422" s="5">
        <f t="shared" si="494"/>
        <v>0.53121428571428575</v>
      </c>
    </row>
    <row r="3423" spans="1:38" x14ac:dyDescent="0.2">
      <c r="A3423" s="2">
        <v>2026</v>
      </c>
      <c r="B3423" s="2">
        <v>3</v>
      </c>
      <c r="D3423" s="2" t="s">
        <v>508</v>
      </c>
      <c r="P3423" s="2" t="s">
        <v>43</v>
      </c>
      <c r="Q3423" s="2" t="s">
        <v>61</v>
      </c>
      <c r="R3423" s="2" t="s">
        <v>62</v>
      </c>
      <c r="S3423" s="2">
        <v>200</v>
      </c>
      <c r="T3423" s="2">
        <v>24</v>
      </c>
      <c r="U3423" s="2">
        <v>5.52</v>
      </c>
      <c r="V3423" s="2">
        <v>29.52</v>
      </c>
      <c r="W3423" s="2">
        <f>0.082*S3423</f>
        <v>16.400000000000002</v>
      </c>
      <c r="X3423" s="5">
        <f t="shared" si="493"/>
        <v>0.3166666666666666</v>
      </c>
      <c r="Z3423" s="2" t="s">
        <v>3227</v>
      </c>
      <c r="AA3423" s="2" t="s">
        <v>46</v>
      </c>
      <c r="AB3423" s="2" t="s">
        <v>60</v>
      </c>
      <c r="AC3423" s="2" t="s">
        <v>57</v>
      </c>
      <c r="AF3423" s="2">
        <f t="shared" si="489"/>
        <v>0</v>
      </c>
      <c r="AG3423" s="2">
        <v>8.1999999999999993</v>
      </c>
      <c r="AH3423" s="2">
        <v>13</v>
      </c>
      <c r="AJ3423" s="2">
        <f t="shared" si="490"/>
        <v>0</v>
      </c>
      <c r="AK3423" s="2">
        <f t="shared" si="495"/>
        <v>7.5999999999999979</v>
      </c>
      <c r="AL3423" s="5">
        <f t="shared" si="494"/>
        <v>0.3166666666666666</v>
      </c>
    </row>
    <row r="3424" spans="1:38" x14ac:dyDescent="0.2">
      <c r="A3424" s="2">
        <v>2026</v>
      </c>
      <c r="B3424" s="2">
        <v>3</v>
      </c>
      <c r="D3424" s="2" t="s">
        <v>509</v>
      </c>
      <c r="E3424" s="2" t="s">
        <v>38</v>
      </c>
      <c r="F3424" s="2" t="s">
        <v>39</v>
      </c>
      <c r="G3424" s="2">
        <v>513405020</v>
      </c>
      <c r="H3424" s="2" t="s">
        <v>40</v>
      </c>
      <c r="I3424" s="2" t="s">
        <v>156</v>
      </c>
      <c r="J3424" s="2" t="s">
        <v>510</v>
      </c>
      <c r="K3424" s="2">
        <v>919770433</v>
      </c>
      <c r="L3424" s="2" t="s">
        <v>99</v>
      </c>
      <c r="M3424" s="2" t="s">
        <v>80</v>
      </c>
      <c r="P3424" s="2" t="s">
        <v>43</v>
      </c>
      <c r="Q3424" s="2" t="s">
        <v>61</v>
      </c>
      <c r="R3424" s="2" t="s">
        <v>62</v>
      </c>
      <c r="S3424" s="2">
        <v>200</v>
      </c>
      <c r="T3424" s="2">
        <v>26</v>
      </c>
      <c r="U3424" s="2">
        <v>5.98</v>
      </c>
      <c r="V3424" s="2">
        <v>31.98</v>
      </c>
      <c r="W3424" s="2">
        <f>0.082*S3424</f>
        <v>16.400000000000002</v>
      </c>
      <c r="X3424" s="5">
        <f t="shared" si="493"/>
        <v>0.36923076923076914</v>
      </c>
      <c r="Z3424" s="2" t="s">
        <v>3227</v>
      </c>
      <c r="AA3424" s="2" t="s">
        <v>46</v>
      </c>
      <c r="AB3424" s="2" t="s">
        <v>60</v>
      </c>
      <c r="AC3424" s="2" t="s">
        <v>57</v>
      </c>
      <c r="AF3424" s="2">
        <f t="shared" si="489"/>
        <v>0</v>
      </c>
      <c r="AG3424" s="2">
        <v>8.1999999999999993</v>
      </c>
      <c r="AH3424" s="2">
        <v>13</v>
      </c>
      <c r="AJ3424" s="2">
        <f t="shared" si="490"/>
        <v>0</v>
      </c>
      <c r="AK3424" s="2">
        <f t="shared" si="495"/>
        <v>9.5999999999999979</v>
      </c>
      <c r="AL3424" s="5">
        <f t="shared" si="494"/>
        <v>0.36923076923076914</v>
      </c>
    </row>
    <row r="3425" spans="1:38" x14ac:dyDescent="0.2">
      <c r="A3425" s="2">
        <v>2026</v>
      </c>
      <c r="B3425" s="2">
        <v>3</v>
      </c>
      <c r="D3425" s="2" t="s">
        <v>581</v>
      </c>
      <c r="E3425" s="2" t="s">
        <v>38</v>
      </c>
      <c r="F3425" s="2" t="s">
        <v>39</v>
      </c>
      <c r="G3425" s="2">
        <v>518281272</v>
      </c>
      <c r="H3425" s="2" t="s">
        <v>41</v>
      </c>
      <c r="I3425" s="2" t="s">
        <v>1101</v>
      </c>
      <c r="J3425" s="2" t="s">
        <v>1102</v>
      </c>
      <c r="L3425" s="2" t="s">
        <v>177</v>
      </c>
      <c r="M3425" s="2" t="s">
        <v>41</v>
      </c>
      <c r="P3425" s="2" t="s">
        <v>43</v>
      </c>
      <c r="Q3425" s="2" t="s">
        <v>61</v>
      </c>
      <c r="R3425" s="2" t="s">
        <v>62</v>
      </c>
      <c r="S3425" s="2">
        <v>1000</v>
      </c>
      <c r="T3425" s="2">
        <v>110</v>
      </c>
      <c r="U3425" s="2">
        <v>25.3</v>
      </c>
      <c r="V3425" s="2">
        <v>135.30000000000001</v>
      </c>
      <c r="W3425" s="2">
        <f>0.082*S3425</f>
        <v>82</v>
      </c>
      <c r="X3425" s="5">
        <f t="shared" si="493"/>
        <v>0.25454545454545452</v>
      </c>
      <c r="Z3425" s="2" t="s">
        <v>3227</v>
      </c>
      <c r="AA3425" s="2" t="s">
        <v>46</v>
      </c>
      <c r="AB3425" s="2" t="s">
        <v>60</v>
      </c>
      <c r="AC3425" s="2" t="s">
        <v>57</v>
      </c>
      <c r="AF3425" s="2">
        <f t="shared" si="489"/>
        <v>0</v>
      </c>
      <c r="AG3425" s="2">
        <v>8.1999999999999993</v>
      </c>
      <c r="AH3425" s="2">
        <v>13</v>
      </c>
      <c r="AJ3425" s="2">
        <f t="shared" si="490"/>
        <v>0</v>
      </c>
      <c r="AK3425" s="2">
        <f t="shared" si="495"/>
        <v>28</v>
      </c>
      <c r="AL3425" s="5">
        <f t="shared" si="494"/>
        <v>0.25454545454545452</v>
      </c>
    </row>
    <row r="3426" spans="1:38" x14ac:dyDescent="0.2">
      <c r="A3426" s="2">
        <v>2026</v>
      </c>
      <c r="B3426" s="2">
        <v>3</v>
      </c>
      <c r="D3426" s="2" t="s">
        <v>597</v>
      </c>
      <c r="E3426" s="2" t="s">
        <v>38</v>
      </c>
      <c r="F3426" s="2" t="s">
        <v>39</v>
      </c>
      <c r="G3426" s="2">
        <v>509680364</v>
      </c>
      <c r="H3426" s="2" t="s">
        <v>41</v>
      </c>
      <c r="I3426" s="2" t="s">
        <v>598</v>
      </c>
      <c r="J3426" s="2" t="s">
        <v>599</v>
      </c>
      <c r="K3426" s="2">
        <v>919603867</v>
      </c>
      <c r="L3426" s="2" t="s">
        <v>600</v>
      </c>
      <c r="M3426" s="2" t="s">
        <v>41</v>
      </c>
      <c r="O3426" s="2" t="s">
        <v>2675</v>
      </c>
      <c r="P3426" s="2" t="s">
        <v>43</v>
      </c>
      <c r="Q3426" s="2" t="s">
        <v>61</v>
      </c>
      <c r="R3426" s="2" t="s">
        <v>62</v>
      </c>
      <c r="S3426" s="2">
        <v>200</v>
      </c>
      <c r="T3426" s="2">
        <v>0</v>
      </c>
      <c r="U3426" s="2">
        <v>0</v>
      </c>
      <c r="V3426" s="2">
        <v>0</v>
      </c>
      <c r="W3426" s="2">
        <f>0.082*S3426</f>
        <v>16.400000000000002</v>
      </c>
      <c r="X3426" s="18">
        <f>IF(T3426=0,IF(W3426&gt;0,-100%,0%),(T3426-W3426)/T3426)</f>
        <v>-1</v>
      </c>
      <c r="Z3426" s="2" t="s">
        <v>3227</v>
      </c>
      <c r="AA3426" s="2" t="s">
        <v>46</v>
      </c>
      <c r="AB3426" s="2" t="s">
        <v>60</v>
      </c>
      <c r="AC3426" s="2" t="s">
        <v>57</v>
      </c>
      <c r="AF3426" s="2">
        <f t="shared" si="489"/>
        <v>0</v>
      </c>
      <c r="AG3426" s="2">
        <v>8.1999999999999993</v>
      </c>
      <c r="AH3426" s="2">
        <v>13</v>
      </c>
      <c r="AJ3426" s="2">
        <f t="shared" si="490"/>
        <v>0</v>
      </c>
      <c r="AK3426" s="2">
        <f t="shared" si="495"/>
        <v>-16.400000000000002</v>
      </c>
      <c r="AL3426" s="18">
        <f>IF(T3426=0,IF(W3426&gt;0,-100%,0%),(T3426-W3426)/T3426)</f>
        <v>-1</v>
      </c>
    </row>
    <row r="3427" spans="1:38" x14ac:dyDescent="0.2">
      <c r="A3427" s="2">
        <v>2026</v>
      </c>
      <c r="B3427" s="2">
        <v>3</v>
      </c>
      <c r="D3427" s="2" t="s">
        <v>606</v>
      </c>
      <c r="E3427" s="2" t="s">
        <v>108</v>
      </c>
      <c r="F3427" s="2" t="s">
        <v>39</v>
      </c>
      <c r="G3427" s="2">
        <v>504822187</v>
      </c>
      <c r="H3427" s="2" t="s">
        <v>109</v>
      </c>
      <c r="I3427" s="2" t="s">
        <v>607</v>
      </c>
      <c r="J3427" s="2" t="s">
        <v>608</v>
      </c>
      <c r="K3427" s="2">
        <v>966216853</v>
      </c>
      <c r="L3427" s="2" t="s">
        <v>461</v>
      </c>
      <c r="P3427" s="2" t="s">
        <v>43</v>
      </c>
      <c r="Q3427" s="2" t="s">
        <v>61</v>
      </c>
      <c r="R3427" s="2" t="s">
        <v>62</v>
      </c>
      <c r="S3427" s="2">
        <v>1000</v>
      </c>
      <c r="T3427" s="2">
        <v>105</v>
      </c>
      <c r="U3427" s="2">
        <v>24.15</v>
      </c>
      <c r="V3427" s="2">
        <v>129.15</v>
      </c>
      <c r="W3427" s="2">
        <f>0.082*S3427</f>
        <v>82</v>
      </c>
      <c r="X3427" s="5">
        <f t="shared" ref="X3427:X3437" si="496">(T3427-W3427)/T3427</f>
        <v>0.21904761904761905</v>
      </c>
      <c r="Z3427" s="2" t="s">
        <v>3227</v>
      </c>
      <c r="AA3427" s="2" t="s">
        <v>46</v>
      </c>
      <c r="AB3427" s="2" t="s">
        <v>60</v>
      </c>
      <c r="AC3427" s="2" t="s">
        <v>57</v>
      </c>
      <c r="AF3427" s="2">
        <f t="shared" si="489"/>
        <v>0</v>
      </c>
      <c r="AG3427" s="2">
        <v>8.1999999999999993</v>
      </c>
      <c r="AH3427" s="2">
        <v>13</v>
      </c>
      <c r="AJ3427" s="2">
        <f t="shared" si="490"/>
        <v>0</v>
      </c>
      <c r="AK3427" s="2">
        <f t="shared" si="495"/>
        <v>23</v>
      </c>
      <c r="AL3427" s="5">
        <f t="shared" ref="AL3427:AL3437" si="497">(T3427-W3427)/T3427</f>
        <v>0.21904761904761905</v>
      </c>
    </row>
    <row r="3428" spans="1:38" x14ac:dyDescent="0.2">
      <c r="A3428" s="2">
        <v>2026</v>
      </c>
      <c r="B3428" s="2">
        <v>3</v>
      </c>
      <c r="D3428" s="2" t="s">
        <v>2682</v>
      </c>
      <c r="P3428" s="2" t="s">
        <v>43</v>
      </c>
      <c r="Q3428" s="2" t="s">
        <v>254</v>
      </c>
      <c r="R3428" s="2" t="s">
        <v>255</v>
      </c>
      <c r="S3428" s="2">
        <v>100</v>
      </c>
      <c r="T3428" s="2">
        <v>15</v>
      </c>
      <c r="U3428" s="2">
        <v>3.45</v>
      </c>
      <c r="V3428" s="2">
        <v>18.45</v>
      </c>
      <c r="W3428" s="2">
        <f>0.0914*S3428</f>
        <v>9.1399999999999988</v>
      </c>
      <c r="X3428" s="5">
        <f t="shared" si="496"/>
        <v>0.39066666666666677</v>
      </c>
      <c r="Z3428" s="2" t="s">
        <v>3227</v>
      </c>
      <c r="AA3428" s="2" t="s">
        <v>46</v>
      </c>
      <c r="AB3428" s="2" t="s">
        <v>60</v>
      </c>
      <c r="AC3428" s="2" t="s">
        <v>57</v>
      </c>
      <c r="AF3428" s="2">
        <f t="shared" si="489"/>
        <v>0</v>
      </c>
      <c r="AJ3428" s="2">
        <f t="shared" si="490"/>
        <v>0</v>
      </c>
      <c r="AK3428" s="2">
        <f t="shared" si="495"/>
        <v>5.8600000000000012</v>
      </c>
      <c r="AL3428" s="5">
        <f t="shared" si="497"/>
        <v>0.39066666666666677</v>
      </c>
    </row>
    <row r="3429" spans="1:38" x14ac:dyDescent="0.2">
      <c r="A3429" s="2">
        <v>2026</v>
      </c>
      <c r="B3429" s="2">
        <v>3</v>
      </c>
      <c r="D3429" s="2" t="s">
        <v>332</v>
      </c>
      <c r="E3429" s="2" t="s">
        <v>108</v>
      </c>
      <c r="F3429" s="2" t="s">
        <v>39</v>
      </c>
      <c r="G3429" s="2">
        <v>513493557</v>
      </c>
      <c r="H3429" s="2" t="s">
        <v>41</v>
      </c>
      <c r="I3429" s="2" t="s">
        <v>279</v>
      </c>
      <c r="J3429" s="2" t="s">
        <v>333</v>
      </c>
      <c r="L3429" s="2" t="s">
        <v>177</v>
      </c>
      <c r="M3429" s="2" t="s">
        <v>41</v>
      </c>
      <c r="P3429" s="2" t="s">
        <v>43</v>
      </c>
      <c r="Q3429" s="2" t="s">
        <v>254</v>
      </c>
      <c r="R3429" s="2" t="s">
        <v>255</v>
      </c>
      <c r="S3429" s="2">
        <v>500</v>
      </c>
      <c r="T3429" s="2">
        <v>65</v>
      </c>
      <c r="U3429" s="2">
        <v>14.95</v>
      </c>
      <c r="V3429" s="2">
        <v>79.95</v>
      </c>
      <c r="W3429" s="2">
        <f>0.0914*S3429</f>
        <v>45.699999999999996</v>
      </c>
      <c r="X3429" s="5">
        <f t="shared" si="496"/>
        <v>0.29692307692307701</v>
      </c>
      <c r="Z3429" s="2" t="s">
        <v>3227</v>
      </c>
      <c r="AA3429" s="2" t="s">
        <v>46</v>
      </c>
      <c r="AB3429" s="2" t="s">
        <v>60</v>
      </c>
      <c r="AC3429" s="2" t="s">
        <v>57</v>
      </c>
      <c r="AF3429" s="2">
        <f t="shared" si="489"/>
        <v>0</v>
      </c>
      <c r="AJ3429" s="2">
        <f t="shared" si="490"/>
        <v>0</v>
      </c>
      <c r="AK3429" s="2">
        <f t="shared" si="495"/>
        <v>19.300000000000004</v>
      </c>
      <c r="AL3429" s="5">
        <f t="shared" si="497"/>
        <v>0.29692307692307701</v>
      </c>
    </row>
    <row r="3430" spans="1:38" x14ac:dyDescent="0.2">
      <c r="A3430" s="2">
        <v>2026</v>
      </c>
      <c r="B3430" s="2">
        <v>3</v>
      </c>
      <c r="D3430" s="2" t="s">
        <v>980</v>
      </c>
      <c r="E3430" s="2" t="s">
        <v>38</v>
      </c>
      <c r="F3430" s="2" t="s">
        <v>39</v>
      </c>
      <c r="L3430" s="2" t="s">
        <v>418</v>
      </c>
      <c r="M3430" s="2" t="s">
        <v>41</v>
      </c>
      <c r="P3430" s="2" t="s">
        <v>43</v>
      </c>
      <c r="Q3430" s="2" t="s">
        <v>254</v>
      </c>
      <c r="R3430" s="2" t="s">
        <v>255</v>
      </c>
      <c r="S3430" s="2">
        <v>100</v>
      </c>
      <c r="T3430" s="2">
        <v>14</v>
      </c>
      <c r="U3430" s="2">
        <v>3.22</v>
      </c>
      <c r="V3430" s="2">
        <v>17.22</v>
      </c>
      <c r="W3430" s="2">
        <f>0.0914*S3430</f>
        <v>9.1399999999999988</v>
      </c>
      <c r="X3430" s="5">
        <f t="shared" si="496"/>
        <v>0.34714285714285725</v>
      </c>
      <c r="Z3430" s="2" t="s">
        <v>3227</v>
      </c>
      <c r="AA3430" s="2" t="s">
        <v>46</v>
      </c>
      <c r="AB3430" s="2" t="s">
        <v>60</v>
      </c>
      <c r="AC3430" s="2" t="s">
        <v>57</v>
      </c>
      <c r="AF3430" s="2">
        <f t="shared" si="489"/>
        <v>0</v>
      </c>
      <c r="AJ3430" s="2">
        <f t="shared" si="490"/>
        <v>0</v>
      </c>
      <c r="AK3430" s="2">
        <f t="shared" si="495"/>
        <v>4.8600000000000012</v>
      </c>
      <c r="AL3430" s="5">
        <f t="shared" si="497"/>
        <v>0.34714285714285725</v>
      </c>
    </row>
    <row r="3431" spans="1:38" x14ac:dyDescent="0.2">
      <c r="A3431" s="2">
        <v>2026</v>
      </c>
      <c r="B3431" s="2">
        <v>3</v>
      </c>
      <c r="D3431" s="2" t="s">
        <v>588</v>
      </c>
      <c r="E3431" s="2" t="s">
        <v>38</v>
      </c>
      <c r="F3431" s="2" t="s">
        <v>39</v>
      </c>
      <c r="G3431" s="2">
        <v>510339298</v>
      </c>
      <c r="H3431" s="2" t="s">
        <v>41</v>
      </c>
      <c r="I3431" s="2" t="s">
        <v>177</v>
      </c>
      <c r="J3431" s="2" t="s">
        <v>589</v>
      </c>
      <c r="L3431" s="2" t="s">
        <v>177</v>
      </c>
      <c r="M3431" s="2" t="s">
        <v>41</v>
      </c>
      <c r="P3431" s="2" t="s">
        <v>43</v>
      </c>
      <c r="Q3431" s="2" t="s">
        <v>256</v>
      </c>
      <c r="R3431" s="2" t="s">
        <v>257</v>
      </c>
      <c r="S3431" s="2">
        <v>2</v>
      </c>
      <c r="T3431" s="2">
        <v>6</v>
      </c>
      <c r="U3431" s="2">
        <v>1.38</v>
      </c>
      <c r="V3431" s="2">
        <v>7.38</v>
      </c>
      <c r="W3431" s="2">
        <f>0.98*S3431</f>
        <v>1.96</v>
      </c>
      <c r="X3431" s="5">
        <f t="shared" si="496"/>
        <v>0.67333333333333334</v>
      </c>
      <c r="Z3431" s="2" t="s">
        <v>3227</v>
      </c>
      <c r="AA3431" s="2" t="s">
        <v>46</v>
      </c>
      <c r="AB3431" s="2" t="s">
        <v>90</v>
      </c>
      <c r="AC3431" s="2" t="s">
        <v>57</v>
      </c>
      <c r="AF3431" s="2">
        <f t="shared" si="489"/>
        <v>0</v>
      </c>
      <c r="AJ3431" s="2">
        <f t="shared" si="490"/>
        <v>0</v>
      </c>
      <c r="AK3431" s="2">
        <f t="shared" si="495"/>
        <v>4.04</v>
      </c>
      <c r="AL3431" s="5">
        <f t="shared" si="497"/>
        <v>0.67333333333333334</v>
      </c>
    </row>
    <row r="3432" spans="1:38" x14ac:dyDescent="0.2">
      <c r="A3432" s="2">
        <v>2026</v>
      </c>
      <c r="B3432" s="2">
        <v>3</v>
      </c>
      <c r="D3432" s="2" t="s">
        <v>507</v>
      </c>
      <c r="E3432" s="2" t="s">
        <v>38</v>
      </c>
      <c r="F3432" s="2" t="s">
        <v>39</v>
      </c>
      <c r="G3432" s="2">
        <v>514446170</v>
      </c>
      <c r="H3432" s="2" t="s">
        <v>41</v>
      </c>
      <c r="I3432" s="2" t="s">
        <v>177</v>
      </c>
      <c r="J3432" s="2" t="s">
        <v>3134</v>
      </c>
      <c r="L3432" s="2" t="s">
        <v>177</v>
      </c>
      <c r="M3432" s="2" t="s">
        <v>41</v>
      </c>
      <c r="O3432" s="2" t="s">
        <v>3142</v>
      </c>
      <c r="P3432" s="2" t="s">
        <v>43</v>
      </c>
      <c r="Q3432" s="2" t="s">
        <v>162</v>
      </c>
      <c r="R3432" s="2" t="s">
        <v>163</v>
      </c>
      <c r="S3432" s="2">
        <v>1</v>
      </c>
      <c r="T3432" s="2">
        <v>21</v>
      </c>
      <c r="U3432" s="2">
        <v>4.83</v>
      </c>
      <c r="V3432" s="2">
        <v>25.83</v>
      </c>
      <c r="W3432" s="2">
        <f>8*S3432</f>
        <v>8</v>
      </c>
      <c r="X3432" s="5">
        <f t="shared" si="496"/>
        <v>0.61904761904761907</v>
      </c>
      <c r="Z3432" s="2" t="s">
        <v>3227</v>
      </c>
      <c r="AA3432" s="2" t="s">
        <v>46</v>
      </c>
      <c r="AB3432" s="2" t="s">
        <v>47</v>
      </c>
      <c r="AC3432" s="2" t="s">
        <v>57</v>
      </c>
      <c r="AF3432" s="2">
        <f t="shared" si="489"/>
        <v>0</v>
      </c>
      <c r="AJ3432" s="2">
        <f t="shared" si="490"/>
        <v>0</v>
      </c>
      <c r="AK3432" s="2">
        <f t="shared" si="495"/>
        <v>13</v>
      </c>
      <c r="AL3432" s="5">
        <f t="shared" si="497"/>
        <v>0.61904761904761907</v>
      </c>
    </row>
    <row r="3433" spans="1:38" x14ac:dyDescent="0.2">
      <c r="A3433" s="2">
        <v>2026</v>
      </c>
      <c r="B3433" s="2">
        <v>3</v>
      </c>
      <c r="D3433" s="2" t="s">
        <v>588</v>
      </c>
      <c r="E3433" s="2" t="s">
        <v>38</v>
      </c>
      <c r="F3433" s="2" t="s">
        <v>39</v>
      </c>
      <c r="G3433" s="2">
        <v>510339298</v>
      </c>
      <c r="H3433" s="2" t="s">
        <v>41</v>
      </c>
      <c r="I3433" s="2" t="s">
        <v>177</v>
      </c>
      <c r="J3433" s="2" t="s">
        <v>589</v>
      </c>
      <c r="L3433" s="2" t="s">
        <v>177</v>
      </c>
      <c r="M3433" s="2" t="s">
        <v>41</v>
      </c>
      <c r="P3433" s="2" t="s">
        <v>43</v>
      </c>
      <c r="Q3433" s="2" t="s">
        <v>204</v>
      </c>
      <c r="R3433" s="2" t="s">
        <v>205</v>
      </c>
      <c r="S3433" s="2">
        <v>2</v>
      </c>
      <c r="T3433" s="2">
        <v>4.8</v>
      </c>
      <c r="U3433" s="2">
        <v>1.1040000000000001</v>
      </c>
      <c r="V3433" s="2">
        <v>5.9039999999999999</v>
      </c>
      <c r="W3433" s="2">
        <f>1.832*S3433</f>
        <v>3.6640000000000001</v>
      </c>
      <c r="X3433" s="5">
        <f t="shared" si="496"/>
        <v>0.23666666666666661</v>
      </c>
      <c r="Z3433" s="2" t="s">
        <v>3227</v>
      </c>
      <c r="AA3433" s="2" t="s">
        <v>46</v>
      </c>
      <c r="AB3433" s="2" t="s">
        <v>60</v>
      </c>
      <c r="AC3433" s="2" t="s">
        <v>57</v>
      </c>
      <c r="AF3433" s="2">
        <f t="shared" si="489"/>
        <v>0</v>
      </c>
      <c r="AG3433" s="2">
        <v>1.8320000000000001</v>
      </c>
      <c r="AH3433" s="2">
        <v>2.4</v>
      </c>
      <c r="AJ3433" s="2">
        <f t="shared" si="490"/>
        <v>0</v>
      </c>
      <c r="AK3433" s="2">
        <f t="shared" si="495"/>
        <v>1.1359999999999997</v>
      </c>
      <c r="AL3433" s="5">
        <f t="shared" si="497"/>
        <v>0.23666666666666661</v>
      </c>
    </row>
    <row r="3434" spans="1:38" x14ac:dyDescent="0.2">
      <c r="A3434" s="2">
        <v>2026</v>
      </c>
      <c r="B3434" s="2">
        <v>3</v>
      </c>
      <c r="D3434" s="2" t="s">
        <v>574</v>
      </c>
      <c r="E3434" s="2" t="s">
        <v>38</v>
      </c>
      <c r="F3434" s="2" t="s">
        <v>39</v>
      </c>
      <c r="G3434" s="2">
        <v>504811029</v>
      </c>
      <c r="H3434" s="2" t="s">
        <v>41</v>
      </c>
      <c r="I3434" s="2" t="s">
        <v>177</v>
      </c>
      <c r="J3434" s="2" t="s">
        <v>575</v>
      </c>
      <c r="L3434" s="2" t="s">
        <v>177</v>
      </c>
      <c r="M3434" s="2" t="s">
        <v>41</v>
      </c>
      <c r="O3434" s="2" t="s">
        <v>2688</v>
      </c>
      <c r="P3434" s="2" t="s">
        <v>43</v>
      </c>
      <c r="Q3434" s="2" t="s">
        <v>420</v>
      </c>
      <c r="R3434" s="2" t="s">
        <v>421</v>
      </c>
      <c r="S3434" s="2">
        <v>20</v>
      </c>
      <c r="T3434" s="2">
        <v>144</v>
      </c>
      <c r="U3434" s="2">
        <v>33.119999999999997</v>
      </c>
      <c r="V3434" s="2">
        <v>177.12</v>
      </c>
      <c r="W3434" s="2">
        <f>3.7556*S3434</f>
        <v>75.111999999999995</v>
      </c>
      <c r="X3434" s="5">
        <f t="shared" si="496"/>
        <v>0.47838888888888892</v>
      </c>
      <c r="Z3434" s="2" t="s">
        <v>3227</v>
      </c>
      <c r="AA3434" s="2" t="s">
        <v>46</v>
      </c>
      <c r="AB3434" s="2" t="s">
        <v>60</v>
      </c>
      <c r="AC3434" s="2" t="s">
        <v>57</v>
      </c>
      <c r="AF3434" s="2">
        <f t="shared" si="489"/>
        <v>0</v>
      </c>
      <c r="AG3434" s="2">
        <v>3.7555999999999998</v>
      </c>
      <c r="AH3434" s="2">
        <v>7.2</v>
      </c>
      <c r="AJ3434" s="2">
        <f t="shared" si="490"/>
        <v>0</v>
      </c>
      <c r="AK3434" s="2">
        <f t="shared" si="495"/>
        <v>68.888000000000005</v>
      </c>
      <c r="AL3434" s="5">
        <f t="shared" si="497"/>
        <v>0.47838888888888892</v>
      </c>
    </row>
    <row r="3435" spans="1:38" x14ac:dyDescent="0.2">
      <c r="A3435" s="2">
        <v>2026</v>
      </c>
      <c r="B3435" s="2">
        <v>3</v>
      </c>
      <c r="D3435" s="2" t="s">
        <v>37</v>
      </c>
      <c r="E3435" s="2" t="s">
        <v>38</v>
      </c>
      <c r="F3435" s="2" t="s">
        <v>39</v>
      </c>
      <c r="H3435" s="2" t="s">
        <v>40</v>
      </c>
      <c r="P3435" s="2" t="s">
        <v>43</v>
      </c>
      <c r="Q3435" s="2" t="s">
        <v>63</v>
      </c>
      <c r="R3435" s="2" t="s">
        <v>64</v>
      </c>
      <c r="S3435" s="2">
        <v>20</v>
      </c>
      <c r="T3435" s="2">
        <v>36</v>
      </c>
      <c r="U3435" s="2">
        <v>8.2800000000000011</v>
      </c>
      <c r="V3435" s="2">
        <v>44.28</v>
      </c>
      <c r="W3435" s="2">
        <f>0.8561*S3435</f>
        <v>17.122</v>
      </c>
      <c r="X3435" s="5">
        <f t="shared" si="496"/>
        <v>0.5243888888888889</v>
      </c>
      <c r="Z3435" s="2" t="s">
        <v>3227</v>
      </c>
      <c r="AA3435" s="2" t="s">
        <v>46</v>
      </c>
      <c r="AB3435" s="2" t="s">
        <v>60</v>
      </c>
      <c r="AC3435" s="2" t="s">
        <v>57</v>
      </c>
      <c r="AF3435" s="2">
        <f t="shared" si="489"/>
        <v>0</v>
      </c>
      <c r="AG3435" s="2">
        <v>0.85609999999999997</v>
      </c>
      <c r="AH3435" s="2">
        <v>1.8</v>
      </c>
      <c r="AJ3435" s="2">
        <f t="shared" si="490"/>
        <v>0</v>
      </c>
      <c r="AK3435" s="2">
        <f t="shared" si="495"/>
        <v>18.878</v>
      </c>
      <c r="AL3435" s="5">
        <f t="shared" si="497"/>
        <v>0.5243888888888889</v>
      </c>
    </row>
    <row r="3436" spans="1:38" x14ac:dyDescent="0.2">
      <c r="A3436" s="2">
        <v>2026</v>
      </c>
      <c r="B3436" s="2">
        <v>3</v>
      </c>
      <c r="D3436" s="2" t="s">
        <v>574</v>
      </c>
      <c r="E3436" s="2" t="s">
        <v>38</v>
      </c>
      <c r="F3436" s="2" t="s">
        <v>39</v>
      </c>
      <c r="G3436" s="2">
        <v>504811029</v>
      </c>
      <c r="H3436" s="2" t="s">
        <v>41</v>
      </c>
      <c r="I3436" s="2" t="s">
        <v>177</v>
      </c>
      <c r="J3436" s="2" t="s">
        <v>575</v>
      </c>
      <c r="L3436" s="2" t="s">
        <v>177</v>
      </c>
      <c r="M3436" s="2" t="s">
        <v>41</v>
      </c>
      <c r="P3436" s="2" t="s">
        <v>43</v>
      </c>
      <c r="Q3436" s="2" t="s">
        <v>334</v>
      </c>
      <c r="R3436" s="2" t="s">
        <v>335</v>
      </c>
      <c r="S3436" s="2">
        <v>40</v>
      </c>
      <c r="T3436" s="2">
        <v>120</v>
      </c>
      <c r="U3436" s="2">
        <v>27.6</v>
      </c>
      <c r="V3436" s="2">
        <v>147.6</v>
      </c>
      <c r="W3436" s="2">
        <f>1.1122*S3436</f>
        <v>44.488</v>
      </c>
      <c r="X3436" s="5">
        <f t="shared" si="496"/>
        <v>0.62926666666666664</v>
      </c>
      <c r="Z3436" s="2" t="s">
        <v>3227</v>
      </c>
      <c r="AA3436" s="2" t="s">
        <v>46</v>
      </c>
      <c r="AB3436" s="2" t="s">
        <v>60</v>
      </c>
      <c r="AC3436" s="2" t="s">
        <v>57</v>
      </c>
      <c r="AF3436" s="2">
        <f t="shared" si="489"/>
        <v>0</v>
      </c>
      <c r="AG3436" s="2">
        <v>1.1122000000000001</v>
      </c>
      <c r="AH3436" s="2">
        <v>3</v>
      </c>
      <c r="AJ3436" s="2">
        <f t="shared" si="490"/>
        <v>0</v>
      </c>
      <c r="AK3436" s="2">
        <f t="shared" si="495"/>
        <v>75.512</v>
      </c>
      <c r="AL3436" s="5">
        <f t="shared" si="497"/>
        <v>0.62926666666666664</v>
      </c>
    </row>
    <row r="3437" spans="1:38" x14ac:dyDescent="0.2">
      <c r="A3437" s="2">
        <v>2026</v>
      </c>
      <c r="B3437" s="2">
        <v>3</v>
      </c>
      <c r="D3437" s="2" t="s">
        <v>693</v>
      </c>
      <c r="E3437" s="2" t="s">
        <v>38</v>
      </c>
      <c r="F3437" s="2" t="s">
        <v>39</v>
      </c>
      <c r="G3437" s="2">
        <v>508574358</v>
      </c>
      <c r="H3437" s="2" t="s">
        <v>41</v>
      </c>
      <c r="I3437" s="2" t="s">
        <v>327</v>
      </c>
      <c r="J3437" s="2" t="s">
        <v>695</v>
      </c>
      <c r="K3437" s="2">
        <v>917295518</v>
      </c>
      <c r="L3437" s="2" t="s">
        <v>177</v>
      </c>
      <c r="M3437" s="2" t="s">
        <v>41</v>
      </c>
      <c r="P3437" s="2" t="s">
        <v>43</v>
      </c>
      <c r="Q3437" s="2" t="s">
        <v>579</v>
      </c>
      <c r="R3437" s="2" t="s">
        <v>580</v>
      </c>
      <c r="S3437" s="2">
        <v>20</v>
      </c>
      <c r="T3437" s="2">
        <v>60</v>
      </c>
      <c r="U3437" s="2">
        <v>13.8</v>
      </c>
      <c r="V3437" s="2">
        <v>73.8</v>
      </c>
      <c r="W3437" s="2">
        <f>1.4114*S3437</f>
        <v>28.228000000000002</v>
      </c>
      <c r="X3437" s="5">
        <f t="shared" si="496"/>
        <v>0.5295333333333333</v>
      </c>
      <c r="Z3437" s="2" t="s">
        <v>3227</v>
      </c>
      <c r="AA3437" s="2" t="s">
        <v>46</v>
      </c>
      <c r="AB3437" s="2" t="s">
        <v>60</v>
      </c>
      <c r="AC3437" s="2" t="s">
        <v>57</v>
      </c>
      <c r="AF3437" s="2">
        <f t="shared" si="489"/>
        <v>0</v>
      </c>
      <c r="AG3437" s="2">
        <v>1.4114</v>
      </c>
      <c r="AH3437" s="2">
        <v>3</v>
      </c>
      <c r="AJ3437" s="2">
        <f t="shared" si="490"/>
        <v>0</v>
      </c>
      <c r="AK3437" s="2">
        <f t="shared" si="495"/>
        <v>31.771999999999998</v>
      </c>
      <c r="AL3437" s="5">
        <f t="shared" si="497"/>
        <v>0.5295333333333333</v>
      </c>
    </row>
    <row r="3438" spans="1:38" x14ac:dyDescent="0.2">
      <c r="A3438" s="2">
        <v>2026</v>
      </c>
      <c r="B3438" s="2">
        <v>3</v>
      </c>
      <c r="D3438" s="2" t="s">
        <v>597</v>
      </c>
      <c r="E3438" s="2" t="s">
        <v>38</v>
      </c>
      <c r="F3438" s="2" t="s">
        <v>39</v>
      </c>
      <c r="G3438" s="2">
        <v>509680364</v>
      </c>
      <c r="H3438" s="2" t="s">
        <v>41</v>
      </c>
      <c r="I3438" s="2" t="s">
        <v>598</v>
      </c>
      <c r="J3438" s="2" t="s">
        <v>599</v>
      </c>
      <c r="K3438" s="2">
        <v>919603867</v>
      </c>
      <c r="L3438" s="2" t="s">
        <v>600</v>
      </c>
      <c r="M3438" s="2" t="s">
        <v>41</v>
      </c>
      <c r="O3438" s="2" t="s">
        <v>2675</v>
      </c>
      <c r="P3438" s="2" t="s">
        <v>43</v>
      </c>
      <c r="Q3438" s="2" t="s">
        <v>503</v>
      </c>
      <c r="R3438" s="2" t="s">
        <v>504</v>
      </c>
      <c r="S3438" s="2">
        <v>12</v>
      </c>
      <c r="T3438" s="2">
        <v>0</v>
      </c>
      <c r="U3438" s="2">
        <v>0</v>
      </c>
      <c r="V3438" s="2">
        <v>0</v>
      </c>
      <c r="W3438" s="2">
        <f>0.4795*S3438</f>
        <v>5.7539999999999996</v>
      </c>
      <c r="X3438" s="18">
        <v>-1</v>
      </c>
      <c r="Z3438" s="2" t="s">
        <v>3227</v>
      </c>
      <c r="AA3438" s="2" t="s">
        <v>46</v>
      </c>
      <c r="AB3438" s="2" t="s">
        <v>60</v>
      </c>
      <c r="AC3438" s="2" t="s">
        <v>57</v>
      </c>
      <c r="AF3438" s="2">
        <f t="shared" si="489"/>
        <v>0</v>
      </c>
      <c r="AJ3438" s="2">
        <f t="shared" si="490"/>
        <v>0</v>
      </c>
      <c r="AK3438" s="2">
        <f t="shared" si="495"/>
        <v>-5.7539999999999996</v>
      </c>
      <c r="AL3438" s="18">
        <v>-1</v>
      </c>
    </row>
    <row r="3439" spans="1:38" x14ac:dyDescent="0.2">
      <c r="A3439" s="2">
        <v>2026</v>
      </c>
      <c r="B3439" s="2">
        <v>3</v>
      </c>
      <c r="D3439" s="2" t="s">
        <v>765</v>
      </c>
      <c r="E3439" s="2" t="s">
        <v>38</v>
      </c>
      <c r="G3439" s="2">
        <v>513686231</v>
      </c>
      <c r="H3439" s="2" t="s">
        <v>290</v>
      </c>
      <c r="I3439" s="2" t="s">
        <v>766</v>
      </c>
      <c r="J3439" s="2" t="s">
        <v>767</v>
      </c>
      <c r="L3439" s="2" t="s">
        <v>480</v>
      </c>
      <c r="M3439" s="2" t="s">
        <v>80</v>
      </c>
      <c r="O3439" s="2" t="s">
        <v>2689</v>
      </c>
      <c r="P3439" s="2" t="s">
        <v>43</v>
      </c>
      <c r="Q3439" s="2" t="s">
        <v>164</v>
      </c>
      <c r="R3439" s="2" t="s">
        <v>165</v>
      </c>
      <c r="S3439" s="2">
        <v>8</v>
      </c>
      <c r="T3439" s="2">
        <v>116.4</v>
      </c>
      <c r="U3439" s="2">
        <v>26.771999999999998</v>
      </c>
      <c r="V3439" s="2">
        <v>143.172</v>
      </c>
      <c r="W3439" s="2">
        <f>7.9612*S3439</f>
        <v>63.689599999999999</v>
      </c>
      <c r="X3439" s="5">
        <f t="shared" ref="X3439:X3458" si="498">(T3439-W3439)/T3439</f>
        <v>0.45283848797250864</v>
      </c>
      <c r="Z3439" s="2" t="s">
        <v>3227</v>
      </c>
      <c r="AA3439" s="2" t="s">
        <v>46</v>
      </c>
      <c r="AB3439" s="2" t="s">
        <v>67</v>
      </c>
      <c r="AC3439" s="2" t="s">
        <v>57</v>
      </c>
      <c r="AF3439" s="2">
        <f t="shared" si="489"/>
        <v>0</v>
      </c>
      <c r="AG3439" s="2">
        <v>7.9611999999999998</v>
      </c>
      <c r="AH3439" s="2">
        <v>14.4</v>
      </c>
      <c r="AJ3439" s="2">
        <f t="shared" si="490"/>
        <v>0</v>
      </c>
      <c r="AK3439" s="2">
        <f t="shared" si="495"/>
        <v>52.710400000000007</v>
      </c>
      <c r="AL3439" s="5">
        <f t="shared" ref="AL3439:AL3458" si="499">(T3439-W3439)/T3439</f>
        <v>0.45283848797250864</v>
      </c>
    </row>
    <row r="3440" spans="1:38" x14ac:dyDescent="0.2">
      <c r="A3440" s="2">
        <v>2026</v>
      </c>
      <c r="B3440" s="2">
        <v>3</v>
      </c>
      <c r="D3440" s="2" t="s">
        <v>2516</v>
      </c>
      <c r="E3440" s="2" t="s">
        <v>752</v>
      </c>
      <c r="F3440" s="2" t="s">
        <v>39</v>
      </c>
      <c r="G3440" s="2">
        <v>515570354</v>
      </c>
      <c r="H3440" s="2" t="s">
        <v>109</v>
      </c>
      <c r="I3440" s="2" t="s">
        <v>2517</v>
      </c>
      <c r="J3440" s="2" t="s">
        <v>2518</v>
      </c>
      <c r="K3440" s="2">
        <v>967032538</v>
      </c>
      <c r="L3440" s="2" t="s">
        <v>398</v>
      </c>
      <c r="M3440" s="2" t="s">
        <v>109</v>
      </c>
      <c r="P3440" s="2" t="s">
        <v>43</v>
      </c>
      <c r="Q3440" s="2" t="s">
        <v>65</v>
      </c>
      <c r="R3440" s="2" t="s">
        <v>66</v>
      </c>
      <c r="S3440" s="2">
        <v>1</v>
      </c>
      <c r="T3440" s="2">
        <v>27.6</v>
      </c>
      <c r="U3440" s="2">
        <v>6.3480000000000008</v>
      </c>
      <c r="V3440" s="2">
        <v>33.948</v>
      </c>
      <c r="W3440" s="2">
        <f>15.0203*S3440</f>
        <v>15.020300000000001</v>
      </c>
      <c r="X3440" s="5">
        <f t="shared" si="498"/>
        <v>0.45578623188405798</v>
      </c>
      <c r="Z3440" s="2" t="s">
        <v>3227</v>
      </c>
      <c r="AA3440" s="2" t="s">
        <v>46</v>
      </c>
      <c r="AB3440" s="2" t="s">
        <v>67</v>
      </c>
      <c r="AC3440" s="2" t="s">
        <v>57</v>
      </c>
      <c r="AF3440" s="2">
        <f t="shared" si="489"/>
        <v>0</v>
      </c>
      <c r="AG3440" s="2">
        <v>15.020300000000001</v>
      </c>
      <c r="AH3440" s="2">
        <v>27.6</v>
      </c>
      <c r="AJ3440" s="2">
        <f t="shared" si="490"/>
        <v>0</v>
      </c>
      <c r="AK3440" s="2">
        <f t="shared" si="495"/>
        <v>12.579700000000001</v>
      </c>
      <c r="AL3440" s="5">
        <f t="shared" si="499"/>
        <v>0.45578623188405798</v>
      </c>
    </row>
    <row r="3441" spans="1:38" x14ac:dyDescent="0.2">
      <c r="A3441" s="2">
        <v>2026</v>
      </c>
      <c r="B3441" s="2">
        <v>3</v>
      </c>
      <c r="D3441" s="2" t="s">
        <v>1008</v>
      </c>
      <c r="E3441" s="2" t="s">
        <v>108</v>
      </c>
      <c r="F3441" s="2" t="s">
        <v>39</v>
      </c>
      <c r="L3441" s="2" t="s">
        <v>418</v>
      </c>
      <c r="M3441" s="2" t="s">
        <v>41</v>
      </c>
      <c r="P3441" s="2" t="s">
        <v>43</v>
      </c>
      <c r="Q3441" s="2" t="s">
        <v>65</v>
      </c>
      <c r="R3441" s="2" t="s">
        <v>66</v>
      </c>
      <c r="S3441" s="2">
        <v>1</v>
      </c>
      <c r="T3441" s="2">
        <v>23.5</v>
      </c>
      <c r="U3441" s="2">
        <v>5.4050000000000002</v>
      </c>
      <c r="V3441" s="2">
        <v>28.905000000000001</v>
      </c>
      <c r="W3441" s="2">
        <f>15.0203*S3441</f>
        <v>15.020300000000001</v>
      </c>
      <c r="X3441" s="5">
        <f t="shared" si="498"/>
        <v>0.3608382978723404</v>
      </c>
      <c r="Z3441" s="2" t="s">
        <v>3227</v>
      </c>
      <c r="AA3441" s="2" t="s">
        <v>46</v>
      </c>
      <c r="AB3441" s="2" t="s">
        <v>67</v>
      </c>
      <c r="AC3441" s="2" t="s">
        <v>57</v>
      </c>
      <c r="AF3441" s="2">
        <f t="shared" si="489"/>
        <v>0</v>
      </c>
      <c r="AG3441" s="2">
        <v>15.020300000000001</v>
      </c>
      <c r="AH3441" s="2">
        <v>27.6</v>
      </c>
      <c r="AJ3441" s="2">
        <f t="shared" si="490"/>
        <v>0</v>
      </c>
      <c r="AK3441" s="2">
        <f t="shared" si="495"/>
        <v>8.4796999999999993</v>
      </c>
      <c r="AL3441" s="5">
        <f t="shared" si="499"/>
        <v>0.3608382978723404</v>
      </c>
    </row>
    <row r="3442" spans="1:38" x14ac:dyDescent="0.2">
      <c r="A3442" s="2">
        <v>2026</v>
      </c>
      <c r="B3442" s="2">
        <v>3</v>
      </c>
      <c r="D3442" s="2" t="s">
        <v>813</v>
      </c>
      <c r="E3442" s="2" t="s">
        <v>38</v>
      </c>
      <c r="F3442" s="2" t="s">
        <v>39</v>
      </c>
      <c r="G3442" s="2" t="s">
        <v>814</v>
      </c>
      <c r="H3442" s="2" t="s">
        <v>41</v>
      </c>
      <c r="I3442" s="2" t="s">
        <v>626</v>
      </c>
      <c r="L3442" s="2" t="s">
        <v>626</v>
      </c>
      <c r="M3442" s="2" t="s">
        <v>41</v>
      </c>
      <c r="O3442" s="2" t="s">
        <v>2677</v>
      </c>
      <c r="P3442" s="2" t="s">
        <v>43</v>
      </c>
      <c r="Q3442" s="2" t="s">
        <v>65</v>
      </c>
      <c r="R3442" s="2" t="s">
        <v>66</v>
      </c>
      <c r="S3442" s="2">
        <v>1</v>
      </c>
      <c r="T3442" s="2">
        <v>23.5</v>
      </c>
      <c r="U3442" s="2">
        <v>5.4050000000000002</v>
      </c>
      <c r="V3442" s="2">
        <v>28.905000000000001</v>
      </c>
      <c r="W3442" s="2">
        <f>15.0203*S3442</f>
        <v>15.020300000000001</v>
      </c>
      <c r="X3442" s="5">
        <f t="shared" si="498"/>
        <v>0.3608382978723404</v>
      </c>
      <c r="Z3442" s="2" t="s">
        <v>3227</v>
      </c>
      <c r="AA3442" s="2" t="s">
        <v>46</v>
      </c>
      <c r="AB3442" s="2" t="s">
        <v>67</v>
      </c>
      <c r="AC3442" s="2" t="s">
        <v>57</v>
      </c>
      <c r="AF3442" s="2">
        <f t="shared" si="489"/>
        <v>0</v>
      </c>
      <c r="AG3442" s="2">
        <v>15.020300000000001</v>
      </c>
      <c r="AH3442" s="2">
        <v>27.6</v>
      </c>
      <c r="AJ3442" s="2">
        <f t="shared" si="490"/>
        <v>0</v>
      </c>
      <c r="AK3442" s="2">
        <f t="shared" si="495"/>
        <v>8.4796999999999993</v>
      </c>
      <c r="AL3442" s="5">
        <f t="shared" si="499"/>
        <v>0.3608382978723404</v>
      </c>
    </row>
    <row r="3443" spans="1:38" x14ac:dyDescent="0.2">
      <c r="A3443" s="2">
        <v>2026</v>
      </c>
      <c r="B3443" s="2">
        <v>3</v>
      </c>
      <c r="C3443" s="2" t="s">
        <v>3444</v>
      </c>
      <c r="D3443" s="2" t="s">
        <v>485</v>
      </c>
      <c r="E3443" s="2" t="s">
        <v>108</v>
      </c>
      <c r="F3443" s="2" t="s">
        <v>39</v>
      </c>
      <c r="G3443" s="2">
        <v>506834689</v>
      </c>
      <c r="H3443" s="2" t="s">
        <v>41</v>
      </c>
      <c r="I3443" s="2" t="s">
        <v>486</v>
      </c>
      <c r="J3443" s="2" t="s">
        <v>487</v>
      </c>
      <c r="K3443" s="2">
        <v>919866237</v>
      </c>
      <c r="L3443" s="2" t="s">
        <v>461</v>
      </c>
      <c r="M3443" s="2" t="s">
        <v>41</v>
      </c>
      <c r="P3443" s="2" t="s">
        <v>43</v>
      </c>
      <c r="Q3443" s="2" t="s">
        <v>65</v>
      </c>
      <c r="R3443" s="2" t="s">
        <v>66</v>
      </c>
      <c r="S3443" s="2">
        <v>4</v>
      </c>
      <c r="T3443" s="2">
        <v>88</v>
      </c>
      <c r="U3443" s="2">
        <v>20.239999999999998</v>
      </c>
      <c r="V3443" s="2">
        <v>108.24</v>
      </c>
      <c r="W3443" s="2">
        <f>15.0203*S3443</f>
        <v>60.081200000000003</v>
      </c>
      <c r="X3443" s="5">
        <f t="shared" si="498"/>
        <v>0.31725909090909088</v>
      </c>
      <c r="Z3443" s="2" t="s">
        <v>3227</v>
      </c>
      <c r="AA3443" s="2" t="s">
        <v>46</v>
      </c>
      <c r="AB3443" s="2" t="s">
        <v>67</v>
      </c>
      <c r="AC3443" s="2" t="s">
        <v>57</v>
      </c>
      <c r="AF3443" s="2">
        <f t="shared" si="489"/>
        <v>0</v>
      </c>
      <c r="AG3443" s="2">
        <v>15.020300000000001</v>
      </c>
      <c r="AH3443" s="2">
        <v>27.6</v>
      </c>
      <c r="AJ3443" s="2">
        <f t="shared" si="490"/>
        <v>0</v>
      </c>
      <c r="AK3443" s="2">
        <f t="shared" si="495"/>
        <v>27.918799999999997</v>
      </c>
      <c r="AL3443" s="5">
        <f t="shared" si="499"/>
        <v>0.31725909090909088</v>
      </c>
    </row>
    <row r="3444" spans="1:38" x14ac:dyDescent="0.2">
      <c r="A3444" s="2">
        <v>2026</v>
      </c>
      <c r="B3444" s="2">
        <v>3</v>
      </c>
      <c r="D3444" s="2" t="s">
        <v>2690</v>
      </c>
      <c r="M3444" s="2" t="s">
        <v>40</v>
      </c>
      <c r="P3444" s="2" t="s">
        <v>2691</v>
      </c>
      <c r="Q3444" s="2" t="s">
        <v>2692</v>
      </c>
      <c r="R3444" s="2" t="s">
        <v>2693</v>
      </c>
      <c r="S3444" s="2">
        <v>10</v>
      </c>
      <c r="T3444" s="2">
        <v>4620</v>
      </c>
      <c r="U3444" s="2">
        <v>1062.5999999999999</v>
      </c>
      <c r="V3444" s="2">
        <v>5682.6</v>
      </c>
      <c r="X3444" s="5">
        <f t="shared" si="498"/>
        <v>1</v>
      </c>
      <c r="Z3444" s="2" t="s">
        <v>3227</v>
      </c>
      <c r="AF3444" s="2">
        <f t="shared" si="489"/>
        <v>0</v>
      </c>
      <c r="AJ3444" s="2">
        <f t="shared" si="490"/>
        <v>0</v>
      </c>
      <c r="AK3444" s="2">
        <f t="shared" si="495"/>
        <v>4620</v>
      </c>
      <c r="AL3444" s="5">
        <f t="shared" si="499"/>
        <v>1</v>
      </c>
    </row>
    <row r="3445" spans="1:38" x14ac:dyDescent="0.2">
      <c r="A3445" s="2">
        <v>2026</v>
      </c>
      <c r="B3445" s="2">
        <v>3</v>
      </c>
      <c r="D3445" s="2" t="s">
        <v>359</v>
      </c>
      <c r="E3445" s="2" t="s">
        <v>108</v>
      </c>
      <c r="F3445" s="2" t="s">
        <v>39</v>
      </c>
      <c r="G3445" s="2">
        <v>503413909</v>
      </c>
      <c r="H3445" s="2" t="s">
        <v>109</v>
      </c>
      <c r="I3445" s="2" t="s">
        <v>360</v>
      </c>
      <c r="J3445" s="2" t="s">
        <v>361</v>
      </c>
      <c r="L3445" s="2" t="s">
        <v>360</v>
      </c>
      <c r="M3445" s="2" t="s">
        <v>109</v>
      </c>
      <c r="O3445" s="2" t="s">
        <v>2694</v>
      </c>
      <c r="P3445" s="2" t="s">
        <v>3230</v>
      </c>
      <c r="Q3445" s="2" t="s">
        <v>2695</v>
      </c>
      <c r="R3445" s="2" t="s">
        <v>2696</v>
      </c>
      <c r="S3445" s="2">
        <v>1</v>
      </c>
      <c r="T3445" s="2">
        <v>1750</v>
      </c>
      <c r="U3445" s="2">
        <v>402.5</v>
      </c>
      <c r="V3445" s="2">
        <v>2152.5</v>
      </c>
      <c r="W3445" s="2">
        <v>893.93</v>
      </c>
      <c r="X3445" s="5">
        <f t="shared" si="498"/>
        <v>0.4891828571428572</v>
      </c>
      <c r="Z3445" s="2" t="s">
        <v>104</v>
      </c>
      <c r="AA3445" s="2" t="s">
        <v>2697</v>
      </c>
      <c r="AB3445" s="2" t="s">
        <v>2698</v>
      </c>
      <c r="AC3445" s="2" t="s">
        <v>3230</v>
      </c>
      <c r="AF3445" s="2">
        <f t="shared" si="489"/>
        <v>0</v>
      </c>
      <c r="AG3445" s="2">
        <v>893.93</v>
      </c>
      <c r="AJ3445" s="2">
        <f t="shared" si="490"/>
        <v>0</v>
      </c>
      <c r="AK3445" s="2">
        <f t="shared" si="495"/>
        <v>856.07</v>
      </c>
      <c r="AL3445" s="5">
        <f t="shared" si="499"/>
        <v>0.4891828571428572</v>
      </c>
    </row>
    <row r="3446" spans="1:38" x14ac:dyDescent="0.2">
      <c r="A3446" s="2">
        <v>2026</v>
      </c>
      <c r="B3446" s="2">
        <v>3</v>
      </c>
      <c r="D3446" s="2" t="s">
        <v>1884</v>
      </c>
      <c r="P3446" s="2" t="s">
        <v>3230</v>
      </c>
      <c r="Q3446" s="2" t="s">
        <v>1786</v>
      </c>
      <c r="R3446" s="2" t="s">
        <v>1787</v>
      </c>
      <c r="S3446" s="2">
        <v>1</v>
      </c>
      <c r="T3446" s="2">
        <v>2060</v>
      </c>
      <c r="U3446" s="2">
        <v>473.8</v>
      </c>
      <c r="V3446" s="2">
        <v>2533.8000000000002</v>
      </c>
      <c r="W3446" s="2">
        <v>1036.96</v>
      </c>
      <c r="X3446" s="5">
        <f t="shared" si="498"/>
        <v>0.49662135922330097</v>
      </c>
      <c r="Z3446" s="2" t="s">
        <v>104</v>
      </c>
      <c r="AA3446" s="2" t="s">
        <v>105</v>
      </c>
      <c r="AB3446" s="2" t="s">
        <v>106</v>
      </c>
      <c r="AC3446" s="2" t="s">
        <v>3230</v>
      </c>
      <c r="AF3446" s="2">
        <f t="shared" si="489"/>
        <v>0</v>
      </c>
      <c r="AJ3446" s="2">
        <f t="shared" si="490"/>
        <v>0</v>
      </c>
      <c r="AK3446" s="2">
        <f t="shared" ref="AK3446:AK3458" si="500">T3446-W3446</f>
        <v>1023.04</v>
      </c>
      <c r="AL3446" s="5">
        <f t="shared" si="499"/>
        <v>0.49662135922330097</v>
      </c>
    </row>
    <row r="3447" spans="1:38" x14ac:dyDescent="0.2">
      <c r="A3447" s="2">
        <v>2026</v>
      </c>
      <c r="B3447" s="2">
        <v>3</v>
      </c>
      <c r="D3447" s="2" t="s">
        <v>382</v>
      </c>
      <c r="E3447" s="2" t="s">
        <v>38</v>
      </c>
      <c r="F3447" s="2" t="s">
        <v>39</v>
      </c>
      <c r="G3447" s="2">
        <v>212196260</v>
      </c>
      <c r="H3447" s="2" t="s">
        <v>109</v>
      </c>
      <c r="I3447" s="2" t="s">
        <v>383</v>
      </c>
      <c r="J3447" s="2" t="s">
        <v>384</v>
      </c>
      <c r="K3447" s="2">
        <v>926769894</v>
      </c>
      <c r="L3447" s="2" t="s">
        <v>112</v>
      </c>
      <c r="M3447" s="2" t="s">
        <v>109</v>
      </c>
      <c r="O3447" s="2" t="s">
        <v>2699</v>
      </c>
      <c r="P3447" s="2" t="s">
        <v>3230</v>
      </c>
      <c r="Q3447" s="2" t="s">
        <v>2700</v>
      </c>
      <c r="R3447" s="2" t="s">
        <v>2701</v>
      </c>
      <c r="S3447" s="2">
        <v>1</v>
      </c>
      <c r="T3447" s="2">
        <v>3100</v>
      </c>
      <c r="U3447" s="2">
        <v>713</v>
      </c>
      <c r="V3447" s="2">
        <v>3813</v>
      </c>
      <c r="W3447" s="2">
        <v>1575.55</v>
      </c>
      <c r="X3447" s="5">
        <f t="shared" si="498"/>
        <v>0.49175806451612902</v>
      </c>
      <c r="Z3447" s="2" t="s">
        <v>104</v>
      </c>
      <c r="AA3447" s="2" t="s">
        <v>264</v>
      </c>
      <c r="AB3447" s="2" t="s">
        <v>1095</v>
      </c>
      <c r="AC3447" s="2" t="s">
        <v>3230</v>
      </c>
      <c r="AF3447" s="2">
        <f t="shared" si="489"/>
        <v>0</v>
      </c>
      <c r="AJ3447" s="2">
        <f t="shared" si="490"/>
        <v>0</v>
      </c>
      <c r="AK3447" s="2">
        <f t="shared" si="500"/>
        <v>1524.45</v>
      </c>
      <c r="AL3447" s="5">
        <f t="shared" si="499"/>
        <v>0.49175806451612902</v>
      </c>
    </row>
    <row r="3448" spans="1:38" x14ac:dyDescent="0.2">
      <c r="A3448" s="2">
        <v>2026</v>
      </c>
      <c r="B3448" s="2">
        <v>3</v>
      </c>
      <c r="D3448" s="2" t="s">
        <v>382</v>
      </c>
      <c r="E3448" s="2" t="s">
        <v>38</v>
      </c>
      <c r="F3448" s="2" t="s">
        <v>39</v>
      </c>
      <c r="G3448" s="2">
        <v>212196260</v>
      </c>
      <c r="H3448" s="2" t="s">
        <v>109</v>
      </c>
      <c r="I3448" s="2" t="s">
        <v>383</v>
      </c>
      <c r="J3448" s="2" t="s">
        <v>384</v>
      </c>
      <c r="K3448" s="2">
        <v>926769894</v>
      </c>
      <c r="L3448" s="2" t="s">
        <v>112</v>
      </c>
      <c r="M3448" s="2" t="s">
        <v>109</v>
      </c>
      <c r="O3448" s="2" t="s">
        <v>2699</v>
      </c>
      <c r="P3448" s="2" t="s">
        <v>3230</v>
      </c>
      <c r="Q3448" s="2" t="s">
        <v>1945</v>
      </c>
      <c r="R3448" s="2" t="s">
        <v>1946</v>
      </c>
      <c r="S3448" s="2">
        <v>1</v>
      </c>
      <c r="T3448" s="2">
        <v>9990</v>
      </c>
      <c r="U3448" s="2">
        <v>2297.6999999999998</v>
      </c>
      <c r="V3448" s="2">
        <v>12287.7</v>
      </c>
      <c r="W3448" s="2">
        <v>4152.3100000000004</v>
      </c>
      <c r="X3448" s="5">
        <f t="shared" si="498"/>
        <v>0.58435335335335337</v>
      </c>
      <c r="Z3448" s="2" t="s">
        <v>104</v>
      </c>
      <c r="AA3448" s="2" t="s">
        <v>264</v>
      </c>
      <c r="AB3448" s="2" t="s">
        <v>265</v>
      </c>
      <c r="AC3448" s="2" t="s">
        <v>3230</v>
      </c>
      <c r="AF3448" s="2">
        <f t="shared" si="489"/>
        <v>0</v>
      </c>
      <c r="AJ3448" s="2">
        <f t="shared" si="490"/>
        <v>0</v>
      </c>
      <c r="AK3448" s="2">
        <f t="shared" si="500"/>
        <v>5837.69</v>
      </c>
      <c r="AL3448" s="5">
        <f t="shared" si="499"/>
        <v>0.58435335335335337</v>
      </c>
    </row>
    <row r="3449" spans="1:38" x14ac:dyDescent="0.2">
      <c r="A3449" s="2">
        <v>2026</v>
      </c>
      <c r="B3449" s="2">
        <v>3</v>
      </c>
      <c r="D3449" s="2" t="s">
        <v>278</v>
      </c>
      <c r="P3449" s="2" t="s">
        <v>68</v>
      </c>
      <c r="Q3449" s="2" t="s">
        <v>2702</v>
      </c>
      <c r="R3449" s="2" t="s">
        <v>2703</v>
      </c>
      <c r="S3449" s="2">
        <v>1</v>
      </c>
      <c r="T3449" s="2">
        <v>60</v>
      </c>
      <c r="U3449" s="2">
        <v>13.8</v>
      </c>
      <c r="V3449" s="2">
        <v>73.8</v>
      </c>
      <c r="X3449" s="5">
        <f t="shared" si="498"/>
        <v>1</v>
      </c>
      <c r="Z3449" s="2" t="s">
        <v>3227</v>
      </c>
      <c r="AC3449" s="2" t="s">
        <v>3231</v>
      </c>
      <c r="AF3449" s="2">
        <f t="shared" si="489"/>
        <v>0</v>
      </c>
      <c r="AJ3449" s="2">
        <f t="shared" si="490"/>
        <v>0</v>
      </c>
      <c r="AK3449" s="2">
        <f t="shared" si="500"/>
        <v>60</v>
      </c>
      <c r="AL3449" s="5">
        <f t="shared" si="499"/>
        <v>1</v>
      </c>
    </row>
    <row r="3450" spans="1:38" x14ac:dyDescent="0.2">
      <c r="A3450" s="2">
        <v>2026</v>
      </c>
      <c r="B3450" s="2">
        <v>3</v>
      </c>
      <c r="D3450" s="2" t="s">
        <v>1955</v>
      </c>
      <c r="M3450" s="2" t="s">
        <v>40</v>
      </c>
      <c r="P3450" s="2" t="s">
        <v>68</v>
      </c>
      <c r="Q3450" s="2" t="s">
        <v>2704</v>
      </c>
      <c r="R3450" s="2" t="s">
        <v>2705</v>
      </c>
      <c r="S3450" s="2">
        <v>2</v>
      </c>
      <c r="T3450" s="2">
        <v>98</v>
      </c>
      <c r="U3450" s="2">
        <v>22.54</v>
      </c>
      <c r="V3450" s="2">
        <v>120.54</v>
      </c>
      <c r="X3450" s="5">
        <f t="shared" si="498"/>
        <v>1</v>
      </c>
      <c r="Z3450" s="2" t="s">
        <v>3227</v>
      </c>
      <c r="AC3450" s="2" t="s">
        <v>3231</v>
      </c>
      <c r="AF3450" s="2">
        <f t="shared" si="489"/>
        <v>0</v>
      </c>
      <c r="AJ3450" s="2">
        <f t="shared" si="490"/>
        <v>0</v>
      </c>
      <c r="AK3450" s="2">
        <f t="shared" si="500"/>
        <v>98</v>
      </c>
      <c r="AL3450" s="5">
        <f t="shared" si="499"/>
        <v>1</v>
      </c>
    </row>
    <row r="3451" spans="1:38" x14ac:dyDescent="0.2">
      <c r="A3451" s="2">
        <v>2026</v>
      </c>
      <c r="B3451" s="2">
        <v>3</v>
      </c>
      <c r="D3451" s="2" t="s">
        <v>1695</v>
      </c>
      <c r="P3451" s="2" t="s">
        <v>68</v>
      </c>
      <c r="Q3451" s="2" t="s">
        <v>2706</v>
      </c>
      <c r="R3451" s="2" t="s">
        <v>2707</v>
      </c>
      <c r="S3451" s="2">
        <v>1</v>
      </c>
      <c r="T3451" s="2">
        <v>300</v>
      </c>
      <c r="U3451" s="2">
        <v>69</v>
      </c>
      <c r="V3451" s="2">
        <v>369</v>
      </c>
      <c r="X3451" s="5">
        <f t="shared" si="498"/>
        <v>1</v>
      </c>
      <c r="Z3451" s="2" t="s">
        <v>3227</v>
      </c>
      <c r="AC3451" s="2" t="s">
        <v>3231</v>
      </c>
      <c r="AF3451" s="2">
        <f t="shared" si="489"/>
        <v>0</v>
      </c>
      <c r="AJ3451" s="2">
        <f t="shared" si="490"/>
        <v>0</v>
      </c>
      <c r="AK3451" s="2">
        <f t="shared" si="500"/>
        <v>300</v>
      </c>
      <c r="AL3451" s="5">
        <f t="shared" si="499"/>
        <v>1</v>
      </c>
    </row>
    <row r="3452" spans="1:38" x14ac:dyDescent="0.2">
      <c r="A3452" s="2">
        <v>2026</v>
      </c>
      <c r="B3452" s="2">
        <v>3</v>
      </c>
      <c r="C3452" s="2" t="s">
        <v>3320</v>
      </c>
      <c r="D3452" s="2" t="s">
        <v>2632</v>
      </c>
      <c r="E3452" s="2" t="s">
        <v>38</v>
      </c>
      <c r="G3452" s="2">
        <v>508857562</v>
      </c>
      <c r="H3452" s="2" t="s">
        <v>109</v>
      </c>
      <c r="I3452" s="2" t="s">
        <v>2633</v>
      </c>
      <c r="J3452" s="2" t="s">
        <v>2634</v>
      </c>
      <c r="L3452" s="2" t="s">
        <v>461</v>
      </c>
      <c r="M3452" s="2" t="s">
        <v>109</v>
      </c>
      <c r="P3452" s="2" t="s">
        <v>68</v>
      </c>
      <c r="Q3452" s="2" t="s">
        <v>1160</v>
      </c>
      <c r="R3452" s="2" t="s">
        <v>1161</v>
      </c>
      <c r="S3452" s="2">
        <v>1</v>
      </c>
      <c r="T3452" s="2">
        <v>70</v>
      </c>
      <c r="U3452" s="2">
        <v>16.100000000000001</v>
      </c>
      <c r="V3452" s="2">
        <v>86.1</v>
      </c>
      <c r="W3452" s="2">
        <v>47.4</v>
      </c>
      <c r="X3452" s="5">
        <f t="shared" si="498"/>
        <v>0.3228571428571429</v>
      </c>
      <c r="Z3452" s="2" t="s">
        <v>3227</v>
      </c>
      <c r="AA3452" s="2" t="s">
        <v>71</v>
      </c>
      <c r="AB3452" s="2" t="s">
        <v>68</v>
      </c>
      <c r="AC3452" s="2" t="s">
        <v>3231</v>
      </c>
      <c r="AF3452" s="2">
        <f t="shared" si="489"/>
        <v>0</v>
      </c>
      <c r="AJ3452" s="2">
        <f t="shared" si="490"/>
        <v>0</v>
      </c>
      <c r="AK3452" s="2">
        <f t="shared" si="500"/>
        <v>22.6</v>
      </c>
      <c r="AL3452" s="5">
        <f t="shared" si="499"/>
        <v>0.3228571428571429</v>
      </c>
    </row>
    <row r="3453" spans="1:38" x14ac:dyDescent="0.2">
      <c r="A3453" s="2">
        <v>2026</v>
      </c>
      <c r="B3453" s="2">
        <v>3</v>
      </c>
      <c r="D3453" s="2" t="s">
        <v>1884</v>
      </c>
      <c r="P3453" s="2" t="s">
        <v>68</v>
      </c>
      <c r="Q3453" s="2" t="s">
        <v>303</v>
      </c>
      <c r="R3453" s="2" t="s">
        <v>304</v>
      </c>
      <c r="S3453" s="2">
        <v>1</v>
      </c>
      <c r="T3453" s="2">
        <v>1770</v>
      </c>
      <c r="U3453" s="2">
        <v>407.1</v>
      </c>
      <c r="V3453" s="2">
        <v>2177.1</v>
      </c>
      <c r="W3453" s="2">
        <v>1130.74</v>
      </c>
      <c r="X3453" s="5">
        <f t="shared" si="498"/>
        <v>0.36116384180790961</v>
      </c>
      <c r="Z3453" s="2" t="s">
        <v>104</v>
      </c>
      <c r="AA3453" s="2" t="s">
        <v>105</v>
      </c>
      <c r="AB3453" s="2" t="s">
        <v>106</v>
      </c>
      <c r="AC3453" s="2" t="s">
        <v>3231</v>
      </c>
      <c r="AF3453" s="2">
        <f t="shared" si="489"/>
        <v>0</v>
      </c>
      <c r="AG3453" s="2">
        <v>1130.74</v>
      </c>
      <c r="AJ3453" s="2">
        <f t="shared" si="490"/>
        <v>0</v>
      </c>
      <c r="AK3453" s="2">
        <f t="shared" si="500"/>
        <v>639.26</v>
      </c>
      <c r="AL3453" s="5">
        <f t="shared" si="499"/>
        <v>0.36116384180790961</v>
      </c>
    </row>
    <row r="3454" spans="1:38" x14ac:dyDescent="0.2">
      <c r="A3454" s="2">
        <v>2026</v>
      </c>
      <c r="B3454" s="2">
        <v>3</v>
      </c>
      <c r="D3454" s="2" t="s">
        <v>549</v>
      </c>
      <c r="E3454" s="2" t="s">
        <v>108</v>
      </c>
      <c r="F3454" s="2" t="s">
        <v>395</v>
      </c>
      <c r="G3454" s="2">
        <v>503641790</v>
      </c>
      <c r="H3454" s="2" t="s">
        <v>40</v>
      </c>
      <c r="I3454" s="2" t="s">
        <v>550</v>
      </c>
      <c r="J3454" s="2" t="s">
        <v>551</v>
      </c>
      <c r="K3454" s="2">
        <v>917753665</v>
      </c>
      <c r="L3454" s="2" t="s">
        <v>99</v>
      </c>
      <c r="M3454" s="2" t="s">
        <v>80</v>
      </c>
      <c r="O3454" s="2" t="s">
        <v>2708</v>
      </c>
      <c r="P3454" s="2" t="s">
        <v>72</v>
      </c>
      <c r="Q3454" s="2" t="s">
        <v>73</v>
      </c>
      <c r="R3454" s="2" t="s">
        <v>74</v>
      </c>
      <c r="S3454" s="2">
        <v>1</v>
      </c>
      <c r="T3454" s="2">
        <v>220</v>
      </c>
      <c r="U3454" s="2">
        <v>50.6</v>
      </c>
      <c r="V3454" s="2">
        <v>270.60000000000002</v>
      </c>
      <c r="W3454" s="2">
        <v>125.51600000000001</v>
      </c>
      <c r="X3454" s="5">
        <f t="shared" si="498"/>
        <v>0.42947272727272723</v>
      </c>
      <c r="Z3454" s="2" t="s">
        <v>3227</v>
      </c>
      <c r="AA3454" s="2" t="s">
        <v>75</v>
      </c>
      <c r="AB3454" s="2" t="s">
        <v>76</v>
      </c>
      <c r="AC3454" s="2" t="s">
        <v>77</v>
      </c>
      <c r="AF3454" s="2">
        <f t="shared" si="489"/>
        <v>0</v>
      </c>
      <c r="AG3454" s="2">
        <v>125.51600000000001</v>
      </c>
      <c r="AH3454" s="2">
        <v>220</v>
      </c>
      <c r="AJ3454" s="2">
        <f t="shared" si="490"/>
        <v>0</v>
      </c>
      <c r="AK3454" s="2">
        <f t="shared" si="500"/>
        <v>94.483999999999995</v>
      </c>
      <c r="AL3454" s="5">
        <f t="shared" si="499"/>
        <v>0.42947272727272723</v>
      </c>
    </row>
    <row r="3455" spans="1:38" x14ac:dyDescent="0.2">
      <c r="A3455" s="2">
        <v>2026</v>
      </c>
      <c r="B3455" s="2">
        <v>3</v>
      </c>
      <c r="D3455" s="2" t="s">
        <v>996</v>
      </c>
      <c r="P3455" s="2" t="s">
        <v>72</v>
      </c>
      <c r="Q3455" s="2" t="s">
        <v>346</v>
      </c>
      <c r="R3455" s="2" t="s">
        <v>74</v>
      </c>
      <c r="S3455" s="2">
        <v>1</v>
      </c>
      <c r="T3455" s="2">
        <v>210</v>
      </c>
      <c r="U3455" s="2">
        <v>48.3</v>
      </c>
      <c r="V3455" s="2">
        <v>258.3</v>
      </c>
      <c r="W3455" s="2">
        <v>124.4</v>
      </c>
      <c r="X3455" s="5">
        <f t="shared" si="498"/>
        <v>0.4076190476190476</v>
      </c>
      <c r="Z3455" s="2" t="s">
        <v>3227</v>
      </c>
      <c r="AA3455" s="2" t="s">
        <v>75</v>
      </c>
      <c r="AB3455" s="2" t="s">
        <v>76</v>
      </c>
      <c r="AC3455" s="2" t="s">
        <v>77</v>
      </c>
      <c r="AF3455" s="2">
        <f t="shared" si="489"/>
        <v>0</v>
      </c>
      <c r="AG3455" s="2">
        <v>124.4</v>
      </c>
      <c r="AH3455" s="2">
        <v>200</v>
      </c>
      <c r="AJ3455" s="2">
        <f t="shared" si="490"/>
        <v>0</v>
      </c>
      <c r="AK3455" s="2">
        <f t="shared" si="500"/>
        <v>85.6</v>
      </c>
      <c r="AL3455" s="5">
        <f t="shared" si="499"/>
        <v>0.4076190476190476</v>
      </c>
    </row>
    <row r="3456" spans="1:38" x14ac:dyDescent="0.2">
      <c r="A3456" s="2">
        <v>2026</v>
      </c>
      <c r="B3456" s="2">
        <v>3</v>
      </c>
      <c r="D3456" s="2" t="s">
        <v>651</v>
      </c>
      <c r="E3456" s="2" t="s">
        <v>108</v>
      </c>
      <c r="F3456" s="2" t="s">
        <v>39</v>
      </c>
      <c r="G3456" s="2">
        <v>509838537</v>
      </c>
      <c r="H3456" s="2" t="s">
        <v>41</v>
      </c>
      <c r="I3456" s="2" t="s">
        <v>652</v>
      </c>
      <c r="J3456" s="2" t="s">
        <v>653</v>
      </c>
      <c r="L3456" s="2" t="s">
        <v>418</v>
      </c>
      <c r="M3456" s="2" t="s">
        <v>41</v>
      </c>
      <c r="O3456" s="2" t="s">
        <v>2709</v>
      </c>
      <c r="P3456" s="2" t="s">
        <v>72</v>
      </c>
      <c r="Q3456" s="2" t="s">
        <v>832</v>
      </c>
      <c r="R3456" s="2" t="s">
        <v>74</v>
      </c>
      <c r="S3456" s="2">
        <v>1</v>
      </c>
      <c r="T3456" s="2">
        <v>220</v>
      </c>
      <c r="U3456" s="2">
        <v>50.6</v>
      </c>
      <c r="V3456" s="2">
        <v>270.60000000000002</v>
      </c>
      <c r="W3456" s="2">
        <v>120.636</v>
      </c>
      <c r="X3456" s="5">
        <f t="shared" si="498"/>
        <v>0.45165454545454548</v>
      </c>
      <c r="Z3456" s="2" t="s">
        <v>3227</v>
      </c>
      <c r="AA3456" s="2" t="s">
        <v>75</v>
      </c>
      <c r="AB3456" s="2" t="s">
        <v>76</v>
      </c>
      <c r="AC3456" s="2" t="s">
        <v>77</v>
      </c>
      <c r="AF3456" s="2">
        <f t="shared" si="489"/>
        <v>0</v>
      </c>
      <c r="AG3456" s="2">
        <v>120.636</v>
      </c>
      <c r="AH3456" s="2">
        <v>220</v>
      </c>
      <c r="AJ3456" s="2">
        <f t="shared" si="490"/>
        <v>0</v>
      </c>
      <c r="AK3456" s="2">
        <f t="shared" si="500"/>
        <v>99.364000000000004</v>
      </c>
      <c r="AL3456" s="5">
        <f t="shared" si="499"/>
        <v>0.45165454545454548</v>
      </c>
    </row>
    <row r="3457" spans="1:38" x14ac:dyDescent="0.2">
      <c r="A3457" s="2">
        <v>2026</v>
      </c>
      <c r="B3457" s="2">
        <v>3</v>
      </c>
      <c r="D3457" s="2" t="s">
        <v>428</v>
      </c>
      <c r="E3457" s="2" t="s">
        <v>38</v>
      </c>
      <c r="G3457" s="2">
        <v>500820384</v>
      </c>
      <c r="H3457" s="2" t="s">
        <v>40</v>
      </c>
      <c r="I3457" s="2" t="s">
        <v>429</v>
      </c>
      <c r="J3457" s="2" t="s">
        <v>430</v>
      </c>
      <c r="L3457" s="2" t="s">
        <v>99</v>
      </c>
      <c r="M3457" s="2" t="s">
        <v>80</v>
      </c>
      <c r="O3457" s="2" t="s">
        <v>2710</v>
      </c>
      <c r="P3457" s="2" t="s">
        <v>72</v>
      </c>
      <c r="Q3457" s="2" t="s">
        <v>556</v>
      </c>
      <c r="R3457" s="2" t="s">
        <v>381</v>
      </c>
      <c r="S3457" s="2">
        <v>1</v>
      </c>
      <c r="T3457" s="2">
        <v>223.1</v>
      </c>
      <c r="U3457" s="2">
        <v>51.313000000000002</v>
      </c>
      <c r="V3457" s="2">
        <v>274.41300000000001</v>
      </c>
      <c r="W3457" s="2">
        <v>143.91999999999999</v>
      </c>
      <c r="X3457" s="5">
        <f t="shared" si="498"/>
        <v>0.3549081129538324</v>
      </c>
      <c r="Z3457" s="2" t="s">
        <v>3227</v>
      </c>
      <c r="AA3457" s="2" t="s">
        <v>75</v>
      </c>
      <c r="AB3457" s="2" t="s">
        <v>76</v>
      </c>
      <c r="AC3457" s="2" t="s">
        <v>77</v>
      </c>
      <c r="AF3457" s="2">
        <f t="shared" si="489"/>
        <v>0</v>
      </c>
      <c r="AG3457" s="2">
        <v>143.91999999999999</v>
      </c>
      <c r="AJ3457" s="2">
        <f t="shared" si="490"/>
        <v>0</v>
      </c>
      <c r="AK3457" s="2">
        <f t="shared" si="500"/>
        <v>79.180000000000007</v>
      </c>
      <c r="AL3457" s="5">
        <f t="shared" si="499"/>
        <v>0.3549081129538324</v>
      </c>
    </row>
    <row r="3458" spans="1:38" x14ac:dyDescent="0.2">
      <c r="A3458" s="2">
        <v>2026</v>
      </c>
      <c r="B3458" s="2">
        <v>3</v>
      </c>
      <c r="D3458" s="2" t="s">
        <v>1255</v>
      </c>
      <c r="E3458" s="2" t="s">
        <v>108</v>
      </c>
      <c r="F3458" s="2" t="s">
        <v>39</v>
      </c>
      <c r="G3458" s="2">
        <v>513777377</v>
      </c>
      <c r="H3458" s="2" t="s">
        <v>290</v>
      </c>
      <c r="I3458" s="2" t="s">
        <v>2711</v>
      </c>
      <c r="J3458" s="2" t="s">
        <v>2712</v>
      </c>
      <c r="K3458" s="2">
        <v>935047029</v>
      </c>
      <c r="L3458" s="2" t="s">
        <v>446</v>
      </c>
      <c r="M3458" s="2" t="s">
        <v>80</v>
      </c>
      <c r="O3458" s="2" t="s">
        <v>2713</v>
      </c>
      <c r="P3458" s="2" t="s">
        <v>72</v>
      </c>
      <c r="Q3458" s="2" t="s">
        <v>556</v>
      </c>
      <c r="R3458" s="2" t="s">
        <v>381</v>
      </c>
      <c r="S3458" s="2">
        <v>1</v>
      </c>
      <c r="T3458" s="2">
        <v>250</v>
      </c>
      <c r="U3458" s="2">
        <v>57.5</v>
      </c>
      <c r="V3458" s="2">
        <v>307.5</v>
      </c>
      <c r="W3458" s="2">
        <v>143.91999999999999</v>
      </c>
      <c r="X3458" s="5">
        <f t="shared" si="498"/>
        <v>0.42432000000000003</v>
      </c>
      <c r="Z3458" s="2" t="s">
        <v>3227</v>
      </c>
      <c r="AA3458" s="2" t="s">
        <v>75</v>
      </c>
      <c r="AB3458" s="2" t="s">
        <v>76</v>
      </c>
      <c r="AC3458" s="2" t="s">
        <v>77</v>
      </c>
      <c r="AF3458" s="2">
        <f t="shared" ref="AF3458:AF3521" si="501">AJ3458</f>
        <v>0</v>
      </c>
      <c r="AG3458" s="2">
        <v>143.91999999999999</v>
      </c>
      <c r="AJ3458" s="2">
        <f t="shared" ref="AJ3458:AJ3521" si="502">AI3458*T3458</f>
        <v>0</v>
      </c>
      <c r="AK3458" s="2">
        <f t="shared" si="500"/>
        <v>106.08000000000001</v>
      </c>
      <c r="AL3458" s="5">
        <f t="shared" si="499"/>
        <v>0.42432000000000003</v>
      </c>
    </row>
    <row r="3459" spans="1:38" x14ac:dyDescent="0.2">
      <c r="A3459" s="2">
        <v>2026</v>
      </c>
      <c r="B3459" s="2">
        <v>3</v>
      </c>
      <c r="C3459" s="2" t="s">
        <v>3320</v>
      </c>
      <c r="D3459" s="2" t="s">
        <v>1162</v>
      </c>
      <c r="E3459" s="2" t="s">
        <v>752</v>
      </c>
      <c r="F3459" s="2" t="s">
        <v>1217</v>
      </c>
      <c r="G3459" s="2">
        <v>508199280</v>
      </c>
      <c r="H3459" s="2" t="s">
        <v>40</v>
      </c>
      <c r="I3459" s="2" t="s">
        <v>1163</v>
      </c>
      <c r="L3459" s="2" t="s">
        <v>293</v>
      </c>
      <c r="M3459" s="2" t="s">
        <v>80</v>
      </c>
      <c r="P3459" s="2" t="s">
        <v>72</v>
      </c>
      <c r="Q3459" s="2" t="s">
        <v>1448</v>
      </c>
      <c r="R3459" s="2" t="s">
        <v>381</v>
      </c>
      <c r="S3459" s="2">
        <v>-1</v>
      </c>
      <c r="T3459" s="2">
        <v>-234.63</v>
      </c>
      <c r="U3459" s="2">
        <v>-53.9649</v>
      </c>
      <c r="V3459" s="2">
        <v>-288.5949</v>
      </c>
      <c r="W3459" s="2">
        <v>133.916</v>
      </c>
      <c r="X3459" s="18">
        <f>SIGN(T3459)*((ABS(T3459)-W3459)/ABS(T3459))</f>
        <v>-0.42924604696756596</v>
      </c>
      <c r="Z3459" s="2" t="s">
        <v>3227</v>
      </c>
      <c r="AA3459" s="2" t="s">
        <v>75</v>
      </c>
      <c r="AB3459" s="2" t="s">
        <v>76</v>
      </c>
      <c r="AC3459" s="2" t="s">
        <v>77</v>
      </c>
      <c r="AF3459" s="2">
        <f t="shared" si="501"/>
        <v>0</v>
      </c>
      <c r="AJ3459" s="2">
        <f t="shared" si="502"/>
        <v>0</v>
      </c>
      <c r="AK3459" s="2">
        <f>T3459+(W3459)</f>
        <v>-100.714</v>
      </c>
      <c r="AL3459" s="18">
        <f>SIGN(T3459)*((ABS(T3459)-W3459)/ABS(T3459))</f>
        <v>-0.42924604696756596</v>
      </c>
    </row>
    <row r="3460" spans="1:38" x14ac:dyDescent="0.2">
      <c r="A3460" s="2">
        <v>2026</v>
      </c>
      <c r="B3460" s="2">
        <v>3</v>
      </c>
      <c r="C3460" s="2" t="s">
        <v>3421</v>
      </c>
      <c r="D3460" s="2" t="s">
        <v>485</v>
      </c>
      <c r="E3460" s="2" t="s">
        <v>108</v>
      </c>
      <c r="F3460" s="2" t="s">
        <v>39</v>
      </c>
      <c r="G3460" s="2">
        <v>506834689</v>
      </c>
      <c r="H3460" s="2" t="s">
        <v>41</v>
      </c>
      <c r="I3460" s="2" t="s">
        <v>486</v>
      </c>
      <c r="J3460" s="2" t="s">
        <v>487</v>
      </c>
      <c r="K3460" s="2">
        <v>919866237</v>
      </c>
      <c r="L3460" s="2" t="s">
        <v>461</v>
      </c>
      <c r="M3460" s="2" t="s">
        <v>41</v>
      </c>
      <c r="P3460" s="2" t="s">
        <v>72</v>
      </c>
      <c r="Q3460" s="2" t="s">
        <v>380</v>
      </c>
      <c r="R3460" s="2" t="s">
        <v>381</v>
      </c>
      <c r="S3460" s="2">
        <v>1</v>
      </c>
      <c r="T3460" s="2">
        <v>230</v>
      </c>
      <c r="U3460" s="2">
        <v>52.900000000000013</v>
      </c>
      <c r="V3460" s="2">
        <v>282.89999999999998</v>
      </c>
      <c r="W3460" s="2">
        <v>139.46</v>
      </c>
      <c r="X3460" s="5">
        <f t="shared" ref="X3460:X3491" si="503">(T3460-W3460)/T3460</f>
        <v>0.39365217391304347</v>
      </c>
      <c r="Z3460" s="2" t="s">
        <v>3227</v>
      </c>
      <c r="AA3460" s="2" t="s">
        <v>75</v>
      </c>
      <c r="AB3460" s="2" t="s">
        <v>76</v>
      </c>
      <c r="AC3460" s="2" t="s">
        <v>77</v>
      </c>
      <c r="AF3460" s="2">
        <f t="shared" si="501"/>
        <v>0</v>
      </c>
      <c r="AJ3460" s="2">
        <f t="shared" si="502"/>
        <v>0</v>
      </c>
      <c r="AK3460" s="2">
        <f t="shared" ref="AK3460:AK3491" si="504">T3460-W3460</f>
        <v>90.539999999999992</v>
      </c>
      <c r="AL3460" s="5">
        <f t="shared" ref="AL3460:AL3491" si="505">(T3460-W3460)/T3460</f>
        <v>0.39365217391304347</v>
      </c>
    </row>
    <row r="3461" spans="1:38" x14ac:dyDescent="0.2">
      <c r="A3461" s="2">
        <v>2026</v>
      </c>
      <c r="B3461" s="2">
        <v>3</v>
      </c>
      <c r="D3461" s="2" t="s">
        <v>2714</v>
      </c>
      <c r="E3461" s="2" t="s">
        <v>38</v>
      </c>
      <c r="F3461" s="2" t="s">
        <v>39</v>
      </c>
      <c r="G3461" s="2">
        <v>509370365</v>
      </c>
      <c r="H3461" s="2" t="s">
        <v>290</v>
      </c>
      <c r="I3461" s="2" t="s">
        <v>2715</v>
      </c>
      <c r="J3461" s="2" t="s">
        <v>2716</v>
      </c>
      <c r="K3461" s="2">
        <v>962576243</v>
      </c>
      <c r="L3461" s="2" t="s">
        <v>446</v>
      </c>
      <c r="M3461" s="2" t="s">
        <v>80</v>
      </c>
      <c r="O3461" s="2" t="s">
        <v>2717</v>
      </c>
      <c r="P3461" s="2" t="s">
        <v>72</v>
      </c>
      <c r="Q3461" s="2" t="s">
        <v>484</v>
      </c>
      <c r="R3461" s="2" t="s">
        <v>74</v>
      </c>
      <c r="S3461" s="2">
        <v>1</v>
      </c>
      <c r="T3461" s="2">
        <v>230</v>
      </c>
      <c r="U3461" s="2">
        <v>52.900000000000013</v>
      </c>
      <c r="V3461" s="2">
        <v>282.89999999999998</v>
      </c>
      <c r="W3461" s="2">
        <v>131.93</v>
      </c>
      <c r="X3461" s="5">
        <f t="shared" si="503"/>
        <v>0.42639130434782607</v>
      </c>
      <c r="Z3461" s="2" t="s">
        <v>3227</v>
      </c>
      <c r="AA3461" s="2" t="s">
        <v>75</v>
      </c>
      <c r="AB3461" s="2" t="s">
        <v>76</v>
      </c>
      <c r="AC3461" s="2" t="s">
        <v>77</v>
      </c>
      <c r="AF3461" s="2">
        <f t="shared" si="501"/>
        <v>0</v>
      </c>
      <c r="AG3461" s="2">
        <v>131.93</v>
      </c>
      <c r="AH3461" s="2">
        <v>220</v>
      </c>
      <c r="AJ3461" s="2">
        <f t="shared" si="502"/>
        <v>0</v>
      </c>
      <c r="AK3461" s="2">
        <f t="shared" si="504"/>
        <v>98.07</v>
      </c>
      <c r="AL3461" s="5">
        <f t="shared" si="505"/>
        <v>0.42639130434782607</v>
      </c>
    </row>
    <row r="3462" spans="1:38" x14ac:dyDescent="0.2">
      <c r="A3462" s="2">
        <v>2026</v>
      </c>
      <c r="B3462" s="2">
        <v>3</v>
      </c>
      <c r="D3462" s="2" t="s">
        <v>1418</v>
      </c>
      <c r="E3462" s="2" t="s">
        <v>108</v>
      </c>
      <c r="F3462" s="2" t="s">
        <v>39</v>
      </c>
      <c r="G3462" s="2">
        <v>502696338</v>
      </c>
      <c r="H3462" s="2" t="s">
        <v>40</v>
      </c>
      <c r="I3462" s="2" t="s">
        <v>2411</v>
      </c>
      <c r="J3462" s="2" t="s">
        <v>2412</v>
      </c>
      <c r="L3462" s="2" t="s">
        <v>201</v>
      </c>
      <c r="M3462" s="2" t="s">
        <v>80</v>
      </c>
      <c r="O3462" s="2" t="s">
        <v>2718</v>
      </c>
      <c r="P3462" s="2" t="s">
        <v>72</v>
      </c>
      <c r="Q3462" s="2" t="s">
        <v>484</v>
      </c>
      <c r="R3462" s="2" t="s">
        <v>74</v>
      </c>
      <c r="S3462" s="2">
        <v>1</v>
      </c>
      <c r="T3462" s="2">
        <v>218.5</v>
      </c>
      <c r="U3462" s="2">
        <v>50.255000000000003</v>
      </c>
      <c r="V3462" s="2">
        <v>268.755</v>
      </c>
      <c r="W3462" s="2">
        <v>131.93</v>
      </c>
      <c r="X3462" s="5">
        <f t="shared" si="503"/>
        <v>0.39620137299771163</v>
      </c>
      <c r="Z3462" s="2" t="s">
        <v>3227</v>
      </c>
      <c r="AA3462" s="2" t="s">
        <v>75</v>
      </c>
      <c r="AB3462" s="2" t="s">
        <v>76</v>
      </c>
      <c r="AC3462" s="2" t="s">
        <v>77</v>
      </c>
      <c r="AF3462" s="2">
        <f t="shared" si="501"/>
        <v>0</v>
      </c>
      <c r="AG3462" s="2">
        <v>131.93</v>
      </c>
      <c r="AH3462" s="2">
        <v>220</v>
      </c>
      <c r="AJ3462" s="2">
        <f t="shared" si="502"/>
        <v>0</v>
      </c>
      <c r="AK3462" s="2">
        <f t="shared" si="504"/>
        <v>86.57</v>
      </c>
      <c r="AL3462" s="5">
        <f t="shared" si="505"/>
        <v>0.39620137299771163</v>
      </c>
    </row>
    <row r="3463" spans="1:38" x14ac:dyDescent="0.2">
      <c r="A3463" s="2">
        <v>2026</v>
      </c>
      <c r="B3463" s="2">
        <v>3</v>
      </c>
      <c r="D3463" s="2" t="s">
        <v>37</v>
      </c>
      <c r="E3463" s="2" t="s">
        <v>38</v>
      </c>
      <c r="F3463" s="2" t="s">
        <v>39</v>
      </c>
      <c r="H3463" s="2" t="s">
        <v>40</v>
      </c>
      <c r="M3463" s="2" t="s">
        <v>80</v>
      </c>
      <c r="O3463" s="2" t="s">
        <v>2719</v>
      </c>
      <c r="P3463" s="2" t="s">
        <v>72</v>
      </c>
      <c r="Q3463" s="2" t="s">
        <v>912</v>
      </c>
      <c r="R3463" s="2" t="s">
        <v>74</v>
      </c>
      <c r="S3463" s="2">
        <v>1</v>
      </c>
      <c r="T3463" s="2">
        <v>283.07</v>
      </c>
      <c r="U3463" s="2">
        <v>65.106099999999998</v>
      </c>
      <c r="V3463" s="2">
        <v>348.17610000000002</v>
      </c>
      <c r="W3463" s="2">
        <f>115.92+6.06</f>
        <v>121.98</v>
      </c>
      <c r="X3463" s="5">
        <f t="shared" si="503"/>
        <v>0.56908185254530674</v>
      </c>
      <c r="Z3463" s="2" t="s">
        <v>3227</v>
      </c>
      <c r="AA3463" s="2" t="s">
        <v>75</v>
      </c>
      <c r="AB3463" s="2" t="s">
        <v>76</v>
      </c>
      <c r="AC3463" s="2" t="s">
        <v>77</v>
      </c>
      <c r="AF3463" s="2">
        <f t="shared" si="501"/>
        <v>0</v>
      </c>
      <c r="AJ3463" s="2">
        <f t="shared" si="502"/>
        <v>0</v>
      </c>
      <c r="AK3463" s="2">
        <f t="shared" si="504"/>
        <v>161.08999999999997</v>
      </c>
      <c r="AL3463" s="5">
        <f t="shared" si="505"/>
        <v>0.56908185254530674</v>
      </c>
    </row>
    <row r="3464" spans="1:38" x14ac:dyDescent="0.2">
      <c r="A3464" s="2">
        <v>2026</v>
      </c>
      <c r="B3464" s="2">
        <v>3</v>
      </c>
      <c r="D3464" s="2" t="s">
        <v>774</v>
      </c>
      <c r="P3464" s="2" t="s">
        <v>72</v>
      </c>
      <c r="Q3464" s="2" t="s">
        <v>912</v>
      </c>
      <c r="R3464" s="2" t="s">
        <v>74</v>
      </c>
      <c r="S3464" s="2">
        <v>1</v>
      </c>
      <c r="T3464" s="2">
        <v>211.6</v>
      </c>
      <c r="U3464" s="2">
        <v>48.667999999999999</v>
      </c>
      <c r="V3464" s="2">
        <v>260.26799999999997</v>
      </c>
      <c r="W3464" s="2">
        <f>115.92+6.06</f>
        <v>121.98</v>
      </c>
      <c r="X3464" s="5">
        <f t="shared" si="503"/>
        <v>0.42353497164461246</v>
      </c>
      <c r="Z3464" s="2" t="s">
        <v>3227</v>
      </c>
      <c r="AA3464" s="2" t="s">
        <v>75</v>
      </c>
      <c r="AB3464" s="2" t="s">
        <v>76</v>
      </c>
      <c r="AC3464" s="2" t="s">
        <v>77</v>
      </c>
      <c r="AF3464" s="2">
        <f t="shared" si="501"/>
        <v>0</v>
      </c>
      <c r="AJ3464" s="2">
        <f t="shared" si="502"/>
        <v>0</v>
      </c>
      <c r="AK3464" s="2">
        <f t="shared" si="504"/>
        <v>89.61999999999999</v>
      </c>
      <c r="AL3464" s="5">
        <f t="shared" si="505"/>
        <v>0.42353497164461246</v>
      </c>
    </row>
    <row r="3465" spans="1:38" x14ac:dyDescent="0.2">
      <c r="A3465" s="2">
        <v>2026</v>
      </c>
      <c r="B3465" s="2">
        <v>3</v>
      </c>
      <c r="D3465" s="2" t="s">
        <v>37</v>
      </c>
      <c r="E3465" s="2" t="s">
        <v>38</v>
      </c>
      <c r="F3465" s="2" t="s">
        <v>39</v>
      </c>
      <c r="H3465" s="2" t="s">
        <v>40</v>
      </c>
      <c r="M3465" s="2" t="s">
        <v>80</v>
      </c>
      <c r="O3465" s="2" t="s">
        <v>2720</v>
      </c>
      <c r="P3465" s="2" t="s">
        <v>72</v>
      </c>
      <c r="Q3465" s="2" t="s">
        <v>2721</v>
      </c>
      <c r="R3465" s="2" t="s">
        <v>381</v>
      </c>
      <c r="S3465" s="2">
        <v>1</v>
      </c>
      <c r="T3465" s="2">
        <v>260</v>
      </c>
      <c r="U3465" s="2">
        <v>59.8</v>
      </c>
      <c r="V3465" s="2">
        <v>319.8</v>
      </c>
      <c r="W3465" s="2">
        <f>128.52+9.43</f>
        <v>137.95000000000002</v>
      </c>
      <c r="X3465" s="5">
        <f t="shared" si="503"/>
        <v>0.46942307692307683</v>
      </c>
      <c r="Z3465" s="2" t="s">
        <v>3227</v>
      </c>
      <c r="AA3465" s="2" t="s">
        <v>75</v>
      </c>
      <c r="AB3465" s="2" t="s">
        <v>76</v>
      </c>
      <c r="AC3465" s="2" t="s">
        <v>77</v>
      </c>
      <c r="AF3465" s="2">
        <f t="shared" si="501"/>
        <v>0</v>
      </c>
      <c r="AJ3465" s="2">
        <f t="shared" si="502"/>
        <v>0</v>
      </c>
      <c r="AK3465" s="2">
        <f t="shared" si="504"/>
        <v>122.04999999999998</v>
      </c>
      <c r="AL3465" s="5">
        <f t="shared" si="505"/>
        <v>0.46942307692307683</v>
      </c>
    </row>
    <row r="3466" spans="1:38" x14ac:dyDescent="0.2">
      <c r="A3466" s="2">
        <v>2026</v>
      </c>
      <c r="B3466" s="2">
        <v>3</v>
      </c>
      <c r="D3466" s="2" t="s">
        <v>1419</v>
      </c>
      <c r="E3466" s="2" t="s">
        <v>108</v>
      </c>
      <c r="F3466" s="2" t="s">
        <v>39</v>
      </c>
      <c r="G3466" s="2">
        <v>513795855</v>
      </c>
      <c r="H3466" s="2" t="s">
        <v>41</v>
      </c>
      <c r="I3466" s="2" t="s">
        <v>1272</v>
      </c>
      <c r="J3466" s="2" t="s">
        <v>2394</v>
      </c>
      <c r="L3466" s="2" t="s">
        <v>177</v>
      </c>
      <c r="M3466" s="2" t="s">
        <v>41</v>
      </c>
      <c r="P3466" s="2" t="s">
        <v>72</v>
      </c>
      <c r="Q3466" s="2" t="s">
        <v>2721</v>
      </c>
      <c r="R3466" s="2" t="s">
        <v>381</v>
      </c>
      <c r="S3466" s="2">
        <v>1</v>
      </c>
      <c r="T3466" s="2">
        <v>250</v>
      </c>
      <c r="U3466" s="2">
        <v>57.5</v>
      </c>
      <c r="V3466" s="2">
        <v>307.5</v>
      </c>
      <c r="W3466" s="2">
        <f>128.52+9.43</f>
        <v>137.95000000000002</v>
      </c>
      <c r="X3466" s="5">
        <f t="shared" si="503"/>
        <v>0.44819999999999993</v>
      </c>
      <c r="Z3466" s="2" t="s">
        <v>3227</v>
      </c>
      <c r="AA3466" s="2" t="s">
        <v>75</v>
      </c>
      <c r="AB3466" s="2" t="s">
        <v>76</v>
      </c>
      <c r="AC3466" s="2" t="s">
        <v>77</v>
      </c>
      <c r="AF3466" s="2">
        <f t="shared" si="501"/>
        <v>0</v>
      </c>
      <c r="AJ3466" s="2">
        <f t="shared" si="502"/>
        <v>0</v>
      </c>
      <c r="AK3466" s="2">
        <f t="shared" si="504"/>
        <v>112.04999999999998</v>
      </c>
      <c r="AL3466" s="5">
        <f t="shared" si="505"/>
        <v>0.44819999999999993</v>
      </c>
    </row>
    <row r="3467" spans="1:38" x14ac:dyDescent="0.2">
      <c r="A3467" s="2">
        <v>2026</v>
      </c>
      <c r="B3467" s="2">
        <v>3</v>
      </c>
      <c r="D3467" s="2" t="s">
        <v>558</v>
      </c>
      <c r="E3467" s="2" t="s">
        <v>108</v>
      </c>
      <c r="F3467" s="2" t="s">
        <v>39</v>
      </c>
      <c r="G3467" s="2">
        <v>506517233</v>
      </c>
      <c r="H3467" s="2" t="s">
        <v>80</v>
      </c>
      <c r="I3467" s="2" t="s">
        <v>559</v>
      </c>
      <c r="J3467" s="2" t="s">
        <v>560</v>
      </c>
      <c r="L3467" s="2" t="s">
        <v>133</v>
      </c>
      <c r="M3467" s="2" t="s">
        <v>80</v>
      </c>
      <c r="P3467" s="2" t="s">
        <v>72</v>
      </c>
      <c r="Q3467" s="2" t="s">
        <v>306</v>
      </c>
      <c r="R3467" s="2" t="s">
        <v>307</v>
      </c>
      <c r="S3467" s="2">
        <v>1</v>
      </c>
      <c r="T3467" s="2">
        <v>136.6</v>
      </c>
      <c r="U3467" s="2">
        <v>31.417999999999999</v>
      </c>
      <c r="V3467" s="2">
        <v>168.018</v>
      </c>
      <c r="W3467" s="2">
        <v>119.33</v>
      </c>
      <c r="X3467" s="5">
        <f t="shared" si="503"/>
        <v>0.12642752562225473</v>
      </c>
      <c r="Z3467" s="2" t="s">
        <v>3227</v>
      </c>
      <c r="AA3467" s="2" t="s">
        <v>75</v>
      </c>
      <c r="AB3467" s="2" t="s">
        <v>76</v>
      </c>
      <c r="AC3467" s="2" t="s">
        <v>77</v>
      </c>
      <c r="AF3467" s="2">
        <f t="shared" si="501"/>
        <v>0</v>
      </c>
      <c r="AG3467" s="2">
        <v>119.33</v>
      </c>
      <c r="AH3467" s="2">
        <v>220</v>
      </c>
      <c r="AJ3467" s="2">
        <f t="shared" si="502"/>
        <v>0</v>
      </c>
      <c r="AK3467" s="2">
        <f t="shared" si="504"/>
        <v>17.269999999999996</v>
      </c>
      <c r="AL3467" s="5">
        <f t="shared" si="505"/>
        <v>0.12642752562225473</v>
      </c>
    </row>
    <row r="3468" spans="1:38" x14ac:dyDescent="0.2">
      <c r="A3468" s="2">
        <v>2026</v>
      </c>
      <c r="B3468" s="2">
        <v>3</v>
      </c>
      <c r="D3468" s="2" t="s">
        <v>1125</v>
      </c>
      <c r="E3468" s="2" t="s">
        <v>38</v>
      </c>
      <c r="F3468" s="2" t="s">
        <v>39</v>
      </c>
      <c r="G3468" s="2">
        <v>501551298</v>
      </c>
      <c r="H3468" s="2" t="s">
        <v>109</v>
      </c>
      <c r="I3468" s="2" t="s">
        <v>1126</v>
      </c>
      <c r="J3468" s="2" t="s">
        <v>1127</v>
      </c>
      <c r="L3468" s="2" t="s">
        <v>461</v>
      </c>
      <c r="M3468" s="2" t="s">
        <v>80</v>
      </c>
      <c r="O3468" s="2" t="s">
        <v>2722</v>
      </c>
      <c r="P3468" s="2" t="s">
        <v>72</v>
      </c>
      <c r="Q3468" s="2" t="s">
        <v>306</v>
      </c>
      <c r="R3468" s="2" t="s">
        <v>307</v>
      </c>
      <c r="S3468" s="2">
        <v>1</v>
      </c>
      <c r="T3468" s="2">
        <v>220</v>
      </c>
      <c r="U3468" s="2">
        <v>50.6</v>
      </c>
      <c r="V3468" s="2">
        <v>270.60000000000002</v>
      </c>
      <c r="W3468" s="2">
        <v>119.33</v>
      </c>
      <c r="X3468" s="5">
        <f t="shared" si="503"/>
        <v>0.4575909090909091</v>
      </c>
      <c r="Z3468" s="2" t="s">
        <v>3227</v>
      </c>
      <c r="AA3468" s="2" t="s">
        <v>75</v>
      </c>
      <c r="AB3468" s="2" t="s">
        <v>76</v>
      </c>
      <c r="AC3468" s="2" t="s">
        <v>77</v>
      </c>
      <c r="AF3468" s="2">
        <f t="shared" si="501"/>
        <v>0</v>
      </c>
      <c r="AG3468" s="2">
        <v>119.33</v>
      </c>
      <c r="AH3468" s="2">
        <v>220</v>
      </c>
      <c r="AJ3468" s="2">
        <f t="shared" si="502"/>
        <v>0</v>
      </c>
      <c r="AK3468" s="2">
        <f t="shared" si="504"/>
        <v>100.67</v>
      </c>
      <c r="AL3468" s="5">
        <f t="shared" si="505"/>
        <v>0.4575909090909091</v>
      </c>
    </row>
    <row r="3469" spans="1:38" x14ac:dyDescent="0.2">
      <c r="A3469" s="2">
        <v>2026</v>
      </c>
      <c r="B3469" s="2">
        <v>3</v>
      </c>
      <c r="D3469" s="2" t="s">
        <v>660</v>
      </c>
      <c r="E3469" s="2" t="s">
        <v>38</v>
      </c>
      <c r="F3469" s="2" t="s">
        <v>39</v>
      </c>
      <c r="G3469" s="2">
        <v>510651810</v>
      </c>
      <c r="H3469" s="2" t="s">
        <v>40</v>
      </c>
      <c r="I3469" s="2" t="s">
        <v>661</v>
      </c>
      <c r="J3469" s="2" t="s">
        <v>662</v>
      </c>
      <c r="L3469" s="2" t="s">
        <v>344</v>
      </c>
      <c r="M3469" s="2" t="s">
        <v>80</v>
      </c>
      <c r="P3469" s="2" t="s">
        <v>72</v>
      </c>
      <c r="Q3469" s="2" t="s">
        <v>1035</v>
      </c>
      <c r="R3469" s="2" t="s">
        <v>79</v>
      </c>
      <c r="S3469" s="2">
        <v>1</v>
      </c>
      <c r="T3469" s="2">
        <v>220</v>
      </c>
      <c r="U3469" s="2">
        <v>50.6</v>
      </c>
      <c r="V3469" s="2">
        <v>270.60000000000002</v>
      </c>
      <c r="W3469" s="2">
        <v>113.33</v>
      </c>
      <c r="X3469" s="5">
        <f t="shared" si="503"/>
        <v>0.48486363636363639</v>
      </c>
      <c r="Z3469" s="2" t="s">
        <v>3227</v>
      </c>
      <c r="AA3469" s="2" t="s">
        <v>75</v>
      </c>
      <c r="AB3469" s="2" t="s">
        <v>76</v>
      </c>
      <c r="AC3469" s="2" t="s">
        <v>77</v>
      </c>
      <c r="AF3469" s="2">
        <f t="shared" si="501"/>
        <v>0</v>
      </c>
      <c r="AG3469" s="2">
        <v>113.33</v>
      </c>
      <c r="AH3469" s="2">
        <v>220</v>
      </c>
      <c r="AJ3469" s="2">
        <f t="shared" si="502"/>
        <v>0</v>
      </c>
      <c r="AK3469" s="2">
        <f t="shared" si="504"/>
        <v>106.67</v>
      </c>
      <c r="AL3469" s="5">
        <f t="shared" si="505"/>
        <v>0.48486363636363639</v>
      </c>
    </row>
    <row r="3470" spans="1:38" x14ac:dyDescent="0.2">
      <c r="A3470" s="2">
        <v>2026</v>
      </c>
      <c r="B3470" s="2">
        <v>3</v>
      </c>
      <c r="D3470" s="2" t="s">
        <v>2723</v>
      </c>
      <c r="P3470" s="2" t="s">
        <v>72</v>
      </c>
      <c r="Q3470" s="2" t="s">
        <v>557</v>
      </c>
      <c r="R3470" s="2" t="s">
        <v>307</v>
      </c>
      <c r="S3470" s="2">
        <v>1</v>
      </c>
      <c r="T3470" s="2">
        <v>230</v>
      </c>
      <c r="U3470" s="2">
        <v>52.900000000000013</v>
      </c>
      <c r="V3470" s="2">
        <v>282.89999999999998</v>
      </c>
      <c r="W3470" s="2">
        <v>122.446</v>
      </c>
      <c r="X3470" s="5">
        <f t="shared" si="503"/>
        <v>0.46762608695652175</v>
      </c>
      <c r="Z3470" s="2" t="s">
        <v>3227</v>
      </c>
      <c r="AA3470" s="2" t="s">
        <v>75</v>
      </c>
      <c r="AB3470" s="2" t="s">
        <v>76</v>
      </c>
      <c r="AC3470" s="2" t="s">
        <v>77</v>
      </c>
      <c r="AF3470" s="2">
        <f t="shared" si="501"/>
        <v>0</v>
      </c>
      <c r="AG3470" s="2">
        <v>122.446</v>
      </c>
      <c r="AH3470" s="2">
        <v>230</v>
      </c>
      <c r="AJ3470" s="2">
        <f t="shared" si="502"/>
        <v>0</v>
      </c>
      <c r="AK3470" s="2">
        <f t="shared" si="504"/>
        <v>107.554</v>
      </c>
      <c r="AL3470" s="5">
        <f t="shared" si="505"/>
        <v>0.46762608695652175</v>
      </c>
    </row>
    <row r="3471" spans="1:38" x14ac:dyDescent="0.2">
      <c r="A3471" s="2">
        <v>2026</v>
      </c>
      <c r="B3471" s="2">
        <v>3</v>
      </c>
      <c r="D3471" s="2" t="s">
        <v>1053</v>
      </c>
      <c r="E3471" s="2" t="s">
        <v>183</v>
      </c>
      <c r="F3471" s="2" t="s">
        <v>1054</v>
      </c>
      <c r="G3471" s="2">
        <v>500199523</v>
      </c>
      <c r="H3471" s="2" t="s">
        <v>290</v>
      </c>
      <c r="I3471" s="2" t="s">
        <v>293</v>
      </c>
      <c r="J3471" s="2" t="s">
        <v>1055</v>
      </c>
      <c r="L3471" s="2" t="s">
        <v>293</v>
      </c>
      <c r="M3471" s="2" t="s">
        <v>80</v>
      </c>
      <c r="O3471" s="2" t="s">
        <v>2724</v>
      </c>
      <c r="P3471" s="2" t="s">
        <v>72</v>
      </c>
      <c r="Q3471" s="2" t="s">
        <v>557</v>
      </c>
      <c r="R3471" s="2" t="s">
        <v>307</v>
      </c>
      <c r="S3471" s="2">
        <v>2</v>
      </c>
      <c r="T3471" s="2">
        <v>460</v>
      </c>
      <c r="U3471" s="2">
        <v>105.8</v>
      </c>
      <c r="V3471" s="2">
        <v>565.79999999999995</v>
      </c>
      <c r="W3471" s="2">
        <v>244.892</v>
      </c>
      <c r="X3471" s="5">
        <f t="shared" si="503"/>
        <v>0.46762608695652175</v>
      </c>
      <c r="Z3471" s="2" t="s">
        <v>3227</v>
      </c>
      <c r="AA3471" s="2" t="s">
        <v>75</v>
      </c>
      <c r="AB3471" s="2" t="s">
        <v>76</v>
      </c>
      <c r="AC3471" s="2" t="s">
        <v>77</v>
      </c>
      <c r="AF3471" s="2">
        <f t="shared" si="501"/>
        <v>0</v>
      </c>
      <c r="AG3471" s="2">
        <v>122.446</v>
      </c>
      <c r="AH3471" s="2">
        <v>230</v>
      </c>
      <c r="AJ3471" s="2">
        <f t="shared" si="502"/>
        <v>0</v>
      </c>
      <c r="AK3471" s="2">
        <f t="shared" si="504"/>
        <v>215.108</v>
      </c>
      <c r="AL3471" s="5">
        <f t="shared" si="505"/>
        <v>0.46762608695652175</v>
      </c>
    </row>
    <row r="3472" spans="1:38" x14ac:dyDescent="0.2">
      <c r="A3472" s="2">
        <v>2026</v>
      </c>
      <c r="B3472" s="2">
        <v>3</v>
      </c>
      <c r="D3472" s="2" t="s">
        <v>2725</v>
      </c>
      <c r="P3472" s="2" t="s">
        <v>72</v>
      </c>
      <c r="Q3472" s="2" t="s">
        <v>557</v>
      </c>
      <c r="R3472" s="2" t="s">
        <v>307</v>
      </c>
      <c r="S3472" s="2">
        <v>1</v>
      </c>
      <c r="T3472" s="2">
        <v>230</v>
      </c>
      <c r="U3472" s="2">
        <v>52.900000000000013</v>
      </c>
      <c r="V3472" s="2">
        <v>282.89999999999998</v>
      </c>
      <c r="W3472" s="2">
        <v>122.446</v>
      </c>
      <c r="X3472" s="5">
        <f t="shared" si="503"/>
        <v>0.46762608695652175</v>
      </c>
      <c r="Z3472" s="2" t="s">
        <v>3227</v>
      </c>
      <c r="AA3472" s="2" t="s">
        <v>75</v>
      </c>
      <c r="AB3472" s="2" t="s">
        <v>76</v>
      </c>
      <c r="AC3472" s="2" t="s">
        <v>77</v>
      </c>
      <c r="AF3472" s="2">
        <f t="shared" si="501"/>
        <v>0</v>
      </c>
      <c r="AG3472" s="2">
        <v>122.446</v>
      </c>
      <c r="AH3472" s="2">
        <v>230</v>
      </c>
      <c r="AJ3472" s="2">
        <f t="shared" si="502"/>
        <v>0</v>
      </c>
      <c r="AK3472" s="2">
        <f t="shared" si="504"/>
        <v>107.554</v>
      </c>
      <c r="AL3472" s="5">
        <f t="shared" si="505"/>
        <v>0.46762608695652175</v>
      </c>
    </row>
    <row r="3473" spans="1:38" x14ac:dyDescent="0.2">
      <c r="A3473" s="2">
        <v>2026</v>
      </c>
      <c r="B3473" s="2">
        <v>3</v>
      </c>
      <c r="D3473" s="2" t="s">
        <v>2559</v>
      </c>
      <c r="M3473" s="2" t="s">
        <v>80</v>
      </c>
      <c r="P3473" s="2" t="s">
        <v>72</v>
      </c>
      <c r="Q3473" s="2" t="s">
        <v>557</v>
      </c>
      <c r="R3473" s="2" t="s">
        <v>307</v>
      </c>
      <c r="S3473" s="2">
        <v>1</v>
      </c>
      <c r="T3473" s="2">
        <v>230</v>
      </c>
      <c r="U3473" s="2">
        <v>52.900000000000013</v>
      </c>
      <c r="V3473" s="2">
        <v>282.89999999999998</v>
      </c>
      <c r="W3473" s="2">
        <v>122.446</v>
      </c>
      <c r="X3473" s="5">
        <f t="shared" si="503"/>
        <v>0.46762608695652175</v>
      </c>
      <c r="Z3473" s="2" t="s">
        <v>3227</v>
      </c>
      <c r="AA3473" s="2" t="s">
        <v>75</v>
      </c>
      <c r="AB3473" s="2" t="s">
        <v>76</v>
      </c>
      <c r="AC3473" s="2" t="s">
        <v>77</v>
      </c>
      <c r="AF3473" s="2">
        <f t="shared" si="501"/>
        <v>0</v>
      </c>
      <c r="AG3473" s="2">
        <v>122.446</v>
      </c>
      <c r="AH3473" s="2">
        <v>230</v>
      </c>
      <c r="AJ3473" s="2">
        <f t="shared" si="502"/>
        <v>0</v>
      </c>
      <c r="AK3473" s="2">
        <f t="shared" si="504"/>
        <v>107.554</v>
      </c>
      <c r="AL3473" s="5">
        <f t="shared" si="505"/>
        <v>0.46762608695652175</v>
      </c>
    </row>
    <row r="3474" spans="1:38" x14ac:dyDescent="0.2">
      <c r="A3474" s="2">
        <v>2026</v>
      </c>
      <c r="B3474" s="2">
        <v>3</v>
      </c>
      <c r="D3474" s="2" t="s">
        <v>314</v>
      </c>
      <c r="E3474" s="2" t="s">
        <v>108</v>
      </c>
      <c r="G3474" s="2">
        <v>503270520</v>
      </c>
      <c r="H3474" s="2" t="s">
        <v>40</v>
      </c>
      <c r="I3474" s="2" t="s">
        <v>315</v>
      </c>
      <c r="J3474" s="2" t="s">
        <v>316</v>
      </c>
      <c r="L3474" s="2" t="s">
        <v>99</v>
      </c>
      <c r="M3474" s="2" t="s">
        <v>80</v>
      </c>
      <c r="P3474" s="2" t="s">
        <v>72</v>
      </c>
      <c r="Q3474" s="2" t="s">
        <v>1449</v>
      </c>
      <c r="R3474" s="2" t="s">
        <v>307</v>
      </c>
      <c r="S3474" s="2">
        <v>1</v>
      </c>
      <c r="T3474" s="2">
        <v>230</v>
      </c>
      <c r="U3474" s="2">
        <v>52.900000000000013</v>
      </c>
      <c r="V3474" s="2">
        <v>282.89999999999998</v>
      </c>
      <c r="W3474" s="2">
        <v>122.446</v>
      </c>
      <c r="X3474" s="5">
        <f t="shared" si="503"/>
        <v>0.46762608695652175</v>
      </c>
      <c r="Z3474" s="2" t="s">
        <v>3227</v>
      </c>
      <c r="AA3474" s="2" t="s">
        <v>75</v>
      </c>
      <c r="AB3474" s="2" t="s">
        <v>76</v>
      </c>
      <c r="AC3474" s="2" t="s">
        <v>77</v>
      </c>
      <c r="AF3474" s="2">
        <f t="shared" si="501"/>
        <v>0</v>
      </c>
      <c r="AG3474" s="2">
        <v>122.446</v>
      </c>
      <c r="AH3474" s="2">
        <v>230</v>
      </c>
      <c r="AJ3474" s="2">
        <f t="shared" si="502"/>
        <v>0</v>
      </c>
      <c r="AK3474" s="2">
        <f t="shared" si="504"/>
        <v>107.554</v>
      </c>
      <c r="AL3474" s="5">
        <f t="shared" si="505"/>
        <v>0.46762608695652175</v>
      </c>
    </row>
    <row r="3475" spans="1:38" x14ac:dyDescent="0.2">
      <c r="A3475" s="2">
        <v>2026</v>
      </c>
      <c r="B3475" s="2">
        <v>3</v>
      </c>
      <c r="D3475" s="2" t="s">
        <v>1256</v>
      </c>
      <c r="P3475" s="2" t="s">
        <v>72</v>
      </c>
      <c r="Q3475" s="2" t="s">
        <v>1449</v>
      </c>
      <c r="R3475" s="2" t="s">
        <v>307</v>
      </c>
      <c r="S3475" s="2">
        <v>1</v>
      </c>
      <c r="T3475" s="2">
        <v>230</v>
      </c>
      <c r="U3475" s="2">
        <v>52.900000000000013</v>
      </c>
      <c r="V3475" s="2">
        <v>282.89999999999998</v>
      </c>
      <c r="W3475" s="2">
        <v>122.446</v>
      </c>
      <c r="X3475" s="5">
        <f t="shared" si="503"/>
        <v>0.46762608695652175</v>
      </c>
      <c r="Z3475" s="2" t="s">
        <v>3227</v>
      </c>
      <c r="AA3475" s="2" t="s">
        <v>75</v>
      </c>
      <c r="AB3475" s="2" t="s">
        <v>76</v>
      </c>
      <c r="AC3475" s="2" t="s">
        <v>77</v>
      </c>
      <c r="AF3475" s="2">
        <f t="shared" si="501"/>
        <v>0</v>
      </c>
      <c r="AG3475" s="2">
        <v>122.446</v>
      </c>
      <c r="AH3475" s="2">
        <v>230</v>
      </c>
      <c r="AJ3475" s="2">
        <f t="shared" si="502"/>
        <v>0</v>
      </c>
      <c r="AK3475" s="2">
        <f t="shared" si="504"/>
        <v>107.554</v>
      </c>
      <c r="AL3475" s="5">
        <f t="shared" si="505"/>
        <v>0.46762608695652175</v>
      </c>
    </row>
    <row r="3476" spans="1:38" x14ac:dyDescent="0.2">
      <c r="A3476" s="2">
        <v>2026</v>
      </c>
      <c r="B3476" s="2">
        <v>3</v>
      </c>
      <c r="D3476" s="2" t="s">
        <v>1053</v>
      </c>
      <c r="E3476" s="2" t="s">
        <v>183</v>
      </c>
      <c r="F3476" s="2" t="s">
        <v>1054</v>
      </c>
      <c r="G3476" s="2">
        <v>500199523</v>
      </c>
      <c r="H3476" s="2" t="s">
        <v>290</v>
      </c>
      <c r="I3476" s="2" t="s">
        <v>293</v>
      </c>
      <c r="J3476" s="2" t="s">
        <v>1055</v>
      </c>
      <c r="L3476" s="2" t="s">
        <v>293</v>
      </c>
      <c r="M3476" s="2" t="s">
        <v>80</v>
      </c>
      <c r="O3476" s="2" t="s">
        <v>2726</v>
      </c>
      <c r="P3476" s="2" t="s">
        <v>72</v>
      </c>
      <c r="Q3476" s="2" t="s">
        <v>1449</v>
      </c>
      <c r="R3476" s="2" t="s">
        <v>307</v>
      </c>
      <c r="S3476" s="2">
        <v>1</v>
      </c>
      <c r="T3476" s="2">
        <v>230</v>
      </c>
      <c r="U3476" s="2">
        <v>52.900000000000013</v>
      </c>
      <c r="V3476" s="2">
        <v>282.89999999999998</v>
      </c>
      <c r="W3476" s="2">
        <v>122.446</v>
      </c>
      <c r="X3476" s="5">
        <f t="shared" si="503"/>
        <v>0.46762608695652175</v>
      </c>
      <c r="Z3476" s="2" t="s">
        <v>3227</v>
      </c>
      <c r="AA3476" s="2" t="s">
        <v>75</v>
      </c>
      <c r="AB3476" s="2" t="s">
        <v>76</v>
      </c>
      <c r="AC3476" s="2" t="s">
        <v>77</v>
      </c>
      <c r="AF3476" s="2">
        <f t="shared" si="501"/>
        <v>0</v>
      </c>
      <c r="AG3476" s="2">
        <v>122.446</v>
      </c>
      <c r="AH3476" s="2">
        <v>230</v>
      </c>
      <c r="AJ3476" s="2">
        <f t="shared" si="502"/>
        <v>0</v>
      </c>
      <c r="AK3476" s="2">
        <f t="shared" si="504"/>
        <v>107.554</v>
      </c>
      <c r="AL3476" s="5">
        <f t="shared" si="505"/>
        <v>0.46762608695652175</v>
      </c>
    </row>
    <row r="3477" spans="1:38" x14ac:dyDescent="0.2">
      <c r="A3477" s="2">
        <v>2026</v>
      </c>
      <c r="B3477" s="2">
        <v>3</v>
      </c>
      <c r="D3477" s="2" t="s">
        <v>2727</v>
      </c>
      <c r="P3477" s="2" t="s">
        <v>72</v>
      </c>
      <c r="Q3477" s="2" t="s">
        <v>325</v>
      </c>
      <c r="R3477" s="2" t="s">
        <v>79</v>
      </c>
      <c r="S3477" s="2">
        <v>1</v>
      </c>
      <c r="T3477" s="2">
        <v>200</v>
      </c>
      <c r="U3477" s="2">
        <v>46</v>
      </c>
      <c r="V3477" s="2">
        <v>246</v>
      </c>
      <c r="W3477" s="2">
        <f>110.68*S3477</f>
        <v>110.68</v>
      </c>
      <c r="X3477" s="5">
        <f t="shared" si="503"/>
        <v>0.44659999999999994</v>
      </c>
      <c r="Z3477" s="2" t="s">
        <v>3227</v>
      </c>
      <c r="AA3477" s="2" t="s">
        <v>75</v>
      </c>
      <c r="AB3477" s="2" t="s">
        <v>76</v>
      </c>
      <c r="AC3477" s="2" t="s">
        <v>77</v>
      </c>
      <c r="AF3477" s="2">
        <f t="shared" si="501"/>
        <v>0</v>
      </c>
      <c r="AG3477" s="2">
        <v>110.68</v>
      </c>
      <c r="AH3477" s="2">
        <v>210</v>
      </c>
      <c r="AJ3477" s="2">
        <f t="shared" si="502"/>
        <v>0</v>
      </c>
      <c r="AK3477" s="2">
        <f t="shared" si="504"/>
        <v>89.32</v>
      </c>
      <c r="AL3477" s="5">
        <f t="shared" si="505"/>
        <v>0.44659999999999994</v>
      </c>
    </row>
    <row r="3478" spans="1:38" x14ac:dyDescent="0.2">
      <c r="A3478" s="2">
        <v>2026</v>
      </c>
      <c r="B3478" s="2">
        <v>3</v>
      </c>
      <c r="D3478" s="2" t="s">
        <v>1255</v>
      </c>
      <c r="M3478" s="2" t="s">
        <v>80</v>
      </c>
      <c r="P3478" s="2" t="s">
        <v>72</v>
      </c>
      <c r="Q3478" s="2" t="s">
        <v>325</v>
      </c>
      <c r="R3478" s="2" t="s">
        <v>79</v>
      </c>
      <c r="S3478" s="2">
        <v>1</v>
      </c>
      <c r="T3478" s="2">
        <v>200</v>
      </c>
      <c r="U3478" s="2">
        <v>46</v>
      </c>
      <c r="V3478" s="2">
        <v>246</v>
      </c>
      <c r="W3478" s="2">
        <f>110.68*S3478</f>
        <v>110.68</v>
      </c>
      <c r="X3478" s="5">
        <f t="shared" si="503"/>
        <v>0.44659999999999994</v>
      </c>
      <c r="Z3478" s="2" t="s">
        <v>3227</v>
      </c>
      <c r="AA3478" s="2" t="s">
        <v>75</v>
      </c>
      <c r="AB3478" s="2" t="s">
        <v>76</v>
      </c>
      <c r="AC3478" s="2" t="s">
        <v>77</v>
      </c>
      <c r="AF3478" s="2">
        <f t="shared" si="501"/>
        <v>0</v>
      </c>
      <c r="AG3478" s="2">
        <v>110.68</v>
      </c>
      <c r="AH3478" s="2">
        <v>210</v>
      </c>
      <c r="AJ3478" s="2">
        <f t="shared" si="502"/>
        <v>0</v>
      </c>
      <c r="AK3478" s="2">
        <f t="shared" si="504"/>
        <v>89.32</v>
      </c>
      <c r="AL3478" s="5">
        <f t="shared" si="505"/>
        <v>0.44659999999999994</v>
      </c>
    </row>
    <row r="3479" spans="1:38" x14ac:dyDescent="0.2">
      <c r="A3479" s="2">
        <v>2026</v>
      </c>
      <c r="B3479" s="2">
        <v>3</v>
      </c>
      <c r="D3479" s="2" t="s">
        <v>37</v>
      </c>
      <c r="E3479" s="2" t="s">
        <v>38</v>
      </c>
      <c r="F3479" s="2" t="s">
        <v>39</v>
      </c>
      <c r="G3479" s="2">
        <v>161205976</v>
      </c>
      <c r="H3479" s="2" t="s">
        <v>40</v>
      </c>
      <c r="I3479" s="2" t="s">
        <v>156</v>
      </c>
      <c r="L3479" s="2" t="s">
        <v>99</v>
      </c>
      <c r="M3479" s="2" t="s">
        <v>80</v>
      </c>
      <c r="O3479" s="2" t="s">
        <v>2728</v>
      </c>
      <c r="P3479" s="2" t="s">
        <v>72</v>
      </c>
      <c r="Q3479" s="2" t="s">
        <v>533</v>
      </c>
      <c r="R3479" s="2" t="s">
        <v>534</v>
      </c>
      <c r="S3479" s="2">
        <v>1</v>
      </c>
      <c r="T3479" s="2">
        <v>194.75</v>
      </c>
      <c r="U3479" s="2">
        <v>44.792499999999997</v>
      </c>
      <c r="V3479" s="2">
        <v>239.54249999999999</v>
      </c>
      <c r="W3479" s="2">
        <f>110.125+11.77</f>
        <v>121.895</v>
      </c>
      <c r="X3479" s="5">
        <f t="shared" si="503"/>
        <v>0.37409499358151477</v>
      </c>
      <c r="Z3479" s="2" t="s">
        <v>3227</v>
      </c>
      <c r="AA3479" s="2" t="s">
        <v>75</v>
      </c>
      <c r="AB3479" s="2" t="s">
        <v>76</v>
      </c>
      <c r="AC3479" s="2" t="s">
        <v>77</v>
      </c>
      <c r="AF3479" s="2">
        <f t="shared" si="501"/>
        <v>0</v>
      </c>
      <c r="AG3479" s="2">
        <f>110.125+11.77</f>
        <v>121.895</v>
      </c>
      <c r="AJ3479" s="2">
        <f t="shared" si="502"/>
        <v>0</v>
      </c>
      <c r="AK3479" s="2">
        <f t="shared" si="504"/>
        <v>72.855000000000004</v>
      </c>
      <c r="AL3479" s="5">
        <f t="shared" si="505"/>
        <v>0.37409499358151477</v>
      </c>
    </row>
    <row r="3480" spans="1:38" x14ac:dyDescent="0.2">
      <c r="A3480" s="2">
        <v>2026</v>
      </c>
      <c r="B3480" s="2">
        <v>3</v>
      </c>
      <c r="D3480" s="2" t="s">
        <v>2729</v>
      </c>
      <c r="P3480" s="2" t="s">
        <v>72</v>
      </c>
      <c r="Q3480" s="2" t="s">
        <v>2730</v>
      </c>
      <c r="R3480" s="2" t="s">
        <v>79</v>
      </c>
      <c r="S3480" s="2">
        <v>1</v>
      </c>
      <c r="T3480" s="2">
        <v>220</v>
      </c>
      <c r="U3480" s="2">
        <v>50.6</v>
      </c>
      <c r="V3480" s="2">
        <v>270.60000000000002</v>
      </c>
      <c r="W3480" s="2">
        <v>111.42</v>
      </c>
      <c r="X3480" s="5">
        <f t="shared" si="503"/>
        <v>0.49354545454545456</v>
      </c>
      <c r="Z3480" s="2" t="s">
        <v>3227</v>
      </c>
      <c r="AA3480" s="2" t="s">
        <v>75</v>
      </c>
      <c r="AB3480" s="2" t="s">
        <v>76</v>
      </c>
      <c r="AC3480" s="2" t="s">
        <v>77</v>
      </c>
      <c r="AF3480" s="2">
        <f t="shared" si="501"/>
        <v>0</v>
      </c>
      <c r="AJ3480" s="2">
        <f t="shared" si="502"/>
        <v>0</v>
      </c>
      <c r="AK3480" s="2">
        <f t="shared" si="504"/>
        <v>108.58</v>
      </c>
      <c r="AL3480" s="5">
        <f t="shared" si="505"/>
        <v>0.49354545454545456</v>
      </c>
    </row>
    <row r="3481" spans="1:38" x14ac:dyDescent="0.2">
      <c r="A3481" s="2">
        <v>2026</v>
      </c>
      <c r="B3481" s="2">
        <v>3</v>
      </c>
      <c r="D3481" s="2" t="s">
        <v>749</v>
      </c>
      <c r="E3481" s="2" t="s">
        <v>108</v>
      </c>
      <c r="F3481" s="2" t="s">
        <v>39</v>
      </c>
      <c r="G3481" s="2">
        <v>510039537</v>
      </c>
      <c r="H3481" s="2" t="s">
        <v>40</v>
      </c>
      <c r="I3481" s="2" t="s">
        <v>571</v>
      </c>
      <c r="J3481" s="2" t="s">
        <v>750</v>
      </c>
      <c r="K3481" s="2">
        <v>969042927</v>
      </c>
      <c r="L3481" s="2" t="s">
        <v>571</v>
      </c>
      <c r="M3481" s="2" t="s">
        <v>80</v>
      </c>
      <c r="P3481" s="2" t="s">
        <v>72</v>
      </c>
      <c r="Q3481" s="2" t="s">
        <v>1192</v>
      </c>
      <c r="R3481" s="2" t="s">
        <v>197</v>
      </c>
      <c r="S3481" s="2">
        <v>1</v>
      </c>
      <c r="T3481" s="2">
        <v>270</v>
      </c>
      <c r="U3481" s="2">
        <v>62.1</v>
      </c>
      <c r="V3481" s="2">
        <v>332.1</v>
      </c>
      <c r="W3481" s="2">
        <f>138.1+10.13</f>
        <v>148.22999999999999</v>
      </c>
      <c r="X3481" s="5">
        <f t="shared" si="503"/>
        <v>0.45100000000000001</v>
      </c>
      <c r="Z3481" s="2" t="s">
        <v>3227</v>
      </c>
      <c r="AA3481" s="2" t="s">
        <v>75</v>
      </c>
      <c r="AB3481" s="2" t="s">
        <v>76</v>
      </c>
      <c r="AC3481" s="2" t="s">
        <v>77</v>
      </c>
      <c r="AF3481" s="2">
        <f t="shared" si="501"/>
        <v>0</v>
      </c>
      <c r="AJ3481" s="2">
        <f t="shared" si="502"/>
        <v>0</v>
      </c>
      <c r="AK3481" s="2">
        <f t="shared" si="504"/>
        <v>121.77000000000001</v>
      </c>
      <c r="AL3481" s="5">
        <f t="shared" si="505"/>
        <v>0.45100000000000001</v>
      </c>
    </row>
    <row r="3482" spans="1:38" x14ac:dyDescent="0.2">
      <c r="A3482" s="2">
        <v>2026</v>
      </c>
      <c r="B3482" s="2">
        <v>3</v>
      </c>
      <c r="D3482" s="2" t="s">
        <v>507</v>
      </c>
      <c r="E3482" s="2" t="s">
        <v>38</v>
      </c>
      <c r="F3482" s="2" t="s">
        <v>39</v>
      </c>
      <c r="G3482" s="2">
        <v>514446170</v>
      </c>
      <c r="H3482" s="2" t="s">
        <v>41</v>
      </c>
      <c r="I3482" s="2" t="s">
        <v>177</v>
      </c>
      <c r="J3482" s="2" t="s">
        <v>3134</v>
      </c>
      <c r="L3482" s="2" t="s">
        <v>177</v>
      </c>
      <c r="M3482" s="2" t="s">
        <v>41</v>
      </c>
      <c r="O3482" s="2" t="s">
        <v>2731</v>
      </c>
      <c r="P3482" s="2" t="s">
        <v>72</v>
      </c>
      <c r="Q3482" s="2" t="s">
        <v>1075</v>
      </c>
      <c r="R3482" s="2" t="s">
        <v>83</v>
      </c>
      <c r="S3482" s="2">
        <v>1</v>
      </c>
      <c r="T3482" s="2">
        <v>240</v>
      </c>
      <c r="U3482" s="2">
        <v>55.2</v>
      </c>
      <c r="V3482" s="2">
        <v>295.2</v>
      </c>
      <c r="W3482" s="2">
        <v>159.54</v>
      </c>
      <c r="X3482" s="5">
        <f t="shared" si="503"/>
        <v>0.33525000000000005</v>
      </c>
      <c r="Z3482" s="2" t="s">
        <v>3227</v>
      </c>
      <c r="AA3482" s="2" t="s">
        <v>75</v>
      </c>
      <c r="AB3482" s="2" t="s">
        <v>76</v>
      </c>
      <c r="AC3482" s="2" t="s">
        <v>77</v>
      </c>
      <c r="AF3482" s="2">
        <f t="shared" si="501"/>
        <v>0</v>
      </c>
      <c r="AG3482" s="2">
        <f>144.14+15.4</f>
        <v>159.54</v>
      </c>
      <c r="AH3482" s="2">
        <v>280</v>
      </c>
      <c r="AJ3482" s="2">
        <f t="shared" si="502"/>
        <v>0</v>
      </c>
      <c r="AK3482" s="2">
        <f t="shared" si="504"/>
        <v>80.460000000000008</v>
      </c>
      <c r="AL3482" s="5">
        <f t="shared" si="505"/>
        <v>0.33525000000000005</v>
      </c>
    </row>
    <row r="3483" spans="1:38" x14ac:dyDescent="0.2">
      <c r="A3483" s="2">
        <v>2026</v>
      </c>
      <c r="B3483" s="2">
        <v>3</v>
      </c>
      <c r="D3483" s="2" t="s">
        <v>2559</v>
      </c>
      <c r="M3483" s="2" t="s">
        <v>80</v>
      </c>
      <c r="O3483" s="2" t="s">
        <v>2732</v>
      </c>
      <c r="P3483" s="2" t="s">
        <v>72</v>
      </c>
      <c r="Q3483" s="2" t="s">
        <v>1075</v>
      </c>
      <c r="R3483" s="2" t="s">
        <v>83</v>
      </c>
      <c r="S3483" s="2">
        <v>1</v>
      </c>
      <c r="T3483" s="2">
        <v>280</v>
      </c>
      <c r="U3483" s="2">
        <v>64.400000000000006</v>
      </c>
      <c r="V3483" s="2">
        <v>344.4</v>
      </c>
      <c r="W3483" s="2">
        <v>159.54</v>
      </c>
      <c r="X3483" s="5">
        <f t="shared" si="503"/>
        <v>0.43021428571428572</v>
      </c>
      <c r="Z3483" s="2" t="s">
        <v>3227</v>
      </c>
      <c r="AA3483" s="2" t="s">
        <v>75</v>
      </c>
      <c r="AB3483" s="2" t="s">
        <v>76</v>
      </c>
      <c r="AC3483" s="2" t="s">
        <v>77</v>
      </c>
      <c r="AF3483" s="2">
        <f t="shared" si="501"/>
        <v>0</v>
      </c>
      <c r="AG3483" s="2">
        <f>144.14+15.4</f>
        <v>159.54</v>
      </c>
      <c r="AH3483" s="2">
        <v>280</v>
      </c>
      <c r="AJ3483" s="2">
        <f t="shared" si="502"/>
        <v>0</v>
      </c>
      <c r="AK3483" s="2">
        <f t="shared" si="504"/>
        <v>120.46000000000001</v>
      </c>
      <c r="AL3483" s="5">
        <f t="shared" si="505"/>
        <v>0.43021428571428572</v>
      </c>
    </row>
    <row r="3484" spans="1:38" x14ac:dyDescent="0.2">
      <c r="A3484" s="2">
        <v>2026</v>
      </c>
      <c r="B3484" s="2">
        <v>3</v>
      </c>
      <c r="D3484" s="2" t="s">
        <v>37</v>
      </c>
      <c r="E3484" s="2" t="s">
        <v>38</v>
      </c>
      <c r="F3484" s="2" t="s">
        <v>39</v>
      </c>
      <c r="H3484" s="2" t="s">
        <v>40</v>
      </c>
      <c r="M3484" s="2" t="s">
        <v>80</v>
      </c>
      <c r="O3484" s="2" t="s">
        <v>2733</v>
      </c>
      <c r="P3484" s="2" t="s">
        <v>72</v>
      </c>
      <c r="Q3484" s="2" t="s">
        <v>202</v>
      </c>
      <c r="R3484" s="2" t="s">
        <v>197</v>
      </c>
      <c r="S3484" s="8">
        <v>1</v>
      </c>
      <c r="T3484" s="2">
        <v>315.58999999999997</v>
      </c>
      <c r="U3484" s="2">
        <v>72.585700000000003</v>
      </c>
      <c r="V3484" s="2">
        <v>388.17570000000001</v>
      </c>
      <c r="W3484" s="2">
        <v>152.85</v>
      </c>
      <c r="X3484" s="5">
        <f t="shared" si="503"/>
        <v>0.51566906429227799</v>
      </c>
      <c r="Z3484" s="2" t="s">
        <v>3227</v>
      </c>
      <c r="AA3484" s="2" t="s">
        <v>75</v>
      </c>
      <c r="AB3484" s="2" t="s">
        <v>76</v>
      </c>
      <c r="AC3484" s="2" t="s">
        <v>77</v>
      </c>
      <c r="AF3484" s="2">
        <f t="shared" si="501"/>
        <v>0</v>
      </c>
      <c r="AG3484" s="2">
        <v>152.85</v>
      </c>
      <c r="AH3484" s="2">
        <v>260</v>
      </c>
      <c r="AJ3484" s="2">
        <f t="shared" si="502"/>
        <v>0</v>
      </c>
      <c r="AK3484" s="2">
        <f t="shared" si="504"/>
        <v>162.73999999999998</v>
      </c>
      <c r="AL3484" s="5">
        <f t="shared" si="505"/>
        <v>0.51566906429227799</v>
      </c>
    </row>
    <row r="3485" spans="1:38" x14ac:dyDescent="0.2">
      <c r="A3485" s="2">
        <v>2026</v>
      </c>
      <c r="B3485" s="2">
        <v>3</v>
      </c>
      <c r="D3485" s="2" t="s">
        <v>1150</v>
      </c>
      <c r="E3485" s="2" t="s">
        <v>108</v>
      </c>
      <c r="F3485" s="2" t="s">
        <v>39</v>
      </c>
      <c r="G3485" s="2">
        <v>504039733</v>
      </c>
      <c r="H3485" s="2" t="s">
        <v>109</v>
      </c>
      <c r="I3485" s="2" t="s">
        <v>2478</v>
      </c>
      <c r="J3485" s="2" t="s">
        <v>1473</v>
      </c>
      <c r="K3485" s="2">
        <v>938183284</v>
      </c>
      <c r="L3485" s="2" t="s">
        <v>133</v>
      </c>
      <c r="M3485" s="2" t="s">
        <v>109</v>
      </c>
      <c r="O3485" s="2" t="s">
        <v>2734</v>
      </c>
      <c r="P3485" s="2" t="s">
        <v>72</v>
      </c>
      <c r="Q3485" s="2" t="s">
        <v>202</v>
      </c>
      <c r="R3485" s="2" t="s">
        <v>197</v>
      </c>
      <c r="S3485" s="8">
        <v>1</v>
      </c>
      <c r="T3485" s="2">
        <v>247</v>
      </c>
      <c r="U3485" s="2">
        <v>56.81</v>
      </c>
      <c r="V3485" s="2">
        <v>303.81</v>
      </c>
      <c r="W3485" s="2">
        <v>152.85</v>
      </c>
      <c r="X3485" s="5">
        <f t="shared" si="503"/>
        <v>0.38117408906882594</v>
      </c>
      <c r="Z3485" s="2" t="s">
        <v>3227</v>
      </c>
      <c r="AA3485" s="2" t="s">
        <v>75</v>
      </c>
      <c r="AB3485" s="2" t="s">
        <v>76</v>
      </c>
      <c r="AC3485" s="2" t="s">
        <v>77</v>
      </c>
      <c r="AF3485" s="2">
        <f t="shared" si="501"/>
        <v>0</v>
      </c>
      <c r="AG3485" s="2">
        <v>152.85</v>
      </c>
      <c r="AH3485" s="2">
        <v>260</v>
      </c>
      <c r="AJ3485" s="2">
        <f t="shared" si="502"/>
        <v>0</v>
      </c>
      <c r="AK3485" s="2">
        <f t="shared" si="504"/>
        <v>94.15</v>
      </c>
      <c r="AL3485" s="5">
        <f t="shared" si="505"/>
        <v>0.38117408906882594</v>
      </c>
    </row>
    <row r="3486" spans="1:38" x14ac:dyDescent="0.2">
      <c r="A3486" s="2">
        <v>2026</v>
      </c>
      <c r="B3486" s="2">
        <v>3</v>
      </c>
      <c r="D3486" s="2" t="s">
        <v>582</v>
      </c>
      <c r="E3486" s="2" t="s">
        <v>108</v>
      </c>
      <c r="G3486" s="2">
        <v>503850276</v>
      </c>
      <c r="H3486" s="2" t="s">
        <v>40</v>
      </c>
      <c r="I3486" s="2" t="s">
        <v>583</v>
      </c>
      <c r="J3486" s="2" t="s">
        <v>584</v>
      </c>
      <c r="L3486" s="2" t="s">
        <v>201</v>
      </c>
      <c r="M3486" s="2" t="s">
        <v>80</v>
      </c>
      <c r="P3486" s="2" t="s">
        <v>72</v>
      </c>
      <c r="Q3486" s="2" t="s">
        <v>2735</v>
      </c>
      <c r="R3486" s="2" t="s">
        <v>962</v>
      </c>
      <c r="S3486" s="2">
        <v>1</v>
      </c>
      <c r="T3486" s="2">
        <v>349.6</v>
      </c>
      <c r="U3486" s="2">
        <v>80.408000000000015</v>
      </c>
      <c r="V3486" s="2">
        <v>430.00799999999998</v>
      </c>
      <c r="W3486" s="2">
        <v>234.74</v>
      </c>
      <c r="X3486" s="5">
        <f t="shared" si="503"/>
        <v>0.32854691075514875</v>
      </c>
      <c r="Z3486" s="2" t="s">
        <v>3227</v>
      </c>
      <c r="AA3486" s="2" t="s">
        <v>75</v>
      </c>
      <c r="AB3486" s="2" t="s">
        <v>76</v>
      </c>
      <c r="AC3486" s="2" t="s">
        <v>77</v>
      </c>
      <c r="AF3486" s="2">
        <f t="shared" si="501"/>
        <v>0</v>
      </c>
      <c r="AJ3486" s="2">
        <f t="shared" si="502"/>
        <v>0</v>
      </c>
      <c r="AK3486" s="2">
        <f t="shared" si="504"/>
        <v>114.86000000000001</v>
      </c>
      <c r="AL3486" s="5">
        <f t="shared" si="505"/>
        <v>0.32854691075514875</v>
      </c>
    </row>
    <row r="3487" spans="1:38" x14ac:dyDescent="0.2">
      <c r="A3487" s="2">
        <v>2026</v>
      </c>
      <c r="B3487" s="2">
        <v>3</v>
      </c>
      <c r="D3487" s="2" t="s">
        <v>558</v>
      </c>
      <c r="E3487" s="2" t="s">
        <v>108</v>
      </c>
      <c r="F3487" s="2" t="s">
        <v>39</v>
      </c>
      <c r="G3487" s="2">
        <v>506517233</v>
      </c>
      <c r="H3487" s="2" t="s">
        <v>80</v>
      </c>
      <c r="I3487" s="2" t="s">
        <v>559</v>
      </c>
      <c r="J3487" s="2" t="s">
        <v>560</v>
      </c>
      <c r="L3487" s="2" t="s">
        <v>133</v>
      </c>
      <c r="M3487" s="2" t="s">
        <v>80</v>
      </c>
      <c r="P3487" s="2" t="s">
        <v>72</v>
      </c>
      <c r="Q3487" s="2" t="s">
        <v>206</v>
      </c>
      <c r="R3487" s="2" t="s">
        <v>207</v>
      </c>
      <c r="S3487" s="2">
        <v>1</v>
      </c>
      <c r="T3487" s="2">
        <v>327.23</v>
      </c>
      <c r="U3487" s="2">
        <v>75.262900000000002</v>
      </c>
      <c r="V3487" s="2">
        <v>402.49290000000002</v>
      </c>
      <c r="W3487" s="2">
        <f>291.59*S3487</f>
        <v>291.58999999999997</v>
      </c>
      <c r="X3487" s="5">
        <f t="shared" si="503"/>
        <v>0.1089142193564161</v>
      </c>
      <c r="Z3487" s="2" t="s">
        <v>3227</v>
      </c>
      <c r="AA3487" s="2" t="s">
        <v>75</v>
      </c>
      <c r="AB3487" s="2" t="s">
        <v>76</v>
      </c>
      <c r="AC3487" s="2" t="s">
        <v>77</v>
      </c>
      <c r="AF3487" s="2">
        <f t="shared" si="501"/>
        <v>0</v>
      </c>
      <c r="AG3487" s="2">
        <v>291.58999999999997</v>
      </c>
      <c r="AH3487" s="2">
        <v>450</v>
      </c>
      <c r="AJ3487" s="2">
        <f t="shared" si="502"/>
        <v>0</v>
      </c>
      <c r="AK3487" s="2">
        <f t="shared" si="504"/>
        <v>35.640000000000043</v>
      </c>
      <c r="AL3487" s="5">
        <f t="shared" si="505"/>
        <v>0.1089142193564161</v>
      </c>
    </row>
    <row r="3488" spans="1:38" x14ac:dyDescent="0.2">
      <c r="A3488" s="2">
        <v>2026</v>
      </c>
      <c r="B3488" s="2">
        <v>3</v>
      </c>
      <c r="D3488" s="2" t="s">
        <v>2143</v>
      </c>
      <c r="I3488" s="2" t="s">
        <v>315</v>
      </c>
      <c r="L3488" s="2" t="s">
        <v>99</v>
      </c>
      <c r="M3488" s="2" t="s">
        <v>80</v>
      </c>
      <c r="P3488" s="2" t="s">
        <v>72</v>
      </c>
      <c r="Q3488" s="2" t="s">
        <v>2736</v>
      </c>
      <c r="R3488" s="2" t="s">
        <v>207</v>
      </c>
      <c r="S3488" s="2">
        <v>1</v>
      </c>
      <c r="T3488" s="2">
        <v>530</v>
      </c>
      <c r="U3488" s="2">
        <v>121.9</v>
      </c>
      <c r="V3488" s="2">
        <v>651.9</v>
      </c>
      <c r="W3488" s="2">
        <v>278.5</v>
      </c>
      <c r="X3488" s="5">
        <f t="shared" si="503"/>
        <v>0.47452830188679246</v>
      </c>
      <c r="Z3488" s="2" t="s">
        <v>3227</v>
      </c>
      <c r="AA3488" s="2" t="s">
        <v>75</v>
      </c>
      <c r="AB3488" s="2" t="s">
        <v>76</v>
      </c>
      <c r="AC3488" s="2" t="s">
        <v>77</v>
      </c>
      <c r="AF3488" s="2">
        <f t="shared" si="501"/>
        <v>0</v>
      </c>
      <c r="AJ3488" s="2">
        <f t="shared" si="502"/>
        <v>0</v>
      </c>
      <c r="AK3488" s="2">
        <f t="shared" si="504"/>
        <v>251.5</v>
      </c>
      <c r="AL3488" s="5">
        <f t="shared" si="505"/>
        <v>0.47452830188679246</v>
      </c>
    </row>
    <row r="3489" spans="1:38" x14ac:dyDescent="0.2">
      <c r="A3489" s="2">
        <v>2026</v>
      </c>
      <c r="B3489" s="2">
        <v>3</v>
      </c>
      <c r="D3489" s="2" t="s">
        <v>37</v>
      </c>
      <c r="E3489" s="2" t="s">
        <v>38</v>
      </c>
      <c r="F3489" s="2" t="s">
        <v>39</v>
      </c>
      <c r="H3489" s="2" t="s">
        <v>40</v>
      </c>
      <c r="P3489" s="2" t="s">
        <v>1038</v>
      </c>
      <c r="Q3489" s="2" t="s">
        <v>2737</v>
      </c>
      <c r="R3489" s="2" t="s">
        <v>2738</v>
      </c>
      <c r="S3489" s="2">
        <v>1</v>
      </c>
      <c r="T3489" s="2">
        <v>450</v>
      </c>
      <c r="U3489" s="2">
        <v>103.5</v>
      </c>
      <c r="V3489" s="2">
        <v>553.5</v>
      </c>
      <c r="W3489" s="2">
        <v>286.83999999999997</v>
      </c>
      <c r="X3489" s="5">
        <f t="shared" si="503"/>
        <v>0.36257777777777783</v>
      </c>
      <c r="Z3489" s="2" t="s">
        <v>3227</v>
      </c>
      <c r="AA3489" s="2" t="s">
        <v>75</v>
      </c>
      <c r="AB3489" s="2" t="s">
        <v>76</v>
      </c>
      <c r="AC3489" s="2" t="s">
        <v>1038</v>
      </c>
      <c r="AF3489" s="2">
        <f t="shared" si="501"/>
        <v>0</v>
      </c>
      <c r="AJ3489" s="2">
        <f t="shared" si="502"/>
        <v>0</v>
      </c>
      <c r="AK3489" s="2">
        <f t="shared" si="504"/>
        <v>163.16000000000003</v>
      </c>
      <c r="AL3489" s="5">
        <f t="shared" si="505"/>
        <v>0.36257777777777783</v>
      </c>
    </row>
    <row r="3490" spans="1:38" x14ac:dyDescent="0.2">
      <c r="A3490" s="2">
        <v>2026</v>
      </c>
      <c r="B3490" s="2">
        <v>3</v>
      </c>
      <c r="D3490" s="2" t="s">
        <v>37</v>
      </c>
      <c r="E3490" s="2" t="s">
        <v>38</v>
      </c>
      <c r="F3490" s="2" t="s">
        <v>39</v>
      </c>
      <c r="G3490" s="2">
        <v>119493381</v>
      </c>
      <c r="H3490" s="2" t="s">
        <v>40</v>
      </c>
      <c r="I3490" s="2" t="s">
        <v>3155</v>
      </c>
      <c r="L3490" s="2" t="s">
        <v>99</v>
      </c>
      <c r="M3490" s="2" t="s">
        <v>80</v>
      </c>
      <c r="O3490" s="2" t="s">
        <v>3154</v>
      </c>
      <c r="P3490" s="2" t="s">
        <v>1038</v>
      </c>
      <c r="Q3490" s="2" t="s">
        <v>1833</v>
      </c>
      <c r="R3490" s="2" t="s">
        <v>1834</v>
      </c>
      <c r="S3490" s="2">
        <v>1</v>
      </c>
      <c r="T3490" s="2">
        <v>364.37</v>
      </c>
      <c r="U3490" s="2">
        <v>83.80510000000001</v>
      </c>
      <c r="V3490" s="2">
        <v>448.17509999999999</v>
      </c>
      <c r="W3490" s="2">
        <v>157.85</v>
      </c>
      <c r="X3490" s="5">
        <f t="shared" si="503"/>
        <v>0.56678650821966681</v>
      </c>
      <c r="Z3490" s="2" t="s">
        <v>3227</v>
      </c>
      <c r="AA3490" s="2" t="s">
        <v>75</v>
      </c>
      <c r="AB3490" s="2" t="s">
        <v>76</v>
      </c>
      <c r="AC3490" s="2" t="s">
        <v>1038</v>
      </c>
      <c r="AF3490" s="2">
        <f t="shared" si="501"/>
        <v>0</v>
      </c>
      <c r="AG3490" s="2">
        <v>157.85</v>
      </c>
      <c r="AJ3490" s="2">
        <f t="shared" si="502"/>
        <v>0</v>
      </c>
      <c r="AK3490" s="2">
        <f t="shared" si="504"/>
        <v>206.52</v>
      </c>
      <c r="AL3490" s="5">
        <f t="shared" si="505"/>
        <v>0.56678650821966681</v>
      </c>
    </row>
    <row r="3491" spans="1:38" x14ac:dyDescent="0.2">
      <c r="A3491" s="2">
        <v>2026</v>
      </c>
      <c r="B3491" s="2">
        <v>3</v>
      </c>
      <c r="D3491" s="2" t="s">
        <v>1553</v>
      </c>
      <c r="E3491" s="2" t="s">
        <v>108</v>
      </c>
      <c r="F3491" s="2" t="s">
        <v>717</v>
      </c>
      <c r="G3491" s="2">
        <v>500975914</v>
      </c>
      <c r="H3491" s="2" t="s">
        <v>41</v>
      </c>
      <c r="I3491" s="2" t="s">
        <v>1554</v>
      </c>
      <c r="J3491" s="2" t="s">
        <v>1555</v>
      </c>
      <c r="L3491" s="2" t="s">
        <v>177</v>
      </c>
      <c r="M3491" s="2" t="s">
        <v>41</v>
      </c>
      <c r="P3491" s="2" t="s">
        <v>1038</v>
      </c>
      <c r="Q3491" s="2" t="s">
        <v>2739</v>
      </c>
      <c r="R3491" s="2" t="s">
        <v>2740</v>
      </c>
      <c r="S3491" s="2">
        <v>1</v>
      </c>
      <c r="T3491" s="2">
        <v>290</v>
      </c>
      <c r="U3491" s="2">
        <v>66.7</v>
      </c>
      <c r="V3491" s="2">
        <v>356.7</v>
      </c>
      <c r="W3491" s="2">
        <v>153.34</v>
      </c>
      <c r="X3491" s="5">
        <f t="shared" si="503"/>
        <v>0.47124137931034482</v>
      </c>
      <c r="Z3491" s="2" t="s">
        <v>3227</v>
      </c>
      <c r="AA3491" s="2" t="s">
        <v>75</v>
      </c>
      <c r="AB3491" s="2" t="s">
        <v>76</v>
      </c>
      <c r="AC3491" s="2" t="s">
        <v>1038</v>
      </c>
      <c r="AF3491" s="2">
        <f t="shared" si="501"/>
        <v>0</v>
      </c>
      <c r="AJ3491" s="2">
        <f t="shared" si="502"/>
        <v>0</v>
      </c>
      <c r="AK3491" s="2">
        <f t="shared" si="504"/>
        <v>136.66</v>
      </c>
      <c r="AL3491" s="5">
        <f t="shared" si="505"/>
        <v>0.47124137931034482</v>
      </c>
    </row>
    <row r="3492" spans="1:38" x14ac:dyDescent="0.2">
      <c r="A3492" s="2">
        <v>2026</v>
      </c>
      <c r="B3492" s="2">
        <v>3</v>
      </c>
      <c r="D3492" s="2" t="s">
        <v>936</v>
      </c>
      <c r="E3492" s="2" t="s">
        <v>38</v>
      </c>
      <c r="F3492" s="2" t="s">
        <v>39</v>
      </c>
      <c r="G3492" s="2">
        <v>508868726</v>
      </c>
      <c r="H3492" s="2" t="s">
        <v>290</v>
      </c>
      <c r="I3492" s="2" t="s">
        <v>937</v>
      </c>
      <c r="J3492" s="2" t="s">
        <v>938</v>
      </c>
      <c r="K3492" s="2">
        <v>964771057</v>
      </c>
      <c r="L3492" s="2" t="s">
        <v>339</v>
      </c>
      <c r="M3492" s="2" t="s">
        <v>80</v>
      </c>
      <c r="O3492" s="2" t="s">
        <v>2741</v>
      </c>
      <c r="P3492" s="2" t="s">
        <v>1038</v>
      </c>
      <c r="Q3492" s="2" t="s">
        <v>1854</v>
      </c>
      <c r="R3492" s="2" t="s">
        <v>1855</v>
      </c>
      <c r="S3492" s="2">
        <v>1</v>
      </c>
      <c r="T3492" s="2">
        <v>430</v>
      </c>
      <c r="U3492" s="2">
        <v>98.9</v>
      </c>
      <c r="V3492" s="2">
        <v>528.9</v>
      </c>
      <c r="W3492" s="2">
        <v>232.26</v>
      </c>
      <c r="X3492" s="5">
        <f t="shared" ref="X3492:X3523" si="506">(T3492-W3492)/T3492</f>
        <v>0.45986046511627909</v>
      </c>
      <c r="Z3492" s="2" t="s">
        <v>3227</v>
      </c>
      <c r="AA3492" s="2" t="s">
        <v>75</v>
      </c>
      <c r="AB3492" s="2" t="s">
        <v>76</v>
      </c>
      <c r="AC3492" s="2" t="s">
        <v>1038</v>
      </c>
      <c r="AF3492" s="2">
        <f t="shared" si="501"/>
        <v>0</v>
      </c>
      <c r="AG3492" s="2">
        <v>232.26</v>
      </c>
      <c r="AJ3492" s="2">
        <f t="shared" si="502"/>
        <v>0</v>
      </c>
      <c r="AK3492" s="2">
        <f t="shared" ref="AK3492:AK3523" si="507">T3492-W3492</f>
        <v>197.74</v>
      </c>
      <c r="AL3492" s="5">
        <f t="shared" ref="AL3492:AL3523" si="508">(T3492-W3492)/T3492</f>
        <v>0.45986046511627909</v>
      </c>
    </row>
    <row r="3493" spans="1:38" x14ac:dyDescent="0.2">
      <c r="A3493" s="2">
        <v>2026</v>
      </c>
      <c r="B3493" s="2">
        <v>3</v>
      </c>
      <c r="D3493" s="2" t="s">
        <v>2557</v>
      </c>
      <c r="M3493" s="2" t="s">
        <v>80</v>
      </c>
      <c r="O3493" s="2" t="s">
        <v>3161</v>
      </c>
      <c r="P3493" s="2" t="s">
        <v>1038</v>
      </c>
      <c r="Q3493" s="2" t="s">
        <v>2742</v>
      </c>
      <c r="R3493" s="2" t="s">
        <v>2743</v>
      </c>
      <c r="S3493" s="2">
        <v>1</v>
      </c>
      <c r="T3493" s="2">
        <v>400</v>
      </c>
      <c r="U3493" s="2">
        <v>92</v>
      </c>
      <c r="V3493" s="2">
        <v>492</v>
      </c>
      <c r="W3493" s="2">
        <v>270.60000000000002</v>
      </c>
      <c r="X3493" s="5">
        <f t="shared" si="506"/>
        <v>0.32349999999999995</v>
      </c>
      <c r="Z3493" s="2" t="s">
        <v>3227</v>
      </c>
      <c r="AA3493" s="2" t="s">
        <v>75</v>
      </c>
      <c r="AB3493" s="2" t="s">
        <v>76</v>
      </c>
      <c r="AC3493" s="2" t="s">
        <v>1038</v>
      </c>
      <c r="AF3493" s="2">
        <f t="shared" si="501"/>
        <v>0</v>
      </c>
      <c r="AG3493" s="2">
        <v>270.60000000000002</v>
      </c>
      <c r="AJ3493" s="2">
        <f t="shared" si="502"/>
        <v>0</v>
      </c>
      <c r="AK3493" s="2">
        <f t="shared" si="507"/>
        <v>129.39999999999998</v>
      </c>
      <c r="AL3493" s="5">
        <f t="shared" si="508"/>
        <v>0.32349999999999995</v>
      </c>
    </row>
    <row r="3494" spans="1:38" x14ac:dyDescent="0.2">
      <c r="A3494" s="2">
        <v>2026</v>
      </c>
      <c r="B3494" s="2">
        <v>3</v>
      </c>
      <c r="D3494" s="2" t="s">
        <v>2516</v>
      </c>
      <c r="E3494" s="2" t="s">
        <v>752</v>
      </c>
      <c r="F3494" s="2" t="s">
        <v>39</v>
      </c>
      <c r="G3494" s="2">
        <v>515570354</v>
      </c>
      <c r="H3494" s="2" t="s">
        <v>109</v>
      </c>
      <c r="I3494" s="2" t="s">
        <v>2517</v>
      </c>
      <c r="J3494" s="2" t="s">
        <v>2518</v>
      </c>
      <c r="K3494" s="2">
        <v>967032538</v>
      </c>
      <c r="L3494" s="2" t="s">
        <v>398</v>
      </c>
      <c r="M3494" s="2" t="s">
        <v>109</v>
      </c>
      <c r="P3494" s="2" t="s">
        <v>84</v>
      </c>
      <c r="Q3494" s="2" t="s">
        <v>268</v>
      </c>
      <c r="R3494" s="2" t="s">
        <v>269</v>
      </c>
      <c r="S3494" s="2">
        <v>1</v>
      </c>
      <c r="T3494" s="2">
        <v>7</v>
      </c>
      <c r="U3494" s="2">
        <v>1.61</v>
      </c>
      <c r="V3494" s="2">
        <v>8.61</v>
      </c>
      <c r="W3494" s="2">
        <v>2.4154</v>
      </c>
      <c r="X3494" s="5">
        <f t="shared" si="506"/>
        <v>0.65494285714285716</v>
      </c>
      <c r="Z3494" s="2" t="s">
        <v>3227</v>
      </c>
      <c r="AA3494" s="2" t="s">
        <v>87</v>
      </c>
      <c r="AB3494" s="2" t="s">
        <v>90</v>
      </c>
      <c r="AC3494" s="2" t="s">
        <v>84</v>
      </c>
      <c r="AF3494" s="2">
        <f t="shared" si="501"/>
        <v>0</v>
      </c>
      <c r="AJ3494" s="2">
        <f t="shared" si="502"/>
        <v>0</v>
      </c>
      <c r="AK3494" s="2">
        <f t="shared" si="507"/>
        <v>4.5846</v>
      </c>
      <c r="AL3494" s="5">
        <f t="shared" si="508"/>
        <v>0.65494285714285716</v>
      </c>
    </row>
    <row r="3495" spans="1:38" x14ac:dyDescent="0.2">
      <c r="A3495" s="2">
        <v>2026</v>
      </c>
      <c r="B3495" s="2">
        <v>3</v>
      </c>
      <c r="D3495" s="2" t="s">
        <v>597</v>
      </c>
      <c r="E3495" s="2" t="s">
        <v>38</v>
      </c>
      <c r="F3495" s="2" t="s">
        <v>39</v>
      </c>
      <c r="G3495" s="2">
        <v>509680364</v>
      </c>
      <c r="H3495" s="2" t="s">
        <v>41</v>
      </c>
      <c r="I3495" s="2" t="s">
        <v>598</v>
      </c>
      <c r="J3495" s="2" t="s">
        <v>599</v>
      </c>
      <c r="K3495" s="2">
        <v>919603867</v>
      </c>
      <c r="L3495" s="2" t="s">
        <v>600</v>
      </c>
      <c r="M3495" s="2" t="s">
        <v>41</v>
      </c>
      <c r="O3495" s="2" t="s">
        <v>2675</v>
      </c>
      <c r="P3495" s="2" t="s">
        <v>84</v>
      </c>
      <c r="Q3495" s="2" t="s">
        <v>622</v>
      </c>
      <c r="R3495" s="2" t="s">
        <v>623</v>
      </c>
      <c r="S3495" s="2">
        <v>12</v>
      </c>
      <c r="T3495" s="2">
        <v>0</v>
      </c>
      <c r="U3495" s="2">
        <v>0</v>
      </c>
      <c r="V3495" s="2">
        <v>0</v>
      </c>
      <c r="X3495" s="5" t="e">
        <f t="shared" si="506"/>
        <v>#DIV/0!</v>
      </c>
      <c r="Z3495" s="2" t="s">
        <v>3227</v>
      </c>
      <c r="AA3495" s="2" t="s">
        <v>87</v>
      </c>
      <c r="AB3495" s="2" t="s">
        <v>60</v>
      </c>
      <c r="AC3495" s="2" t="s">
        <v>84</v>
      </c>
      <c r="AF3495" s="2">
        <f t="shared" si="501"/>
        <v>0</v>
      </c>
      <c r="AJ3495" s="2">
        <f t="shared" si="502"/>
        <v>0</v>
      </c>
      <c r="AK3495" s="2">
        <f t="shared" si="507"/>
        <v>0</v>
      </c>
      <c r="AL3495" s="5" t="e">
        <f t="shared" si="508"/>
        <v>#DIV/0!</v>
      </c>
    </row>
    <row r="3496" spans="1:38" x14ac:dyDescent="0.2">
      <c r="A3496" s="2">
        <v>2026</v>
      </c>
      <c r="B3496" s="2">
        <v>3</v>
      </c>
      <c r="D3496" s="2" t="s">
        <v>2516</v>
      </c>
      <c r="E3496" s="2" t="s">
        <v>752</v>
      </c>
      <c r="F3496" s="2" t="s">
        <v>39</v>
      </c>
      <c r="G3496" s="2">
        <v>515570354</v>
      </c>
      <c r="H3496" s="2" t="s">
        <v>109</v>
      </c>
      <c r="I3496" s="2" t="s">
        <v>2517</v>
      </c>
      <c r="J3496" s="2" t="s">
        <v>2518</v>
      </c>
      <c r="K3496" s="2">
        <v>967032538</v>
      </c>
      <c r="L3496" s="2" t="s">
        <v>398</v>
      </c>
      <c r="M3496" s="2" t="s">
        <v>109</v>
      </c>
      <c r="P3496" s="2" t="s">
        <v>84</v>
      </c>
      <c r="Q3496" s="2" t="s">
        <v>274</v>
      </c>
      <c r="R3496" s="2" t="s">
        <v>275</v>
      </c>
      <c r="S3496" s="2">
        <v>1</v>
      </c>
      <c r="T3496" s="2">
        <v>7</v>
      </c>
      <c r="U3496" s="2">
        <v>1.61</v>
      </c>
      <c r="V3496" s="2">
        <v>8.61</v>
      </c>
      <c r="W3496" s="2">
        <v>2.94</v>
      </c>
      <c r="X3496" s="5">
        <f t="shared" si="506"/>
        <v>0.58000000000000007</v>
      </c>
      <c r="Z3496" s="2" t="s">
        <v>3227</v>
      </c>
      <c r="AA3496" s="2" t="s">
        <v>87</v>
      </c>
      <c r="AB3496" s="2" t="s">
        <v>90</v>
      </c>
      <c r="AC3496" s="2" t="s">
        <v>84</v>
      </c>
      <c r="AF3496" s="2">
        <f t="shared" si="501"/>
        <v>0</v>
      </c>
      <c r="AJ3496" s="2">
        <f t="shared" si="502"/>
        <v>0</v>
      </c>
      <c r="AK3496" s="2">
        <f t="shared" si="507"/>
        <v>4.0600000000000005</v>
      </c>
      <c r="AL3496" s="5">
        <f t="shared" si="508"/>
        <v>0.58000000000000007</v>
      </c>
    </row>
    <row r="3497" spans="1:38" x14ac:dyDescent="0.2">
      <c r="A3497" s="2">
        <v>2026</v>
      </c>
      <c r="B3497" s="2">
        <v>3</v>
      </c>
      <c r="D3497" s="2" t="s">
        <v>37</v>
      </c>
      <c r="E3497" s="2" t="s">
        <v>38</v>
      </c>
      <c r="F3497" s="2" t="s">
        <v>39</v>
      </c>
      <c r="H3497" s="2" t="s">
        <v>40</v>
      </c>
      <c r="P3497" s="2" t="s">
        <v>84</v>
      </c>
      <c r="Q3497" s="2" t="s">
        <v>91</v>
      </c>
      <c r="R3497" s="2" t="s">
        <v>92</v>
      </c>
      <c r="S3497" s="2">
        <v>2</v>
      </c>
      <c r="T3497" s="2">
        <v>8.4</v>
      </c>
      <c r="U3497" s="2">
        <v>1.9319999999999999</v>
      </c>
      <c r="V3497" s="2">
        <v>10.332000000000001</v>
      </c>
      <c r="W3497" s="2">
        <f>2.475*S3497</f>
        <v>4.95</v>
      </c>
      <c r="X3497" s="5">
        <f t="shared" si="506"/>
        <v>0.4107142857142857</v>
      </c>
      <c r="Z3497" s="2" t="s">
        <v>3227</v>
      </c>
      <c r="AA3497" s="2" t="s">
        <v>87</v>
      </c>
      <c r="AB3497" s="2" t="s">
        <v>90</v>
      </c>
      <c r="AC3497" s="2" t="s">
        <v>84</v>
      </c>
      <c r="AF3497" s="2">
        <f t="shared" si="501"/>
        <v>0</v>
      </c>
      <c r="AJ3497" s="2">
        <f t="shared" si="502"/>
        <v>0</v>
      </c>
      <c r="AK3497" s="2">
        <f t="shared" si="507"/>
        <v>3.45</v>
      </c>
      <c r="AL3497" s="5">
        <f t="shared" si="508"/>
        <v>0.4107142857142857</v>
      </c>
    </row>
    <row r="3498" spans="1:38" x14ac:dyDescent="0.2">
      <c r="A3498" s="2">
        <v>2026</v>
      </c>
      <c r="B3498" s="2">
        <v>3</v>
      </c>
      <c r="D3498" s="2" t="s">
        <v>588</v>
      </c>
      <c r="E3498" s="2" t="s">
        <v>38</v>
      </c>
      <c r="F3498" s="2" t="s">
        <v>39</v>
      </c>
      <c r="G3498" s="2">
        <v>510339298</v>
      </c>
      <c r="H3498" s="2" t="s">
        <v>41</v>
      </c>
      <c r="I3498" s="2" t="s">
        <v>177</v>
      </c>
      <c r="J3498" s="2" t="s">
        <v>589</v>
      </c>
      <c r="L3498" s="2" t="s">
        <v>177</v>
      </c>
      <c r="M3498" s="2" t="s">
        <v>41</v>
      </c>
      <c r="P3498" s="2" t="s">
        <v>84</v>
      </c>
      <c r="Q3498" s="2" t="s">
        <v>276</v>
      </c>
      <c r="R3498" s="2" t="s">
        <v>277</v>
      </c>
      <c r="S3498" s="2">
        <v>1</v>
      </c>
      <c r="T3498" s="2">
        <v>8.4</v>
      </c>
      <c r="U3498" s="2">
        <v>1.9319999999999999</v>
      </c>
      <c r="V3498" s="2">
        <v>10.332000000000001</v>
      </c>
      <c r="W3498" s="2">
        <v>2.5051000000000001</v>
      </c>
      <c r="X3498" s="5">
        <f t="shared" si="506"/>
        <v>0.70177380952380952</v>
      </c>
      <c r="Z3498" s="2" t="s">
        <v>3227</v>
      </c>
      <c r="AA3498" s="2" t="s">
        <v>87</v>
      </c>
      <c r="AB3498" s="2" t="s">
        <v>90</v>
      </c>
      <c r="AC3498" s="2" t="s">
        <v>84</v>
      </c>
      <c r="AF3498" s="2">
        <f t="shared" si="501"/>
        <v>0</v>
      </c>
      <c r="AJ3498" s="2">
        <f t="shared" si="502"/>
        <v>0</v>
      </c>
      <c r="AK3498" s="2">
        <f t="shared" si="507"/>
        <v>5.8948999999999998</v>
      </c>
      <c r="AL3498" s="5">
        <f t="shared" si="508"/>
        <v>0.70177380952380952</v>
      </c>
    </row>
    <row r="3499" spans="1:38" x14ac:dyDescent="0.2">
      <c r="A3499" s="2">
        <v>2026</v>
      </c>
      <c r="B3499" s="2">
        <v>3</v>
      </c>
      <c r="D3499" s="2" t="s">
        <v>359</v>
      </c>
      <c r="E3499" s="2" t="s">
        <v>108</v>
      </c>
      <c r="F3499" s="2" t="s">
        <v>39</v>
      </c>
      <c r="G3499" s="2">
        <v>503413909</v>
      </c>
      <c r="H3499" s="2" t="s">
        <v>109</v>
      </c>
      <c r="I3499" s="2" t="s">
        <v>360</v>
      </c>
      <c r="J3499" s="2" t="s">
        <v>361</v>
      </c>
      <c r="L3499" s="2" t="s">
        <v>360</v>
      </c>
      <c r="M3499" s="2" t="s">
        <v>109</v>
      </c>
      <c r="O3499" s="2" t="s">
        <v>2694</v>
      </c>
      <c r="P3499" s="2" t="s">
        <v>84</v>
      </c>
      <c r="Q3499" s="2" t="s">
        <v>2744</v>
      </c>
      <c r="R3499" s="2" t="s">
        <v>2745</v>
      </c>
      <c r="S3499" s="2">
        <v>1</v>
      </c>
      <c r="T3499" s="2">
        <v>1790</v>
      </c>
      <c r="U3499" s="2">
        <v>411.7</v>
      </c>
      <c r="V3499" s="2">
        <v>2201.6999999999998</v>
      </c>
      <c r="W3499" s="2">
        <v>1506.07</v>
      </c>
      <c r="X3499" s="5">
        <f t="shared" si="506"/>
        <v>0.15862011173184362</v>
      </c>
      <c r="Z3499" s="2" t="s">
        <v>3227</v>
      </c>
      <c r="AA3499" s="2" t="s">
        <v>87</v>
      </c>
      <c r="AC3499" s="2" t="s">
        <v>84</v>
      </c>
      <c r="AF3499" s="2">
        <f t="shared" si="501"/>
        <v>0</v>
      </c>
      <c r="AG3499" s="2">
        <v>1506.07</v>
      </c>
      <c r="AJ3499" s="2">
        <f t="shared" si="502"/>
        <v>0</v>
      </c>
      <c r="AK3499" s="2">
        <f t="shared" si="507"/>
        <v>283.93000000000006</v>
      </c>
      <c r="AL3499" s="5">
        <f t="shared" si="508"/>
        <v>0.15862011173184362</v>
      </c>
    </row>
    <row r="3500" spans="1:38" x14ac:dyDescent="0.2">
      <c r="A3500" s="2">
        <v>2026</v>
      </c>
      <c r="B3500" s="2">
        <v>3</v>
      </c>
      <c r="D3500" s="2" t="s">
        <v>382</v>
      </c>
      <c r="E3500" s="2" t="s">
        <v>38</v>
      </c>
      <c r="F3500" s="2" t="s">
        <v>39</v>
      </c>
      <c r="G3500" s="2">
        <v>212196260</v>
      </c>
      <c r="H3500" s="2" t="s">
        <v>109</v>
      </c>
      <c r="I3500" s="2" t="s">
        <v>383</v>
      </c>
      <c r="J3500" s="2" t="s">
        <v>384</v>
      </c>
      <c r="K3500" s="2">
        <v>926769894</v>
      </c>
      <c r="L3500" s="2" t="s">
        <v>112</v>
      </c>
      <c r="M3500" s="2" t="s">
        <v>109</v>
      </c>
      <c r="O3500" s="2" t="s">
        <v>2699</v>
      </c>
      <c r="P3500" s="2" t="s">
        <v>1194</v>
      </c>
      <c r="Q3500" s="2" t="s">
        <v>1711</v>
      </c>
      <c r="R3500" s="2" t="s">
        <v>1712</v>
      </c>
      <c r="S3500" s="2">
        <v>1</v>
      </c>
      <c r="T3500" s="2">
        <v>2490</v>
      </c>
      <c r="U3500" s="2">
        <v>572.70000000000005</v>
      </c>
      <c r="V3500" s="2">
        <v>3062.7</v>
      </c>
      <c r="W3500" s="2">
        <v>1797.06</v>
      </c>
      <c r="X3500" s="5">
        <f t="shared" si="506"/>
        <v>0.27828915662650605</v>
      </c>
      <c r="Z3500" s="2" t="s">
        <v>104</v>
      </c>
      <c r="AA3500" s="2" t="s">
        <v>2746</v>
      </c>
      <c r="AB3500" s="2" t="s">
        <v>2747</v>
      </c>
      <c r="AC3500" s="2" t="s">
        <v>1194</v>
      </c>
      <c r="AF3500" s="2">
        <f t="shared" si="501"/>
        <v>0</v>
      </c>
      <c r="AG3500" s="2">
        <f>1477+320.06</f>
        <v>1797.06</v>
      </c>
      <c r="AJ3500" s="2">
        <f t="shared" si="502"/>
        <v>0</v>
      </c>
      <c r="AK3500" s="2">
        <f t="shared" si="507"/>
        <v>692.94</v>
      </c>
      <c r="AL3500" s="5">
        <f t="shared" si="508"/>
        <v>0.27828915662650605</v>
      </c>
    </row>
    <row r="3501" spans="1:38" x14ac:dyDescent="0.2">
      <c r="A3501" s="2">
        <v>2026</v>
      </c>
      <c r="B3501" s="2">
        <v>3</v>
      </c>
      <c r="D3501" s="2" t="s">
        <v>382</v>
      </c>
      <c r="E3501" s="2" t="s">
        <v>38</v>
      </c>
      <c r="F3501" s="2" t="s">
        <v>39</v>
      </c>
      <c r="G3501" s="2">
        <v>212196260</v>
      </c>
      <c r="H3501" s="2" t="s">
        <v>109</v>
      </c>
      <c r="I3501" s="2" t="s">
        <v>383</v>
      </c>
      <c r="J3501" s="2" t="s">
        <v>384</v>
      </c>
      <c r="K3501" s="2">
        <v>926769894</v>
      </c>
      <c r="L3501" s="2" t="s">
        <v>112</v>
      </c>
      <c r="M3501" s="2" t="s">
        <v>109</v>
      </c>
      <c r="O3501" s="2" t="s">
        <v>2699</v>
      </c>
      <c r="P3501" s="2" t="s">
        <v>1194</v>
      </c>
      <c r="Q3501" s="2" t="s">
        <v>1197</v>
      </c>
      <c r="R3501" s="2" t="s">
        <v>1198</v>
      </c>
      <c r="S3501" s="2">
        <v>2</v>
      </c>
      <c r="T3501" s="2">
        <v>900</v>
      </c>
      <c r="U3501" s="2">
        <v>207</v>
      </c>
      <c r="V3501" s="2">
        <v>1107</v>
      </c>
      <c r="W3501" s="2">
        <f>285.93*2</f>
        <v>571.86</v>
      </c>
      <c r="X3501" s="5">
        <f t="shared" si="506"/>
        <v>0.36459999999999998</v>
      </c>
      <c r="Z3501" s="2" t="s">
        <v>104</v>
      </c>
      <c r="AA3501" s="2" t="s">
        <v>1199</v>
      </c>
      <c r="AB3501" s="2" t="s">
        <v>119</v>
      </c>
      <c r="AC3501" s="2" t="s">
        <v>1194</v>
      </c>
      <c r="AF3501" s="2">
        <f t="shared" si="501"/>
        <v>0</v>
      </c>
      <c r="AG3501" s="2">
        <f>235+50.93</f>
        <v>285.93</v>
      </c>
      <c r="AJ3501" s="2">
        <f t="shared" si="502"/>
        <v>0</v>
      </c>
      <c r="AK3501" s="2">
        <f t="shared" si="507"/>
        <v>328.14</v>
      </c>
      <c r="AL3501" s="5">
        <f t="shared" si="508"/>
        <v>0.36459999999999998</v>
      </c>
    </row>
    <row r="3502" spans="1:38" x14ac:dyDescent="0.2">
      <c r="A3502" s="2">
        <v>2026</v>
      </c>
      <c r="B3502" s="2">
        <v>3</v>
      </c>
      <c r="D3502" s="2" t="s">
        <v>2748</v>
      </c>
      <c r="M3502" s="2" t="s">
        <v>41</v>
      </c>
      <c r="P3502" s="2" t="s">
        <v>1038</v>
      </c>
      <c r="Q3502" s="2" t="s">
        <v>2749</v>
      </c>
      <c r="R3502" s="2" t="s">
        <v>2750</v>
      </c>
      <c r="S3502" s="2">
        <v>5</v>
      </c>
      <c r="T3502" s="2">
        <v>934.96</v>
      </c>
      <c r="U3502" s="2">
        <v>215.04079999999999</v>
      </c>
      <c r="V3502" s="2">
        <v>1150.0008</v>
      </c>
      <c r="W3502" s="2">
        <v>599.70000000000005</v>
      </c>
      <c r="X3502" s="5">
        <f t="shared" si="506"/>
        <v>0.35858218533413194</v>
      </c>
      <c r="Z3502" s="2" t="s">
        <v>3227</v>
      </c>
      <c r="AA3502" s="2" t="s">
        <v>1041</v>
      </c>
      <c r="AB3502" s="2" t="s">
        <v>2751</v>
      </c>
      <c r="AC3502" s="2" t="s">
        <v>1038</v>
      </c>
      <c r="AF3502" s="2">
        <f t="shared" si="501"/>
        <v>0</v>
      </c>
      <c r="AJ3502" s="2">
        <f t="shared" si="502"/>
        <v>0</v>
      </c>
      <c r="AK3502" s="2">
        <f t="shared" si="507"/>
        <v>335.26</v>
      </c>
      <c r="AL3502" s="5">
        <f t="shared" si="508"/>
        <v>0.35858218533413194</v>
      </c>
    </row>
    <row r="3503" spans="1:38" x14ac:dyDescent="0.2">
      <c r="A3503" s="2">
        <v>2026</v>
      </c>
      <c r="B3503" s="2">
        <v>3</v>
      </c>
      <c r="C3503" s="2" t="s">
        <v>3444</v>
      </c>
      <c r="D3503" s="2" t="s">
        <v>2752</v>
      </c>
      <c r="E3503" s="2" t="s">
        <v>38</v>
      </c>
      <c r="F3503" s="2" t="s">
        <v>39</v>
      </c>
      <c r="G3503" s="2">
        <v>501938311</v>
      </c>
      <c r="H3503" s="2" t="s">
        <v>109</v>
      </c>
      <c r="I3503" s="2" t="s">
        <v>2753</v>
      </c>
      <c r="J3503" s="2" t="s">
        <v>2754</v>
      </c>
      <c r="K3503" s="2">
        <v>962332957</v>
      </c>
      <c r="L3503" s="2" t="s">
        <v>112</v>
      </c>
      <c r="M3503" s="2" t="s">
        <v>109</v>
      </c>
      <c r="O3503" s="2" t="s">
        <v>2755</v>
      </c>
      <c r="P3503" s="2" t="s">
        <v>40</v>
      </c>
      <c r="Q3503" s="2" t="s">
        <v>2756</v>
      </c>
      <c r="R3503" s="2" t="s">
        <v>2757</v>
      </c>
      <c r="S3503" s="2">
        <v>1</v>
      </c>
      <c r="T3503" s="2">
        <v>3252.03</v>
      </c>
      <c r="U3503" s="2">
        <v>747.96690000000012</v>
      </c>
      <c r="V3503" s="2">
        <v>3999.9969000000001</v>
      </c>
      <c r="W3503" s="2">
        <f>T3503*75%</f>
        <v>2439.0225</v>
      </c>
      <c r="X3503" s="5">
        <f t="shared" si="506"/>
        <v>0.25000000000000006</v>
      </c>
      <c r="Z3503" s="2" t="s">
        <v>104</v>
      </c>
      <c r="AA3503" s="2" t="s">
        <v>414</v>
      </c>
      <c r="AB3503" s="2" t="s">
        <v>475</v>
      </c>
      <c r="AC3503" s="2" t="s">
        <v>114</v>
      </c>
      <c r="AF3503" s="2">
        <f t="shared" si="501"/>
        <v>0</v>
      </c>
      <c r="AJ3503" s="2">
        <f t="shared" si="502"/>
        <v>0</v>
      </c>
      <c r="AK3503" s="2">
        <f t="shared" si="507"/>
        <v>813.00750000000016</v>
      </c>
      <c r="AL3503" s="5">
        <f t="shared" si="508"/>
        <v>0.25000000000000006</v>
      </c>
    </row>
    <row r="3504" spans="1:38" x14ac:dyDescent="0.2">
      <c r="A3504" s="2">
        <v>2026</v>
      </c>
      <c r="B3504" s="2">
        <v>3</v>
      </c>
      <c r="C3504" s="2" t="s">
        <v>3444</v>
      </c>
      <c r="D3504" s="2" t="s">
        <v>382</v>
      </c>
      <c r="E3504" s="2" t="s">
        <v>38</v>
      </c>
      <c r="F3504" s="2" t="s">
        <v>39</v>
      </c>
      <c r="G3504" s="2">
        <v>212196260</v>
      </c>
      <c r="H3504" s="2" t="s">
        <v>109</v>
      </c>
      <c r="I3504" s="2" t="s">
        <v>383</v>
      </c>
      <c r="J3504" s="2" t="s">
        <v>384</v>
      </c>
      <c r="K3504" s="2">
        <v>926769894</v>
      </c>
      <c r="L3504" s="2" t="s">
        <v>112</v>
      </c>
      <c r="M3504" s="2" t="s">
        <v>290</v>
      </c>
      <c r="O3504" s="2" t="s">
        <v>2699</v>
      </c>
      <c r="P3504" s="2" t="s">
        <v>40</v>
      </c>
      <c r="Q3504" s="2" t="s">
        <v>2117</v>
      </c>
      <c r="R3504" s="2" t="s">
        <v>2118</v>
      </c>
      <c r="S3504" s="2">
        <v>1</v>
      </c>
      <c r="T3504" s="2">
        <v>1000</v>
      </c>
      <c r="U3504" s="2">
        <v>230</v>
      </c>
      <c r="V3504" s="2">
        <v>1230</v>
      </c>
      <c r="W3504" s="2">
        <f>T3504*75%</f>
        <v>750</v>
      </c>
      <c r="X3504" s="5">
        <f t="shared" si="506"/>
        <v>0.25</v>
      </c>
      <c r="Z3504" s="2" t="s">
        <v>104</v>
      </c>
      <c r="AA3504" s="2" t="s">
        <v>119</v>
      </c>
      <c r="AB3504" s="2" t="s">
        <v>475</v>
      </c>
      <c r="AC3504" s="2" t="s">
        <v>475</v>
      </c>
      <c r="AF3504" s="2">
        <f t="shared" si="501"/>
        <v>0</v>
      </c>
      <c r="AJ3504" s="2">
        <f t="shared" si="502"/>
        <v>0</v>
      </c>
      <c r="AK3504" s="2">
        <f t="shared" si="507"/>
        <v>250</v>
      </c>
      <c r="AL3504" s="5">
        <f t="shared" si="508"/>
        <v>0.25</v>
      </c>
    </row>
    <row r="3505" spans="1:38" x14ac:dyDescent="0.2">
      <c r="A3505" s="2">
        <v>2026</v>
      </c>
      <c r="B3505" s="2">
        <v>3</v>
      </c>
      <c r="C3505" s="2" t="s">
        <v>3444</v>
      </c>
      <c r="D3505" s="2" t="s">
        <v>382</v>
      </c>
      <c r="E3505" s="2" t="s">
        <v>38</v>
      </c>
      <c r="F3505" s="2" t="s">
        <v>39</v>
      </c>
      <c r="G3505" s="2">
        <v>212196260</v>
      </c>
      <c r="H3505" s="2" t="s">
        <v>109</v>
      </c>
      <c r="I3505" s="2" t="s">
        <v>383</v>
      </c>
      <c r="J3505" s="2" t="s">
        <v>384</v>
      </c>
      <c r="K3505" s="2">
        <v>926769894</v>
      </c>
      <c r="L3505" s="2" t="s">
        <v>112</v>
      </c>
      <c r="M3505" s="2" t="s">
        <v>290</v>
      </c>
      <c r="O3505" s="2" t="s">
        <v>2699</v>
      </c>
      <c r="P3505" s="2" t="s">
        <v>40</v>
      </c>
      <c r="Q3505" s="2" t="s">
        <v>2758</v>
      </c>
      <c r="R3505" s="2" t="s">
        <v>2759</v>
      </c>
      <c r="S3505" s="2">
        <v>1</v>
      </c>
      <c r="T3505" s="2">
        <v>1500</v>
      </c>
      <c r="U3505" s="2">
        <v>345</v>
      </c>
      <c r="V3505" s="2">
        <v>1845</v>
      </c>
      <c r="W3505" s="2">
        <f>T3505*75%</f>
        <v>1125</v>
      </c>
      <c r="X3505" s="5">
        <f t="shared" si="506"/>
        <v>0.25</v>
      </c>
      <c r="Z3505" s="2" t="s">
        <v>104</v>
      </c>
      <c r="AA3505" s="2" t="s">
        <v>150</v>
      </c>
      <c r="AB3505" s="2" t="s">
        <v>475</v>
      </c>
      <c r="AC3505" s="2" t="s">
        <v>114</v>
      </c>
      <c r="AF3505" s="2">
        <f t="shared" si="501"/>
        <v>0</v>
      </c>
      <c r="AJ3505" s="2">
        <f t="shared" si="502"/>
        <v>0</v>
      </c>
      <c r="AK3505" s="2">
        <f t="shared" si="507"/>
        <v>375</v>
      </c>
      <c r="AL3505" s="5">
        <f t="shared" si="508"/>
        <v>0.25</v>
      </c>
    </row>
    <row r="3506" spans="1:38" x14ac:dyDescent="0.2">
      <c r="A3506" s="2">
        <v>2026</v>
      </c>
      <c r="B3506" s="2">
        <v>3</v>
      </c>
      <c r="C3506" s="2" t="s">
        <v>3444</v>
      </c>
      <c r="D3506" s="2" t="s">
        <v>382</v>
      </c>
      <c r="E3506" s="2" t="s">
        <v>38</v>
      </c>
      <c r="F3506" s="2" t="s">
        <v>39</v>
      </c>
      <c r="G3506" s="2">
        <v>212196260</v>
      </c>
      <c r="H3506" s="2" t="s">
        <v>109</v>
      </c>
      <c r="I3506" s="2" t="s">
        <v>383</v>
      </c>
      <c r="J3506" s="2" t="s">
        <v>384</v>
      </c>
      <c r="K3506" s="2">
        <v>926769894</v>
      </c>
      <c r="L3506" s="2" t="s">
        <v>112</v>
      </c>
      <c r="M3506" s="2" t="s">
        <v>290</v>
      </c>
      <c r="O3506" s="2" t="s">
        <v>2699</v>
      </c>
      <c r="P3506" s="2" t="s">
        <v>40</v>
      </c>
      <c r="Q3506" s="2" t="s">
        <v>820</v>
      </c>
      <c r="R3506" s="2" t="s">
        <v>821</v>
      </c>
      <c r="S3506" s="2">
        <v>1</v>
      </c>
      <c r="T3506" s="2">
        <v>2000</v>
      </c>
      <c r="U3506" s="2">
        <v>460</v>
      </c>
      <c r="V3506" s="2">
        <v>2460</v>
      </c>
      <c r="W3506" s="2">
        <f>T3506*75%</f>
        <v>1500</v>
      </c>
      <c r="X3506" s="5">
        <f t="shared" si="506"/>
        <v>0.25</v>
      </c>
      <c r="Z3506" s="2" t="s">
        <v>104</v>
      </c>
      <c r="AA3506" s="2" t="s">
        <v>616</v>
      </c>
      <c r="AB3506" s="2" t="s">
        <v>475</v>
      </c>
      <c r="AC3506" s="2" t="s">
        <v>475</v>
      </c>
      <c r="AF3506" s="2">
        <f t="shared" si="501"/>
        <v>0</v>
      </c>
      <c r="AJ3506" s="2">
        <f t="shared" si="502"/>
        <v>0</v>
      </c>
      <c r="AK3506" s="2">
        <f t="shared" si="507"/>
        <v>500</v>
      </c>
      <c r="AL3506" s="5">
        <f t="shared" si="508"/>
        <v>0.25</v>
      </c>
    </row>
    <row r="3507" spans="1:38" x14ac:dyDescent="0.2">
      <c r="A3507" s="2">
        <v>2026</v>
      </c>
      <c r="B3507" s="2">
        <v>3</v>
      </c>
      <c r="D3507" s="2" t="s">
        <v>1907</v>
      </c>
      <c r="P3507" s="2" t="s">
        <v>40</v>
      </c>
      <c r="Q3507" s="2" t="s">
        <v>2760</v>
      </c>
      <c r="R3507" s="2" t="s">
        <v>2761</v>
      </c>
      <c r="S3507" s="2">
        <v>1</v>
      </c>
      <c r="T3507" s="2">
        <v>2000</v>
      </c>
      <c r="U3507" s="2">
        <v>460</v>
      </c>
      <c r="V3507" s="2">
        <v>2460</v>
      </c>
      <c r="W3507" s="2">
        <f>T3507*75%</f>
        <v>1500</v>
      </c>
      <c r="X3507" s="5">
        <f t="shared" si="506"/>
        <v>0.25</v>
      </c>
      <c r="Z3507" s="2" t="s">
        <v>104</v>
      </c>
      <c r="AA3507" s="2" t="s">
        <v>616</v>
      </c>
      <c r="AB3507" s="2" t="s">
        <v>475</v>
      </c>
      <c r="AC3507" s="2" t="s">
        <v>114</v>
      </c>
      <c r="AF3507" s="2">
        <f t="shared" si="501"/>
        <v>0</v>
      </c>
      <c r="AJ3507" s="2">
        <f t="shared" si="502"/>
        <v>0</v>
      </c>
      <c r="AK3507" s="2">
        <f t="shared" si="507"/>
        <v>500</v>
      </c>
      <c r="AL3507" s="5">
        <f t="shared" si="508"/>
        <v>0.25</v>
      </c>
    </row>
    <row r="3508" spans="1:38" x14ac:dyDescent="0.2">
      <c r="A3508" s="2">
        <v>2026</v>
      </c>
      <c r="B3508" s="2">
        <v>3</v>
      </c>
      <c r="D3508" s="2" t="s">
        <v>488</v>
      </c>
      <c r="E3508" s="2" t="s">
        <v>38</v>
      </c>
      <c r="F3508" s="2" t="s">
        <v>39</v>
      </c>
      <c r="G3508" s="2">
        <v>507380312</v>
      </c>
      <c r="H3508" s="2" t="s">
        <v>40</v>
      </c>
      <c r="I3508" s="2" t="s">
        <v>489</v>
      </c>
      <c r="J3508" s="2" t="s">
        <v>490</v>
      </c>
      <c r="K3508" s="2">
        <v>912293443</v>
      </c>
      <c r="L3508" s="2" t="s">
        <v>99</v>
      </c>
      <c r="M3508" s="2" t="s">
        <v>40</v>
      </c>
      <c r="O3508" s="2" t="s">
        <v>2762</v>
      </c>
      <c r="P3508" s="2" t="s">
        <v>40</v>
      </c>
      <c r="Q3508" s="2" t="s">
        <v>491</v>
      </c>
      <c r="R3508" s="2" t="s">
        <v>492</v>
      </c>
      <c r="S3508" s="2">
        <v>1</v>
      </c>
      <c r="T3508" s="2">
        <v>678.91</v>
      </c>
      <c r="U3508" s="2">
        <v>156.14930000000001</v>
      </c>
      <c r="V3508" s="2">
        <v>835.05930000000001</v>
      </c>
      <c r="X3508" s="5">
        <f t="shared" si="506"/>
        <v>1</v>
      </c>
      <c r="Z3508" s="2" t="s">
        <v>119</v>
      </c>
      <c r="AA3508" s="2" t="s">
        <v>492</v>
      </c>
      <c r="AF3508" s="2">
        <f t="shared" si="501"/>
        <v>0</v>
      </c>
      <c r="AJ3508" s="2">
        <f t="shared" si="502"/>
        <v>0</v>
      </c>
      <c r="AK3508" s="2">
        <f t="shared" si="507"/>
        <v>678.91</v>
      </c>
      <c r="AL3508" s="5">
        <f t="shared" si="508"/>
        <v>1</v>
      </c>
    </row>
    <row r="3509" spans="1:38" x14ac:dyDescent="0.2">
      <c r="A3509" s="2">
        <v>2026</v>
      </c>
      <c r="B3509" s="2">
        <v>4</v>
      </c>
      <c r="D3509" s="2" t="s">
        <v>822</v>
      </c>
      <c r="E3509" s="2" t="s">
        <v>38</v>
      </c>
      <c r="F3509" s="2" t="s">
        <v>39</v>
      </c>
      <c r="G3509" s="2">
        <v>513812342</v>
      </c>
      <c r="H3509" s="2" t="s">
        <v>41</v>
      </c>
      <c r="I3509" s="2" t="s">
        <v>825</v>
      </c>
      <c r="J3509" s="2" t="s">
        <v>826</v>
      </c>
      <c r="L3509" s="2" t="s">
        <v>418</v>
      </c>
      <c r="M3509" s="2" t="s">
        <v>40</v>
      </c>
      <c r="P3509" s="2" t="s">
        <v>187</v>
      </c>
      <c r="Q3509" s="2" t="s">
        <v>191</v>
      </c>
      <c r="R3509" s="2" t="s">
        <v>190</v>
      </c>
      <c r="S3509" s="2">
        <v>0.5</v>
      </c>
      <c r="T3509" s="2">
        <v>27.5</v>
      </c>
      <c r="U3509" s="2">
        <v>6.3250000000000002</v>
      </c>
      <c r="V3509" s="2">
        <v>33.825000000000003</v>
      </c>
      <c r="W3509" s="2">
        <f>T3509*50%</f>
        <v>13.75</v>
      </c>
      <c r="X3509" s="5">
        <f t="shared" si="506"/>
        <v>0.5</v>
      </c>
      <c r="Z3509" s="2" t="s">
        <v>117</v>
      </c>
      <c r="AA3509" s="2" t="s">
        <v>190</v>
      </c>
      <c r="AB3509" s="2" t="s">
        <v>190</v>
      </c>
      <c r="AC3509" s="2" t="s">
        <v>40</v>
      </c>
      <c r="AF3509" s="2">
        <f t="shared" si="501"/>
        <v>0</v>
      </c>
      <c r="AG3509" s="2">
        <f t="shared" ref="AG3509:AG3519" si="509">W3509</f>
        <v>13.75</v>
      </c>
      <c r="AJ3509" s="2">
        <f t="shared" si="502"/>
        <v>0</v>
      </c>
      <c r="AK3509" s="2">
        <f t="shared" si="507"/>
        <v>13.75</v>
      </c>
      <c r="AL3509" s="5">
        <f t="shared" si="508"/>
        <v>0.5</v>
      </c>
    </row>
    <row r="3510" spans="1:38" x14ac:dyDescent="0.2">
      <c r="A3510" s="2">
        <v>2026</v>
      </c>
      <c r="B3510" s="2">
        <v>2</v>
      </c>
      <c r="D3510" s="2" t="s">
        <v>2763</v>
      </c>
      <c r="M3510" s="2" t="s">
        <v>40</v>
      </c>
      <c r="P3510" s="2" t="s">
        <v>187</v>
      </c>
      <c r="Q3510" s="2" t="s">
        <v>188</v>
      </c>
      <c r="R3510" s="2" t="s">
        <v>189</v>
      </c>
      <c r="S3510" s="2">
        <v>1</v>
      </c>
      <c r="T3510" s="2">
        <v>129</v>
      </c>
      <c r="U3510" s="2">
        <v>29.67</v>
      </c>
      <c r="V3510" s="2">
        <v>158.66999999999999</v>
      </c>
      <c r="W3510" s="2">
        <f>T3510*40%</f>
        <v>51.6</v>
      </c>
      <c r="X3510" s="5">
        <f t="shared" si="506"/>
        <v>0.60000000000000009</v>
      </c>
      <c r="Z3510" s="2" t="s">
        <v>117</v>
      </c>
      <c r="AA3510" s="2" t="s">
        <v>190</v>
      </c>
      <c r="AB3510" s="2" t="s">
        <v>189</v>
      </c>
      <c r="AC3510" s="2" t="s">
        <v>40</v>
      </c>
      <c r="AF3510" s="2">
        <f t="shared" si="501"/>
        <v>0</v>
      </c>
      <c r="AG3510" s="2">
        <f t="shared" si="509"/>
        <v>51.6</v>
      </c>
      <c r="AJ3510" s="2">
        <f t="shared" si="502"/>
        <v>0</v>
      </c>
      <c r="AK3510" s="2">
        <f t="shared" si="507"/>
        <v>77.400000000000006</v>
      </c>
      <c r="AL3510" s="5">
        <f t="shared" si="508"/>
        <v>0.60000000000000009</v>
      </c>
    </row>
    <row r="3511" spans="1:38" x14ac:dyDescent="0.2">
      <c r="A3511" s="2">
        <v>2026</v>
      </c>
      <c r="B3511" s="2">
        <v>2</v>
      </c>
      <c r="D3511" s="2" t="s">
        <v>2763</v>
      </c>
      <c r="M3511" s="2" t="s">
        <v>40</v>
      </c>
      <c r="P3511" s="2" t="s">
        <v>187</v>
      </c>
      <c r="Q3511" s="2" t="s">
        <v>191</v>
      </c>
      <c r="R3511" s="2" t="s">
        <v>190</v>
      </c>
      <c r="S3511" s="2">
        <v>1</v>
      </c>
      <c r="T3511" s="2">
        <v>55</v>
      </c>
      <c r="U3511" s="2">
        <v>12.65</v>
      </c>
      <c r="V3511" s="2">
        <v>67.650000000000006</v>
      </c>
      <c r="W3511" s="2">
        <f>T3511*50%</f>
        <v>27.5</v>
      </c>
      <c r="X3511" s="5">
        <f t="shared" si="506"/>
        <v>0.5</v>
      </c>
      <c r="Z3511" s="2" t="s">
        <v>117</v>
      </c>
      <c r="AA3511" s="2" t="s">
        <v>190</v>
      </c>
      <c r="AB3511" s="2" t="s">
        <v>190</v>
      </c>
      <c r="AC3511" s="2" t="s">
        <v>40</v>
      </c>
      <c r="AF3511" s="2">
        <f t="shared" si="501"/>
        <v>0</v>
      </c>
      <c r="AG3511" s="2">
        <f t="shared" si="509"/>
        <v>27.5</v>
      </c>
      <c r="AJ3511" s="2">
        <f t="shared" si="502"/>
        <v>0</v>
      </c>
      <c r="AK3511" s="2">
        <f t="shared" si="507"/>
        <v>27.5</v>
      </c>
      <c r="AL3511" s="5">
        <f t="shared" si="508"/>
        <v>0.5</v>
      </c>
    </row>
    <row r="3512" spans="1:38" x14ac:dyDescent="0.2">
      <c r="A3512" s="2">
        <v>2026</v>
      </c>
      <c r="B3512" s="2">
        <v>1</v>
      </c>
      <c r="D3512" s="2" t="s">
        <v>2764</v>
      </c>
      <c r="M3512" s="2" t="s">
        <v>40</v>
      </c>
      <c r="P3512" s="2" t="s">
        <v>187</v>
      </c>
      <c r="Q3512" s="2" t="s">
        <v>188</v>
      </c>
      <c r="R3512" s="2" t="s">
        <v>189</v>
      </c>
      <c r="S3512" s="2">
        <v>1</v>
      </c>
      <c r="T3512" s="2">
        <v>267</v>
      </c>
      <c r="U3512" s="2">
        <v>61.41</v>
      </c>
      <c r="V3512" s="2">
        <v>328.41</v>
      </c>
      <c r="W3512" s="2">
        <f>T3512*40%</f>
        <v>106.80000000000001</v>
      </c>
      <c r="X3512" s="5">
        <f t="shared" si="506"/>
        <v>0.6</v>
      </c>
      <c r="Z3512" s="2" t="s">
        <v>117</v>
      </c>
      <c r="AA3512" s="2" t="s">
        <v>190</v>
      </c>
      <c r="AB3512" s="2" t="s">
        <v>189</v>
      </c>
      <c r="AC3512" s="2" t="s">
        <v>40</v>
      </c>
      <c r="AF3512" s="2">
        <f t="shared" si="501"/>
        <v>0</v>
      </c>
      <c r="AG3512" s="2">
        <f t="shared" si="509"/>
        <v>106.80000000000001</v>
      </c>
      <c r="AJ3512" s="2">
        <f t="shared" si="502"/>
        <v>0</v>
      </c>
      <c r="AK3512" s="2">
        <f t="shared" si="507"/>
        <v>160.19999999999999</v>
      </c>
      <c r="AL3512" s="5">
        <f t="shared" si="508"/>
        <v>0.6</v>
      </c>
    </row>
    <row r="3513" spans="1:38" x14ac:dyDescent="0.2">
      <c r="A3513" s="2">
        <v>2026</v>
      </c>
      <c r="B3513" s="2">
        <v>1</v>
      </c>
      <c r="D3513" s="2" t="s">
        <v>2764</v>
      </c>
      <c r="M3513" s="2" t="s">
        <v>40</v>
      </c>
      <c r="P3513" s="2" t="s">
        <v>187</v>
      </c>
      <c r="Q3513" s="2" t="s">
        <v>191</v>
      </c>
      <c r="R3513" s="2" t="s">
        <v>190</v>
      </c>
      <c r="S3513" s="2">
        <v>1.5</v>
      </c>
      <c r="T3513" s="2">
        <v>75</v>
      </c>
      <c r="U3513" s="2">
        <v>17.25</v>
      </c>
      <c r="V3513" s="2">
        <v>92.25</v>
      </c>
      <c r="W3513" s="2">
        <f>T3513*50%</f>
        <v>37.5</v>
      </c>
      <c r="X3513" s="5">
        <f t="shared" si="506"/>
        <v>0.5</v>
      </c>
      <c r="Z3513" s="2" t="s">
        <v>117</v>
      </c>
      <c r="AA3513" s="2" t="s">
        <v>190</v>
      </c>
      <c r="AB3513" s="2" t="s">
        <v>190</v>
      </c>
      <c r="AC3513" s="2" t="s">
        <v>40</v>
      </c>
      <c r="AF3513" s="2">
        <f t="shared" si="501"/>
        <v>0</v>
      </c>
      <c r="AG3513" s="2">
        <f t="shared" si="509"/>
        <v>37.5</v>
      </c>
      <c r="AJ3513" s="2">
        <f t="shared" si="502"/>
        <v>0</v>
      </c>
      <c r="AK3513" s="2">
        <f t="shared" si="507"/>
        <v>37.5</v>
      </c>
      <c r="AL3513" s="5">
        <f t="shared" si="508"/>
        <v>0.5</v>
      </c>
    </row>
    <row r="3514" spans="1:38" x14ac:dyDescent="0.2">
      <c r="A3514" s="2">
        <v>2026</v>
      </c>
      <c r="B3514" s="2">
        <v>4</v>
      </c>
      <c r="D3514" s="2" t="s">
        <v>2765</v>
      </c>
      <c r="M3514" s="2" t="s">
        <v>40</v>
      </c>
      <c r="P3514" s="2" t="s">
        <v>187</v>
      </c>
      <c r="Q3514" s="2" t="s">
        <v>188</v>
      </c>
      <c r="R3514" s="2" t="s">
        <v>189</v>
      </c>
      <c r="S3514" s="2">
        <v>1</v>
      </c>
      <c r="T3514" s="2">
        <v>180</v>
      </c>
      <c r="U3514" s="2">
        <v>41.4</v>
      </c>
      <c r="V3514" s="2">
        <v>221.4</v>
      </c>
      <c r="W3514" s="2">
        <f>T3514*40%</f>
        <v>72</v>
      </c>
      <c r="X3514" s="5">
        <f t="shared" si="506"/>
        <v>0.6</v>
      </c>
      <c r="Z3514" s="2" t="s">
        <v>117</v>
      </c>
      <c r="AA3514" s="2" t="s">
        <v>190</v>
      </c>
      <c r="AB3514" s="2" t="s">
        <v>189</v>
      </c>
      <c r="AC3514" s="2" t="s">
        <v>40</v>
      </c>
      <c r="AF3514" s="2">
        <f t="shared" si="501"/>
        <v>0</v>
      </c>
      <c r="AG3514" s="2">
        <f t="shared" si="509"/>
        <v>72</v>
      </c>
      <c r="AJ3514" s="2">
        <f t="shared" si="502"/>
        <v>0</v>
      </c>
      <c r="AK3514" s="2">
        <f t="shared" si="507"/>
        <v>108</v>
      </c>
      <c r="AL3514" s="5">
        <f t="shared" si="508"/>
        <v>0.6</v>
      </c>
    </row>
    <row r="3515" spans="1:38" x14ac:dyDescent="0.2">
      <c r="A3515" s="2">
        <v>2026</v>
      </c>
      <c r="B3515" s="2">
        <v>4</v>
      </c>
      <c r="D3515" s="2" t="s">
        <v>2765</v>
      </c>
      <c r="M3515" s="2" t="s">
        <v>40</v>
      </c>
      <c r="P3515" s="2" t="s">
        <v>187</v>
      </c>
      <c r="Q3515" s="2" t="s">
        <v>191</v>
      </c>
      <c r="R3515" s="2" t="s">
        <v>190</v>
      </c>
      <c r="S3515" s="2">
        <v>0.75</v>
      </c>
      <c r="T3515" s="2">
        <v>41.25</v>
      </c>
      <c r="U3515" s="2">
        <v>9.4875000000000007</v>
      </c>
      <c r="V3515" s="2">
        <v>50.737499999999997</v>
      </c>
      <c r="W3515" s="2">
        <f>T3515*50%</f>
        <v>20.625</v>
      </c>
      <c r="X3515" s="5">
        <f t="shared" si="506"/>
        <v>0.5</v>
      </c>
      <c r="Z3515" s="2" t="s">
        <v>117</v>
      </c>
      <c r="AA3515" s="2" t="s">
        <v>190</v>
      </c>
      <c r="AB3515" s="2" t="s">
        <v>190</v>
      </c>
      <c r="AC3515" s="2" t="s">
        <v>40</v>
      </c>
      <c r="AF3515" s="2">
        <f t="shared" si="501"/>
        <v>0</v>
      </c>
      <c r="AG3515" s="2">
        <f t="shared" si="509"/>
        <v>20.625</v>
      </c>
      <c r="AJ3515" s="2">
        <f t="shared" si="502"/>
        <v>0</v>
      </c>
      <c r="AK3515" s="2">
        <f t="shared" si="507"/>
        <v>20.625</v>
      </c>
      <c r="AL3515" s="5">
        <f t="shared" si="508"/>
        <v>0.5</v>
      </c>
    </row>
    <row r="3516" spans="1:38" x14ac:dyDescent="0.2">
      <c r="A3516" s="2">
        <v>2026</v>
      </c>
      <c r="B3516" s="2">
        <v>4</v>
      </c>
      <c r="D3516" s="2" t="s">
        <v>2766</v>
      </c>
      <c r="M3516" s="2" t="s">
        <v>40</v>
      </c>
      <c r="P3516" s="2" t="s">
        <v>187</v>
      </c>
      <c r="Q3516" s="2" t="s">
        <v>188</v>
      </c>
      <c r="R3516" s="2" t="s">
        <v>189</v>
      </c>
      <c r="S3516" s="2">
        <v>1</v>
      </c>
      <c r="T3516" s="2">
        <v>120</v>
      </c>
      <c r="U3516" s="2">
        <v>27.6</v>
      </c>
      <c r="V3516" s="2">
        <v>147.6</v>
      </c>
      <c r="W3516" s="2">
        <f>T3516*40%</f>
        <v>48</v>
      </c>
      <c r="X3516" s="5">
        <f t="shared" si="506"/>
        <v>0.6</v>
      </c>
      <c r="Z3516" s="2" t="s">
        <v>117</v>
      </c>
      <c r="AA3516" s="2" t="s">
        <v>190</v>
      </c>
      <c r="AB3516" s="2" t="s">
        <v>189</v>
      </c>
      <c r="AC3516" s="2" t="s">
        <v>40</v>
      </c>
      <c r="AF3516" s="2">
        <f t="shared" si="501"/>
        <v>0</v>
      </c>
      <c r="AG3516" s="2">
        <f t="shared" si="509"/>
        <v>48</v>
      </c>
      <c r="AJ3516" s="2">
        <f t="shared" si="502"/>
        <v>0</v>
      </c>
      <c r="AK3516" s="2">
        <f t="shared" si="507"/>
        <v>72</v>
      </c>
      <c r="AL3516" s="5">
        <f t="shared" si="508"/>
        <v>0.6</v>
      </c>
    </row>
    <row r="3517" spans="1:38" x14ac:dyDescent="0.2">
      <c r="A3517" s="2">
        <v>2026</v>
      </c>
      <c r="B3517" s="2">
        <v>4</v>
      </c>
      <c r="D3517" s="2" t="s">
        <v>2766</v>
      </c>
      <c r="M3517" s="2" t="s">
        <v>40</v>
      </c>
      <c r="P3517" s="2" t="s">
        <v>187</v>
      </c>
      <c r="Q3517" s="2" t="s">
        <v>191</v>
      </c>
      <c r="R3517" s="2" t="s">
        <v>190</v>
      </c>
      <c r="S3517" s="2">
        <v>1</v>
      </c>
      <c r="T3517" s="2">
        <v>55</v>
      </c>
      <c r="U3517" s="2">
        <v>12.65</v>
      </c>
      <c r="V3517" s="2">
        <v>67.650000000000006</v>
      </c>
      <c r="W3517" s="2">
        <f>T3517*50%</f>
        <v>27.5</v>
      </c>
      <c r="X3517" s="5">
        <f t="shared" si="506"/>
        <v>0.5</v>
      </c>
      <c r="Z3517" s="2" t="s">
        <v>117</v>
      </c>
      <c r="AA3517" s="2" t="s">
        <v>190</v>
      </c>
      <c r="AB3517" s="2" t="s">
        <v>190</v>
      </c>
      <c r="AC3517" s="2" t="s">
        <v>40</v>
      </c>
      <c r="AF3517" s="2">
        <f t="shared" si="501"/>
        <v>0</v>
      </c>
      <c r="AG3517" s="2">
        <f t="shared" si="509"/>
        <v>27.5</v>
      </c>
      <c r="AJ3517" s="2">
        <f t="shared" si="502"/>
        <v>0</v>
      </c>
      <c r="AK3517" s="2">
        <f t="shared" si="507"/>
        <v>27.5</v>
      </c>
      <c r="AL3517" s="5">
        <f t="shared" si="508"/>
        <v>0.5</v>
      </c>
    </row>
    <row r="3518" spans="1:38" x14ac:dyDescent="0.2">
      <c r="A3518" s="2">
        <v>2026</v>
      </c>
      <c r="B3518" s="2">
        <v>1</v>
      </c>
      <c r="D3518" s="2" t="s">
        <v>1397</v>
      </c>
      <c r="E3518" s="2" t="s">
        <v>38</v>
      </c>
      <c r="F3518" s="2" t="s">
        <v>39</v>
      </c>
      <c r="G3518" s="2">
        <v>509014313</v>
      </c>
      <c r="H3518" s="2" t="s">
        <v>40</v>
      </c>
      <c r="I3518" s="2" t="s">
        <v>3217</v>
      </c>
      <c r="J3518" s="2" t="s">
        <v>3216</v>
      </c>
      <c r="K3518" s="2">
        <v>913814877</v>
      </c>
      <c r="L3518" s="2" t="s">
        <v>201</v>
      </c>
      <c r="M3518" s="2" t="s">
        <v>40</v>
      </c>
      <c r="O3518" s="2" t="s">
        <v>3212</v>
      </c>
      <c r="P3518" s="2" t="s">
        <v>187</v>
      </c>
      <c r="Q3518" s="2" t="s">
        <v>188</v>
      </c>
      <c r="R3518" s="2" t="s">
        <v>189</v>
      </c>
      <c r="S3518" s="2">
        <v>1</v>
      </c>
      <c r="T3518" s="2">
        <v>55</v>
      </c>
      <c r="U3518" s="2">
        <v>12.65</v>
      </c>
      <c r="V3518" s="2">
        <v>67.650000000000006</v>
      </c>
      <c r="W3518" s="2">
        <f>T3518*40%</f>
        <v>22</v>
      </c>
      <c r="X3518" s="5">
        <f t="shared" si="506"/>
        <v>0.6</v>
      </c>
      <c r="Z3518" s="2" t="s">
        <v>117</v>
      </c>
      <c r="AA3518" s="2" t="s">
        <v>190</v>
      </c>
      <c r="AB3518" s="2" t="s">
        <v>189</v>
      </c>
      <c r="AC3518" s="2" t="s">
        <v>40</v>
      </c>
      <c r="AF3518" s="2">
        <f t="shared" si="501"/>
        <v>0</v>
      </c>
      <c r="AG3518" s="2">
        <f t="shared" si="509"/>
        <v>22</v>
      </c>
      <c r="AJ3518" s="2">
        <f t="shared" si="502"/>
        <v>0</v>
      </c>
      <c r="AK3518" s="2">
        <f t="shared" si="507"/>
        <v>33</v>
      </c>
      <c r="AL3518" s="5">
        <f t="shared" si="508"/>
        <v>0.6</v>
      </c>
    </row>
    <row r="3519" spans="1:38" x14ac:dyDescent="0.2">
      <c r="A3519" s="2">
        <v>2026</v>
      </c>
      <c r="B3519" s="2">
        <v>1</v>
      </c>
      <c r="D3519" s="2" t="s">
        <v>1397</v>
      </c>
      <c r="E3519" s="2" t="s">
        <v>38</v>
      </c>
      <c r="F3519" s="2" t="s">
        <v>39</v>
      </c>
      <c r="G3519" s="2">
        <v>509014313</v>
      </c>
      <c r="H3519" s="2" t="s">
        <v>40</v>
      </c>
      <c r="I3519" s="2" t="s">
        <v>3217</v>
      </c>
      <c r="J3519" s="2" t="s">
        <v>3216</v>
      </c>
      <c r="K3519" s="2">
        <v>913814877</v>
      </c>
      <c r="L3519" s="2" t="s">
        <v>201</v>
      </c>
      <c r="M3519" s="2" t="s">
        <v>40</v>
      </c>
      <c r="O3519" s="2" t="s">
        <v>3212</v>
      </c>
      <c r="P3519" s="2" t="s">
        <v>187</v>
      </c>
      <c r="Q3519" s="2" t="s">
        <v>191</v>
      </c>
      <c r="R3519" s="2" t="s">
        <v>190</v>
      </c>
      <c r="S3519" s="2">
        <v>1</v>
      </c>
      <c r="T3519" s="2">
        <v>50</v>
      </c>
      <c r="U3519" s="2">
        <v>11.5</v>
      </c>
      <c r="V3519" s="2">
        <v>61.5</v>
      </c>
      <c r="W3519" s="2">
        <f>T3519*50%</f>
        <v>25</v>
      </c>
      <c r="X3519" s="5">
        <f t="shared" si="506"/>
        <v>0.5</v>
      </c>
      <c r="Z3519" s="2" t="s">
        <v>117</v>
      </c>
      <c r="AA3519" s="2" t="s">
        <v>190</v>
      </c>
      <c r="AB3519" s="2" t="s">
        <v>190</v>
      </c>
      <c r="AC3519" s="2" t="s">
        <v>40</v>
      </c>
      <c r="AF3519" s="2">
        <f t="shared" si="501"/>
        <v>0</v>
      </c>
      <c r="AG3519" s="2">
        <f t="shared" si="509"/>
        <v>25</v>
      </c>
      <c r="AJ3519" s="2">
        <f t="shared" si="502"/>
        <v>0</v>
      </c>
      <c r="AK3519" s="2">
        <f t="shared" si="507"/>
        <v>25</v>
      </c>
      <c r="AL3519" s="5">
        <f t="shared" si="508"/>
        <v>0.5</v>
      </c>
    </row>
    <row r="3520" spans="1:38" x14ac:dyDescent="0.2">
      <c r="A3520" s="2">
        <v>2026</v>
      </c>
      <c r="B3520" s="2">
        <v>3</v>
      </c>
      <c r="D3520" s="2" t="s">
        <v>2767</v>
      </c>
      <c r="E3520" s="2" t="s">
        <v>38</v>
      </c>
      <c r="F3520" s="2" t="s">
        <v>39</v>
      </c>
      <c r="G3520" s="2">
        <v>500041946</v>
      </c>
      <c r="H3520" s="2" t="s">
        <v>109</v>
      </c>
      <c r="I3520" s="2" t="s">
        <v>133</v>
      </c>
      <c r="J3520" s="2" t="s">
        <v>2768</v>
      </c>
      <c r="L3520" s="2" t="s">
        <v>133</v>
      </c>
      <c r="M3520" s="2" t="s">
        <v>80</v>
      </c>
      <c r="O3520" s="2" t="s">
        <v>2769</v>
      </c>
      <c r="P3520" s="2" t="s">
        <v>1038</v>
      </c>
      <c r="Q3520" s="2" t="s">
        <v>1268</v>
      </c>
      <c r="R3520" s="2" t="s">
        <v>1269</v>
      </c>
      <c r="S3520" s="2">
        <v>4</v>
      </c>
      <c r="T3520" s="2">
        <v>684</v>
      </c>
      <c r="U3520" s="2">
        <v>157.32</v>
      </c>
      <c r="V3520" s="2">
        <v>841.31999999999994</v>
      </c>
      <c r="W3520" s="2">
        <v>408.16</v>
      </c>
      <c r="X3520" s="5">
        <f t="shared" si="506"/>
        <v>0.40327485380116956</v>
      </c>
      <c r="Z3520" s="2" t="s">
        <v>3227</v>
      </c>
      <c r="AA3520" s="2" t="s">
        <v>1041</v>
      </c>
      <c r="AB3520" s="2" t="s">
        <v>1270</v>
      </c>
      <c r="AC3520" s="2" t="s">
        <v>1038</v>
      </c>
      <c r="AF3520" s="2">
        <f t="shared" si="501"/>
        <v>0</v>
      </c>
      <c r="AJ3520" s="2">
        <f t="shared" si="502"/>
        <v>0</v>
      </c>
      <c r="AK3520" s="2">
        <f t="shared" si="507"/>
        <v>275.83999999999997</v>
      </c>
      <c r="AL3520" s="5">
        <f t="shared" si="508"/>
        <v>0.40327485380116956</v>
      </c>
    </row>
    <row r="3521" spans="1:38" x14ac:dyDescent="0.2">
      <c r="A3521" s="2">
        <v>2026</v>
      </c>
      <c r="B3521" s="2">
        <v>4</v>
      </c>
      <c r="D3521" s="2" t="s">
        <v>1049</v>
      </c>
      <c r="E3521" s="2" t="s">
        <v>108</v>
      </c>
      <c r="F3521" s="2" t="s">
        <v>531</v>
      </c>
      <c r="G3521" s="2">
        <v>504586351</v>
      </c>
      <c r="H3521" s="2" t="s">
        <v>290</v>
      </c>
      <c r="I3521" s="2" t="s">
        <v>1050</v>
      </c>
      <c r="J3521" s="2" t="s">
        <v>1051</v>
      </c>
      <c r="L3521" s="2" t="s">
        <v>339</v>
      </c>
      <c r="M3521" s="2" t="s">
        <v>40</v>
      </c>
      <c r="O3521" s="2" t="s">
        <v>2770</v>
      </c>
      <c r="P3521" s="2" t="s">
        <v>187</v>
      </c>
      <c r="Q3521" s="2" t="s">
        <v>188</v>
      </c>
      <c r="R3521" s="2" t="s">
        <v>189</v>
      </c>
      <c r="S3521" s="2">
        <v>1</v>
      </c>
      <c r="T3521" s="2">
        <v>60</v>
      </c>
      <c r="U3521" s="2">
        <v>13.8</v>
      </c>
      <c r="V3521" s="2">
        <v>73.8</v>
      </c>
      <c r="W3521" s="2">
        <f>T3521*40%</f>
        <v>24</v>
      </c>
      <c r="X3521" s="5">
        <f t="shared" si="506"/>
        <v>0.6</v>
      </c>
      <c r="Z3521" s="2" t="s">
        <v>117</v>
      </c>
      <c r="AA3521" s="2" t="s">
        <v>190</v>
      </c>
      <c r="AB3521" s="2" t="s">
        <v>189</v>
      </c>
      <c r="AC3521" s="2" t="s">
        <v>40</v>
      </c>
      <c r="AF3521" s="2">
        <f t="shared" si="501"/>
        <v>0</v>
      </c>
      <c r="AG3521" s="2">
        <f t="shared" ref="AG3521:AG3532" si="510">W3521</f>
        <v>24</v>
      </c>
      <c r="AJ3521" s="2">
        <f t="shared" si="502"/>
        <v>0</v>
      </c>
      <c r="AK3521" s="2">
        <f t="shared" si="507"/>
        <v>36</v>
      </c>
      <c r="AL3521" s="5">
        <f t="shared" si="508"/>
        <v>0.6</v>
      </c>
    </row>
    <row r="3522" spans="1:38" x14ac:dyDescent="0.2">
      <c r="A3522" s="2">
        <v>2026</v>
      </c>
      <c r="B3522" s="2">
        <v>4</v>
      </c>
      <c r="D3522" s="2" t="s">
        <v>1049</v>
      </c>
      <c r="E3522" s="2" t="s">
        <v>108</v>
      </c>
      <c r="F3522" s="2" t="s">
        <v>531</v>
      </c>
      <c r="G3522" s="2">
        <v>504586351</v>
      </c>
      <c r="H3522" s="2" t="s">
        <v>290</v>
      </c>
      <c r="I3522" s="2" t="s">
        <v>1050</v>
      </c>
      <c r="J3522" s="2" t="s">
        <v>1051</v>
      </c>
      <c r="L3522" s="2" t="s">
        <v>339</v>
      </c>
      <c r="M3522" s="2" t="s">
        <v>40</v>
      </c>
      <c r="O3522" s="2" t="s">
        <v>2770</v>
      </c>
      <c r="P3522" s="2" t="s">
        <v>187</v>
      </c>
      <c r="Q3522" s="2" t="s">
        <v>191</v>
      </c>
      <c r="R3522" s="2" t="s">
        <v>190</v>
      </c>
      <c r="S3522" s="2">
        <v>2</v>
      </c>
      <c r="T3522" s="2">
        <v>110</v>
      </c>
      <c r="U3522" s="2">
        <v>25.3</v>
      </c>
      <c r="V3522" s="2">
        <v>135.30000000000001</v>
      </c>
      <c r="W3522" s="2">
        <f>T3522*50%</f>
        <v>55</v>
      </c>
      <c r="X3522" s="5">
        <f t="shared" si="506"/>
        <v>0.5</v>
      </c>
      <c r="Z3522" s="2" t="s">
        <v>117</v>
      </c>
      <c r="AA3522" s="2" t="s">
        <v>190</v>
      </c>
      <c r="AB3522" s="2" t="s">
        <v>190</v>
      </c>
      <c r="AC3522" s="2" t="s">
        <v>40</v>
      </c>
      <c r="AF3522" s="2">
        <f t="shared" ref="AF3522:AF3585" si="511">AJ3522</f>
        <v>0</v>
      </c>
      <c r="AG3522" s="2">
        <f t="shared" si="510"/>
        <v>55</v>
      </c>
      <c r="AJ3522" s="2">
        <f t="shared" ref="AJ3522:AJ3585" si="512">AI3522*T3522</f>
        <v>0</v>
      </c>
      <c r="AK3522" s="2">
        <f t="shared" si="507"/>
        <v>55</v>
      </c>
      <c r="AL3522" s="5">
        <f t="shared" si="508"/>
        <v>0.5</v>
      </c>
    </row>
    <row r="3523" spans="1:38" x14ac:dyDescent="0.2">
      <c r="A3523" s="2">
        <v>2026</v>
      </c>
      <c r="B3523" s="2">
        <v>3</v>
      </c>
      <c r="C3523" s="2" t="s">
        <v>3320</v>
      </c>
      <c r="D3523" s="2" t="s">
        <v>2150</v>
      </c>
      <c r="E3523" s="2" t="s">
        <v>38</v>
      </c>
      <c r="F3523" s="2" t="s">
        <v>39</v>
      </c>
      <c r="G3523" s="2">
        <v>513368523</v>
      </c>
      <c r="H3523" s="2" t="s">
        <v>41</v>
      </c>
      <c r="L3523" s="2" t="s">
        <v>177</v>
      </c>
      <c r="M3523" s="2" t="s">
        <v>40</v>
      </c>
      <c r="P3523" s="2" t="s">
        <v>187</v>
      </c>
      <c r="Q3523" s="2" t="s">
        <v>191</v>
      </c>
      <c r="R3523" s="2" t="s">
        <v>190</v>
      </c>
      <c r="S3523" s="2">
        <v>1</v>
      </c>
      <c r="T3523" s="2">
        <v>50</v>
      </c>
      <c r="U3523" s="2">
        <v>11.5</v>
      </c>
      <c r="V3523" s="2">
        <v>61.5</v>
      </c>
      <c r="W3523" s="2">
        <f>T3523*50%</f>
        <v>25</v>
      </c>
      <c r="X3523" s="5">
        <f t="shared" si="506"/>
        <v>0.5</v>
      </c>
      <c r="Z3523" s="2" t="s">
        <v>117</v>
      </c>
      <c r="AA3523" s="2" t="s">
        <v>190</v>
      </c>
      <c r="AB3523" s="2" t="s">
        <v>190</v>
      </c>
      <c r="AC3523" s="2" t="s">
        <v>40</v>
      </c>
      <c r="AF3523" s="2">
        <f t="shared" si="511"/>
        <v>0</v>
      </c>
      <c r="AG3523" s="2">
        <f t="shared" si="510"/>
        <v>25</v>
      </c>
      <c r="AJ3523" s="2">
        <f t="shared" si="512"/>
        <v>0</v>
      </c>
      <c r="AK3523" s="2">
        <f t="shared" si="507"/>
        <v>25</v>
      </c>
      <c r="AL3523" s="5">
        <f t="shared" si="508"/>
        <v>0.5</v>
      </c>
    </row>
    <row r="3524" spans="1:38" x14ac:dyDescent="0.2">
      <c r="A3524" s="2">
        <v>2026</v>
      </c>
      <c r="B3524" s="2">
        <v>4</v>
      </c>
      <c r="D3524" s="2" t="s">
        <v>2771</v>
      </c>
      <c r="M3524" s="2" t="s">
        <v>40</v>
      </c>
      <c r="P3524" s="2" t="s">
        <v>187</v>
      </c>
      <c r="Q3524" s="2" t="s">
        <v>188</v>
      </c>
      <c r="R3524" s="2" t="s">
        <v>189</v>
      </c>
      <c r="S3524" s="2">
        <v>2</v>
      </c>
      <c r="T3524" s="2">
        <v>374</v>
      </c>
      <c r="U3524" s="2">
        <v>86.02000000000001</v>
      </c>
      <c r="V3524" s="2">
        <v>460.02</v>
      </c>
      <c r="W3524" s="2">
        <f>T3524*40%</f>
        <v>149.6</v>
      </c>
      <c r="X3524" s="5">
        <f t="shared" ref="X3524:X3538" si="513">(T3524-W3524)/T3524</f>
        <v>0.6</v>
      </c>
      <c r="Z3524" s="2" t="s">
        <v>117</v>
      </c>
      <c r="AA3524" s="2" t="s">
        <v>190</v>
      </c>
      <c r="AB3524" s="2" t="s">
        <v>189</v>
      </c>
      <c r="AC3524" s="2" t="s">
        <v>40</v>
      </c>
      <c r="AF3524" s="2">
        <f t="shared" si="511"/>
        <v>0</v>
      </c>
      <c r="AG3524" s="2">
        <f t="shared" si="510"/>
        <v>149.6</v>
      </c>
      <c r="AJ3524" s="2">
        <f t="shared" si="512"/>
        <v>0</v>
      </c>
      <c r="AK3524" s="2">
        <f t="shared" ref="AK3524:AK3538" si="514">T3524-W3524</f>
        <v>224.4</v>
      </c>
      <c r="AL3524" s="5">
        <f t="shared" ref="AL3524:AL3538" si="515">(T3524-W3524)/T3524</f>
        <v>0.6</v>
      </c>
    </row>
    <row r="3525" spans="1:38" x14ac:dyDescent="0.2">
      <c r="A3525" s="2">
        <v>2026</v>
      </c>
      <c r="B3525" s="2">
        <v>4</v>
      </c>
      <c r="D3525" s="2" t="s">
        <v>2771</v>
      </c>
      <c r="M3525" s="2" t="s">
        <v>40</v>
      </c>
      <c r="P3525" s="2" t="s">
        <v>187</v>
      </c>
      <c r="Q3525" s="2" t="s">
        <v>191</v>
      </c>
      <c r="R3525" s="2" t="s">
        <v>190</v>
      </c>
      <c r="S3525" s="2">
        <v>4</v>
      </c>
      <c r="T3525" s="2">
        <v>220</v>
      </c>
      <c r="U3525" s="2">
        <v>50.6</v>
      </c>
      <c r="V3525" s="2">
        <v>270.60000000000002</v>
      </c>
      <c r="W3525" s="2">
        <f>T3525*50%</f>
        <v>110</v>
      </c>
      <c r="X3525" s="5">
        <f t="shared" si="513"/>
        <v>0.5</v>
      </c>
      <c r="Z3525" s="2" t="s">
        <v>117</v>
      </c>
      <c r="AA3525" s="2" t="s">
        <v>190</v>
      </c>
      <c r="AB3525" s="2" t="s">
        <v>190</v>
      </c>
      <c r="AC3525" s="2" t="s">
        <v>40</v>
      </c>
      <c r="AF3525" s="2">
        <f t="shared" si="511"/>
        <v>0</v>
      </c>
      <c r="AG3525" s="2">
        <f t="shared" si="510"/>
        <v>110</v>
      </c>
      <c r="AJ3525" s="2">
        <f t="shared" si="512"/>
        <v>0</v>
      </c>
      <c r="AK3525" s="2">
        <f t="shared" si="514"/>
        <v>110</v>
      </c>
      <c r="AL3525" s="5">
        <f t="shared" si="515"/>
        <v>0.5</v>
      </c>
    </row>
    <row r="3526" spans="1:38" x14ac:dyDescent="0.2">
      <c r="A3526" s="2">
        <v>2026</v>
      </c>
      <c r="B3526" s="2">
        <v>1</v>
      </c>
      <c r="D3526" s="2" t="s">
        <v>1582</v>
      </c>
      <c r="M3526" s="2" t="s">
        <v>40</v>
      </c>
      <c r="P3526" s="2" t="s">
        <v>187</v>
      </c>
      <c r="Q3526" s="2" t="s">
        <v>188</v>
      </c>
      <c r="R3526" s="2" t="s">
        <v>189</v>
      </c>
      <c r="S3526" s="2">
        <v>1</v>
      </c>
      <c r="T3526" s="2">
        <v>50</v>
      </c>
      <c r="U3526" s="2">
        <v>11.5</v>
      </c>
      <c r="V3526" s="2">
        <v>61.5</v>
      </c>
      <c r="W3526" s="2">
        <f>T3526*40%</f>
        <v>20</v>
      </c>
      <c r="X3526" s="5">
        <f t="shared" si="513"/>
        <v>0.6</v>
      </c>
      <c r="Z3526" s="2" t="s">
        <v>117</v>
      </c>
      <c r="AA3526" s="2" t="s">
        <v>190</v>
      </c>
      <c r="AB3526" s="2" t="s">
        <v>189</v>
      </c>
      <c r="AC3526" s="2" t="s">
        <v>40</v>
      </c>
      <c r="AF3526" s="2">
        <f t="shared" si="511"/>
        <v>0</v>
      </c>
      <c r="AG3526" s="2">
        <f t="shared" si="510"/>
        <v>20</v>
      </c>
      <c r="AJ3526" s="2">
        <f t="shared" si="512"/>
        <v>0</v>
      </c>
      <c r="AK3526" s="2">
        <f t="shared" si="514"/>
        <v>30</v>
      </c>
      <c r="AL3526" s="5">
        <f t="shared" si="515"/>
        <v>0.6</v>
      </c>
    </row>
    <row r="3527" spans="1:38" x14ac:dyDescent="0.2">
      <c r="A3527" s="2">
        <v>2026</v>
      </c>
      <c r="B3527" s="2">
        <v>1</v>
      </c>
      <c r="D3527" s="2" t="s">
        <v>1582</v>
      </c>
      <c r="M3527" s="2" t="s">
        <v>40</v>
      </c>
      <c r="P3527" s="2" t="s">
        <v>187</v>
      </c>
      <c r="Q3527" s="2" t="s">
        <v>191</v>
      </c>
      <c r="R3527" s="2" t="s">
        <v>190</v>
      </c>
      <c r="S3527" s="2">
        <v>1.25</v>
      </c>
      <c r="T3527" s="2">
        <v>62.5</v>
      </c>
      <c r="U3527" s="2">
        <v>14.375</v>
      </c>
      <c r="V3527" s="2">
        <v>76.875</v>
      </c>
      <c r="W3527" s="2">
        <f>T3527*50%</f>
        <v>31.25</v>
      </c>
      <c r="X3527" s="5">
        <f t="shared" si="513"/>
        <v>0.5</v>
      </c>
      <c r="Z3527" s="2" t="s">
        <v>117</v>
      </c>
      <c r="AA3527" s="2" t="s">
        <v>190</v>
      </c>
      <c r="AB3527" s="2" t="s">
        <v>190</v>
      </c>
      <c r="AC3527" s="2" t="s">
        <v>40</v>
      </c>
      <c r="AF3527" s="2">
        <f t="shared" si="511"/>
        <v>0</v>
      </c>
      <c r="AG3527" s="2">
        <f t="shared" si="510"/>
        <v>31.25</v>
      </c>
      <c r="AJ3527" s="2">
        <f t="shared" si="512"/>
        <v>0</v>
      </c>
      <c r="AK3527" s="2">
        <f t="shared" si="514"/>
        <v>31.25</v>
      </c>
      <c r="AL3527" s="5">
        <f t="shared" si="515"/>
        <v>0.5</v>
      </c>
    </row>
    <row r="3528" spans="1:38" x14ac:dyDescent="0.2">
      <c r="A3528" s="2">
        <v>2026</v>
      </c>
      <c r="B3528" s="2">
        <v>1</v>
      </c>
      <c r="D3528" s="2" t="s">
        <v>500</v>
      </c>
      <c r="E3528" s="2" t="s">
        <v>38</v>
      </c>
      <c r="F3528" s="2" t="s">
        <v>39</v>
      </c>
      <c r="G3528" s="2">
        <v>513244468</v>
      </c>
      <c r="H3528" s="2" t="s">
        <v>41</v>
      </c>
      <c r="I3528" s="2" t="s">
        <v>501</v>
      </c>
      <c r="J3528" s="2" t="s">
        <v>502</v>
      </c>
      <c r="K3528" s="2">
        <v>918010109</v>
      </c>
      <c r="L3528" s="2" t="s">
        <v>99</v>
      </c>
      <c r="M3528" s="2" t="s">
        <v>40</v>
      </c>
      <c r="P3528" s="2" t="s">
        <v>187</v>
      </c>
      <c r="Q3528" s="2" t="s">
        <v>188</v>
      </c>
      <c r="R3528" s="2" t="s">
        <v>189</v>
      </c>
      <c r="S3528" s="2">
        <v>1</v>
      </c>
      <c r="T3528" s="2">
        <v>50</v>
      </c>
      <c r="U3528" s="2">
        <v>11.5</v>
      </c>
      <c r="V3528" s="2">
        <v>61.5</v>
      </c>
      <c r="W3528" s="2">
        <f>T3528*40%</f>
        <v>20</v>
      </c>
      <c r="X3528" s="5">
        <f t="shared" si="513"/>
        <v>0.6</v>
      </c>
      <c r="Z3528" s="2" t="s">
        <v>117</v>
      </c>
      <c r="AA3528" s="2" t="s">
        <v>190</v>
      </c>
      <c r="AB3528" s="2" t="s">
        <v>189</v>
      </c>
      <c r="AC3528" s="2" t="s">
        <v>40</v>
      </c>
      <c r="AF3528" s="2">
        <f t="shared" si="511"/>
        <v>0</v>
      </c>
      <c r="AG3528" s="2">
        <f t="shared" si="510"/>
        <v>20</v>
      </c>
      <c r="AJ3528" s="2">
        <f t="shared" si="512"/>
        <v>0</v>
      </c>
      <c r="AK3528" s="2">
        <f t="shared" si="514"/>
        <v>30</v>
      </c>
      <c r="AL3528" s="5">
        <f t="shared" si="515"/>
        <v>0.6</v>
      </c>
    </row>
    <row r="3529" spans="1:38" x14ac:dyDescent="0.2">
      <c r="A3529" s="2">
        <v>2026</v>
      </c>
      <c r="B3529" s="2">
        <v>1</v>
      </c>
      <c r="D3529" s="2" t="s">
        <v>500</v>
      </c>
      <c r="E3529" s="2" t="s">
        <v>38</v>
      </c>
      <c r="F3529" s="2" t="s">
        <v>39</v>
      </c>
      <c r="G3529" s="2">
        <v>513244468</v>
      </c>
      <c r="H3529" s="2" t="s">
        <v>41</v>
      </c>
      <c r="I3529" s="2" t="s">
        <v>501</v>
      </c>
      <c r="J3529" s="2" t="s">
        <v>502</v>
      </c>
      <c r="K3529" s="2">
        <v>918010109</v>
      </c>
      <c r="L3529" s="2" t="s">
        <v>99</v>
      </c>
      <c r="M3529" s="2" t="s">
        <v>40</v>
      </c>
      <c r="P3529" s="2" t="s">
        <v>187</v>
      </c>
      <c r="Q3529" s="2" t="s">
        <v>191</v>
      </c>
      <c r="R3529" s="2" t="s">
        <v>190</v>
      </c>
      <c r="S3529" s="2">
        <v>3</v>
      </c>
      <c r="T3529" s="2">
        <v>150</v>
      </c>
      <c r="U3529" s="2">
        <v>34.5</v>
      </c>
      <c r="V3529" s="2">
        <v>184.5</v>
      </c>
      <c r="W3529" s="2">
        <f>T3529*50%</f>
        <v>75</v>
      </c>
      <c r="X3529" s="5">
        <f t="shared" si="513"/>
        <v>0.5</v>
      </c>
      <c r="Z3529" s="2" t="s">
        <v>117</v>
      </c>
      <c r="AA3529" s="2" t="s">
        <v>190</v>
      </c>
      <c r="AB3529" s="2" t="s">
        <v>190</v>
      </c>
      <c r="AC3529" s="2" t="s">
        <v>40</v>
      </c>
      <c r="AF3529" s="2">
        <f t="shared" si="511"/>
        <v>0</v>
      </c>
      <c r="AG3529" s="2">
        <f t="shared" si="510"/>
        <v>75</v>
      </c>
      <c r="AJ3529" s="2">
        <f t="shared" si="512"/>
        <v>0</v>
      </c>
      <c r="AK3529" s="2">
        <f t="shared" si="514"/>
        <v>75</v>
      </c>
      <c r="AL3529" s="5">
        <f t="shared" si="515"/>
        <v>0.5</v>
      </c>
    </row>
    <row r="3530" spans="1:38" x14ac:dyDescent="0.2">
      <c r="A3530" s="2">
        <v>2026</v>
      </c>
      <c r="B3530" s="2">
        <v>2</v>
      </c>
      <c r="D3530" s="2" t="s">
        <v>2153</v>
      </c>
      <c r="M3530" s="2" t="s">
        <v>40</v>
      </c>
      <c r="P3530" s="2" t="s">
        <v>187</v>
      </c>
      <c r="Q3530" s="2" t="s">
        <v>188</v>
      </c>
      <c r="R3530" s="2" t="s">
        <v>189</v>
      </c>
      <c r="S3530" s="2">
        <v>1</v>
      </c>
      <c r="T3530" s="2">
        <v>240</v>
      </c>
      <c r="U3530" s="2">
        <v>55.2</v>
      </c>
      <c r="V3530" s="2">
        <v>295.2</v>
      </c>
      <c r="W3530" s="2">
        <f>T3530*40%</f>
        <v>96</v>
      </c>
      <c r="X3530" s="5">
        <f t="shared" si="513"/>
        <v>0.6</v>
      </c>
      <c r="Z3530" s="2" t="s">
        <v>117</v>
      </c>
      <c r="AA3530" s="2" t="s">
        <v>190</v>
      </c>
      <c r="AB3530" s="2" t="s">
        <v>189</v>
      </c>
      <c r="AC3530" s="2" t="s">
        <v>40</v>
      </c>
      <c r="AF3530" s="2">
        <f t="shared" si="511"/>
        <v>0</v>
      </c>
      <c r="AG3530" s="2">
        <f t="shared" si="510"/>
        <v>96</v>
      </c>
      <c r="AJ3530" s="2">
        <f t="shared" si="512"/>
        <v>0</v>
      </c>
      <c r="AK3530" s="2">
        <f t="shared" si="514"/>
        <v>144</v>
      </c>
      <c r="AL3530" s="5">
        <f t="shared" si="515"/>
        <v>0.6</v>
      </c>
    </row>
    <row r="3531" spans="1:38" x14ac:dyDescent="0.2">
      <c r="A3531" s="2">
        <v>2026</v>
      </c>
      <c r="B3531" s="2">
        <v>2</v>
      </c>
      <c r="D3531" s="2" t="s">
        <v>2153</v>
      </c>
      <c r="M3531" s="2" t="s">
        <v>40</v>
      </c>
      <c r="P3531" s="2" t="s">
        <v>187</v>
      </c>
      <c r="Q3531" s="2" t="s">
        <v>191</v>
      </c>
      <c r="R3531" s="2" t="s">
        <v>190</v>
      </c>
      <c r="S3531" s="2">
        <v>8</v>
      </c>
      <c r="T3531" s="2">
        <v>400</v>
      </c>
      <c r="U3531" s="2">
        <v>92</v>
      </c>
      <c r="V3531" s="2">
        <v>492</v>
      </c>
      <c r="W3531" s="2">
        <f>T3531*50%</f>
        <v>200</v>
      </c>
      <c r="X3531" s="5">
        <f t="shared" si="513"/>
        <v>0.5</v>
      </c>
      <c r="Z3531" s="2" t="s">
        <v>117</v>
      </c>
      <c r="AA3531" s="2" t="s">
        <v>190</v>
      </c>
      <c r="AB3531" s="2" t="s">
        <v>190</v>
      </c>
      <c r="AC3531" s="2" t="s">
        <v>40</v>
      </c>
      <c r="AF3531" s="2">
        <f t="shared" si="511"/>
        <v>0</v>
      </c>
      <c r="AG3531" s="2">
        <f t="shared" si="510"/>
        <v>200</v>
      </c>
      <c r="AJ3531" s="2">
        <f t="shared" si="512"/>
        <v>0</v>
      </c>
      <c r="AK3531" s="2">
        <f t="shared" si="514"/>
        <v>200</v>
      </c>
      <c r="AL3531" s="5">
        <f t="shared" si="515"/>
        <v>0.5</v>
      </c>
    </row>
    <row r="3532" spans="1:38" x14ac:dyDescent="0.2">
      <c r="A3532" s="2">
        <v>2026</v>
      </c>
      <c r="B3532" s="2">
        <v>1</v>
      </c>
      <c r="D3532" s="2" t="s">
        <v>509</v>
      </c>
      <c r="E3532" s="2" t="s">
        <v>38</v>
      </c>
      <c r="F3532" s="2" t="s">
        <v>39</v>
      </c>
      <c r="G3532" s="2">
        <v>513405020</v>
      </c>
      <c r="H3532" s="2" t="s">
        <v>40</v>
      </c>
      <c r="I3532" s="2" t="s">
        <v>156</v>
      </c>
      <c r="J3532" s="2" t="s">
        <v>510</v>
      </c>
      <c r="K3532" s="2">
        <v>919770433</v>
      </c>
      <c r="L3532" s="2" t="s">
        <v>99</v>
      </c>
      <c r="M3532" s="2" t="s">
        <v>40</v>
      </c>
      <c r="P3532" s="2" t="s">
        <v>187</v>
      </c>
      <c r="Q3532" s="2" t="s">
        <v>188</v>
      </c>
      <c r="R3532" s="2" t="s">
        <v>189</v>
      </c>
      <c r="S3532" s="2">
        <v>2</v>
      </c>
      <c r="T3532" s="2">
        <v>110</v>
      </c>
      <c r="U3532" s="2">
        <v>25.3</v>
      </c>
      <c r="V3532" s="2">
        <v>135.30000000000001</v>
      </c>
      <c r="W3532" s="2">
        <f>T3532*40%</f>
        <v>44</v>
      </c>
      <c r="X3532" s="5">
        <f t="shared" si="513"/>
        <v>0.6</v>
      </c>
      <c r="Z3532" s="2" t="s">
        <v>117</v>
      </c>
      <c r="AA3532" s="2" t="s">
        <v>190</v>
      </c>
      <c r="AB3532" s="2" t="s">
        <v>189</v>
      </c>
      <c r="AC3532" s="2" t="s">
        <v>40</v>
      </c>
      <c r="AF3532" s="2">
        <f t="shared" si="511"/>
        <v>0</v>
      </c>
      <c r="AG3532" s="2">
        <f t="shared" si="510"/>
        <v>44</v>
      </c>
      <c r="AJ3532" s="2">
        <f t="shared" si="512"/>
        <v>0</v>
      </c>
      <c r="AK3532" s="2">
        <f t="shared" si="514"/>
        <v>66</v>
      </c>
      <c r="AL3532" s="5">
        <f t="shared" si="515"/>
        <v>0.6</v>
      </c>
    </row>
    <row r="3533" spans="1:38" x14ac:dyDescent="0.2">
      <c r="A3533" s="2">
        <v>2026</v>
      </c>
      <c r="B3533" s="2">
        <v>3</v>
      </c>
      <c r="D3533" s="2" t="s">
        <v>37</v>
      </c>
      <c r="E3533" s="2" t="s">
        <v>38</v>
      </c>
      <c r="F3533" s="2" t="s">
        <v>39</v>
      </c>
      <c r="H3533" s="2" t="s">
        <v>40</v>
      </c>
      <c r="P3533" s="2" t="s">
        <v>169</v>
      </c>
      <c r="Q3533" s="2" t="s">
        <v>170</v>
      </c>
      <c r="R3533" s="2" t="s">
        <v>170</v>
      </c>
      <c r="S3533" s="2">
        <v>2</v>
      </c>
      <c r="T3533" s="2">
        <v>39.39</v>
      </c>
      <c r="U3533" s="2">
        <v>9.0597000000000012</v>
      </c>
      <c r="V3533" s="2">
        <v>48.4497</v>
      </c>
      <c r="W3533" s="2">
        <f>40*2</f>
        <v>80</v>
      </c>
      <c r="X3533" s="5">
        <f t="shared" si="513"/>
        <v>-1.0309723280020309</v>
      </c>
      <c r="Z3533" s="2" t="s">
        <v>169</v>
      </c>
      <c r="AA3533" s="2" t="s">
        <v>169</v>
      </c>
      <c r="AF3533" s="2">
        <f t="shared" si="511"/>
        <v>0</v>
      </c>
      <c r="AJ3533" s="2">
        <f t="shared" si="512"/>
        <v>0</v>
      </c>
      <c r="AK3533" s="2">
        <f t="shared" si="514"/>
        <v>-40.61</v>
      </c>
      <c r="AL3533" s="5">
        <f t="shared" si="515"/>
        <v>-1.0309723280020309</v>
      </c>
    </row>
    <row r="3534" spans="1:38" x14ac:dyDescent="0.2">
      <c r="A3534" s="2">
        <v>2026</v>
      </c>
      <c r="B3534" s="2">
        <v>3</v>
      </c>
      <c r="D3534" s="2" t="s">
        <v>936</v>
      </c>
      <c r="E3534" s="2" t="s">
        <v>38</v>
      </c>
      <c r="F3534" s="2" t="s">
        <v>39</v>
      </c>
      <c r="G3534" s="2">
        <v>508868726</v>
      </c>
      <c r="H3534" s="2" t="s">
        <v>290</v>
      </c>
      <c r="I3534" s="2" t="s">
        <v>937</v>
      </c>
      <c r="J3534" s="2" t="s">
        <v>938</v>
      </c>
      <c r="K3534" s="2">
        <v>964771057</v>
      </c>
      <c r="L3534" s="2" t="s">
        <v>339</v>
      </c>
      <c r="M3534" s="2" t="s">
        <v>80</v>
      </c>
      <c r="O3534" s="2" t="s">
        <v>2741</v>
      </c>
      <c r="P3534" s="2" t="s">
        <v>169</v>
      </c>
      <c r="Q3534" s="2" t="s">
        <v>170</v>
      </c>
      <c r="R3534" s="2" t="s">
        <v>170</v>
      </c>
      <c r="S3534" s="2">
        <v>1</v>
      </c>
      <c r="T3534" s="2">
        <v>30</v>
      </c>
      <c r="U3534" s="2">
        <v>6.9</v>
      </c>
      <c r="V3534" s="2">
        <v>36.9</v>
      </c>
      <c r="W3534" s="2">
        <v>23</v>
      </c>
      <c r="X3534" s="5">
        <f t="shared" si="513"/>
        <v>0.23333333333333334</v>
      </c>
      <c r="Z3534" s="2" t="s">
        <v>169</v>
      </c>
      <c r="AA3534" s="2" t="s">
        <v>169</v>
      </c>
      <c r="AF3534" s="2">
        <f t="shared" si="511"/>
        <v>0</v>
      </c>
      <c r="AG3534" s="2">
        <v>23</v>
      </c>
      <c r="AJ3534" s="2">
        <f t="shared" si="512"/>
        <v>0</v>
      </c>
      <c r="AK3534" s="2">
        <f t="shared" si="514"/>
        <v>7</v>
      </c>
      <c r="AL3534" s="5">
        <f t="shared" si="515"/>
        <v>0.23333333333333334</v>
      </c>
    </row>
    <row r="3535" spans="1:38" x14ac:dyDescent="0.2">
      <c r="A3535" s="2">
        <v>2026</v>
      </c>
      <c r="B3535" s="2">
        <v>3</v>
      </c>
      <c r="D3535" s="2" t="s">
        <v>2557</v>
      </c>
      <c r="P3535" s="2" t="s">
        <v>169</v>
      </c>
      <c r="Q3535" s="2" t="s">
        <v>170</v>
      </c>
      <c r="R3535" s="2" t="s">
        <v>170</v>
      </c>
      <c r="S3535" s="2">
        <v>1</v>
      </c>
      <c r="T3535" s="2">
        <v>15</v>
      </c>
      <c r="U3535" s="2">
        <v>3.45</v>
      </c>
      <c r="V3535" s="2">
        <v>18.45</v>
      </c>
      <c r="W3535" s="2">
        <v>23</v>
      </c>
      <c r="X3535" s="5">
        <f t="shared" si="513"/>
        <v>-0.53333333333333333</v>
      </c>
      <c r="Z3535" s="2" t="s">
        <v>169</v>
      </c>
      <c r="AA3535" s="2" t="s">
        <v>169</v>
      </c>
      <c r="AF3535" s="2">
        <f t="shared" si="511"/>
        <v>0</v>
      </c>
      <c r="AJ3535" s="2">
        <f t="shared" si="512"/>
        <v>0</v>
      </c>
      <c r="AK3535" s="2">
        <f t="shared" si="514"/>
        <v>-8</v>
      </c>
      <c r="AL3535" s="5">
        <f t="shared" si="515"/>
        <v>-0.53333333333333333</v>
      </c>
    </row>
    <row r="3536" spans="1:38" x14ac:dyDescent="0.2">
      <c r="A3536" s="2">
        <v>2026</v>
      </c>
      <c r="B3536" s="2">
        <v>3</v>
      </c>
      <c r="D3536" s="2" t="s">
        <v>843</v>
      </c>
      <c r="E3536" s="2" t="s">
        <v>38</v>
      </c>
      <c r="F3536" s="2" t="s">
        <v>39</v>
      </c>
      <c r="G3536" s="2">
        <v>161685080</v>
      </c>
      <c r="H3536" s="2" t="s">
        <v>41</v>
      </c>
      <c r="I3536" s="2" t="s">
        <v>418</v>
      </c>
      <c r="K3536" s="2" t="s">
        <v>844</v>
      </c>
      <c r="L3536" s="2" t="s">
        <v>418</v>
      </c>
      <c r="M3536" s="2" t="s">
        <v>41</v>
      </c>
      <c r="O3536" s="2" t="s">
        <v>2670</v>
      </c>
      <c r="P3536" s="2" t="s">
        <v>169</v>
      </c>
      <c r="Q3536" s="2" t="s">
        <v>170</v>
      </c>
      <c r="R3536" s="2" t="s">
        <v>170</v>
      </c>
      <c r="S3536" s="2">
        <v>1</v>
      </c>
      <c r="T3536" s="2">
        <v>5</v>
      </c>
      <c r="U3536" s="2">
        <v>1.1499999999999999</v>
      </c>
      <c r="V3536" s="2">
        <v>6.15</v>
      </c>
      <c r="W3536" s="2">
        <v>6</v>
      </c>
      <c r="X3536" s="5">
        <f t="shared" si="513"/>
        <v>-0.2</v>
      </c>
      <c r="Z3536" s="2" t="s">
        <v>169</v>
      </c>
      <c r="AA3536" s="2" t="s">
        <v>169</v>
      </c>
      <c r="AF3536" s="2">
        <f t="shared" si="511"/>
        <v>0</v>
      </c>
      <c r="AJ3536" s="2">
        <f t="shared" si="512"/>
        <v>0</v>
      </c>
      <c r="AK3536" s="2">
        <f t="shared" si="514"/>
        <v>-1</v>
      </c>
      <c r="AL3536" s="5">
        <f t="shared" si="515"/>
        <v>-0.2</v>
      </c>
    </row>
    <row r="3537" spans="1:38" x14ac:dyDescent="0.2">
      <c r="A3537" s="2">
        <v>2026</v>
      </c>
      <c r="B3537" s="2">
        <v>4</v>
      </c>
      <c r="D3537" s="2" t="s">
        <v>689</v>
      </c>
      <c r="E3537" s="2" t="s">
        <v>108</v>
      </c>
      <c r="F3537" s="2" t="s">
        <v>39</v>
      </c>
      <c r="G3537" s="2">
        <v>503589950</v>
      </c>
      <c r="H3537" s="2" t="s">
        <v>41</v>
      </c>
      <c r="I3537" s="2" t="s">
        <v>610</v>
      </c>
      <c r="J3537" s="2" t="s">
        <v>690</v>
      </c>
      <c r="K3537" s="2">
        <v>913036545</v>
      </c>
      <c r="L3537" s="2" t="s">
        <v>177</v>
      </c>
      <c r="M3537" s="2" t="s">
        <v>41</v>
      </c>
      <c r="O3537" s="2" t="s">
        <v>2613</v>
      </c>
      <c r="P3537" s="2" t="s">
        <v>84</v>
      </c>
      <c r="Q3537" s="2" t="s">
        <v>1211</v>
      </c>
      <c r="R3537" s="2" t="s">
        <v>1212</v>
      </c>
      <c r="S3537" s="2">
        <v>1</v>
      </c>
      <c r="T3537" s="2">
        <v>15.4</v>
      </c>
      <c r="U3537" s="2">
        <v>3.5419999999999998</v>
      </c>
      <c r="V3537" s="2">
        <v>18.942</v>
      </c>
      <c r="X3537" s="5">
        <f t="shared" si="513"/>
        <v>1</v>
      </c>
      <c r="Z3537" s="2" t="s">
        <v>3227</v>
      </c>
      <c r="AA3537" s="2" t="s">
        <v>87</v>
      </c>
      <c r="AB3537" s="2" t="s">
        <v>90</v>
      </c>
      <c r="AC3537" s="2" t="s">
        <v>84</v>
      </c>
      <c r="AF3537" s="2">
        <f t="shared" si="511"/>
        <v>0</v>
      </c>
      <c r="AJ3537" s="2">
        <f t="shared" si="512"/>
        <v>0</v>
      </c>
      <c r="AK3537" s="2">
        <f t="shared" si="514"/>
        <v>15.4</v>
      </c>
      <c r="AL3537" s="5">
        <f t="shared" si="515"/>
        <v>1</v>
      </c>
    </row>
    <row r="3538" spans="1:38" x14ac:dyDescent="0.2">
      <c r="A3538" s="2">
        <v>2026</v>
      </c>
      <c r="B3538" s="2">
        <v>3</v>
      </c>
      <c r="D3538" s="2" t="s">
        <v>525</v>
      </c>
      <c r="E3538" s="2" t="s">
        <v>108</v>
      </c>
      <c r="F3538" s="2" t="s">
        <v>39</v>
      </c>
      <c r="G3538" s="2">
        <v>509391583</v>
      </c>
      <c r="H3538" s="2" t="s">
        <v>40</v>
      </c>
      <c r="I3538" s="2" t="s">
        <v>526</v>
      </c>
      <c r="J3538" s="2" t="s">
        <v>527</v>
      </c>
      <c r="L3538" s="2" t="s">
        <v>344</v>
      </c>
      <c r="P3538" s="2" t="s">
        <v>169</v>
      </c>
      <c r="Q3538" s="2" t="s">
        <v>170</v>
      </c>
      <c r="R3538" s="2" t="s">
        <v>170</v>
      </c>
      <c r="S3538" s="2">
        <v>1</v>
      </c>
      <c r="T3538" s="2">
        <v>5</v>
      </c>
      <c r="U3538" s="2">
        <v>1.1499999999999999</v>
      </c>
      <c r="V3538" s="2">
        <v>6.15</v>
      </c>
      <c r="W3538" s="2">
        <v>6</v>
      </c>
      <c r="X3538" s="5">
        <f t="shared" si="513"/>
        <v>-0.2</v>
      </c>
      <c r="Z3538" s="2" t="s">
        <v>169</v>
      </c>
      <c r="AA3538" s="2" t="s">
        <v>169</v>
      </c>
      <c r="AF3538" s="2">
        <f t="shared" si="511"/>
        <v>0</v>
      </c>
      <c r="AJ3538" s="2">
        <f t="shared" si="512"/>
        <v>0</v>
      </c>
      <c r="AK3538" s="2">
        <f t="shared" si="514"/>
        <v>-1</v>
      </c>
      <c r="AL3538" s="5">
        <f t="shared" si="515"/>
        <v>-0.2</v>
      </c>
    </row>
    <row r="3539" spans="1:38" x14ac:dyDescent="0.2">
      <c r="A3539" s="2">
        <v>2026</v>
      </c>
      <c r="B3539" s="2">
        <v>3</v>
      </c>
      <c r="D3539" s="2" t="s">
        <v>530</v>
      </c>
      <c r="E3539" s="2" t="s">
        <v>108</v>
      </c>
      <c r="F3539" s="2" t="s">
        <v>531</v>
      </c>
      <c r="G3539" s="2">
        <v>502139552</v>
      </c>
      <c r="H3539" s="2" t="s">
        <v>40</v>
      </c>
      <c r="I3539" s="2" t="s">
        <v>339</v>
      </c>
      <c r="J3539" s="2" t="s">
        <v>532</v>
      </c>
      <c r="L3539" s="2" t="s">
        <v>339</v>
      </c>
      <c r="M3539" s="2" t="s">
        <v>40</v>
      </c>
      <c r="P3539" s="2" t="s">
        <v>40</v>
      </c>
      <c r="Q3539" s="2" t="s">
        <v>140</v>
      </c>
      <c r="R3539" s="2" t="s">
        <v>141</v>
      </c>
      <c r="S3539" s="2">
        <v>-1</v>
      </c>
      <c r="T3539" s="2">
        <v>-5.15</v>
      </c>
      <c r="U3539" s="2">
        <v>-1.1845000000000001</v>
      </c>
      <c r="V3539" s="2">
        <v>-6.3345000000000002</v>
      </c>
      <c r="Z3539" s="2" t="s">
        <v>119</v>
      </c>
      <c r="AA3539" s="2" t="s">
        <v>142</v>
      </c>
      <c r="AF3539" s="2">
        <f t="shared" si="511"/>
        <v>0</v>
      </c>
      <c r="AJ3539" s="2">
        <f t="shared" si="512"/>
        <v>0</v>
      </c>
    </row>
    <row r="3540" spans="1:38" x14ac:dyDescent="0.2">
      <c r="A3540" s="2">
        <v>2026</v>
      </c>
      <c r="B3540" s="2">
        <v>3</v>
      </c>
      <c r="D3540" s="2" t="s">
        <v>1660</v>
      </c>
      <c r="M3540" s="2" t="s">
        <v>40</v>
      </c>
      <c r="P3540" s="2" t="s">
        <v>40</v>
      </c>
      <c r="Q3540" s="2" t="s">
        <v>140</v>
      </c>
      <c r="R3540" s="2" t="s">
        <v>141</v>
      </c>
      <c r="S3540" s="2">
        <v>-1</v>
      </c>
      <c r="T3540" s="2">
        <v>-458.06</v>
      </c>
      <c r="U3540" s="2">
        <v>-105.35380000000001</v>
      </c>
      <c r="V3540" s="2">
        <v>-563.41380000000004</v>
      </c>
      <c r="Z3540" s="2" t="s">
        <v>119</v>
      </c>
      <c r="AA3540" s="2" t="s">
        <v>142</v>
      </c>
      <c r="AF3540" s="2">
        <f t="shared" si="511"/>
        <v>0</v>
      </c>
      <c r="AJ3540" s="2">
        <f t="shared" si="512"/>
        <v>0</v>
      </c>
    </row>
    <row r="3541" spans="1:38" x14ac:dyDescent="0.2">
      <c r="A3541" s="2">
        <v>2026</v>
      </c>
      <c r="B3541" s="2">
        <v>3</v>
      </c>
      <c r="D3541" s="2" t="s">
        <v>1355</v>
      </c>
      <c r="E3541" s="2" t="s">
        <v>752</v>
      </c>
      <c r="F3541" s="2" t="s">
        <v>39</v>
      </c>
      <c r="G3541" s="2">
        <v>518238334</v>
      </c>
      <c r="H3541" s="2" t="s">
        <v>41</v>
      </c>
      <c r="I3541" s="2" t="s">
        <v>762</v>
      </c>
      <c r="J3541" s="2" t="s">
        <v>1356</v>
      </c>
      <c r="L3541" s="2" t="s">
        <v>418</v>
      </c>
      <c r="M3541" s="2" t="s">
        <v>40</v>
      </c>
      <c r="P3541" s="2" t="s">
        <v>187</v>
      </c>
      <c r="Q3541" s="2" t="s">
        <v>1308</v>
      </c>
      <c r="R3541" s="2" t="s">
        <v>1309</v>
      </c>
      <c r="S3541" s="2">
        <v>1</v>
      </c>
      <c r="T3541" s="2">
        <v>111</v>
      </c>
      <c r="U3541" s="2">
        <v>25.53</v>
      </c>
      <c r="V3541" s="2">
        <v>136.53</v>
      </c>
      <c r="X3541" s="5">
        <f t="shared" ref="X3541:X3546" si="516">(T3541-W3541)/T3541</f>
        <v>1</v>
      </c>
      <c r="Z3541" s="2" t="s">
        <v>117</v>
      </c>
      <c r="AA3541" s="2" t="s">
        <v>1310</v>
      </c>
      <c r="AF3541" s="2">
        <f t="shared" si="511"/>
        <v>0</v>
      </c>
      <c r="AJ3541" s="2">
        <f t="shared" si="512"/>
        <v>0</v>
      </c>
      <c r="AK3541" s="2">
        <f t="shared" ref="AK3541:AK3546" si="517">T3541-W3541</f>
        <v>111</v>
      </c>
      <c r="AL3541" s="5">
        <f t="shared" ref="AL3541:AL3546" si="518">(T3541-W3541)/T3541</f>
        <v>1</v>
      </c>
    </row>
    <row r="3542" spans="1:38" x14ac:dyDescent="0.2">
      <c r="A3542" s="2">
        <v>2026</v>
      </c>
      <c r="B3542" s="2">
        <v>3</v>
      </c>
      <c r="D3542" s="2" t="s">
        <v>37</v>
      </c>
      <c r="E3542" s="2" t="s">
        <v>38</v>
      </c>
      <c r="F3542" s="2" t="s">
        <v>39</v>
      </c>
      <c r="H3542" s="2" t="s">
        <v>40</v>
      </c>
      <c r="M3542" s="2" t="s">
        <v>80</v>
      </c>
      <c r="O3542" s="2" t="s">
        <v>2772</v>
      </c>
      <c r="P3542" s="2" t="s">
        <v>93</v>
      </c>
      <c r="Q3542" s="2" t="s">
        <v>94</v>
      </c>
      <c r="R3542" s="2" t="s">
        <v>95</v>
      </c>
      <c r="S3542" s="2">
        <v>6</v>
      </c>
      <c r="T3542" s="2">
        <v>8.8800000000000008</v>
      </c>
      <c r="U3542" s="2">
        <v>2.0424000000000002</v>
      </c>
      <c r="V3542" s="2">
        <v>10.9224</v>
      </c>
      <c r="W3542" s="2">
        <v>8.879999999999999</v>
      </c>
      <c r="X3542" s="5">
        <f t="shared" si="516"/>
        <v>2.000401846171453E-16</v>
      </c>
      <c r="Z3542" s="2" t="s">
        <v>3227</v>
      </c>
      <c r="AA3542" s="2" t="s">
        <v>96</v>
      </c>
      <c r="AB3542" s="2" t="s">
        <v>76</v>
      </c>
      <c r="AC3542" s="2" t="s">
        <v>93</v>
      </c>
      <c r="AF3542" s="2">
        <f t="shared" si="511"/>
        <v>0</v>
      </c>
      <c r="AJ3542" s="2">
        <f t="shared" si="512"/>
        <v>0</v>
      </c>
      <c r="AK3542" s="2">
        <f t="shared" si="517"/>
        <v>0</v>
      </c>
      <c r="AL3542" s="5">
        <f t="shared" si="518"/>
        <v>2.000401846171453E-16</v>
      </c>
    </row>
    <row r="3543" spans="1:38" x14ac:dyDescent="0.2">
      <c r="A3543" s="2">
        <v>2026</v>
      </c>
      <c r="B3543" s="2">
        <v>3</v>
      </c>
      <c r="D3543" s="2" t="s">
        <v>2727</v>
      </c>
      <c r="P3543" s="2" t="s">
        <v>93</v>
      </c>
      <c r="Q3543" s="2" t="s">
        <v>94</v>
      </c>
      <c r="R3543" s="2" t="s">
        <v>95</v>
      </c>
      <c r="S3543" s="2">
        <v>1</v>
      </c>
      <c r="T3543" s="2">
        <v>1.48</v>
      </c>
      <c r="U3543" s="2">
        <v>0.34039999999999998</v>
      </c>
      <c r="V3543" s="2">
        <v>1.8204</v>
      </c>
      <c r="W3543" s="2">
        <v>1.48</v>
      </c>
      <c r="X3543" s="5">
        <f t="shared" si="516"/>
        <v>0</v>
      </c>
      <c r="Z3543" s="2" t="s">
        <v>3227</v>
      </c>
      <c r="AA3543" s="2" t="s">
        <v>96</v>
      </c>
      <c r="AB3543" s="2" t="s">
        <v>76</v>
      </c>
      <c r="AC3543" s="2" t="s">
        <v>93</v>
      </c>
      <c r="AF3543" s="2">
        <f t="shared" si="511"/>
        <v>0</v>
      </c>
      <c r="AJ3543" s="2">
        <f t="shared" si="512"/>
        <v>0</v>
      </c>
      <c r="AK3543" s="2">
        <f t="shared" si="517"/>
        <v>0</v>
      </c>
      <c r="AL3543" s="5">
        <f t="shared" si="518"/>
        <v>0</v>
      </c>
    </row>
    <row r="3544" spans="1:38" x14ac:dyDescent="0.2">
      <c r="A3544" s="2">
        <v>2026</v>
      </c>
      <c r="B3544" s="2">
        <v>3</v>
      </c>
      <c r="D3544" s="2" t="s">
        <v>936</v>
      </c>
      <c r="E3544" s="2" t="s">
        <v>38</v>
      </c>
      <c r="F3544" s="2" t="s">
        <v>39</v>
      </c>
      <c r="G3544" s="2">
        <v>508868726</v>
      </c>
      <c r="H3544" s="2" t="s">
        <v>290</v>
      </c>
      <c r="I3544" s="2" t="s">
        <v>937</v>
      </c>
      <c r="J3544" s="2" t="s">
        <v>938</v>
      </c>
      <c r="K3544" s="2">
        <v>964771057</v>
      </c>
      <c r="L3544" s="2" t="s">
        <v>339</v>
      </c>
      <c r="M3544" s="2" t="s">
        <v>80</v>
      </c>
      <c r="O3544" s="2" t="s">
        <v>2741</v>
      </c>
      <c r="P3544" s="2" t="s">
        <v>93</v>
      </c>
      <c r="Q3544" s="2" t="s">
        <v>94</v>
      </c>
      <c r="R3544" s="2" t="s">
        <v>95</v>
      </c>
      <c r="S3544" s="2">
        <v>1</v>
      </c>
      <c r="T3544" s="2">
        <v>1.48</v>
      </c>
      <c r="U3544" s="2">
        <v>0.34039999999999998</v>
      </c>
      <c r="V3544" s="2">
        <v>1.8204</v>
      </c>
      <c r="W3544" s="2">
        <v>1.48</v>
      </c>
      <c r="X3544" s="5">
        <f t="shared" si="516"/>
        <v>0</v>
      </c>
      <c r="Z3544" s="2" t="s">
        <v>3227</v>
      </c>
      <c r="AA3544" s="2" t="s">
        <v>96</v>
      </c>
      <c r="AB3544" s="2" t="s">
        <v>76</v>
      </c>
      <c r="AC3544" s="2" t="s">
        <v>93</v>
      </c>
      <c r="AF3544" s="2">
        <f t="shared" si="511"/>
        <v>0</v>
      </c>
      <c r="AG3544" s="2">
        <v>1.48</v>
      </c>
      <c r="AH3544" s="2">
        <v>1.48</v>
      </c>
      <c r="AJ3544" s="2">
        <f t="shared" si="512"/>
        <v>0</v>
      </c>
      <c r="AK3544" s="2">
        <f t="shared" si="517"/>
        <v>0</v>
      </c>
      <c r="AL3544" s="5">
        <f t="shared" si="518"/>
        <v>0</v>
      </c>
    </row>
    <row r="3545" spans="1:38" x14ac:dyDescent="0.2">
      <c r="A3545" s="2">
        <v>2026</v>
      </c>
      <c r="B3545" s="2">
        <v>3</v>
      </c>
      <c r="D3545" s="2" t="s">
        <v>2723</v>
      </c>
      <c r="P3545" s="2" t="s">
        <v>93</v>
      </c>
      <c r="Q3545" s="2" t="s">
        <v>94</v>
      </c>
      <c r="R3545" s="2" t="s">
        <v>95</v>
      </c>
      <c r="S3545" s="2">
        <v>1</v>
      </c>
      <c r="T3545" s="2">
        <v>1.48</v>
      </c>
      <c r="U3545" s="2">
        <v>0.34039999999999998</v>
      </c>
      <c r="V3545" s="2">
        <v>1.8204</v>
      </c>
      <c r="W3545" s="2">
        <v>1.48</v>
      </c>
      <c r="X3545" s="5">
        <f t="shared" si="516"/>
        <v>0</v>
      </c>
      <c r="Z3545" s="2" t="s">
        <v>3227</v>
      </c>
      <c r="AA3545" s="2" t="s">
        <v>96</v>
      </c>
      <c r="AB3545" s="2" t="s">
        <v>76</v>
      </c>
      <c r="AC3545" s="2" t="s">
        <v>93</v>
      </c>
      <c r="AF3545" s="2">
        <f t="shared" si="511"/>
        <v>0</v>
      </c>
      <c r="AJ3545" s="2">
        <f t="shared" si="512"/>
        <v>0</v>
      </c>
      <c r="AK3545" s="2">
        <f t="shared" si="517"/>
        <v>0</v>
      </c>
      <c r="AL3545" s="5">
        <f t="shared" si="518"/>
        <v>0</v>
      </c>
    </row>
    <row r="3546" spans="1:38" x14ac:dyDescent="0.2">
      <c r="A3546" s="2">
        <v>2026</v>
      </c>
      <c r="B3546" s="2">
        <v>3</v>
      </c>
      <c r="D3546" s="2" t="s">
        <v>1150</v>
      </c>
      <c r="E3546" s="2" t="s">
        <v>108</v>
      </c>
      <c r="F3546" s="2" t="s">
        <v>39</v>
      </c>
      <c r="G3546" s="2">
        <v>504039733</v>
      </c>
      <c r="H3546" s="2" t="s">
        <v>109</v>
      </c>
      <c r="I3546" s="2" t="s">
        <v>2478</v>
      </c>
      <c r="J3546" s="2" t="s">
        <v>1473</v>
      </c>
      <c r="K3546" s="2">
        <v>938183284</v>
      </c>
      <c r="L3546" s="2" t="s">
        <v>133</v>
      </c>
      <c r="M3546" s="2" t="s">
        <v>109</v>
      </c>
      <c r="O3546" s="2" t="s">
        <v>2734</v>
      </c>
      <c r="P3546" s="2" t="s">
        <v>93</v>
      </c>
      <c r="Q3546" s="2" t="s">
        <v>94</v>
      </c>
      <c r="R3546" s="2" t="s">
        <v>95</v>
      </c>
      <c r="S3546" s="2">
        <v>1</v>
      </c>
      <c r="T3546" s="2">
        <v>1.48</v>
      </c>
      <c r="U3546" s="2">
        <v>0.34039999999999998</v>
      </c>
      <c r="V3546" s="2">
        <v>1.8204</v>
      </c>
      <c r="W3546" s="2">
        <v>1.48</v>
      </c>
      <c r="X3546" s="5">
        <f t="shared" si="516"/>
        <v>0</v>
      </c>
      <c r="Z3546" s="2" t="s">
        <v>3227</v>
      </c>
      <c r="AA3546" s="2" t="s">
        <v>96</v>
      </c>
      <c r="AB3546" s="2" t="s">
        <v>76</v>
      </c>
      <c r="AC3546" s="2" t="s">
        <v>93</v>
      </c>
      <c r="AF3546" s="2">
        <f t="shared" si="511"/>
        <v>0</v>
      </c>
      <c r="AJ3546" s="2">
        <f t="shared" si="512"/>
        <v>0</v>
      </c>
      <c r="AK3546" s="2">
        <f t="shared" si="517"/>
        <v>0</v>
      </c>
      <c r="AL3546" s="5">
        <f t="shared" si="518"/>
        <v>0</v>
      </c>
    </row>
    <row r="3547" spans="1:38" x14ac:dyDescent="0.2">
      <c r="A3547" s="2">
        <v>2026</v>
      </c>
      <c r="B3547" s="2">
        <v>3</v>
      </c>
      <c r="C3547" s="2" t="s">
        <v>3320</v>
      </c>
      <c r="D3547" s="2" t="s">
        <v>1162</v>
      </c>
      <c r="E3547" s="2" t="s">
        <v>752</v>
      </c>
      <c r="F3547" s="2" t="s">
        <v>1217</v>
      </c>
      <c r="G3547" s="2">
        <v>508199280</v>
      </c>
      <c r="H3547" s="2" t="s">
        <v>40</v>
      </c>
      <c r="I3547" s="2" t="s">
        <v>1163</v>
      </c>
      <c r="L3547" s="2" t="s">
        <v>293</v>
      </c>
      <c r="M3547" s="2" t="s">
        <v>80</v>
      </c>
      <c r="P3547" s="2" t="s">
        <v>93</v>
      </c>
      <c r="Q3547" s="2" t="s">
        <v>94</v>
      </c>
      <c r="R3547" s="2" t="s">
        <v>95</v>
      </c>
      <c r="S3547" s="2">
        <v>-1</v>
      </c>
      <c r="T3547" s="2">
        <v>1.48</v>
      </c>
      <c r="U3547" s="2">
        <v>0.34039999999999998</v>
      </c>
      <c r="V3547" s="2">
        <v>1.8204</v>
      </c>
      <c r="W3547" s="2">
        <v>1.48</v>
      </c>
      <c r="X3547" s="18">
        <f>SIGN(T3547)*((ABS(T3547)-W3547)/ABS(T3547))</f>
        <v>0</v>
      </c>
      <c r="Z3547" s="2" t="s">
        <v>3227</v>
      </c>
      <c r="AA3547" s="2" t="s">
        <v>96</v>
      </c>
      <c r="AB3547" s="2" t="s">
        <v>76</v>
      </c>
      <c r="AC3547" s="2" t="s">
        <v>93</v>
      </c>
      <c r="AF3547" s="2">
        <f t="shared" si="511"/>
        <v>0</v>
      </c>
      <c r="AJ3547" s="2">
        <f t="shared" si="512"/>
        <v>0</v>
      </c>
      <c r="AK3547" s="2">
        <f>T3547+(W3547)</f>
        <v>2.96</v>
      </c>
      <c r="AL3547" s="18">
        <f>SIGN(T3547)*((ABS(T3547)-W3547)/ABS(T3547))</f>
        <v>0</v>
      </c>
    </row>
    <row r="3548" spans="1:38" x14ac:dyDescent="0.2">
      <c r="A3548" s="2">
        <v>2026</v>
      </c>
      <c r="B3548" s="2">
        <v>3</v>
      </c>
      <c r="D3548" s="2" t="s">
        <v>314</v>
      </c>
      <c r="E3548" s="2" t="s">
        <v>108</v>
      </c>
      <c r="G3548" s="2">
        <v>503270520</v>
      </c>
      <c r="H3548" s="2" t="s">
        <v>40</v>
      </c>
      <c r="I3548" s="2" t="s">
        <v>315</v>
      </c>
      <c r="J3548" s="2" t="s">
        <v>316</v>
      </c>
      <c r="L3548" s="2" t="s">
        <v>99</v>
      </c>
      <c r="M3548" s="2" t="s">
        <v>80</v>
      </c>
      <c r="P3548" s="2" t="s">
        <v>93</v>
      </c>
      <c r="Q3548" s="2" t="s">
        <v>94</v>
      </c>
      <c r="R3548" s="2" t="s">
        <v>95</v>
      </c>
      <c r="S3548" s="2">
        <v>1</v>
      </c>
      <c r="T3548" s="2">
        <v>1.48</v>
      </c>
      <c r="U3548" s="2">
        <v>0.34039999999999998</v>
      </c>
      <c r="V3548" s="2">
        <v>1.8204</v>
      </c>
      <c r="W3548" s="2">
        <v>1.48</v>
      </c>
      <c r="X3548" s="5">
        <f t="shared" ref="X3548:X3579" si="519">(T3548-W3548)/T3548</f>
        <v>0</v>
      </c>
      <c r="Z3548" s="2" t="s">
        <v>3227</v>
      </c>
      <c r="AA3548" s="2" t="s">
        <v>96</v>
      </c>
      <c r="AB3548" s="2" t="s">
        <v>76</v>
      </c>
      <c r="AC3548" s="2" t="s">
        <v>93</v>
      </c>
      <c r="AF3548" s="2">
        <f t="shared" si="511"/>
        <v>0</v>
      </c>
      <c r="AJ3548" s="2">
        <f t="shared" si="512"/>
        <v>0</v>
      </c>
      <c r="AK3548" s="2">
        <f t="shared" ref="AK3548:AK3579" si="520">T3548-W3548</f>
        <v>0</v>
      </c>
      <c r="AL3548" s="5">
        <f t="shared" ref="AL3548:AL3579" si="521">(T3548-W3548)/T3548</f>
        <v>0</v>
      </c>
    </row>
    <row r="3549" spans="1:38" x14ac:dyDescent="0.2">
      <c r="A3549" s="2">
        <v>2026</v>
      </c>
      <c r="B3549" s="2">
        <v>3</v>
      </c>
      <c r="D3549" s="2" t="s">
        <v>2729</v>
      </c>
      <c r="P3549" s="2" t="s">
        <v>93</v>
      </c>
      <c r="Q3549" s="2" t="s">
        <v>94</v>
      </c>
      <c r="R3549" s="2" t="s">
        <v>95</v>
      </c>
      <c r="S3549" s="2">
        <v>1</v>
      </c>
      <c r="T3549" s="2">
        <v>1.48</v>
      </c>
      <c r="U3549" s="2">
        <v>0.34039999999999998</v>
      </c>
      <c r="V3549" s="2">
        <v>1.8204</v>
      </c>
      <c r="W3549" s="2">
        <v>1.48</v>
      </c>
      <c r="X3549" s="5">
        <f t="shared" si="519"/>
        <v>0</v>
      </c>
      <c r="Z3549" s="2" t="s">
        <v>3227</v>
      </c>
      <c r="AA3549" s="2" t="s">
        <v>96</v>
      </c>
      <c r="AB3549" s="2" t="s">
        <v>76</v>
      </c>
      <c r="AC3549" s="2" t="s">
        <v>93</v>
      </c>
      <c r="AF3549" s="2">
        <f t="shared" si="511"/>
        <v>0</v>
      </c>
      <c r="AJ3549" s="2">
        <f t="shared" si="512"/>
        <v>0</v>
      </c>
      <c r="AK3549" s="2">
        <f t="shared" si="520"/>
        <v>0</v>
      </c>
      <c r="AL3549" s="5">
        <f t="shared" si="521"/>
        <v>0</v>
      </c>
    </row>
    <row r="3550" spans="1:38" x14ac:dyDescent="0.2">
      <c r="A3550" s="2">
        <v>2026</v>
      </c>
      <c r="B3550" s="2">
        <v>3</v>
      </c>
      <c r="D3550" s="2" t="s">
        <v>2557</v>
      </c>
      <c r="P3550" s="2" t="s">
        <v>93</v>
      </c>
      <c r="Q3550" s="2" t="s">
        <v>94</v>
      </c>
      <c r="R3550" s="2" t="s">
        <v>95</v>
      </c>
      <c r="S3550" s="2">
        <v>1</v>
      </c>
      <c r="T3550" s="2">
        <v>1.48</v>
      </c>
      <c r="U3550" s="2">
        <v>0.34039999999999998</v>
      </c>
      <c r="V3550" s="2">
        <v>1.8204</v>
      </c>
      <c r="W3550" s="2">
        <v>1.48</v>
      </c>
      <c r="X3550" s="5">
        <f t="shared" si="519"/>
        <v>0</v>
      </c>
      <c r="Z3550" s="2" t="s">
        <v>3227</v>
      </c>
      <c r="AA3550" s="2" t="s">
        <v>96</v>
      </c>
      <c r="AB3550" s="2" t="s">
        <v>76</v>
      </c>
      <c r="AC3550" s="2" t="s">
        <v>93</v>
      </c>
      <c r="AF3550" s="2">
        <f t="shared" si="511"/>
        <v>0</v>
      </c>
      <c r="AJ3550" s="2">
        <f t="shared" si="512"/>
        <v>0</v>
      </c>
      <c r="AK3550" s="2">
        <f t="shared" si="520"/>
        <v>0</v>
      </c>
      <c r="AL3550" s="5">
        <f t="shared" si="521"/>
        <v>0</v>
      </c>
    </row>
    <row r="3551" spans="1:38" x14ac:dyDescent="0.2">
      <c r="A3551" s="2">
        <v>2026</v>
      </c>
      <c r="B3551" s="2">
        <v>3</v>
      </c>
      <c r="D3551" s="2" t="s">
        <v>749</v>
      </c>
      <c r="E3551" s="2" t="s">
        <v>108</v>
      </c>
      <c r="F3551" s="2" t="s">
        <v>39</v>
      </c>
      <c r="G3551" s="2">
        <v>510039537</v>
      </c>
      <c r="H3551" s="2" t="s">
        <v>40</v>
      </c>
      <c r="I3551" s="2" t="s">
        <v>571</v>
      </c>
      <c r="J3551" s="2" t="s">
        <v>750</v>
      </c>
      <c r="K3551" s="2">
        <v>969042927</v>
      </c>
      <c r="L3551" s="2" t="s">
        <v>571</v>
      </c>
      <c r="M3551" s="2" t="s">
        <v>80</v>
      </c>
      <c r="P3551" s="2" t="s">
        <v>93</v>
      </c>
      <c r="Q3551" s="2" t="s">
        <v>94</v>
      </c>
      <c r="R3551" s="2" t="s">
        <v>95</v>
      </c>
      <c r="S3551" s="2">
        <v>1</v>
      </c>
      <c r="T3551" s="2">
        <v>1.48</v>
      </c>
      <c r="U3551" s="2">
        <v>0.34039999999999998</v>
      </c>
      <c r="V3551" s="2">
        <v>1.8204</v>
      </c>
      <c r="W3551" s="2">
        <v>1.48</v>
      </c>
      <c r="X3551" s="5">
        <f t="shared" si="519"/>
        <v>0</v>
      </c>
      <c r="Z3551" s="2" t="s">
        <v>3227</v>
      </c>
      <c r="AA3551" s="2" t="s">
        <v>96</v>
      </c>
      <c r="AB3551" s="2" t="s">
        <v>76</v>
      </c>
      <c r="AC3551" s="2" t="s">
        <v>93</v>
      </c>
      <c r="AF3551" s="2">
        <f t="shared" si="511"/>
        <v>0</v>
      </c>
      <c r="AJ3551" s="2">
        <f t="shared" si="512"/>
        <v>0</v>
      </c>
      <c r="AK3551" s="2">
        <f t="shared" si="520"/>
        <v>0</v>
      </c>
      <c r="AL3551" s="5">
        <f t="shared" si="521"/>
        <v>0</v>
      </c>
    </row>
    <row r="3552" spans="1:38" x14ac:dyDescent="0.2">
      <c r="A3552" s="2">
        <v>2026</v>
      </c>
      <c r="B3552" s="2">
        <v>3</v>
      </c>
      <c r="D3552" s="2" t="s">
        <v>996</v>
      </c>
      <c r="P3552" s="2" t="s">
        <v>93</v>
      </c>
      <c r="Q3552" s="2" t="s">
        <v>94</v>
      </c>
      <c r="R3552" s="2" t="s">
        <v>95</v>
      </c>
      <c r="S3552" s="2">
        <v>1</v>
      </c>
      <c r="T3552" s="2">
        <v>1.48</v>
      </c>
      <c r="U3552" s="2">
        <v>0.34039999999999998</v>
      </c>
      <c r="V3552" s="2">
        <v>1.8204</v>
      </c>
      <c r="W3552" s="2">
        <v>1.48</v>
      </c>
      <c r="X3552" s="5">
        <f t="shared" si="519"/>
        <v>0</v>
      </c>
      <c r="Z3552" s="2" t="s">
        <v>3227</v>
      </c>
      <c r="AA3552" s="2" t="s">
        <v>96</v>
      </c>
      <c r="AB3552" s="2" t="s">
        <v>76</v>
      </c>
      <c r="AC3552" s="2" t="s">
        <v>93</v>
      </c>
      <c r="AF3552" s="2">
        <f t="shared" si="511"/>
        <v>0</v>
      </c>
      <c r="AJ3552" s="2">
        <f t="shared" si="512"/>
        <v>0</v>
      </c>
      <c r="AK3552" s="2">
        <f t="shared" si="520"/>
        <v>0</v>
      </c>
      <c r="AL3552" s="5">
        <f t="shared" si="521"/>
        <v>0</v>
      </c>
    </row>
    <row r="3553" spans="1:38" x14ac:dyDescent="0.2">
      <c r="A3553" s="2">
        <v>2026</v>
      </c>
      <c r="B3553" s="2">
        <v>3</v>
      </c>
      <c r="D3553" s="2" t="s">
        <v>774</v>
      </c>
      <c r="P3553" s="2" t="s">
        <v>93</v>
      </c>
      <c r="Q3553" s="2" t="s">
        <v>94</v>
      </c>
      <c r="R3553" s="2" t="s">
        <v>95</v>
      </c>
      <c r="S3553" s="2">
        <v>1</v>
      </c>
      <c r="T3553" s="2">
        <v>1.48</v>
      </c>
      <c r="U3553" s="2">
        <v>0.34039999999999998</v>
      </c>
      <c r="V3553" s="2">
        <v>1.8204</v>
      </c>
      <c r="W3553" s="2">
        <v>1.48</v>
      </c>
      <c r="X3553" s="5">
        <f t="shared" si="519"/>
        <v>0</v>
      </c>
      <c r="Z3553" s="2" t="s">
        <v>3227</v>
      </c>
      <c r="AA3553" s="2" t="s">
        <v>96</v>
      </c>
      <c r="AB3553" s="2" t="s">
        <v>76</v>
      </c>
      <c r="AC3553" s="2" t="s">
        <v>93</v>
      </c>
      <c r="AF3553" s="2">
        <f t="shared" si="511"/>
        <v>0</v>
      </c>
      <c r="AJ3553" s="2">
        <f t="shared" si="512"/>
        <v>0</v>
      </c>
      <c r="AK3553" s="2">
        <f t="shared" si="520"/>
        <v>0</v>
      </c>
      <c r="AL3553" s="5">
        <f t="shared" si="521"/>
        <v>0</v>
      </c>
    </row>
    <row r="3554" spans="1:38" x14ac:dyDescent="0.2">
      <c r="A3554" s="2">
        <v>2026</v>
      </c>
      <c r="B3554" s="2">
        <v>3</v>
      </c>
      <c r="D3554" s="2" t="s">
        <v>428</v>
      </c>
      <c r="E3554" s="2" t="s">
        <v>38</v>
      </c>
      <c r="G3554" s="2">
        <v>500820384</v>
      </c>
      <c r="H3554" s="2" t="s">
        <v>40</v>
      </c>
      <c r="I3554" s="2" t="s">
        <v>429</v>
      </c>
      <c r="J3554" s="2" t="s">
        <v>430</v>
      </c>
      <c r="L3554" s="2" t="s">
        <v>99</v>
      </c>
      <c r="M3554" s="2" t="s">
        <v>80</v>
      </c>
      <c r="O3554" s="2" t="s">
        <v>2710</v>
      </c>
      <c r="P3554" s="2" t="s">
        <v>93</v>
      </c>
      <c r="Q3554" s="2" t="s">
        <v>94</v>
      </c>
      <c r="R3554" s="2" t="s">
        <v>95</v>
      </c>
      <c r="S3554" s="2">
        <v>1</v>
      </c>
      <c r="T3554" s="2">
        <v>1.48</v>
      </c>
      <c r="U3554" s="2">
        <v>0.34039999999999998</v>
      </c>
      <c r="V3554" s="2">
        <v>1.8204</v>
      </c>
      <c r="W3554" s="2">
        <v>1.48</v>
      </c>
      <c r="X3554" s="5">
        <f t="shared" si="519"/>
        <v>0</v>
      </c>
      <c r="Z3554" s="2" t="s">
        <v>3227</v>
      </c>
      <c r="AA3554" s="2" t="s">
        <v>96</v>
      </c>
      <c r="AB3554" s="2" t="s">
        <v>76</v>
      </c>
      <c r="AC3554" s="2" t="s">
        <v>93</v>
      </c>
      <c r="AF3554" s="2">
        <f t="shared" si="511"/>
        <v>0</v>
      </c>
      <c r="AJ3554" s="2">
        <f t="shared" si="512"/>
        <v>0</v>
      </c>
      <c r="AK3554" s="2">
        <f t="shared" si="520"/>
        <v>0</v>
      </c>
      <c r="AL3554" s="5">
        <f t="shared" si="521"/>
        <v>0</v>
      </c>
    </row>
    <row r="3555" spans="1:38" x14ac:dyDescent="0.2">
      <c r="A3555" s="2">
        <v>2026</v>
      </c>
      <c r="B3555" s="2">
        <v>3</v>
      </c>
      <c r="D3555" s="2" t="s">
        <v>1553</v>
      </c>
      <c r="E3555" s="2" t="s">
        <v>108</v>
      </c>
      <c r="F3555" s="2" t="s">
        <v>717</v>
      </c>
      <c r="G3555" s="2">
        <v>500975914</v>
      </c>
      <c r="H3555" s="2" t="s">
        <v>41</v>
      </c>
      <c r="I3555" s="2" t="s">
        <v>1554</v>
      </c>
      <c r="J3555" s="2" t="s">
        <v>1555</v>
      </c>
      <c r="L3555" s="2" t="s">
        <v>177</v>
      </c>
      <c r="M3555" s="2" t="s">
        <v>41</v>
      </c>
      <c r="P3555" s="2" t="s">
        <v>93</v>
      </c>
      <c r="Q3555" s="2" t="s">
        <v>94</v>
      </c>
      <c r="R3555" s="2" t="s">
        <v>95</v>
      </c>
      <c r="S3555" s="2">
        <v>1</v>
      </c>
      <c r="T3555" s="2">
        <v>1.48</v>
      </c>
      <c r="U3555" s="2">
        <v>0.34039999999999998</v>
      </c>
      <c r="V3555" s="2">
        <v>1.8204</v>
      </c>
      <c r="W3555" s="2">
        <v>1.48</v>
      </c>
      <c r="X3555" s="5">
        <f t="shared" si="519"/>
        <v>0</v>
      </c>
      <c r="Z3555" s="2" t="s">
        <v>3227</v>
      </c>
      <c r="AA3555" s="2" t="s">
        <v>96</v>
      </c>
      <c r="AB3555" s="2" t="s">
        <v>76</v>
      </c>
      <c r="AC3555" s="2" t="s">
        <v>93</v>
      </c>
      <c r="AF3555" s="2">
        <f t="shared" si="511"/>
        <v>0</v>
      </c>
      <c r="AJ3555" s="2">
        <f t="shared" si="512"/>
        <v>0</v>
      </c>
      <c r="AK3555" s="2">
        <f t="shared" si="520"/>
        <v>0</v>
      </c>
      <c r="AL3555" s="5">
        <f t="shared" si="521"/>
        <v>0</v>
      </c>
    </row>
    <row r="3556" spans="1:38" x14ac:dyDescent="0.2">
      <c r="A3556" s="2">
        <v>2026</v>
      </c>
      <c r="B3556" s="2">
        <v>3</v>
      </c>
      <c r="D3556" s="2" t="s">
        <v>2714</v>
      </c>
      <c r="M3556" s="2" t="s">
        <v>80</v>
      </c>
      <c r="P3556" s="2" t="s">
        <v>93</v>
      </c>
      <c r="Q3556" s="2" t="s">
        <v>94</v>
      </c>
      <c r="R3556" s="2" t="s">
        <v>95</v>
      </c>
      <c r="S3556" s="2">
        <v>1</v>
      </c>
      <c r="T3556" s="2">
        <v>1.48</v>
      </c>
      <c r="U3556" s="2">
        <v>0.34039999999999998</v>
      </c>
      <c r="V3556" s="2">
        <v>1.8204</v>
      </c>
      <c r="W3556" s="2">
        <v>1.48</v>
      </c>
      <c r="X3556" s="5">
        <f t="shared" si="519"/>
        <v>0</v>
      </c>
      <c r="Z3556" s="2" t="s">
        <v>3227</v>
      </c>
      <c r="AA3556" s="2" t="s">
        <v>96</v>
      </c>
      <c r="AB3556" s="2" t="s">
        <v>76</v>
      </c>
      <c r="AC3556" s="2" t="s">
        <v>93</v>
      </c>
      <c r="AF3556" s="2">
        <f t="shared" si="511"/>
        <v>0</v>
      </c>
      <c r="AJ3556" s="2">
        <f t="shared" si="512"/>
        <v>0</v>
      </c>
      <c r="AK3556" s="2">
        <f t="shared" si="520"/>
        <v>0</v>
      </c>
      <c r="AL3556" s="5">
        <f t="shared" si="521"/>
        <v>0</v>
      </c>
    </row>
    <row r="3557" spans="1:38" x14ac:dyDescent="0.2">
      <c r="A3557" s="2">
        <v>2026</v>
      </c>
      <c r="B3557" s="2">
        <v>3</v>
      </c>
      <c r="D3557" s="2" t="s">
        <v>2143</v>
      </c>
      <c r="I3557" s="2" t="s">
        <v>315</v>
      </c>
      <c r="L3557" s="2" t="s">
        <v>99</v>
      </c>
      <c r="M3557" s="2" t="s">
        <v>80</v>
      </c>
      <c r="P3557" s="2" t="s">
        <v>93</v>
      </c>
      <c r="Q3557" s="2" t="s">
        <v>94</v>
      </c>
      <c r="R3557" s="2" t="s">
        <v>95</v>
      </c>
      <c r="S3557" s="2">
        <v>1</v>
      </c>
      <c r="T3557" s="2">
        <v>1.48</v>
      </c>
      <c r="U3557" s="2">
        <v>0.34039999999999998</v>
      </c>
      <c r="V3557" s="2">
        <v>1.8204</v>
      </c>
      <c r="W3557" s="2">
        <v>1.48</v>
      </c>
      <c r="X3557" s="5">
        <f t="shared" si="519"/>
        <v>0</v>
      </c>
      <c r="Z3557" s="2" t="s">
        <v>3227</v>
      </c>
      <c r="AA3557" s="2" t="s">
        <v>96</v>
      </c>
      <c r="AB3557" s="2" t="s">
        <v>76</v>
      </c>
      <c r="AC3557" s="2" t="s">
        <v>93</v>
      </c>
      <c r="AF3557" s="2">
        <f t="shared" si="511"/>
        <v>0</v>
      </c>
      <c r="AJ3557" s="2">
        <f t="shared" si="512"/>
        <v>0</v>
      </c>
      <c r="AK3557" s="2">
        <f t="shared" si="520"/>
        <v>0</v>
      </c>
      <c r="AL3557" s="5">
        <f t="shared" si="521"/>
        <v>0</v>
      </c>
    </row>
    <row r="3558" spans="1:38" x14ac:dyDescent="0.2">
      <c r="A3558" s="2">
        <v>2026</v>
      </c>
      <c r="B3558" s="2">
        <v>3</v>
      </c>
      <c r="C3558" s="2" t="s">
        <v>3421</v>
      </c>
      <c r="D3558" s="2" t="s">
        <v>485</v>
      </c>
      <c r="E3558" s="2" t="s">
        <v>108</v>
      </c>
      <c r="F3558" s="2" t="s">
        <v>39</v>
      </c>
      <c r="G3558" s="2">
        <v>506834689</v>
      </c>
      <c r="H3558" s="2" t="s">
        <v>41</v>
      </c>
      <c r="I3558" s="2" t="s">
        <v>486</v>
      </c>
      <c r="J3558" s="2" t="s">
        <v>487</v>
      </c>
      <c r="K3558" s="2">
        <v>919866237</v>
      </c>
      <c r="L3558" s="2" t="s">
        <v>461</v>
      </c>
      <c r="M3558" s="2" t="s">
        <v>41</v>
      </c>
      <c r="P3558" s="2" t="s">
        <v>93</v>
      </c>
      <c r="Q3558" s="2" t="s">
        <v>94</v>
      </c>
      <c r="R3558" s="2" t="s">
        <v>95</v>
      </c>
      <c r="S3558" s="2">
        <v>1</v>
      </c>
      <c r="T3558" s="2">
        <v>1.48</v>
      </c>
      <c r="U3558" s="2">
        <v>0.34039999999999998</v>
      </c>
      <c r="V3558" s="2">
        <v>1.8204</v>
      </c>
      <c r="W3558" s="2">
        <v>1.48</v>
      </c>
      <c r="X3558" s="5">
        <f t="shared" si="519"/>
        <v>0</v>
      </c>
      <c r="Z3558" s="2" t="s">
        <v>3227</v>
      </c>
      <c r="AA3558" s="2" t="s">
        <v>96</v>
      </c>
      <c r="AB3558" s="2" t="s">
        <v>76</v>
      </c>
      <c r="AC3558" s="2" t="s">
        <v>93</v>
      </c>
      <c r="AF3558" s="2">
        <f t="shared" si="511"/>
        <v>0</v>
      </c>
      <c r="AJ3558" s="2">
        <f t="shared" si="512"/>
        <v>0</v>
      </c>
      <c r="AK3558" s="2">
        <f t="shared" si="520"/>
        <v>0</v>
      </c>
      <c r="AL3558" s="5">
        <f t="shared" si="521"/>
        <v>0</v>
      </c>
    </row>
    <row r="3559" spans="1:38" x14ac:dyDescent="0.2">
      <c r="A3559" s="2">
        <v>2026</v>
      </c>
      <c r="B3559" s="2">
        <v>3</v>
      </c>
      <c r="D3559" s="2" t="s">
        <v>1255</v>
      </c>
      <c r="M3559" s="2" t="s">
        <v>80</v>
      </c>
      <c r="P3559" s="2" t="s">
        <v>93</v>
      </c>
      <c r="Q3559" s="2" t="s">
        <v>94</v>
      </c>
      <c r="R3559" s="2" t="s">
        <v>95</v>
      </c>
      <c r="S3559" s="2">
        <v>2</v>
      </c>
      <c r="T3559" s="2">
        <v>2.96</v>
      </c>
      <c r="U3559" s="2">
        <v>0.68080000000000007</v>
      </c>
      <c r="V3559" s="2">
        <v>3.6408</v>
      </c>
      <c r="W3559" s="2">
        <v>2.96</v>
      </c>
      <c r="X3559" s="5">
        <f t="shared" si="519"/>
        <v>0</v>
      </c>
      <c r="Z3559" s="2" t="s">
        <v>3227</v>
      </c>
      <c r="AA3559" s="2" t="s">
        <v>96</v>
      </c>
      <c r="AB3559" s="2" t="s">
        <v>76</v>
      </c>
      <c r="AC3559" s="2" t="s">
        <v>93</v>
      </c>
      <c r="AF3559" s="2">
        <f t="shared" si="511"/>
        <v>0</v>
      </c>
      <c r="AJ3559" s="2">
        <f t="shared" si="512"/>
        <v>0</v>
      </c>
      <c r="AK3559" s="2">
        <f t="shared" si="520"/>
        <v>0</v>
      </c>
      <c r="AL3559" s="5">
        <f t="shared" si="521"/>
        <v>0</v>
      </c>
    </row>
    <row r="3560" spans="1:38" x14ac:dyDescent="0.2">
      <c r="A3560" s="2">
        <v>2026</v>
      </c>
      <c r="B3560" s="2">
        <v>3</v>
      </c>
      <c r="D3560" s="2" t="s">
        <v>1256</v>
      </c>
      <c r="P3560" s="2" t="s">
        <v>93</v>
      </c>
      <c r="Q3560" s="2" t="s">
        <v>94</v>
      </c>
      <c r="R3560" s="2" t="s">
        <v>95</v>
      </c>
      <c r="S3560" s="2">
        <v>1</v>
      </c>
      <c r="T3560" s="2">
        <v>1.48</v>
      </c>
      <c r="U3560" s="2">
        <v>0.34039999999999998</v>
      </c>
      <c r="V3560" s="2">
        <v>1.8204</v>
      </c>
      <c r="W3560" s="2">
        <v>1.48</v>
      </c>
      <c r="X3560" s="5">
        <f t="shared" si="519"/>
        <v>0</v>
      </c>
      <c r="Z3560" s="2" t="s">
        <v>3227</v>
      </c>
      <c r="AA3560" s="2" t="s">
        <v>96</v>
      </c>
      <c r="AB3560" s="2" t="s">
        <v>76</v>
      </c>
      <c r="AC3560" s="2" t="s">
        <v>93</v>
      </c>
      <c r="AF3560" s="2">
        <f t="shared" si="511"/>
        <v>0</v>
      </c>
      <c r="AJ3560" s="2">
        <f t="shared" si="512"/>
        <v>0</v>
      </c>
      <c r="AK3560" s="2">
        <f t="shared" si="520"/>
        <v>0</v>
      </c>
      <c r="AL3560" s="5">
        <f t="shared" si="521"/>
        <v>0</v>
      </c>
    </row>
    <row r="3561" spans="1:38" x14ac:dyDescent="0.2">
      <c r="A3561" s="2">
        <v>2026</v>
      </c>
      <c r="B3561" s="2">
        <v>3</v>
      </c>
      <c r="D3561" s="2" t="s">
        <v>1053</v>
      </c>
      <c r="E3561" s="2" t="s">
        <v>183</v>
      </c>
      <c r="F3561" s="2" t="s">
        <v>1054</v>
      </c>
      <c r="G3561" s="2">
        <v>500199523</v>
      </c>
      <c r="H3561" s="2" t="s">
        <v>290</v>
      </c>
      <c r="I3561" s="2" t="s">
        <v>293</v>
      </c>
      <c r="J3561" s="2" t="s">
        <v>1055</v>
      </c>
      <c r="L3561" s="2" t="s">
        <v>293</v>
      </c>
      <c r="M3561" s="2" t="s">
        <v>80</v>
      </c>
      <c r="O3561" s="2" t="s">
        <v>2773</v>
      </c>
      <c r="P3561" s="2" t="s">
        <v>93</v>
      </c>
      <c r="Q3561" s="2" t="s">
        <v>94</v>
      </c>
      <c r="R3561" s="2" t="s">
        <v>95</v>
      </c>
      <c r="S3561" s="2">
        <v>3</v>
      </c>
      <c r="T3561" s="2">
        <v>4.4400000000000004</v>
      </c>
      <c r="U3561" s="2">
        <v>1.0212000000000001</v>
      </c>
      <c r="V3561" s="2">
        <v>5.4612000000000007</v>
      </c>
      <c r="W3561" s="2">
        <v>4.4400000000000004</v>
      </c>
      <c r="X3561" s="5">
        <f t="shared" si="519"/>
        <v>0</v>
      </c>
      <c r="Z3561" s="2" t="s">
        <v>3227</v>
      </c>
      <c r="AA3561" s="2" t="s">
        <v>96</v>
      </c>
      <c r="AB3561" s="2" t="s">
        <v>76</v>
      </c>
      <c r="AC3561" s="2" t="s">
        <v>93</v>
      </c>
      <c r="AF3561" s="2">
        <f t="shared" si="511"/>
        <v>0</v>
      </c>
      <c r="AJ3561" s="2">
        <f t="shared" si="512"/>
        <v>0</v>
      </c>
      <c r="AK3561" s="2">
        <f t="shared" si="520"/>
        <v>0</v>
      </c>
      <c r="AL3561" s="5">
        <f t="shared" si="521"/>
        <v>0</v>
      </c>
    </row>
    <row r="3562" spans="1:38" x14ac:dyDescent="0.2">
      <c r="A3562" s="2">
        <v>2026</v>
      </c>
      <c r="B3562" s="2">
        <v>3</v>
      </c>
      <c r="D3562" s="2" t="s">
        <v>507</v>
      </c>
      <c r="E3562" s="2" t="s">
        <v>38</v>
      </c>
      <c r="F3562" s="2" t="s">
        <v>39</v>
      </c>
      <c r="G3562" s="2">
        <v>514446170</v>
      </c>
      <c r="H3562" s="2" t="s">
        <v>41</v>
      </c>
      <c r="I3562" s="2" t="s">
        <v>177</v>
      </c>
      <c r="J3562" s="2" t="s">
        <v>3134</v>
      </c>
      <c r="L3562" s="2" t="s">
        <v>177</v>
      </c>
      <c r="M3562" s="2" t="s">
        <v>41</v>
      </c>
      <c r="O3562" s="2" t="s">
        <v>2731</v>
      </c>
      <c r="P3562" s="2" t="s">
        <v>93</v>
      </c>
      <c r="Q3562" s="2" t="s">
        <v>94</v>
      </c>
      <c r="R3562" s="2" t="s">
        <v>95</v>
      </c>
      <c r="S3562" s="2">
        <v>1</v>
      </c>
      <c r="T3562" s="2">
        <v>1.48</v>
      </c>
      <c r="U3562" s="2">
        <v>0.34039999999999998</v>
      </c>
      <c r="V3562" s="2">
        <v>1.8204</v>
      </c>
      <c r="W3562" s="2">
        <v>1.48</v>
      </c>
      <c r="X3562" s="5">
        <f t="shared" si="519"/>
        <v>0</v>
      </c>
      <c r="Z3562" s="2" t="s">
        <v>3227</v>
      </c>
      <c r="AA3562" s="2" t="s">
        <v>96</v>
      </c>
      <c r="AB3562" s="2" t="s">
        <v>76</v>
      </c>
      <c r="AC3562" s="2" t="s">
        <v>93</v>
      </c>
      <c r="AF3562" s="2">
        <f t="shared" si="511"/>
        <v>0</v>
      </c>
      <c r="AJ3562" s="2">
        <f t="shared" si="512"/>
        <v>0</v>
      </c>
      <c r="AK3562" s="2">
        <f t="shared" si="520"/>
        <v>0</v>
      </c>
      <c r="AL3562" s="5">
        <f t="shared" si="521"/>
        <v>0</v>
      </c>
    </row>
    <row r="3563" spans="1:38" x14ac:dyDescent="0.2">
      <c r="A3563" s="2">
        <v>2026</v>
      </c>
      <c r="B3563" s="2">
        <v>3</v>
      </c>
      <c r="D3563" s="2" t="s">
        <v>2725</v>
      </c>
      <c r="P3563" s="2" t="s">
        <v>93</v>
      </c>
      <c r="Q3563" s="2" t="s">
        <v>94</v>
      </c>
      <c r="R3563" s="2" t="s">
        <v>95</v>
      </c>
      <c r="S3563" s="2">
        <v>1</v>
      </c>
      <c r="T3563" s="2">
        <v>1.48</v>
      </c>
      <c r="U3563" s="2">
        <v>0.34039999999999998</v>
      </c>
      <c r="V3563" s="2">
        <v>1.8204</v>
      </c>
      <c r="W3563" s="2">
        <v>1.48</v>
      </c>
      <c r="X3563" s="5">
        <f t="shared" si="519"/>
        <v>0</v>
      </c>
      <c r="Z3563" s="2" t="s">
        <v>3227</v>
      </c>
      <c r="AA3563" s="2" t="s">
        <v>96</v>
      </c>
      <c r="AB3563" s="2" t="s">
        <v>76</v>
      </c>
      <c r="AC3563" s="2" t="s">
        <v>93</v>
      </c>
      <c r="AF3563" s="2">
        <f t="shared" si="511"/>
        <v>0</v>
      </c>
      <c r="AJ3563" s="2">
        <f t="shared" si="512"/>
        <v>0</v>
      </c>
      <c r="AK3563" s="2">
        <f t="shared" si="520"/>
        <v>0</v>
      </c>
      <c r="AL3563" s="5">
        <f t="shared" si="521"/>
        <v>0</v>
      </c>
    </row>
    <row r="3564" spans="1:38" x14ac:dyDescent="0.2">
      <c r="A3564" s="2">
        <v>2026</v>
      </c>
      <c r="B3564" s="2">
        <v>3</v>
      </c>
      <c r="D3564" s="2" t="s">
        <v>1418</v>
      </c>
      <c r="E3564" s="2" t="s">
        <v>108</v>
      </c>
      <c r="F3564" s="2" t="s">
        <v>39</v>
      </c>
      <c r="G3564" s="2">
        <v>502696338</v>
      </c>
      <c r="H3564" s="2" t="s">
        <v>40</v>
      </c>
      <c r="I3564" s="2" t="s">
        <v>2411</v>
      </c>
      <c r="J3564" s="2" t="s">
        <v>2412</v>
      </c>
      <c r="L3564" s="2" t="s">
        <v>201</v>
      </c>
      <c r="M3564" s="2" t="s">
        <v>80</v>
      </c>
      <c r="O3564" s="2" t="s">
        <v>2718</v>
      </c>
      <c r="P3564" s="2" t="s">
        <v>93</v>
      </c>
      <c r="Q3564" s="2" t="s">
        <v>94</v>
      </c>
      <c r="R3564" s="2" t="s">
        <v>95</v>
      </c>
      <c r="S3564" s="2">
        <v>1</v>
      </c>
      <c r="T3564" s="2">
        <v>1.48</v>
      </c>
      <c r="U3564" s="2">
        <v>0.34039999999999998</v>
      </c>
      <c r="V3564" s="2">
        <v>1.8204</v>
      </c>
      <c r="W3564" s="2">
        <v>1.48</v>
      </c>
      <c r="X3564" s="5">
        <f t="shared" si="519"/>
        <v>0</v>
      </c>
      <c r="Z3564" s="2" t="s">
        <v>3227</v>
      </c>
      <c r="AA3564" s="2" t="s">
        <v>96</v>
      </c>
      <c r="AB3564" s="2" t="s">
        <v>76</v>
      </c>
      <c r="AC3564" s="2" t="s">
        <v>93</v>
      </c>
      <c r="AF3564" s="2">
        <f t="shared" si="511"/>
        <v>0</v>
      </c>
      <c r="AJ3564" s="2">
        <f t="shared" si="512"/>
        <v>0</v>
      </c>
      <c r="AK3564" s="2">
        <f t="shared" si="520"/>
        <v>0</v>
      </c>
      <c r="AL3564" s="5">
        <f t="shared" si="521"/>
        <v>0</v>
      </c>
    </row>
    <row r="3565" spans="1:38" x14ac:dyDescent="0.2">
      <c r="A3565" s="2">
        <v>2026</v>
      </c>
      <c r="B3565" s="2">
        <v>3</v>
      </c>
      <c r="D3565" s="2" t="s">
        <v>1419</v>
      </c>
      <c r="E3565" s="2" t="s">
        <v>108</v>
      </c>
      <c r="F3565" s="2" t="s">
        <v>39</v>
      </c>
      <c r="G3565" s="2">
        <v>513795855</v>
      </c>
      <c r="H3565" s="2" t="s">
        <v>41</v>
      </c>
      <c r="I3565" s="2" t="s">
        <v>1272</v>
      </c>
      <c r="J3565" s="2" t="s">
        <v>2394</v>
      </c>
      <c r="L3565" s="2" t="s">
        <v>177</v>
      </c>
      <c r="M3565" s="2" t="s">
        <v>41</v>
      </c>
      <c r="P3565" s="2" t="s">
        <v>93</v>
      </c>
      <c r="Q3565" s="2" t="s">
        <v>94</v>
      </c>
      <c r="R3565" s="2" t="s">
        <v>95</v>
      </c>
      <c r="S3565" s="2">
        <v>1</v>
      </c>
      <c r="T3565" s="2">
        <v>1.48</v>
      </c>
      <c r="U3565" s="2">
        <v>0.34039999999999998</v>
      </c>
      <c r="V3565" s="2">
        <v>1.8204</v>
      </c>
      <c r="W3565" s="2">
        <v>1.48</v>
      </c>
      <c r="X3565" s="5">
        <f t="shared" si="519"/>
        <v>0</v>
      </c>
      <c r="Z3565" s="2" t="s">
        <v>3227</v>
      </c>
      <c r="AA3565" s="2" t="s">
        <v>96</v>
      </c>
      <c r="AB3565" s="2" t="s">
        <v>76</v>
      </c>
      <c r="AC3565" s="2" t="s">
        <v>93</v>
      </c>
      <c r="AF3565" s="2">
        <f t="shared" si="511"/>
        <v>0</v>
      </c>
      <c r="AJ3565" s="2">
        <f t="shared" si="512"/>
        <v>0</v>
      </c>
      <c r="AK3565" s="2">
        <f t="shared" si="520"/>
        <v>0</v>
      </c>
      <c r="AL3565" s="5">
        <f t="shared" si="521"/>
        <v>0</v>
      </c>
    </row>
    <row r="3566" spans="1:38" x14ac:dyDescent="0.2">
      <c r="A3566" s="2">
        <v>2026</v>
      </c>
      <c r="B3566" s="2">
        <v>3</v>
      </c>
      <c r="D3566" s="2" t="s">
        <v>549</v>
      </c>
      <c r="E3566" s="2" t="s">
        <v>108</v>
      </c>
      <c r="F3566" s="2" t="s">
        <v>395</v>
      </c>
      <c r="G3566" s="2">
        <v>503641790</v>
      </c>
      <c r="H3566" s="2" t="s">
        <v>40</v>
      </c>
      <c r="I3566" s="2" t="s">
        <v>550</v>
      </c>
      <c r="J3566" s="2" t="s">
        <v>551</v>
      </c>
      <c r="K3566" s="2">
        <v>917753665</v>
      </c>
      <c r="L3566" s="2" t="s">
        <v>99</v>
      </c>
      <c r="M3566" s="2" t="s">
        <v>80</v>
      </c>
      <c r="O3566" s="2" t="s">
        <v>2708</v>
      </c>
      <c r="P3566" s="2" t="s">
        <v>93</v>
      </c>
      <c r="Q3566" s="2" t="s">
        <v>94</v>
      </c>
      <c r="R3566" s="2" t="s">
        <v>95</v>
      </c>
      <c r="S3566" s="2">
        <v>1</v>
      </c>
      <c r="T3566" s="2">
        <v>1.48</v>
      </c>
      <c r="U3566" s="2">
        <v>0.34039999999999998</v>
      </c>
      <c r="V3566" s="2">
        <v>1.8204</v>
      </c>
      <c r="W3566" s="2">
        <v>1.48</v>
      </c>
      <c r="X3566" s="5">
        <f t="shared" si="519"/>
        <v>0</v>
      </c>
      <c r="Z3566" s="2" t="s">
        <v>3227</v>
      </c>
      <c r="AA3566" s="2" t="s">
        <v>96</v>
      </c>
      <c r="AB3566" s="2" t="s">
        <v>76</v>
      </c>
      <c r="AC3566" s="2" t="s">
        <v>93</v>
      </c>
      <c r="AF3566" s="2">
        <f t="shared" si="511"/>
        <v>0</v>
      </c>
      <c r="AG3566" s="2">
        <v>1.48</v>
      </c>
      <c r="AH3566" s="2">
        <v>1.48</v>
      </c>
      <c r="AJ3566" s="2">
        <f t="shared" si="512"/>
        <v>0</v>
      </c>
      <c r="AK3566" s="2">
        <f t="shared" si="520"/>
        <v>0</v>
      </c>
      <c r="AL3566" s="5">
        <f t="shared" si="521"/>
        <v>0</v>
      </c>
    </row>
    <row r="3567" spans="1:38" x14ac:dyDescent="0.2">
      <c r="A3567" s="2">
        <v>2026</v>
      </c>
      <c r="B3567" s="2">
        <v>3</v>
      </c>
      <c r="D3567" s="2" t="s">
        <v>558</v>
      </c>
      <c r="E3567" s="2" t="s">
        <v>108</v>
      </c>
      <c r="F3567" s="2" t="s">
        <v>39</v>
      </c>
      <c r="G3567" s="2">
        <v>506517233</v>
      </c>
      <c r="H3567" s="2" t="s">
        <v>80</v>
      </c>
      <c r="I3567" s="2" t="s">
        <v>559</v>
      </c>
      <c r="J3567" s="2" t="s">
        <v>560</v>
      </c>
      <c r="L3567" s="2" t="s">
        <v>133</v>
      </c>
      <c r="M3567" s="2" t="s">
        <v>80</v>
      </c>
      <c r="P3567" s="2" t="s">
        <v>93</v>
      </c>
      <c r="Q3567" s="2" t="s">
        <v>94</v>
      </c>
      <c r="R3567" s="2" t="s">
        <v>95</v>
      </c>
      <c r="S3567" s="2">
        <v>2</v>
      </c>
      <c r="T3567" s="2">
        <v>2.96</v>
      </c>
      <c r="U3567" s="2">
        <v>0.68080000000000007</v>
      </c>
      <c r="V3567" s="2">
        <v>3.6408</v>
      </c>
      <c r="W3567" s="2">
        <v>2.96</v>
      </c>
      <c r="X3567" s="5">
        <f t="shared" si="519"/>
        <v>0</v>
      </c>
      <c r="Z3567" s="2" t="s">
        <v>3227</v>
      </c>
      <c r="AA3567" s="2" t="s">
        <v>96</v>
      </c>
      <c r="AB3567" s="2" t="s">
        <v>76</v>
      </c>
      <c r="AC3567" s="2" t="s">
        <v>93</v>
      </c>
      <c r="AF3567" s="2">
        <f t="shared" si="511"/>
        <v>0</v>
      </c>
      <c r="AJ3567" s="2">
        <f t="shared" si="512"/>
        <v>0</v>
      </c>
      <c r="AK3567" s="2">
        <f t="shared" si="520"/>
        <v>0</v>
      </c>
      <c r="AL3567" s="5">
        <f t="shared" si="521"/>
        <v>0</v>
      </c>
    </row>
    <row r="3568" spans="1:38" x14ac:dyDescent="0.2">
      <c r="A3568" s="2">
        <v>2026</v>
      </c>
      <c r="B3568" s="2">
        <v>3</v>
      </c>
      <c r="D3568" s="2" t="s">
        <v>2559</v>
      </c>
      <c r="M3568" s="2" t="s">
        <v>80</v>
      </c>
      <c r="P3568" s="2" t="s">
        <v>93</v>
      </c>
      <c r="Q3568" s="2" t="s">
        <v>94</v>
      </c>
      <c r="R3568" s="2" t="s">
        <v>95</v>
      </c>
      <c r="S3568" s="2">
        <v>2</v>
      </c>
      <c r="T3568" s="2">
        <v>2.96</v>
      </c>
      <c r="U3568" s="2">
        <v>0.68080000000000007</v>
      </c>
      <c r="V3568" s="2">
        <v>3.6408</v>
      </c>
      <c r="W3568" s="2">
        <v>2.96</v>
      </c>
      <c r="X3568" s="5">
        <f t="shared" si="519"/>
        <v>0</v>
      </c>
      <c r="Z3568" s="2" t="s">
        <v>3227</v>
      </c>
      <c r="AA3568" s="2" t="s">
        <v>96</v>
      </c>
      <c r="AB3568" s="2" t="s">
        <v>76</v>
      </c>
      <c r="AC3568" s="2" t="s">
        <v>93</v>
      </c>
      <c r="AF3568" s="2">
        <f t="shared" si="511"/>
        <v>0</v>
      </c>
      <c r="AJ3568" s="2">
        <f t="shared" si="512"/>
        <v>0</v>
      </c>
      <c r="AK3568" s="2">
        <f t="shared" si="520"/>
        <v>0</v>
      </c>
      <c r="AL3568" s="5">
        <f t="shared" si="521"/>
        <v>0</v>
      </c>
    </row>
    <row r="3569" spans="1:38" x14ac:dyDescent="0.2">
      <c r="A3569" s="2">
        <v>2026</v>
      </c>
      <c r="B3569" s="2">
        <v>3</v>
      </c>
      <c r="D3569" s="2" t="s">
        <v>582</v>
      </c>
      <c r="E3569" s="2" t="s">
        <v>108</v>
      </c>
      <c r="G3569" s="2">
        <v>503850276</v>
      </c>
      <c r="H3569" s="2" t="s">
        <v>40</v>
      </c>
      <c r="I3569" s="2" t="s">
        <v>583</v>
      </c>
      <c r="J3569" s="2" t="s">
        <v>584</v>
      </c>
      <c r="L3569" s="2" t="s">
        <v>201</v>
      </c>
      <c r="M3569" s="2" t="s">
        <v>80</v>
      </c>
      <c r="P3569" s="2" t="s">
        <v>93</v>
      </c>
      <c r="Q3569" s="2" t="s">
        <v>94</v>
      </c>
      <c r="R3569" s="2" t="s">
        <v>95</v>
      </c>
      <c r="S3569" s="2">
        <v>1</v>
      </c>
      <c r="T3569" s="2">
        <v>1.48</v>
      </c>
      <c r="U3569" s="2">
        <v>0.34039999999999998</v>
      </c>
      <c r="V3569" s="2">
        <v>1.8204</v>
      </c>
      <c r="W3569" s="2">
        <v>1.48</v>
      </c>
      <c r="X3569" s="5">
        <f t="shared" si="519"/>
        <v>0</v>
      </c>
      <c r="Z3569" s="2" t="s">
        <v>3227</v>
      </c>
      <c r="AA3569" s="2" t="s">
        <v>96</v>
      </c>
      <c r="AB3569" s="2" t="s">
        <v>76</v>
      </c>
      <c r="AC3569" s="2" t="s">
        <v>93</v>
      </c>
      <c r="AF3569" s="2">
        <f t="shared" si="511"/>
        <v>0</v>
      </c>
      <c r="AJ3569" s="2">
        <f t="shared" si="512"/>
        <v>0</v>
      </c>
      <c r="AK3569" s="2">
        <f t="shared" si="520"/>
        <v>0</v>
      </c>
      <c r="AL3569" s="5">
        <f t="shared" si="521"/>
        <v>0</v>
      </c>
    </row>
    <row r="3570" spans="1:38" x14ac:dyDescent="0.2">
      <c r="A3570" s="2">
        <v>2026</v>
      </c>
      <c r="B3570" s="2">
        <v>3</v>
      </c>
      <c r="D3570" s="2" t="s">
        <v>651</v>
      </c>
      <c r="E3570" s="2" t="s">
        <v>108</v>
      </c>
      <c r="F3570" s="2" t="s">
        <v>39</v>
      </c>
      <c r="G3570" s="2">
        <v>509838537</v>
      </c>
      <c r="H3570" s="2" t="s">
        <v>41</v>
      </c>
      <c r="I3570" s="2" t="s">
        <v>652</v>
      </c>
      <c r="J3570" s="2" t="s">
        <v>653</v>
      </c>
      <c r="L3570" s="2" t="s">
        <v>418</v>
      </c>
      <c r="M3570" s="2" t="s">
        <v>41</v>
      </c>
      <c r="O3570" s="2" t="s">
        <v>2709</v>
      </c>
      <c r="P3570" s="2" t="s">
        <v>93</v>
      </c>
      <c r="Q3570" s="2" t="s">
        <v>94</v>
      </c>
      <c r="R3570" s="2" t="s">
        <v>95</v>
      </c>
      <c r="S3570" s="2">
        <v>1</v>
      </c>
      <c r="T3570" s="2">
        <v>1.48</v>
      </c>
      <c r="U3570" s="2">
        <v>0.34039999999999998</v>
      </c>
      <c r="V3570" s="2">
        <v>1.8204</v>
      </c>
      <c r="W3570" s="2">
        <v>1.48</v>
      </c>
      <c r="X3570" s="5">
        <f t="shared" si="519"/>
        <v>0</v>
      </c>
      <c r="Z3570" s="2" t="s">
        <v>3227</v>
      </c>
      <c r="AA3570" s="2" t="s">
        <v>96</v>
      </c>
      <c r="AB3570" s="2" t="s">
        <v>76</v>
      </c>
      <c r="AC3570" s="2" t="s">
        <v>93</v>
      </c>
      <c r="AF3570" s="2">
        <f t="shared" si="511"/>
        <v>0</v>
      </c>
      <c r="AG3570" s="2">
        <v>1.48</v>
      </c>
      <c r="AH3570" s="2">
        <v>1.48</v>
      </c>
      <c r="AJ3570" s="2">
        <f t="shared" si="512"/>
        <v>0</v>
      </c>
      <c r="AK3570" s="2">
        <f t="shared" si="520"/>
        <v>0</v>
      </c>
      <c r="AL3570" s="5">
        <f t="shared" si="521"/>
        <v>0</v>
      </c>
    </row>
    <row r="3571" spans="1:38" x14ac:dyDescent="0.2">
      <c r="A3571" s="2">
        <v>2026</v>
      </c>
      <c r="B3571" s="2">
        <v>3</v>
      </c>
      <c r="D3571" s="2" t="s">
        <v>660</v>
      </c>
      <c r="E3571" s="2" t="s">
        <v>38</v>
      </c>
      <c r="F3571" s="2" t="s">
        <v>39</v>
      </c>
      <c r="G3571" s="2">
        <v>510651810</v>
      </c>
      <c r="H3571" s="2" t="s">
        <v>40</v>
      </c>
      <c r="I3571" s="2" t="s">
        <v>661</v>
      </c>
      <c r="J3571" s="2" t="s">
        <v>662</v>
      </c>
      <c r="L3571" s="2" t="s">
        <v>344</v>
      </c>
      <c r="M3571" s="2" t="s">
        <v>80</v>
      </c>
      <c r="P3571" s="2" t="s">
        <v>93</v>
      </c>
      <c r="Q3571" s="2" t="s">
        <v>94</v>
      </c>
      <c r="R3571" s="2" t="s">
        <v>95</v>
      </c>
      <c r="S3571" s="2">
        <v>1</v>
      </c>
      <c r="T3571" s="2">
        <v>1.48</v>
      </c>
      <c r="U3571" s="2">
        <v>0.34039999999999998</v>
      </c>
      <c r="V3571" s="2">
        <v>1.8204</v>
      </c>
      <c r="W3571" s="2">
        <v>1.48</v>
      </c>
      <c r="X3571" s="5">
        <f t="shared" si="519"/>
        <v>0</v>
      </c>
      <c r="Z3571" s="2" t="s">
        <v>3227</v>
      </c>
      <c r="AA3571" s="2" t="s">
        <v>96</v>
      </c>
      <c r="AB3571" s="2" t="s">
        <v>76</v>
      </c>
      <c r="AC3571" s="2" t="s">
        <v>93</v>
      </c>
      <c r="AF3571" s="2">
        <f t="shared" si="511"/>
        <v>0</v>
      </c>
      <c r="AJ3571" s="2">
        <f t="shared" si="512"/>
        <v>0</v>
      </c>
      <c r="AK3571" s="2">
        <f t="shared" si="520"/>
        <v>0</v>
      </c>
      <c r="AL3571" s="5">
        <f t="shared" si="521"/>
        <v>0</v>
      </c>
    </row>
    <row r="3572" spans="1:38" x14ac:dyDescent="0.2">
      <c r="A3572" s="2">
        <v>2026</v>
      </c>
      <c r="B3572" s="2">
        <v>3</v>
      </c>
      <c r="D3572" s="2" t="s">
        <v>1125</v>
      </c>
      <c r="E3572" s="2" t="s">
        <v>38</v>
      </c>
      <c r="F3572" s="2" t="s">
        <v>39</v>
      </c>
      <c r="G3572" s="2">
        <v>501551298</v>
      </c>
      <c r="H3572" s="2" t="s">
        <v>109</v>
      </c>
      <c r="I3572" s="2" t="s">
        <v>1126</v>
      </c>
      <c r="J3572" s="2" t="s">
        <v>1127</v>
      </c>
      <c r="L3572" s="2" t="s">
        <v>461</v>
      </c>
      <c r="M3572" s="2" t="s">
        <v>80</v>
      </c>
      <c r="O3572" s="2" t="s">
        <v>2722</v>
      </c>
      <c r="P3572" s="2" t="s">
        <v>93</v>
      </c>
      <c r="Q3572" s="2" t="s">
        <v>94</v>
      </c>
      <c r="R3572" s="2" t="s">
        <v>95</v>
      </c>
      <c r="S3572" s="2">
        <v>1</v>
      </c>
      <c r="T3572" s="2">
        <v>1.48</v>
      </c>
      <c r="U3572" s="2">
        <v>0.34039999999999998</v>
      </c>
      <c r="V3572" s="2">
        <v>1.8204</v>
      </c>
      <c r="W3572" s="2">
        <v>1.48</v>
      </c>
      <c r="X3572" s="5">
        <f t="shared" si="519"/>
        <v>0</v>
      </c>
      <c r="Z3572" s="2" t="s">
        <v>3227</v>
      </c>
      <c r="AA3572" s="2" t="s">
        <v>96</v>
      </c>
      <c r="AB3572" s="2" t="s">
        <v>76</v>
      </c>
      <c r="AC3572" s="2" t="s">
        <v>93</v>
      </c>
      <c r="AF3572" s="2">
        <f t="shared" si="511"/>
        <v>0</v>
      </c>
      <c r="AJ3572" s="2">
        <f t="shared" si="512"/>
        <v>0</v>
      </c>
      <c r="AK3572" s="2">
        <f t="shared" si="520"/>
        <v>0</v>
      </c>
      <c r="AL3572" s="5">
        <f t="shared" si="521"/>
        <v>0</v>
      </c>
    </row>
    <row r="3573" spans="1:38" x14ac:dyDescent="0.2">
      <c r="A3573" s="2">
        <v>2026</v>
      </c>
      <c r="B3573" s="2">
        <v>3</v>
      </c>
      <c r="D3573" s="2" t="s">
        <v>97</v>
      </c>
      <c r="E3573" s="2" t="s">
        <v>98</v>
      </c>
      <c r="F3573" s="2" t="s">
        <v>39</v>
      </c>
      <c r="G3573" s="2">
        <v>517450925</v>
      </c>
      <c r="H3573" s="2" t="s">
        <v>40</v>
      </c>
      <c r="I3573" s="2" t="s">
        <v>99</v>
      </c>
      <c r="J3573" s="2" t="s">
        <v>100</v>
      </c>
      <c r="L3573" s="2" t="s">
        <v>99</v>
      </c>
      <c r="M3573" s="2" t="s">
        <v>40</v>
      </c>
      <c r="P3573" s="2" t="s">
        <v>40</v>
      </c>
      <c r="Q3573" s="2" t="s">
        <v>363</v>
      </c>
      <c r="R3573" s="2" t="s">
        <v>364</v>
      </c>
      <c r="S3573" s="2">
        <v>4</v>
      </c>
      <c r="T3573" s="2">
        <v>576</v>
      </c>
      <c r="U3573" s="2">
        <v>132.47999999999999</v>
      </c>
      <c r="V3573" s="2">
        <v>708.48</v>
      </c>
      <c r="X3573" s="5">
        <f t="shared" si="519"/>
        <v>1</v>
      </c>
      <c r="Z3573" s="2" t="s">
        <v>119</v>
      </c>
      <c r="AA3573" s="2" t="s">
        <v>3380</v>
      </c>
      <c r="AF3573" s="2">
        <f t="shared" si="511"/>
        <v>0</v>
      </c>
      <c r="AJ3573" s="2">
        <f t="shared" si="512"/>
        <v>0</v>
      </c>
      <c r="AK3573" s="2">
        <f t="shared" si="520"/>
        <v>576</v>
      </c>
      <c r="AL3573" s="5">
        <f t="shared" si="521"/>
        <v>1</v>
      </c>
    </row>
    <row r="3574" spans="1:38" x14ac:dyDescent="0.2">
      <c r="A3574" s="2">
        <v>2026</v>
      </c>
      <c r="B3574" s="2">
        <v>3</v>
      </c>
      <c r="D3574" s="2" t="s">
        <v>382</v>
      </c>
      <c r="E3574" s="2" t="s">
        <v>38</v>
      </c>
      <c r="F3574" s="2" t="s">
        <v>39</v>
      </c>
      <c r="G3574" s="2">
        <v>212196260</v>
      </c>
      <c r="H3574" s="2" t="s">
        <v>109</v>
      </c>
      <c r="I3574" s="2" t="s">
        <v>383</v>
      </c>
      <c r="J3574" s="2" t="s">
        <v>384</v>
      </c>
      <c r="K3574" s="2">
        <v>926769894</v>
      </c>
      <c r="L3574" s="2" t="s">
        <v>112</v>
      </c>
      <c r="M3574" s="2" t="s">
        <v>109</v>
      </c>
      <c r="O3574" s="2" t="s">
        <v>2699</v>
      </c>
      <c r="P3574" s="2" t="s">
        <v>40</v>
      </c>
      <c r="Q3574" s="2" t="s">
        <v>363</v>
      </c>
      <c r="R3574" s="2" t="s">
        <v>364</v>
      </c>
      <c r="S3574" s="2">
        <v>1</v>
      </c>
      <c r="T3574" s="2">
        <v>200</v>
      </c>
      <c r="U3574" s="2">
        <v>46</v>
      </c>
      <c r="V3574" s="2">
        <v>246</v>
      </c>
      <c r="X3574" s="5">
        <f t="shared" si="519"/>
        <v>1</v>
      </c>
      <c r="Z3574" s="2" t="s">
        <v>119</v>
      </c>
      <c r="AA3574" s="2" t="s">
        <v>3380</v>
      </c>
      <c r="AF3574" s="2">
        <f t="shared" si="511"/>
        <v>0</v>
      </c>
      <c r="AJ3574" s="2">
        <f t="shared" si="512"/>
        <v>0</v>
      </c>
      <c r="AK3574" s="2">
        <f t="shared" si="520"/>
        <v>200</v>
      </c>
      <c r="AL3574" s="5">
        <f t="shared" si="521"/>
        <v>1</v>
      </c>
    </row>
    <row r="3575" spans="1:38" x14ac:dyDescent="0.2">
      <c r="A3575" s="2">
        <v>2026</v>
      </c>
      <c r="B3575" s="2">
        <v>3</v>
      </c>
      <c r="C3575" s="2" t="s">
        <v>3421</v>
      </c>
      <c r="D3575" s="2" t="s">
        <v>2774</v>
      </c>
      <c r="E3575" s="2" t="s">
        <v>108</v>
      </c>
      <c r="F3575" s="2" t="s">
        <v>39</v>
      </c>
      <c r="L3575" s="2" t="s">
        <v>2438</v>
      </c>
      <c r="M3575" s="2" t="s">
        <v>40</v>
      </c>
      <c r="P3575" s="2" t="s">
        <v>40</v>
      </c>
      <c r="Q3575" s="2" t="s">
        <v>363</v>
      </c>
      <c r="R3575" s="2" t="s">
        <v>364</v>
      </c>
      <c r="S3575" s="2">
        <v>1</v>
      </c>
      <c r="T3575" s="2">
        <v>180</v>
      </c>
      <c r="U3575" s="2">
        <v>41.4</v>
      </c>
      <c r="V3575" s="2">
        <v>221.4</v>
      </c>
      <c r="X3575" s="5">
        <f t="shared" si="519"/>
        <v>1</v>
      </c>
      <c r="Z3575" s="2" t="s">
        <v>104</v>
      </c>
      <c r="AA3575" s="2" t="s">
        <v>3422</v>
      </c>
      <c r="AB3575" s="2" t="s">
        <v>3423</v>
      </c>
      <c r="AC3575" s="2" t="s">
        <v>114</v>
      </c>
      <c r="AF3575" s="2">
        <f t="shared" si="511"/>
        <v>0</v>
      </c>
      <c r="AJ3575" s="2">
        <f t="shared" si="512"/>
        <v>0</v>
      </c>
      <c r="AK3575" s="2">
        <f t="shared" si="520"/>
        <v>180</v>
      </c>
      <c r="AL3575" s="5">
        <f t="shared" si="521"/>
        <v>1</v>
      </c>
    </row>
    <row r="3576" spans="1:38" x14ac:dyDescent="0.2">
      <c r="A3576" s="2">
        <v>2026</v>
      </c>
      <c r="B3576" s="2">
        <v>3</v>
      </c>
      <c r="D3576" s="2" t="s">
        <v>458</v>
      </c>
      <c r="E3576" s="2" t="s">
        <v>108</v>
      </c>
      <c r="F3576" s="2" t="s">
        <v>477</v>
      </c>
      <c r="G3576" s="2">
        <v>507016173</v>
      </c>
      <c r="H3576" s="2" t="s">
        <v>109</v>
      </c>
      <c r="I3576" s="2" t="s">
        <v>459</v>
      </c>
      <c r="J3576" s="2" t="s">
        <v>460</v>
      </c>
      <c r="L3576" s="2" t="s">
        <v>461</v>
      </c>
      <c r="P3576" s="2" t="s">
        <v>40</v>
      </c>
      <c r="Q3576" s="2" t="s">
        <v>363</v>
      </c>
      <c r="R3576" s="2" t="s">
        <v>364</v>
      </c>
      <c r="S3576" s="2">
        <v>1</v>
      </c>
      <c r="T3576" s="2">
        <v>180</v>
      </c>
      <c r="U3576" s="2">
        <v>41.4</v>
      </c>
      <c r="V3576" s="2">
        <v>221.4</v>
      </c>
      <c r="X3576" s="5">
        <f t="shared" si="519"/>
        <v>1</v>
      </c>
      <c r="Z3576" s="2" t="s">
        <v>119</v>
      </c>
      <c r="AA3576" s="2" t="s">
        <v>3380</v>
      </c>
      <c r="AF3576" s="2">
        <f t="shared" si="511"/>
        <v>0</v>
      </c>
      <c r="AJ3576" s="2">
        <f t="shared" si="512"/>
        <v>0</v>
      </c>
      <c r="AK3576" s="2">
        <f t="shared" si="520"/>
        <v>180</v>
      </c>
      <c r="AL3576" s="5">
        <f t="shared" si="521"/>
        <v>1</v>
      </c>
    </row>
    <row r="3577" spans="1:38" x14ac:dyDescent="0.2">
      <c r="A3577" s="2">
        <v>2026</v>
      </c>
      <c r="B3577" s="2">
        <v>3</v>
      </c>
      <c r="D3577" s="2" t="s">
        <v>2049</v>
      </c>
      <c r="P3577" s="2" t="s">
        <v>40</v>
      </c>
      <c r="Q3577" s="2" t="s">
        <v>363</v>
      </c>
      <c r="R3577" s="2" t="s">
        <v>364</v>
      </c>
      <c r="S3577" s="2">
        <v>1</v>
      </c>
      <c r="T3577" s="2">
        <v>67.2</v>
      </c>
      <c r="U3577" s="2">
        <v>15.456</v>
      </c>
      <c r="V3577" s="2">
        <v>82.656000000000006</v>
      </c>
      <c r="X3577" s="5">
        <f t="shared" si="519"/>
        <v>1</v>
      </c>
      <c r="Z3577" s="2" t="s">
        <v>119</v>
      </c>
      <c r="AA3577" s="2" t="s">
        <v>3380</v>
      </c>
      <c r="AF3577" s="2">
        <f t="shared" si="511"/>
        <v>0</v>
      </c>
      <c r="AJ3577" s="2">
        <f t="shared" si="512"/>
        <v>0</v>
      </c>
      <c r="AK3577" s="2">
        <f t="shared" si="520"/>
        <v>67.2</v>
      </c>
      <c r="AL3577" s="5">
        <f t="shared" si="521"/>
        <v>1</v>
      </c>
    </row>
    <row r="3578" spans="1:38" x14ac:dyDescent="0.2">
      <c r="A3578" s="2">
        <v>2026</v>
      </c>
      <c r="B3578" s="2">
        <v>4</v>
      </c>
      <c r="C3578" s="2" t="s">
        <v>3319</v>
      </c>
      <c r="D3578" s="2" t="s">
        <v>624</v>
      </c>
      <c r="E3578" s="2" t="s">
        <v>38</v>
      </c>
      <c r="F3578" s="2" t="s">
        <v>39</v>
      </c>
      <c r="G3578" s="2" t="s">
        <v>625</v>
      </c>
      <c r="H3578" s="2" t="s">
        <v>40</v>
      </c>
      <c r="I3578" s="2" t="s">
        <v>626</v>
      </c>
      <c r="J3578" s="2" t="s">
        <v>627</v>
      </c>
      <c r="L3578" s="2" t="s">
        <v>626</v>
      </c>
      <c r="M3578" s="2" t="s">
        <v>40</v>
      </c>
      <c r="O3578" s="2" t="s">
        <v>2775</v>
      </c>
      <c r="P3578" s="2" t="s">
        <v>114</v>
      </c>
      <c r="Q3578" s="2" t="s">
        <v>2776</v>
      </c>
      <c r="R3578" s="2" t="s">
        <v>849</v>
      </c>
      <c r="S3578" s="2">
        <v>1</v>
      </c>
      <c r="T3578" s="2">
        <v>18.989999999999998</v>
      </c>
      <c r="V3578" s="2">
        <f>T3578</f>
        <v>18.989999999999998</v>
      </c>
      <c r="W3578" s="2">
        <v>6.55</v>
      </c>
      <c r="X3578" s="5">
        <f t="shared" si="519"/>
        <v>0.6550816219062664</v>
      </c>
      <c r="Z3578" s="2" t="s">
        <v>117</v>
      </c>
      <c r="AA3578" s="2" t="s">
        <v>118</v>
      </c>
      <c r="AB3578" s="2" t="s">
        <v>119</v>
      </c>
      <c r="AC3578" s="2" t="s">
        <v>114</v>
      </c>
      <c r="AF3578" s="2">
        <f t="shared" si="511"/>
        <v>0</v>
      </c>
      <c r="AG3578" s="2">
        <v>6.55</v>
      </c>
      <c r="AJ3578" s="2">
        <f t="shared" si="512"/>
        <v>0</v>
      </c>
      <c r="AK3578" s="2">
        <f t="shared" si="520"/>
        <v>12.439999999999998</v>
      </c>
      <c r="AL3578" s="5">
        <f t="shared" si="521"/>
        <v>0.6550816219062664</v>
      </c>
    </row>
    <row r="3579" spans="1:38" x14ac:dyDescent="0.2">
      <c r="A3579" s="2">
        <v>2026</v>
      </c>
      <c r="B3579" s="2">
        <v>3</v>
      </c>
      <c r="D3579" s="2" t="s">
        <v>382</v>
      </c>
      <c r="E3579" s="2" t="s">
        <v>38</v>
      </c>
      <c r="F3579" s="2" t="s">
        <v>39</v>
      </c>
      <c r="G3579" s="2">
        <v>212196260</v>
      </c>
      <c r="H3579" s="2" t="s">
        <v>109</v>
      </c>
      <c r="I3579" s="2" t="s">
        <v>383</v>
      </c>
      <c r="J3579" s="2" t="s">
        <v>384</v>
      </c>
      <c r="K3579" s="2">
        <v>926769894</v>
      </c>
      <c r="L3579" s="2" t="s">
        <v>112</v>
      </c>
      <c r="M3579" s="2" t="s">
        <v>109</v>
      </c>
      <c r="O3579" s="2" t="s">
        <v>2777</v>
      </c>
      <c r="P3579" s="2" t="s">
        <v>114</v>
      </c>
      <c r="Q3579" s="16" t="s">
        <v>709</v>
      </c>
      <c r="R3579" s="2" t="s">
        <v>710</v>
      </c>
      <c r="S3579" s="2">
        <v>1</v>
      </c>
      <c r="T3579" s="2">
        <v>1690</v>
      </c>
      <c r="U3579" s="2">
        <v>388.7</v>
      </c>
      <c r="V3579" s="2">
        <v>2078.6999999999998</v>
      </c>
      <c r="W3579" s="2">
        <v>1244.2444</v>
      </c>
      <c r="X3579" s="5">
        <f t="shared" si="519"/>
        <v>0.26376071005917157</v>
      </c>
      <c r="Z3579" s="2" t="s">
        <v>104</v>
      </c>
      <c r="AA3579" s="2" t="s">
        <v>578</v>
      </c>
      <c r="AB3579" s="2" t="s">
        <v>701</v>
      </c>
      <c r="AC3579" s="2" t="s">
        <v>114</v>
      </c>
      <c r="AF3579" s="2">
        <f t="shared" si="511"/>
        <v>0</v>
      </c>
      <c r="AG3579" s="2">
        <v>1244.2444</v>
      </c>
      <c r="AJ3579" s="2">
        <f t="shared" si="512"/>
        <v>0</v>
      </c>
      <c r="AK3579" s="2">
        <f t="shared" si="520"/>
        <v>445.75559999999996</v>
      </c>
      <c r="AL3579" s="5">
        <f t="shared" si="521"/>
        <v>0.26376071005917157</v>
      </c>
    </row>
    <row r="3580" spans="1:38" x14ac:dyDescent="0.2">
      <c r="A3580" s="2">
        <v>2026</v>
      </c>
      <c r="B3580" s="2">
        <v>4</v>
      </c>
      <c r="D3580" s="2" t="s">
        <v>549</v>
      </c>
      <c r="E3580" s="2" t="s">
        <v>108</v>
      </c>
      <c r="F3580" s="2" t="s">
        <v>395</v>
      </c>
      <c r="G3580" s="2">
        <v>503641790</v>
      </c>
      <c r="H3580" s="2" t="s">
        <v>40</v>
      </c>
      <c r="I3580" s="2" t="s">
        <v>550</v>
      </c>
      <c r="J3580" s="2" t="s">
        <v>551</v>
      </c>
      <c r="K3580" s="2">
        <v>917753665</v>
      </c>
      <c r="L3580" s="2" t="s">
        <v>99</v>
      </c>
      <c r="M3580" s="2" t="s">
        <v>40</v>
      </c>
      <c r="O3580" s="2" t="s">
        <v>2778</v>
      </c>
      <c r="P3580" s="2" t="s">
        <v>114</v>
      </c>
      <c r="Q3580" s="2" t="s">
        <v>2297</v>
      </c>
      <c r="R3580" s="2" t="s">
        <v>2298</v>
      </c>
      <c r="S3580" s="2">
        <v>1</v>
      </c>
      <c r="T3580" s="2">
        <v>253.9</v>
      </c>
      <c r="U3580" s="2">
        <v>58.397000000000013</v>
      </c>
      <c r="V3580" s="2">
        <v>312.29700000000003</v>
      </c>
      <c r="W3580" s="2">
        <v>136.38999999999999</v>
      </c>
      <c r="X3580" s="5">
        <f t="shared" ref="X3580:X3611" si="522">(T3580-W3580)/T3580</f>
        <v>0.46282000787711702</v>
      </c>
      <c r="Z3580" s="2" t="s">
        <v>117</v>
      </c>
      <c r="AA3580" s="2" t="s">
        <v>118</v>
      </c>
      <c r="AB3580" s="2" t="s">
        <v>119</v>
      </c>
      <c r="AC3580" s="2" t="s">
        <v>114</v>
      </c>
      <c r="AF3580" s="2">
        <f t="shared" si="511"/>
        <v>0</v>
      </c>
      <c r="AG3580" s="2">
        <v>136.38999999999999</v>
      </c>
      <c r="AH3580" s="2">
        <v>282.11399999999998</v>
      </c>
      <c r="AJ3580" s="2">
        <f t="shared" si="512"/>
        <v>0</v>
      </c>
      <c r="AK3580" s="2">
        <f t="shared" ref="AK3580:AK3611" si="523">T3580-W3580</f>
        <v>117.51000000000002</v>
      </c>
      <c r="AL3580" s="5">
        <f t="shared" ref="AL3580:AL3611" si="524">(T3580-W3580)/T3580</f>
        <v>0.46282000787711702</v>
      </c>
    </row>
    <row r="3581" spans="1:38" x14ac:dyDescent="0.2">
      <c r="A3581" s="2">
        <v>2026</v>
      </c>
      <c r="B3581" s="2">
        <v>3</v>
      </c>
      <c r="D3581" s="2" t="s">
        <v>2049</v>
      </c>
      <c r="G3581" s="2">
        <v>514960337</v>
      </c>
      <c r="H3581" s="2" t="s">
        <v>290</v>
      </c>
      <c r="I3581" s="2" t="s">
        <v>2779</v>
      </c>
      <c r="M3581" s="2" t="s">
        <v>40</v>
      </c>
      <c r="O3581" s="2" t="s">
        <v>2780</v>
      </c>
      <c r="P3581" s="2" t="s">
        <v>114</v>
      </c>
      <c r="Q3581" s="2" t="s">
        <v>2002</v>
      </c>
      <c r="R3581" s="2" t="s">
        <v>2003</v>
      </c>
      <c r="S3581" s="2">
        <v>4</v>
      </c>
      <c r="T3581" s="2">
        <v>37.04</v>
      </c>
      <c r="U3581" s="2">
        <v>8.5191999999999997</v>
      </c>
      <c r="V3581" s="2">
        <v>45.559199999999997</v>
      </c>
      <c r="W3581" s="2">
        <f>7.9025*S3581</f>
        <v>31.61</v>
      </c>
      <c r="X3581" s="5">
        <f t="shared" si="522"/>
        <v>0.14659827213822893</v>
      </c>
      <c r="Z3581" s="2" t="s">
        <v>117</v>
      </c>
      <c r="AA3581" s="2" t="s">
        <v>118</v>
      </c>
      <c r="AB3581" s="2" t="s">
        <v>119</v>
      </c>
      <c r="AC3581" s="2" t="s">
        <v>114</v>
      </c>
      <c r="AF3581" s="2">
        <f t="shared" si="511"/>
        <v>0</v>
      </c>
      <c r="AG3581" s="2">
        <v>7.9024999999999999</v>
      </c>
      <c r="AJ3581" s="2">
        <f t="shared" si="512"/>
        <v>0</v>
      </c>
      <c r="AK3581" s="2">
        <f t="shared" si="523"/>
        <v>5.43</v>
      </c>
      <c r="AL3581" s="5">
        <f t="shared" si="524"/>
        <v>0.14659827213822893</v>
      </c>
    </row>
    <row r="3582" spans="1:38" x14ac:dyDescent="0.2">
      <c r="A3582" s="2">
        <v>2026</v>
      </c>
      <c r="B3582" s="2">
        <v>4</v>
      </c>
      <c r="C3582" s="2" t="s">
        <v>3451</v>
      </c>
      <c r="D3582" s="2" t="s">
        <v>1009</v>
      </c>
      <c r="E3582" s="2" t="s">
        <v>108</v>
      </c>
      <c r="F3582" s="2" t="s">
        <v>39</v>
      </c>
      <c r="G3582" s="2">
        <v>507063481</v>
      </c>
      <c r="H3582" s="2" t="s">
        <v>290</v>
      </c>
      <c r="I3582" s="2" t="s">
        <v>1010</v>
      </c>
      <c r="J3582" s="2" t="s">
        <v>1011</v>
      </c>
      <c r="L3582" s="2" t="s">
        <v>293</v>
      </c>
      <c r="M3582" s="2" t="s">
        <v>40</v>
      </c>
      <c r="P3582" s="2" t="s">
        <v>114</v>
      </c>
      <c r="Q3582" s="2" t="s">
        <v>1514</v>
      </c>
      <c r="R3582" s="2" t="s">
        <v>1515</v>
      </c>
      <c r="S3582" s="2">
        <v>1</v>
      </c>
      <c r="T3582" s="2">
        <v>20.39</v>
      </c>
      <c r="U3582" s="2">
        <v>4.6897000000000002</v>
      </c>
      <c r="V3582" s="2">
        <v>25.079699999999999</v>
      </c>
      <c r="W3582" s="2">
        <v>11.246700000000001</v>
      </c>
      <c r="X3582" s="5">
        <f t="shared" si="522"/>
        <v>0.44842079450711131</v>
      </c>
      <c r="Z3582" s="2" t="s">
        <v>117</v>
      </c>
      <c r="AA3582" s="2" t="s">
        <v>118</v>
      </c>
      <c r="AB3582" s="2" t="s">
        <v>119</v>
      </c>
      <c r="AC3582" s="2" t="s">
        <v>114</v>
      </c>
      <c r="AF3582" s="2">
        <f t="shared" si="511"/>
        <v>0</v>
      </c>
      <c r="AG3582" s="2">
        <v>11.246700000000001</v>
      </c>
      <c r="AJ3582" s="2">
        <f t="shared" si="512"/>
        <v>0</v>
      </c>
      <c r="AK3582" s="2">
        <f t="shared" si="523"/>
        <v>9.1433</v>
      </c>
      <c r="AL3582" s="5">
        <f t="shared" si="524"/>
        <v>0.44842079450711131</v>
      </c>
    </row>
    <row r="3583" spans="1:38" x14ac:dyDescent="0.2">
      <c r="A3583" s="2">
        <v>2026</v>
      </c>
      <c r="B3583" s="2">
        <v>4</v>
      </c>
      <c r="D3583" s="2" t="s">
        <v>2781</v>
      </c>
      <c r="G3583" s="2">
        <v>219031614</v>
      </c>
      <c r="I3583" s="2" t="s">
        <v>2199</v>
      </c>
      <c r="M3583" s="2" t="s">
        <v>40</v>
      </c>
      <c r="O3583" s="2" t="s">
        <v>2782</v>
      </c>
      <c r="P3583" s="2" t="s">
        <v>114</v>
      </c>
      <c r="Q3583" s="2" t="s">
        <v>779</v>
      </c>
      <c r="R3583" s="2" t="s">
        <v>780</v>
      </c>
      <c r="S3583" s="2">
        <v>2</v>
      </c>
      <c r="T3583" s="2">
        <v>157.18</v>
      </c>
      <c r="U3583" s="2">
        <v>36.151400000000002</v>
      </c>
      <c r="V3583" s="2">
        <v>193.3314</v>
      </c>
      <c r="W3583" s="2">
        <f>35.9317*S3583</f>
        <v>71.863399999999999</v>
      </c>
      <c r="X3583" s="5">
        <f t="shared" si="522"/>
        <v>0.54279552105865891</v>
      </c>
      <c r="Z3583" s="2" t="s">
        <v>117</v>
      </c>
      <c r="AA3583" s="2" t="s">
        <v>118</v>
      </c>
      <c r="AB3583" s="2" t="s">
        <v>119</v>
      </c>
      <c r="AC3583" s="2" t="s">
        <v>114</v>
      </c>
      <c r="AF3583" s="2">
        <f t="shared" si="511"/>
        <v>0</v>
      </c>
      <c r="AG3583" s="2">
        <v>35.931699999999999</v>
      </c>
      <c r="AJ3583" s="2">
        <f t="shared" si="512"/>
        <v>0</v>
      </c>
      <c r="AK3583" s="2">
        <f t="shared" si="523"/>
        <v>85.316600000000008</v>
      </c>
      <c r="AL3583" s="5">
        <f t="shared" si="524"/>
        <v>0.54279552105865891</v>
      </c>
    </row>
    <row r="3584" spans="1:38" x14ac:dyDescent="0.2">
      <c r="A3584" s="2">
        <v>2026</v>
      </c>
      <c r="B3584" s="2">
        <v>3</v>
      </c>
      <c r="D3584" s="2" t="s">
        <v>391</v>
      </c>
      <c r="E3584" s="2" t="s">
        <v>38</v>
      </c>
      <c r="F3584" s="2" t="s">
        <v>39</v>
      </c>
      <c r="G3584" s="2">
        <v>206206143</v>
      </c>
      <c r="H3584" s="2" t="s">
        <v>41</v>
      </c>
      <c r="I3584" s="2" t="s">
        <v>392</v>
      </c>
      <c r="J3584" s="2" t="s">
        <v>393</v>
      </c>
      <c r="L3584" s="2" t="s">
        <v>99</v>
      </c>
      <c r="M3584" s="2" t="s">
        <v>40</v>
      </c>
      <c r="O3584" s="2" t="s">
        <v>2783</v>
      </c>
      <c r="P3584" s="2" t="s">
        <v>114</v>
      </c>
      <c r="Q3584" s="2" t="s">
        <v>561</v>
      </c>
      <c r="R3584" s="2" t="s">
        <v>562</v>
      </c>
      <c r="S3584" s="2">
        <v>2</v>
      </c>
      <c r="T3584" s="2">
        <v>28.57</v>
      </c>
      <c r="U3584" s="2">
        <v>6.5711000000000004</v>
      </c>
      <c r="V3584" s="2">
        <v>35.141100000000002</v>
      </c>
      <c r="W3584" s="2">
        <f>5.33*S3584</f>
        <v>10.66</v>
      </c>
      <c r="X3584" s="5">
        <f t="shared" si="522"/>
        <v>0.62688134406720331</v>
      </c>
      <c r="Z3584" s="2" t="s">
        <v>117</v>
      </c>
      <c r="AA3584" s="2" t="s">
        <v>118</v>
      </c>
      <c r="AB3584" s="2" t="s">
        <v>119</v>
      </c>
      <c r="AC3584" s="2" t="s">
        <v>114</v>
      </c>
      <c r="AF3584" s="2">
        <f t="shared" si="511"/>
        <v>0</v>
      </c>
      <c r="AG3584" s="2">
        <v>5.33</v>
      </c>
      <c r="AJ3584" s="2">
        <f t="shared" si="512"/>
        <v>0</v>
      </c>
      <c r="AK3584" s="2">
        <f t="shared" si="523"/>
        <v>17.91</v>
      </c>
      <c r="AL3584" s="5">
        <f t="shared" si="524"/>
        <v>0.62688134406720331</v>
      </c>
    </row>
    <row r="3585" spans="1:38" x14ac:dyDescent="0.2">
      <c r="A3585" s="2">
        <v>2026</v>
      </c>
      <c r="B3585" s="2">
        <v>3</v>
      </c>
      <c r="D3585" s="2" t="s">
        <v>574</v>
      </c>
      <c r="E3585" s="2" t="s">
        <v>38</v>
      </c>
      <c r="F3585" s="2" t="s">
        <v>39</v>
      </c>
      <c r="G3585" s="2">
        <v>504811029</v>
      </c>
      <c r="H3585" s="2" t="s">
        <v>41</v>
      </c>
      <c r="I3585" s="2" t="s">
        <v>177</v>
      </c>
      <c r="J3585" s="2" t="s">
        <v>575</v>
      </c>
      <c r="L3585" s="2" t="s">
        <v>177</v>
      </c>
      <c r="M3585" s="2" t="s">
        <v>40</v>
      </c>
      <c r="O3585" s="2" t="s">
        <v>2784</v>
      </c>
      <c r="P3585" s="2" t="s">
        <v>114</v>
      </c>
      <c r="Q3585" s="2" t="s">
        <v>2785</v>
      </c>
      <c r="R3585" s="2" t="s">
        <v>2786</v>
      </c>
      <c r="S3585" s="2">
        <v>1</v>
      </c>
      <c r="T3585" s="2">
        <v>43.01</v>
      </c>
      <c r="U3585" s="2">
        <v>9.8923000000000005</v>
      </c>
      <c r="V3585" s="2">
        <v>52.902299999999997</v>
      </c>
      <c r="W3585" s="2">
        <v>20.81</v>
      </c>
      <c r="X3585" s="5">
        <f t="shared" si="522"/>
        <v>0.51615903278307373</v>
      </c>
      <c r="Z3585" s="2" t="s">
        <v>117</v>
      </c>
      <c r="AA3585" s="2" t="s">
        <v>118</v>
      </c>
      <c r="AB3585" s="2" t="s">
        <v>119</v>
      </c>
      <c r="AC3585" s="2" t="s">
        <v>114</v>
      </c>
      <c r="AF3585" s="2">
        <f t="shared" si="511"/>
        <v>0</v>
      </c>
      <c r="AG3585" s="2">
        <f>20.48+0.33</f>
        <v>20.81</v>
      </c>
      <c r="AJ3585" s="2">
        <f t="shared" si="512"/>
        <v>0</v>
      </c>
      <c r="AK3585" s="2">
        <f t="shared" si="523"/>
        <v>22.2</v>
      </c>
      <c r="AL3585" s="5">
        <f t="shared" si="524"/>
        <v>0.51615903278307373</v>
      </c>
    </row>
    <row r="3586" spans="1:38" x14ac:dyDescent="0.2">
      <c r="A3586" s="2">
        <v>2026</v>
      </c>
      <c r="B3586" s="2">
        <v>3</v>
      </c>
      <c r="D3586" s="2" t="s">
        <v>574</v>
      </c>
      <c r="E3586" s="2" t="s">
        <v>38</v>
      </c>
      <c r="F3586" s="2" t="s">
        <v>39</v>
      </c>
      <c r="G3586" s="2">
        <v>504811029</v>
      </c>
      <c r="H3586" s="2" t="s">
        <v>41</v>
      </c>
      <c r="I3586" s="2" t="s">
        <v>177</v>
      </c>
      <c r="J3586" s="2" t="s">
        <v>575</v>
      </c>
      <c r="L3586" s="2" t="s">
        <v>177</v>
      </c>
      <c r="M3586" s="2" t="s">
        <v>40</v>
      </c>
      <c r="O3586" s="2" t="s">
        <v>2784</v>
      </c>
      <c r="P3586" s="2" t="s">
        <v>114</v>
      </c>
      <c r="Q3586" s="2" t="s">
        <v>2787</v>
      </c>
      <c r="R3586" s="2" t="s">
        <v>2487</v>
      </c>
      <c r="S3586" s="2">
        <v>1</v>
      </c>
      <c r="T3586" s="2">
        <v>134.16999999999999</v>
      </c>
      <c r="U3586" s="2">
        <v>30.859100000000002</v>
      </c>
      <c r="V3586" s="2">
        <v>165.0291</v>
      </c>
      <c r="W3586" s="2">
        <v>64.91</v>
      </c>
      <c r="X3586" s="5">
        <f t="shared" si="522"/>
        <v>0.51621077737199073</v>
      </c>
      <c r="Z3586" s="2" t="s">
        <v>117</v>
      </c>
      <c r="AA3586" s="2" t="s">
        <v>118</v>
      </c>
      <c r="AB3586" s="2" t="s">
        <v>119</v>
      </c>
      <c r="AC3586" s="2" t="s">
        <v>114</v>
      </c>
      <c r="AF3586" s="2">
        <f t="shared" ref="AF3586:AF3649" si="525">AJ3586</f>
        <v>0</v>
      </c>
      <c r="AG3586" s="2">
        <f>63.89+1.02</f>
        <v>64.91</v>
      </c>
      <c r="AJ3586" s="2">
        <f t="shared" ref="AJ3586:AJ3649" si="526">AI3586*T3586</f>
        <v>0</v>
      </c>
      <c r="AK3586" s="2">
        <f t="shared" si="523"/>
        <v>69.259999999999991</v>
      </c>
      <c r="AL3586" s="5">
        <f t="shared" si="524"/>
        <v>0.51621077737199073</v>
      </c>
    </row>
    <row r="3587" spans="1:38" x14ac:dyDescent="0.2">
      <c r="A3587" s="2">
        <v>2026</v>
      </c>
      <c r="B3587" s="2">
        <v>1</v>
      </c>
      <c r="D3587" s="2" t="s">
        <v>509</v>
      </c>
      <c r="E3587" s="2" t="s">
        <v>38</v>
      </c>
      <c r="F3587" s="2" t="s">
        <v>39</v>
      </c>
      <c r="G3587" s="2">
        <v>513405020</v>
      </c>
      <c r="H3587" s="2" t="s">
        <v>40</v>
      </c>
      <c r="I3587" s="2" t="s">
        <v>156</v>
      </c>
      <c r="J3587" s="2" t="s">
        <v>510</v>
      </c>
      <c r="K3587" s="2">
        <v>919770433</v>
      </c>
      <c r="L3587" s="2" t="s">
        <v>99</v>
      </c>
      <c r="M3587" s="2" t="s">
        <v>40</v>
      </c>
      <c r="P3587" s="2" t="s">
        <v>187</v>
      </c>
      <c r="Q3587" s="2" t="s">
        <v>191</v>
      </c>
      <c r="R3587" s="2" t="s">
        <v>190</v>
      </c>
      <c r="S3587" s="2">
        <v>4</v>
      </c>
      <c r="T3587" s="2">
        <v>200</v>
      </c>
      <c r="U3587" s="2">
        <v>46</v>
      </c>
      <c r="V3587" s="2">
        <v>246</v>
      </c>
      <c r="W3587" s="2">
        <f>T3587*50%</f>
        <v>100</v>
      </c>
      <c r="X3587" s="5">
        <f t="shared" si="522"/>
        <v>0.5</v>
      </c>
      <c r="Z3587" s="2" t="s">
        <v>117</v>
      </c>
      <c r="AA3587" s="2" t="s">
        <v>190</v>
      </c>
      <c r="AB3587" s="2" t="s">
        <v>190</v>
      </c>
      <c r="AC3587" s="2" t="s">
        <v>40</v>
      </c>
      <c r="AF3587" s="2">
        <f t="shared" si="525"/>
        <v>0</v>
      </c>
      <c r="AG3587" s="2">
        <f>W3587</f>
        <v>100</v>
      </c>
      <c r="AJ3587" s="2">
        <f t="shared" si="526"/>
        <v>0</v>
      </c>
      <c r="AK3587" s="2">
        <f t="shared" si="523"/>
        <v>100</v>
      </c>
      <c r="AL3587" s="5">
        <f t="shared" si="524"/>
        <v>0.5</v>
      </c>
    </row>
    <row r="3588" spans="1:38" x14ac:dyDescent="0.2">
      <c r="A3588" s="2">
        <v>2026</v>
      </c>
      <c r="B3588" s="2">
        <v>3</v>
      </c>
      <c r="D3588" s="2" t="s">
        <v>403</v>
      </c>
      <c r="E3588" s="2" t="s">
        <v>38</v>
      </c>
      <c r="F3588" s="2" t="s">
        <v>39</v>
      </c>
      <c r="G3588" s="2">
        <v>109095197</v>
      </c>
      <c r="H3588" s="2" t="s">
        <v>40</v>
      </c>
      <c r="I3588" s="2" t="s">
        <v>2476</v>
      </c>
      <c r="J3588" s="2" t="s">
        <v>3123</v>
      </c>
      <c r="K3588" s="2">
        <v>965864665</v>
      </c>
      <c r="L3588" s="2" t="s">
        <v>344</v>
      </c>
      <c r="M3588" s="2" t="s">
        <v>40</v>
      </c>
      <c r="O3588" s="2" t="s">
        <v>2788</v>
      </c>
      <c r="P3588" s="2" t="s">
        <v>114</v>
      </c>
      <c r="Q3588" s="2" t="s">
        <v>1250</v>
      </c>
      <c r="R3588" s="2" t="s">
        <v>1251</v>
      </c>
      <c r="S3588" s="2">
        <v>1</v>
      </c>
      <c r="T3588" s="2">
        <v>334.53</v>
      </c>
      <c r="U3588" s="2">
        <v>76.941900000000004</v>
      </c>
      <c r="V3588" s="2">
        <v>411.47190000000001</v>
      </c>
      <c r="W3588" s="2">
        <v>183.26</v>
      </c>
      <c r="X3588" s="5">
        <f t="shared" si="522"/>
        <v>0.45218664992676288</v>
      </c>
      <c r="Z3588" s="2" t="s">
        <v>117</v>
      </c>
      <c r="AA3588" s="2" t="s">
        <v>118</v>
      </c>
      <c r="AB3588" s="2" t="s">
        <v>119</v>
      </c>
      <c r="AC3588" s="2" t="s">
        <v>114</v>
      </c>
      <c r="AF3588" s="2">
        <f t="shared" si="525"/>
        <v>0</v>
      </c>
      <c r="AG3588" s="2">
        <v>183.26</v>
      </c>
      <c r="AJ3588" s="2">
        <f t="shared" si="526"/>
        <v>0</v>
      </c>
      <c r="AK3588" s="2">
        <f t="shared" si="523"/>
        <v>151.26999999999998</v>
      </c>
      <c r="AL3588" s="5">
        <f t="shared" si="524"/>
        <v>0.45218664992676288</v>
      </c>
    </row>
    <row r="3589" spans="1:38" x14ac:dyDescent="0.2">
      <c r="A3589" s="2">
        <v>2026</v>
      </c>
      <c r="B3589" s="2">
        <v>3</v>
      </c>
      <c r="D3589" s="2" t="s">
        <v>706</v>
      </c>
      <c r="E3589" s="2" t="s">
        <v>183</v>
      </c>
      <c r="G3589" s="2">
        <v>500038996</v>
      </c>
      <c r="H3589" s="2" t="s">
        <v>109</v>
      </c>
      <c r="I3589" s="2" t="s">
        <v>707</v>
      </c>
      <c r="J3589" s="2" t="s">
        <v>708</v>
      </c>
      <c r="K3589" s="2">
        <v>913640179</v>
      </c>
      <c r="L3589" s="2" t="s">
        <v>133</v>
      </c>
      <c r="M3589" s="2" t="s">
        <v>40</v>
      </c>
      <c r="O3589" s="2" t="s">
        <v>2789</v>
      </c>
      <c r="P3589" s="2" t="s">
        <v>114</v>
      </c>
      <c r="Q3589" s="2" t="s">
        <v>373</v>
      </c>
      <c r="R3589" s="2" t="s">
        <v>374</v>
      </c>
      <c r="S3589" s="2">
        <v>2</v>
      </c>
      <c r="T3589" s="2">
        <v>97.9</v>
      </c>
      <c r="U3589" s="2">
        <v>22.516999999999999</v>
      </c>
      <c r="V3589" s="2">
        <v>120.417</v>
      </c>
      <c r="W3589" s="2">
        <f>23.042*S3589</f>
        <v>46.084000000000003</v>
      </c>
      <c r="X3589" s="5">
        <f t="shared" si="522"/>
        <v>0.52927477017364655</v>
      </c>
      <c r="Z3589" s="2" t="s">
        <v>117</v>
      </c>
      <c r="AA3589" s="2" t="s">
        <v>118</v>
      </c>
      <c r="AB3589" s="2" t="s">
        <v>119</v>
      </c>
      <c r="AC3589" s="2" t="s">
        <v>114</v>
      </c>
      <c r="AF3589" s="2">
        <f t="shared" si="525"/>
        <v>0</v>
      </c>
      <c r="AG3589" s="2">
        <v>22.2</v>
      </c>
      <c r="AJ3589" s="2">
        <f t="shared" si="526"/>
        <v>0</v>
      </c>
      <c r="AK3589" s="2">
        <f t="shared" si="523"/>
        <v>51.816000000000003</v>
      </c>
      <c r="AL3589" s="5">
        <f t="shared" si="524"/>
        <v>0.52927477017364655</v>
      </c>
    </row>
    <row r="3590" spans="1:38" x14ac:dyDescent="0.2">
      <c r="A3590" s="2">
        <v>2026</v>
      </c>
      <c r="B3590" s="2">
        <v>3</v>
      </c>
      <c r="D3590" s="2" t="s">
        <v>588</v>
      </c>
      <c r="E3590" s="2" t="s">
        <v>38</v>
      </c>
      <c r="F3590" s="2" t="s">
        <v>39</v>
      </c>
      <c r="G3590" s="2">
        <v>510339298</v>
      </c>
      <c r="H3590" s="2" t="s">
        <v>41</v>
      </c>
      <c r="I3590" s="2" t="s">
        <v>177</v>
      </c>
      <c r="J3590" s="2" t="s">
        <v>589</v>
      </c>
      <c r="L3590" s="2" t="s">
        <v>177</v>
      </c>
      <c r="M3590" s="2" t="s">
        <v>40</v>
      </c>
      <c r="O3590" s="2" t="s">
        <v>2790</v>
      </c>
      <c r="P3590" s="2" t="s">
        <v>114</v>
      </c>
      <c r="Q3590" s="2" t="s">
        <v>373</v>
      </c>
      <c r="R3590" s="2" t="s">
        <v>374</v>
      </c>
      <c r="S3590" s="2">
        <v>1</v>
      </c>
      <c r="T3590" s="2">
        <v>48.95</v>
      </c>
      <c r="U3590" s="2">
        <v>11.2585</v>
      </c>
      <c r="V3590" s="2">
        <v>60.208500000000001</v>
      </c>
      <c r="W3590" s="2">
        <f>23.042*S3590</f>
        <v>23.042000000000002</v>
      </c>
      <c r="X3590" s="5">
        <f t="shared" si="522"/>
        <v>0.52927477017364655</v>
      </c>
      <c r="Z3590" s="2" t="s">
        <v>117</v>
      </c>
      <c r="AA3590" s="2" t="s">
        <v>118</v>
      </c>
      <c r="AB3590" s="2" t="s">
        <v>119</v>
      </c>
      <c r="AC3590" s="2" t="s">
        <v>114</v>
      </c>
      <c r="AF3590" s="2">
        <f t="shared" si="525"/>
        <v>0</v>
      </c>
      <c r="AG3590" s="2">
        <v>22.2</v>
      </c>
      <c r="AJ3590" s="2">
        <f t="shared" si="526"/>
        <v>0</v>
      </c>
      <c r="AK3590" s="2">
        <f t="shared" si="523"/>
        <v>25.908000000000001</v>
      </c>
      <c r="AL3590" s="5">
        <f t="shared" si="524"/>
        <v>0.52927477017364655</v>
      </c>
    </row>
    <row r="3591" spans="1:38" x14ac:dyDescent="0.2">
      <c r="A3591" s="2">
        <v>2026</v>
      </c>
      <c r="B3591" s="2">
        <v>3</v>
      </c>
      <c r="D3591" s="2" t="s">
        <v>574</v>
      </c>
      <c r="E3591" s="2" t="s">
        <v>38</v>
      </c>
      <c r="F3591" s="2" t="s">
        <v>39</v>
      </c>
      <c r="G3591" s="2">
        <v>504811029</v>
      </c>
      <c r="H3591" s="2" t="s">
        <v>41</v>
      </c>
      <c r="I3591" s="2" t="s">
        <v>177</v>
      </c>
      <c r="J3591" s="2" t="s">
        <v>575</v>
      </c>
      <c r="L3591" s="2" t="s">
        <v>177</v>
      </c>
      <c r="M3591" s="2" t="s">
        <v>40</v>
      </c>
      <c r="P3591" s="2" t="s">
        <v>114</v>
      </c>
      <c r="Q3591" s="2" t="s">
        <v>2791</v>
      </c>
      <c r="R3591" s="2" t="s">
        <v>2792</v>
      </c>
      <c r="S3591" s="2">
        <v>1</v>
      </c>
      <c r="T3591" s="2">
        <v>524.66</v>
      </c>
      <c r="U3591" s="2">
        <v>120.6718</v>
      </c>
      <c r="V3591" s="2">
        <v>645.33179999999993</v>
      </c>
      <c r="W3591" s="2">
        <v>253.84</v>
      </c>
      <c r="X3591" s="5">
        <f t="shared" si="522"/>
        <v>0.51618190828345967</v>
      </c>
      <c r="Z3591" s="2" t="s">
        <v>117</v>
      </c>
      <c r="AA3591" s="2" t="s">
        <v>118</v>
      </c>
      <c r="AB3591" s="2" t="s">
        <v>119</v>
      </c>
      <c r="AC3591" s="2" t="s">
        <v>114</v>
      </c>
      <c r="AF3591" s="2">
        <f t="shared" si="525"/>
        <v>0</v>
      </c>
      <c r="AG3591" s="2">
        <f>249.84+4</f>
        <v>253.84</v>
      </c>
      <c r="AJ3591" s="2">
        <f t="shared" si="526"/>
        <v>0</v>
      </c>
      <c r="AK3591" s="2">
        <f t="shared" si="523"/>
        <v>270.81999999999994</v>
      </c>
      <c r="AL3591" s="5">
        <f t="shared" si="524"/>
        <v>0.51618190828345967</v>
      </c>
    </row>
    <row r="3592" spans="1:38" x14ac:dyDescent="0.2">
      <c r="A3592" s="2">
        <v>2026</v>
      </c>
      <c r="B3592" s="2">
        <v>4</v>
      </c>
      <c r="D3592" s="2" t="s">
        <v>2319</v>
      </c>
      <c r="M3592" s="2" t="s">
        <v>40</v>
      </c>
      <c r="O3592" s="2" t="s">
        <v>2793</v>
      </c>
      <c r="P3592" s="2" t="s">
        <v>114</v>
      </c>
      <c r="Q3592" s="2" t="s">
        <v>646</v>
      </c>
      <c r="R3592" s="2" t="s">
        <v>647</v>
      </c>
      <c r="S3592" s="2">
        <v>1</v>
      </c>
      <c r="T3592" s="2">
        <v>63.46</v>
      </c>
      <c r="U3592" s="2">
        <v>14.595800000000001</v>
      </c>
      <c r="V3592" s="2">
        <v>78.055800000000005</v>
      </c>
      <c r="W3592" s="2">
        <v>30.61</v>
      </c>
      <c r="X3592" s="5">
        <f t="shared" si="522"/>
        <v>0.51764891270091395</v>
      </c>
      <c r="Z3592" s="2" t="s">
        <v>117</v>
      </c>
      <c r="AA3592" s="2" t="s">
        <v>118</v>
      </c>
      <c r="AB3592" s="2" t="s">
        <v>119</v>
      </c>
      <c r="AC3592" s="2" t="s">
        <v>114</v>
      </c>
      <c r="AF3592" s="2">
        <f t="shared" si="525"/>
        <v>0</v>
      </c>
      <c r="AG3592" s="2">
        <v>30.22</v>
      </c>
      <c r="AJ3592" s="2">
        <f t="shared" si="526"/>
        <v>0</v>
      </c>
      <c r="AK3592" s="2">
        <f t="shared" si="523"/>
        <v>32.85</v>
      </c>
      <c r="AL3592" s="5">
        <f t="shared" si="524"/>
        <v>0.51764891270091395</v>
      </c>
    </row>
    <row r="3593" spans="1:38" x14ac:dyDescent="0.2">
      <c r="A3593" s="2">
        <v>2026</v>
      </c>
      <c r="B3593" s="2">
        <v>3</v>
      </c>
      <c r="D3593" s="2" t="s">
        <v>2766</v>
      </c>
      <c r="M3593" s="2" t="s">
        <v>40</v>
      </c>
      <c r="O3593" s="2" t="s">
        <v>2794</v>
      </c>
      <c r="P3593" s="2" t="s">
        <v>114</v>
      </c>
      <c r="Q3593" s="2" t="s">
        <v>904</v>
      </c>
      <c r="R3593" s="2" t="s">
        <v>905</v>
      </c>
      <c r="S3593" s="2">
        <v>1</v>
      </c>
      <c r="T3593" s="2">
        <v>699.3</v>
      </c>
      <c r="U3593" s="2">
        <v>160.839</v>
      </c>
      <c r="V3593" s="2">
        <v>860.1389999999999</v>
      </c>
      <c r="W3593" s="2">
        <v>345.20339999999999</v>
      </c>
      <c r="X3593" s="5">
        <f t="shared" si="522"/>
        <v>0.50635864435864431</v>
      </c>
      <c r="Z3593" s="2" t="s">
        <v>117</v>
      </c>
      <c r="AA3593" s="2" t="s">
        <v>181</v>
      </c>
      <c r="AB3593" s="2" t="s">
        <v>119</v>
      </c>
      <c r="AC3593" s="2" t="s">
        <v>114</v>
      </c>
      <c r="AF3593" s="2">
        <f t="shared" si="525"/>
        <v>0</v>
      </c>
      <c r="AG3593" s="2">
        <v>342.22</v>
      </c>
      <c r="AJ3593" s="2">
        <f t="shared" si="526"/>
        <v>0</v>
      </c>
      <c r="AK3593" s="2">
        <f t="shared" si="523"/>
        <v>354.09659999999997</v>
      </c>
      <c r="AL3593" s="5">
        <f t="shared" si="524"/>
        <v>0.50635864435864431</v>
      </c>
    </row>
    <row r="3594" spans="1:38" x14ac:dyDescent="0.2">
      <c r="A3594" s="2">
        <v>2026</v>
      </c>
      <c r="B3594" s="2">
        <v>4</v>
      </c>
      <c r="D3594" s="2" t="s">
        <v>2795</v>
      </c>
      <c r="M3594" s="2" t="s">
        <v>40</v>
      </c>
      <c r="O3594" s="2" t="s">
        <v>2796</v>
      </c>
      <c r="P3594" s="2" t="s">
        <v>114</v>
      </c>
      <c r="Q3594" s="2" t="s">
        <v>904</v>
      </c>
      <c r="R3594" s="2" t="s">
        <v>905</v>
      </c>
      <c r="S3594" s="2">
        <v>1</v>
      </c>
      <c r="T3594" s="2">
        <v>699.3</v>
      </c>
      <c r="U3594" s="2">
        <v>160.839</v>
      </c>
      <c r="V3594" s="2">
        <v>860.1389999999999</v>
      </c>
      <c r="W3594" s="2">
        <v>345.20339999999999</v>
      </c>
      <c r="X3594" s="5">
        <f t="shared" si="522"/>
        <v>0.50635864435864431</v>
      </c>
      <c r="Z3594" s="2" t="s">
        <v>117</v>
      </c>
      <c r="AA3594" s="2" t="s">
        <v>181</v>
      </c>
      <c r="AB3594" s="2" t="s">
        <v>119</v>
      </c>
      <c r="AC3594" s="2" t="s">
        <v>114</v>
      </c>
      <c r="AF3594" s="2">
        <f t="shared" si="525"/>
        <v>0</v>
      </c>
      <c r="AG3594" s="2">
        <v>342.22</v>
      </c>
      <c r="AJ3594" s="2">
        <f t="shared" si="526"/>
        <v>0</v>
      </c>
      <c r="AK3594" s="2">
        <f t="shared" si="523"/>
        <v>354.09659999999997</v>
      </c>
      <c r="AL3594" s="5">
        <f t="shared" si="524"/>
        <v>0.50635864435864431</v>
      </c>
    </row>
    <row r="3595" spans="1:38" x14ac:dyDescent="0.2">
      <c r="A3595" s="2">
        <v>2026</v>
      </c>
      <c r="B3595" s="2">
        <v>4</v>
      </c>
      <c r="D3595" s="2" t="s">
        <v>2797</v>
      </c>
      <c r="E3595" s="2" t="s">
        <v>108</v>
      </c>
      <c r="F3595" s="2" t="s">
        <v>39</v>
      </c>
      <c r="G3595" s="2">
        <v>505556995</v>
      </c>
      <c r="H3595" s="2" t="s">
        <v>40</v>
      </c>
      <c r="I3595" s="2" t="s">
        <v>2798</v>
      </c>
      <c r="J3595" s="2" t="s">
        <v>2799</v>
      </c>
      <c r="L3595" s="2" t="s">
        <v>201</v>
      </c>
      <c r="M3595" s="2" t="s">
        <v>40</v>
      </c>
      <c r="O3595" s="2" t="s">
        <v>2800</v>
      </c>
      <c r="P3595" s="2" t="s">
        <v>114</v>
      </c>
      <c r="Q3595" s="2" t="s">
        <v>904</v>
      </c>
      <c r="R3595" s="2" t="s">
        <v>905</v>
      </c>
      <c r="S3595" s="2">
        <v>1</v>
      </c>
      <c r="T3595" s="2">
        <v>699.3</v>
      </c>
      <c r="U3595" s="2">
        <v>160.839</v>
      </c>
      <c r="V3595" s="2">
        <v>860.1389999999999</v>
      </c>
      <c r="W3595" s="2">
        <v>345.20339999999999</v>
      </c>
      <c r="X3595" s="5">
        <f t="shared" si="522"/>
        <v>0.50635864435864431</v>
      </c>
      <c r="Z3595" s="2" t="s">
        <v>117</v>
      </c>
      <c r="AA3595" s="2" t="s">
        <v>181</v>
      </c>
      <c r="AB3595" s="2" t="s">
        <v>119</v>
      </c>
      <c r="AC3595" s="2" t="s">
        <v>114</v>
      </c>
      <c r="AF3595" s="2">
        <f t="shared" si="525"/>
        <v>0</v>
      </c>
      <c r="AG3595" s="2">
        <v>342.22</v>
      </c>
      <c r="AJ3595" s="2">
        <f t="shared" si="526"/>
        <v>0</v>
      </c>
      <c r="AK3595" s="2">
        <f t="shared" si="523"/>
        <v>354.09659999999997</v>
      </c>
      <c r="AL3595" s="5">
        <f t="shared" si="524"/>
        <v>0.50635864435864431</v>
      </c>
    </row>
    <row r="3596" spans="1:38" x14ac:dyDescent="0.2">
      <c r="A3596" s="2">
        <v>2026</v>
      </c>
      <c r="B3596" s="2">
        <v>4</v>
      </c>
      <c r="D3596" s="2" t="s">
        <v>687</v>
      </c>
      <c r="E3596" s="2" t="s">
        <v>38</v>
      </c>
      <c r="F3596" s="2" t="s">
        <v>39</v>
      </c>
      <c r="G3596" s="2">
        <v>501726519</v>
      </c>
      <c r="H3596" s="2" t="s">
        <v>290</v>
      </c>
      <c r="I3596" s="2" t="s">
        <v>437</v>
      </c>
      <c r="J3596" s="2" t="s">
        <v>688</v>
      </c>
      <c r="L3596" s="2" t="s">
        <v>339</v>
      </c>
      <c r="M3596" s="2" t="s">
        <v>40</v>
      </c>
      <c r="O3596" s="2" t="s">
        <v>2801</v>
      </c>
      <c r="P3596" s="2" t="s">
        <v>114</v>
      </c>
      <c r="Q3596" s="2" t="s">
        <v>179</v>
      </c>
      <c r="R3596" s="2" t="s">
        <v>180</v>
      </c>
      <c r="S3596" s="2">
        <v>1</v>
      </c>
      <c r="T3596" s="2">
        <v>699.3</v>
      </c>
      <c r="U3596" s="2">
        <v>160.839</v>
      </c>
      <c r="V3596" s="2">
        <v>860.1389999999999</v>
      </c>
      <c r="W3596" s="2">
        <v>346.57</v>
      </c>
      <c r="X3596" s="5">
        <f t="shared" si="522"/>
        <v>0.50440440440440437</v>
      </c>
      <c r="Z3596" s="2" t="s">
        <v>117</v>
      </c>
      <c r="AA3596" s="2" t="s">
        <v>181</v>
      </c>
      <c r="AB3596" s="2" t="s">
        <v>119</v>
      </c>
      <c r="AC3596" s="2" t="s">
        <v>114</v>
      </c>
      <c r="AF3596" s="2">
        <f t="shared" si="525"/>
        <v>0</v>
      </c>
      <c r="AJ3596" s="2">
        <f t="shared" si="526"/>
        <v>0</v>
      </c>
      <c r="AK3596" s="2">
        <f t="shared" si="523"/>
        <v>352.72999999999996</v>
      </c>
      <c r="AL3596" s="5">
        <f t="shared" si="524"/>
        <v>0.50440440440440437</v>
      </c>
    </row>
    <row r="3597" spans="1:38" x14ac:dyDescent="0.2">
      <c r="A3597" s="2">
        <v>2026</v>
      </c>
      <c r="B3597" s="2">
        <v>4</v>
      </c>
      <c r="D3597" s="2" t="s">
        <v>2604</v>
      </c>
      <c r="E3597" s="2" t="s">
        <v>108</v>
      </c>
      <c r="F3597" s="2" t="s">
        <v>39</v>
      </c>
      <c r="G3597" s="2">
        <v>5056222351</v>
      </c>
      <c r="H3597" s="2" t="s">
        <v>109</v>
      </c>
      <c r="I3597" s="2" t="s">
        <v>112</v>
      </c>
      <c r="J3597" s="2" t="s">
        <v>2605</v>
      </c>
      <c r="K3597" s="2">
        <v>935402550</v>
      </c>
      <c r="L3597" s="2" t="s">
        <v>112</v>
      </c>
      <c r="M3597" s="2" t="s">
        <v>40</v>
      </c>
      <c r="O3597" s="2" t="s">
        <v>2606</v>
      </c>
      <c r="P3597" s="2" t="s">
        <v>114</v>
      </c>
      <c r="Q3597" s="2" t="s">
        <v>179</v>
      </c>
      <c r="R3597" s="2" t="s">
        <v>180</v>
      </c>
      <c r="S3597" s="2">
        <v>1</v>
      </c>
      <c r="T3597" s="2">
        <v>699.3</v>
      </c>
      <c r="U3597" s="2">
        <v>160.839</v>
      </c>
      <c r="V3597" s="2">
        <v>860.1389999999999</v>
      </c>
      <c r="W3597" s="2">
        <v>346.57</v>
      </c>
      <c r="X3597" s="5">
        <f t="shared" si="522"/>
        <v>0.50440440440440437</v>
      </c>
      <c r="Z3597" s="2" t="s">
        <v>117</v>
      </c>
      <c r="AA3597" s="2" t="s">
        <v>181</v>
      </c>
      <c r="AB3597" s="2" t="s">
        <v>119</v>
      </c>
      <c r="AC3597" s="2" t="s">
        <v>114</v>
      </c>
      <c r="AF3597" s="2">
        <f t="shared" si="525"/>
        <v>0</v>
      </c>
      <c r="AG3597" s="2">
        <v>346.57</v>
      </c>
      <c r="AJ3597" s="2">
        <f t="shared" si="526"/>
        <v>0</v>
      </c>
      <c r="AK3597" s="2">
        <f t="shared" si="523"/>
        <v>352.72999999999996</v>
      </c>
      <c r="AL3597" s="5">
        <f t="shared" si="524"/>
        <v>0.50440440440440437</v>
      </c>
    </row>
    <row r="3598" spans="1:38" x14ac:dyDescent="0.2">
      <c r="A3598" s="2">
        <v>2026</v>
      </c>
      <c r="B3598" s="2">
        <v>4</v>
      </c>
      <c r="D3598" s="2" t="s">
        <v>2607</v>
      </c>
      <c r="E3598" s="2" t="s">
        <v>38</v>
      </c>
      <c r="F3598" s="2" t="s">
        <v>39</v>
      </c>
      <c r="G3598" s="2">
        <v>225260913</v>
      </c>
      <c r="H3598" s="2" t="s">
        <v>40</v>
      </c>
      <c r="I3598" s="2" t="s">
        <v>2608</v>
      </c>
      <c r="J3598" s="2" t="s">
        <v>2609</v>
      </c>
      <c r="K3598" s="2">
        <v>912183782</v>
      </c>
      <c r="L3598" s="2" t="s">
        <v>201</v>
      </c>
      <c r="M3598" s="2" t="s">
        <v>40</v>
      </c>
      <c r="O3598" s="2" t="s">
        <v>2610</v>
      </c>
      <c r="P3598" s="2" t="s">
        <v>114</v>
      </c>
      <c r="Q3598" s="2" t="s">
        <v>179</v>
      </c>
      <c r="R3598" s="2" t="s">
        <v>180</v>
      </c>
      <c r="S3598" s="2">
        <v>1</v>
      </c>
      <c r="T3598" s="2">
        <v>699.3</v>
      </c>
      <c r="U3598" s="2">
        <v>160.839</v>
      </c>
      <c r="V3598" s="2">
        <v>860.1389999999999</v>
      </c>
      <c r="W3598" s="2">
        <v>346.57</v>
      </c>
      <c r="X3598" s="5">
        <f t="shared" si="522"/>
        <v>0.50440440440440437</v>
      </c>
      <c r="Z3598" s="2" t="s">
        <v>117</v>
      </c>
      <c r="AA3598" s="2" t="s">
        <v>181</v>
      </c>
      <c r="AB3598" s="2" t="s">
        <v>119</v>
      </c>
      <c r="AC3598" s="2" t="s">
        <v>114</v>
      </c>
      <c r="AF3598" s="2">
        <f t="shared" si="525"/>
        <v>0</v>
      </c>
      <c r="AG3598" s="2">
        <v>346.57</v>
      </c>
      <c r="AJ3598" s="2">
        <f t="shared" si="526"/>
        <v>0</v>
      </c>
      <c r="AK3598" s="2">
        <f t="shared" si="523"/>
        <v>352.72999999999996</v>
      </c>
      <c r="AL3598" s="5">
        <f t="shared" si="524"/>
        <v>0.50440440440440437</v>
      </c>
    </row>
    <row r="3599" spans="1:38" x14ac:dyDescent="0.2">
      <c r="A3599" s="2">
        <v>2026</v>
      </c>
      <c r="B3599" s="2">
        <v>4</v>
      </c>
      <c r="D3599" s="2" t="s">
        <v>2614</v>
      </c>
      <c r="M3599" s="2" t="s">
        <v>40</v>
      </c>
      <c r="O3599" s="2" t="s">
        <v>2802</v>
      </c>
      <c r="P3599" s="2" t="s">
        <v>114</v>
      </c>
      <c r="Q3599" s="2" t="s">
        <v>179</v>
      </c>
      <c r="R3599" s="2" t="s">
        <v>180</v>
      </c>
      <c r="S3599" s="2">
        <v>1</v>
      </c>
      <c r="T3599" s="2">
        <v>699.3</v>
      </c>
      <c r="U3599" s="2">
        <v>160.839</v>
      </c>
      <c r="V3599" s="2">
        <v>860.1389999999999</v>
      </c>
      <c r="W3599" s="2">
        <v>346.57</v>
      </c>
      <c r="X3599" s="5">
        <f t="shared" si="522"/>
        <v>0.50440440440440437</v>
      </c>
      <c r="Z3599" s="2" t="s">
        <v>117</v>
      </c>
      <c r="AA3599" s="2" t="s">
        <v>181</v>
      </c>
      <c r="AB3599" s="2" t="s">
        <v>119</v>
      </c>
      <c r="AC3599" s="2" t="s">
        <v>114</v>
      </c>
      <c r="AF3599" s="2">
        <f t="shared" si="525"/>
        <v>0</v>
      </c>
      <c r="AJ3599" s="2">
        <f t="shared" si="526"/>
        <v>0</v>
      </c>
      <c r="AK3599" s="2">
        <f t="shared" si="523"/>
        <v>352.72999999999996</v>
      </c>
      <c r="AL3599" s="5">
        <f t="shared" si="524"/>
        <v>0.50440440440440437</v>
      </c>
    </row>
    <row r="3600" spans="1:38" x14ac:dyDescent="0.2">
      <c r="A3600" s="2">
        <v>2026</v>
      </c>
      <c r="B3600" s="2">
        <v>4</v>
      </c>
      <c r="C3600" s="2" t="s">
        <v>3319</v>
      </c>
      <c r="D3600" s="2" t="s">
        <v>624</v>
      </c>
      <c r="E3600" s="2" t="s">
        <v>38</v>
      </c>
      <c r="F3600" s="2" t="s">
        <v>39</v>
      </c>
      <c r="G3600" s="2" t="s">
        <v>625</v>
      </c>
      <c r="H3600" s="2" t="s">
        <v>40</v>
      </c>
      <c r="I3600" s="2" t="s">
        <v>626</v>
      </c>
      <c r="J3600" s="2" t="s">
        <v>627</v>
      </c>
      <c r="L3600" s="2" t="s">
        <v>626</v>
      </c>
      <c r="M3600" s="2" t="s">
        <v>40</v>
      </c>
      <c r="O3600" s="2" t="s">
        <v>2775</v>
      </c>
      <c r="P3600" s="2" t="s">
        <v>114</v>
      </c>
      <c r="Q3600" s="2" t="s">
        <v>179</v>
      </c>
      <c r="R3600" s="2" t="s">
        <v>180</v>
      </c>
      <c r="S3600" s="2">
        <v>1</v>
      </c>
      <c r="T3600" s="2">
        <v>575.95000000000005</v>
      </c>
      <c r="V3600" s="2">
        <f>T3600</f>
        <v>575.95000000000005</v>
      </c>
      <c r="W3600" s="2">
        <v>346.57</v>
      </c>
      <c r="X3600" s="5">
        <f t="shared" si="522"/>
        <v>0.39826373817171634</v>
      </c>
      <c r="Z3600" s="2" t="s">
        <v>117</v>
      </c>
      <c r="AA3600" s="2" t="s">
        <v>181</v>
      </c>
      <c r="AB3600" s="2" t="s">
        <v>119</v>
      </c>
      <c r="AC3600" s="2" t="s">
        <v>114</v>
      </c>
      <c r="AF3600" s="2">
        <f t="shared" si="525"/>
        <v>0</v>
      </c>
      <c r="AJ3600" s="2">
        <f t="shared" si="526"/>
        <v>0</v>
      </c>
      <c r="AK3600" s="2">
        <f t="shared" si="523"/>
        <v>229.38000000000005</v>
      </c>
      <c r="AL3600" s="5">
        <f t="shared" si="524"/>
        <v>0.39826373817171634</v>
      </c>
    </row>
    <row r="3601" spans="1:38" x14ac:dyDescent="0.2">
      <c r="A3601" s="2">
        <v>2026</v>
      </c>
      <c r="B3601" s="2">
        <v>4</v>
      </c>
      <c r="D3601" s="2" t="s">
        <v>1599</v>
      </c>
      <c r="M3601" s="2" t="s">
        <v>40</v>
      </c>
      <c r="O3601" s="2" t="s">
        <v>2803</v>
      </c>
      <c r="P3601" s="2" t="s">
        <v>114</v>
      </c>
      <c r="Q3601" s="2" t="s">
        <v>1200</v>
      </c>
      <c r="R3601" s="2" t="s">
        <v>1201</v>
      </c>
      <c r="S3601" s="2">
        <v>1</v>
      </c>
      <c r="T3601" s="2">
        <v>356.81</v>
      </c>
      <c r="U3601" s="2">
        <v>82.066299999999998</v>
      </c>
      <c r="V3601" s="2">
        <v>438.87630000000001</v>
      </c>
      <c r="W3601" s="2">
        <v>167.92</v>
      </c>
      <c r="X3601" s="5">
        <f t="shared" si="522"/>
        <v>0.5293853871808526</v>
      </c>
      <c r="Z3601" s="2" t="s">
        <v>117</v>
      </c>
      <c r="AA3601" s="2" t="s">
        <v>118</v>
      </c>
      <c r="AB3601" s="2" t="s">
        <v>119</v>
      </c>
      <c r="AC3601" s="2" t="s">
        <v>119</v>
      </c>
      <c r="AF3601" s="2">
        <f t="shared" si="525"/>
        <v>0</v>
      </c>
      <c r="AG3601" s="2">
        <f>167.92</f>
        <v>167.92</v>
      </c>
      <c r="AJ3601" s="2">
        <f t="shared" si="526"/>
        <v>0</v>
      </c>
      <c r="AK3601" s="2">
        <f t="shared" si="523"/>
        <v>188.89000000000001</v>
      </c>
      <c r="AL3601" s="5">
        <f t="shared" si="524"/>
        <v>0.5293853871808526</v>
      </c>
    </row>
    <row r="3602" spans="1:38" x14ac:dyDescent="0.2">
      <c r="A3602" s="2">
        <v>2026</v>
      </c>
      <c r="B3602" s="2">
        <v>4</v>
      </c>
      <c r="D3602" s="2" t="s">
        <v>2795</v>
      </c>
      <c r="M3602" s="2" t="s">
        <v>40</v>
      </c>
      <c r="P3602" s="2" t="s">
        <v>187</v>
      </c>
      <c r="Q3602" s="2" t="s">
        <v>188</v>
      </c>
      <c r="R3602" s="2" t="s">
        <v>189</v>
      </c>
      <c r="S3602" s="2">
        <v>1</v>
      </c>
      <c r="T3602" s="2">
        <v>92</v>
      </c>
      <c r="U3602" s="2">
        <v>21.16</v>
      </c>
      <c r="V3602" s="2">
        <v>113.16</v>
      </c>
      <c r="W3602" s="2">
        <f>T3602*40%</f>
        <v>36.800000000000004</v>
      </c>
      <c r="X3602" s="5">
        <f t="shared" si="522"/>
        <v>0.6</v>
      </c>
      <c r="Z3602" s="2" t="s">
        <v>117</v>
      </c>
      <c r="AA3602" s="2" t="s">
        <v>190</v>
      </c>
      <c r="AB3602" s="2" t="s">
        <v>189</v>
      </c>
      <c r="AC3602" s="2" t="s">
        <v>40</v>
      </c>
      <c r="AF3602" s="2">
        <f t="shared" si="525"/>
        <v>0</v>
      </c>
      <c r="AG3602" s="2">
        <f>W3602</f>
        <v>36.800000000000004</v>
      </c>
      <c r="AJ3602" s="2">
        <f t="shared" si="526"/>
        <v>0</v>
      </c>
      <c r="AK3602" s="2">
        <f t="shared" si="523"/>
        <v>55.199999999999996</v>
      </c>
      <c r="AL3602" s="5">
        <f t="shared" si="524"/>
        <v>0.6</v>
      </c>
    </row>
    <row r="3603" spans="1:38" x14ac:dyDescent="0.2">
      <c r="A3603" s="2">
        <v>2026</v>
      </c>
      <c r="B3603" s="2">
        <v>4</v>
      </c>
      <c r="D3603" s="2" t="s">
        <v>2283</v>
      </c>
      <c r="M3603" s="2" t="s">
        <v>40</v>
      </c>
      <c r="O3603" s="2" t="s">
        <v>2804</v>
      </c>
      <c r="P3603" s="2" t="s">
        <v>114</v>
      </c>
      <c r="Q3603" s="2" t="s">
        <v>467</v>
      </c>
      <c r="R3603" s="2" t="s">
        <v>468</v>
      </c>
      <c r="S3603" s="2">
        <v>1</v>
      </c>
      <c r="T3603" s="2">
        <v>488.82</v>
      </c>
      <c r="U3603" s="2">
        <v>112.4286</v>
      </c>
      <c r="V3603" s="2">
        <v>601.24860000000001</v>
      </c>
      <c r="W3603" s="2">
        <v>232.74</v>
      </c>
      <c r="X3603" s="5">
        <f t="shared" si="522"/>
        <v>0.52387381858352766</v>
      </c>
      <c r="Z3603" s="2" t="s">
        <v>117</v>
      </c>
      <c r="AA3603" s="2" t="s">
        <v>118</v>
      </c>
      <c r="AB3603" s="2" t="s">
        <v>119</v>
      </c>
      <c r="AC3603" s="2" t="s">
        <v>114</v>
      </c>
      <c r="AF3603" s="2">
        <f t="shared" si="525"/>
        <v>0</v>
      </c>
      <c r="AG3603" s="2">
        <f>231.78+0.96</f>
        <v>232.74</v>
      </c>
      <c r="AJ3603" s="2">
        <f t="shared" si="526"/>
        <v>0</v>
      </c>
      <c r="AK3603" s="2">
        <f t="shared" si="523"/>
        <v>256.08</v>
      </c>
      <c r="AL3603" s="5">
        <f t="shared" si="524"/>
        <v>0.52387381858352766</v>
      </c>
    </row>
    <row r="3604" spans="1:38" x14ac:dyDescent="0.2">
      <c r="A3604" s="2">
        <v>2026</v>
      </c>
      <c r="B3604" s="2">
        <v>4</v>
      </c>
      <c r="D3604" s="2" t="s">
        <v>1000</v>
      </c>
      <c r="E3604" s="2" t="s">
        <v>38</v>
      </c>
      <c r="F3604" s="2" t="s">
        <v>39</v>
      </c>
      <c r="G3604" s="2">
        <v>510743854</v>
      </c>
      <c r="H3604" s="2" t="s">
        <v>40</v>
      </c>
      <c r="I3604" s="2" t="s">
        <v>1001</v>
      </c>
      <c r="J3604" s="2" t="s">
        <v>1002</v>
      </c>
      <c r="K3604" s="2">
        <v>917233128</v>
      </c>
      <c r="L3604" s="2" t="s">
        <v>99</v>
      </c>
      <c r="M3604" s="2" t="s">
        <v>40</v>
      </c>
      <c r="O3604" s="2" t="s">
        <v>2603</v>
      </c>
      <c r="P3604" s="2" t="s">
        <v>114</v>
      </c>
      <c r="Q3604" s="2" t="s">
        <v>1655</v>
      </c>
      <c r="R3604" s="2" t="s">
        <v>1656</v>
      </c>
      <c r="S3604" s="2">
        <v>1</v>
      </c>
      <c r="T3604" s="2">
        <v>1844.9</v>
      </c>
      <c r="U3604" s="2">
        <v>424.32700000000011</v>
      </c>
      <c r="V3604" s="2">
        <v>2269.2269999999999</v>
      </c>
      <c r="W3604" s="2">
        <v>565.75549999999998</v>
      </c>
      <c r="X3604" s="5">
        <f t="shared" si="522"/>
        <v>0.69334083148138115</v>
      </c>
      <c r="Z3604" s="2" t="s">
        <v>117</v>
      </c>
      <c r="AA3604" s="2" t="s">
        <v>118</v>
      </c>
      <c r="AB3604" s="2" t="s">
        <v>119</v>
      </c>
      <c r="AC3604" s="2" t="s">
        <v>114</v>
      </c>
      <c r="AF3604" s="2">
        <f t="shared" si="525"/>
        <v>0</v>
      </c>
      <c r="AG3604" s="2">
        <v>565.755</v>
      </c>
      <c r="AJ3604" s="2">
        <f t="shared" si="526"/>
        <v>0</v>
      </c>
      <c r="AK3604" s="2">
        <f t="shared" si="523"/>
        <v>1279.1445000000001</v>
      </c>
      <c r="AL3604" s="5">
        <f t="shared" si="524"/>
        <v>0.69334083148138115</v>
      </c>
    </row>
    <row r="3605" spans="1:38" x14ac:dyDescent="0.2">
      <c r="A3605" s="2">
        <v>2026</v>
      </c>
      <c r="B3605" s="2">
        <v>4</v>
      </c>
      <c r="C3605" s="2" t="s">
        <v>3444</v>
      </c>
      <c r="D3605" s="2" t="s">
        <v>941</v>
      </c>
      <c r="E3605" s="2" t="s">
        <v>38</v>
      </c>
      <c r="F3605" s="2" t="s">
        <v>39</v>
      </c>
      <c r="L3605" s="2" t="s">
        <v>177</v>
      </c>
      <c r="M3605" s="2" t="s">
        <v>40</v>
      </c>
      <c r="O3605" s="2" t="s">
        <v>2805</v>
      </c>
      <c r="P3605" s="2" t="s">
        <v>114</v>
      </c>
      <c r="Q3605" s="2" t="s">
        <v>793</v>
      </c>
      <c r="R3605" s="2" t="s">
        <v>794</v>
      </c>
      <c r="S3605" s="2">
        <v>1</v>
      </c>
      <c r="T3605" s="2">
        <v>770.24</v>
      </c>
      <c r="U3605" s="2">
        <v>177.15520000000001</v>
      </c>
      <c r="V3605" s="2">
        <v>947.39520000000005</v>
      </c>
      <c r="W3605" s="2">
        <v>255.65</v>
      </c>
      <c r="X3605" s="5">
        <f t="shared" si="522"/>
        <v>0.66809046530951399</v>
      </c>
      <c r="Z3605" s="2" t="s">
        <v>117</v>
      </c>
      <c r="AA3605" s="2" t="s">
        <v>118</v>
      </c>
      <c r="AB3605" s="2" t="s">
        <v>119</v>
      </c>
      <c r="AC3605" s="2" t="s">
        <v>114</v>
      </c>
      <c r="AF3605" s="2">
        <f t="shared" si="525"/>
        <v>0</v>
      </c>
      <c r="AG3605" s="2">
        <v>255.65</v>
      </c>
      <c r="AJ3605" s="2">
        <f t="shared" si="526"/>
        <v>0</v>
      </c>
      <c r="AK3605" s="2">
        <f t="shared" si="523"/>
        <v>514.59</v>
      </c>
      <c r="AL3605" s="5">
        <f t="shared" si="524"/>
        <v>0.66809046530951399</v>
      </c>
    </row>
    <row r="3606" spans="1:38" x14ac:dyDescent="0.2">
      <c r="A3606" s="2">
        <v>2026</v>
      </c>
      <c r="B3606" s="2">
        <v>4</v>
      </c>
      <c r="D3606" s="2" t="s">
        <v>558</v>
      </c>
      <c r="E3606" s="2" t="s">
        <v>108</v>
      </c>
      <c r="F3606" s="2" t="s">
        <v>39</v>
      </c>
      <c r="G3606" s="2">
        <v>506517233</v>
      </c>
      <c r="H3606" s="2" t="s">
        <v>80</v>
      </c>
      <c r="I3606" s="2" t="s">
        <v>559</v>
      </c>
      <c r="J3606" s="2" t="s">
        <v>560</v>
      </c>
      <c r="L3606" s="2" t="s">
        <v>133</v>
      </c>
      <c r="M3606" s="2" t="s">
        <v>40</v>
      </c>
      <c r="O3606" s="2" t="s">
        <v>2806</v>
      </c>
      <c r="P3606" s="2" t="s">
        <v>114</v>
      </c>
      <c r="Q3606" s="2" t="s">
        <v>2486</v>
      </c>
      <c r="R3606" s="2" t="s">
        <v>2487</v>
      </c>
      <c r="S3606" s="2">
        <v>1</v>
      </c>
      <c r="T3606" s="2">
        <v>214.96</v>
      </c>
      <c r="U3606" s="2">
        <v>49.440800000000003</v>
      </c>
      <c r="V3606" s="2">
        <v>264.4008</v>
      </c>
      <c r="W3606" s="2">
        <v>102.88500000000001</v>
      </c>
      <c r="X3606" s="5">
        <f t="shared" si="522"/>
        <v>0.52137606996650543</v>
      </c>
      <c r="Z3606" s="2" t="s">
        <v>117</v>
      </c>
      <c r="AA3606" s="2" t="s">
        <v>118</v>
      </c>
      <c r="AB3606" s="2" t="s">
        <v>119</v>
      </c>
      <c r="AC3606" s="2" t="s">
        <v>114</v>
      </c>
      <c r="AF3606" s="2">
        <f t="shared" si="525"/>
        <v>0</v>
      </c>
      <c r="AG3606" s="2">
        <v>102.88249999999999</v>
      </c>
      <c r="AJ3606" s="2">
        <f t="shared" si="526"/>
        <v>0</v>
      </c>
      <c r="AK3606" s="2">
        <f t="shared" si="523"/>
        <v>112.075</v>
      </c>
      <c r="AL3606" s="5">
        <f t="shared" si="524"/>
        <v>0.52137606996650543</v>
      </c>
    </row>
    <row r="3607" spans="1:38" x14ac:dyDescent="0.2">
      <c r="A3607" s="2">
        <v>2026</v>
      </c>
      <c r="B3607" s="2">
        <v>4</v>
      </c>
      <c r="D3607" s="2" t="s">
        <v>1599</v>
      </c>
      <c r="M3607" s="2" t="s">
        <v>40</v>
      </c>
      <c r="O3607" s="2" t="s">
        <v>2803</v>
      </c>
      <c r="P3607" s="2" t="s">
        <v>114</v>
      </c>
      <c r="Q3607" s="2" t="s">
        <v>2807</v>
      </c>
      <c r="R3607" s="2" t="s">
        <v>2808</v>
      </c>
      <c r="S3607" s="2">
        <v>1</v>
      </c>
      <c r="T3607" s="2">
        <v>89.04</v>
      </c>
      <c r="U3607" s="2">
        <v>20.479199999999999</v>
      </c>
      <c r="V3607" s="2">
        <v>109.5192</v>
      </c>
      <c r="W3607" s="2">
        <v>42.436799999999998</v>
      </c>
      <c r="X3607" s="5">
        <f t="shared" si="522"/>
        <v>0.52339622641509442</v>
      </c>
      <c r="Z3607" s="2" t="s">
        <v>117</v>
      </c>
      <c r="AA3607" s="2" t="s">
        <v>118</v>
      </c>
      <c r="AB3607" s="2" t="s">
        <v>119</v>
      </c>
      <c r="AC3607" s="2" t="s">
        <v>114</v>
      </c>
      <c r="AF3607" s="2">
        <f t="shared" si="525"/>
        <v>0</v>
      </c>
      <c r="AG3607" s="2">
        <v>42.436799999999998</v>
      </c>
      <c r="AJ3607" s="2">
        <f t="shared" si="526"/>
        <v>0</v>
      </c>
      <c r="AK3607" s="2">
        <f t="shared" si="523"/>
        <v>46.603200000000008</v>
      </c>
      <c r="AL3607" s="5">
        <f t="shared" si="524"/>
        <v>0.52339622641509442</v>
      </c>
    </row>
    <row r="3608" spans="1:38" x14ac:dyDescent="0.2">
      <c r="A3608" s="2">
        <v>2026</v>
      </c>
      <c r="B3608" s="2">
        <v>4</v>
      </c>
      <c r="D3608" s="2" t="s">
        <v>574</v>
      </c>
      <c r="E3608" s="2" t="s">
        <v>38</v>
      </c>
      <c r="F3608" s="2" t="s">
        <v>39</v>
      </c>
      <c r="G3608" s="2">
        <v>504811029</v>
      </c>
      <c r="H3608" s="2" t="s">
        <v>41</v>
      </c>
      <c r="I3608" s="2" t="s">
        <v>177</v>
      </c>
      <c r="J3608" s="2" t="s">
        <v>575</v>
      </c>
      <c r="L3608" s="2" t="s">
        <v>177</v>
      </c>
      <c r="M3608" s="2" t="s">
        <v>40</v>
      </c>
      <c r="O3608" s="2" t="s">
        <v>457</v>
      </c>
      <c r="P3608" s="2" t="s">
        <v>114</v>
      </c>
      <c r="Q3608" s="2" t="s">
        <v>2809</v>
      </c>
      <c r="R3608" s="2" t="s">
        <v>2810</v>
      </c>
      <c r="S3608" s="2">
        <v>1</v>
      </c>
      <c r="T3608" s="2">
        <v>54.05</v>
      </c>
      <c r="U3608" s="2">
        <v>12.4315</v>
      </c>
      <c r="V3608" s="2">
        <v>66.481499999999997</v>
      </c>
      <c r="W3608" s="2">
        <v>42.436799999999998</v>
      </c>
      <c r="X3608" s="5">
        <f t="shared" si="522"/>
        <v>0.21486031452358925</v>
      </c>
      <c r="Z3608" s="2" t="s">
        <v>117</v>
      </c>
      <c r="AA3608" s="2" t="s">
        <v>118</v>
      </c>
      <c r="AB3608" s="2" t="s">
        <v>119</v>
      </c>
      <c r="AC3608" s="2" t="s">
        <v>114</v>
      </c>
      <c r="AF3608" s="2">
        <f t="shared" si="525"/>
        <v>0</v>
      </c>
      <c r="AG3608" s="2">
        <v>42.436799999999998</v>
      </c>
      <c r="AJ3608" s="2">
        <f t="shared" si="526"/>
        <v>0</v>
      </c>
      <c r="AK3608" s="2">
        <f t="shared" si="523"/>
        <v>11.613199999999999</v>
      </c>
      <c r="AL3608" s="5">
        <f t="shared" si="524"/>
        <v>0.21486031452358925</v>
      </c>
    </row>
    <row r="3609" spans="1:38" x14ac:dyDescent="0.2">
      <c r="A3609" s="2">
        <v>2026</v>
      </c>
      <c r="B3609" s="2">
        <v>4</v>
      </c>
      <c r="D3609" s="2" t="s">
        <v>574</v>
      </c>
      <c r="E3609" s="2" t="s">
        <v>38</v>
      </c>
      <c r="F3609" s="2" t="s">
        <v>39</v>
      </c>
      <c r="G3609" s="2">
        <v>504811029</v>
      </c>
      <c r="H3609" s="2" t="s">
        <v>41</v>
      </c>
      <c r="I3609" s="2" t="s">
        <v>177</v>
      </c>
      <c r="J3609" s="2" t="s">
        <v>575</v>
      </c>
      <c r="L3609" s="2" t="s">
        <v>177</v>
      </c>
      <c r="M3609" s="2" t="s">
        <v>40</v>
      </c>
      <c r="O3609" s="2" t="s">
        <v>2784</v>
      </c>
      <c r="P3609" s="2" t="s">
        <v>114</v>
      </c>
      <c r="Q3609" s="2" t="s">
        <v>2811</v>
      </c>
      <c r="R3609" s="2" t="s">
        <v>2812</v>
      </c>
      <c r="S3609" s="2">
        <v>1</v>
      </c>
      <c r="T3609" s="2">
        <v>32.53</v>
      </c>
      <c r="U3609" s="2">
        <v>7.4819000000000004</v>
      </c>
      <c r="V3609" s="2">
        <v>40.011899999999997</v>
      </c>
      <c r="W3609" s="2">
        <v>15.74</v>
      </c>
      <c r="X3609" s="5">
        <f t="shared" si="522"/>
        <v>0.51613894866277277</v>
      </c>
      <c r="Z3609" s="2" t="s">
        <v>117</v>
      </c>
      <c r="AA3609" s="2" t="s">
        <v>118</v>
      </c>
      <c r="AB3609" s="2" t="s">
        <v>119</v>
      </c>
      <c r="AC3609" s="2" t="s">
        <v>114</v>
      </c>
      <c r="AF3609" s="2">
        <f t="shared" si="525"/>
        <v>0</v>
      </c>
      <c r="AG3609" s="2">
        <f>15.49+0.25</f>
        <v>15.74</v>
      </c>
      <c r="AJ3609" s="2">
        <f t="shared" si="526"/>
        <v>0</v>
      </c>
      <c r="AK3609" s="2">
        <f t="shared" si="523"/>
        <v>16.79</v>
      </c>
      <c r="AL3609" s="5">
        <f t="shared" si="524"/>
        <v>0.51613894866277277</v>
      </c>
    </row>
    <row r="3610" spans="1:38" x14ac:dyDescent="0.2">
      <c r="A3610" s="2">
        <v>2026</v>
      </c>
      <c r="B3610" s="2">
        <v>4</v>
      </c>
      <c r="D3610" s="2" t="s">
        <v>1590</v>
      </c>
      <c r="M3610" s="2" t="s">
        <v>40</v>
      </c>
      <c r="O3610" s="2" t="s">
        <v>2813</v>
      </c>
      <c r="P3610" s="2" t="s">
        <v>114</v>
      </c>
      <c r="Q3610" s="2" t="s">
        <v>1591</v>
      </c>
      <c r="R3610" s="2" t="s">
        <v>1592</v>
      </c>
      <c r="S3610" s="2">
        <v>1</v>
      </c>
      <c r="T3610" s="2">
        <v>46.59</v>
      </c>
      <c r="U3610" s="2">
        <v>10.7157</v>
      </c>
      <c r="V3610" s="2">
        <v>57.305700000000002</v>
      </c>
      <c r="W3610" s="2">
        <v>21.32</v>
      </c>
      <c r="X3610" s="5">
        <f t="shared" si="522"/>
        <v>0.54239107104528872</v>
      </c>
      <c r="Z3610" s="2" t="s">
        <v>117</v>
      </c>
      <c r="AA3610" s="2" t="s">
        <v>118</v>
      </c>
      <c r="AB3610" s="2" t="s">
        <v>119</v>
      </c>
      <c r="AC3610" s="2" t="s">
        <v>114</v>
      </c>
      <c r="AF3610" s="2">
        <f t="shared" si="525"/>
        <v>0</v>
      </c>
      <c r="AG3610" s="2">
        <v>21.32</v>
      </c>
      <c r="AJ3610" s="2">
        <f t="shared" si="526"/>
        <v>0</v>
      </c>
      <c r="AK3610" s="2">
        <f t="shared" si="523"/>
        <v>25.270000000000003</v>
      </c>
      <c r="AL3610" s="5">
        <f t="shared" si="524"/>
        <v>0.54239107104528872</v>
      </c>
    </row>
    <row r="3611" spans="1:38" x14ac:dyDescent="0.2">
      <c r="A3611" s="2">
        <v>2026</v>
      </c>
      <c r="B3611" s="2">
        <v>4</v>
      </c>
      <c r="D3611" s="2" t="s">
        <v>906</v>
      </c>
      <c r="M3611" s="2" t="s">
        <v>40</v>
      </c>
      <c r="O3611" s="2" t="s">
        <v>2814</v>
      </c>
      <c r="P3611" s="2" t="s">
        <v>114</v>
      </c>
      <c r="Q3611" s="2" t="s">
        <v>2815</v>
      </c>
      <c r="R3611" s="2" t="s">
        <v>2816</v>
      </c>
      <c r="S3611" s="2">
        <v>1</v>
      </c>
      <c r="T3611" s="2">
        <v>41.34</v>
      </c>
      <c r="U3611" s="2">
        <v>9.5082000000000004</v>
      </c>
      <c r="V3611" s="2">
        <v>50.848200000000013</v>
      </c>
      <c r="W3611" s="2">
        <v>19.5167</v>
      </c>
      <c r="X3611" s="5">
        <f t="shared" si="522"/>
        <v>0.52789791969037259</v>
      </c>
      <c r="Z3611" s="2" t="s">
        <v>117</v>
      </c>
      <c r="AA3611" s="2" t="s">
        <v>118</v>
      </c>
      <c r="AB3611" s="2" t="s">
        <v>119</v>
      </c>
      <c r="AC3611" s="2" t="s">
        <v>114</v>
      </c>
      <c r="AF3611" s="2">
        <f t="shared" si="525"/>
        <v>0</v>
      </c>
      <c r="AG3611" s="2">
        <v>19.5167</v>
      </c>
      <c r="AJ3611" s="2">
        <f t="shared" si="526"/>
        <v>0</v>
      </c>
      <c r="AK3611" s="2">
        <f t="shared" si="523"/>
        <v>21.823300000000003</v>
      </c>
      <c r="AL3611" s="5">
        <f t="shared" si="524"/>
        <v>0.52789791969037259</v>
      </c>
    </row>
    <row r="3612" spans="1:38" x14ac:dyDescent="0.2">
      <c r="A3612" s="2">
        <v>2026</v>
      </c>
      <c r="B3612" s="2">
        <v>4</v>
      </c>
      <c r="D3612" s="2" t="s">
        <v>643</v>
      </c>
      <c r="E3612" s="2" t="s">
        <v>108</v>
      </c>
      <c r="F3612" s="2" t="s">
        <v>477</v>
      </c>
      <c r="G3612" s="2">
        <v>509056946</v>
      </c>
      <c r="H3612" s="2" t="s">
        <v>109</v>
      </c>
      <c r="I3612" s="2" t="s">
        <v>644</v>
      </c>
      <c r="J3612" s="2" t="s">
        <v>645</v>
      </c>
      <c r="K3612" s="2">
        <v>964495536</v>
      </c>
      <c r="L3612" s="2" t="s">
        <v>112</v>
      </c>
      <c r="M3612" s="2" t="s">
        <v>40</v>
      </c>
      <c r="O3612" s="2" t="s">
        <v>2817</v>
      </c>
      <c r="P3612" s="2" t="s">
        <v>114</v>
      </c>
      <c r="Q3612" s="2" t="s">
        <v>978</v>
      </c>
      <c r="R3612" s="2" t="s">
        <v>979</v>
      </c>
      <c r="S3612" s="2">
        <v>-1</v>
      </c>
      <c r="T3612" s="2">
        <v>-83.46</v>
      </c>
      <c r="U3612" s="2">
        <v>-19.195799999999998</v>
      </c>
      <c r="V3612" s="2">
        <v>-102.6558</v>
      </c>
      <c r="Z3612" s="2" t="s">
        <v>117</v>
      </c>
      <c r="AA3612" s="2" t="s">
        <v>118</v>
      </c>
      <c r="AB3612" s="2" t="s">
        <v>119</v>
      </c>
      <c r="AC3612" s="2" t="s">
        <v>114</v>
      </c>
      <c r="AF3612" s="2">
        <f t="shared" si="525"/>
        <v>0</v>
      </c>
      <c r="AJ3612" s="2">
        <f t="shared" si="526"/>
        <v>0</v>
      </c>
      <c r="AK3612" s="2">
        <f t="shared" ref="AK3612:AK3635" si="527">T3612-W3612</f>
        <v>-83.46</v>
      </c>
      <c r="AL3612" s="5">
        <f t="shared" ref="AL3612:AL3635" si="528">(T3612-W3612)/T3612</f>
        <v>1</v>
      </c>
    </row>
    <row r="3613" spans="1:38" x14ac:dyDescent="0.2">
      <c r="A3613" s="2">
        <v>2026</v>
      </c>
      <c r="B3613" s="2">
        <v>4</v>
      </c>
      <c r="D3613" s="2" t="s">
        <v>706</v>
      </c>
      <c r="E3613" s="2" t="s">
        <v>183</v>
      </c>
      <c r="G3613" s="2">
        <v>500038996</v>
      </c>
      <c r="H3613" s="2" t="s">
        <v>109</v>
      </c>
      <c r="I3613" s="2" t="s">
        <v>707</v>
      </c>
      <c r="J3613" s="2" t="s">
        <v>708</v>
      </c>
      <c r="K3613" s="2">
        <v>913640179</v>
      </c>
      <c r="L3613" s="2" t="s">
        <v>133</v>
      </c>
      <c r="M3613" s="2" t="s">
        <v>109</v>
      </c>
      <c r="P3613" s="2" t="s">
        <v>114</v>
      </c>
      <c r="Q3613" s="2" t="s">
        <v>1332</v>
      </c>
      <c r="R3613" s="2" t="s">
        <v>1333</v>
      </c>
      <c r="S3613" s="2">
        <v>2</v>
      </c>
      <c r="T3613" s="2">
        <v>140.24</v>
      </c>
      <c r="U3613" s="2">
        <v>32.255200000000002</v>
      </c>
      <c r="V3613" s="2">
        <v>172.49520000000001</v>
      </c>
      <c r="X3613" s="5">
        <f t="shared" ref="X3613:X3635" si="529">(T3613-W3613)/T3613</f>
        <v>1</v>
      </c>
      <c r="Z3613" s="2" t="s">
        <v>117</v>
      </c>
      <c r="AF3613" s="2">
        <f t="shared" si="525"/>
        <v>0</v>
      </c>
      <c r="AJ3613" s="2">
        <f t="shared" si="526"/>
        <v>0</v>
      </c>
      <c r="AK3613" s="2">
        <f t="shared" si="527"/>
        <v>140.24</v>
      </c>
      <c r="AL3613" s="5">
        <f t="shared" si="528"/>
        <v>1</v>
      </c>
    </row>
    <row r="3614" spans="1:38" x14ac:dyDescent="0.2">
      <c r="A3614" s="2">
        <v>2026</v>
      </c>
      <c r="B3614" s="2">
        <v>4</v>
      </c>
      <c r="D3614" s="2" t="s">
        <v>1438</v>
      </c>
      <c r="P3614" s="2" t="s">
        <v>114</v>
      </c>
      <c r="Q3614" s="2" t="s">
        <v>1902</v>
      </c>
      <c r="R3614" s="2" t="s">
        <v>1903</v>
      </c>
      <c r="S3614" s="2">
        <v>1</v>
      </c>
      <c r="T3614" s="2">
        <v>1031.94</v>
      </c>
      <c r="U3614" s="2">
        <v>237.34620000000001</v>
      </c>
      <c r="V3614" s="2">
        <v>1269.2862</v>
      </c>
      <c r="X3614" s="5">
        <f t="shared" si="529"/>
        <v>1</v>
      </c>
      <c r="Z3614" s="2" t="s">
        <v>117</v>
      </c>
      <c r="AF3614" s="2">
        <f t="shared" si="525"/>
        <v>0</v>
      </c>
      <c r="AJ3614" s="2">
        <f t="shared" si="526"/>
        <v>0</v>
      </c>
      <c r="AK3614" s="2">
        <f t="shared" si="527"/>
        <v>1031.94</v>
      </c>
      <c r="AL3614" s="5">
        <f t="shared" si="528"/>
        <v>1</v>
      </c>
    </row>
    <row r="3615" spans="1:38" x14ac:dyDescent="0.2">
      <c r="A3615" s="2">
        <v>2026</v>
      </c>
      <c r="B3615" s="2">
        <v>4</v>
      </c>
      <c r="D3615" s="2" t="s">
        <v>451</v>
      </c>
      <c r="E3615" s="2" t="s">
        <v>108</v>
      </c>
      <c r="F3615" s="2" t="s">
        <v>39</v>
      </c>
      <c r="G3615" s="2">
        <v>506085686</v>
      </c>
      <c r="H3615" s="2" t="s">
        <v>40</v>
      </c>
      <c r="I3615" s="2" t="s">
        <v>452</v>
      </c>
      <c r="J3615" s="2" t="s">
        <v>453</v>
      </c>
      <c r="K3615" s="2">
        <v>917241919</v>
      </c>
      <c r="L3615" s="2" t="s">
        <v>398</v>
      </c>
      <c r="M3615" s="2" t="s">
        <v>40</v>
      </c>
      <c r="P3615" s="2" t="s">
        <v>114</v>
      </c>
      <c r="Q3615" s="2" t="s">
        <v>2502</v>
      </c>
      <c r="R3615" s="2" t="s">
        <v>2503</v>
      </c>
      <c r="S3615" s="2">
        <v>1</v>
      </c>
      <c r="T3615" s="2">
        <v>1594.72</v>
      </c>
      <c r="U3615" s="2">
        <v>366.78559999999999</v>
      </c>
      <c r="V3615" s="2">
        <v>1961.5056</v>
      </c>
      <c r="X3615" s="5">
        <f t="shared" si="529"/>
        <v>1</v>
      </c>
      <c r="Z3615" s="2" t="s">
        <v>117</v>
      </c>
      <c r="AF3615" s="2">
        <f t="shared" si="525"/>
        <v>0</v>
      </c>
      <c r="AJ3615" s="2">
        <f t="shared" si="526"/>
        <v>0</v>
      </c>
      <c r="AK3615" s="2">
        <f t="shared" si="527"/>
        <v>1594.72</v>
      </c>
      <c r="AL3615" s="5">
        <f t="shared" si="528"/>
        <v>1</v>
      </c>
    </row>
    <row r="3616" spans="1:38" x14ac:dyDescent="0.2">
      <c r="A3616" s="2">
        <v>2026</v>
      </c>
      <c r="B3616" s="2">
        <v>4</v>
      </c>
      <c r="C3616" s="2" t="s">
        <v>3319</v>
      </c>
      <c r="D3616" s="2" t="s">
        <v>1162</v>
      </c>
      <c r="E3616" s="2" t="s">
        <v>752</v>
      </c>
      <c r="F3616" s="2" t="s">
        <v>1217</v>
      </c>
      <c r="G3616" s="2">
        <v>508199280</v>
      </c>
      <c r="H3616" s="2" t="s">
        <v>40</v>
      </c>
      <c r="I3616" s="2" t="s">
        <v>1163</v>
      </c>
      <c r="L3616" s="2" t="s">
        <v>293</v>
      </c>
      <c r="M3616" s="2" t="s">
        <v>40</v>
      </c>
      <c r="P3616" s="2" t="s">
        <v>114</v>
      </c>
      <c r="Q3616" s="2" t="s">
        <v>412</v>
      </c>
      <c r="R3616" s="2" t="s">
        <v>413</v>
      </c>
      <c r="S3616" s="2">
        <v>1</v>
      </c>
      <c r="T3616" s="2">
        <v>15990</v>
      </c>
      <c r="U3616" s="2">
        <v>3677.7</v>
      </c>
      <c r="V3616" s="2">
        <v>19667.7</v>
      </c>
      <c r="W3616" s="2">
        <v>10669.4</v>
      </c>
      <c r="X3616" s="5">
        <f t="shared" si="529"/>
        <v>0.33274546591619764</v>
      </c>
      <c r="Z3616" s="2" t="s">
        <v>104</v>
      </c>
      <c r="AA3616" s="2" t="s">
        <v>414</v>
      </c>
      <c r="AB3616" s="2" t="s">
        <v>151</v>
      </c>
      <c r="AC3616" s="2" t="s">
        <v>114</v>
      </c>
      <c r="AF3616" s="2">
        <f t="shared" si="525"/>
        <v>0</v>
      </c>
      <c r="AJ3616" s="2">
        <f t="shared" si="526"/>
        <v>0</v>
      </c>
      <c r="AK3616" s="2">
        <f t="shared" si="527"/>
        <v>5320.6</v>
      </c>
      <c r="AL3616" s="5">
        <f t="shared" si="528"/>
        <v>0.33274546591619764</v>
      </c>
    </row>
    <row r="3617" spans="1:38" x14ac:dyDescent="0.2">
      <c r="A3617" s="2">
        <v>2026</v>
      </c>
      <c r="B3617" s="2">
        <v>4</v>
      </c>
      <c r="D3617" s="2" t="s">
        <v>3259</v>
      </c>
      <c r="E3617" s="2" t="s">
        <v>38</v>
      </c>
      <c r="G3617" s="2">
        <v>500844321</v>
      </c>
      <c r="H3617" s="2" t="s">
        <v>40</v>
      </c>
      <c r="I3617" s="2" t="s">
        <v>339</v>
      </c>
      <c r="J3617" s="2" t="s">
        <v>2646</v>
      </c>
      <c r="L3617" s="2" t="s">
        <v>398</v>
      </c>
      <c r="M3617" s="2" t="s">
        <v>40</v>
      </c>
      <c r="O3617" s="2" t="s">
        <v>3260</v>
      </c>
      <c r="P3617" s="2" t="s">
        <v>114</v>
      </c>
      <c r="Q3617" s="2" t="s">
        <v>412</v>
      </c>
      <c r="R3617" s="2" t="s">
        <v>413</v>
      </c>
      <c r="S3617" s="2">
        <v>1</v>
      </c>
      <c r="T3617" s="2">
        <v>14990</v>
      </c>
      <c r="U3617" s="2">
        <f>T3617*23%</f>
        <v>3447.7000000000003</v>
      </c>
      <c r="V3617" s="2">
        <f>T3617+U3617</f>
        <v>18437.7</v>
      </c>
      <c r="W3617" s="2">
        <f>10699.41+285.74</f>
        <v>10985.15</v>
      </c>
      <c r="X3617" s="5">
        <f t="shared" si="529"/>
        <v>0.26716811207471652</v>
      </c>
      <c r="Z3617" s="2" t="s">
        <v>104</v>
      </c>
      <c r="AA3617" s="2" t="s">
        <v>414</v>
      </c>
      <c r="AB3617" s="2" t="s">
        <v>151</v>
      </c>
      <c r="AC3617" s="2" t="s">
        <v>114</v>
      </c>
      <c r="AF3617" s="2">
        <f t="shared" si="525"/>
        <v>0</v>
      </c>
      <c r="AJ3617" s="2">
        <f t="shared" si="526"/>
        <v>0</v>
      </c>
      <c r="AK3617" s="2">
        <f t="shared" si="527"/>
        <v>4004.8500000000004</v>
      </c>
      <c r="AL3617" s="5">
        <f t="shared" si="528"/>
        <v>0.26716811207471652</v>
      </c>
    </row>
    <row r="3618" spans="1:38" x14ac:dyDescent="0.2">
      <c r="A3618" s="2">
        <v>2026</v>
      </c>
      <c r="B3618" s="2">
        <v>4</v>
      </c>
      <c r="C3618" s="2" t="s">
        <v>3319</v>
      </c>
      <c r="D3618" s="2" t="s">
        <v>1162</v>
      </c>
      <c r="E3618" s="2" t="s">
        <v>752</v>
      </c>
      <c r="F3618" s="2" t="s">
        <v>1217</v>
      </c>
      <c r="G3618" s="2">
        <v>508199280</v>
      </c>
      <c r="H3618" s="2" t="s">
        <v>40</v>
      </c>
      <c r="I3618" s="2" t="s">
        <v>1163</v>
      </c>
      <c r="L3618" s="2" t="s">
        <v>293</v>
      </c>
      <c r="M3618" s="2" t="s">
        <v>40</v>
      </c>
      <c r="P3618" s="2" t="s">
        <v>114</v>
      </c>
      <c r="Q3618" s="2" t="s">
        <v>955</v>
      </c>
      <c r="R3618" s="2" t="s">
        <v>956</v>
      </c>
      <c r="S3618" s="2">
        <v>1</v>
      </c>
      <c r="T3618" s="2">
        <v>8930</v>
      </c>
      <c r="U3618" s="2">
        <v>2053.9</v>
      </c>
      <c r="V3618" s="2">
        <v>10983.9</v>
      </c>
      <c r="W3618" s="2">
        <v>6468.73</v>
      </c>
      <c r="X3618" s="5">
        <f t="shared" si="529"/>
        <v>0.27561814109742444</v>
      </c>
      <c r="Z3618" s="2" t="s">
        <v>104</v>
      </c>
      <c r="AA3618" s="2" t="s">
        <v>616</v>
      </c>
      <c r="AB3618" s="2" t="s">
        <v>957</v>
      </c>
      <c r="AC3618" s="2" t="s">
        <v>114</v>
      </c>
      <c r="AF3618" s="2">
        <f t="shared" si="525"/>
        <v>0</v>
      </c>
      <c r="AG3618" s="2">
        <f>6193.4+275.33</f>
        <v>6468.73</v>
      </c>
      <c r="AJ3618" s="2">
        <f t="shared" si="526"/>
        <v>0</v>
      </c>
      <c r="AK3618" s="2">
        <f t="shared" si="527"/>
        <v>2461.2700000000004</v>
      </c>
      <c r="AL3618" s="5">
        <f t="shared" si="528"/>
        <v>0.27561814109742444</v>
      </c>
    </row>
    <row r="3619" spans="1:38" x14ac:dyDescent="0.2">
      <c r="A3619" s="2">
        <v>2026</v>
      </c>
      <c r="B3619" s="2">
        <v>4</v>
      </c>
      <c r="C3619" s="2" t="s">
        <v>3451</v>
      </c>
      <c r="D3619" s="2" t="s">
        <v>3458</v>
      </c>
      <c r="E3619" s="2" t="s">
        <v>108</v>
      </c>
      <c r="F3619" s="2" t="s">
        <v>395</v>
      </c>
      <c r="L3619" s="2" t="s">
        <v>418</v>
      </c>
      <c r="M3619" s="2" t="s">
        <v>41</v>
      </c>
      <c r="O3619" s="2" t="s">
        <v>2818</v>
      </c>
      <c r="P3619" s="2" t="s">
        <v>114</v>
      </c>
      <c r="Q3619" s="2" t="s">
        <v>955</v>
      </c>
      <c r="R3619" s="2" t="s">
        <v>956</v>
      </c>
      <c r="S3619" s="2">
        <v>1</v>
      </c>
      <c r="T3619" s="2">
        <v>8930</v>
      </c>
      <c r="U3619" s="2">
        <v>2053.9</v>
      </c>
      <c r="V3619" s="2">
        <v>10983.9</v>
      </c>
      <c r="W3619" s="2">
        <v>6468.73</v>
      </c>
      <c r="X3619" s="5">
        <f t="shared" si="529"/>
        <v>0.27561814109742444</v>
      </c>
      <c r="Z3619" s="2" t="s">
        <v>104</v>
      </c>
      <c r="AA3619" s="2" t="s">
        <v>616</v>
      </c>
      <c r="AB3619" s="2" t="s">
        <v>957</v>
      </c>
      <c r="AC3619" s="2" t="s">
        <v>114</v>
      </c>
      <c r="AF3619" s="2">
        <f t="shared" si="525"/>
        <v>0</v>
      </c>
      <c r="AG3619" s="2">
        <v>6468.73</v>
      </c>
      <c r="AJ3619" s="2">
        <f t="shared" si="526"/>
        <v>0</v>
      </c>
      <c r="AK3619" s="2">
        <f t="shared" si="527"/>
        <v>2461.2700000000004</v>
      </c>
      <c r="AL3619" s="5">
        <f t="shared" si="528"/>
        <v>0.27561814109742444</v>
      </c>
    </row>
    <row r="3620" spans="1:38" x14ac:dyDescent="0.2">
      <c r="A3620" s="2">
        <v>2026</v>
      </c>
      <c r="B3620" s="2">
        <v>4</v>
      </c>
      <c r="C3620" s="2" t="s">
        <v>3319</v>
      </c>
      <c r="D3620" s="2" t="s">
        <v>1162</v>
      </c>
      <c r="E3620" s="2" t="s">
        <v>752</v>
      </c>
      <c r="F3620" s="2" t="s">
        <v>1217</v>
      </c>
      <c r="G3620" s="2">
        <v>508199280</v>
      </c>
      <c r="H3620" s="2" t="s">
        <v>40</v>
      </c>
      <c r="I3620" s="2" t="s">
        <v>1163</v>
      </c>
      <c r="L3620" s="2" t="s">
        <v>293</v>
      </c>
      <c r="M3620" s="2" t="s">
        <v>40</v>
      </c>
      <c r="P3620" s="2" t="s">
        <v>114</v>
      </c>
      <c r="Q3620" s="2" t="s">
        <v>1578</v>
      </c>
      <c r="R3620" s="2" t="s">
        <v>1579</v>
      </c>
      <c r="S3620" s="2">
        <v>1</v>
      </c>
      <c r="T3620" s="2">
        <v>7340</v>
      </c>
      <c r="U3620" s="2">
        <v>1688.2</v>
      </c>
      <c r="V3620" s="2">
        <v>9028.2000000000007</v>
      </c>
      <c r="W3620" s="2">
        <v>5064.2299999999996</v>
      </c>
      <c r="X3620" s="5">
        <f t="shared" si="529"/>
        <v>0.31005040871934608</v>
      </c>
      <c r="Z3620" s="2" t="s">
        <v>104</v>
      </c>
      <c r="AA3620" s="2" t="s">
        <v>150</v>
      </c>
      <c r="AB3620" s="2" t="s">
        <v>151</v>
      </c>
      <c r="AC3620" s="2" t="s">
        <v>114</v>
      </c>
      <c r="AF3620" s="2">
        <f t="shared" si="525"/>
        <v>0</v>
      </c>
      <c r="AG3620" s="2">
        <f>4893.23+171</f>
        <v>5064.2299999999996</v>
      </c>
      <c r="AJ3620" s="2">
        <f t="shared" si="526"/>
        <v>0</v>
      </c>
      <c r="AK3620" s="2">
        <f t="shared" si="527"/>
        <v>2275.7700000000004</v>
      </c>
      <c r="AL3620" s="5">
        <f t="shared" si="528"/>
        <v>0.31005040871934608</v>
      </c>
    </row>
    <row r="3621" spans="1:38" x14ac:dyDescent="0.2">
      <c r="A3621" s="2">
        <v>2026</v>
      </c>
      <c r="B3621" s="2">
        <v>4</v>
      </c>
      <c r="D3621" s="2" t="s">
        <v>462</v>
      </c>
      <c r="E3621" s="2" t="s">
        <v>108</v>
      </c>
      <c r="F3621" s="2" t="s">
        <v>39</v>
      </c>
      <c r="G3621" s="2">
        <v>506531031</v>
      </c>
      <c r="H3621" s="2" t="s">
        <v>109</v>
      </c>
      <c r="I3621" s="2" t="s">
        <v>463</v>
      </c>
      <c r="J3621" s="2" t="s">
        <v>464</v>
      </c>
      <c r="L3621" s="2" t="s">
        <v>112</v>
      </c>
      <c r="O3621" s="2" t="s">
        <v>2819</v>
      </c>
      <c r="P3621" s="2" t="s">
        <v>114</v>
      </c>
      <c r="Q3621" s="2" t="s">
        <v>1578</v>
      </c>
      <c r="R3621" s="2" t="s">
        <v>1579</v>
      </c>
      <c r="S3621" s="2">
        <v>1</v>
      </c>
      <c r="T3621" s="2">
        <v>6990</v>
      </c>
      <c r="U3621" s="2">
        <v>1607.7</v>
      </c>
      <c r="V3621" s="2">
        <v>8597.7000000000007</v>
      </c>
      <c r="W3621" s="2">
        <v>5064.2299999999996</v>
      </c>
      <c r="X3621" s="5">
        <f t="shared" si="529"/>
        <v>0.27550357653791135</v>
      </c>
      <c r="Z3621" s="2" t="s">
        <v>104</v>
      </c>
      <c r="AA3621" s="2" t="s">
        <v>150</v>
      </c>
      <c r="AB3621" s="2" t="s">
        <v>151</v>
      </c>
      <c r="AC3621" s="2" t="s">
        <v>114</v>
      </c>
      <c r="AF3621" s="2">
        <f t="shared" si="525"/>
        <v>0</v>
      </c>
      <c r="AG3621" s="2">
        <f>4893.23+171</f>
        <v>5064.2299999999996</v>
      </c>
      <c r="AJ3621" s="2">
        <f t="shared" si="526"/>
        <v>0</v>
      </c>
      <c r="AK3621" s="2">
        <f t="shared" si="527"/>
        <v>1925.7700000000004</v>
      </c>
      <c r="AL3621" s="5">
        <f t="shared" si="528"/>
        <v>0.27550357653791135</v>
      </c>
    </row>
    <row r="3622" spans="1:38" x14ac:dyDescent="0.2">
      <c r="A3622" s="2">
        <v>2026</v>
      </c>
      <c r="B3622" s="2">
        <v>4</v>
      </c>
      <c r="D3622" s="2" t="s">
        <v>2049</v>
      </c>
      <c r="E3622" s="2" t="s">
        <v>108</v>
      </c>
      <c r="F3622" s="2" t="s">
        <v>39</v>
      </c>
      <c r="G3622" s="2">
        <v>514960337</v>
      </c>
      <c r="H3622" s="2" t="s">
        <v>290</v>
      </c>
      <c r="I3622" s="2" t="s">
        <v>2779</v>
      </c>
      <c r="J3622" s="2" t="s">
        <v>2820</v>
      </c>
      <c r="K3622" s="2">
        <v>914732950</v>
      </c>
      <c r="L3622" s="2" t="s">
        <v>480</v>
      </c>
      <c r="M3622" s="2" t="s">
        <v>40</v>
      </c>
      <c r="O3622" s="2" t="s">
        <v>2821</v>
      </c>
      <c r="P3622" s="2" t="s">
        <v>1604</v>
      </c>
      <c r="Q3622" s="2" t="s">
        <v>1602</v>
      </c>
      <c r="R3622" s="2" t="s">
        <v>1603</v>
      </c>
      <c r="S3622" s="2">
        <v>1</v>
      </c>
      <c r="T3622" s="2">
        <v>68.86</v>
      </c>
      <c r="U3622" s="2">
        <v>15.8378</v>
      </c>
      <c r="V3622" s="2">
        <v>84.697800000000001</v>
      </c>
      <c r="W3622" s="2">
        <v>10.15</v>
      </c>
      <c r="X3622" s="5">
        <f t="shared" si="529"/>
        <v>0.8525994772001162</v>
      </c>
      <c r="Z3622" s="2" t="s">
        <v>117</v>
      </c>
      <c r="AA3622" s="2" t="s">
        <v>118</v>
      </c>
      <c r="AB3622" s="2" t="s">
        <v>119</v>
      </c>
      <c r="AC3622" s="2" t="s">
        <v>1604</v>
      </c>
      <c r="AF3622" s="2">
        <f t="shared" si="525"/>
        <v>0</v>
      </c>
      <c r="AG3622" s="2">
        <v>10.15</v>
      </c>
      <c r="AJ3622" s="2">
        <f t="shared" si="526"/>
        <v>0</v>
      </c>
      <c r="AK3622" s="2">
        <f t="shared" si="527"/>
        <v>58.71</v>
      </c>
      <c r="AL3622" s="5">
        <f t="shared" si="528"/>
        <v>0.8525994772001162</v>
      </c>
    </row>
    <row r="3623" spans="1:38" x14ac:dyDescent="0.2">
      <c r="A3623" s="2">
        <v>2026</v>
      </c>
      <c r="B3623" s="2">
        <v>4</v>
      </c>
      <c r="D3623" s="2" t="s">
        <v>451</v>
      </c>
      <c r="E3623" s="2" t="s">
        <v>108</v>
      </c>
      <c r="F3623" s="2" t="s">
        <v>39</v>
      </c>
      <c r="G3623" s="2">
        <v>506085686</v>
      </c>
      <c r="H3623" s="2" t="s">
        <v>40</v>
      </c>
      <c r="I3623" s="2" t="s">
        <v>452</v>
      </c>
      <c r="J3623" s="2" t="s">
        <v>453</v>
      </c>
      <c r="K3623" s="2">
        <v>917241919</v>
      </c>
      <c r="L3623" s="2" t="s">
        <v>398</v>
      </c>
      <c r="P3623" s="2" t="s">
        <v>1608</v>
      </c>
      <c r="Q3623" s="2" t="s">
        <v>2822</v>
      </c>
      <c r="R3623" s="2" t="s">
        <v>2823</v>
      </c>
      <c r="S3623" s="2">
        <v>2</v>
      </c>
      <c r="T3623" s="2">
        <v>9215</v>
      </c>
      <c r="U3623" s="2">
        <v>2119.4499999999998</v>
      </c>
      <c r="V3623" s="2">
        <v>11334.45</v>
      </c>
      <c r="X3623" s="5">
        <f t="shared" si="529"/>
        <v>1</v>
      </c>
      <c r="Z3623" s="2" t="s">
        <v>104</v>
      </c>
      <c r="AA3623" s="2" t="s">
        <v>264</v>
      </c>
      <c r="AB3623" s="2" t="s">
        <v>1095</v>
      </c>
      <c r="AC3623" s="2" t="s">
        <v>1608</v>
      </c>
      <c r="AF3623" s="2">
        <f t="shared" si="525"/>
        <v>0</v>
      </c>
      <c r="AJ3623" s="2">
        <f t="shared" si="526"/>
        <v>0</v>
      </c>
      <c r="AK3623" s="2">
        <f t="shared" si="527"/>
        <v>9215</v>
      </c>
      <c r="AL3623" s="5">
        <f t="shared" si="528"/>
        <v>1</v>
      </c>
    </row>
    <row r="3624" spans="1:38" x14ac:dyDescent="0.2">
      <c r="A3624" s="2">
        <v>2026</v>
      </c>
      <c r="B3624" s="2">
        <v>4</v>
      </c>
      <c r="D3624" s="2" t="s">
        <v>1621</v>
      </c>
      <c r="E3624" s="2" t="s">
        <v>108</v>
      </c>
      <c r="F3624" s="2" t="s">
        <v>39</v>
      </c>
      <c r="G3624" s="2">
        <v>505915774</v>
      </c>
      <c r="H3624" s="2" t="s">
        <v>109</v>
      </c>
      <c r="I3624" s="2" t="s">
        <v>2824</v>
      </c>
      <c r="J3624" s="2" t="s">
        <v>2825</v>
      </c>
      <c r="L3624" s="2" t="s">
        <v>112</v>
      </c>
      <c r="M3624" s="2" t="s">
        <v>109</v>
      </c>
      <c r="O3624" s="2" t="s">
        <v>2826</v>
      </c>
      <c r="P3624" s="2" t="s">
        <v>282</v>
      </c>
      <c r="Q3624" s="2" t="s">
        <v>1205</v>
      </c>
      <c r="R3624" s="2" t="s">
        <v>1206</v>
      </c>
      <c r="S3624" s="2">
        <v>2</v>
      </c>
      <c r="T3624" s="2">
        <v>57.8</v>
      </c>
      <c r="U3624" s="2">
        <v>13.294</v>
      </c>
      <c r="V3624" s="2">
        <v>71.093999999999994</v>
      </c>
      <c r="W3624" s="2">
        <f>14.34*S3624</f>
        <v>28.68</v>
      </c>
      <c r="X3624" s="5">
        <f t="shared" si="529"/>
        <v>0.50380622837370237</v>
      </c>
      <c r="Z3624" s="2" t="s">
        <v>3227</v>
      </c>
      <c r="AA3624" s="2" t="s">
        <v>71</v>
      </c>
      <c r="AB3624" s="2" t="s">
        <v>119</v>
      </c>
      <c r="AC3624" s="2" t="s">
        <v>119</v>
      </c>
      <c r="AF3624" s="2">
        <f t="shared" si="525"/>
        <v>0</v>
      </c>
      <c r="AG3624" s="2">
        <v>14.34</v>
      </c>
      <c r="AJ3624" s="2">
        <f t="shared" si="526"/>
        <v>0</v>
      </c>
      <c r="AK3624" s="2">
        <f t="shared" si="527"/>
        <v>29.119999999999997</v>
      </c>
      <c r="AL3624" s="5">
        <f t="shared" si="528"/>
        <v>0.50380622837370237</v>
      </c>
    </row>
    <row r="3625" spans="1:38" x14ac:dyDescent="0.2">
      <c r="A3625" s="2">
        <v>2026</v>
      </c>
      <c r="B3625" s="2">
        <v>4</v>
      </c>
      <c r="D3625" s="2" t="s">
        <v>781</v>
      </c>
      <c r="E3625" s="2" t="s">
        <v>38</v>
      </c>
      <c r="F3625" s="2" t="s">
        <v>39</v>
      </c>
      <c r="G3625" s="2">
        <v>510219675</v>
      </c>
      <c r="H3625" s="2" t="s">
        <v>40</v>
      </c>
      <c r="I3625" s="2" t="s">
        <v>782</v>
      </c>
      <c r="J3625" s="2" t="s">
        <v>783</v>
      </c>
      <c r="K3625" s="2">
        <v>917341136</v>
      </c>
      <c r="L3625" s="2" t="s">
        <v>99</v>
      </c>
      <c r="P3625" s="2" t="s">
        <v>282</v>
      </c>
      <c r="Q3625" s="2" t="s">
        <v>2827</v>
      </c>
      <c r="R3625" s="2" t="s">
        <v>2828</v>
      </c>
      <c r="S3625" s="2">
        <v>1</v>
      </c>
      <c r="T3625" s="2">
        <v>11.2</v>
      </c>
      <c r="U3625" s="2">
        <v>2.5760000000000001</v>
      </c>
      <c r="V3625" s="2">
        <v>13.776</v>
      </c>
      <c r="W3625" s="2">
        <f>9.8+0.27</f>
        <v>10.07</v>
      </c>
      <c r="X3625" s="5">
        <f t="shared" si="529"/>
        <v>0.10089285714285706</v>
      </c>
      <c r="Z3625" s="2" t="s">
        <v>3227</v>
      </c>
      <c r="AA3625" s="2" t="s">
        <v>155</v>
      </c>
      <c r="AB3625" s="2" t="s">
        <v>3403</v>
      </c>
      <c r="AC3625" s="2" t="s">
        <v>1327</v>
      </c>
      <c r="AF3625" s="2">
        <f t="shared" si="525"/>
        <v>0</v>
      </c>
      <c r="AJ3625" s="2">
        <f t="shared" si="526"/>
        <v>0</v>
      </c>
      <c r="AK3625" s="2">
        <f t="shared" si="527"/>
        <v>1.129999999999999</v>
      </c>
      <c r="AL3625" s="5">
        <f t="shared" si="528"/>
        <v>0.10089285714285706</v>
      </c>
    </row>
    <row r="3626" spans="1:38" x14ac:dyDescent="0.2">
      <c r="A3626" s="2">
        <v>2026</v>
      </c>
      <c r="B3626" s="2">
        <v>4</v>
      </c>
      <c r="D3626" s="2" t="s">
        <v>781</v>
      </c>
      <c r="E3626" s="2" t="s">
        <v>38</v>
      </c>
      <c r="F3626" s="2" t="s">
        <v>39</v>
      </c>
      <c r="G3626" s="2">
        <v>510219675</v>
      </c>
      <c r="H3626" s="2" t="s">
        <v>40</v>
      </c>
      <c r="I3626" s="2" t="s">
        <v>782</v>
      </c>
      <c r="J3626" s="2" t="s">
        <v>783</v>
      </c>
      <c r="K3626" s="2">
        <v>917341136</v>
      </c>
      <c r="L3626" s="2" t="s">
        <v>99</v>
      </c>
      <c r="P3626" s="2" t="s">
        <v>282</v>
      </c>
      <c r="Q3626" s="2" t="s">
        <v>2829</v>
      </c>
      <c r="R3626" s="2" t="s">
        <v>2830</v>
      </c>
      <c r="S3626" s="2">
        <v>1</v>
      </c>
      <c r="T3626" s="2">
        <v>88.8</v>
      </c>
      <c r="U3626" s="2">
        <v>20.423999999999999</v>
      </c>
      <c r="V3626" s="2">
        <v>109.224</v>
      </c>
      <c r="W3626" s="2">
        <f>77.7+2.15</f>
        <v>79.850000000000009</v>
      </c>
      <c r="X3626" s="5">
        <f t="shared" si="529"/>
        <v>0.10078828828828816</v>
      </c>
      <c r="Z3626" s="2" t="s">
        <v>3227</v>
      </c>
      <c r="AA3626" s="2" t="s">
        <v>578</v>
      </c>
      <c r="AB3626" s="2" t="s">
        <v>119</v>
      </c>
      <c r="AC3626" s="2" t="s">
        <v>1327</v>
      </c>
      <c r="AF3626" s="2">
        <f t="shared" si="525"/>
        <v>0</v>
      </c>
      <c r="AJ3626" s="2">
        <f t="shared" si="526"/>
        <v>0</v>
      </c>
      <c r="AK3626" s="2">
        <f t="shared" si="527"/>
        <v>8.9499999999999886</v>
      </c>
      <c r="AL3626" s="5">
        <f t="shared" si="528"/>
        <v>0.10078828828828816</v>
      </c>
    </row>
    <row r="3627" spans="1:38" x14ac:dyDescent="0.2">
      <c r="A3627" s="2">
        <v>2026</v>
      </c>
      <c r="B3627" s="2">
        <v>4</v>
      </c>
      <c r="D3627" s="2" t="s">
        <v>174</v>
      </c>
      <c r="E3627" s="2" t="s">
        <v>38</v>
      </c>
      <c r="G3627" s="2">
        <v>507685261</v>
      </c>
      <c r="H3627" s="2" t="s">
        <v>41</v>
      </c>
      <c r="I3627" s="2" t="s">
        <v>175</v>
      </c>
      <c r="J3627" s="2" t="s">
        <v>176</v>
      </c>
      <c r="K3627" s="2">
        <v>932748418</v>
      </c>
      <c r="L3627" s="2" t="s">
        <v>177</v>
      </c>
      <c r="M3627" s="2" t="s">
        <v>41</v>
      </c>
      <c r="O3627" s="2" t="s">
        <v>2831</v>
      </c>
      <c r="P3627" s="2" t="s">
        <v>282</v>
      </c>
      <c r="Q3627" s="2" t="s">
        <v>1779</v>
      </c>
      <c r="R3627" s="2" t="s">
        <v>1780</v>
      </c>
      <c r="S3627" s="2">
        <v>1</v>
      </c>
      <c r="T3627" s="2">
        <v>1990</v>
      </c>
      <c r="U3627" s="2">
        <v>457.7</v>
      </c>
      <c r="V3627" s="2">
        <v>2447.6999999999998</v>
      </c>
      <c r="W3627" s="2">
        <v>1458</v>
      </c>
      <c r="X3627" s="5">
        <f t="shared" si="529"/>
        <v>0.26733668341708544</v>
      </c>
      <c r="Z3627" s="2" t="s">
        <v>104</v>
      </c>
      <c r="AA3627" s="2" t="s">
        <v>387</v>
      </c>
      <c r="AB3627" s="2" t="s">
        <v>1330</v>
      </c>
      <c r="AC3627" s="2" t="s">
        <v>1327</v>
      </c>
      <c r="AF3627" s="2">
        <f t="shared" si="525"/>
        <v>0</v>
      </c>
      <c r="AG3627" s="2">
        <v>1458</v>
      </c>
      <c r="AJ3627" s="2">
        <f t="shared" si="526"/>
        <v>0</v>
      </c>
      <c r="AK3627" s="2">
        <f t="shared" si="527"/>
        <v>532</v>
      </c>
      <c r="AL3627" s="5">
        <f t="shared" si="528"/>
        <v>0.26733668341708544</v>
      </c>
    </row>
    <row r="3628" spans="1:38" x14ac:dyDescent="0.2">
      <c r="A3628" s="2">
        <v>2026</v>
      </c>
      <c r="B3628" s="2">
        <v>4</v>
      </c>
      <c r="D3628" s="2" t="s">
        <v>2832</v>
      </c>
      <c r="P3628" s="2" t="s">
        <v>282</v>
      </c>
      <c r="Q3628" s="2" t="s">
        <v>1779</v>
      </c>
      <c r="R3628" s="2" t="s">
        <v>1780</v>
      </c>
      <c r="S3628" s="2">
        <v>1</v>
      </c>
      <c r="T3628" s="2">
        <v>1990</v>
      </c>
      <c r="U3628" s="2">
        <v>457.7</v>
      </c>
      <c r="V3628" s="2">
        <v>2447.6999999999998</v>
      </c>
      <c r="X3628" s="5">
        <f t="shared" si="529"/>
        <v>1</v>
      </c>
      <c r="Z3628" s="2" t="s">
        <v>104</v>
      </c>
      <c r="AF3628" s="2">
        <f t="shared" si="525"/>
        <v>0</v>
      </c>
      <c r="AJ3628" s="2">
        <f t="shared" si="526"/>
        <v>0</v>
      </c>
      <c r="AK3628" s="2">
        <f t="shared" si="527"/>
        <v>1990</v>
      </c>
      <c r="AL3628" s="5">
        <f t="shared" si="528"/>
        <v>1</v>
      </c>
    </row>
    <row r="3629" spans="1:38" x14ac:dyDescent="0.2">
      <c r="A3629" s="2">
        <v>2026</v>
      </c>
      <c r="B3629" s="2">
        <v>4</v>
      </c>
      <c r="D3629" s="2" t="s">
        <v>781</v>
      </c>
      <c r="E3629" s="2" t="s">
        <v>38</v>
      </c>
      <c r="F3629" s="2" t="s">
        <v>39</v>
      </c>
      <c r="G3629" s="2">
        <v>510219675</v>
      </c>
      <c r="H3629" s="2" t="s">
        <v>40</v>
      </c>
      <c r="I3629" s="2" t="s">
        <v>782</v>
      </c>
      <c r="J3629" s="2" t="s">
        <v>783</v>
      </c>
      <c r="K3629" s="2">
        <v>917341136</v>
      </c>
      <c r="L3629" s="2" t="s">
        <v>99</v>
      </c>
      <c r="P3629" s="2" t="s">
        <v>282</v>
      </c>
      <c r="Q3629" s="2" t="s">
        <v>1779</v>
      </c>
      <c r="R3629" s="2" t="s">
        <v>1780</v>
      </c>
      <c r="S3629" s="2">
        <v>1</v>
      </c>
      <c r="T3629" s="2">
        <v>1791</v>
      </c>
      <c r="U3629" s="2">
        <v>411.93</v>
      </c>
      <c r="V3629" s="2">
        <v>2202.9299999999998</v>
      </c>
      <c r="X3629" s="5">
        <f t="shared" si="529"/>
        <v>1</v>
      </c>
      <c r="Z3629" s="2" t="s">
        <v>104</v>
      </c>
      <c r="AF3629" s="2">
        <f t="shared" si="525"/>
        <v>0</v>
      </c>
      <c r="AJ3629" s="2">
        <f t="shared" si="526"/>
        <v>0</v>
      </c>
      <c r="AK3629" s="2">
        <f t="shared" si="527"/>
        <v>1791</v>
      </c>
      <c r="AL3629" s="5">
        <f t="shared" si="528"/>
        <v>1</v>
      </c>
    </row>
    <row r="3630" spans="1:38" x14ac:dyDescent="0.2">
      <c r="A3630" s="2">
        <v>2026</v>
      </c>
      <c r="B3630" s="2">
        <v>4</v>
      </c>
      <c r="D3630" s="2" t="s">
        <v>2752</v>
      </c>
      <c r="E3630" s="2" t="s">
        <v>38</v>
      </c>
      <c r="F3630" s="2" t="s">
        <v>39</v>
      </c>
      <c r="G3630" s="2">
        <v>501938311</v>
      </c>
      <c r="H3630" s="2" t="s">
        <v>109</v>
      </c>
      <c r="I3630" s="2" t="s">
        <v>2753</v>
      </c>
      <c r="J3630" s="2" t="s">
        <v>2754</v>
      </c>
      <c r="K3630" s="2">
        <v>962332957</v>
      </c>
      <c r="L3630" s="2" t="s">
        <v>112</v>
      </c>
      <c r="M3630" s="2" t="s">
        <v>109</v>
      </c>
      <c r="O3630" s="2" t="s">
        <v>2833</v>
      </c>
      <c r="P3630" s="2" t="s">
        <v>282</v>
      </c>
      <c r="Q3630" s="2" t="s">
        <v>1779</v>
      </c>
      <c r="R3630" s="2" t="s">
        <v>1780</v>
      </c>
      <c r="S3630" s="2">
        <v>1</v>
      </c>
      <c r="T3630" s="2">
        <v>1990</v>
      </c>
      <c r="U3630" s="2">
        <v>457.7</v>
      </c>
      <c r="V3630" s="2">
        <v>2447.6999999999998</v>
      </c>
      <c r="W3630" s="2">
        <v>1458</v>
      </c>
      <c r="X3630" s="5">
        <f t="shared" si="529"/>
        <v>0.26733668341708544</v>
      </c>
      <c r="Z3630" s="2" t="s">
        <v>104</v>
      </c>
      <c r="AA3630" s="2" t="s">
        <v>387</v>
      </c>
      <c r="AB3630" s="2" t="s">
        <v>1330</v>
      </c>
      <c r="AC3630" s="2" t="s">
        <v>1327</v>
      </c>
      <c r="AF3630" s="2">
        <f t="shared" si="525"/>
        <v>0</v>
      </c>
      <c r="AG3630" s="2">
        <v>1458</v>
      </c>
      <c r="AJ3630" s="2">
        <f t="shared" si="526"/>
        <v>0</v>
      </c>
      <c r="AK3630" s="2">
        <f t="shared" si="527"/>
        <v>532</v>
      </c>
      <c r="AL3630" s="5">
        <f t="shared" si="528"/>
        <v>0.26733668341708544</v>
      </c>
    </row>
    <row r="3631" spans="1:38" x14ac:dyDescent="0.2">
      <c r="A3631" s="2">
        <v>2026</v>
      </c>
      <c r="B3631" s="2">
        <v>4</v>
      </c>
      <c r="D3631" s="2" t="s">
        <v>174</v>
      </c>
      <c r="E3631" s="2" t="s">
        <v>38</v>
      </c>
      <c r="G3631" s="2">
        <v>507685261</v>
      </c>
      <c r="H3631" s="2" t="s">
        <v>41</v>
      </c>
      <c r="I3631" s="2" t="s">
        <v>175</v>
      </c>
      <c r="J3631" s="2" t="s">
        <v>176</v>
      </c>
      <c r="K3631" s="2">
        <v>932748418</v>
      </c>
      <c r="L3631" s="2" t="s">
        <v>177</v>
      </c>
      <c r="M3631" s="2" t="s">
        <v>41</v>
      </c>
      <c r="O3631" s="2" t="s">
        <v>2831</v>
      </c>
      <c r="P3631" s="2" t="s">
        <v>282</v>
      </c>
      <c r="Q3631" s="2" t="s">
        <v>1328</v>
      </c>
      <c r="R3631" s="2" t="s">
        <v>1329</v>
      </c>
      <c r="S3631" s="2">
        <v>1</v>
      </c>
      <c r="T3631" s="2">
        <v>1990</v>
      </c>
      <c r="U3631" s="2">
        <v>457.7</v>
      </c>
      <c r="V3631" s="2">
        <v>2447.6999999999998</v>
      </c>
      <c r="W3631" s="2">
        <v>1578</v>
      </c>
      <c r="X3631" s="5">
        <f t="shared" si="529"/>
        <v>0.20703517587939699</v>
      </c>
      <c r="Z3631" s="2" t="s">
        <v>104</v>
      </c>
      <c r="AA3631" s="2" t="s">
        <v>387</v>
      </c>
      <c r="AB3631" s="2" t="s">
        <v>1330</v>
      </c>
      <c r="AC3631" s="2" t="s">
        <v>1327</v>
      </c>
      <c r="AF3631" s="2">
        <f t="shared" si="525"/>
        <v>0</v>
      </c>
      <c r="AG3631" s="2">
        <v>1578</v>
      </c>
      <c r="AJ3631" s="2">
        <f t="shared" si="526"/>
        <v>0</v>
      </c>
      <c r="AK3631" s="2">
        <f t="shared" si="527"/>
        <v>412</v>
      </c>
      <c r="AL3631" s="5">
        <f t="shared" si="528"/>
        <v>0.20703517587939699</v>
      </c>
    </row>
    <row r="3632" spans="1:38" x14ac:dyDescent="0.2">
      <c r="A3632" s="2">
        <v>2026</v>
      </c>
      <c r="B3632" s="2">
        <v>4</v>
      </c>
      <c r="D3632" s="2" t="s">
        <v>781</v>
      </c>
      <c r="E3632" s="2" t="s">
        <v>38</v>
      </c>
      <c r="F3632" s="2" t="s">
        <v>39</v>
      </c>
      <c r="G3632" s="2">
        <v>510219675</v>
      </c>
      <c r="H3632" s="2" t="s">
        <v>40</v>
      </c>
      <c r="I3632" s="2" t="s">
        <v>782</v>
      </c>
      <c r="J3632" s="2" t="s">
        <v>783</v>
      </c>
      <c r="K3632" s="2">
        <v>917341136</v>
      </c>
      <c r="L3632" s="2" t="s">
        <v>99</v>
      </c>
      <c r="P3632" s="2" t="s">
        <v>282</v>
      </c>
      <c r="Q3632" s="2" t="s">
        <v>1328</v>
      </c>
      <c r="R3632" s="2" t="s">
        <v>1329</v>
      </c>
      <c r="S3632" s="2">
        <v>1</v>
      </c>
      <c r="T3632" s="2">
        <v>1935</v>
      </c>
      <c r="U3632" s="2">
        <v>445.05</v>
      </c>
      <c r="V3632" s="2">
        <v>2380.0500000000002</v>
      </c>
      <c r="W3632" s="2">
        <v>1578</v>
      </c>
      <c r="X3632" s="5">
        <f t="shared" si="529"/>
        <v>0.18449612403100776</v>
      </c>
      <c r="Z3632" s="2" t="s">
        <v>104</v>
      </c>
      <c r="AA3632" s="2" t="s">
        <v>387</v>
      </c>
      <c r="AB3632" s="2" t="s">
        <v>1330</v>
      </c>
      <c r="AC3632" s="2" t="s">
        <v>1327</v>
      </c>
      <c r="AF3632" s="2">
        <f t="shared" si="525"/>
        <v>0</v>
      </c>
      <c r="AJ3632" s="2">
        <f t="shared" si="526"/>
        <v>0</v>
      </c>
      <c r="AK3632" s="2">
        <f t="shared" si="527"/>
        <v>357</v>
      </c>
      <c r="AL3632" s="5">
        <f t="shared" si="528"/>
        <v>0.18449612403100776</v>
      </c>
    </row>
    <row r="3633" spans="1:38" x14ac:dyDescent="0.2">
      <c r="A3633" s="2">
        <v>2026</v>
      </c>
      <c r="B3633" s="2">
        <v>4</v>
      </c>
      <c r="D3633" s="2" t="s">
        <v>1573</v>
      </c>
      <c r="E3633" s="2" t="s">
        <v>752</v>
      </c>
      <c r="F3633" s="2" t="s">
        <v>39</v>
      </c>
      <c r="L3633" s="2" t="s">
        <v>461</v>
      </c>
      <c r="M3633" s="2" t="s">
        <v>109</v>
      </c>
      <c r="P3633" s="2" t="s">
        <v>282</v>
      </c>
      <c r="Q3633" s="2" t="s">
        <v>1284</v>
      </c>
      <c r="R3633" s="2" t="s">
        <v>1285</v>
      </c>
      <c r="S3633" s="2">
        <v>1</v>
      </c>
      <c r="T3633" s="2">
        <v>250</v>
      </c>
      <c r="U3633" s="2">
        <v>57.5</v>
      </c>
      <c r="V3633" s="2">
        <v>307.5</v>
      </c>
      <c r="X3633" s="5">
        <f t="shared" si="529"/>
        <v>1</v>
      </c>
      <c r="Z3633" s="2" t="s">
        <v>104</v>
      </c>
      <c r="AA3633" s="2" t="s">
        <v>1574</v>
      </c>
      <c r="AB3633" s="2" t="s">
        <v>388</v>
      </c>
      <c r="AC3633" s="2" t="s">
        <v>1327</v>
      </c>
      <c r="AF3633" s="2">
        <f t="shared" si="525"/>
        <v>0</v>
      </c>
      <c r="AJ3633" s="2">
        <f t="shared" si="526"/>
        <v>0</v>
      </c>
      <c r="AK3633" s="2">
        <f t="shared" si="527"/>
        <v>250</v>
      </c>
      <c r="AL3633" s="5">
        <f t="shared" si="528"/>
        <v>1</v>
      </c>
    </row>
    <row r="3634" spans="1:38" x14ac:dyDescent="0.2">
      <c r="A3634" s="2">
        <v>2026</v>
      </c>
      <c r="B3634" s="2">
        <v>4</v>
      </c>
      <c r="D3634" s="2" t="s">
        <v>2834</v>
      </c>
      <c r="E3634" s="2" t="s">
        <v>108</v>
      </c>
      <c r="F3634" s="2" t="s">
        <v>39</v>
      </c>
      <c r="G3634" s="2">
        <v>500412243</v>
      </c>
      <c r="H3634" s="2" t="s">
        <v>41</v>
      </c>
      <c r="I3634" s="2" t="s">
        <v>2835</v>
      </c>
      <c r="J3634" s="2" t="s">
        <v>2836</v>
      </c>
      <c r="K3634" s="2">
        <v>918896903</v>
      </c>
      <c r="L3634" s="2" t="s">
        <v>99</v>
      </c>
      <c r="M3634" s="2" t="s">
        <v>41</v>
      </c>
      <c r="O3634" s="2" t="s">
        <v>2837</v>
      </c>
      <c r="P3634" s="2" t="s">
        <v>282</v>
      </c>
      <c r="Q3634" s="2" t="s">
        <v>528</v>
      </c>
      <c r="R3634" s="2" t="s">
        <v>529</v>
      </c>
      <c r="S3634" s="2">
        <v>1</v>
      </c>
      <c r="T3634" s="2">
        <v>387.03</v>
      </c>
      <c r="U3634" s="2">
        <v>89.016899999999993</v>
      </c>
      <c r="V3634" s="2">
        <v>476.04689999999988</v>
      </c>
      <c r="W3634" s="2">
        <v>299.25</v>
      </c>
      <c r="X3634" s="5">
        <f t="shared" si="529"/>
        <v>0.22680412371134015</v>
      </c>
      <c r="Z3634" s="2" t="s">
        <v>3227</v>
      </c>
      <c r="AA3634" s="2" t="s">
        <v>71</v>
      </c>
      <c r="AB3634" s="2" t="s">
        <v>119</v>
      </c>
      <c r="AC3634" s="2" t="s">
        <v>119</v>
      </c>
      <c r="AF3634" s="2">
        <f t="shared" si="525"/>
        <v>0</v>
      </c>
      <c r="AG3634" s="2">
        <v>299.25</v>
      </c>
      <c r="AJ3634" s="2">
        <f t="shared" si="526"/>
        <v>0</v>
      </c>
      <c r="AK3634" s="2">
        <f t="shared" si="527"/>
        <v>87.779999999999973</v>
      </c>
      <c r="AL3634" s="5">
        <f t="shared" si="528"/>
        <v>0.22680412371134015</v>
      </c>
    </row>
    <row r="3635" spans="1:38" x14ac:dyDescent="0.2">
      <c r="A3635" s="2">
        <v>2026</v>
      </c>
      <c r="B3635" s="2">
        <v>4</v>
      </c>
      <c r="D3635" s="2" t="s">
        <v>2834</v>
      </c>
      <c r="E3635" s="2" t="s">
        <v>108</v>
      </c>
      <c r="F3635" s="2" t="s">
        <v>39</v>
      </c>
      <c r="G3635" s="2">
        <v>500412243</v>
      </c>
      <c r="H3635" s="2" t="s">
        <v>41</v>
      </c>
      <c r="I3635" s="2" t="s">
        <v>2835</v>
      </c>
      <c r="J3635" s="2" t="s">
        <v>2836</v>
      </c>
      <c r="K3635" s="2">
        <v>918896903</v>
      </c>
      <c r="L3635" s="2" t="s">
        <v>99</v>
      </c>
      <c r="M3635" s="2" t="s">
        <v>41</v>
      </c>
      <c r="O3635" s="2" t="s">
        <v>2837</v>
      </c>
      <c r="P3635" s="2" t="s">
        <v>282</v>
      </c>
      <c r="Q3635" s="2" t="s">
        <v>997</v>
      </c>
      <c r="R3635" s="2" t="s">
        <v>998</v>
      </c>
      <c r="S3635" s="2">
        <v>1</v>
      </c>
      <c r="T3635" s="2">
        <v>125.13</v>
      </c>
      <c r="U3635" s="2">
        <v>28.779900000000001</v>
      </c>
      <c r="V3635" s="2">
        <v>153.90989999999999</v>
      </c>
      <c r="W3635" s="2">
        <v>77.400000000000006</v>
      </c>
      <c r="X3635" s="5">
        <f t="shared" si="529"/>
        <v>0.38144329896907209</v>
      </c>
      <c r="Z3635" s="2" t="s">
        <v>3227</v>
      </c>
      <c r="AA3635" s="2" t="s">
        <v>71</v>
      </c>
      <c r="AB3635" s="2" t="s">
        <v>119</v>
      </c>
      <c r="AC3635" s="2" t="s">
        <v>119</v>
      </c>
      <c r="AF3635" s="2">
        <f t="shared" si="525"/>
        <v>0</v>
      </c>
      <c r="AG3635" s="2">
        <v>77.400000000000006</v>
      </c>
      <c r="AJ3635" s="2">
        <f t="shared" si="526"/>
        <v>0</v>
      </c>
      <c r="AK3635" s="2">
        <f t="shared" si="527"/>
        <v>47.72999999999999</v>
      </c>
      <c r="AL3635" s="5">
        <f t="shared" si="528"/>
        <v>0.38144329896907209</v>
      </c>
    </row>
    <row r="3636" spans="1:38" x14ac:dyDescent="0.2">
      <c r="A3636" s="2">
        <v>2026</v>
      </c>
      <c r="B3636" s="2">
        <v>4</v>
      </c>
      <c r="D3636" s="2" t="s">
        <v>2521</v>
      </c>
      <c r="M3636" s="2" t="s">
        <v>109</v>
      </c>
      <c r="P3636" s="2" t="s">
        <v>282</v>
      </c>
      <c r="Q3636" s="2" t="s">
        <v>399</v>
      </c>
      <c r="R3636" s="2" t="s">
        <v>400</v>
      </c>
      <c r="S3636" s="2">
        <v>-10</v>
      </c>
      <c r="T3636" s="2">
        <v>-200</v>
      </c>
      <c r="U3636" s="2">
        <v>-46</v>
      </c>
      <c r="V3636" s="2">
        <v>-246</v>
      </c>
      <c r="W3636" s="2">
        <f>14.5*10</f>
        <v>145</v>
      </c>
      <c r="X3636" s="18">
        <f>SIGN(T3636)*((ABS(T3636)-W3636)/ABS(T3636))</f>
        <v>-0.27500000000000002</v>
      </c>
      <c r="Z3636" s="2" t="s">
        <v>3227</v>
      </c>
      <c r="AA3636" s="2" t="s">
        <v>46</v>
      </c>
      <c r="AB3636" s="2" t="s">
        <v>60</v>
      </c>
      <c r="AC3636" s="2" t="s">
        <v>3332</v>
      </c>
      <c r="AF3636" s="2">
        <f t="shared" si="525"/>
        <v>0</v>
      </c>
      <c r="AJ3636" s="2">
        <f t="shared" si="526"/>
        <v>0</v>
      </c>
      <c r="AK3636" s="2">
        <f>T3636+(W3636)</f>
        <v>-55</v>
      </c>
      <c r="AL3636" s="18">
        <f>SIGN(T3636)*((ABS(T3636)-W3636)/ABS(T3636))</f>
        <v>-0.27500000000000002</v>
      </c>
    </row>
    <row r="3637" spans="1:38" x14ac:dyDescent="0.2">
      <c r="A3637" s="2">
        <v>2026</v>
      </c>
      <c r="B3637" s="2">
        <v>4</v>
      </c>
      <c r="D3637" s="2" t="s">
        <v>1553</v>
      </c>
      <c r="E3637" s="2" t="s">
        <v>108</v>
      </c>
      <c r="F3637" s="2" t="s">
        <v>717</v>
      </c>
      <c r="G3637" s="2">
        <v>500975914</v>
      </c>
      <c r="H3637" s="2" t="s">
        <v>41</v>
      </c>
      <c r="I3637" s="2" t="s">
        <v>1554</v>
      </c>
      <c r="J3637" s="2" t="s">
        <v>1555</v>
      </c>
      <c r="L3637" s="2" t="s">
        <v>177</v>
      </c>
      <c r="M3637" s="2" t="s">
        <v>41</v>
      </c>
      <c r="P3637" s="2" t="s">
        <v>282</v>
      </c>
      <c r="Q3637" s="2" t="s">
        <v>401</v>
      </c>
      <c r="R3637" s="2" t="s">
        <v>402</v>
      </c>
      <c r="S3637" s="2">
        <v>20</v>
      </c>
      <c r="T3637" s="2">
        <v>400</v>
      </c>
      <c r="U3637" s="2">
        <v>92</v>
      </c>
      <c r="V3637" s="2">
        <v>492</v>
      </c>
      <c r="W3637" s="2">
        <f>14.5099*S3637</f>
        <v>290.19799999999998</v>
      </c>
      <c r="X3637" s="5">
        <f>SIGN(T3637)*((ABS(T3637)-W3637)/ABS(T3637))</f>
        <v>0.27450500000000005</v>
      </c>
      <c r="Z3637" s="2" t="s">
        <v>3227</v>
      </c>
      <c r="AA3637" s="2" t="s">
        <v>46</v>
      </c>
      <c r="AB3637" s="2" t="s">
        <v>60</v>
      </c>
      <c r="AC3637" s="2" t="s">
        <v>3332</v>
      </c>
      <c r="AF3637" s="2">
        <f t="shared" si="525"/>
        <v>0</v>
      </c>
      <c r="AJ3637" s="2">
        <f t="shared" si="526"/>
        <v>0</v>
      </c>
      <c r="AK3637" s="2">
        <f>T3637-W3637</f>
        <v>109.80200000000002</v>
      </c>
      <c r="AL3637" s="5">
        <f>(T3637-W3637)/T3637</f>
        <v>0.27450500000000005</v>
      </c>
    </row>
    <row r="3638" spans="1:38" x14ac:dyDescent="0.2">
      <c r="A3638" s="2">
        <v>2026</v>
      </c>
      <c r="B3638" s="2">
        <v>4</v>
      </c>
      <c r="D3638" s="2" t="s">
        <v>2521</v>
      </c>
      <c r="M3638" s="2" t="s">
        <v>109</v>
      </c>
      <c r="P3638" s="2" t="s">
        <v>282</v>
      </c>
      <c r="Q3638" s="2" t="s">
        <v>401</v>
      </c>
      <c r="R3638" s="2" t="s">
        <v>402</v>
      </c>
      <c r="S3638" s="2">
        <v>-10</v>
      </c>
      <c r="T3638" s="2">
        <v>-200</v>
      </c>
      <c r="U3638" s="2">
        <v>-46</v>
      </c>
      <c r="V3638" s="2">
        <v>-246</v>
      </c>
      <c r="W3638" s="2">
        <v>145</v>
      </c>
      <c r="X3638" s="18">
        <f>SIGN(T3638)*((ABS(T3638)-W3638)/ABS(T3638))</f>
        <v>-0.27500000000000002</v>
      </c>
      <c r="Z3638" s="2" t="s">
        <v>3227</v>
      </c>
      <c r="AA3638" s="2" t="s">
        <v>46</v>
      </c>
      <c r="AB3638" s="2" t="s">
        <v>60</v>
      </c>
      <c r="AC3638" s="2" t="s">
        <v>3332</v>
      </c>
      <c r="AF3638" s="2">
        <f t="shared" si="525"/>
        <v>0</v>
      </c>
      <c r="AJ3638" s="2">
        <f t="shared" si="526"/>
        <v>0</v>
      </c>
      <c r="AK3638" s="2">
        <f>T3638+(W3638)</f>
        <v>-55</v>
      </c>
      <c r="AL3638" s="18">
        <f>SIGN(T3638)*((ABS(T3638)-W3638)/ABS(T3638))</f>
        <v>-0.27500000000000002</v>
      </c>
    </row>
    <row r="3639" spans="1:38" x14ac:dyDescent="0.2">
      <c r="A3639" s="2">
        <v>2026</v>
      </c>
      <c r="B3639" s="2">
        <v>4</v>
      </c>
      <c r="D3639" s="2" t="s">
        <v>2838</v>
      </c>
      <c r="E3639" s="2" t="s">
        <v>38</v>
      </c>
      <c r="G3639" s="2">
        <v>184822033</v>
      </c>
      <c r="I3639" s="2" t="s">
        <v>2839</v>
      </c>
      <c r="L3639" s="2" t="s">
        <v>461</v>
      </c>
      <c r="M3639" s="2" t="s">
        <v>109</v>
      </c>
      <c r="O3639" s="2" t="s">
        <v>2840</v>
      </c>
      <c r="P3639" s="2" t="s">
        <v>43</v>
      </c>
      <c r="Q3639" s="2" t="s">
        <v>44</v>
      </c>
      <c r="R3639" s="2" t="s">
        <v>45</v>
      </c>
      <c r="S3639" s="2">
        <v>1</v>
      </c>
      <c r="T3639" s="2">
        <v>25.2</v>
      </c>
      <c r="U3639" s="2">
        <v>5.7960000000000003</v>
      </c>
      <c r="V3639" s="2">
        <v>30.995999999999999</v>
      </c>
      <c r="W3639" s="2">
        <v>14.535</v>
      </c>
      <c r="X3639" s="5">
        <f t="shared" ref="X3639:X3670" si="530">(T3639-W3639)/T3639</f>
        <v>0.42321428571428571</v>
      </c>
      <c r="Z3639" s="2" t="s">
        <v>3227</v>
      </c>
      <c r="AA3639" s="2" t="s">
        <v>46</v>
      </c>
      <c r="AB3639" s="2" t="s">
        <v>47</v>
      </c>
      <c r="AC3639" s="2" t="s">
        <v>57</v>
      </c>
      <c r="AF3639" s="2">
        <f t="shared" si="525"/>
        <v>0</v>
      </c>
      <c r="AG3639" s="2">
        <v>14.535</v>
      </c>
      <c r="AH3639" s="2">
        <v>25.2</v>
      </c>
      <c r="AJ3639" s="2">
        <f t="shared" si="526"/>
        <v>0</v>
      </c>
      <c r="AK3639" s="2">
        <f t="shared" ref="AK3639:AK3670" si="531">T3639-W3639</f>
        <v>10.664999999999999</v>
      </c>
      <c r="AL3639" s="5">
        <f t="shared" ref="AL3639:AL3670" si="532">(T3639-W3639)/T3639</f>
        <v>0.42321428571428571</v>
      </c>
    </row>
    <row r="3640" spans="1:38" x14ac:dyDescent="0.2">
      <c r="A3640" s="2">
        <v>2026</v>
      </c>
      <c r="B3640" s="2">
        <v>4</v>
      </c>
      <c r="D3640" s="2" t="s">
        <v>422</v>
      </c>
      <c r="E3640" s="2" t="s">
        <v>98</v>
      </c>
      <c r="F3640" s="2" t="s">
        <v>39</v>
      </c>
      <c r="G3640" s="2">
        <v>503523470</v>
      </c>
      <c r="H3640" s="2" t="s">
        <v>40</v>
      </c>
      <c r="I3640" s="2" t="s">
        <v>423</v>
      </c>
      <c r="J3640" s="2" t="s">
        <v>424</v>
      </c>
      <c r="L3640" s="2" t="s">
        <v>201</v>
      </c>
      <c r="M3640" s="2" t="s">
        <v>80</v>
      </c>
      <c r="O3640" s="2" t="s">
        <v>2841</v>
      </c>
      <c r="P3640" s="2" t="s">
        <v>43</v>
      </c>
      <c r="Q3640" s="2" t="s">
        <v>1104</v>
      </c>
      <c r="R3640" s="2" t="s">
        <v>1105</v>
      </c>
      <c r="S3640" s="2">
        <v>1</v>
      </c>
      <c r="T3640" s="2">
        <v>21</v>
      </c>
      <c r="U3640" s="2">
        <v>4.83</v>
      </c>
      <c r="V3640" s="2">
        <v>25.83</v>
      </c>
      <c r="W3640" s="2">
        <v>10</v>
      </c>
      <c r="X3640" s="5">
        <f t="shared" si="530"/>
        <v>0.52380952380952384</v>
      </c>
      <c r="Z3640" s="2" t="s">
        <v>3227</v>
      </c>
      <c r="AA3640" s="2" t="s">
        <v>46</v>
      </c>
      <c r="AB3640" s="2" t="s">
        <v>47</v>
      </c>
      <c r="AC3640" s="2" t="s">
        <v>57</v>
      </c>
      <c r="AF3640" s="2">
        <f t="shared" si="525"/>
        <v>0</v>
      </c>
      <c r="AG3640" s="2">
        <v>10</v>
      </c>
      <c r="AH3640" s="2">
        <v>21</v>
      </c>
      <c r="AJ3640" s="2">
        <f t="shared" si="526"/>
        <v>0</v>
      </c>
      <c r="AK3640" s="2">
        <f t="shared" si="531"/>
        <v>11</v>
      </c>
      <c r="AL3640" s="5">
        <f t="shared" si="532"/>
        <v>0.52380952380952384</v>
      </c>
    </row>
    <row r="3641" spans="1:38" x14ac:dyDescent="0.2">
      <c r="A3641" s="2">
        <v>2026</v>
      </c>
      <c r="B3641" s="2">
        <v>4</v>
      </c>
      <c r="D3641" s="2" t="s">
        <v>2838</v>
      </c>
      <c r="E3641" s="2" t="s">
        <v>38</v>
      </c>
      <c r="G3641" s="2">
        <v>184822033</v>
      </c>
      <c r="I3641" s="2" t="s">
        <v>2842</v>
      </c>
      <c r="L3641" s="2" t="s">
        <v>461</v>
      </c>
      <c r="M3641" s="2" t="s">
        <v>109</v>
      </c>
      <c r="O3641" s="2" t="s">
        <v>2843</v>
      </c>
      <c r="P3641" s="2" t="s">
        <v>43</v>
      </c>
      <c r="Q3641" s="2" t="s">
        <v>351</v>
      </c>
      <c r="R3641" s="2" t="s">
        <v>352</v>
      </c>
      <c r="S3641" s="2">
        <v>1</v>
      </c>
      <c r="T3641" s="2">
        <v>21</v>
      </c>
      <c r="U3641" s="2">
        <v>4.83</v>
      </c>
      <c r="V3641" s="2">
        <v>25.83</v>
      </c>
      <c r="W3641" s="2">
        <f>10.67*S3641</f>
        <v>10.67</v>
      </c>
      <c r="X3641" s="5">
        <f t="shared" si="530"/>
        <v>0.4919047619047619</v>
      </c>
      <c r="Z3641" s="2" t="s">
        <v>3227</v>
      </c>
      <c r="AA3641" s="2" t="s">
        <v>46</v>
      </c>
      <c r="AB3641" s="2" t="s">
        <v>47</v>
      </c>
      <c r="AC3641" s="2" t="s">
        <v>57</v>
      </c>
      <c r="AF3641" s="2">
        <f t="shared" si="525"/>
        <v>0</v>
      </c>
      <c r="AG3641" s="2">
        <v>10.67</v>
      </c>
      <c r="AH3641" s="2">
        <v>21</v>
      </c>
      <c r="AJ3641" s="2">
        <f t="shared" si="526"/>
        <v>0</v>
      </c>
      <c r="AK3641" s="2">
        <f t="shared" si="531"/>
        <v>10.33</v>
      </c>
      <c r="AL3641" s="5">
        <f t="shared" si="532"/>
        <v>0.4919047619047619</v>
      </c>
    </row>
    <row r="3642" spans="1:38" x14ac:dyDescent="0.2">
      <c r="A3642" s="2">
        <v>2026</v>
      </c>
      <c r="B3642" s="2">
        <v>1</v>
      </c>
      <c r="D3642" s="2" t="s">
        <v>322</v>
      </c>
      <c r="E3642" s="2" t="s">
        <v>183</v>
      </c>
      <c r="G3642" s="2">
        <v>500048894</v>
      </c>
      <c r="H3642" s="2" t="s">
        <v>40</v>
      </c>
      <c r="I3642" s="2" t="s">
        <v>99</v>
      </c>
      <c r="J3642" s="2" t="s">
        <v>323</v>
      </c>
      <c r="L3642" s="2" t="s">
        <v>99</v>
      </c>
      <c r="M3642" s="2" t="s">
        <v>80</v>
      </c>
      <c r="O3642" s="2" t="s">
        <v>2844</v>
      </c>
      <c r="P3642" s="2" t="s">
        <v>72</v>
      </c>
      <c r="Q3642" s="2" t="s">
        <v>557</v>
      </c>
      <c r="R3642" s="2" t="s">
        <v>307</v>
      </c>
      <c r="S3642" s="2">
        <v>1</v>
      </c>
      <c r="T3642" s="2">
        <v>230</v>
      </c>
      <c r="U3642" s="2">
        <v>52.900000000000013</v>
      </c>
      <c r="V3642" s="2">
        <v>282.89999999999998</v>
      </c>
      <c r="W3642" s="2">
        <v>122.446</v>
      </c>
      <c r="X3642" s="5">
        <f t="shared" si="530"/>
        <v>0.46762608695652175</v>
      </c>
      <c r="Z3642" s="2" t="s">
        <v>3227</v>
      </c>
      <c r="AA3642" s="2" t="s">
        <v>75</v>
      </c>
      <c r="AB3642" s="2" t="s">
        <v>76</v>
      </c>
      <c r="AC3642" s="2" t="s">
        <v>77</v>
      </c>
      <c r="AF3642" s="2">
        <f t="shared" si="525"/>
        <v>0</v>
      </c>
      <c r="AG3642" s="2">
        <v>122.446</v>
      </c>
      <c r="AH3642" s="2">
        <v>230</v>
      </c>
      <c r="AJ3642" s="2">
        <f t="shared" si="526"/>
        <v>0</v>
      </c>
      <c r="AK3642" s="2">
        <f t="shared" si="531"/>
        <v>107.554</v>
      </c>
      <c r="AL3642" s="5">
        <f t="shared" si="532"/>
        <v>0.46762608695652175</v>
      </c>
    </row>
    <row r="3643" spans="1:38" x14ac:dyDescent="0.2">
      <c r="A3643" s="2">
        <v>2026</v>
      </c>
      <c r="B3643" s="2">
        <v>1</v>
      </c>
      <c r="D3643" s="2" t="s">
        <v>322</v>
      </c>
      <c r="E3643" s="2" t="s">
        <v>183</v>
      </c>
      <c r="G3643" s="2">
        <v>500048894</v>
      </c>
      <c r="H3643" s="2" t="s">
        <v>40</v>
      </c>
      <c r="I3643" s="2" t="s">
        <v>99</v>
      </c>
      <c r="J3643" s="2" t="s">
        <v>323</v>
      </c>
      <c r="L3643" s="2" t="s">
        <v>99</v>
      </c>
      <c r="M3643" s="2" t="s">
        <v>80</v>
      </c>
      <c r="O3643" s="2" t="s">
        <v>2844</v>
      </c>
      <c r="P3643" s="2" t="s">
        <v>93</v>
      </c>
      <c r="Q3643" s="2" t="s">
        <v>94</v>
      </c>
      <c r="R3643" s="2" t="s">
        <v>95</v>
      </c>
      <c r="S3643" s="2">
        <v>1</v>
      </c>
      <c r="T3643" s="2">
        <v>1.48</v>
      </c>
      <c r="U3643" s="2">
        <v>0.34039999999999998</v>
      </c>
      <c r="V3643" s="2">
        <v>1.8204</v>
      </c>
      <c r="W3643" s="2">
        <v>1.48</v>
      </c>
      <c r="X3643" s="5">
        <f t="shared" si="530"/>
        <v>0</v>
      </c>
      <c r="Z3643" s="2" t="s">
        <v>3227</v>
      </c>
      <c r="AA3643" s="2" t="s">
        <v>96</v>
      </c>
      <c r="AB3643" s="2" t="s">
        <v>76</v>
      </c>
      <c r="AC3643" s="2" t="s">
        <v>93</v>
      </c>
      <c r="AF3643" s="2">
        <f t="shared" si="525"/>
        <v>0</v>
      </c>
      <c r="AG3643" s="2">
        <v>1.48</v>
      </c>
      <c r="AH3643" s="2">
        <v>1.48</v>
      </c>
      <c r="AJ3643" s="2">
        <f t="shared" si="526"/>
        <v>0</v>
      </c>
      <c r="AK3643" s="2">
        <f t="shared" si="531"/>
        <v>0</v>
      </c>
      <c r="AL3643" s="5">
        <f t="shared" si="532"/>
        <v>0</v>
      </c>
    </row>
    <row r="3644" spans="1:38" x14ac:dyDescent="0.2">
      <c r="A3644" s="2">
        <v>2026</v>
      </c>
      <c r="B3644" s="2">
        <v>4</v>
      </c>
      <c r="D3644" s="2" t="s">
        <v>980</v>
      </c>
      <c r="E3644" s="2" t="s">
        <v>38</v>
      </c>
      <c r="F3644" s="2" t="s">
        <v>39</v>
      </c>
      <c r="L3644" s="2" t="s">
        <v>418</v>
      </c>
      <c r="M3644" s="2" t="s">
        <v>41</v>
      </c>
      <c r="P3644" s="2" t="s">
        <v>43</v>
      </c>
      <c r="Q3644" s="2" t="s">
        <v>48</v>
      </c>
      <c r="R3644" s="2" t="s">
        <v>49</v>
      </c>
      <c r="S3644" s="2">
        <v>1</v>
      </c>
      <c r="T3644" s="2">
        <v>13</v>
      </c>
      <c r="U3644" s="2">
        <v>2.99</v>
      </c>
      <c r="V3644" s="2">
        <v>15.99</v>
      </c>
      <c r="W3644" s="2">
        <f t="shared" ref="W3644:W3649" si="533">6.6267*S3644</f>
        <v>6.6266999999999996</v>
      </c>
      <c r="X3644" s="5">
        <f t="shared" si="530"/>
        <v>0.49025384615384621</v>
      </c>
      <c r="Z3644" s="2" t="s">
        <v>3227</v>
      </c>
      <c r="AA3644" s="2" t="s">
        <v>46</v>
      </c>
      <c r="AB3644" s="2" t="s">
        <v>47</v>
      </c>
      <c r="AC3644" s="2" t="s">
        <v>57</v>
      </c>
      <c r="AF3644" s="2">
        <f t="shared" si="525"/>
        <v>0</v>
      </c>
      <c r="AG3644" s="2">
        <v>6.6266999999999996</v>
      </c>
      <c r="AH3644" s="2">
        <v>12</v>
      </c>
      <c r="AJ3644" s="2">
        <f t="shared" si="526"/>
        <v>0</v>
      </c>
      <c r="AK3644" s="2">
        <f t="shared" si="531"/>
        <v>6.3733000000000004</v>
      </c>
      <c r="AL3644" s="5">
        <f t="shared" si="532"/>
        <v>0.49025384615384621</v>
      </c>
    </row>
    <row r="3645" spans="1:38" x14ac:dyDescent="0.2">
      <c r="A3645" s="2">
        <v>2026</v>
      </c>
      <c r="B3645" s="2">
        <v>4</v>
      </c>
      <c r="D3645" s="2" t="s">
        <v>784</v>
      </c>
      <c r="P3645" s="2" t="s">
        <v>43</v>
      </c>
      <c r="Q3645" s="2" t="s">
        <v>48</v>
      </c>
      <c r="R3645" s="2" t="s">
        <v>49</v>
      </c>
      <c r="S3645" s="2">
        <v>3</v>
      </c>
      <c r="T3645" s="2">
        <v>39</v>
      </c>
      <c r="U3645" s="2">
        <v>8.9700000000000006</v>
      </c>
      <c r="V3645" s="2">
        <v>47.97</v>
      </c>
      <c r="W3645" s="2">
        <f t="shared" si="533"/>
        <v>19.880099999999999</v>
      </c>
      <c r="X3645" s="5">
        <f t="shared" si="530"/>
        <v>0.49025384615384621</v>
      </c>
      <c r="Z3645" s="2" t="s">
        <v>3227</v>
      </c>
      <c r="AA3645" s="2" t="s">
        <v>46</v>
      </c>
      <c r="AB3645" s="2" t="s">
        <v>47</v>
      </c>
      <c r="AC3645" s="2" t="s">
        <v>57</v>
      </c>
      <c r="AF3645" s="2">
        <f t="shared" si="525"/>
        <v>0</v>
      </c>
      <c r="AG3645" s="2">
        <v>6.6266999999999996</v>
      </c>
      <c r="AH3645" s="2">
        <v>12</v>
      </c>
      <c r="AJ3645" s="2">
        <f t="shared" si="526"/>
        <v>0</v>
      </c>
      <c r="AK3645" s="2">
        <f t="shared" si="531"/>
        <v>19.119900000000001</v>
      </c>
      <c r="AL3645" s="5">
        <f t="shared" si="532"/>
        <v>0.49025384615384621</v>
      </c>
    </row>
    <row r="3646" spans="1:38" x14ac:dyDescent="0.2">
      <c r="A3646" s="2">
        <v>2026</v>
      </c>
      <c r="B3646" s="2">
        <v>4</v>
      </c>
      <c r="D3646" s="2" t="s">
        <v>1015</v>
      </c>
      <c r="E3646" s="2" t="s">
        <v>108</v>
      </c>
      <c r="F3646" s="2" t="s">
        <v>477</v>
      </c>
      <c r="G3646" s="2">
        <v>503815284</v>
      </c>
      <c r="H3646" s="2" t="s">
        <v>40</v>
      </c>
      <c r="I3646" s="2" t="s">
        <v>156</v>
      </c>
      <c r="J3646" s="2" t="s">
        <v>2538</v>
      </c>
      <c r="L3646" s="2" t="s">
        <v>99</v>
      </c>
      <c r="M3646" s="2" t="s">
        <v>80</v>
      </c>
      <c r="O3646" s="2" t="s">
        <v>2845</v>
      </c>
      <c r="P3646" s="2" t="s">
        <v>43</v>
      </c>
      <c r="Q3646" s="2" t="s">
        <v>48</v>
      </c>
      <c r="R3646" s="2" t="s">
        <v>49</v>
      </c>
      <c r="S3646" s="2">
        <v>1</v>
      </c>
      <c r="T3646" s="2">
        <v>19.2</v>
      </c>
      <c r="U3646" s="2">
        <v>4.4160000000000004</v>
      </c>
      <c r="V3646" s="2">
        <v>23.616</v>
      </c>
      <c r="W3646" s="2">
        <f t="shared" si="533"/>
        <v>6.6266999999999996</v>
      </c>
      <c r="X3646" s="5">
        <f t="shared" si="530"/>
        <v>0.65485937500000002</v>
      </c>
      <c r="Z3646" s="2" t="s">
        <v>3227</v>
      </c>
      <c r="AA3646" s="2" t="s">
        <v>46</v>
      </c>
      <c r="AB3646" s="2" t="s">
        <v>47</v>
      </c>
      <c r="AC3646" s="2" t="s">
        <v>57</v>
      </c>
      <c r="AF3646" s="2">
        <f t="shared" si="525"/>
        <v>0</v>
      </c>
      <c r="AG3646" s="2">
        <v>6.6266999999999996</v>
      </c>
      <c r="AH3646" s="2">
        <v>12</v>
      </c>
      <c r="AJ3646" s="2">
        <f t="shared" si="526"/>
        <v>0</v>
      </c>
      <c r="AK3646" s="2">
        <f t="shared" si="531"/>
        <v>12.5733</v>
      </c>
      <c r="AL3646" s="5">
        <f t="shared" si="532"/>
        <v>0.65485937500000002</v>
      </c>
    </row>
    <row r="3647" spans="1:38" x14ac:dyDescent="0.2">
      <c r="A3647" s="2">
        <v>2026</v>
      </c>
      <c r="B3647" s="2">
        <v>4</v>
      </c>
      <c r="D3647" s="2" t="s">
        <v>2846</v>
      </c>
      <c r="M3647" s="2" t="s">
        <v>80</v>
      </c>
      <c r="P3647" s="2" t="s">
        <v>43</v>
      </c>
      <c r="Q3647" s="2" t="s">
        <v>48</v>
      </c>
      <c r="R3647" s="2" t="s">
        <v>49</v>
      </c>
      <c r="S3647" s="2">
        <v>1</v>
      </c>
      <c r="T3647" s="2">
        <v>12</v>
      </c>
      <c r="U3647" s="2">
        <v>2.76</v>
      </c>
      <c r="V3647" s="2">
        <v>14.76</v>
      </c>
      <c r="W3647" s="2">
        <f t="shared" si="533"/>
        <v>6.6266999999999996</v>
      </c>
      <c r="X3647" s="5">
        <f t="shared" si="530"/>
        <v>0.44777500000000003</v>
      </c>
      <c r="Z3647" s="2" t="s">
        <v>3227</v>
      </c>
      <c r="AA3647" s="2" t="s">
        <v>46</v>
      </c>
      <c r="AB3647" s="2" t="s">
        <v>47</v>
      </c>
      <c r="AC3647" s="2" t="s">
        <v>57</v>
      </c>
      <c r="AF3647" s="2">
        <f t="shared" si="525"/>
        <v>0</v>
      </c>
      <c r="AG3647" s="2">
        <v>6.6266999999999996</v>
      </c>
      <c r="AH3647" s="2">
        <v>12</v>
      </c>
      <c r="AJ3647" s="2">
        <f t="shared" si="526"/>
        <v>0</v>
      </c>
      <c r="AK3647" s="2">
        <f t="shared" si="531"/>
        <v>5.3733000000000004</v>
      </c>
      <c r="AL3647" s="5">
        <f t="shared" si="532"/>
        <v>0.44777500000000003</v>
      </c>
    </row>
    <row r="3648" spans="1:38" x14ac:dyDescent="0.2">
      <c r="A3648" s="2">
        <v>2026</v>
      </c>
      <c r="B3648" s="2">
        <v>4</v>
      </c>
      <c r="D3648" s="2" t="s">
        <v>588</v>
      </c>
      <c r="E3648" s="2" t="s">
        <v>38</v>
      </c>
      <c r="F3648" s="2" t="s">
        <v>39</v>
      </c>
      <c r="G3648" s="2">
        <v>510339298</v>
      </c>
      <c r="H3648" s="2" t="s">
        <v>41</v>
      </c>
      <c r="I3648" s="2" t="s">
        <v>177</v>
      </c>
      <c r="J3648" s="2" t="s">
        <v>589</v>
      </c>
      <c r="L3648" s="2" t="s">
        <v>177</v>
      </c>
      <c r="M3648" s="2" t="s">
        <v>41</v>
      </c>
      <c r="P3648" s="2" t="s">
        <v>43</v>
      </c>
      <c r="Q3648" s="2" t="s">
        <v>48</v>
      </c>
      <c r="R3648" s="2" t="s">
        <v>49</v>
      </c>
      <c r="S3648" s="2">
        <v>2</v>
      </c>
      <c r="T3648" s="2">
        <v>24</v>
      </c>
      <c r="U3648" s="2">
        <v>5.52</v>
      </c>
      <c r="V3648" s="2">
        <v>29.52</v>
      </c>
      <c r="W3648" s="2">
        <f t="shared" si="533"/>
        <v>13.253399999999999</v>
      </c>
      <c r="X3648" s="5">
        <f t="shared" si="530"/>
        <v>0.44777500000000003</v>
      </c>
      <c r="Z3648" s="2" t="s">
        <v>3227</v>
      </c>
      <c r="AA3648" s="2" t="s">
        <v>46</v>
      </c>
      <c r="AB3648" s="2" t="s">
        <v>47</v>
      </c>
      <c r="AC3648" s="2" t="s">
        <v>57</v>
      </c>
      <c r="AF3648" s="2">
        <f t="shared" si="525"/>
        <v>0</v>
      </c>
      <c r="AG3648" s="2">
        <v>6.6266999999999996</v>
      </c>
      <c r="AH3648" s="2">
        <v>12</v>
      </c>
      <c r="AJ3648" s="2">
        <f t="shared" si="526"/>
        <v>0</v>
      </c>
      <c r="AK3648" s="2">
        <f t="shared" si="531"/>
        <v>10.746600000000001</v>
      </c>
      <c r="AL3648" s="5">
        <f t="shared" si="532"/>
        <v>0.44777500000000003</v>
      </c>
    </row>
    <row r="3649" spans="1:38" x14ac:dyDescent="0.2">
      <c r="A3649" s="2">
        <v>2026</v>
      </c>
      <c r="B3649" s="2">
        <v>4</v>
      </c>
      <c r="D3649" s="2" t="s">
        <v>643</v>
      </c>
      <c r="E3649" s="2" t="s">
        <v>108</v>
      </c>
      <c r="F3649" s="2" t="s">
        <v>477</v>
      </c>
      <c r="G3649" s="2">
        <v>509056946</v>
      </c>
      <c r="H3649" s="2" t="s">
        <v>109</v>
      </c>
      <c r="I3649" s="2" t="s">
        <v>644</v>
      </c>
      <c r="J3649" s="2" t="s">
        <v>645</v>
      </c>
      <c r="K3649" s="2">
        <v>964495536</v>
      </c>
      <c r="L3649" s="2" t="s">
        <v>112</v>
      </c>
      <c r="M3649" s="2" t="s">
        <v>109</v>
      </c>
      <c r="O3649" s="2" t="s">
        <v>2847</v>
      </c>
      <c r="P3649" s="2" t="s">
        <v>43</v>
      </c>
      <c r="Q3649" s="2" t="s">
        <v>48</v>
      </c>
      <c r="R3649" s="2" t="s">
        <v>49</v>
      </c>
      <c r="S3649" s="2">
        <v>2</v>
      </c>
      <c r="T3649" s="2">
        <v>24</v>
      </c>
      <c r="U3649" s="2">
        <v>5.52</v>
      </c>
      <c r="V3649" s="2">
        <v>29.52</v>
      </c>
      <c r="W3649" s="2">
        <f t="shared" si="533"/>
        <v>13.253399999999999</v>
      </c>
      <c r="X3649" s="5">
        <f t="shared" si="530"/>
        <v>0.44777500000000003</v>
      </c>
      <c r="Z3649" s="2" t="s">
        <v>3227</v>
      </c>
      <c r="AA3649" s="2" t="s">
        <v>46</v>
      </c>
      <c r="AB3649" s="2" t="s">
        <v>47</v>
      </c>
      <c r="AC3649" s="2" t="s">
        <v>57</v>
      </c>
      <c r="AF3649" s="2">
        <f t="shared" si="525"/>
        <v>0</v>
      </c>
      <c r="AG3649" s="2">
        <v>6.6266999999999996</v>
      </c>
      <c r="AH3649" s="2">
        <v>12</v>
      </c>
      <c r="AJ3649" s="2">
        <f t="shared" si="526"/>
        <v>0</v>
      </c>
      <c r="AK3649" s="2">
        <f t="shared" si="531"/>
        <v>10.746600000000001</v>
      </c>
      <c r="AL3649" s="5">
        <f t="shared" si="532"/>
        <v>0.44777500000000003</v>
      </c>
    </row>
    <row r="3650" spans="1:38" x14ac:dyDescent="0.2">
      <c r="A3650" s="2">
        <v>2026</v>
      </c>
      <c r="B3650" s="2">
        <v>4</v>
      </c>
      <c r="D3650" s="2" t="s">
        <v>617</v>
      </c>
      <c r="E3650" s="2" t="s">
        <v>38</v>
      </c>
      <c r="F3650" s="2" t="s">
        <v>39</v>
      </c>
      <c r="G3650" s="2">
        <v>513759654</v>
      </c>
      <c r="H3650" s="2" t="s">
        <v>41</v>
      </c>
      <c r="I3650" s="2" t="s">
        <v>618</v>
      </c>
      <c r="J3650" s="2" t="s">
        <v>619</v>
      </c>
      <c r="L3650" s="2" t="s">
        <v>418</v>
      </c>
      <c r="M3650" s="2" t="s">
        <v>41</v>
      </c>
      <c r="P3650" s="2" t="s">
        <v>43</v>
      </c>
      <c r="Q3650" s="2" t="s">
        <v>1363</v>
      </c>
      <c r="R3650" s="2" t="s">
        <v>1364</v>
      </c>
      <c r="S3650" s="2">
        <v>2</v>
      </c>
      <c r="T3650" s="2">
        <v>68.400000000000006</v>
      </c>
      <c r="U3650" s="2">
        <v>15.731999999999999</v>
      </c>
      <c r="V3650" s="2">
        <v>84.132000000000005</v>
      </c>
      <c r="W3650" s="2">
        <f>9.75*S3650</f>
        <v>19.5</v>
      </c>
      <c r="X3650" s="5">
        <f t="shared" si="530"/>
        <v>0.71491228070175439</v>
      </c>
      <c r="Z3650" s="2" t="s">
        <v>3227</v>
      </c>
      <c r="AA3650" s="2" t="s">
        <v>46</v>
      </c>
      <c r="AB3650" s="2" t="s">
        <v>47</v>
      </c>
      <c r="AC3650" s="2" t="s">
        <v>57</v>
      </c>
      <c r="AF3650" s="2">
        <f t="shared" ref="AF3650:AF3713" si="534">AJ3650</f>
        <v>0</v>
      </c>
      <c r="AJ3650" s="2">
        <f t="shared" ref="AJ3650:AJ3713" si="535">AI3650*T3650</f>
        <v>0</v>
      </c>
      <c r="AK3650" s="2">
        <f t="shared" si="531"/>
        <v>48.900000000000006</v>
      </c>
      <c r="AL3650" s="5">
        <f t="shared" si="532"/>
        <v>0.71491228070175439</v>
      </c>
    </row>
    <row r="3651" spans="1:38" x14ac:dyDescent="0.2">
      <c r="A3651" s="2">
        <v>2026</v>
      </c>
      <c r="B3651" s="2">
        <v>4</v>
      </c>
      <c r="D3651" s="2" t="s">
        <v>332</v>
      </c>
      <c r="E3651" s="2" t="s">
        <v>108</v>
      </c>
      <c r="F3651" s="2" t="s">
        <v>39</v>
      </c>
      <c r="G3651" s="2">
        <v>513493557</v>
      </c>
      <c r="H3651" s="2" t="s">
        <v>41</v>
      </c>
      <c r="I3651" s="2" t="s">
        <v>279</v>
      </c>
      <c r="J3651" s="2" t="s">
        <v>333</v>
      </c>
      <c r="L3651" s="2" t="s">
        <v>177</v>
      </c>
      <c r="M3651" s="2" t="s">
        <v>41</v>
      </c>
      <c r="P3651" s="2" t="s">
        <v>43</v>
      </c>
      <c r="Q3651" s="2" t="s">
        <v>592</v>
      </c>
      <c r="R3651" s="2" t="s">
        <v>593</v>
      </c>
      <c r="S3651" s="2">
        <v>1</v>
      </c>
      <c r="T3651" s="2">
        <v>36</v>
      </c>
      <c r="U3651" s="2">
        <v>8.2800000000000011</v>
      </c>
      <c r="V3651" s="2">
        <v>44.28</v>
      </c>
      <c r="W3651" s="2">
        <f>11.295*S3651</f>
        <v>11.295</v>
      </c>
      <c r="X3651" s="5">
        <f t="shared" si="530"/>
        <v>0.68624999999999992</v>
      </c>
      <c r="Z3651" s="2" t="s">
        <v>3227</v>
      </c>
      <c r="AA3651" s="2" t="s">
        <v>46</v>
      </c>
      <c r="AB3651" s="2" t="s">
        <v>47</v>
      </c>
      <c r="AC3651" s="2" t="s">
        <v>57</v>
      </c>
      <c r="AF3651" s="2">
        <f t="shared" si="534"/>
        <v>0</v>
      </c>
      <c r="AJ3651" s="2">
        <f t="shared" si="535"/>
        <v>0</v>
      </c>
      <c r="AK3651" s="2">
        <f t="shared" si="531"/>
        <v>24.704999999999998</v>
      </c>
      <c r="AL3651" s="5">
        <f t="shared" si="532"/>
        <v>0.68624999999999992</v>
      </c>
    </row>
    <row r="3652" spans="1:38" x14ac:dyDescent="0.2">
      <c r="A3652" s="2">
        <v>2026</v>
      </c>
      <c r="B3652" s="2">
        <v>4</v>
      </c>
      <c r="D3652" s="2" t="s">
        <v>617</v>
      </c>
      <c r="E3652" s="2" t="s">
        <v>38</v>
      </c>
      <c r="F3652" s="2" t="s">
        <v>39</v>
      </c>
      <c r="G3652" s="2">
        <v>513759654</v>
      </c>
      <c r="H3652" s="2" t="s">
        <v>41</v>
      </c>
      <c r="I3652" s="2" t="s">
        <v>618</v>
      </c>
      <c r="J3652" s="2" t="s">
        <v>619</v>
      </c>
      <c r="L3652" s="2" t="s">
        <v>418</v>
      </c>
      <c r="M3652" s="2" t="s">
        <v>41</v>
      </c>
      <c r="P3652" s="2" t="s">
        <v>43</v>
      </c>
      <c r="Q3652" s="2" t="s">
        <v>592</v>
      </c>
      <c r="R3652" s="2" t="s">
        <v>593</v>
      </c>
      <c r="S3652" s="2">
        <v>2</v>
      </c>
      <c r="T3652" s="2">
        <v>72</v>
      </c>
      <c r="U3652" s="2">
        <v>16.559999999999999</v>
      </c>
      <c r="V3652" s="2">
        <v>88.56</v>
      </c>
      <c r="W3652" s="2">
        <f>11.295*S3652</f>
        <v>22.59</v>
      </c>
      <c r="X3652" s="5">
        <f t="shared" si="530"/>
        <v>0.68624999999999992</v>
      </c>
      <c r="Z3652" s="2" t="s">
        <v>3227</v>
      </c>
      <c r="AA3652" s="2" t="s">
        <v>46</v>
      </c>
      <c r="AB3652" s="2" t="s">
        <v>47</v>
      </c>
      <c r="AC3652" s="2" t="s">
        <v>57</v>
      </c>
      <c r="AF3652" s="2">
        <f t="shared" si="534"/>
        <v>0</v>
      </c>
      <c r="AJ3652" s="2">
        <f t="shared" si="535"/>
        <v>0</v>
      </c>
      <c r="AK3652" s="2">
        <f t="shared" si="531"/>
        <v>49.41</v>
      </c>
      <c r="AL3652" s="5">
        <f t="shared" si="532"/>
        <v>0.68624999999999992</v>
      </c>
    </row>
    <row r="3653" spans="1:38" x14ac:dyDescent="0.2">
      <c r="A3653" s="2">
        <v>2026</v>
      </c>
      <c r="B3653" s="2">
        <v>2</v>
      </c>
      <c r="D3653" s="2" t="s">
        <v>322</v>
      </c>
      <c r="E3653" s="2" t="s">
        <v>183</v>
      </c>
      <c r="G3653" s="2">
        <v>500048894</v>
      </c>
      <c r="H3653" s="2" t="s">
        <v>40</v>
      </c>
      <c r="I3653" s="2" t="s">
        <v>99</v>
      </c>
      <c r="J3653" s="2" t="s">
        <v>323</v>
      </c>
      <c r="L3653" s="2" t="s">
        <v>99</v>
      </c>
      <c r="M3653" s="2" t="s">
        <v>80</v>
      </c>
      <c r="O3653" s="2" t="s">
        <v>2848</v>
      </c>
      <c r="P3653" s="2" t="s">
        <v>72</v>
      </c>
      <c r="Q3653" s="2" t="s">
        <v>557</v>
      </c>
      <c r="R3653" s="2" t="s">
        <v>307</v>
      </c>
      <c r="S3653" s="2">
        <v>1</v>
      </c>
      <c r="T3653" s="2">
        <v>230</v>
      </c>
      <c r="U3653" s="2">
        <v>52.900000000000013</v>
      </c>
      <c r="V3653" s="2">
        <v>282.89999999999998</v>
      </c>
      <c r="W3653" s="2">
        <v>122.446</v>
      </c>
      <c r="X3653" s="5">
        <f t="shared" si="530"/>
        <v>0.46762608695652175</v>
      </c>
      <c r="Z3653" s="2" t="s">
        <v>3227</v>
      </c>
      <c r="AA3653" s="2" t="s">
        <v>75</v>
      </c>
      <c r="AB3653" s="2" t="s">
        <v>76</v>
      </c>
      <c r="AC3653" s="2" t="s">
        <v>77</v>
      </c>
      <c r="AF3653" s="2">
        <f t="shared" si="534"/>
        <v>0</v>
      </c>
      <c r="AG3653" s="2">
        <v>122.446</v>
      </c>
      <c r="AH3653" s="2">
        <v>230</v>
      </c>
      <c r="AJ3653" s="2">
        <f t="shared" si="535"/>
        <v>0</v>
      </c>
      <c r="AK3653" s="2">
        <f t="shared" si="531"/>
        <v>107.554</v>
      </c>
      <c r="AL3653" s="5">
        <f t="shared" si="532"/>
        <v>0.46762608695652175</v>
      </c>
    </row>
    <row r="3654" spans="1:38" x14ac:dyDescent="0.2">
      <c r="A3654" s="2">
        <v>2026</v>
      </c>
      <c r="B3654" s="2">
        <v>4</v>
      </c>
      <c r="D3654" s="2" t="s">
        <v>297</v>
      </c>
      <c r="E3654" s="2" t="s">
        <v>38</v>
      </c>
      <c r="F3654" s="2" t="s">
        <v>39</v>
      </c>
      <c r="G3654" s="2">
        <v>510939570</v>
      </c>
      <c r="H3654" s="2" t="s">
        <v>41</v>
      </c>
      <c r="I3654" s="2" t="s">
        <v>298</v>
      </c>
      <c r="J3654" s="2" t="s">
        <v>299</v>
      </c>
      <c r="K3654" s="2">
        <v>962678129</v>
      </c>
      <c r="L3654" s="2" t="s">
        <v>177</v>
      </c>
      <c r="M3654" s="2" t="s">
        <v>41</v>
      </c>
      <c r="O3654" s="2" t="s">
        <v>2849</v>
      </c>
      <c r="P3654" s="2" t="s">
        <v>43</v>
      </c>
      <c r="Q3654" s="2" t="s">
        <v>50</v>
      </c>
      <c r="R3654" s="2" t="s">
        <v>51</v>
      </c>
      <c r="S3654" s="2">
        <v>1</v>
      </c>
      <c r="T3654" s="2">
        <v>21</v>
      </c>
      <c r="U3654" s="2">
        <v>4.83</v>
      </c>
      <c r="V3654" s="2">
        <v>25.83</v>
      </c>
      <c r="W3654" s="2">
        <f>14.4*S3654</f>
        <v>14.4</v>
      </c>
      <c r="X3654" s="5">
        <f t="shared" si="530"/>
        <v>0.31428571428571428</v>
      </c>
      <c r="Z3654" s="2" t="s">
        <v>3227</v>
      </c>
      <c r="AA3654" s="2" t="s">
        <v>46</v>
      </c>
      <c r="AB3654" s="2" t="s">
        <v>47</v>
      </c>
      <c r="AC3654" s="2" t="s">
        <v>57</v>
      </c>
      <c r="AF3654" s="2">
        <f t="shared" si="534"/>
        <v>0</v>
      </c>
      <c r="AG3654" s="2">
        <v>14.4</v>
      </c>
      <c r="AH3654" s="2">
        <v>21</v>
      </c>
      <c r="AJ3654" s="2">
        <f t="shared" si="535"/>
        <v>0</v>
      </c>
      <c r="AK3654" s="2">
        <f t="shared" si="531"/>
        <v>6.6</v>
      </c>
      <c r="AL3654" s="5">
        <f t="shared" si="532"/>
        <v>0.31428571428571428</v>
      </c>
    </row>
    <row r="3655" spans="1:38" x14ac:dyDescent="0.2">
      <c r="A3655" s="2">
        <v>2026</v>
      </c>
      <c r="B3655" s="2">
        <v>2</v>
      </c>
      <c r="D3655" s="2" t="s">
        <v>322</v>
      </c>
      <c r="E3655" s="2" t="s">
        <v>183</v>
      </c>
      <c r="G3655" s="2">
        <v>500048894</v>
      </c>
      <c r="H3655" s="2" t="s">
        <v>40</v>
      </c>
      <c r="I3655" s="2" t="s">
        <v>99</v>
      </c>
      <c r="J3655" s="2" t="s">
        <v>323</v>
      </c>
      <c r="L3655" s="2" t="s">
        <v>99</v>
      </c>
      <c r="M3655" s="2" t="s">
        <v>80</v>
      </c>
      <c r="O3655" s="2" t="s">
        <v>2848</v>
      </c>
      <c r="P3655" s="2" t="s">
        <v>93</v>
      </c>
      <c r="Q3655" s="2" t="s">
        <v>94</v>
      </c>
      <c r="R3655" s="2" t="s">
        <v>95</v>
      </c>
      <c r="S3655" s="2">
        <v>1</v>
      </c>
      <c r="T3655" s="2">
        <v>1.48</v>
      </c>
      <c r="U3655" s="2">
        <v>0.34039999999999998</v>
      </c>
      <c r="V3655" s="2">
        <v>1.8204</v>
      </c>
      <c r="W3655" s="2">
        <v>1.48</v>
      </c>
      <c r="X3655" s="5">
        <f t="shared" si="530"/>
        <v>0</v>
      </c>
      <c r="Z3655" s="2" t="s">
        <v>3227</v>
      </c>
      <c r="AA3655" s="2" t="s">
        <v>96</v>
      </c>
      <c r="AB3655" s="2" t="s">
        <v>76</v>
      </c>
      <c r="AC3655" s="2" t="s">
        <v>93</v>
      </c>
      <c r="AF3655" s="2">
        <f t="shared" si="534"/>
        <v>0</v>
      </c>
      <c r="AG3655" s="2">
        <v>1.48</v>
      </c>
      <c r="AH3655" s="2">
        <v>1.48</v>
      </c>
      <c r="AJ3655" s="2">
        <f t="shared" si="535"/>
        <v>0</v>
      </c>
      <c r="AK3655" s="2">
        <f t="shared" si="531"/>
        <v>0</v>
      </c>
      <c r="AL3655" s="5">
        <f t="shared" si="532"/>
        <v>0</v>
      </c>
    </row>
    <row r="3656" spans="1:38" x14ac:dyDescent="0.2">
      <c r="A3656" s="2">
        <v>2026</v>
      </c>
      <c r="B3656" s="2">
        <v>4</v>
      </c>
      <c r="D3656" s="2" t="s">
        <v>980</v>
      </c>
      <c r="E3656" s="2" t="s">
        <v>38</v>
      </c>
      <c r="F3656" s="2" t="s">
        <v>39</v>
      </c>
      <c r="L3656" s="2" t="s">
        <v>418</v>
      </c>
      <c r="M3656" s="2" t="s">
        <v>41</v>
      </c>
      <c r="P3656" s="2" t="s">
        <v>43</v>
      </c>
      <c r="Q3656" s="2" t="s">
        <v>160</v>
      </c>
      <c r="R3656" s="2" t="s">
        <v>161</v>
      </c>
      <c r="S3656" s="2">
        <v>1</v>
      </c>
      <c r="T3656" s="2">
        <v>9</v>
      </c>
      <c r="U3656" s="2">
        <v>2.0699999999999998</v>
      </c>
      <c r="V3656" s="2">
        <v>11.07</v>
      </c>
      <c r="W3656" s="2">
        <f>3.7358*S3656</f>
        <v>3.7357999999999998</v>
      </c>
      <c r="X3656" s="5">
        <f t="shared" si="530"/>
        <v>0.58491111111111116</v>
      </c>
      <c r="Z3656" s="2" t="s">
        <v>3227</v>
      </c>
      <c r="AA3656" s="2" t="s">
        <v>46</v>
      </c>
      <c r="AB3656" s="2" t="s">
        <v>47</v>
      </c>
      <c r="AC3656" s="2" t="s">
        <v>57</v>
      </c>
      <c r="AF3656" s="2">
        <f t="shared" si="534"/>
        <v>0</v>
      </c>
      <c r="AG3656" s="2">
        <v>3.7357999999999998</v>
      </c>
      <c r="AH3656" s="2">
        <v>9</v>
      </c>
      <c r="AJ3656" s="2">
        <f t="shared" si="535"/>
        <v>0</v>
      </c>
      <c r="AK3656" s="2">
        <f t="shared" si="531"/>
        <v>5.2642000000000007</v>
      </c>
      <c r="AL3656" s="5">
        <f t="shared" si="532"/>
        <v>0.58491111111111116</v>
      </c>
    </row>
    <row r="3657" spans="1:38" x14ac:dyDescent="0.2">
      <c r="A3657" s="2">
        <v>2026</v>
      </c>
      <c r="B3657" s="2">
        <v>4</v>
      </c>
      <c r="D3657" s="2" t="s">
        <v>2846</v>
      </c>
      <c r="M3657" s="2" t="s">
        <v>80</v>
      </c>
      <c r="P3657" s="2" t="s">
        <v>43</v>
      </c>
      <c r="Q3657" s="2" t="s">
        <v>160</v>
      </c>
      <c r="R3657" s="2" t="s">
        <v>161</v>
      </c>
      <c r="S3657" s="2">
        <v>1</v>
      </c>
      <c r="T3657" s="2">
        <v>9</v>
      </c>
      <c r="U3657" s="2">
        <v>2.0699999999999998</v>
      </c>
      <c r="V3657" s="2">
        <v>11.07</v>
      </c>
      <c r="W3657" s="2">
        <f>3.7358*S3657</f>
        <v>3.7357999999999998</v>
      </c>
      <c r="X3657" s="5">
        <f t="shared" si="530"/>
        <v>0.58491111111111116</v>
      </c>
      <c r="Z3657" s="2" t="s">
        <v>3227</v>
      </c>
      <c r="AA3657" s="2" t="s">
        <v>46</v>
      </c>
      <c r="AB3657" s="2" t="s">
        <v>47</v>
      </c>
      <c r="AC3657" s="2" t="s">
        <v>57</v>
      </c>
      <c r="AF3657" s="2">
        <f t="shared" si="534"/>
        <v>0</v>
      </c>
      <c r="AG3657" s="2">
        <v>3.7357999999999998</v>
      </c>
      <c r="AH3657" s="2">
        <v>9</v>
      </c>
      <c r="AJ3657" s="2">
        <f t="shared" si="535"/>
        <v>0</v>
      </c>
      <c r="AK3657" s="2">
        <f t="shared" si="531"/>
        <v>5.2642000000000007</v>
      </c>
      <c r="AL3657" s="5">
        <f t="shared" si="532"/>
        <v>0.58491111111111116</v>
      </c>
    </row>
    <row r="3658" spans="1:38" x14ac:dyDescent="0.2">
      <c r="A3658" s="2">
        <v>2026</v>
      </c>
      <c r="B3658" s="2">
        <v>4</v>
      </c>
      <c r="D3658" s="2" t="s">
        <v>2838</v>
      </c>
      <c r="E3658" s="2" t="s">
        <v>38</v>
      </c>
      <c r="G3658" s="2">
        <v>184822033</v>
      </c>
      <c r="I3658" s="2" t="s">
        <v>2842</v>
      </c>
      <c r="L3658" s="2" t="s">
        <v>461</v>
      </c>
      <c r="M3658" s="2" t="s">
        <v>109</v>
      </c>
      <c r="O3658" s="2" t="s">
        <v>2840</v>
      </c>
      <c r="P3658" s="2" t="s">
        <v>43</v>
      </c>
      <c r="Q3658" s="2" t="s">
        <v>52</v>
      </c>
      <c r="R3658" s="2" t="s">
        <v>53</v>
      </c>
      <c r="S3658" s="2">
        <v>1</v>
      </c>
      <c r="T3658" s="2">
        <v>10.8</v>
      </c>
      <c r="U3658" s="2">
        <v>2.484</v>
      </c>
      <c r="V3658" s="2">
        <v>13.284000000000001</v>
      </c>
      <c r="W3658" s="2">
        <f>5.2973*S3658</f>
        <v>5.2972999999999999</v>
      </c>
      <c r="X3658" s="5">
        <f t="shared" si="530"/>
        <v>0.50950925925925927</v>
      </c>
      <c r="Z3658" s="2" t="s">
        <v>3227</v>
      </c>
      <c r="AA3658" s="2" t="s">
        <v>46</v>
      </c>
      <c r="AB3658" s="2" t="s">
        <v>47</v>
      </c>
      <c r="AC3658" s="2" t="s">
        <v>57</v>
      </c>
      <c r="AF3658" s="2">
        <f t="shared" si="534"/>
        <v>0</v>
      </c>
      <c r="AG3658" s="2">
        <v>5.2972999999999999</v>
      </c>
      <c r="AH3658" s="2">
        <v>10.8</v>
      </c>
      <c r="AJ3658" s="2">
        <f t="shared" si="535"/>
        <v>0</v>
      </c>
      <c r="AK3658" s="2">
        <f t="shared" si="531"/>
        <v>5.5027000000000008</v>
      </c>
      <c r="AL3658" s="5">
        <f t="shared" si="532"/>
        <v>0.50950925925925927</v>
      </c>
    </row>
    <row r="3659" spans="1:38" x14ac:dyDescent="0.2">
      <c r="A3659" s="2">
        <v>2026</v>
      </c>
      <c r="B3659" s="2">
        <v>4</v>
      </c>
      <c r="D3659" s="2" t="s">
        <v>422</v>
      </c>
      <c r="E3659" s="2" t="s">
        <v>98</v>
      </c>
      <c r="F3659" s="2" t="s">
        <v>39</v>
      </c>
      <c r="G3659" s="2">
        <v>503523470</v>
      </c>
      <c r="H3659" s="2" t="s">
        <v>40</v>
      </c>
      <c r="I3659" s="2" t="s">
        <v>423</v>
      </c>
      <c r="J3659" s="2" t="s">
        <v>424</v>
      </c>
      <c r="L3659" s="2" t="s">
        <v>201</v>
      </c>
      <c r="M3659" s="2" t="s">
        <v>80</v>
      </c>
      <c r="O3659" s="2" t="s">
        <v>2841</v>
      </c>
      <c r="P3659" s="2" t="s">
        <v>43</v>
      </c>
      <c r="Q3659" s="2" t="s">
        <v>2850</v>
      </c>
      <c r="R3659" s="2" t="s">
        <v>2851</v>
      </c>
      <c r="S3659" s="2">
        <v>1</v>
      </c>
      <c r="T3659" s="2">
        <v>30</v>
      </c>
      <c r="U3659" s="2">
        <v>6.9</v>
      </c>
      <c r="V3659" s="2">
        <v>36.9</v>
      </c>
      <c r="W3659" s="2">
        <v>12.73</v>
      </c>
      <c r="X3659" s="5">
        <f t="shared" si="530"/>
        <v>0.57566666666666666</v>
      </c>
      <c r="Z3659" s="2" t="s">
        <v>3227</v>
      </c>
      <c r="AA3659" s="2" t="s">
        <v>46</v>
      </c>
      <c r="AB3659" s="2" t="s">
        <v>47</v>
      </c>
      <c r="AC3659" s="2" t="s">
        <v>57</v>
      </c>
      <c r="AF3659" s="2">
        <f t="shared" si="534"/>
        <v>0</v>
      </c>
      <c r="AG3659" s="2">
        <v>12.73</v>
      </c>
      <c r="AH3659" s="2">
        <v>30</v>
      </c>
      <c r="AJ3659" s="2">
        <f t="shared" si="535"/>
        <v>0</v>
      </c>
      <c r="AK3659" s="2">
        <f t="shared" si="531"/>
        <v>17.27</v>
      </c>
      <c r="AL3659" s="5">
        <f t="shared" si="532"/>
        <v>0.57566666666666666</v>
      </c>
    </row>
    <row r="3660" spans="1:38" x14ac:dyDescent="0.2">
      <c r="A3660" s="2">
        <v>2026</v>
      </c>
      <c r="B3660" s="2">
        <v>4</v>
      </c>
      <c r="C3660" s="2" t="s">
        <v>3444</v>
      </c>
      <c r="D3660" s="2" t="s">
        <v>1887</v>
      </c>
      <c r="E3660" s="2" t="s">
        <v>38</v>
      </c>
      <c r="F3660" s="2" t="s">
        <v>39</v>
      </c>
      <c r="L3660" s="2" t="s">
        <v>461</v>
      </c>
      <c r="M3660" s="2" t="s">
        <v>80</v>
      </c>
      <c r="P3660" s="2" t="s">
        <v>43</v>
      </c>
      <c r="Q3660" s="2" t="s">
        <v>214</v>
      </c>
      <c r="R3660" s="2" t="s">
        <v>215</v>
      </c>
      <c r="S3660" s="2">
        <v>2</v>
      </c>
      <c r="T3660" s="2">
        <v>30</v>
      </c>
      <c r="U3660" s="2">
        <v>6.9</v>
      </c>
      <c r="V3660" s="2">
        <v>36.9</v>
      </c>
      <c r="W3660" s="2">
        <f>7.915*S3660</f>
        <v>15.83</v>
      </c>
      <c r="X3660" s="5">
        <f t="shared" si="530"/>
        <v>0.47233333333333333</v>
      </c>
      <c r="Z3660" s="2" t="s">
        <v>3227</v>
      </c>
      <c r="AA3660" s="2" t="s">
        <v>46</v>
      </c>
      <c r="AB3660" s="2" t="s">
        <v>56</v>
      </c>
      <c r="AC3660" s="2" t="s">
        <v>57</v>
      </c>
      <c r="AF3660" s="2">
        <f t="shared" si="534"/>
        <v>0</v>
      </c>
      <c r="AJ3660" s="2">
        <f t="shared" si="535"/>
        <v>0</v>
      </c>
      <c r="AK3660" s="2">
        <f t="shared" si="531"/>
        <v>14.17</v>
      </c>
      <c r="AL3660" s="5">
        <f t="shared" si="532"/>
        <v>0.47233333333333333</v>
      </c>
    </row>
    <row r="3661" spans="1:38" x14ac:dyDescent="0.2">
      <c r="A3661" s="2">
        <v>2026</v>
      </c>
      <c r="B3661" s="2">
        <v>4</v>
      </c>
      <c r="D3661" s="2" t="s">
        <v>2516</v>
      </c>
      <c r="E3661" s="2" t="s">
        <v>752</v>
      </c>
      <c r="F3661" s="2" t="s">
        <v>39</v>
      </c>
      <c r="G3661" s="2">
        <v>515570354</v>
      </c>
      <c r="H3661" s="2" t="s">
        <v>109</v>
      </c>
      <c r="I3661" s="2" t="s">
        <v>2517</v>
      </c>
      <c r="J3661" s="2" t="s">
        <v>2518</v>
      </c>
      <c r="K3661" s="2">
        <v>967032538</v>
      </c>
      <c r="L3661" s="2" t="s">
        <v>398</v>
      </c>
      <c r="M3661" s="2" t="s">
        <v>109</v>
      </c>
      <c r="P3661" s="2" t="s">
        <v>43</v>
      </c>
      <c r="Q3661" s="2" t="s">
        <v>216</v>
      </c>
      <c r="R3661" s="2" t="s">
        <v>217</v>
      </c>
      <c r="S3661" s="2">
        <v>1</v>
      </c>
      <c r="T3661" s="2">
        <v>19.2</v>
      </c>
      <c r="U3661" s="2">
        <v>4.4160000000000004</v>
      </c>
      <c r="V3661" s="2">
        <v>23.616</v>
      </c>
      <c r="W3661" s="2">
        <v>10.035</v>
      </c>
      <c r="X3661" s="5">
        <f t="shared" si="530"/>
        <v>0.47734374999999996</v>
      </c>
      <c r="Z3661" s="2" t="s">
        <v>3227</v>
      </c>
      <c r="AA3661" s="2" t="s">
        <v>46</v>
      </c>
      <c r="AB3661" s="2" t="s">
        <v>56</v>
      </c>
      <c r="AC3661" s="2" t="s">
        <v>57</v>
      </c>
      <c r="AF3661" s="2">
        <f t="shared" si="534"/>
        <v>0</v>
      </c>
      <c r="AJ3661" s="2">
        <f t="shared" si="535"/>
        <v>0</v>
      </c>
      <c r="AK3661" s="2">
        <f t="shared" si="531"/>
        <v>9.1649999999999991</v>
      </c>
      <c r="AL3661" s="5">
        <f t="shared" si="532"/>
        <v>0.47734374999999996</v>
      </c>
    </row>
    <row r="3662" spans="1:38" x14ac:dyDescent="0.2">
      <c r="A3662" s="2">
        <v>2026</v>
      </c>
      <c r="B3662" s="2">
        <v>4</v>
      </c>
      <c r="D3662" s="2" t="s">
        <v>2516</v>
      </c>
      <c r="E3662" s="2" t="s">
        <v>752</v>
      </c>
      <c r="F3662" s="2" t="s">
        <v>39</v>
      </c>
      <c r="G3662" s="2">
        <v>515570354</v>
      </c>
      <c r="H3662" s="2" t="s">
        <v>109</v>
      </c>
      <c r="I3662" s="2" t="s">
        <v>2517</v>
      </c>
      <c r="J3662" s="2" t="s">
        <v>2518</v>
      </c>
      <c r="K3662" s="2">
        <v>967032538</v>
      </c>
      <c r="L3662" s="2" t="s">
        <v>398</v>
      </c>
      <c r="M3662" s="2" t="s">
        <v>109</v>
      </c>
      <c r="P3662" s="2" t="s">
        <v>43</v>
      </c>
      <c r="Q3662" s="2" t="s">
        <v>218</v>
      </c>
      <c r="R3662" s="2" t="s">
        <v>219</v>
      </c>
      <c r="S3662" s="2">
        <v>1</v>
      </c>
      <c r="T3662" s="2">
        <v>23.4</v>
      </c>
      <c r="U3662" s="2">
        <v>5.3819999999999997</v>
      </c>
      <c r="V3662" s="2">
        <v>28.782</v>
      </c>
      <c r="W3662" s="2">
        <v>12.4434</v>
      </c>
      <c r="X3662" s="5">
        <f t="shared" si="530"/>
        <v>0.46823076923076917</v>
      </c>
      <c r="Z3662" s="2" t="s">
        <v>3227</v>
      </c>
      <c r="AA3662" s="2" t="s">
        <v>46</v>
      </c>
      <c r="AB3662" s="2" t="s">
        <v>56</v>
      </c>
      <c r="AC3662" s="2" t="s">
        <v>57</v>
      </c>
      <c r="AF3662" s="2">
        <f t="shared" si="534"/>
        <v>0</v>
      </c>
      <c r="AJ3662" s="2">
        <f t="shared" si="535"/>
        <v>0</v>
      </c>
      <c r="AK3662" s="2">
        <f t="shared" si="531"/>
        <v>10.956599999999998</v>
      </c>
      <c r="AL3662" s="5">
        <f t="shared" si="532"/>
        <v>0.46823076923076917</v>
      </c>
    </row>
    <row r="3663" spans="1:38" x14ac:dyDescent="0.2">
      <c r="A3663" s="2">
        <v>2026</v>
      </c>
      <c r="B3663" s="2">
        <v>3</v>
      </c>
      <c r="D3663" s="2" t="s">
        <v>2852</v>
      </c>
      <c r="M3663" s="2" t="s">
        <v>80</v>
      </c>
      <c r="P3663" s="2" t="s">
        <v>43</v>
      </c>
      <c r="Q3663" s="2" t="s">
        <v>48</v>
      </c>
      <c r="R3663" s="2" t="s">
        <v>49</v>
      </c>
      <c r="S3663" s="2">
        <v>1</v>
      </c>
      <c r="T3663" s="2">
        <v>12</v>
      </c>
      <c r="U3663" s="2">
        <v>2.76</v>
      </c>
      <c r="V3663" s="2">
        <v>14.76</v>
      </c>
      <c r="W3663" s="2">
        <f>6.6267*S3663</f>
        <v>6.6266999999999996</v>
      </c>
      <c r="X3663" s="5">
        <f t="shared" si="530"/>
        <v>0.44777500000000003</v>
      </c>
      <c r="Z3663" s="2" t="s">
        <v>3227</v>
      </c>
      <c r="AA3663" s="2" t="s">
        <v>46</v>
      </c>
      <c r="AB3663" s="2" t="s">
        <v>47</v>
      </c>
      <c r="AC3663" s="2" t="s">
        <v>57</v>
      </c>
      <c r="AF3663" s="2">
        <f t="shared" si="534"/>
        <v>0</v>
      </c>
      <c r="AG3663" s="2">
        <v>6.6266999999999996</v>
      </c>
      <c r="AH3663" s="2">
        <v>12</v>
      </c>
      <c r="AJ3663" s="2">
        <f t="shared" si="535"/>
        <v>0</v>
      </c>
      <c r="AK3663" s="2">
        <f t="shared" si="531"/>
        <v>5.3733000000000004</v>
      </c>
      <c r="AL3663" s="5">
        <f t="shared" si="532"/>
        <v>0.44777500000000003</v>
      </c>
    </row>
    <row r="3664" spans="1:38" x14ac:dyDescent="0.2">
      <c r="A3664" s="2">
        <v>2026</v>
      </c>
      <c r="B3664" s="2">
        <v>4</v>
      </c>
      <c r="D3664" s="2" t="s">
        <v>422</v>
      </c>
      <c r="E3664" s="2" t="s">
        <v>98</v>
      </c>
      <c r="F3664" s="2" t="s">
        <v>39</v>
      </c>
      <c r="G3664" s="2">
        <v>503523470</v>
      </c>
      <c r="H3664" s="2" t="s">
        <v>40</v>
      </c>
      <c r="I3664" s="2" t="s">
        <v>423</v>
      </c>
      <c r="J3664" s="2" t="s">
        <v>424</v>
      </c>
      <c r="L3664" s="2" t="s">
        <v>201</v>
      </c>
      <c r="M3664" s="2" t="s">
        <v>80</v>
      </c>
      <c r="P3664" s="2" t="s">
        <v>43</v>
      </c>
      <c r="Q3664" s="2" t="s">
        <v>234</v>
      </c>
      <c r="R3664" s="2" t="s">
        <v>235</v>
      </c>
      <c r="S3664" s="2">
        <v>1</v>
      </c>
      <c r="T3664" s="2">
        <v>14.4</v>
      </c>
      <c r="U3664" s="2">
        <v>3.3119999999999998</v>
      </c>
      <c r="V3664" s="2">
        <v>17.712</v>
      </c>
      <c r="W3664" s="2">
        <v>7.2217000000000002</v>
      </c>
      <c r="X3664" s="5">
        <f t="shared" si="530"/>
        <v>0.49849305555555556</v>
      </c>
      <c r="Z3664" s="2" t="s">
        <v>3227</v>
      </c>
      <c r="AA3664" s="2" t="s">
        <v>46</v>
      </c>
      <c r="AB3664" s="2" t="s">
        <v>56</v>
      </c>
      <c r="AC3664" s="2" t="s">
        <v>57</v>
      </c>
      <c r="AF3664" s="2">
        <f t="shared" si="534"/>
        <v>0</v>
      </c>
      <c r="AG3664" s="2">
        <v>7.2217000000000002</v>
      </c>
      <c r="AH3664" s="2">
        <v>14.4</v>
      </c>
      <c r="AJ3664" s="2">
        <f t="shared" si="535"/>
        <v>0</v>
      </c>
      <c r="AK3664" s="2">
        <f t="shared" si="531"/>
        <v>7.1783000000000001</v>
      </c>
      <c r="AL3664" s="5">
        <f t="shared" si="532"/>
        <v>0.49849305555555556</v>
      </c>
    </row>
    <row r="3665" spans="1:38" x14ac:dyDescent="0.2">
      <c r="A3665" s="2">
        <v>2026</v>
      </c>
      <c r="B3665" s="2">
        <v>4</v>
      </c>
      <c r="D3665" s="2" t="s">
        <v>898</v>
      </c>
      <c r="E3665" s="2" t="s">
        <v>108</v>
      </c>
      <c r="F3665" s="2" t="s">
        <v>39</v>
      </c>
      <c r="H3665" s="2" t="s">
        <v>40</v>
      </c>
      <c r="I3665" s="2" t="s">
        <v>156</v>
      </c>
      <c r="J3665" s="2" t="s">
        <v>899</v>
      </c>
      <c r="K3665" s="2">
        <v>912047019</v>
      </c>
      <c r="L3665" s="2" t="s">
        <v>99</v>
      </c>
      <c r="M3665" s="2" t="s">
        <v>80</v>
      </c>
      <c r="O3665" s="2" t="s">
        <v>2853</v>
      </c>
      <c r="P3665" s="2" t="s">
        <v>43</v>
      </c>
      <c r="Q3665" s="2" t="s">
        <v>234</v>
      </c>
      <c r="R3665" s="2" t="s">
        <v>235</v>
      </c>
      <c r="S3665" s="2">
        <v>1</v>
      </c>
      <c r="T3665" s="2">
        <v>14.4</v>
      </c>
      <c r="U3665" s="2">
        <v>3.3119999999999998</v>
      </c>
      <c r="V3665" s="2">
        <v>17.712</v>
      </c>
      <c r="W3665" s="2">
        <v>7.2217000000000002</v>
      </c>
      <c r="X3665" s="5">
        <f t="shared" si="530"/>
        <v>0.49849305555555556</v>
      </c>
      <c r="Z3665" s="2" t="s">
        <v>3227</v>
      </c>
      <c r="AA3665" s="2" t="s">
        <v>46</v>
      </c>
      <c r="AB3665" s="2" t="s">
        <v>56</v>
      </c>
      <c r="AC3665" s="2" t="s">
        <v>57</v>
      </c>
      <c r="AF3665" s="2">
        <f t="shared" si="534"/>
        <v>0</v>
      </c>
      <c r="AG3665" s="2">
        <v>7.2217000000000002</v>
      </c>
      <c r="AH3665" s="2">
        <v>14.4</v>
      </c>
      <c r="AJ3665" s="2">
        <f t="shared" si="535"/>
        <v>0</v>
      </c>
      <c r="AK3665" s="2">
        <f t="shared" si="531"/>
        <v>7.1783000000000001</v>
      </c>
      <c r="AL3665" s="5">
        <f t="shared" si="532"/>
        <v>0.49849305555555556</v>
      </c>
    </row>
    <row r="3666" spans="1:38" x14ac:dyDescent="0.2">
      <c r="A3666" s="2">
        <v>2026</v>
      </c>
      <c r="B3666" s="2">
        <v>4</v>
      </c>
      <c r="D3666" s="2" t="s">
        <v>422</v>
      </c>
      <c r="E3666" s="2" t="s">
        <v>98</v>
      </c>
      <c r="F3666" s="2" t="s">
        <v>39</v>
      </c>
      <c r="G3666" s="2">
        <v>503523470</v>
      </c>
      <c r="H3666" s="2" t="s">
        <v>40</v>
      </c>
      <c r="I3666" s="2" t="s">
        <v>423</v>
      </c>
      <c r="J3666" s="2" t="s">
        <v>424</v>
      </c>
      <c r="L3666" s="2" t="s">
        <v>201</v>
      </c>
      <c r="M3666" s="2" t="s">
        <v>80</v>
      </c>
      <c r="P3666" s="2" t="s">
        <v>43</v>
      </c>
      <c r="Q3666" s="2" t="s">
        <v>236</v>
      </c>
      <c r="R3666" s="2" t="s">
        <v>237</v>
      </c>
      <c r="S3666" s="2">
        <v>1</v>
      </c>
      <c r="T3666" s="2">
        <v>17.399999999999999</v>
      </c>
      <c r="U3666" s="2">
        <v>4.0019999999999998</v>
      </c>
      <c r="V3666" s="2">
        <v>21.402000000000001</v>
      </c>
      <c r="W3666" s="2">
        <f>9.075*S3666</f>
        <v>9.0749999999999993</v>
      </c>
      <c r="X3666" s="5">
        <f t="shared" si="530"/>
        <v>0.47844827586206895</v>
      </c>
      <c r="Z3666" s="2" t="s">
        <v>3227</v>
      </c>
      <c r="AA3666" s="2" t="s">
        <v>46</v>
      </c>
      <c r="AB3666" s="2" t="s">
        <v>56</v>
      </c>
      <c r="AC3666" s="2" t="s">
        <v>57</v>
      </c>
      <c r="AF3666" s="2">
        <f t="shared" si="534"/>
        <v>0</v>
      </c>
      <c r="AJ3666" s="2">
        <f t="shared" si="535"/>
        <v>0</v>
      </c>
      <c r="AK3666" s="2">
        <f t="shared" si="531"/>
        <v>8.3249999999999993</v>
      </c>
      <c r="AL3666" s="5">
        <f t="shared" si="532"/>
        <v>0.47844827586206895</v>
      </c>
    </row>
    <row r="3667" spans="1:38" x14ac:dyDescent="0.2">
      <c r="A3667" s="2">
        <v>2026</v>
      </c>
      <c r="B3667" s="2">
        <v>4</v>
      </c>
      <c r="D3667" s="2" t="s">
        <v>898</v>
      </c>
      <c r="E3667" s="2" t="s">
        <v>108</v>
      </c>
      <c r="F3667" s="2" t="s">
        <v>39</v>
      </c>
      <c r="H3667" s="2" t="s">
        <v>40</v>
      </c>
      <c r="I3667" s="2" t="s">
        <v>156</v>
      </c>
      <c r="J3667" s="2" t="s">
        <v>899</v>
      </c>
      <c r="K3667" s="2">
        <v>912047019</v>
      </c>
      <c r="L3667" s="2" t="s">
        <v>99</v>
      </c>
      <c r="M3667" s="2" t="s">
        <v>80</v>
      </c>
      <c r="O3667" s="2" t="s">
        <v>2853</v>
      </c>
      <c r="P3667" s="2" t="s">
        <v>43</v>
      </c>
      <c r="Q3667" s="2" t="s">
        <v>236</v>
      </c>
      <c r="R3667" s="2" t="s">
        <v>237</v>
      </c>
      <c r="S3667" s="2">
        <v>1</v>
      </c>
      <c r="T3667" s="2">
        <v>17.399999999999999</v>
      </c>
      <c r="U3667" s="2">
        <v>4.0019999999999998</v>
      </c>
      <c r="V3667" s="2">
        <v>21.402000000000001</v>
      </c>
      <c r="W3667" s="2">
        <f>9.075*S3667</f>
        <v>9.0749999999999993</v>
      </c>
      <c r="X3667" s="5">
        <f t="shared" si="530"/>
        <v>0.47844827586206895</v>
      </c>
      <c r="Z3667" s="2" t="s">
        <v>3227</v>
      </c>
      <c r="AA3667" s="2" t="s">
        <v>46</v>
      </c>
      <c r="AB3667" s="2" t="s">
        <v>56</v>
      </c>
      <c r="AC3667" s="2" t="s">
        <v>57</v>
      </c>
      <c r="AF3667" s="2">
        <f t="shared" si="534"/>
        <v>0</v>
      </c>
      <c r="AJ3667" s="2">
        <f t="shared" si="535"/>
        <v>0</v>
      </c>
      <c r="AK3667" s="2">
        <f t="shared" si="531"/>
        <v>8.3249999999999993</v>
      </c>
      <c r="AL3667" s="5">
        <f t="shared" si="532"/>
        <v>0.47844827586206895</v>
      </c>
    </row>
    <row r="3668" spans="1:38" x14ac:dyDescent="0.2">
      <c r="A3668" s="2">
        <v>2026</v>
      </c>
      <c r="B3668" s="2">
        <v>4</v>
      </c>
      <c r="D3668" s="2" t="s">
        <v>422</v>
      </c>
      <c r="E3668" s="2" t="s">
        <v>98</v>
      </c>
      <c r="F3668" s="2" t="s">
        <v>39</v>
      </c>
      <c r="G3668" s="2">
        <v>503523470</v>
      </c>
      <c r="H3668" s="2" t="s">
        <v>40</v>
      </c>
      <c r="I3668" s="2" t="s">
        <v>423</v>
      </c>
      <c r="J3668" s="2" t="s">
        <v>424</v>
      </c>
      <c r="L3668" s="2" t="s">
        <v>201</v>
      </c>
      <c r="M3668" s="2" t="s">
        <v>80</v>
      </c>
      <c r="P3668" s="2" t="s">
        <v>43</v>
      </c>
      <c r="Q3668" s="2" t="s">
        <v>238</v>
      </c>
      <c r="R3668" s="2" t="s">
        <v>239</v>
      </c>
      <c r="S3668" s="2">
        <v>1</v>
      </c>
      <c r="T3668" s="2">
        <v>21</v>
      </c>
      <c r="U3668" s="2">
        <v>4.83</v>
      </c>
      <c r="V3668" s="2">
        <v>25.83</v>
      </c>
      <c r="W3668" s="2">
        <f t="shared" ref="W3668:W3669" si="536">11.045*S3668</f>
        <v>11.045</v>
      </c>
      <c r="X3668" s="5">
        <f t="shared" si="530"/>
        <v>0.47404761904761905</v>
      </c>
      <c r="Z3668" s="2" t="s">
        <v>3227</v>
      </c>
      <c r="AA3668" s="2" t="s">
        <v>46</v>
      </c>
      <c r="AB3668" s="2" t="s">
        <v>56</v>
      </c>
      <c r="AC3668" s="2" t="s">
        <v>57</v>
      </c>
      <c r="AF3668" s="2">
        <f t="shared" si="534"/>
        <v>0</v>
      </c>
      <c r="AJ3668" s="2">
        <f t="shared" si="535"/>
        <v>0</v>
      </c>
      <c r="AK3668" s="2">
        <f t="shared" si="531"/>
        <v>9.9550000000000001</v>
      </c>
      <c r="AL3668" s="5">
        <f t="shared" si="532"/>
        <v>0.47404761904761905</v>
      </c>
    </row>
    <row r="3669" spans="1:38" x14ac:dyDescent="0.2">
      <c r="A3669" s="2">
        <v>2026</v>
      </c>
      <c r="B3669" s="2">
        <v>4</v>
      </c>
      <c r="D3669" s="2" t="s">
        <v>898</v>
      </c>
      <c r="E3669" s="2" t="s">
        <v>108</v>
      </c>
      <c r="F3669" s="2" t="s">
        <v>39</v>
      </c>
      <c r="H3669" s="2" t="s">
        <v>40</v>
      </c>
      <c r="I3669" s="2" t="s">
        <v>156</v>
      </c>
      <c r="J3669" s="2" t="s">
        <v>899</v>
      </c>
      <c r="K3669" s="2">
        <v>912047019</v>
      </c>
      <c r="L3669" s="2" t="s">
        <v>99</v>
      </c>
      <c r="M3669" s="2" t="s">
        <v>80</v>
      </c>
      <c r="O3669" s="2" t="s">
        <v>2853</v>
      </c>
      <c r="P3669" s="2" t="s">
        <v>43</v>
      </c>
      <c r="Q3669" s="2" t="s">
        <v>238</v>
      </c>
      <c r="R3669" s="2" t="s">
        <v>239</v>
      </c>
      <c r="S3669" s="2">
        <v>1</v>
      </c>
      <c r="T3669" s="2">
        <v>21</v>
      </c>
      <c r="U3669" s="2">
        <v>4.83</v>
      </c>
      <c r="V3669" s="2">
        <v>25.83</v>
      </c>
      <c r="W3669" s="2">
        <f t="shared" si="536"/>
        <v>11.045</v>
      </c>
      <c r="X3669" s="5">
        <f t="shared" si="530"/>
        <v>0.47404761904761905</v>
      </c>
      <c r="Z3669" s="2" t="s">
        <v>3227</v>
      </c>
      <c r="AA3669" s="2" t="s">
        <v>46</v>
      </c>
      <c r="AB3669" s="2" t="s">
        <v>56</v>
      </c>
      <c r="AC3669" s="2" t="s">
        <v>57</v>
      </c>
      <c r="AF3669" s="2">
        <f t="shared" si="534"/>
        <v>0</v>
      </c>
      <c r="AJ3669" s="2">
        <f t="shared" si="535"/>
        <v>0</v>
      </c>
      <c r="AK3669" s="2">
        <f t="shared" si="531"/>
        <v>9.9550000000000001</v>
      </c>
      <c r="AL3669" s="5">
        <f t="shared" si="532"/>
        <v>0.47404761904761905</v>
      </c>
    </row>
    <row r="3670" spans="1:38" x14ac:dyDescent="0.2">
      <c r="A3670" s="2">
        <v>2026</v>
      </c>
      <c r="B3670" s="2">
        <v>4</v>
      </c>
      <c r="D3670" s="2" t="s">
        <v>1178</v>
      </c>
      <c r="E3670" s="2" t="s">
        <v>38</v>
      </c>
      <c r="F3670" s="2" t="s">
        <v>39</v>
      </c>
      <c r="G3670" s="2">
        <v>502089075</v>
      </c>
      <c r="H3670" s="2" t="s">
        <v>41</v>
      </c>
      <c r="I3670" s="2" t="s">
        <v>1179</v>
      </c>
      <c r="J3670" s="2" t="s">
        <v>1180</v>
      </c>
      <c r="L3670" s="2" t="s">
        <v>461</v>
      </c>
      <c r="M3670" s="2" t="s">
        <v>41</v>
      </c>
      <c r="O3670" s="2" t="s">
        <v>2854</v>
      </c>
      <c r="P3670" s="2" t="s">
        <v>43</v>
      </c>
      <c r="Q3670" s="2" t="s">
        <v>240</v>
      </c>
      <c r="R3670" s="2" t="s">
        <v>241</v>
      </c>
      <c r="S3670" s="2">
        <v>2</v>
      </c>
      <c r="T3670" s="2">
        <v>50.4</v>
      </c>
      <c r="U3670" s="2">
        <v>11.592000000000001</v>
      </c>
      <c r="V3670" s="2">
        <v>61.991999999999997</v>
      </c>
      <c r="W3670" s="2">
        <f t="shared" ref="W3670:W3671" si="537">13.4067*S3670</f>
        <v>26.813400000000001</v>
      </c>
      <c r="X3670" s="5">
        <f t="shared" si="530"/>
        <v>0.4679880952380952</v>
      </c>
      <c r="Z3670" s="2" t="s">
        <v>3227</v>
      </c>
      <c r="AA3670" s="2" t="s">
        <v>46</v>
      </c>
      <c r="AB3670" s="2" t="s">
        <v>56</v>
      </c>
      <c r="AC3670" s="2" t="s">
        <v>57</v>
      </c>
      <c r="AF3670" s="2">
        <f t="shared" si="534"/>
        <v>0</v>
      </c>
      <c r="AJ3670" s="2">
        <f t="shared" si="535"/>
        <v>0</v>
      </c>
      <c r="AK3670" s="2">
        <f t="shared" si="531"/>
        <v>23.586599999999997</v>
      </c>
      <c r="AL3670" s="5">
        <f t="shared" si="532"/>
        <v>0.4679880952380952</v>
      </c>
    </row>
    <row r="3671" spans="1:38" x14ac:dyDescent="0.2">
      <c r="A3671" s="2">
        <v>2026</v>
      </c>
      <c r="B3671" s="2">
        <v>4</v>
      </c>
      <c r="D3671" s="2" t="s">
        <v>898</v>
      </c>
      <c r="E3671" s="2" t="s">
        <v>108</v>
      </c>
      <c r="F3671" s="2" t="s">
        <v>39</v>
      </c>
      <c r="H3671" s="2" t="s">
        <v>40</v>
      </c>
      <c r="I3671" s="2" t="s">
        <v>156</v>
      </c>
      <c r="J3671" s="2" t="s">
        <v>899</v>
      </c>
      <c r="K3671" s="2">
        <v>912047019</v>
      </c>
      <c r="L3671" s="2" t="s">
        <v>99</v>
      </c>
      <c r="M3671" s="2" t="s">
        <v>80</v>
      </c>
      <c r="O3671" s="2" t="s">
        <v>2853</v>
      </c>
      <c r="P3671" s="2" t="s">
        <v>43</v>
      </c>
      <c r="Q3671" s="2" t="s">
        <v>240</v>
      </c>
      <c r="R3671" s="2" t="s">
        <v>241</v>
      </c>
      <c r="S3671" s="2">
        <v>1</v>
      </c>
      <c r="T3671" s="2">
        <v>25.2</v>
      </c>
      <c r="U3671" s="2">
        <v>5.7960000000000003</v>
      </c>
      <c r="V3671" s="2">
        <v>30.995999999999999</v>
      </c>
      <c r="W3671" s="2">
        <f t="shared" si="537"/>
        <v>13.406700000000001</v>
      </c>
      <c r="X3671" s="5">
        <f t="shared" ref="X3671:X3699" si="538">(T3671-W3671)/T3671</f>
        <v>0.4679880952380952</v>
      </c>
      <c r="Z3671" s="2" t="s">
        <v>3227</v>
      </c>
      <c r="AA3671" s="2" t="s">
        <v>46</v>
      </c>
      <c r="AB3671" s="2" t="s">
        <v>56</v>
      </c>
      <c r="AC3671" s="2" t="s">
        <v>57</v>
      </c>
      <c r="AF3671" s="2">
        <f t="shared" si="534"/>
        <v>0</v>
      </c>
      <c r="AJ3671" s="2">
        <f t="shared" si="535"/>
        <v>0</v>
      </c>
      <c r="AK3671" s="2">
        <f t="shared" ref="AK3671:AK3699" si="539">T3671-W3671</f>
        <v>11.793299999999999</v>
      </c>
      <c r="AL3671" s="5">
        <f t="shared" ref="AL3671:AL3699" si="540">(T3671-W3671)/T3671</f>
        <v>0.4679880952380952</v>
      </c>
    </row>
    <row r="3672" spans="1:38" x14ac:dyDescent="0.2">
      <c r="A3672" s="2">
        <v>2026</v>
      </c>
      <c r="B3672" s="2">
        <v>4</v>
      </c>
      <c r="D3672" s="2" t="s">
        <v>1178</v>
      </c>
      <c r="E3672" s="2" t="s">
        <v>38</v>
      </c>
      <c r="F3672" s="2" t="s">
        <v>39</v>
      </c>
      <c r="G3672" s="2">
        <v>502089075</v>
      </c>
      <c r="H3672" s="2" t="s">
        <v>41</v>
      </c>
      <c r="I3672" s="2" t="s">
        <v>1179</v>
      </c>
      <c r="J3672" s="2" t="s">
        <v>1180</v>
      </c>
      <c r="L3672" s="2" t="s">
        <v>461</v>
      </c>
      <c r="M3672" s="2" t="s">
        <v>41</v>
      </c>
      <c r="O3672" s="2" t="s">
        <v>2854</v>
      </c>
      <c r="P3672" s="2" t="s">
        <v>43</v>
      </c>
      <c r="Q3672" s="2" t="s">
        <v>242</v>
      </c>
      <c r="R3672" s="2" t="s">
        <v>243</v>
      </c>
      <c r="S3672" s="2">
        <v>2</v>
      </c>
      <c r="T3672" s="2">
        <v>60</v>
      </c>
      <c r="U3672" s="2">
        <v>13.8</v>
      </c>
      <c r="V3672" s="2">
        <v>73.8</v>
      </c>
      <c r="W3672" s="2">
        <f t="shared" ref="W3672:W3673" si="541">16.2249*S3672</f>
        <v>32.449800000000003</v>
      </c>
      <c r="X3672" s="5">
        <f t="shared" si="538"/>
        <v>0.45916999999999997</v>
      </c>
      <c r="Z3672" s="2" t="s">
        <v>3227</v>
      </c>
      <c r="AA3672" s="2" t="s">
        <v>46</v>
      </c>
      <c r="AB3672" s="2" t="s">
        <v>56</v>
      </c>
      <c r="AC3672" s="2" t="s">
        <v>57</v>
      </c>
      <c r="AF3672" s="2">
        <f t="shared" si="534"/>
        <v>0</v>
      </c>
      <c r="AJ3672" s="2">
        <f t="shared" si="535"/>
        <v>0</v>
      </c>
      <c r="AK3672" s="2">
        <f t="shared" si="539"/>
        <v>27.550199999999997</v>
      </c>
      <c r="AL3672" s="5">
        <f t="shared" si="540"/>
        <v>0.45916999999999997</v>
      </c>
    </row>
    <row r="3673" spans="1:38" x14ac:dyDescent="0.2">
      <c r="A3673" s="2">
        <v>2026</v>
      </c>
      <c r="B3673" s="2">
        <v>4</v>
      </c>
      <c r="D3673" s="2" t="s">
        <v>898</v>
      </c>
      <c r="E3673" s="2" t="s">
        <v>108</v>
      </c>
      <c r="F3673" s="2" t="s">
        <v>39</v>
      </c>
      <c r="H3673" s="2" t="s">
        <v>40</v>
      </c>
      <c r="I3673" s="2" t="s">
        <v>156</v>
      </c>
      <c r="J3673" s="2" t="s">
        <v>899</v>
      </c>
      <c r="K3673" s="2">
        <v>912047019</v>
      </c>
      <c r="L3673" s="2" t="s">
        <v>99</v>
      </c>
      <c r="M3673" s="2" t="s">
        <v>80</v>
      </c>
      <c r="O3673" s="2" t="s">
        <v>2853</v>
      </c>
      <c r="P3673" s="2" t="s">
        <v>43</v>
      </c>
      <c r="Q3673" s="2" t="s">
        <v>242</v>
      </c>
      <c r="R3673" s="2" t="s">
        <v>243</v>
      </c>
      <c r="S3673" s="2">
        <v>1</v>
      </c>
      <c r="T3673" s="2">
        <v>30</v>
      </c>
      <c r="U3673" s="2">
        <v>6.9</v>
      </c>
      <c r="V3673" s="2">
        <v>36.9</v>
      </c>
      <c r="W3673" s="2">
        <f t="shared" si="541"/>
        <v>16.224900000000002</v>
      </c>
      <c r="X3673" s="5">
        <f t="shared" si="538"/>
        <v>0.45916999999999997</v>
      </c>
      <c r="Z3673" s="2" t="s">
        <v>3227</v>
      </c>
      <c r="AA3673" s="2" t="s">
        <v>46</v>
      </c>
      <c r="AB3673" s="2" t="s">
        <v>56</v>
      </c>
      <c r="AC3673" s="2" t="s">
        <v>57</v>
      </c>
      <c r="AF3673" s="2">
        <f t="shared" si="534"/>
        <v>0</v>
      </c>
      <c r="AJ3673" s="2">
        <f t="shared" si="535"/>
        <v>0</v>
      </c>
      <c r="AK3673" s="2">
        <f t="shared" si="539"/>
        <v>13.775099999999998</v>
      </c>
      <c r="AL3673" s="5">
        <f t="shared" si="540"/>
        <v>0.45916999999999997</v>
      </c>
    </row>
    <row r="3674" spans="1:38" x14ac:dyDescent="0.2">
      <c r="A3674" s="2">
        <v>2026</v>
      </c>
      <c r="B3674" s="2">
        <v>4</v>
      </c>
      <c r="D3674" s="2" t="s">
        <v>1178</v>
      </c>
      <c r="E3674" s="2" t="s">
        <v>38</v>
      </c>
      <c r="F3674" s="2" t="s">
        <v>39</v>
      </c>
      <c r="G3674" s="2">
        <v>502089075</v>
      </c>
      <c r="H3674" s="2" t="s">
        <v>41</v>
      </c>
      <c r="I3674" s="2" t="s">
        <v>1179</v>
      </c>
      <c r="J3674" s="2" t="s">
        <v>1180</v>
      </c>
      <c r="L3674" s="2" t="s">
        <v>461</v>
      </c>
      <c r="M3674" s="2" t="s">
        <v>41</v>
      </c>
      <c r="O3674" s="2" t="s">
        <v>2854</v>
      </c>
      <c r="P3674" s="2" t="s">
        <v>43</v>
      </c>
      <c r="Q3674" s="2" t="s">
        <v>244</v>
      </c>
      <c r="R3674" s="2" t="s">
        <v>245</v>
      </c>
      <c r="S3674" s="2">
        <v>2</v>
      </c>
      <c r="T3674" s="2">
        <v>36</v>
      </c>
      <c r="U3674" s="2">
        <v>8.2800000000000011</v>
      </c>
      <c r="V3674" s="2">
        <v>44.28</v>
      </c>
      <c r="W3674" s="2">
        <f t="shared" ref="W3674:W3675" si="542">9.2346*S3674</f>
        <v>18.469200000000001</v>
      </c>
      <c r="X3674" s="5">
        <f t="shared" si="538"/>
        <v>0.48696666666666666</v>
      </c>
      <c r="Z3674" s="2" t="s">
        <v>3227</v>
      </c>
      <c r="AA3674" s="2" t="s">
        <v>46</v>
      </c>
      <c r="AB3674" s="2" t="s">
        <v>56</v>
      </c>
      <c r="AC3674" s="2" t="s">
        <v>57</v>
      </c>
      <c r="AF3674" s="2">
        <f t="shared" si="534"/>
        <v>0</v>
      </c>
      <c r="AJ3674" s="2">
        <f t="shared" si="535"/>
        <v>0</v>
      </c>
      <c r="AK3674" s="2">
        <f t="shared" si="539"/>
        <v>17.530799999999999</v>
      </c>
      <c r="AL3674" s="5">
        <f t="shared" si="540"/>
        <v>0.48696666666666666</v>
      </c>
    </row>
    <row r="3675" spans="1:38" x14ac:dyDescent="0.2">
      <c r="A3675" s="2">
        <v>2026</v>
      </c>
      <c r="B3675" s="2">
        <v>4</v>
      </c>
      <c r="D3675" s="2" t="s">
        <v>898</v>
      </c>
      <c r="E3675" s="2" t="s">
        <v>108</v>
      </c>
      <c r="F3675" s="2" t="s">
        <v>39</v>
      </c>
      <c r="H3675" s="2" t="s">
        <v>40</v>
      </c>
      <c r="I3675" s="2" t="s">
        <v>156</v>
      </c>
      <c r="J3675" s="2" t="s">
        <v>899</v>
      </c>
      <c r="K3675" s="2">
        <v>912047019</v>
      </c>
      <c r="L3675" s="2" t="s">
        <v>99</v>
      </c>
      <c r="M3675" s="2" t="s">
        <v>80</v>
      </c>
      <c r="O3675" s="2" t="s">
        <v>2853</v>
      </c>
      <c r="P3675" s="2" t="s">
        <v>43</v>
      </c>
      <c r="Q3675" s="2" t="s">
        <v>244</v>
      </c>
      <c r="R3675" s="2" t="s">
        <v>245</v>
      </c>
      <c r="S3675" s="2">
        <v>1</v>
      </c>
      <c r="T3675" s="2">
        <v>18</v>
      </c>
      <c r="U3675" s="2">
        <v>4.1400000000000006</v>
      </c>
      <c r="V3675" s="2">
        <v>22.14</v>
      </c>
      <c r="W3675" s="2">
        <f t="shared" si="542"/>
        <v>9.2346000000000004</v>
      </c>
      <c r="X3675" s="5">
        <f t="shared" si="538"/>
        <v>0.48696666666666666</v>
      </c>
      <c r="Z3675" s="2" t="s">
        <v>3227</v>
      </c>
      <c r="AA3675" s="2" t="s">
        <v>46</v>
      </c>
      <c r="AB3675" s="2" t="s">
        <v>56</v>
      </c>
      <c r="AC3675" s="2" t="s">
        <v>57</v>
      </c>
      <c r="AF3675" s="2">
        <f t="shared" si="534"/>
        <v>0</v>
      </c>
      <c r="AJ3675" s="2">
        <f t="shared" si="535"/>
        <v>0</v>
      </c>
      <c r="AK3675" s="2">
        <f t="shared" si="539"/>
        <v>8.7653999999999996</v>
      </c>
      <c r="AL3675" s="5">
        <f t="shared" si="540"/>
        <v>0.48696666666666666</v>
      </c>
    </row>
    <row r="3676" spans="1:38" x14ac:dyDescent="0.2">
      <c r="A3676" s="2">
        <v>2026</v>
      </c>
      <c r="B3676" s="2">
        <v>4</v>
      </c>
      <c r="D3676" s="2" t="s">
        <v>37</v>
      </c>
      <c r="E3676" s="2" t="s">
        <v>38</v>
      </c>
      <c r="F3676" s="2" t="s">
        <v>39</v>
      </c>
      <c r="H3676" s="2" t="s">
        <v>40</v>
      </c>
      <c r="P3676" s="2" t="s">
        <v>43</v>
      </c>
      <c r="Q3676" s="2" t="s">
        <v>54</v>
      </c>
      <c r="R3676" s="2" t="s">
        <v>55</v>
      </c>
      <c r="S3676" s="2">
        <v>3</v>
      </c>
      <c r="T3676" s="2">
        <v>54</v>
      </c>
      <c r="U3676" s="2">
        <v>12.42</v>
      </c>
      <c r="V3676" s="2">
        <v>66.42</v>
      </c>
      <c r="W3676" s="2">
        <f t="shared" ref="W3676:W3681" si="543">10.6*S3676</f>
        <v>31.799999999999997</v>
      </c>
      <c r="X3676" s="5">
        <f t="shared" si="538"/>
        <v>0.41111111111111115</v>
      </c>
      <c r="Z3676" s="2" t="s">
        <v>3227</v>
      </c>
      <c r="AA3676" s="2" t="s">
        <v>46</v>
      </c>
      <c r="AB3676" s="2" t="s">
        <v>56</v>
      </c>
      <c r="AC3676" s="2" t="s">
        <v>57</v>
      </c>
      <c r="AF3676" s="2">
        <f t="shared" si="534"/>
        <v>0</v>
      </c>
      <c r="AG3676" s="2">
        <v>10.6</v>
      </c>
      <c r="AH3676" s="2">
        <v>18</v>
      </c>
      <c r="AJ3676" s="2">
        <f t="shared" si="535"/>
        <v>0</v>
      </c>
      <c r="AK3676" s="2">
        <f t="shared" si="539"/>
        <v>22.200000000000003</v>
      </c>
      <c r="AL3676" s="5">
        <f t="shared" si="540"/>
        <v>0.41111111111111115</v>
      </c>
    </row>
    <row r="3677" spans="1:38" x14ac:dyDescent="0.2">
      <c r="A3677" s="2">
        <v>2026</v>
      </c>
      <c r="B3677" s="2">
        <v>4</v>
      </c>
      <c r="C3677" s="2" t="s">
        <v>3319</v>
      </c>
      <c r="D3677" s="2" t="s">
        <v>941</v>
      </c>
      <c r="E3677" s="2" t="s">
        <v>38</v>
      </c>
      <c r="F3677" s="2" t="s">
        <v>39</v>
      </c>
      <c r="L3677" s="2" t="s">
        <v>177</v>
      </c>
      <c r="M3677" s="2" t="s">
        <v>41</v>
      </c>
      <c r="P3677" s="2" t="s">
        <v>43</v>
      </c>
      <c r="Q3677" s="2" t="s">
        <v>54</v>
      </c>
      <c r="R3677" s="2" t="s">
        <v>55</v>
      </c>
      <c r="S3677" s="2">
        <v>2</v>
      </c>
      <c r="T3677" s="2">
        <v>36</v>
      </c>
      <c r="U3677" s="2">
        <v>8.2800000000000011</v>
      </c>
      <c r="V3677" s="2">
        <v>44.28</v>
      </c>
      <c r="W3677" s="2">
        <f t="shared" si="543"/>
        <v>21.2</v>
      </c>
      <c r="X3677" s="5">
        <f t="shared" si="538"/>
        <v>0.41111111111111115</v>
      </c>
      <c r="Z3677" s="2" t="s">
        <v>3227</v>
      </c>
      <c r="AA3677" s="2" t="s">
        <v>46</v>
      </c>
      <c r="AB3677" s="2" t="s">
        <v>56</v>
      </c>
      <c r="AC3677" s="2" t="s">
        <v>57</v>
      </c>
      <c r="AF3677" s="2">
        <f t="shared" si="534"/>
        <v>0</v>
      </c>
      <c r="AG3677" s="2">
        <v>10.6</v>
      </c>
      <c r="AH3677" s="2">
        <v>18</v>
      </c>
      <c r="AJ3677" s="2">
        <f t="shared" si="535"/>
        <v>0</v>
      </c>
      <c r="AK3677" s="2">
        <f t="shared" si="539"/>
        <v>14.8</v>
      </c>
      <c r="AL3677" s="5">
        <f t="shared" si="540"/>
        <v>0.41111111111111115</v>
      </c>
    </row>
    <row r="3678" spans="1:38" x14ac:dyDescent="0.2">
      <c r="A3678" s="2">
        <v>2026</v>
      </c>
      <c r="B3678" s="2">
        <v>4</v>
      </c>
      <c r="D3678" s="2" t="s">
        <v>422</v>
      </c>
      <c r="E3678" s="2" t="s">
        <v>98</v>
      </c>
      <c r="F3678" s="2" t="s">
        <v>39</v>
      </c>
      <c r="G3678" s="2">
        <v>503523470</v>
      </c>
      <c r="H3678" s="2" t="s">
        <v>40</v>
      </c>
      <c r="I3678" s="2" t="s">
        <v>423</v>
      </c>
      <c r="J3678" s="2" t="s">
        <v>424</v>
      </c>
      <c r="L3678" s="2" t="s">
        <v>201</v>
      </c>
      <c r="M3678" s="2" t="s">
        <v>80</v>
      </c>
      <c r="P3678" s="2" t="s">
        <v>43</v>
      </c>
      <c r="Q3678" s="2" t="s">
        <v>54</v>
      </c>
      <c r="R3678" s="2" t="s">
        <v>55</v>
      </c>
      <c r="S3678" s="2">
        <v>1</v>
      </c>
      <c r="T3678" s="2">
        <v>18</v>
      </c>
      <c r="U3678" s="2">
        <v>4.1400000000000006</v>
      </c>
      <c r="V3678" s="2">
        <v>22.14</v>
      </c>
      <c r="W3678" s="2">
        <f t="shared" si="543"/>
        <v>10.6</v>
      </c>
      <c r="X3678" s="5">
        <f t="shared" si="538"/>
        <v>0.41111111111111115</v>
      </c>
      <c r="Z3678" s="2" t="s">
        <v>3227</v>
      </c>
      <c r="AA3678" s="2" t="s">
        <v>46</v>
      </c>
      <c r="AB3678" s="2" t="s">
        <v>56</v>
      </c>
      <c r="AC3678" s="2" t="s">
        <v>57</v>
      </c>
      <c r="AF3678" s="2">
        <f t="shared" si="534"/>
        <v>0</v>
      </c>
      <c r="AG3678" s="2">
        <v>10.6</v>
      </c>
      <c r="AH3678" s="2">
        <v>18</v>
      </c>
      <c r="AJ3678" s="2">
        <f t="shared" si="535"/>
        <v>0</v>
      </c>
      <c r="AK3678" s="2">
        <f t="shared" si="539"/>
        <v>7.4</v>
      </c>
      <c r="AL3678" s="5">
        <f t="shared" si="540"/>
        <v>0.41111111111111115</v>
      </c>
    </row>
    <row r="3679" spans="1:38" x14ac:dyDescent="0.2">
      <c r="A3679" s="2">
        <v>2026</v>
      </c>
      <c r="B3679" s="2">
        <v>4</v>
      </c>
      <c r="D3679" s="2" t="s">
        <v>574</v>
      </c>
      <c r="E3679" s="2" t="s">
        <v>38</v>
      </c>
      <c r="F3679" s="2" t="s">
        <v>39</v>
      </c>
      <c r="G3679" s="2">
        <v>504811029</v>
      </c>
      <c r="H3679" s="2" t="s">
        <v>41</v>
      </c>
      <c r="I3679" s="2" t="s">
        <v>177</v>
      </c>
      <c r="J3679" s="2" t="s">
        <v>575</v>
      </c>
      <c r="L3679" s="2" t="s">
        <v>177</v>
      </c>
      <c r="M3679" s="2" t="s">
        <v>41</v>
      </c>
      <c r="P3679" s="2" t="s">
        <v>43</v>
      </c>
      <c r="Q3679" s="2" t="s">
        <v>54</v>
      </c>
      <c r="R3679" s="2" t="s">
        <v>55</v>
      </c>
      <c r="S3679" s="2">
        <v>10</v>
      </c>
      <c r="T3679" s="2">
        <v>150</v>
      </c>
      <c r="U3679" s="2">
        <v>34.5</v>
      </c>
      <c r="V3679" s="2">
        <v>184.5</v>
      </c>
      <c r="W3679" s="2">
        <f t="shared" si="543"/>
        <v>106</v>
      </c>
      <c r="X3679" s="5">
        <f t="shared" si="538"/>
        <v>0.29333333333333333</v>
      </c>
      <c r="Z3679" s="2" t="s">
        <v>3227</v>
      </c>
      <c r="AA3679" s="2" t="s">
        <v>46</v>
      </c>
      <c r="AB3679" s="2" t="s">
        <v>56</v>
      </c>
      <c r="AC3679" s="2" t="s">
        <v>57</v>
      </c>
      <c r="AF3679" s="2">
        <f t="shared" si="534"/>
        <v>0</v>
      </c>
      <c r="AG3679" s="2">
        <v>10.6</v>
      </c>
      <c r="AH3679" s="2">
        <v>18</v>
      </c>
      <c r="AJ3679" s="2">
        <f t="shared" si="535"/>
        <v>0</v>
      </c>
      <c r="AK3679" s="2">
        <f t="shared" si="539"/>
        <v>44</v>
      </c>
      <c r="AL3679" s="5">
        <f t="shared" si="540"/>
        <v>0.29333333333333333</v>
      </c>
    </row>
    <row r="3680" spans="1:38" x14ac:dyDescent="0.2">
      <c r="A3680" s="2">
        <v>2026</v>
      </c>
      <c r="B3680" s="2">
        <v>4</v>
      </c>
      <c r="D3680" s="2" t="s">
        <v>588</v>
      </c>
      <c r="E3680" s="2" t="s">
        <v>38</v>
      </c>
      <c r="F3680" s="2" t="s">
        <v>39</v>
      </c>
      <c r="G3680" s="2">
        <v>510339298</v>
      </c>
      <c r="H3680" s="2" t="s">
        <v>41</v>
      </c>
      <c r="I3680" s="2" t="s">
        <v>177</v>
      </c>
      <c r="J3680" s="2" t="s">
        <v>589</v>
      </c>
      <c r="L3680" s="2" t="s">
        <v>177</v>
      </c>
      <c r="M3680" s="2" t="s">
        <v>41</v>
      </c>
      <c r="P3680" s="2" t="s">
        <v>43</v>
      </c>
      <c r="Q3680" s="2" t="s">
        <v>54</v>
      </c>
      <c r="R3680" s="2" t="s">
        <v>55</v>
      </c>
      <c r="S3680" s="2">
        <v>10</v>
      </c>
      <c r="T3680" s="2">
        <v>150</v>
      </c>
      <c r="U3680" s="2">
        <v>34.5</v>
      </c>
      <c r="V3680" s="2">
        <v>184.5</v>
      </c>
      <c r="W3680" s="2">
        <f t="shared" si="543"/>
        <v>106</v>
      </c>
      <c r="X3680" s="5">
        <f t="shared" si="538"/>
        <v>0.29333333333333333</v>
      </c>
      <c r="Z3680" s="2" t="s">
        <v>3227</v>
      </c>
      <c r="AA3680" s="2" t="s">
        <v>46</v>
      </c>
      <c r="AB3680" s="2" t="s">
        <v>56</v>
      </c>
      <c r="AC3680" s="2" t="s">
        <v>57</v>
      </c>
      <c r="AF3680" s="2">
        <f t="shared" si="534"/>
        <v>0</v>
      </c>
      <c r="AG3680" s="2">
        <v>10.6</v>
      </c>
      <c r="AH3680" s="2">
        <v>18</v>
      </c>
      <c r="AJ3680" s="2">
        <f t="shared" si="535"/>
        <v>0</v>
      </c>
      <c r="AK3680" s="2">
        <f t="shared" si="539"/>
        <v>44</v>
      </c>
      <c r="AL3680" s="5">
        <f t="shared" si="540"/>
        <v>0.29333333333333333</v>
      </c>
    </row>
    <row r="3681" spans="1:38" x14ac:dyDescent="0.2">
      <c r="A3681" s="2">
        <v>2026</v>
      </c>
      <c r="B3681" s="2">
        <v>4</v>
      </c>
      <c r="D3681" s="2" t="s">
        <v>1312</v>
      </c>
      <c r="E3681" s="2" t="s">
        <v>38</v>
      </c>
      <c r="F3681" s="2" t="s">
        <v>39</v>
      </c>
      <c r="G3681" s="2">
        <v>509512739</v>
      </c>
      <c r="H3681" s="2" t="s">
        <v>41</v>
      </c>
      <c r="I3681" s="2" t="s">
        <v>177</v>
      </c>
      <c r="J3681" s="2" t="s">
        <v>1313</v>
      </c>
      <c r="L3681" s="2" t="s">
        <v>177</v>
      </c>
      <c r="M3681" s="2" t="s">
        <v>41</v>
      </c>
      <c r="O3681" s="2" t="s">
        <v>2855</v>
      </c>
      <c r="P3681" s="2" t="s">
        <v>43</v>
      </c>
      <c r="Q3681" s="2" t="s">
        <v>54</v>
      </c>
      <c r="R3681" s="2" t="s">
        <v>55</v>
      </c>
      <c r="S3681" s="2">
        <v>1</v>
      </c>
      <c r="T3681" s="2">
        <v>18</v>
      </c>
      <c r="U3681" s="2">
        <v>4.1400000000000006</v>
      </c>
      <c r="V3681" s="2">
        <v>22.14</v>
      </c>
      <c r="W3681" s="2">
        <f t="shared" si="543"/>
        <v>10.6</v>
      </c>
      <c r="X3681" s="5">
        <f t="shared" si="538"/>
        <v>0.41111111111111115</v>
      </c>
      <c r="Z3681" s="2" t="s">
        <v>3227</v>
      </c>
      <c r="AA3681" s="2" t="s">
        <v>46</v>
      </c>
      <c r="AB3681" s="2" t="s">
        <v>56</v>
      </c>
      <c r="AC3681" s="2" t="s">
        <v>57</v>
      </c>
      <c r="AF3681" s="2">
        <f t="shared" si="534"/>
        <v>0</v>
      </c>
      <c r="AG3681" s="2">
        <v>10.6</v>
      </c>
      <c r="AH3681" s="2">
        <v>18</v>
      </c>
      <c r="AJ3681" s="2">
        <f t="shared" si="535"/>
        <v>0</v>
      </c>
      <c r="AK3681" s="2">
        <f t="shared" si="539"/>
        <v>7.4</v>
      </c>
      <c r="AL3681" s="5">
        <f t="shared" si="540"/>
        <v>0.41111111111111115</v>
      </c>
    </row>
    <row r="3682" spans="1:38" x14ac:dyDescent="0.2">
      <c r="A3682" s="2">
        <v>2026</v>
      </c>
      <c r="B3682" s="2">
        <v>4</v>
      </c>
      <c r="D3682" s="2" t="s">
        <v>898</v>
      </c>
      <c r="E3682" s="2" t="s">
        <v>108</v>
      </c>
      <c r="F3682" s="2" t="s">
        <v>39</v>
      </c>
      <c r="H3682" s="2" t="s">
        <v>40</v>
      </c>
      <c r="I3682" s="2" t="s">
        <v>156</v>
      </c>
      <c r="J3682" s="2" t="s">
        <v>899</v>
      </c>
      <c r="K3682" s="2">
        <v>912047019</v>
      </c>
      <c r="L3682" s="2" t="s">
        <v>99</v>
      </c>
      <c r="M3682" s="2" t="s">
        <v>40</v>
      </c>
      <c r="O3682" s="2" t="s">
        <v>2856</v>
      </c>
      <c r="P3682" s="2" t="s">
        <v>43</v>
      </c>
      <c r="Q3682" s="2" t="s">
        <v>2857</v>
      </c>
      <c r="R3682" s="2" t="s">
        <v>2858</v>
      </c>
      <c r="S3682" s="2">
        <v>4</v>
      </c>
      <c r="T3682" s="2">
        <v>9.6</v>
      </c>
      <c r="U3682" s="2">
        <v>2.2080000000000002</v>
      </c>
      <c r="V3682" s="2">
        <v>11.808</v>
      </c>
      <c r="W3682" s="2">
        <f>1.41*S3682</f>
        <v>5.64</v>
      </c>
      <c r="X3682" s="5">
        <f t="shared" si="538"/>
        <v>0.41250000000000003</v>
      </c>
      <c r="Z3682" s="2" t="s">
        <v>3227</v>
      </c>
      <c r="AA3682" s="2" t="s">
        <v>46</v>
      </c>
      <c r="AB3682" s="2" t="s">
        <v>90</v>
      </c>
      <c r="AC3682" s="2" t="s">
        <v>57</v>
      </c>
      <c r="AF3682" s="2">
        <f t="shared" si="534"/>
        <v>0</v>
      </c>
      <c r="AJ3682" s="2">
        <f t="shared" si="535"/>
        <v>0</v>
      </c>
      <c r="AK3682" s="2">
        <f t="shared" si="539"/>
        <v>3.96</v>
      </c>
      <c r="AL3682" s="5">
        <f t="shared" si="540"/>
        <v>0.41250000000000003</v>
      </c>
    </row>
    <row r="3683" spans="1:38" x14ac:dyDescent="0.2">
      <c r="A3683" s="2">
        <v>2026</v>
      </c>
      <c r="B3683" s="2">
        <v>4</v>
      </c>
      <c r="D3683" s="2" t="s">
        <v>898</v>
      </c>
      <c r="E3683" s="2" t="s">
        <v>108</v>
      </c>
      <c r="F3683" s="2" t="s">
        <v>39</v>
      </c>
      <c r="H3683" s="2" t="s">
        <v>40</v>
      </c>
      <c r="I3683" s="2" t="s">
        <v>156</v>
      </c>
      <c r="J3683" s="2" t="s">
        <v>899</v>
      </c>
      <c r="K3683" s="2">
        <v>912047019</v>
      </c>
      <c r="L3683" s="2" t="s">
        <v>99</v>
      </c>
      <c r="M3683" s="2" t="s">
        <v>40</v>
      </c>
      <c r="O3683" s="2" t="s">
        <v>2859</v>
      </c>
      <c r="P3683" s="2" t="s">
        <v>43</v>
      </c>
      <c r="Q3683" s="2" t="s">
        <v>250</v>
      </c>
      <c r="R3683" s="2" t="s">
        <v>251</v>
      </c>
      <c r="S3683" s="2">
        <v>2</v>
      </c>
      <c r="T3683" s="2">
        <v>100</v>
      </c>
      <c r="U3683" s="2">
        <v>23</v>
      </c>
      <c r="V3683" s="2">
        <v>123</v>
      </c>
      <c r="W3683" s="2">
        <f>25.0958*S3683</f>
        <v>50.191600000000001</v>
      </c>
      <c r="X3683" s="5">
        <f t="shared" si="538"/>
        <v>0.49808399999999997</v>
      </c>
      <c r="Z3683" s="2" t="s">
        <v>3227</v>
      </c>
      <c r="AA3683" s="2" t="s">
        <v>46</v>
      </c>
      <c r="AB3683" s="2" t="s">
        <v>90</v>
      </c>
      <c r="AC3683" s="2" t="s">
        <v>57</v>
      </c>
      <c r="AF3683" s="2">
        <f t="shared" si="534"/>
        <v>0</v>
      </c>
      <c r="AJ3683" s="2">
        <f t="shared" si="535"/>
        <v>0</v>
      </c>
      <c r="AK3683" s="2">
        <f t="shared" si="539"/>
        <v>49.808399999999999</v>
      </c>
      <c r="AL3683" s="5">
        <f t="shared" si="540"/>
        <v>0.49808399999999997</v>
      </c>
    </row>
    <row r="3684" spans="1:38" x14ac:dyDescent="0.2">
      <c r="A3684" s="2">
        <v>2026</v>
      </c>
      <c r="B3684" s="2">
        <v>4</v>
      </c>
      <c r="D3684" s="2" t="s">
        <v>980</v>
      </c>
      <c r="E3684" s="2" t="s">
        <v>38</v>
      </c>
      <c r="F3684" s="2" t="s">
        <v>39</v>
      </c>
      <c r="L3684" s="2" t="s">
        <v>418</v>
      </c>
      <c r="M3684" s="2" t="s">
        <v>41</v>
      </c>
      <c r="O3684" s="2" t="s">
        <v>2860</v>
      </c>
      <c r="P3684" s="2" t="s">
        <v>43</v>
      </c>
      <c r="Q3684" s="2" t="s">
        <v>58</v>
      </c>
      <c r="R3684" s="2" t="s">
        <v>59</v>
      </c>
      <c r="S3684" s="2">
        <v>100</v>
      </c>
      <c r="T3684" s="2">
        <v>13</v>
      </c>
      <c r="U3684" s="2">
        <v>2.99</v>
      </c>
      <c r="V3684" s="2">
        <v>15.99</v>
      </c>
      <c r="W3684" s="2">
        <f>0.0914*S3684</f>
        <v>9.1399999999999988</v>
      </c>
      <c r="X3684" s="5">
        <f t="shared" si="538"/>
        <v>0.29692307692307701</v>
      </c>
      <c r="Z3684" s="2" t="s">
        <v>3227</v>
      </c>
      <c r="AA3684" s="2" t="s">
        <v>46</v>
      </c>
      <c r="AB3684" s="2" t="s">
        <v>60</v>
      </c>
      <c r="AC3684" s="2" t="s">
        <v>57</v>
      </c>
      <c r="AF3684" s="2">
        <f t="shared" si="534"/>
        <v>0</v>
      </c>
      <c r="AG3684" s="2">
        <v>9.14</v>
      </c>
      <c r="AH3684" s="2">
        <v>16</v>
      </c>
      <c r="AJ3684" s="2">
        <f t="shared" si="535"/>
        <v>0</v>
      </c>
      <c r="AK3684" s="2">
        <f t="shared" si="539"/>
        <v>3.8600000000000012</v>
      </c>
      <c r="AL3684" s="5">
        <f t="shared" si="540"/>
        <v>0.29692307692307701</v>
      </c>
    </row>
    <row r="3685" spans="1:38" x14ac:dyDescent="0.2">
      <c r="A3685" s="2">
        <v>2026</v>
      </c>
      <c r="B3685" s="2">
        <v>4</v>
      </c>
      <c r="D3685" s="2" t="s">
        <v>458</v>
      </c>
      <c r="E3685" s="2" t="s">
        <v>108</v>
      </c>
      <c r="F3685" s="2" t="s">
        <v>477</v>
      </c>
      <c r="G3685" s="2">
        <v>507016173</v>
      </c>
      <c r="H3685" s="2" t="s">
        <v>109</v>
      </c>
      <c r="I3685" s="2" t="s">
        <v>459</v>
      </c>
      <c r="J3685" s="2" t="s">
        <v>460</v>
      </c>
      <c r="L3685" s="2" t="s">
        <v>461</v>
      </c>
      <c r="M3685" s="2" t="s">
        <v>41</v>
      </c>
      <c r="O3685" s="2" t="s">
        <v>2861</v>
      </c>
      <c r="P3685" s="2" t="s">
        <v>43</v>
      </c>
      <c r="Q3685" s="2" t="s">
        <v>58</v>
      </c>
      <c r="R3685" s="2" t="s">
        <v>59</v>
      </c>
      <c r="S3685" s="2">
        <v>200</v>
      </c>
      <c r="T3685" s="2">
        <v>26</v>
      </c>
      <c r="U3685" s="2">
        <v>5.98</v>
      </c>
      <c r="V3685" s="2">
        <v>31.98</v>
      </c>
      <c r="W3685" s="2">
        <f>0.0914*S3685</f>
        <v>18.279999999999998</v>
      </c>
      <c r="X3685" s="5">
        <f t="shared" si="538"/>
        <v>0.29692307692307701</v>
      </c>
      <c r="Z3685" s="2" t="s">
        <v>3227</v>
      </c>
      <c r="AA3685" s="2" t="s">
        <v>46</v>
      </c>
      <c r="AB3685" s="2" t="s">
        <v>60</v>
      </c>
      <c r="AC3685" s="2" t="s">
        <v>57</v>
      </c>
      <c r="AF3685" s="2">
        <f t="shared" si="534"/>
        <v>0</v>
      </c>
      <c r="AG3685" s="2">
        <v>9.14</v>
      </c>
      <c r="AH3685" s="2">
        <v>16</v>
      </c>
      <c r="AJ3685" s="2">
        <f t="shared" si="535"/>
        <v>0</v>
      </c>
      <c r="AK3685" s="2">
        <f t="shared" si="539"/>
        <v>7.7200000000000024</v>
      </c>
      <c r="AL3685" s="5">
        <f t="shared" si="540"/>
        <v>0.29692307692307701</v>
      </c>
    </row>
    <row r="3686" spans="1:38" x14ac:dyDescent="0.2">
      <c r="A3686" s="2">
        <v>2026</v>
      </c>
      <c r="B3686" s="2">
        <v>4</v>
      </c>
      <c r="D3686" s="2" t="s">
        <v>37</v>
      </c>
      <c r="E3686" s="2" t="s">
        <v>38</v>
      </c>
      <c r="F3686" s="2" t="s">
        <v>39</v>
      </c>
      <c r="H3686" s="2" t="s">
        <v>40</v>
      </c>
      <c r="P3686" s="2" t="s">
        <v>43</v>
      </c>
      <c r="Q3686" s="2" t="s">
        <v>61</v>
      </c>
      <c r="R3686" s="2" t="s">
        <v>62</v>
      </c>
      <c r="S3686" s="2">
        <v>1000</v>
      </c>
      <c r="T3686" s="2">
        <v>110</v>
      </c>
      <c r="U3686" s="2">
        <v>25.3</v>
      </c>
      <c r="V3686" s="2">
        <v>135.30000000000001</v>
      </c>
      <c r="W3686" s="2">
        <f t="shared" ref="W3686:W3692" si="544">0.082*S3686</f>
        <v>82</v>
      </c>
      <c r="X3686" s="5">
        <f t="shared" si="538"/>
        <v>0.25454545454545452</v>
      </c>
      <c r="Z3686" s="2" t="s">
        <v>3227</v>
      </c>
      <c r="AA3686" s="2" t="s">
        <v>46</v>
      </c>
      <c r="AB3686" s="2" t="s">
        <v>60</v>
      </c>
      <c r="AC3686" s="2" t="s">
        <v>57</v>
      </c>
      <c r="AF3686" s="2">
        <f t="shared" si="534"/>
        <v>0</v>
      </c>
      <c r="AG3686" s="2">
        <v>8.1999999999999993</v>
      </c>
      <c r="AH3686" s="2">
        <v>13</v>
      </c>
      <c r="AJ3686" s="2">
        <f t="shared" si="535"/>
        <v>0</v>
      </c>
      <c r="AK3686" s="2">
        <f t="shared" si="539"/>
        <v>28</v>
      </c>
      <c r="AL3686" s="5">
        <f t="shared" si="540"/>
        <v>0.25454545454545452</v>
      </c>
    </row>
    <row r="3687" spans="1:38" x14ac:dyDescent="0.2">
      <c r="A3687" s="2">
        <v>2026</v>
      </c>
      <c r="B3687" s="2">
        <v>4</v>
      </c>
      <c r="D3687" s="2" t="s">
        <v>297</v>
      </c>
      <c r="E3687" s="2" t="s">
        <v>38</v>
      </c>
      <c r="F3687" s="2" t="s">
        <v>39</v>
      </c>
      <c r="G3687" s="2">
        <v>510939570</v>
      </c>
      <c r="H3687" s="2" t="s">
        <v>41</v>
      </c>
      <c r="I3687" s="2" t="s">
        <v>298</v>
      </c>
      <c r="J3687" s="2" t="s">
        <v>299</v>
      </c>
      <c r="K3687" s="2">
        <v>962678129</v>
      </c>
      <c r="L3687" s="2" t="s">
        <v>177</v>
      </c>
      <c r="M3687" s="2" t="s">
        <v>41</v>
      </c>
      <c r="O3687" s="2" t="s">
        <v>2862</v>
      </c>
      <c r="P3687" s="2" t="s">
        <v>43</v>
      </c>
      <c r="Q3687" s="2" t="s">
        <v>61</v>
      </c>
      <c r="R3687" s="2" t="s">
        <v>62</v>
      </c>
      <c r="S3687" s="2">
        <v>1000</v>
      </c>
      <c r="T3687" s="2">
        <v>110</v>
      </c>
      <c r="U3687" s="2">
        <v>25.3</v>
      </c>
      <c r="V3687" s="2">
        <v>135.30000000000001</v>
      </c>
      <c r="W3687" s="2">
        <f t="shared" si="544"/>
        <v>82</v>
      </c>
      <c r="X3687" s="5">
        <f t="shared" si="538"/>
        <v>0.25454545454545452</v>
      </c>
      <c r="Z3687" s="2" t="s">
        <v>3227</v>
      </c>
      <c r="AA3687" s="2" t="s">
        <v>46</v>
      </c>
      <c r="AB3687" s="2" t="s">
        <v>60</v>
      </c>
      <c r="AC3687" s="2" t="s">
        <v>57</v>
      </c>
      <c r="AF3687" s="2">
        <f t="shared" si="534"/>
        <v>0</v>
      </c>
      <c r="AG3687" s="2">
        <v>8.1999999999999993</v>
      </c>
      <c r="AH3687" s="2">
        <v>13</v>
      </c>
      <c r="AJ3687" s="2">
        <f t="shared" si="535"/>
        <v>0</v>
      </c>
      <c r="AK3687" s="2">
        <f t="shared" si="539"/>
        <v>28</v>
      </c>
      <c r="AL3687" s="5">
        <f t="shared" si="540"/>
        <v>0.25454545454545452</v>
      </c>
    </row>
    <row r="3688" spans="1:38" x14ac:dyDescent="0.2">
      <c r="A3688" s="2">
        <v>2026</v>
      </c>
      <c r="B3688" s="2">
        <v>4</v>
      </c>
      <c r="C3688" s="2" t="s">
        <v>3444</v>
      </c>
      <c r="D3688" s="2" t="s">
        <v>1887</v>
      </c>
      <c r="E3688" s="2" t="s">
        <v>38</v>
      </c>
      <c r="F3688" s="2" t="s">
        <v>39</v>
      </c>
      <c r="L3688" s="2" t="s">
        <v>461</v>
      </c>
      <c r="M3688" s="2" t="s">
        <v>80</v>
      </c>
      <c r="P3688" s="2" t="s">
        <v>43</v>
      </c>
      <c r="Q3688" s="2" t="s">
        <v>61</v>
      </c>
      <c r="R3688" s="2" t="s">
        <v>62</v>
      </c>
      <c r="S3688" s="2">
        <v>500</v>
      </c>
      <c r="T3688" s="2">
        <v>65</v>
      </c>
      <c r="U3688" s="2">
        <v>14.95</v>
      </c>
      <c r="V3688" s="2">
        <v>79.95</v>
      </c>
      <c r="W3688" s="2">
        <f t="shared" si="544"/>
        <v>41</v>
      </c>
      <c r="X3688" s="5">
        <f t="shared" si="538"/>
        <v>0.36923076923076925</v>
      </c>
      <c r="Z3688" s="2" t="s">
        <v>3227</v>
      </c>
      <c r="AA3688" s="2" t="s">
        <v>46</v>
      </c>
      <c r="AB3688" s="2" t="s">
        <v>60</v>
      </c>
      <c r="AC3688" s="2" t="s">
        <v>57</v>
      </c>
      <c r="AF3688" s="2">
        <f t="shared" si="534"/>
        <v>0</v>
      </c>
      <c r="AG3688" s="2">
        <v>8.1999999999999993</v>
      </c>
      <c r="AH3688" s="2">
        <v>13</v>
      </c>
      <c r="AJ3688" s="2">
        <f t="shared" si="535"/>
        <v>0</v>
      </c>
      <c r="AK3688" s="2">
        <f t="shared" si="539"/>
        <v>24</v>
      </c>
      <c r="AL3688" s="5">
        <f t="shared" si="540"/>
        <v>0.36923076923076925</v>
      </c>
    </row>
    <row r="3689" spans="1:38" x14ac:dyDescent="0.2">
      <c r="A3689" s="2">
        <v>2026</v>
      </c>
      <c r="B3689" s="2">
        <v>4</v>
      </c>
      <c r="D3689" s="2" t="s">
        <v>415</v>
      </c>
      <c r="E3689" s="2" t="s">
        <v>38</v>
      </c>
      <c r="F3689" s="2" t="s">
        <v>39</v>
      </c>
      <c r="G3689" s="2">
        <v>219908800</v>
      </c>
      <c r="H3689" s="2" t="s">
        <v>41</v>
      </c>
      <c r="I3689" s="2" t="s">
        <v>416</v>
      </c>
      <c r="J3689" s="2" t="s">
        <v>417</v>
      </c>
      <c r="L3689" s="2" t="s">
        <v>418</v>
      </c>
      <c r="M3689" s="2" t="s">
        <v>41</v>
      </c>
      <c r="P3689" s="2" t="s">
        <v>43</v>
      </c>
      <c r="Q3689" s="2" t="s">
        <v>61</v>
      </c>
      <c r="R3689" s="2" t="s">
        <v>62</v>
      </c>
      <c r="S3689" s="2">
        <v>400</v>
      </c>
      <c r="T3689" s="2">
        <v>52</v>
      </c>
      <c r="U3689" s="2">
        <v>11.96</v>
      </c>
      <c r="V3689" s="2">
        <v>63.96</v>
      </c>
      <c r="W3689" s="2">
        <f t="shared" si="544"/>
        <v>32.800000000000004</v>
      </c>
      <c r="X3689" s="5">
        <f t="shared" si="538"/>
        <v>0.36923076923076914</v>
      </c>
      <c r="Z3689" s="2" t="s">
        <v>3227</v>
      </c>
      <c r="AA3689" s="2" t="s">
        <v>46</v>
      </c>
      <c r="AB3689" s="2" t="s">
        <v>60</v>
      </c>
      <c r="AC3689" s="2" t="s">
        <v>57</v>
      </c>
      <c r="AF3689" s="2">
        <f t="shared" si="534"/>
        <v>0</v>
      </c>
      <c r="AG3689" s="2">
        <v>8.1999999999999993</v>
      </c>
      <c r="AH3689" s="2">
        <v>13</v>
      </c>
      <c r="AJ3689" s="2">
        <f t="shared" si="535"/>
        <v>0</v>
      </c>
      <c r="AK3689" s="2">
        <f t="shared" si="539"/>
        <v>19.199999999999996</v>
      </c>
      <c r="AL3689" s="5">
        <f t="shared" si="540"/>
        <v>0.36923076923076914</v>
      </c>
    </row>
    <row r="3690" spans="1:38" x14ac:dyDescent="0.2">
      <c r="A3690" s="2">
        <v>2026</v>
      </c>
      <c r="B3690" s="2">
        <v>4</v>
      </c>
      <c r="D3690" s="2" t="s">
        <v>458</v>
      </c>
      <c r="E3690" s="2" t="s">
        <v>108</v>
      </c>
      <c r="F3690" s="2" t="s">
        <v>477</v>
      </c>
      <c r="G3690" s="2">
        <v>507016173</v>
      </c>
      <c r="H3690" s="2" t="s">
        <v>109</v>
      </c>
      <c r="I3690" s="2" t="s">
        <v>459</v>
      </c>
      <c r="J3690" s="2" t="s">
        <v>460</v>
      </c>
      <c r="L3690" s="2" t="s">
        <v>461</v>
      </c>
      <c r="M3690" s="2" t="s">
        <v>41</v>
      </c>
      <c r="P3690" s="2" t="s">
        <v>43</v>
      </c>
      <c r="Q3690" s="2" t="s">
        <v>61</v>
      </c>
      <c r="R3690" s="2" t="s">
        <v>62</v>
      </c>
      <c r="S3690" s="2">
        <v>1000</v>
      </c>
      <c r="T3690" s="2">
        <v>110</v>
      </c>
      <c r="U3690" s="2">
        <v>25.3</v>
      </c>
      <c r="V3690" s="2">
        <v>135.30000000000001</v>
      </c>
      <c r="W3690" s="2">
        <f t="shared" si="544"/>
        <v>82</v>
      </c>
      <c r="X3690" s="5">
        <f t="shared" si="538"/>
        <v>0.25454545454545452</v>
      </c>
      <c r="Z3690" s="2" t="s">
        <v>3227</v>
      </c>
      <c r="AA3690" s="2" t="s">
        <v>46</v>
      </c>
      <c r="AB3690" s="2" t="s">
        <v>60</v>
      </c>
      <c r="AC3690" s="2" t="s">
        <v>57</v>
      </c>
      <c r="AF3690" s="2">
        <f t="shared" si="534"/>
        <v>0</v>
      </c>
      <c r="AG3690" s="2">
        <v>8.1999999999999993</v>
      </c>
      <c r="AH3690" s="2">
        <v>13</v>
      </c>
      <c r="AJ3690" s="2">
        <f t="shared" si="535"/>
        <v>0</v>
      </c>
      <c r="AK3690" s="2">
        <f t="shared" si="539"/>
        <v>28</v>
      </c>
      <c r="AL3690" s="5">
        <f t="shared" si="540"/>
        <v>0.25454545454545452</v>
      </c>
    </row>
    <row r="3691" spans="1:38" x14ac:dyDescent="0.2">
      <c r="A3691" s="2">
        <v>2026</v>
      </c>
      <c r="B3691" s="2">
        <v>4</v>
      </c>
      <c r="D3691" s="2" t="s">
        <v>606</v>
      </c>
      <c r="E3691" s="2" t="s">
        <v>108</v>
      </c>
      <c r="F3691" s="2" t="s">
        <v>39</v>
      </c>
      <c r="G3691" s="2">
        <v>504822187</v>
      </c>
      <c r="H3691" s="2" t="s">
        <v>109</v>
      </c>
      <c r="I3691" s="2" t="s">
        <v>607</v>
      </c>
      <c r="J3691" s="2" t="s">
        <v>608</v>
      </c>
      <c r="K3691" s="2">
        <v>966216853</v>
      </c>
      <c r="L3691" s="2" t="s">
        <v>461</v>
      </c>
      <c r="P3691" s="2" t="s">
        <v>43</v>
      </c>
      <c r="Q3691" s="2" t="s">
        <v>61</v>
      </c>
      <c r="R3691" s="2" t="s">
        <v>62</v>
      </c>
      <c r="S3691" s="2">
        <v>1000</v>
      </c>
      <c r="T3691" s="2">
        <v>110</v>
      </c>
      <c r="U3691" s="2">
        <v>25.3</v>
      </c>
      <c r="V3691" s="2">
        <v>135.30000000000001</v>
      </c>
      <c r="W3691" s="2">
        <f t="shared" si="544"/>
        <v>82</v>
      </c>
      <c r="X3691" s="5">
        <f t="shared" si="538"/>
        <v>0.25454545454545452</v>
      </c>
      <c r="Z3691" s="2" t="s">
        <v>3227</v>
      </c>
      <c r="AA3691" s="2" t="s">
        <v>46</v>
      </c>
      <c r="AB3691" s="2" t="s">
        <v>60</v>
      </c>
      <c r="AC3691" s="2" t="s">
        <v>57</v>
      </c>
      <c r="AF3691" s="2">
        <f t="shared" si="534"/>
        <v>0</v>
      </c>
      <c r="AG3691" s="2">
        <v>8.1999999999999993</v>
      </c>
      <c r="AH3691" s="2">
        <v>13</v>
      </c>
      <c r="AJ3691" s="2">
        <f t="shared" si="535"/>
        <v>0</v>
      </c>
      <c r="AK3691" s="2">
        <f t="shared" si="539"/>
        <v>28</v>
      </c>
      <c r="AL3691" s="5">
        <f t="shared" si="540"/>
        <v>0.25454545454545452</v>
      </c>
    </row>
    <row r="3692" spans="1:38" x14ac:dyDescent="0.2">
      <c r="A3692" s="2">
        <v>2026</v>
      </c>
      <c r="B3692" s="2">
        <v>4</v>
      </c>
      <c r="D3692" s="2" t="s">
        <v>1312</v>
      </c>
      <c r="E3692" s="2" t="s">
        <v>38</v>
      </c>
      <c r="F3692" s="2" t="s">
        <v>39</v>
      </c>
      <c r="G3692" s="2">
        <v>509512739</v>
      </c>
      <c r="H3692" s="2" t="s">
        <v>41</v>
      </c>
      <c r="I3692" s="2" t="s">
        <v>177</v>
      </c>
      <c r="J3692" s="2" t="s">
        <v>1313</v>
      </c>
      <c r="L3692" s="2" t="s">
        <v>177</v>
      </c>
      <c r="M3692" s="2" t="s">
        <v>41</v>
      </c>
      <c r="O3692" s="2" t="s">
        <v>2855</v>
      </c>
      <c r="P3692" s="2" t="s">
        <v>43</v>
      </c>
      <c r="Q3692" s="2" t="s">
        <v>61</v>
      </c>
      <c r="R3692" s="2" t="s">
        <v>62</v>
      </c>
      <c r="S3692" s="2">
        <v>200</v>
      </c>
      <c r="T3692" s="2">
        <v>26</v>
      </c>
      <c r="U3692" s="2">
        <v>5.98</v>
      </c>
      <c r="V3692" s="2">
        <v>31.98</v>
      </c>
      <c r="W3692" s="2">
        <f t="shared" si="544"/>
        <v>16.400000000000002</v>
      </c>
      <c r="X3692" s="5">
        <f t="shared" si="538"/>
        <v>0.36923076923076914</v>
      </c>
      <c r="Z3692" s="2" t="s">
        <v>3227</v>
      </c>
      <c r="AA3692" s="2" t="s">
        <v>46</v>
      </c>
      <c r="AB3692" s="2" t="s">
        <v>60</v>
      </c>
      <c r="AC3692" s="2" t="s">
        <v>57</v>
      </c>
      <c r="AF3692" s="2">
        <f t="shared" si="534"/>
        <v>0</v>
      </c>
      <c r="AG3692" s="2">
        <v>8.1999999999999993</v>
      </c>
      <c r="AH3692" s="2">
        <v>13</v>
      </c>
      <c r="AJ3692" s="2">
        <f t="shared" si="535"/>
        <v>0</v>
      </c>
      <c r="AK3692" s="2">
        <f t="shared" si="539"/>
        <v>9.5999999999999979</v>
      </c>
      <c r="AL3692" s="5">
        <f t="shared" si="540"/>
        <v>0.36923076923076914</v>
      </c>
    </row>
    <row r="3693" spans="1:38" x14ac:dyDescent="0.2">
      <c r="A3693" s="2">
        <v>2026</v>
      </c>
      <c r="B3693" s="2">
        <v>4</v>
      </c>
      <c r="D3693" s="2" t="s">
        <v>297</v>
      </c>
      <c r="E3693" s="2" t="s">
        <v>38</v>
      </c>
      <c r="F3693" s="2" t="s">
        <v>39</v>
      </c>
      <c r="G3693" s="2">
        <v>510939570</v>
      </c>
      <c r="H3693" s="2" t="s">
        <v>41</v>
      </c>
      <c r="I3693" s="2" t="s">
        <v>298</v>
      </c>
      <c r="J3693" s="2" t="s">
        <v>299</v>
      </c>
      <c r="K3693" s="2">
        <v>962678129</v>
      </c>
      <c r="L3693" s="2" t="s">
        <v>177</v>
      </c>
      <c r="M3693" s="2" t="s">
        <v>41</v>
      </c>
      <c r="O3693" s="2" t="s">
        <v>2849</v>
      </c>
      <c r="P3693" s="2" t="s">
        <v>43</v>
      </c>
      <c r="Q3693" s="2" t="s">
        <v>254</v>
      </c>
      <c r="R3693" s="2" t="s">
        <v>255</v>
      </c>
      <c r="S3693" s="2">
        <v>500</v>
      </c>
      <c r="T3693" s="2">
        <v>70</v>
      </c>
      <c r="U3693" s="2">
        <v>16.100000000000001</v>
      </c>
      <c r="V3693" s="2">
        <v>86.1</v>
      </c>
      <c r="W3693" s="2">
        <f>0.0914*S3693</f>
        <v>45.699999999999996</v>
      </c>
      <c r="X3693" s="5">
        <f t="shared" si="538"/>
        <v>0.3471428571428572</v>
      </c>
      <c r="Z3693" s="2" t="s">
        <v>3227</v>
      </c>
      <c r="AA3693" s="2" t="s">
        <v>46</v>
      </c>
      <c r="AB3693" s="2" t="s">
        <v>60</v>
      </c>
      <c r="AC3693" s="2" t="s">
        <v>57</v>
      </c>
      <c r="AF3693" s="2">
        <f t="shared" si="534"/>
        <v>0</v>
      </c>
      <c r="AJ3693" s="2">
        <f t="shared" si="535"/>
        <v>0</v>
      </c>
      <c r="AK3693" s="2">
        <f t="shared" si="539"/>
        <v>24.300000000000004</v>
      </c>
      <c r="AL3693" s="5">
        <f t="shared" si="540"/>
        <v>0.3471428571428572</v>
      </c>
    </row>
    <row r="3694" spans="1:38" x14ac:dyDescent="0.2">
      <c r="A3694" s="2">
        <v>2026</v>
      </c>
      <c r="B3694" s="2">
        <v>4</v>
      </c>
      <c r="D3694" s="2" t="s">
        <v>1021</v>
      </c>
      <c r="E3694" s="2" t="s">
        <v>38</v>
      </c>
      <c r="F3694" s="2" t="s">
        <v>39</v>
      </c>
      <c r="G3694" s="2">
        <v>504493612</v>
      </c>
      <c r="H3694" s="2" t="s">
        <v>41</v>
      </c>
      <c r="I3694" s="2" t="s">
        <v>1554</v>
      </c>
      <c r="J3694" s="2" t="s">
        <v>2525</v>
      </c>
      <c r="L3694" s="2" t="s">
        <v>177</v>
      </c>
      <c r="P3694" s="2" t="s">
        <v>43</v>
      </c>
      <c r="Q3694" s="2" t="s">
        <v>254</v>
      </c>
      <c r="R3694" s="2" t="s">
        <v>255</v>
      </c>
      <c r="S3694" s="2">
        <v>100</v>
      </c>
      <c r="T3694" s="2">
        <v>14</v>
      </c>
      <c r="U3694" s="2">
        <v>3.22</v>
      </c>
      <c r="V3694" s="2">
        <v>17.22</v>
      </c>
      <c r="W3694" s="2">
        <f>0.0914*S3694</f>
        <v>9.1399999999999988</v>
      </c>
      <c r="X3694" s="5">
        <f t="shared" si="538"/>
        <v>0.34714285714285725</v>
      </c>
      <c r="Z3694" s="2" t="s">
        <v>3227</v>
      </c>
      <c r="AA3694" s="2" t="s">
        <v>46</v>
      </c>
      <c r="AB3694" s="2" t="s">
        <v>60</v>
      </c>
      <c r="AC3694" s="2" t="s">
        <v>57</v>
      </c>
      <c r="AF3694" s="2">
        <f t="shared" si="534"/>
        <v>0</v>
      </c>
      <c r="AJ3694" s="2">
        <f t="shared" si="535"/>
        <v>0</v>
      </c>
      <c r="AK3694" s="2">
        <f t="shared" si="539"/>
        <v>4.8600000000000012</v>
      </c>
      <c r="AL3694" s="5">
        <f t="shared" si="540"/>
        <v>0.34714285714285725</v>
      </c>
    </row>
    <row r="3695" spans="1:38" x14ac:dyDescent="0.2">
      <c r="A3695" s="2">
        <v>2026</v>
      </c>
      <c r="B3695" s="2">
        <v>4</v>
      </c>
      <c r="D3695" s="2" t="s">
        <v>37</v>
      </c>
      <c r="E3695" s="2" t="s">
        <v>38</v>
      </c>
      <c r="F3695" s="2" t="s">
        <v>39</v>
      </c>
      <c r="H3695" s="2" t="s">
        <v>40</v>
      </c>
      <c r="P3695" s="2" t="s">
        <v>43</v>
      </c>
      <c r="Q3695" s="2" t="s">
        <v>256</v>
      </c>
      <c r="R3695" s="2" t="s">
        <v>257</v>
      </c>
      <c r="S3695" s="2">
        <v>6</v>
      </c>
      <c r="T3695" s="2">
        <v>18</v>
      </c>
      <c r="U3695" s="2">
        <v>4.1400000000000006</v>
      </c>
      <c r="V3695" s="2">
        <v>22.14</v>
      </c>
      <c r="W3695" s="2">
        <f>0.98*S3695</f>
        <v>5.88</v>
      </c>
      <c r="X3695" s="5">
        <f t="shared" si="538"/>
        <v>0.67333333333333334</v>
      </c>
      <c r="Z3695" s="2" t="s">
        <v>3227</v>
      </c>
      <c r="AA3695" s="2" t="s">
        <v>46</v>
      </c>
      <c r="AB3695" s="2" t="s">
        <v>90</v>
      </c>
      <c r="AC3695" s="2" t="s">
        <v>57</v>
      </c>
      <c r="AF3695" s="2">
        <f t="shared" si="534"/>
        <v>0</v>
      </c>
      <c r="AJ3695" s="2">
        <f t="shared" si="535"/>
        <v>0</v>
      </c>
      <c r="AK3695" s="2">
        <f t="shared" si="539"/>
        <v>12.120000000000001</v>
      </c>
      <c r="AL3695" s="5">
        <f t="shared" si="540"/>
        <v>0.67333333333333334</v>
      </c>
    </row>
    <row r="3696" spans="1:38" x14ac:dyDescent="0.2">
      <c r="A3696" s="2">
        <v>2026</v>
      </c>
      <c r="B3696" s="2">
        <v>4</v>
      </c>
      <c r="D3696" s="2" t="s">
        <v>297</v>
      </c>
      <c r="E3696" s="2" t="s">
        <v>38</v>
      </c>
      <c r="F3696" s="2" t="s">
        <v>39</v>
      </c>
      <c r="G3696" s="2">
        <v>510939570</v>
      </c>
      <c r="H3696" s="2" t="s">
        <v>41</v>
      </c>
      <c r="I3696" s="2" t="s">
        <v>298</v>
      </c>
      <c r="J3696" s="2" t="s">
        <v>299</v>
      </c>
      <c r="K3696" s="2">
        <v>962678129</v>
      </c>
      <c r="L3696" s="2" t="s">
        <v>177</v>
      </c>
      <c r="M3696" s="2" t="s">
        <v>41</v>
      </c>
      <c r="O3696" s="2" t="s">
        <v>2849</v>
      </c>
      <c r="P3696" s="2" t="s">
        <v>43</v>
      </c>
      <c r="Q3696" s="2" t="s">
        <v>162</v>
      </c>
      <c r="R3696" s="2" t="s">
        <v>163</v>
      </c>
      <c r="S3696" s="2">
        <v>2</v>
      </c>
      <c r="T3696" s="2">
        <v>42</v>
      </c>
      <c r="U3696" s="2">
        <v>9.66</v>
      </c>
      <c r="V3696" s="2">
        <v>51.66</v>
      </c>
      <c r="W3696" s="2">
        <f>8*S3696</f>
        <v>16</v>
      </c>
      <c r="X3696" s="5">
        <f t="shared" si="538"/>
        <v>0.61904761904761907</v>
      </c>
      <c r="Z3696" s="2" t="s">
        <v>3227</v>
      </c>
      <c r="AA3696" s="2" t="s">
        <v>46</v>
      </c>
      <c r="AB3696" s="2" t="s">
        <v>47</v>
      </c>
      <c r="AC3696" s="2" t="s">
        <v>57</v>
      </c>
      <c r="AF3696" s="2">
        <f t="shared" si="534"/>
        <v>0</v>
      </c>
      <c r="AJ3696" s="2">
        <f t="shared" si="535"/>
        <v>0</v>
      </c>
      <c r="AK3696" s="2">
        <f t="shared" si="539"/>
        <v>26</v>
      </c>
      <c r="AL3696" s="5">
        <f t="shared" si="540"/>
        <v>0.61904761904761907</v>
      </c>
    </row>
    <row r="3697" spans="1:38" x14ac:dyDescent="0.2">
      <c r="A3697" s="2">
        <v>2026</v>
      </c>
      <c r="B3697" s="2">
        <v>4</v>
      </c>
      <c r="D3697" s="2" t="s">
        <v>297</v>
      </c>
      <c r="E3697" s="2" t="s">
        <v>38</v>
      </c>
      <c r="F3697" s="2" t="s">
        <v>39</v>
      </c>
      <c r="G3697" s="2">
        <v>510939570</v>
      </c>
      <c r="H3697" s="2" t="s">
        <v>41</v>
      </c>
      <c r="I3697" s="2" t="s">
        <v>298</v>
      </c>
      <c r="J3697" s="2" t="s">
        <v>299</v>
      </c>
      <c r="K3697" s="2">
        <v>962678129</v>
      </c>
      <c r="L3697" s="2" t="s">
        <v>177</v>
      </c>
      <c r="M3697" s="2" t="s">
        <v>41</v>
      </c>
      <c r="O3697" s="2" t="s">
        <v>2849</v>
      </c>
      <c r="P3697" s="2" t="s">
        <v>43</v>
      </c>
      <c r="Q3697" s="2" t="s">
        <v>258</v>
      </c>
      <c r="R3697" s="2" t="s">
        <v>259</v>
      </c>
      <c r="S3697" s="2">
        <v>2</v>
      </c>
      <c r="T3697" s="2">
        <v>48</v>
      </c>
      <c r="U3697" s="2">
        <v>11.04</v>
      </c>
      <c r="V3697" s="2">
        <v>59.04</v>
      </c>
      <c r="W3697" s="2">
        <f>11*S3697</f>
        <v>22</v>
      </c>
      <c r="X3697" s="5">
        <f t="shared" si="538"/>
        <v>0.54166666666666663</v>
      </c>
      <c r="Z3697" s="2" t="s">
        <v>3227</v>
      </c>
      <c r="AA3697" s="2" t="s">
        <v>46</v>
      </c>
      <c r="AB3697" s="2" t="s">
        <v>47</v>
      </c>
      <c r="AC3697" s="2" t="s">
        <v>57</v>
      </c>
      <c r="AF3697" s="2">
        <f t="shared" si="534"/>
        <v>0</v>
      </c>
      <c r="AJ3697" s="2">
        <f t="shared" si="535"/>
        <v>0</v>
      </c>
      <c r="AK3697" s="2">
        <f t="shared" si="539"/>
        <v>26</v>
      </c>
      <c r="AL3697" s="5">
        <f t="shared" si="540"/>
        <v>0.54166666666666663</v>
      </c>
    </row>
    <row r="3698" spans="1:38" x14ac:dyDescent="0.2">
      <c r="A3698" s="2">
        <v>2026</v>
      </c>
      <c r="B3698" s="2">
        <v>4</v>
      </c>
      <c r="D3698" s="2" t="s">
        <v>1021</v>
      </c>
      <c r="E3698" s="2" t="s">
        <v>38</v>
      </c>
      <c r="F3698" s="2" t="s">
        <v>39</v>
      </c>
      <c r="G3698" s="2">
        <v>504493612</v>
      </c>
      <c r="H3698" s="2" t="s">
        <v>41</v>
      </c>
      <c r="I3698" s="2" t="s">
        <v>1554</v>
      </c>
      <c r="J3698" s="2" t="s">
        <v>2525</v>
      </c>
      <c r="L3698" s="2" t="s">
        <v>177</v>
      </c>
      <c r="P3698" s="2" t="s">
        <v>43</v>
      </c>
      <c r="Q3698" s="2" t="s">
        <v>334</v>
      </c>
      <c r="R3698" s="2" t="s">
        <v>335</v>
      </c>
      <c r="S3698" s="2">
        <v>8</v>
      </c>
      <c r="T3698" s="2">
        <v>24</v>
      </c>
      <c r="U3698" s="2">
        <v>5.52</v>
      </c>
      <c r="V3698" s="2">
        <v>29.52</v>
      </c>
      <c r="W3698" s="2">
        <f>1.1122*S3698</f>
        <v>8.8976000000000006</v>
      </c>
      <c r="X3698" s="5">
        <f t="shared" si="538"/>
        <v>0.62926666666666664</v>
      </c>
      <c r="Z3698" s="2" t="s">
        <v>3227</v>
      </c>
      <c r="AA3698" s="2" t="s">
        <v>46</v>
      </c>
      <c r="AB3698" s="2" t="s">
        <v>60</v>
      </c>
      <c r="AC3698" s="2" t="s">
        <v>57</v>
      </c>
      <c r="AF3698" s="2">
        <f t="shared" si="534"/>
        <v>0</v>
      </c>
      <c r="AG3698" s="2">
        <v>1.1122000000000001</v>
      </c>
      <c r="AH3698" s="2">
        <v>3</v>
      </c>
      <c r="AJ3698" s="2">
        <f t="shared" si="535"/>
        <v>0</v>
      </c>
      <c r="AK3698" s="2">
        <f t="shared" si="539"/>
        <v>15.102399999999999</v>
      </c>
      <c r="AL3698" s="5">
        <f t="shared" si="540"/>
        <v>0.62926666666666664</v>
      </c>
    </row>
    <row r="3699" spans="1:38" x14ac:dyDescent="0.2">
      <c r="A3699" s="2">
        <v>2026</v>
      </c>
      <c r="B3699" s="2">
        <v>4</v>
      </c>
      <c r="D3699" s="2" t="s">
        <v>574</v>
      </c>
      <c r="E3699" s="2" t="s">
        <v>38</v>
      </c>
      <c r="F3699" s="2" t="s">
        <v>39</v>
      </c>
      <c r="G3699" s="2">
        <v>504811029</v>
      </c>
      <c r="H3699" s="2" t="s">
        <v>41</v>
      </c>
      <c r="I3699" s="2" t="s">
        <v>177</v>
      </c>
      <c r="J3699" s="2" t="s">
        <v>575</v>
      </c>
      <c r="L3699" s="2" t="s">
        <v>177</v>
      </c>
      <c r="M3699" s="2" t="s">
        <v>41</v>
      </c>
      <c r="P3699" s="2" t="s">
        <v>43</v>
      </c>
      <c r="Q3699" s="2" t="s">
        <v>579</v>
      </c>
      <c r="R3699" s="2" t="s">
        <v>580</v>
      </c>
      <c r="S3699" s="2">
        <v>40</v>
      </c>
      <c r="T3699" s="2">
        <v>120</v>
      </c>
      <c r="U3699" s="2">
        <v>27.6</v>
      </c>
      <c r="V3699" s="2">
        <v>147.6</v>
      </c>
      <c r="W3699" s="2">
        <f>1.4114*S3699</f>
        <v>56.456000000000003</v>
      </c>
      <c r="X3699" s="5">
        <f t="shared" si="538"/>
        <v>0.5295333333333333</v>
      </c>
      <c r="Z3699" s="2" t="s">
        <v>3227</v>
      </c>
      <c r="AA3699" s="2" t="s">
        <v>46</v>
      </c>
      <c r="AB3699" s="2" t="s">
        <v>60</v>
      </c>
      <c r="AC3699" s="2" t="s">
        <v>57</v>
      </c>
      <c r="AF3699" s="2">
        <f t="shared" si="534"/>
        <v>0</v>
      </c>
      <c r="AG3699" s="2">
        <v>1.4114</v>
      </c>
      <c r="AH3699" s="2">
        <v>3</v>
      </c>
      <c r="AJ3699" s="2">
        <f t="shared" si="535"/>
        <v>0</v>
      </c>
      <c r="AK3699" s="2">
        <f t="shared" si="539"/>
        <v>63.543999999999997</v>
      </c>
      <c r="AL3699" s="5">
        <f t="shared" si="540"/>
        <v>0.5295333333333333</v>
      </c>
    </row>
    <row r="3700" spans="1:38" x14ac:dyDescent="0.2">
      <c r="A3700" s="2">
        <v>2026</v>
      </c>
      <c r="B3700" s="2">
        <v>4</v>
      </c>
      <c r="D3700" s="2" t="s">
        <v>2521</v>
      </c>
      <c r="P3700" s="2" t="s">
        <v>43</v>
      </c>
      <c r="Q3700" s="2" t="s">
        <v>2378</v>
      </c>
      <c r="R3700" s="2" t="s">
        <v>2379</v>
      </c>
      <c r="S3700" s="2">
        <v>-1</v>
      </c>
      <c r="T3700" s="2">
        <v>-60</v>
      </c>
      <c r="U3700" s="2">
        <v>-13.8</v>
      </c>
      <c r="V3700" s="2">
        <v>-73.8</v>
      </c>
      <c r="W3700" s="2">
        <v>100</v>
      </c>
      <c r="X3700" s="18"/>
      <c r="Z3700" s="2" t="s">
        <v>3227</v>
      </c>
      <c r="AA3700" s="2" t="s">
        <v>46</v>
      </c>
      <c r="AB3700" s="2" t="s">
        <v>90</v>
      </c>
      <c r="AC3700" s="2" t="s">
        <v>57</v>
      </c>
      <c r="AF3700" s="2">
        <f t="shared" si="534"/>
        <v>0</v>
      </c>
      <c r="AJ3700" s="2">
        <f t="shared" si="535"/>
        <v>0</v>
      </c>
      <c r="AK3700" s="2">
        <f>T3700+(W3700)</f>
        <v>40</v>
      </c>
      <c r="AL3700" s="18"/>
    </row>
    <row r="3701" spans="1:38" x14ac:dyDescent="0.2">
      <c r="A3701" s="2">
        <v>2026</v>
      </c>
      <c r="B3701" s="2">
        <v>4</v>
      </c>
      <c r="D3701" s="2" t="s">
        <v>37</v>
      </c>
      <c r="E3701" s="2" t="s">
        <v>38</v>
      </c>
      <c r="F3701" s="2" t="s">
        <v>39</v>
      </c>
      <c r="H3701" s="2" t="s">
        <v>40</v>
      </c>
      <c r="M3701" s="2" t="s">
        <v>41</v>
      </c>
      <c r="O3701" s="2" t="s">
        <v>2863</v>
      </c>
      <c r="P3701" s="2" t="s">
        <v>43</v>
      </c>
      <c r="Q3701" s="2" t="s">
        <v>2864</v>
      </c>
      <c r="R3701" s="2" t="s">
        <v>2865</v>
      </c>
      <c r="S3701" s="2">
        <v>2</v>
      </c>
      <c r="T3701" s="2">
        <v>45</v>
      </c>
      <c r="U3701" s="2">
        <v>10.35</v>
      </c>
      <c r="V3701" s="2">
        <v>55.35</v>
      </c>
      <c r="W3701" s="2">
        <f>16.6925*2</f>
        <v>33.384999999999998</v>
      </c>
      <c r="X3701" s="5">
        <f t="shared" ref="X3701:X3716" si="545">(T3701-W3701)/T3701</f>
        <v>0.25811111111111118</v>
      </c>
      <c r="Z3701" s="2" t="s">
        <v>3227</v>
      </c>
      <c r="AA3701" s="2" t="s">
        <v>46</v>
      </c>
      <c r="AB3701" s="2" t="s">
        <v>67</v>
      </c>
      <c r="AC3701" s="2" t="s">
        <v>57</v>
      </c>
      <c r="AF3701" s="2">
        <f t="shared" si="534"/>
        <v>0</v>
      </c>
      <c r="AG3701" s="2">
        <v>16.692499999999999</v>
      </c>
      <c r="AH3701" s="2">
        <v>27.6</v>
      </c>
      <c r="AJ3701" s="2">
        <f t="shared" si="535"/>
        <v>0</v>
      </c>
      <c r="AK3701" s="2">
        <f t="shared" ref="AK3701:AK3716" si="546">T3701-W3701</f>
        <v>11.615000000000002</v>
      </c>
      <c r="AL3701" s="5">
        <f t="shared" ref="AL3701:AL3716" si="547">(T3701-W3701)/T3701</f>
        <v>0.25811111111111118</v>
      </c>
    </row>
    <row r="3702" spans="1:38" x14ac:dyDescent="0.2">
      <c r="A3702" s="2">
        <v>2026</v>
      </c>
      <c r="B3702" s="2">
        <v>4</v>
      </c>
      <c r="D3702" s="2" t="s">
        <v>297</v>
      </c>
      <c r="E3702" s="2" t="s">
        <v>38</v>
      </c>
      <c r="F3702" s="2" t="s">
        <v>39</v>
      </c>
      <c r="G3702" s="2">
        <v>510939570</v>
      </c>
      <c r="H3702" s="2" t="s">
        <v>41</v>
      </c>
      <c r="I3702" s="2" t="s">
        <v>298</v>
      </c>
      <c r="J3702" s="2" t="s">
        <v>299</v>
      </c>
      <c r="K3702" s="2">
        <v>962678129</v>
      </c>
      <c r="L3702" s="2" t="s">
        <v>177</v>
      </c>
      <c r="M3702" s="2" t="s">
        <v>41</v>
      </c>
      <c r="O3702" s="2" t="s">
        <v>2849</v>
      </c>
      <c r="P3702" s="2" t="s">
        <v>43</v>
      </c>
      <c r="Q3702" s="2" t="s">
        <v>2864</v>
      </c>
      <c r="R3702" s="2" t="s">
        <v>2865</v>
      </c>
      <c r="S3702" s="2">
        <v>1</v>
      </c>
      <c r="T3702" s="2">
        <v>23</v>
      </c>
      <c r="U3702" s="2">
        <v>5.29</v>
      </c>
      <c r="V3702" s="2">
        <v>28.29</v>
      </c>
      <c r="W3702" s="2">
        <v>16.692499999999999</v>
      </c>
      <c r="X3702" s="5">
        <f t="shared" si="545"/>
        <v>0.27423913043478265</v>
      </c>
      <c r="Z3702" s="2" t="s">
        <v>3227</v>
      </c>
      <c r="AA3702" s="2" t="s">
        <v>46</v>
      </c>
      <c r="AB3702" s="2" t="s">
        <v>67</v>
      </c>
      <c r="AC3702" s="2" t="s">
        <v>57</v>
      </c>
      <c r="AF3702" s="2">
        <f t="shared" si="534"/>
        <v>0</v>
      </c>
      <c r="AG3702" s="2">
        <v>16.692499999999999</v>
      </c>
      <c r="AH3702" s="2">
        <v>27.6</v>
      </c>
      <c r="AJ3702" s="2">
        <f t="shared" si="535"/>
        <v>0</v>
      </c>
      <c r="AK3702" s="2">
        <f t="shared" si="546"/>
        <v>6.307500000000001</v>
      </c>
      <c r="AL3702" s="5">
        <f t="shared" si="547"/>
        <v>0.27423913043478265</v>
      </c>
    </row>
    <row r="3703" spans="1:38" x14ac:dyDescent="0.2">
      <c r="A3703" s="2">
        <v>2026</v>
      </c>
      <c r="B3703" s="2">
        <v>4</v>
      </c>
      <c r="D3703" s="2" t="s">
        <v>319</v>
      </c>
      <c r="E3703" s="2" t="s">
        <v>38</v>
      </c>
      <c r="F3703" s="2" t="s">
        <v>39</v>
      </c>
      <c r="G3703" s="2">
        <v>500883262</v>
      </c>
      <c r="H3703" s="2" t="s">
        <v>40</v>
      </c>
      <c r="I3703" s="2" t="s">
        <v>99</v>
      </c>
      <c r="J3703" s="2" t="s">
        <v>320</v>
      </c>
      <c r="L3703" s="2" t="s">
        <v>99</v>
      </c>
      <c r="M3703" s="2" t="s">
        <v>80</v>
      </c>
      <c r="O3703" s="2" t="s">
        <v>2866</v>
      </c>
      <c r="P3703" s="2" t="s">
        <v>43</v>
      </c>
      <c r="Q3703" s="2" t="s">
        <v>969</v>
      </c>
      <c r="R3703" s="2" t="s">
        <v>970</v>
      </c>
      <c r="S3703" s="2">
        <v>24</v>
      </c>
      <c r="T3703" s="2">
        <v>552</v>
      </c>
      <c r="U3703" s="2">
        <v>126.96</v>
      </c>
      <c r="V3703" s="2">
        <v>678.96</v>
      </c>
      <c r="W3703" s="2">
        <f>18.3719*S3703</f>
        <v>440.92560000000003</v>
      </c>
      <c r="X3703" s="5">
        <f t="shared" si="545"/>
        <v>0.20122173913043473</v>
      </c>
      <c r="Z3703" s="2" t="s">
        <v>3227</v>
      </c>
      <c r="AA3703" s="2" t="s">
        <v>46</v>
      </c>
      <c r="AB3703" s="2" t="s">
        <v>60</v>
      </c>
      <c r="AC3703" s="2" t="s">
        <v>57</v>
      </c>
      <c r="AF3703" s="2">
        <f t="shared" si="534"/>
        <v>0</v>
      </c>
      <c r="AJ3703" s="2">
        <f t="shared" si="535"/>
        <v>0</v>
      </c>
      <c r="AK3703" s="2">
        <f t="shared" si="546"/>
        <v>111.07439999999997</v>
      </c>
      <c r="AL3703" s="5">
        <f t="shared" si="547"/>
        <v>0.20122173913043473</v>
      </c>
    </row>
    <row r="3704" spans="1:38" x14ac:dyDescent="0.2">
      <c r="A3704" s="2">
        <v>2026</v>
      </c>
      <c r="B3704" s="2">
        <v>4</v>
      </c>
      <c r="D3704" s="2" t="s">
        <v>319</v>
      </c>
      <c r="E3704" s="2" t="s">
        <v>38</v>
      </c>
      <c r="F3704" s="2" t="s">
        <v>39</v>
      </c>
      <c r="G3704" s="2">
        <v>500883262</v>
      </c>
      <c r="H3704" s="2" t="s">
        <v>40</v>
      </c>
      <c r="I3704" s="2" t="s">
        <v>99</v>
      </c>
      <c r="J3704" s="2" t="s">
        <v>320</v>
      </c>
      <c r="L3704" s="2" t="s">
        <v>99</v>
      </c>
      <c r="M3704" s="2" t="s">
        <v>80</v>
      </c>
      <c r="O3704" s="2" t="s">
        <v>2866</v>
      </c>
      <c r="P3704" s="2" t="s">
        <v>43</v>
      </c>
      <c r="Q3704" s="2" t="s">
        <v>971</v>
      </c>
      <c r="R3704" s="2" t="s">
        <v>972</v>
      </c>
      <c r="S3704" s="2">
        <v>24</v>
      </c>
      <c r="T3704" s="2">
        <v>552</v>
      </c>
      <c r="U3704" s="2">
        <v>126.96</v>
      </c>
      <c r="V3704" s="2">
        <v>678.96</v>
      </c>
      <c r="W3704" s="2">
        <f>18.9342*S3704</f>
        <v>454.42079999999999</v>
      </c>
      <c r="X3704" s="5">
        <f t="shared" si="545"/>
        <v>0.17677391304347828</v>
      </c>
      <c r="Z3704" s="2" t="s">
        <v>3227</v>
      </c>
      <c r="AA3704" s="2" t="s">
        <v>46</v>
      </c>
      <c r="AB3704" s="2" t="s">
        <v>60</v>
      </c>
      <c r="AC3704" s="2" t="s">
        <v>57</v>
      </c>
      <c r="AF3704" s="2">
        <f t="shared" si="534"/>
        <v>0</v>
      </c>
      <c r="AJ3704" s="2">
        <f t="shared" si="535"/>
        <v>0</v>
      </c>
      <c r="AK3704" s="2">
        <f t="shared" si="546"/>
        <v>97.579200000000014</v>
      </c>
      <c r="AL3704" s="5">
        <f t="shared" si="547"/>
        <v>0.17677391304347828</v>
      </c>
    </row>
    <row r="3705" spans="1:38" x14ac:dyDescent="0.2">
      <c r="A3705" s="2">
        <v>2026</v>
      </c>
      <c r="B3705" s="2">
        <v>4</v>
      </c>
      <c r="D3705" s="2" t="s">
        <v>581</v>
      </c>
      <c r="E3705" s="2" t="s">
        <v>38</v>
      </c>
      <c r="F3705" s="2" t="s">
        <v>39</v>
      </c>
      <c r="G3705" s="2">
        <v>518281272</v>
      </c>
      <c r="H3705" s="2" t="s">
        <v>41</v>
      </c>
      <c r="I3705" s="2" t="s">
        <v>1101</v>
      </c>
      <c r="J3705" s="2" t="s">
        <v>1102</v>
      </c>
      <c r="L3705" s="2" t="s">
        <v>177</v>
      </c>
      <c r="M3705" s="2" t="s">
        <v>41</v>
      </c>
      <c r="P3705" s="2" t="s">
        <v>43</v>
      </c>
      <c r="Q3705" s="2" t="s">
        <v>503</v>
      </c>
      <c r="R3705" s="2" t="s">
        <v>504</v>
      </c>
      <c r="S3705" s="2">
        <v>16</v>
      </c>
      <c r="T3705" s="2">
        <v>14.4</v>
      </c>
      <c r="U3705" s="2">
        <v>3.3119999999999998</v>
      </c>
      <c r="V3705" s="2">
        <v>17.712</v>
      </c>
      <c r="W3705" s="2">
        <f>0.4795*S3705</f>
        <v>7.6719999999999997</v>
      </c>
      <c r="X3705" s="5">
        <f t="shared" si="545"/>
        <v>0.46722222222222226</v>
      </c>
      <c r="Z3705" s="2" t="s">
        <v>3227</v>
      </c>
      <c r="AA3705" s="2" t="s">
        <v>46</v>
      </c>
      <c r="AB3705" s="2" t="s">
        <v>60</v>
      </c>
      <c r="AC3705" s="2" t="s">
        <v>57</v>
      </c>
      <c r="AF3705" s="2">
        <f t="shared" si="534"/>
        <v>0</v>
      </c>
      <c r="AJ3705" s="2">
        <f t="shared" si="535"/>
        <v>0</v>
      </c>
      <c r="AK3705" s="2">
        <f t="shared" si="546"/>
        <v>6.7280000000000006</v>
      </c>
      <c r="AL3705" s="5">
        <f t="shared" si="547"/>
        <v>0.46722222222222226</v>
      </c>
    </row>
    <row r="3706" spans="1:38" x14ac:dyDescent="0.2">
      <c r="A3706" s="2">
        <v>2026</v>
      </c>
      <c r="B3706" s="2">
        <v>4</v>
      </c>
      <c r="C3706" s="2" t="s">
        <v>3444</v>
      </c>
      <c r="D3706" s="2" t="s">
        <v>1887</v>
      </c>
      <c r="E3706" s="2" t="s">
        <v>38</v>
      </c>
      <c r="F3706" s="2" t="s">
        <v>39</v>
      </c>
      <c r="L3706" s="2" t="s">
        <v>461</v>
      </c>
      <c r="M3706" s="2" t="s">
        <v>80</v>
      </c>
      <c r="P3706" s="2" t="s">
        <v>43</v>
      </c>
      <c r="Q3706" s="2" t="s">
        <v>164</v>
      </c>
      <c r="R3706" s="2" t="s">
        <v>165</v>
      </c>
      <c r="S3706" s="2">
        <v>4</v>
      </c>
      <c r="T3706" s="2">
        <v>60</v>
      </c>
      <c r="U3706" s="2">
        <v>13.8</v>
      </c>
      <c r="V3706" s="2">
        <v>73.8</v>
      </c>
      <c r="W3706" s="2">
        <f>7.9612*S3706</f>
        <v>31.844799999999999</v>
      </c>
      <c r="X3706" s="5">
        <f t="shared" si="545"/>
        <v>0.46925333333333336</v>
      </c>
      <c r="Z3706" s="2" t="s">
        <v>3227</v>
      </c>
      <c r="AA3706" s="2" t="s">
        <v>46</v>
      </c>
      <c r="AB3706" s="2" t="s">
        <v>67</v>
      </c>
      <c r="AC3706" s="2" t="s">
        <v>57</v>
      </c>
      <c r="AF3706" s="2">
        <f t="shared" si="534"/>
        <v>0</v>
      </c>
      <c r="AG3706" s="2">
        <v>7.9611999999999998</v>
      </c>
      <c r="AH3706" s="2">
        <v>14.4</v>
      </c>
      <c r="AJ3706" s="2">
        <f t="shared" si="535"/>
        <v>0</v>
      </c>
      <c r="AK3706" s="2">
        <f t="shared" si="546"/>
        <v>28.155200000000001</v>
      </c>
      <c r="AL3706" s="5">
        <f t="shared" si="547"/>
        <v>0.46925333333333336</v>
      </c>
    </row>
    <row r="3707" spans="1:38" x14ac:dyDescent="0.2">
      <c r="A3707" s="2">
        <v>2026</v>
      </c>
      <c r="B3707" s="2">
        <v>4</v>
      </c>
      <c r="D3707" s="2" t="s">
        <v>37</v>
      </c>
      <c r="E3707" s="2" t="s">
        <v>38</v>
      </c>
      <c r="F3707" s="2" t="s">
        <v>39</v>
      </c>
      <c r="H3707" s="2" t="s">
        <v>40</v>
      </c>
      <c r="P3707" s="2" t="s">
        <v>43</v>
      </c>
      <c r="Q3707" s="2" t="s">
        <v>65</v>
      </c>
      <c r="R3707" s="2" t="s">
        <v>66</v>
      </c>
      <c r="S3707" s="2">
        <v>1</v>
      </c>
      <c r="T3707" s="2">
        <v>27.6</v>
      </c>
      <c r="U3707" s="2">
        <v>6.3480000000000008</v>
      </c>
      <c r="V3707" s="2">
        <v>33.948</v>
      </c>
      <c r="W3707" s="2">
        <f t="shared" ref="W3707:W3712" si="548">15.0203*S3707</f>
        <v>15.020300000000001</v>
      </c>
      <c r="X3707" s="5">
        <f t="shared" si="545"/>
        <v>0.45578623188405798</v>
      </c>
      <c r="Z3707" s="2" t="s">
        <v>3227</v>
      </c>
      <c r="AA3707" s="2" t="s">
        <v>46</v>
      </c>
      <c r="AB3707" s="2" t="s">
        <v>67</v>
      </c>
      <c r="AC3707" s="2" t="s">
        <v>57</v>
      </c>
      <c r="AF3707" s="2">
        <f t="shared" si="534"/>
        <v>0</v>
      </c>
      <c r="AG3707" s="2">
        <v>15.020300000000001</v>
      </c>
      <c r="AH3707" s="2">
        <v>27.6</v>
      </c>
      <c r="AJ3707" s="2">
        <f t="shared" si="535"/>
        <v>0</v>
      </c>
      <c r="AK3707" s="2">
        <f t="shared" si="546"/>
        <v>12.579700000000001</v>
      </c>
      <c r="AL3707" s="5">
        <f t="shared" si="547"/>
        <v>0.45578623188405798</v>
      </c>
    </row>
    <row r="3708" spans="1:38" x14ac:dyDescent="0.2">
      <c r="A3708" s="2">
        <v>2026</v>
      </c>
      <c r="B3708" s="2">
        <v>4</v>
      </c>
      <c r="D3708" s="2" t="s">
        <v>332</v>
      </c>
      <c r="E3708" s="2" t="s">
        <v>108</v>
      </c>
      <c r="F3708" s="2" t="s">
        <v>39</v>
      </c>
      <c r="G3708" s="2">
        <v>513493557</v>
      </c>
      <c r="H3708" s="2" t="s">
        <v>41</v>
      </c>
      <c r="I3708" s="2" t="s">
        <v>279</v>
      </c>
      <c r="J3708" s="2" t="s">
        <v>333</v>
      </c>
      <c r="L3708" s="2" t="s">
        <v>177</v>
      </c>
      <c r="M3708" s="2" t="s">
        <v>41</v>
      </c>
      <c r="P3708" s="2" t="s">
        <v>43</v>
      </c>
      <c r="Q3708" s="2" t="s">
        <v>65</v>
      </c>
      <c r="R3708" s="2" t="s">
        <v>66</v>
      </c>
      <c r="S3708" s="2">
        <v>3</v>
      </c>
      <c r="T3708" s="2">
        <v>72</v>
      </c>
      <c r="U3708" s="2">
        <v>16.559999999999999</v>
      </c>
      <c r="V3708" s="2">
        <v>88.56</v>
      </c>
      <c r="W3708" s="2">
        <f t="shared" si="548"/>
        <v>45.060900000000004</v>
      </c>
      <c r="X3708" s="5">
        <f t="shared" si="545"/>
        <v>0.37415416666666662</v>
      </c>
      <c r="Z3708" s="2" t="s">
        <v>3227</v>
      </c>
      <c r="AA3708" s="2" t="s">
        <v>46</v>
      </c>
      <c r="AB3708" s="2" t="s">
        <v>67</v>
      </c>
      <c r="AC3708" s="2" t="s">
        <v>57</v>
      </c>
      <c r="AF3708" s="2">
        <f t="shared" si="534"/>
        <v>0</v>
      </c>
      <c r="AG3708" s="2">
        <v>15.020300000000001</v>
      </c>
      <c r="AH3708" s="2">
        <v>27.6</v>
      </c>
      <c r="AJ3708" s="2">
        <f t="shared" si="535"/>
        <v>0</v>
      </c>
      <c r="AK3708" s="2">
        <f t="shared" si="546"/>
        <v>26.939099999999996</v>
      </c>
      <c r="AL3708" s="5">
        <f t="shared" si="547"/>
        <v>0.37415416666666662</v>
      </c>
    </row>
    <row r="3709" spans="1:38" x14ac:dyDescent="0.2">
      <c r="A3709" s="2">
        <v>2026</v>
      </c>
      <c r="B3709" s="2">
        <v>4</v>
      </c>
      <c r="D3709" s="2" t="s">
        <v>781</v>
      </c>
      <c r="E3709" s="2" t="s">
        <v>38</v>
      </c>
      <c r="F3709" s="2" t="s">
        <v>39</v>
      </c>
      <c r="G3709" s="2">
        <v>510219675</v>
      </c>
      <c r="H3709" s="2" t="s">
        <v>40</v>
      </c>
      <c r="I3709" s="2" t="s">
        <v>782</v>
      </c>
      <c r="J3709" s="2" t="s">
        <v>783</v>
      </c>
      <c r="K3709" s="2">
        <v>917341136</v>
      </c>
      <c r="L3709" s="2" t="s">
        <v>99</v>
      </c>
      <c r="P3709" s="2" t="s">
        <v>43</v>
      </c>
      <c r="Q3709" s="2" t="s">
        <v>65</v>
      </c>
      <c r="R3709" s="2" t="s">
        <v>66</v>
      </c>
      <c r="S3709" s="2">
        <v>1</v>
      </c>
      <c r="T3709" s="2">
        <v>27.6</v>
      </c>
      <c r="U3709" s="2">
        <v>6.3480000000000008</v>
      </c>
      <c r="V3709" s="2">
        <v>33.948</v>
      </c>
      <c r="W3709" s="2">
        <f t="shared" si="548"/>
        <v>15.020300000000001</v>
      </c>
      <c r="X3709" s="5">
        <f t="shared" si="545"/>
        <v>0.45578623188405798</v>
      </c>
      <c r="Z3709" s="2" t="s">
        <v>3227</v>
      </c>
      <c r="AA3709" s="2" t="s">
        <v>46</v>
      </c>
      <c r="AB3709" s="2" t="s">
        <v>67</v>
      </c>
      <c r="AC3709" s="2" t="s">
        <v>57</v>
      </c>
      <c r="AF3709" s="2">
        <f t="shared" si="534"/>
        <v>0</v>
      </c>
      <c r="AG3709" s="2">
        <v>15.020300000000001</v>
      </c>
      <c r="AH3709" s="2">
        <v>27.6</v>
      </c>
      <c r="AJ3709" s="2">
        <f t="shared" si="535"/>
        <v>0</v>
      </c>
      <c r="AK3709" s="2">
        <f t="shared" si="546"/>
        <v>12.579700000000001</v>
      </c>
      <c r="AL3709" s="5">
        <f t="shared" si="547"/>
        <v>0.45578623188405798</v>
      </c>
    </row>
    <row r="3710" spans="1:38" x14ac:dyDescent="0.2">
      <c r="A3710" s="2">
        <v>2026</v>
      </c>
      <c r="B3710" s="2">
        <v>4</v>
      </c>
      <c r="D3710" s="2" t="s">
        <v>1065</v>
      </c>
      <c r="E3710" s="2" t="s">
        <v>108</v>
      </c>
      <c r="F3710" s="2" t="s">
        <v>39</v>
      </c>
      <c r="L3710" s="2" t="s">
        <v>99</v>
      </c>
      <c r="M3710" s="2" t="s">
        <v>41</v>
      </c>
      <c r="P3710" s="2" t="s">
        <v>43</v>
      </c>
      <c r="Q3710" s="2" t="s">
        <v>65</v>
      </c>
      <c r="R3710" s="2" t="s">
        <v>66</v>
      </c>
      <c r="S3710" s="2">
        <v>10</v>
      </c>
      <c r="T3710" s="2">
        <v>215</v>
      </c>
      <c r="U3710" s="2">
        <v>49.45</v>
      </c>
      <c r="V3710" s="2">
        <v>264.45</v>
      </c>
      <c r="W3710" s="2">
        <f t="shared" si="548"/>
        <v>150.203</v>
      </c>
      <c r="X3710" s="5">
        <f t="shared" si="545"/>
        <v>0.30138139534883718</v>
      </c>
      <c r="Z3710" s="2" t="s">
        <v>3227</v>
      </c>
      <c r="AA3710" s="2" t="s">
        <v>46</v>
      </c>
      <c r="AB3710" s="2" t="s">
        <v>67</v>
      </c>
      <c r="AC3710" s="2" t="s">
        <v>57</v>
      </c>
      <c r="AF3710" s="2">
        <f t="shared" si="534"/>
        <v>0</v>
      </c>
      <c r="AG3710" s="2">
        <v>15.020300000000001</v>
      </c>
      <c r="AH3710" s="2">
        <v>27.6</v>
      </c>
      <c r="AJ3710" s="2">
        <f t="shared" si="535"/>
        <v>0</v>
      </c>
      <c r="AK3710" s="2">
        <f t="shared" si="546"/>
        <v>64.796999999999997</v>
      </c>
      <c r="AL3710" s="5">
        <f t="shared" si="547"/>
        <v>0.30138139534883718</v>
      </c>
    </row>
    <row r="3711" spans="1:38" x14ac:dyDescent="0.2">
      <c r="A3711" s="2">
        <v>2026</v>
      </c>
      <c r="B3711" s="2">
        <v>4</v>
      </c>
      <c r="D3711" s="2" t="s">
        <v>568</v>
      </c>
      <c r="E3711" s="2" t="s">
        <v>38</v>
      </c>
      <c r="F3711" s="2" t="s">
        <v>39</v>
      </c>
      <c r="G3711" s="2">
        <v>506267547</v>
      </c>
      <c r="H3711" s="2" t="s">
        <v>290</v>
      </c>
      <c r="I3711" s="2" t="s">
        <v>569</v>
      </c>
      <c r="J3711" s="2" t="s">
        <v>570</v>
      </c>
      <c r="K3711" s="2">
        <v>917821904</v>
      </c>
      <c r="L3711" s="2" t="s">
        <v>571</v>
      </c>
      <c r="M3711" s="2" t="s">
        <v>290</v>
      </c>
      <c r="O3711" s="2" t="s">
        <v>2867</v>
      </c>
      <c r="P3711" s="2" t="s">
        <v>43</v>
      </c>
      <c r="Q3711" s="2" t="s">
        <v>65</v>
      </c>
      <c r="R3711" s="2" t="s">
        <v>66</v>
      </c>
      <c r="S3711" s="2">
        <v>1</v>
      </c>
      <c r="T3711" s="2">
        <v>27.6</v>
      </c>
      <c r="U3711" s="2">
        <v>6.3480000000000008</v>
      </c>
      <c r="V3711" s="2">
        <v>33.948</v>
      </c>
      <c r="W3711" s="2">
        <f t="shared" si="548"/>
        <v>15.020300000000001</v>
      </c>
      <c r="X3711" s="5">
        <f t="shared" si="545"/>
        <v>0.45578623188405798</v>
      </c>
      <c r="Z3711" s="2" t="s">
        <v>3227</v>
      </c>
      <c r="AA3711" s="2" t="s">
        <v>46</v>
      </c>
      <c r="AB3711" s="2" t="s">
        <v>67</v>
      </c>
      <c r="AC3711" s="2" t="s">
        <v>57</v>
      </c>
      <c r="AF3711" s="2">
        <f t="shared" si="534"/>
        <v>0</v>
      </c>
      <c r="AG3711" s="2">
        <v>15.020300000000001</v>
      </c>
      <c r="AH3711" s="2">
        <v>27.6</v>
      </c>
      <c r="AJ3711" s="2">
        <f t="shared" si="535"/>
        <v>0</v>
      </c>
      <c r="AK3711" s="2">
        <f t="shared" si="546"/>
        <v>12.579700000000001</v>
      </c>
      <c r="AL3711" s="5">
        <f t="shared" si="547"/>
        <v>0.45578623188405798</v>
      </c>
    </row>
    <row r="3712" spans="1:38" x14ac:dyDescent="0.2">
      <c r="A3712" s="2">
        <v>2026</v>
      </c>
      <c r="B3712" s="2">
        <v>4</v>
      </c>
      <c r="D3712" s="2" t="s">
        <v>582</v>
      </c>
      <c r="E3712" s="2" t="s">
        <v>108</v>
      </c>
      <c r="G3712" s="2">
        <v>503850276</v>
      </c>
      <c r="H3712" s="2" t="s">
        <v>40</v>
      </c>
      <c r="I3712" s="2" t="s">
        <v>583</v>
      </c>
      <c r="J3712" s="2" t="s">
        <v>584</v>
      </c>
      <c r="L3712" s="2" t="s">
        <v>201</v>
      </c>
      <c r="M3712" s="2" t="s">
        <v>80</v>
      </c>
      <c r="P3712" s="2" t="s">
        <v>43</v>
      </c>
      <c r="Q3712" s="2" t="s">
        <v>65</v>
      </c>
      <c r="R3712" s="2" t="s">
        <v>66</v>
      </c>
      <c r="S3712" s="2">
        <v>40</v>
      </c>
      <c r="T3712" s="2">
        <v>840</v>
      </c>
      <c r="U3712" s="2">
        <v>193.2</v>
      </c>
      <c r="V3712" s="2">
        <v>1033.2</v>
      </c>
      <c r="W3712" s="2">
        <f t="shared" si="548"/>
        <v>600.81200000000001</v>
      </c>
      <c r="X3712" s="5">
        <f t="shared" si="545"/>
        <v>0.28474761904761903</v>
      </c>
      <c r="Z3712" s="2" t="s">
        <v>3227</v>
      </c>
      <c r="AA3712" s="2" t="s">
        <v>46</v>
      </c>
      <c r="AB3712" s="2" t="s">
        <v>67</v>
      </c>
      <c r="AC3712" s="2" t="s">
        <v>57</v>
      </c>
      <c r="AF3712" s="2">
        <f t="shared" si="534"/>
        <v>0</v>
      </c>
      <c r="AG3712" s="2">
        <v>15.020300000000001</v>
      </c>
      <c r="AH3712" s="2">
        <v>27.6</v>
      </c>
      <c r="AJ3712" s="2">
        <f t="shared" si="535"/>
        <v>0</v>
      </c>
      <c r="AK3712" s="2">
        <f t="shared" si="546"/>
        <v>239.18799999999999</v>
      </c>
      <c r="AL3712" s="5">
        <f t="shared" si="547"/>
        <v>0.28474761904761903</v>
      </c>
    </row>
    <row r="3713" spans="1:38" x14ac:dyDescent="0.2">
      <c r="A3713" s="2">
        <v>2026</v>
      </c>
      <c r="B3713" s="2">
        <v>4</v>
      </c>
      <c r="D3713" s="2" t="s">
        <v>332</v>
      </c>
      <c r="E3713" s="2" t="s">
        <v>108</v>
      </c>
      <c r="F3713" s="2" t="s">
        <v>39</v>
      </c>
      <c r="G3713" s="2">
        <v>513493557</v>
      </c>
      <c r="H3713" s="2" t="s">
        <v>41</v>
      </c>
      <c r="I3713" s="2" t="s">
        <v>279</v>
      </c>
      <c r="J3713" s="2" t="s">
        <v>333</v>
      </c>
      <c r="L3713" s="2" t="s">
        <v>177</v>
      </c>
      <c r="M3713" s="2" t="s">
        <v>41</v>
      </c>
      <c r="P3713" s="2" t="s">
        <v>43</v>
      </c>
      <c r="Q3713" s="2" t="s">
        <v>260</v>
      </c>
      <c r="R3713" s="2" t="s">
        <v>261</v>
      </c>
      <c r="S3713" s="2">
        <v>2</v>
      </c>
      <c r="T3713" s="2">
        <v>28</v>
      </c>
      <c r="U3713" s="2">
        <v>6.44</v>
      </c>
      <c r="V3713" s="2">
        <v>34.44</v>
      </c>
      <c r="W3713" s="2">
        <f>8.3145*S3713</f>
        <v>16.629000000000001</v>
      </c>
      <c r="X3713" s="5">
        <f t="shared" si="545"/>
        <v>0.40610714285714283</v>
      </c>
      <c r="Z3713" s="2" t="s">
        <v>3227</v>
      </c>
      <c r="AA3713" s="2" t="s">
        <v>46</v>
      </c>
      <c r="AB3713" s="2" t="s">
        <v>67</v>
      </c>
      <c r="AC3713" s="2" t="s">
        <v>57</v>
      </c>
      <c r="AF3713" s="2">
        <f t="shared" si="534"/>
        <v>0</v>
      </c>
      <c r="AG3713" s="2">
        <v>8.3145000000000007</v>
      </c>
      <c r="AH3713" s="2">
        <v>15</v>
      </c>
      <c r="AJ3713" s="2">
        <f t="shared" si="535"/>
        <v>0</v>
      </c>
      <c r="AK3713" s="2">
        <f t="shared" si="546"/>
        <v>11.370999999999999</v>
      </c>
      <c r="AL3713" s="5">
        <f t="shared" si="547"/>
        <v>0.40610714285714283</v>
      </c>
    </row>
    <row r="3714" spans="1:38" x14ac:dyDescent="0.2">
      <c r="A3714" s="2">
        <v>2026</v>
      </c>
      <c r="B3714" s="2">
        <v>4</v>
      </c>
      <c r="D3714" s="2" t="s">
        <v>2516</v>
      </c>
      <c r="E3714" s="2" t="s">
        <v>752</v>
      </c>
      <c r="F3714" s="2" t="s">
        <v>39</v>
      </c>
      <c r="G3714" s="2">
        <v>515570354</v>
      </c>
      <c r="H3714" s="2" t="s">
        <v>109</v>
      </c>
      <c r="I3714" s="2" t="s">
        <v>2517</v>
      </c>
      <c r="J3714" s="2" t="s">
        <v>2518</v>
      </c>
      <c r="K3714" s="2">
        <v>967032538</v>
      </c>
      <c r="L3714" s="2" t="s">
        <v>398</v>
      </c>
      <c r="M3714" s="2" t="s">
        <v>109</v>
      </c>
      <c r="P3714" s="2" t="s">
        <v>43</v>
      </c>
      <c r="Q3714" s="2" t="s">
        <v>260</v>
      </c>
      <c r="R3714" s="2" t="s">
        <v>261</v>
      </c>
      <c r="S3714" s="2">
        <v>1</v>
      </c>
      <c r="T3714" s="2">
        <v>15</v>
      </c>
      <c r="U3714" s="2">
        <v>3.45</v>
      </c>
      <c r="V3714" s="2">
        <v>18.45</v>
      </c>
      <c r="W3714" s="2">
        <f>8.3145*S3714</f>
        <v>8.3145000000000007</v>
      </c>
      <c r="X3714" s="5">
        <f t="shared" si="545"/>
        <v>0.44569999999999993</v>
      </c>
      <c r="Z3714" s="2" t="s">
        <v>3227</v>
      </c>
      <c r="AA3714" s="2" t="s">
        <v>46</v>
      </c>
      <c r="AB3714" s="2" t="s">
        <v>67</v>
      </c>
      <c r="AC3714" s="2" t="s">
        <v>57</v>
      </c>
      <c r="AF3714" s="2">
        <f t="shared" ref="AF3714:AF3777" si="549">AJ3714</f>
        <v>0</v>
      </c>
      <c r="AG3714" s="2">
        <v>8.3145000000000007</v>
      </c>
      <c r="AH3714" s="2">
        <v>15</v>
      </c>
      <c r="AJ3714" s="2">
        <f t="shared" ref="AJ3714:AJ3777" si="550">AI3714*T3714</f>
        <v>0</v>
      </c>
      <c r="AK3714" s="2">
        <f t="shared" si="546"/>
        <v>6.6854999999999993</v>
      </c>
      <c r="AL3714" s="5">
        <f t="shared" si="547"/>
        <v>0.44569999999999993</v>
      </c>
    </row>
    <row r="3715" spans="1:38" x14ac:dyDescent="0.2">
      <c r="A3715" s="2">
        <v>2026</v>
      </c>
      <c r="B3715" s="2">
        <v>4</v>
      </c>
      <c r="C3715" s="2" t="s">
        <v>3444</v>
      </c>
      <c r="D3715" s="2" t="s">
        <v>1887</v>
      </c>
      <c r="E3715" s="2" t="s">
        <v>38</v>
      </c>
      <c r="F3715" s="2" t="s">
        <v>39</v>
      </c>
      <c r="L3715" s="2" t="s">
        <v>461</v>
      </c>
      <c r="M3715" s="2" t="s">
        <v>80</v>
      </c>
      <c r="O3715" s="2" t="s">
        <v>2868</v>
      </c>
      <c r="P3715" s="2" t="s">
        <v>43</v>
      </c>
      <c r="Q3715" s="2" t="s">
        <v>2869</v>
      </c>
      <c r="R3715" s="2" t="s">
        <v>2870</v>
      </c>
      <c r="S3715" s="2">
        <v>1</v>
      </c>
      <c r="T3715" s="2">
        <v>60</v>
      </c>
      <c r="U3715" s="2">
        <v>13.8</v>
      </c>
      <c r="V3715" s="2">
        <v>73.8</v>
      </c>
      <c r="W3715" s="2">
        <v>35.78</v>
      </c>
      <c r="X3715" s="5">
        <f t="shared" si="545"/>
        <v>0.40366666666666667</v>
      </c>
      <c r="Z3715" s="2" t="s">
        <v>3227</v>
      </c>
      <c r="AA3715" s="2" t="s">
        <v>46</v>
      </c>
      <c r="AB3715" s="2" t="s">
        <v>90</v>
      </c>
      <c r="AC3715" s="2" t="s">
        <v>57</v>
      </c>
      <c r="AF3715" s="2">
        <f t="shared" si="549"/>
        <v>0</v>
      </c>
      <c r="AG3715" s="2">
        <v>35.78</v>
      </c>
      <c r="AH3715" s="2">
        <v>63.6</v>
      </c>
      <c r="AJ3715" s="2">
        <f t="shared" si="550"/>
        <v>0</v>
      </c>
      <c r="AK3715" s="2">
        <f t="shared" si="546"/>
        <v>24.22</v>
      </c>
      <c r="AL3715" s="5">
        <f t="shared" si="547"/>
        <v>0.40366666666666667</v>
      </c>
    </row>
    <row r="3716" spans="1:38" x14ac:dyDescent="0.2">
      <c r="A3716" s="2">
        <v>2026</v>
      </c>
      <c r="B3716" s="2">
        <v>4</v>
      </c>
      <c r="C3716" s="2" t="s">
        <v>3319</v>
      </c>
      <c r="D3716" s="2" t="s">
        <v>1162</v>
      </c>
      <c r="E3716" s="2" t="s">
        <v>752</v>
      </c>
      <c r="F3716" s="2" t="s">
        <v>1217</v>
      </c>
      <c r="G3716" s="2">
        <v>508199280</v>
      </c>
      <c r="H3716" s="2" t="s">
        <v>40</v>
      </c>
      <c r="I3716" s="2" t="s">
        <v>1163</v>
      </c>
      <c r="L3716" s="2" t="s">
        <v>293</v>
      </c>
      <c r="M3716" s="2" t="s">
        <v>40</v>
      </c>
      <c r="P3716" s="2" t="s">
        <v>3230</v>
      </c>
      <c r="Q3716" s="2" t="s">
        <v>2871</v>
      </c>
      <c r="R3716" s="2" t="s">
        <v>2872</v>
      </c>
      <c r="S3716" s="2">
        <v>1</v>
      </c>
      <c r="T3716" s="2">
        <v>11990</v>
      </c>
      <c r="U3716" s="2">
        <v>2757.7</v>
      </c>
      <c r="V3716" s="2">
        <v>14747.7</v>
      </c>
      <c r="W3716" s="2">
        <v>4916.62</v>
      </c>
      <c r="X3716" s="5">
        <f t="shared" si="545"/>
        <v>0.58993994995829857</v>
      </c>
      <c r="Z3716" s="2" t="s">
        <v>104</v>
      </c>
      <c r="AA3716" s="2" t="s">
        <v>264</v>
      </c>
      <c r="AB3716" s="2" t="s">
        <v>265</v>
      </c>
      <c r="AC3716" s="2" t="s">
        <v>3230</v>
      </c>
      <c r="AF3716" s="2">
        <f t="shared" si="549"/>
        <v>0</v>
      </c>
      <c r="AJ3716" s="2">
        <f t="shared" si="550"/>
        <v>0</v>
      </c>
      <c r="AK3716" s="2">
        <f t="shared" si="546"/>
        <v>7073.38</v>
      </c>
      <c r="AL3716" s="5">
        <f t="shared" si="547"/>
        <v>0.58993994995829857</v>
      </c>
    </row>
    <row r="3717" spans="1:38" x14ac:dyDescent="0.2">
      <c r="A3717" s="2">
        <v>2026</v>
      </c>
      <c r="B3717" s="2">
        <v>4</v>
      </c>
      <c r="D3717" s="2" t="s">
        <v>428</v>
      </c>
      <c r="E3717" s="2" t="s">
        <v>38</v>
      </c>
      <c r="G3717" s="2">
        <v>500820384</v>
      </c>
      <c r="H3717" s="2" t="s">
        <v>40</v>
      </c>
      <c r="I3717" s="2" t="s">
        <v>429</v>
      </c>
      <c r="J3717" s="2" t="s">
        <v>430</v>
      </c>
      <c r="L3717" s="2" t="s">
        <v>99</v>
      </c>
      <c r="M3717" s="2" t="s">
        <v>80</v>
      </c>
      <c r="O3717" s="2" t="s">
        <v>2873</v>
      </c>
      <c r="P3717" s="2" t="s">
        <v>40</v>
      </c>
      <c r="Q3717" s="2" t="s">
        <v>546</v>
      </c>
      <c r="R3717" s="2" t="s">
        <v>547</v>
      </c>
      <c r="S3717" s="2">
        <v>-1</v>
      </c>
      <c r="T3717" s="2">
        <v>-181.39</v>
      </c>
      <c r="U3717" s="2">
        <v>-41.719700000000003</v>
      </c>
      <c r="V3717" s="2">
        <v>-223.1097</v>
      </c>
      <c r="W3717" s="2">
        <v>110</v>
      </c>
      <c r="X3717" s="18">
        <f>SIGN(T3717)*((ABS(T3717)-W3717)/ABS(T3717))</f>
        <v>-0.39357186173438441</v>
      </c>
      <c r="Z3717" s="2" t="s">
        <v>3227</v>
      </c>
      <c r="AA3717" s="2" t="s">
        <v>75</v>
      </c>
      <c r="AB3717" s="2" t="s">
        <v>76</v>
      </c>
      <c r="AC3717" s="2" t="s">
        <v>40</v>
      </c>
      <c r="AF3717" s="2">
        <f t="shared" si="549"/>
        <v>0</v>
      </c>
      <c r="AJ3717" s="2">
        <f t="shared" si="550"/>
        <v>0</v>
      </c>
      <c r="AK3717" s="2">
        <f>T3717+(W3717)</f>
        <v>-71.389999999999986</v>
      </c>
      <c r="AL3717" s="18">
        <f>SIGN(T3717)*((ABS(T3717)-W3717)/ABS(T3717))</f>
        <v>-0.39357186173438441</v>
      </c>
    </row>
    <row r="3718" spans="1:38" x14ac:dyDescent="0.2">
      <c r="A3718" s="2">
        <v>2026</v>
      </c>
      <c r="B3718" s="2">
        <v>4</v>
      </c>
      <c r="D3718" s="2" t="s">
        <v>960</v>
      </c>
      <c r="E3718" s="2" t="s">
        <v>38</v>
      </c>
      <c r="G3718" s="2">
        <v>502714913</v>
      </c>
      <c r="H3718" s="2" t="s">
        <v>40</v>
      </c>
      <c r="I3718" s="2" t="s">
        <v>327</v>
      </c>
      <c r="J3718" s="2" t="s">
        <v>1987</v>
      </c>
      <c r="L3718" s="2" t="s">
        <v>177</v>
      </c>
      <c r="M3718" s="2" t="s">
        <v>80</v>
      </c>
      <c r="P3718" s="2" t="s">
        <v>72</v>
      </c>
      <c r="Q3718" s="2" t="s">
        <v>73</v>
      </c>
      <c r="R3718" s="2" t="s">
        <v>74</v>
      </c>
      <c r="S3718" s="2">
        <v>1</v>
      </c>
      <c r="T3718" s="2">
        <v>220</v>
      </c>
      <c r="U3718" s="2">
        <v>50.6</v>
      </c>
      <c r="V3718" s="2">
        <v>270.60000000000002</v>
      </c>
      <c r="W3718" s="2">
        <v>125.51600000000001</v>
      </c>
      <c r="X3718" s="5">
        <f t="shared" ref="X3718:X3742" si="551">(T3718-W3718)/T3718</f>
        <v>0.42947272727272723</v>
      </c>
      <c r="Z3718" s="2" t="s">
        <v>3227</v>
      </c>
      <c r="AA3718" s="2" t="s">
        <v>75</v>
      </c>
      <c r="AB3718" s="2" t="s">
        <v>76</v>
      </c>
      <c r="AC3718" s="2" t="s">
        <v>77</v>
      </c>
      <c r="AF3718" s="2">
        <f t="shared" si="549"/>
        <v>0</v>
      </c>
      <c r="AG3718" s="2">
        <v>125.51600000000001</v>
      </c>
      <c r="AH3718" s="2">
        <v>220</v>
      </c>
      <c r="AJ3718" s="2">
        <f t="shared" si="550"/>
        <v>0</v>
      </c>
      <c r="AK3718" s="2">
        <f t="shared" ref="AK3718:AK3742" si="552">T3718-W3718</f>
        <v>94.483999999999995</v>
      </c>
      <c r="AL3718" s="5">
        <f t="shared" ref="AL3718:AL3742" si="553">(T3718-W3718)/T3718</f>
        <v>0.42947272727272723</v>
      </c>
    </row>
    <row r="3719" spans="1:38" x14ac:dyDescent="0.2">
      <c r="A3719" s="2">
        <v>2026</v>
      </c>
      <c r="B3719" s="2">
        <v>4</v>
      </c>
      <c r="D3719" s="2" t="s">
        <v>731</v>
      </c>
      <c r="E3719" s="2" t="s">
        <v>108</v>
      </c>
      <c r="G3719" s="2">
        <v>502757396</v>
      </c>
      <c r="H3719" s="2" t="s">
        <v>40</v>
      </c>
      <c r="I3719" s="2" t="s">
        <v>99</v>
      </c>
      <c r="J3719" s="2" t="s">
        <v>732</v>
      </c>
      <c r="L3719" s="2" t="s">
        <v>99</v>
      </c>
      <c r="M3719" s="2" t="s">
        <v>80</v>
      </c>
      <c r="P3719" s="2" t="s">
        <v>72</v>
      </c>
      <c r="Q3719" s="2" t="s">
        <v>73</v>
      </c>
      <c r="R3719" s="2" t="s">
        <v>74</v>
      </c>
      <c r="S3719" s="2">
        <v>1</v>
      </c>
      <c r="T3719" s="2">
        <v>220</v>
      </c>
      <c r="U3719" s="2">
        <v>50.6</v>
      </c>
      <c r="V3719" s="2">
        <v>270.60000000000002</v>
      </c>
      <c r="W3719" s="2">
        <v>125.51600000000001</v>
      </c>
      <c r="X3719" s="5">
        <f t="shared" si="551"/>
        <v>0.42947272727272723</v>
      </c>
      <c r="Z3719" s="2" t="s">
        <v>3227</v>
      </c>
      <c r="AA3719" s="2" t="s">
        <v>75</v>
      </c>
      <c r="AB3719" s="2" t="s">
        <v>76</v>
      </c>
      <c r="AC3719" s="2" t="s">
        <v>77</v>
      </c>
      <c r="AF3719" s="2">
        <f t="shared" si="549"/>
        <v>0</v>
      </c>
      <c r="AG3719" s="2">
        <v>125.51600000000001</v>
      </c>
      <c r="AH3719" s="2">
        <v>220</v>
      </c>
      <c r="AJ3719" s="2">
        <f t="shared" si="550"/>
        <v>0</v>
      </c>
      <c r="AK3719" s="2">
        <f t="shared" si="552"/>
        <v>94.483999999999995</v>
      </c>
      <c r="AL3719" s="5">
        <f t="shared" si="553"/>
        <v>0.42947272727272723</v>
      </c>
    </row>
    <row r="3720" spans="1:38" x14ac:dyDescent="0.2">
      <c r="A3720" s="2">
        <v>2026</v>
      </c>
      <c r="B3720" s="2">
        <v>4</v>
      </c>
      <c r="D3720" s="2" t="s">
        <v>476</v>
      </c>
      <c r="E3720" s="2" t="s">
        <v>108</v>
      </c>
      <c r="F3720" s="2" t="s">
        <v>477</v>
      </c>
      <c r="G3720" s="2">
        <v>500864365</v>
      </c>
      <c r="H3720" s="2" t="s">
        <v>41</v>
      </c>
      <c r="I3720" s="2" t="s">
        <v>478</v>
      </c>
      <c r="J3720" s="2" t="s">
        <v>479</v>
      </c>
      <c r="L3720" s="2" t="s">
        <v>480</v>
      </c>
      <c r="M3720" s="2" t="s">
        <v>41</v>
      </c>
      <c r="P3720" s="2" t="s">
        <v>72</v>
      </c>
      <c r="Q3720" s="2" t="s">
        <v>73</v>
      </c>
      <c r="R3720" s="2" t="s">
        <v>74</v>
      </c>
      <c r="S3720" s="2">
        <v>1</v>
      </c>
      <c r="T3720" s="2">
        <v>220</v>
      </c>
      <c r="U3720" s="2">
        <v>50.6</v>
      </c>
      <c r="V3720" s="2">
        <v>270.60000000000002</v>
      </c>
      <c r="W3720" s="2">
        <v>125.51600000000001</v>
      </c>
      <c r="X3720" s="5">
        <f t="shared" si="551"/>
        <v>0.42947272727272723</v>
      </c>
      <c r="Z3720" s="2" t="s">
        <v>3227</v>
      </c>
      <c r="AA3720" s="2" t="s">
        <v>75</v>
      </c>
      <c r="AB3720" s="2" t="s">
        <v>76</v>
      </c>
      <c r="AC3720" s="2" t="s">
        <v>77</v>
      </c>
      <c r="AF3720" s="2">
        <f t="shared" si="549"/>
        <v>0</v>
      </c>
      <c r="AG3720" s="2">
        <v>125.51600000000001</v>
      </c>
      <c r="AH3720" s="2">
        <v>220</v>
      </c>
      <c r="AJ3720" s="2">
        <f t="shared" si="550"/>
        <v>0</v>
      </c>
      <c r="AK3720" s="2">
        <f t="shared" si="552"/>
        <v>94.483999999999995</v>
      </c>
      <c r="AL3720" s="5">
        <f t="shared" si="553"/>
        <v>0.42947272727272723</v>
      </c>
    </row>
    <row r="3721" spans="1:38" x14ac:dyDescent="0.2">
      <c r="A3721" s="2">
        <v>2026</v>
      </c>
      <c r="B3721" s="2">
        <v>4</v>
      </c>
      <c r="D3721" s="2" t="s">
        <v>1256</v>
      </c>
      <c r="P3721" s="2" t="s">
        <v>72</v>
      </c>
      <c r="Q3721" s="2" t="s">
        <v>73</v>
      </c>
      <c r="R3721" s="2" t="s">
        <v>74</v>
      </c>
      <c r="S3721" s="2">
        <v>1</v>
      </c>
      <c r="T3721" s="2">
        <v>220</v>
      </c>
      <c r="U3721" s="2">
        <v>50.6</v>
      </c>
      <c r="V3721" s="2">
        <v>270.60000000000002</v>
      </c>
      <c r="W3721" s="2">
        <v>125.51600000000001</v>
      </c>
      <c r="X3721" s="5">
        <f t="shared" si="551"/>
        <v>0.42947272727272723</v>
      </c>
      <c r="Z3721" s="2" t="s">
        <v>3227</v>
      </c>
      <c r="AA3721" s="2" t="s">
        <v>75</v>
      </c>
      <c r="AB3721" s="2" t="s">
        <v>76</v>
      </c>
      <c r="AC3721" s="2" t="s">
        <v>77</v>
      </c>
      <c r="AF3721" s="2">
        <f t="shared" si="549"/>
        <v>0</v>
      </c>
      <c r="AG3721" s="2">
        <v>125.51600000000001</v>
      </c>
      <c r="AH3721" s="2">
        <v>220</v>
      </c>
      <c r="AJ3721" s="2">
        <f t="shared" si="550"/>
        <v>0</v>
      </c>
      <c r="AK3721" s="2">
        <f t="shared" si="552"/>
        <v>94.483999999999995</v>
      </c>
      <c r="AL3721" s="5">
        <f t="shared" si="553"/>
        <v>0.42947272727272723</v>
      </c>
    </row>
    <row r="3722" spans="1:38" x14ac:dyDescent="0.2">
      <c r="A3722" s="2">
        <v>2026</v>
      </c>
      <c r="B3722" s="2">
        <v>4</v>
      </c>
      <c r="D3722" s="2" t="s">
        <v>549</v>
      </c>
      <c r="E3722" s="2" t="s">
        <v>108</v>
      </c>
      <c r="F3722" s="2" t="s">
        <v>395</v>
      </c>
      <c r="G3722" s="2">
        <v>503641790</v>
      </c>
      <c r="H3722" s="2" t="s">
        <v>40</v>
      </c>
      <c r="I3722" s="2" t="s">
        <v>550</v>
      </c>
      <c r="J3722" s="2" t="s">
        <v>551</v>
      </c>
      <c r="K3722" s="2">
        <v>917753665</v>
      </c>
      <c r="L3722" s="2" t="s">
        <v>99</v>
      </c>
      <c r="M3722" s="2" t="s">
        <v>80</v>
      </c>
      <c r="O3722" s="2" t="s">
        <v>2874</v>
      </c>
      <c r="P3722" s="2" t="s">
        <v>72</v>
      </c>
      <c r="Q3722" s="2" t="s">
        <v>73</v>
      </c>
      <c r="R3722" s="2" t="s">
        <v>74</v>
      </c>
      <c r="S3722" s="2">
        <v>2</v>
      </c>
      <c r="T3722" s="2">
        <v>440</v>
      </c>
      <c r="U3722" s="2">
        <v>101.2</v>
      </c>
      <c r="V3722" s="2">
        <v>541.20000000000005</v>
      </c>
      <c r="W3722" s="2">
        <v>251.03200000000001</v>
      </c>
      <c r="X3722" s="5">
        <f t="shared" si="551"/>
        <v>0.42947272727272723</v>
      </c>
      <c r="Z3722" s="2" t="s">
        <v>3227</v>
      </c>
      <c r="AA3722" s="2" t="s">
        <v>75</v>
      </c>
      <c r="AB3722" s="2" t="s">
        <v>76</v>
      </c>
      <c r="AC3722" s="2" t="s">
        <v>77</v>
      </c>
      <c r="AF3722" s="2">
        <f t="shared" si="549"/>
        <v>0</v>
      </c>
      <c r="AG3722" s="2">
        <v>125.51600000000001</v>
      </c>
      <c r="AH3722" s="2">
        <v>220</v>
      </c>
      <c r="AJ3722" s="2">
        <f t="shared" si="550"/>
        <v>0</v>
      </c>
      <c r="AK3722" s="2">
        <f t="shared" si="552"/>
        <v>188.96799999999999</v>
      </c>
      <c r="AL3722" s="5">
        <f t="shared" si="553"/>
        <v>0.42947272727272723</v>
      </c>
    </row>
    <row r="3723" spans="1:38" x14ac:dyDescent="0.2">
      <c r="A3723" s="2">
        <v>2026</v>
      </c>
      <c r="B3723" s="2">
        <v>4</v>
      </c>
      <c r="D3723" s="2" t="s">
        <v>894</v>
      </c>
      <c r="P3723" s="2" t="s">
        <v>72</v>
      </c>
      <c r="Q3723" s="2" t="s">
        <v>73</v>
      </c>
      <c r="R3723" s="2" t="s">
        <v>74</v>
      </c>
      <c r="S3723" s="2">
        <v>1</v>
      </c>
      <c r="T3723" s="2">
        <v>220</v>
      </c>
      <c r="U3723" s="2">
        <v>50.6</v>
      </c>
      <c r="V3723" s="2">
        <v>270.60000000000002</v>
      </c>
      <c r="W3723" s="2">
        <v>125.51600000000001</v>
      </c>
      <c r="X3723" s="5">
        <f t="shared" si="551"/>
        <v>0.42947272727272723</v>
      </c>
      <c r="Z3723" s="2" t="s">
        <v>3227</v>
      </c>
      <c r="AA3723" s="2" t="s">
        <v>75</v>
      </c>
      <c r="AB3723" s="2" t="s">
        <v>76</v>
      </c>
      <c r="AC3723" s="2" t="s">
        <v>77</v>
      </c>
      <c r="AF3723" s="2">
        <f t="shared" si="549"/>
        <v>0</v>
      </c>
      <c r="AG3723" s="2">
        <v>125.51600000000001</v>
      </c>
      <c r="AH3723" s="2">
        <v>220</v>
      </c>
      <c r="AJ3723" s="2">
        <f t="shared" si="550"/>
        <v>0</v>
      </c>
      <c r="AK3723" s="2">
        <f t="shared" si="552"/>
        <v>94.483999999999995</v>
      </c>
      <c r="AL3723" s="5">
        <f t="shared" si="553"/>
        <v>0.42947272727272723</v>
      </c>
    </row>
    <row r="3724" spans="1:38" x14ac:dyDescent="0.2">
      <c r="A3724" s="2">
        <v>2026</v>
      </c>
      <c r="B3724" s="2">
        <v>4</v>
      </c>
      <c r="D3724" s="2" t="s">
        <v>1295</v>
      </c>
      <c r="E3724" s="2" t="s">
        <v>183</v>
      </c>
      <c r="F3724" s="2" t="s">
        <v>366</v>
      </c>
      <c r="G3724" s="2">
        <v>500625654</v>
      </c>
      <c r="H3724" s="2" t="s">
        <v>290</v>
      </c>
      <c r="I3724" s="2" t="s">
        <v>339</v>
      </c>
      <c r="J3724" s="2" t="s">
        <v>1296</v>
      </c>
      <c r="L3724" s="2" t="s">
        <v>339</v>
      </c>
      <c r="M3724" s="2" t="s">
        <v>80</v>
      </c>
      <c r="O3724" s="2" t="s">
        <v>2875</v>
      </c>
      <c r="P3724" s="2" t="s">
        <v>72</v>
      </c>
      <c r="Q3724" s="2" t="s">
        <v>73</v>
      </c>
      <c r="R3724" s="2" t="s">
        <v>74</v>
      </c>
      <c r="S3724" s="2">
        <v>1</v>
      </c>
      <c r="T3724" s="2">
        <v>213.4</v>
      </c>
      <c r="U3724" s="2">
        <v>49.082000000000001</v>
      </c>
      <c r="V3724" s="2">
        <v>262.48200000000003</v>
      </c>
      <c r="W3724" s="2">
        <v>125.51600000000001</v>
      </c>
      <c r="X3724" s="5">
        <f t="shared" si="551"/>
        <v>0.41182755388940956</v>
      </c>
      <c r="Z3724" s="2" t="s">
        <v>3227</v>
      </c>
      <c r="AA3724" s="2" t="s">
        <v>75</v>
      </c>
      <c r="AB3724" s="2" t="s">
        <v>76</v>
      </c>
      <c r="AC3724" s="2" t="s">
        <v>77</v>
      </c>
      <c r="AF3724" s="2">
        <f t="shared" si="549"/>
        <v>0</v>
      </c>
      <c r="AG3724" s="2">
        <v>125.51600000000001</v>
      </c>
      <c r="AH3724" s="2">
        <v>220</v>
      </c>
      <c r="AJ3724" s="2">
        <f t="shared" si="550"/>
        <v>0</v>
      </c>
      <c r="AK3724" s="2">
        <f t="shared" si="552"/>
        <v>87.884</v>
      </c>
      <c r="AL3724" s="5">
        <f t="shared" si="553"/>
        <v>0.41182755388940956</v>
      </c>
    </row>
    <row r="3725" spans="1:38" x14ac:dyDescent="0.2">
      <c r="A3725" s="2">
        <v>2026</v>
      </c>
      <c r="B3725" s="2">
        <v>4</v>
      </c>
      <c r="D3725" s="2" t="s">
        <v>1955</v>
      </c>
      <c r="P3725" s="2" t="s">
        <v>72</v>
      </c>
      <c r="Q3725" s="2" t="s">
        <v>73</v>
      </c>
      <c r="R3725" s="2" t="s">
        <v>74</v>
      </c>
      <c r="S3725" s="2">
        <v>1</v>
      </c>
      <c r="T3725" s="2">
        <v>220</v>
      </c>
      <c r="U3725" s="2">
        <v>50.6</v>
      </c>
      <c r="V3725" s="2">
        <v>270.60000000000002</v>
      </c>
      <c r="W3725" s="2">
        <v>125.51600000000001</v>
      </c>
      <c r="X3725" s="5">
        <f t="shared" si="551"/>
        <v>0.42947272727272723</v>
      </c>
      <c r="Z3725" s="2" t="s">
        <v>3227</v>
      </c>
      <c r="AA3725" s="2" t="s">
        <v>75</v>
      </c>
      <c r="AB3725" s="2" t="s">
        <v>76</v>
      </c>
      <c r="AC3725" s="2" t="s">
        <v>77</v>
      </c>
      <c r="AF3725" s="2">
        <f t="shared" si="549"/>
        <v>0</v>
      </c>
      <c r="AG3725" s="2">
        <v>125.51600000000001</v>
      </c>
      <c r="AH3725" s="2">
        <v>220</v>
      </c>
      <c r="AJ3725" s="2">
        <f t="shared" si="550"/>
        <v>0</v>
      </c>
      <c r="AK3725" s="2">
        <f t="shared" si="552"/>
        <v>94.483999999999995</v>
      </c>
      <c r="AL3725" s="5">
        <f t="shared" si="553"/>
        <v>0.42947272727272723</v>
      </c>
    </row>
    <row r="3726" spans="1:38" x14ac:dyDescent="0.2">
      <c r="A3726" s="2">
        <v>2026</v>
      </c>
      <c r="B3726" s="2">
        <v>4</v>
      </c>
      <c r="D3726" s="2" t="s">
        <v>549</v>
      </c>
      <c r="E3726" s="2" t="s">
        <v>108</v>
      </c>
      <c r="F3726" s="2" t="s">
        <v>395</v>
      </c>
      <c r="G3726" s="2">
        <v>503641790</v>
      </c>
      <c r="H3726" s="2" t="s">
        <v>40</v>
      </c>
      <c r="I3726" s="2" t="s">
        <v>550</v>
      </c>
      <c r="J3726" s="2" t="s">
        <v>551</v>
      </c>
      <c r="K3726" s="2">
        <v>917753665</v>
      </c>
      <c r="L3726" s="2" t="s">
        <v>99</v>
      </c>
      <c r="M3726" s="2" t="s">
        <v>80</v>
      </c>
      <c r="O3726" s="2" t="s">
        <v>2876</v>
      </c>
      <c r="P3726" s="2" t="s">
        <v>72</v>
      </c>
      <c r="Q3726" s="2" t="s">
        <v>681</v>
      </c>
      <c r="R3726" s="2" t="s">
        <v>74</v>
      </c>
      <c r="S3726" s="2">
        <v>1</v>
      </c>
      <c r="T3726" s="2">
        <v>220</v>
      </c>
      <c r="U3726" s="2">
        <v>50.6</v>
      </c>
      <c r="V3726" s="2">
        <v>270.60000000000002</v>
      </c>
      <c r="W3726" s="2">
        <v>104.49</v>
      </c>
      <c r="X3726" s="5">
        <f t="shared" si="551"/>
        <v>0.52504545454545459</v>
      </c>
      <c r="Z3726" s="2" t="s">
        <v>3227</v>
      </c>
      <c r="AA3726" s="2" t="s">
        <v>75</v>
      </c>
      <c r="AB3726" s="2" t="s">
        <v>76</v>
      </c>
      <c r="AC3726" s="2" t="s">
        <v>77</v>
      </c>
      <c r="AF3726" s="2">
        <f t="shared" si="549"/>
        <v>0</v>
      </c>
      <c r="AG3726" s="2">
        <v>104.49</v>
      </c>
      <c r="AH3726" s="2">
        <v>220</v>
      </c>
      <c r="AJ3726" s="2">
        <f t="shared" si="550"/>
        <v>0</v>
      </c>
      <c r="AK3726" s="2">
        <f t="shared" si="552"/>
        <v>115.51</v>
      </c>
      <c r="AL3726" s="5">
        <f t="shared" si="553"/>
        <v>0.52504545454545459</v>
      </c>
    </row>
    <row r="3727" spans="1:38" x14ac:dyDescent="0.2">
      <c r="A3727" s="2">
        <v>2026</v>
      </c>
      <c r="B3727" s="2">
        <v>4</v>
      </c>
      <c r="D3727" s="2" t="s">
        <v>2877</v>
      </c>
      <c r="M3727" s="2" t="s">
        <v>41</v>
      </c>
      <c r="P3727" s="2" t="s">
        <v>72</v>
      </c>
      <c r="Q3727" s="2" t="s">
        <v>2878</v>
      </c>
      <c r="R3727" s="2" t="s">
        <v>74</v>
      </c>
      <c r="S3727" s="2">
        <v>1</v>
      </c>
      <c r="T3727" s="2">
        <v>220</v>
      </c>
      <c r="U3727" s="2">
        <v>50.6</v>
      </c>
      <c r="V3727" s="2">
        <v>270.60000000000002</v>
      </c>
      <c r="W3727" s="2">
        <v>115.05</v>
      </c>
      <c r="X3727" s="5">
        <f t="shared" si="551"/>
        <v>0.47704545454545455</v>
      </c>
      <c r="Z3727" s="2" t="s">
        <v>3227</v>
      </c>
      <c r="AA3727" s="2" t="s">
        <v>75</v>
      </c>
      <c r="AB3727" s="2" t="s">
        <v>76</v>
      </c>
      <c r="AC3727" s="2" t="s">
        <v>77</v>
      </c>
      <c r="AF3727" s="2">
        <f t="shared" si="549"/>
        <v>0</v>
      </c>
      <c r="AG3727" s="2">
        <v>115.05</v>
      </c>
      <c r="AJ3727" s="2">
        <f t="shared" si="550"/>
        <v>0</v>
      </c>
      <c r="AK3727" s="2">
        <f t="shared" si="552"/>
        <v>104.95</v>
      </c>
      <c r="AL3727" s="5">
        <f t="shared" si="553"/>
        <v>0.47704545454545455</v>
      </c>
    </row>
    <row r="3728" spans="1:38" x14ac:dyDescent="0.2">
      <c r="A3728" s="2">
        <v>2026</v>
      </c>
      <c r="B3728" s="2">
        <v>4</v>
      </c>
      <c r="D3728" s="2" t="s">
        <v>1419</v>
      </c>
      <c r="E3728" s="2" t="s">
        <v>108</v>
      </c>
      <c r="F3728" s="2" t="s">
        <v>39</v>
      </c>
      <c r="G3728" s="2">
        <v>513795855</v>
      </c>
      <c r="H3728" s="2" t="s">
        <v>41</v>
      </c>
      <c r="I3728" s="2" t="s">
        <v>1272</v>
      </c>
      <c r="J3728" s="2" t="s">
        <v>2394</v>
      </c>
      <c r="L3728" s="2" t="s">
        <v>177</v>
      </c>
      <c r="M3728" s="2" t="s">
        <v>41</v>
      </c>
      <c r="O3728" s="2" t="s">
        <v>2879</v>
      </c>
      <c r="P3728" s="2" t="s">
        <v>72</v>
      </c>
      <c r="Q3728" s="2" t="s">
        <v>556</v>
      </c>
      <c r="R3728" s="2" t="s">
        <v>381</v>
      </c>
      <c r="S3728" s="2">
        <v>1</v>
      </c>
      <c r="T3728" s="2">
        <v>230</v>
      </c>
      <c r="U3728" s="2">
        <v>52.900000000000013</v>
      </c>
      <c r="V3728" s="2">
        <v>282.89999999999998</v>
      </c>
      <c r="W3728" s="2">
        <v>143.91999999999999</v>
      </c>
      <c r="X3728" s="5">
        <f t="shared" si="551"/>
        <v>0.37426086956521742</v>
      </c>
      <c r="Z3728" s="2" t="s">
        <v>3227</v>
      </c>
      <c r="AA3728" s="2" t="s">
        <v>75</v>
      </c>
      <c r="AB3728" s="2" t="s">
        <v>76</v>
      </c>
      <c r="AC3728" s="2" t="s">
        <v>77</v>
      </c>
      <c r="AF3728" s="2">
        <f t="shared" si="549"/>
        <v>0</v>
      </c>
      <c r="AG3728" s="2">
        <v>143.91999999999999</v>
      </c>
      <c r="AJ3728" s="2">
        <f t="shared" si="550"/>
        <v>0</v>
      </c>
      <c r="AK3728" s="2">
        <f t="shared" si="552"/>
        <v>86.080000000000013</v>
      </c>
      <c r="AL3728" s="5">
        <f t="shared" si="553"/>
        <v>0.37426086956521742</v>
      </c>
    </row>
    <row r="3729" spans="1:38" x14ac:dyDescent="0.2">
      <c r="A3729" s="2">
        <v>2026</v>
      </c>
      <c r="B3729" s="2">
        <v>4</v>
      </c>
      <c r="D3729" s="2" t="s">
        <v>2880</v>
      </c>
      <c r="P3729" s="2" t="s">
        <v>72</v>
      </c>
      <c r="Q3729" s="2" t="s">
        <v>380</v>
      </c>
      <c r="R3729" s="2" t="s">
        <v>381</v>
      </c>
      <c r="S3729" s="2">
        <v>1</v>
      </c>
      <c r="T3729" s="2">
        <v>230</v>
      </c>
      <c r="U3729" s="2">
        <v>52.900000000000013</v>
      </c>
      <c r="V3729" s="2">
        <v>282.89999999999998</v>
      </c>
      <c r="W3729" s="2">
        <v>139.46</v>
      </c>
      <c r="X3729" s="5">
        <f t="shared" si="551"/>
        <v>0.39365217391304347</v>
      </c>
      <c r="Z3729" s="2" t="s">
        <v>3227</v>
      </c>
      <c r="AA3729" s="2" t="s">
        <v>75</v>
      </c>
      <c r="AB3729" s="2" t="s">
        <v>76</v>
      </c>
      <c r="AC3729" s="2" t="s">
        <v>77</v>
      </c>
      <c r="AF3729" s="2">
        <f t="shared" si="549"/>
        <v>0</v>
      </c>
      <c r="AJ3729" s="2">
        <f t="shared" si="550"/>
        <v>0</v>
      </c>
      <c r="AK3729" s="2">
        <f t="shared" si="552"/>
        <v>90.539999999999992</v>
      </c>
      <c r="AL3729" s="5">
        <f t="shared" si="553"/>
        <v>0.39365217391304347</v>
      </c>
    </row>
    <row r="3730" spans="1:38" x14ac:dyDescent="0.2">
      <c r="A3730" s="2">
        <v>2026</v>
      </c>
      <c r="B3730" s="2">
        <v>4</v>
      </c>
      <c r="D3730" s="2" t="s">
        <v>198</v>
      </c>
      <c r="E3730" s="2" t="s">
        <v>108</v>
      </c>
      <c r="G3730" s="2">
        <v>507541120</v>
      </c>
      <c r="H3730" s="2" t="s">
        <v>40</v>
      </c>
      <c r="I3730" s="2" t="s">
        <v>199</v>
      </c>
      <c r="J3730" s="2" t="s">
        <v>200</v>
      </c>
      <c r="L3730" s="2" t="s">
        <v>201</v>
      </c>
      <c r="M3730" s="2" t="s">
        <v>41</v>
      </c>
      <c r="P3730" s="2" t="s">
        <v>72</v>
      </c>
      <c r="Q3730" s="2" t="s">
        <v>1022</v>
      </c>
      <c r="R3730" s="2" t="s">
        <v>74</v>
      </c>
      <c r="S3730" s="2">
        <v>1</v>
      </c>
      <c r="T3730" s="2">
        <v>220</v>
      </c>
      <c r="U3730" s="2">
        <v>50.6</v>
      </c>
      <c r="V3730" s="2">
        <v>270.60000000000002</v>
      </c>
      <c r="W3730" s="2">
        <v>128.30000000000001</v>
      </c>
      <c r="X3730" s="5">
        <f t="shared" si="551"/>
        <v>0.41681818181818175</v>
      </c>
      <c r="Z3730" s="2" t="s">
        <v>3227</v>
      </c>
      <c r="AA3730" s="2" t="s">
        <v>75</v>
      </c>
      <c r="AB3730" s="2" t="s">
        <v>76</v>
      </c>
      <c r="AC3730" s="2" t="s">
        <v>77</v>
      </c>
      <c r="AF3730" s="2">
        <f t="shared" si="549"/>
        <v>0</v>
      </c>
      <c r="AJ3730" s="2">
        <f t="shared" si="550"/>
        <v>0</v>
      </c>
      <c r="AK3730" s="2">
        <f t="shared" si="552"/>
        <v>91.699999999999989</v>
      </c>
      <c r="AL3730" s="5">
        <f t="shared" si="553"/>
        <v>0.41681818181818175</v>
      </c>
    </row>
    <row r="3731" spans="1:38" x14ac:dyDescent="0.2">
      <c r="A3731" s="2">
        <v>2026</v>
      </c>
      <c r="B3731" s="2">
        <v>4</v>
      </c>
      <c r="D3731" s="2" t="s">
        <v>1295</v>
      </c>
      <c r="E3731" s="2" t="s">
        <v>183</v>
      </c>
      <c r="F3731" s="2" t="s">
        <v>366</v>
      </c>
      <c r="G3731" s="2">
        <v>500625654</v>
      </c>
      <c r="H3731" s="2" t="s">
        <v>290</v>
      </c>
      <c r="I3731" s="2" t="s">
        <v>339</v>
      </c>
      <c r="J3731" s="2" t="s">
        <v>1296</v>
      </c>
      <c r="L3731" s="2" t="s">
        <v>339</v>
      </c>
      <c r="M3731" s="2" t="s">
        <v>80</v>
      </c>
      <c r="O3731" s="2" t="s">
        <v>2881</v>
      </c>
      <c r="P3731" s="2" t="s">
        <v>72</v>
      </c>
      <c r="Q3731" s="2" t="s">
        <v>664</v>
      </c>
      <c r="R3731" s="2" t="s">
        <v>79</v>
      </c>
      <c r="S3731" s="2">
        <v>1</v>
      </c>
      <c r="T3731" s="2">
        <v>203.7</v>
      </c>
      <c r="U3731" s="2">
        <v>46.850999999999999</v>
      </c>
      <c r="V3731" s="2">
        <v>250.55099999999999</v>
      </c>
      <c r="W3731" s="2">
        <f>113.905+11.25</f>
        <v>125.155</v>
      </c>
      <c r="X3731" s="5">
        <f t="shared" si="551"/>
        <v>0.38559155621011287</v>
      </c>
      <c r="Z3731" s="2" t="s">
        <v>3227</v>
      </c>
      <c r="AA3731" s="2" t="s">
        <v>75</v>
      </c>
      <c r="AB3731" s="2" t="s">
        <v>76</v>
      </c>
      <c r="AC3731" s="2" t="s">
        <v>77</v>
      </c>
      <c r="AF3731" s="2">
        <f t="shared" si="549"/>
        <v>0</v>
      </c>
      <c r="AG3731" s="2">
        <v>105.59</v>
      </c>
      <c r="AJ3731" s="2">
        <f t="shared" si="550"/>
        <v>0</v>
      </c>
      <c r="AK3731" s="2">
        <f t="shared" si="552"/>
        <v>78.544999999999987</v>
      </c>
      <c r="AL3731" s="5">
        <f t="shared" si="553"/>
        <v>0.38559155621011287</v>
      </c>
    </row>
    <row r="3732" spans="1:38" x14ac:dyDescent="0.2">
      <c r="A3732" s="2">
        <v>2026</v>
      </c>
      <c r="B3732" s="2">
        <v>4</v>
      </c>
      <c r="D3732" s="2" t="s">
        <v>37</v>
      </c>
      <c r="E3732" s="2" t="s">
        <v>38</v>
      </c>
      <c r="F3732" s="2" t="s">
        <v>39</v>
      </c>
      <c r="H3732" s="2" t="s">
        <v>40</v>
      </c>
      <c r="M3732" s="2" t="s">
        <v>80</v>
      </c>
      <c r="O3732" s="2" t="s">
        <v>2882</v>
      </c>
      <c r="P3732" s="2" t="s">
        <v>72</v>
      </c>
      <c r="Q3732" s="2" t="s">
        <v>306</v>
      </c>
      <c r="R3732" s="2" t="s">
        <v>307</v>
      </c>
      <c r="S3732" s="2">
        <v>1</v>
      </c>
      <c r="T3732" s="2">
        <v>220</v>
      </c>
      <c r="U3732" s="2">
        <v>50.6</v>
      </c>
      <c r="V3732" s="2">
        <v>270.60000000000002</v>
      </c>
      <c r="W3732" s="2">
        <v>119.33</v>
      </c>
      <c r="X3732" s="5">
        <f t="shared" si="551"/>
        <v>0.4575909090909091</v>
      </c>
      <c r="Z3732" s="2" t="s">
        <v>3227</v>
      </c>
      <c r="AA3732" s="2" t="s">
        <v>75</v>
      </c>
      <c r="AB3732" s="2" t="s">
        <v>76</v>
      </c>
      <c r="AC3732" s="2" t="s">
        <v>77</v>
      </c>
      <c r="AF3732" s="2">
        <f t="shared" si="549"/>
        <v>0</v>
      </c>
      <c r="AG3732" s="2">
        <v>119.33</v>
      </c>
      <c r="AH3732" s="2">
        <v>220</v>
      </c>
      <c r="AJ3732" s="2">
        <f t="shared" si="550"/>
        <v>0</v>
      </c>
      <c r="AK3732" s="2">
        <f t="shared" si="552"/>
        <v>100.67</v>
      </c>
      <c r="AL3732" s="5">
        <f t="shared" si="553"/>
        <v>0.4575909090909091</v>
      </c>
    </row>
    <row r="3733" spans="1:38" x14ac:dyDescent="0.2">
      <c r="A3733" s="2">
        <v>2026</v>
      </c>
      <c r="B3733" s="2">
        <v>4</v>
      </c>
      <c r="D3733" s="2" t="s">
        <v>936</v>
      </c>
      <c r="E3733" s="2" t="s">
        <v>38</v>
      </c>
      <c r="F3733" s="2" t="s">
        <v>39</v>
      </c>
      <c r="G3733" s="2">
        <v>508868726</v>
      </c>
      <c r="H3733" s="2" t="s">
        <v>290</v>
      </c>
      <c r="I3733" s="2" t="s">
        <v>937</v>
      </c>
      <c r="J3733" s="2" t="s">
        <v>938</v>
      </c>
      <c r="K3733" s="2">
        <v>964771057</v>
      </c>
      <c r="L3733" s="2" t="s">
        <v>339</v>
      </c>
      <c r="M3733" s="2" t="s">
        <v>80</v>
      </c>
      <c r="O3733" s="2" t="s">
        <v>2883</v>
      </c>
      <c r="P3733" s="2" t="s">
        <v>72</v>
      </c>
      <c r="Q3733" s="2" t="s">
        <v>1035</v>
      </c>
      <c r="R3733" s="2" t="s">
        <v>79</v>
      </c>
      <c r="S3733" s="2">
        <v>1</v>
      </c>
      <c r="T3733" s="2">
        <v>220</v>
      </c>
      <c r="U3733" s="2">
        <v>50.6</v>
      </c>
      <c r="V3733" s="2">
        <v>270.60000000000002</v>
      </c>
      <c r="W3733" s="2">
        <v>113.33</v>
      </c>
      <c r="X3733" s="5">
        <f t="shared" si="551"/>
        <v>0.48486363636363639</v>
      </c>
      <c r="Z3733" s="2" t="s">
        <v>3227</v>
      </c>
      <c r="AA3733" s="2" t="s">
        <v>75</v>
      </c>
      <c r="AB3733" s="2" t="s">
        <v>76</v>
      </c>
      <c r="AC3733" s="2" t="s">
        <v>77</v>
      </c>
      <c r="AF3733" s="2">
        <f t="shared" si="549"/>
        <v>0</v>
      </c>
      <c r="AG3733" s="2">
        <v>113.33</v>
      </c>
      <c r="AH3733" s="2">
        <v>220</v>
      </c>
      <c r="AJ3733" s="2">
        <f t="shared" si="550"/>
        <v>0</v>
      </c>
      <c r="AK3733" s="2">
        <f t="shared" si="552"/>
        <v>106.67</v>
      </c>
      <c r="AL3733" s="5">
        <f t="shared" si="553"/>
        <v>0.48486363636363639</v>
      </c>
    </row>
    <row r="3734" spans="1:38" x14ac:dyDescent="0.2">
      <c r="A3734" s="2">
        <v>2026</v>
      </c>
      <c r="B3734" s="2">
        <v>4</v>
      </c>
      <c r="D3734" s="2" t="s">
        <v>436</v>
      </c>
      <c r="E3734" s="2" t="s">
        <v>108</v>
      </c>
      <c r="F3734" s="2" t="s">
        <v>376</v>
      </c>
      <c r="G3734" s="2">
        <v>509350631</v>
      </c>
      <c r="H3734" s="2" t="s">
        <v>290</v>
      </c>
      <c r="I3734" s="2" t="s">
        <v>437</v>
      </c>
      <c r="J3734" s="2" t="s">
        <v>438</v>
      </c>
      <c r="L3734" s="2" t="s">
        <v>339</v>
      </c>
      <c r="M3734" s="2" t="s">
        <v>80</v>
      </c>
      <c r="P3734" s="2" t="s">
        <v>72</v>
      </c>
      <c r="Q3734" s="2" t="s">
        <v>1035</v>
      </c>
      <c r="R3734" s="2" t="s">
        <v>79</v>
      </c>
      <c r="S3734" s="2">
        <v>1</v>
      </c>
      <c r="T3734" s="2">
        <v>202.4</v>
      </c>
      <c r="U3734" s="2">
        <v>46.552000000000007</v>
      </c>
      <c r="V3734" s="2">
        <v>248.952</v>
      </c>
      <c r="W3734" s="2">
        <v>113.33</v>
      </c>
      <c r="X3734" s="5">
        <f t="shared" si="551"/>
        <v>0.44006916996047435</v>
      </c>
      <c r="Z3734" s="2" t="s">
        <v>3227</v>
      </c>
      <c r="AA3734" s="2" t="s">
        <v>75</v>
      </c>
      <c r="AB3734" s="2" t="s">
        <v>76</v>
      </c>
      <c r="AC3734" s="2" t="s">
        <v>77</v>
      </c>
      <c r="AF3734" s="2">
        <f t="shared" si="549"/>
        <v>0</v>
      </c>
      <c r="AG3734" s="2">
        <v>113.33</v>
      </c>
      <c r="AH3734" s="2">
        <v>220</v>
      </c>
      <c r="AJ3734" s="2">
        <f t="shared" si="550"/>
        <v>0</v>
      </c>
      <c r="AK3734" s="2">
        <f t="shared" si="552"/>
        <v>89.070000000000007</v>
      </c>
      <c r="AL3734" s="5">
        <f t="shared" si="553"/>
        <v>0.44006916996047435</v>
      </c>
    </row>
    <row r="3735" spans="1:38" x14ac:dyDescent="0.2">
      <c r="A3735" s="2">
        <v>2026</v>
      </c>
      <c r="B3735" s="2">
        <v>4</v>
      </c>
      <c r="D3735" s="2" t="s">
        <v>542</v>
      </c>
      <c r="E3735" s="2" t="s">
        <v>108</v>
      </c>
      <c r="F3735" s="2" t="s">
        <v>39</v>
      </c>
      <c r="G3735" s="2">
        <v>506411206</v>
      </c>
      <c r="H3735" s="2" t="s">
        <v>41</v>
      </c>
      <c r="I3735" s="2" t="s">
        <v>543</v>
      </c>
      <c r="J3735" s="2" t="s">
        <v>544</v>
      </c>
      <c r="L3735" s="2" t="s">
        <v>201</v>
      </c>
      <c r="M3735" s="2" t="s">
        <v>41</v>
      </c>
      <c r="O3735" s="2" t="s">
        <v>2884</v>
      </c>
      <c r="P3735" s="2" t="s">
        <v>72</v>
      </c>
      <c r="Q3735" s="2" t="s">
        <v>78</v>
      </c>
      <c r="R3735" s="2" t="s">
        <v>79</v>
      </c>
      <c r="S3735" s="2">
        <v>1</v>
      </c>
      <c r="T3735" s="2">
        <v>220</v>
      </c>
      <c r="U3735" s="2">
        <v>50.6</v>
      </c>
      <c r="V3735" s="2">
        <v>270.60000000000002</v>
      </c>
      <c r="W3735" s="2">
        <v>111.98</v>
      </c>
      <c r="X3735" s="5">
        <f t="shared" si="551"/>
        <v>0.49099999999999999</v>
      </c>
      <c r="Z3735" s="2" t="s">
        <v>3227</v>
      </c>
      <c r="AA3735" s="2" t="s">
        <v>75</v>
      </c>
      <c r="AB3735" s="2" t="s">
        <v>76</v>
      </c>
      <c r="AC3735" s="2" t="s">
        <v>77</v>
      </c>
      <c r="AF3735" s="2">
        <f t="shared" si="549"/>
        <v>0</v>
      </c>
      <c r="AG3735" s="2">
        <v>111.98</v>
      </c>
      <c r="AH3735" s="2">
        <v>210</v>
      </c>
      <c r="AJ3735" s="2">
        <f t="shared" si="550"/>
        <v>0</v>
      </c>
      <c r="AK3735" s="2">
        <f t="shared" si="552"/>
        <v>108.02</v>
      </c>
      <c r="AL3735" s="5">
        <f t="shared" si="553"/>
        <v>0.49099999999999999</v>
      </c>
    </row>
    <row r="3736" spans="1:38" x14ac:dyDescent="0.2">
      <c r="A3736" s="2">
        <v>2026</v>
      </c>
      <c r="B3736" s="2">
        <v>4</v>
      </c>
      <c r="D3736" s="2" t="s">
        <v>2559</v>
      </c>
      <c r="M3736" s="2" t="s">
        <v>80</v>
      </c>
      <c r="P3736" s="2" t="s">
        <v>72</v>
      </c>
      <c r="Q3736" s="2" t="s">
        <v>196</v>
      </c>
      <c r="R3736" s="2" t="s">
        <v>197</v>
      </c>
      <c r="S3736" s="2">
        <v>1</v>
      </c>
      <c r="T3736" s="2">
        <v>300</v>
      </c>
      <c r="U3736" s="2">
        <v>69</v>
      </c>
      <c r="V3736" s="2">
        <v>369</v>
      </c>
      <c r="W3736" s="2">
        <v>187.99</v>
      </c>
      <c r="X3736" s="5">
        <f t="shared" si="551"/>
        <v>0.37336666666666662</v>
      </c>
      <c r="Z3736" s="2" t="s">
        <v>3227</v>
      </c>
      <c r="AA3736" s="2" t="s">
        <v>75</v>
      </c>
      <c r="AB3736" s="2" t="s">
        <v>76</v>
      </c>
      <c r="AC3736" s="2" t="s">
        <v>77</v>
      </c>
      <c r="AF3736" s="2">
        <f t="shared" si="549"/>
        <v>0</v>
      </c>
      <c r="AG3736" s="2">
        <v>187.99</v>
      </c>
      <c r="AJ3736" s="2">
        <f t="shared" si="550"/>
        <v>0</v>
      </c>
      <c r="AK3736" s="2">
        <f t="shared" si="552"/>
        <v>112.00999999999999</v>
      </c>
      <c r="AL3736" s="5">
        <f t="shared" si="553"/>
        <v>0.37336666666666662</v>
      </c>
    </row>
    <row r="3737" spans="1:38" x14ac:dyDescent="0.2">
      <c r="A3737" s="2">
        <v>2026</v>
      </c>
      <c r="B3737" s="2">
        <v>4</v>
      </c>
      <c r="D3737" s="2" t="s">
        <v>319</v>
      </c>
      <c r="E3737" s="2" t="s">
        <v>38</v>
      </c>
      <c r="F3737" s="2" t="s">
        <v>39</v>
      </c>
      <c r="G3737" s="2">
        <v>500883262</v>
      </c>
      <c r="H3737" s="2" t="s">
        <v>40</v>
      </c>
      <c r="I3737" s="2" t="s">
        <v>99</v>
      </c>
      <c r="J3737" s="2" t="s">
        <v>320</v>
      </c>
      <c r="L3737" s="2" t="s">
        <v>99</v>
      </c>
      <c r="M3737" s="2" t="s">
        <v>80</v>
      </c>
      <c r="O3737" s="2" t="s">
        <v>2885</v>
      </c>
      <c r="P3737" s="2" t="s">
        <v>1038</v>
      </c>
      <c r="Q3737" s="2" t="s">
        <v>2886</v>
      </c>
      <c r="R3737" s="2" t="s">
        <v>2887</v>
      </c>
      <c r="S3737" s="2">
        <v>1</v>
      </c>
      <c r="T3737" s="2">
        <v>350</v>
      </c>
      <c r="U3737" s="2">
        <v>80.5</v>
      </c>
      <c r="V3737" s="2">
        <v>430.5</v>
      </c>
      <c r="W3737" s="2">
        <v>177.24</v>
      </c>
      <c r="X3737" s="5">
        <f t="shared" si="551"/>
        <v>0.49359999999999998</v>
      </c>
      <c r="Z3737" s="2" t="s">
        <v>3227</v>
      </c>
      <c r="AA3737" s="2" t="s">
        <v>75</v>
      </c>
      <c r="AB3737" s="2" t="s">
        <v>76</v>
      </c>
      <c r="AC3737" s="2" t="s">
        <v>1038</v>
      </c>
      <c r="AF3737" s="2">
        <f t="shared" si="549"/>
        <v>0</v>
      </c>
      <c r="AJ3737" s="2">
        <f t="shared" si="550"/>
        <v>0</v>
      </c>
      <c r="AK3737" s="2">
        <f t="shared" si="552"/>
        <v>172.76</v>
      </c>
      <c r="AL3737" s="5">
        <f t="shared" si="553"/>
        <v>0.49359999999999998</v>
      </c>
    </row>
    <row r="3738" spans="1:38" x14ac:dyDescent="0.2">
      <c r="A3738" s="2">
        <v>2026</v>
      </c>
      <c r="B3738" s="2">
        <v>4</v>
      </c>
      <c r="D3738" s="2" t="s">
        <v>1295</v>
      </c>
      <c r="E3738" s="2" t="s">
        <v>183</v>
      </c>
      <c r="F3738" s="2" t="s">
        <v>366</v>
      </c>
      <c r="G3738" s="2">
        <v>500625654</v>
      </c>
      <c r="H3738" s="2" t="s">
        <v>290</v>
      </c>
      <c r="I3738" s="2" t="s">
        <v>339</v>
      </c>
      <c r="J3738" s="2" t="s">
        <v>1296</v>
      </c>
      <c r="L3738" s="2" t="s">
        <v>339</v>
      </c>
      <c r="M3738" s="2" t="s">
        <v>80</v>
      </c>
      <c r="O3738" s="2" t="s">
        <v>2888</v>
      </c>
      <c r="P3738" s="2" t="s">
        <v>1038</v>
      </c>
      <c r="Q3738" s="2" t="s">
        <v>2889</v>
      </c>
      <c r="R3738" s="2" t="s">
        <v>2890</v>
      </c>
      <c r="S3738" s="2">
        <v>1</v>
      </c>
      <c r="T3738" s="2">
        <v>213.4</v>
      </c>
      <c r="U3738" s="2">
        <v>49.082000000000001</v>
      </c>
      <c r="V3738" s="2">
        <v>262.48200000000003</v>
      </c>
      <c r="W3738" s="2">
        <v>141.16</v>
      </c>
      <c r="X3738" s="5">
        <f t="shared" si="551"/>
        <v>0.33851921274601693</v>
      </c>
      <c r="Z3738" s="2" t="s">
        <v>3227</v>
      </c>
      <c r="AA3738" s="2" t="s">
        <v>75</v>
      </c>
      <c r="AB3738" s="2" t="s">
        <v>76</v>
      </c>
      <c r="AC3738" s="2" t="s">
        <v>1038</v>
      </c>
      <c r="AF3738" s="2">
        <f t="shared" si="549"/>
        <v>0</v>
      </c>
      <c r="AG3738" s="2">
        <v>141.16</v>
      </c>
      <c r="AJ3738" s="2">
        <f t="shared" si="550"/>
        <v>0</v>
      </c>
      <c r="AK3738" s="2">
        <f t="shared" si="552"/>
        <v>72.240000000000009</v>
      </c>
      <c r="AL3738" s="5">
        <f t="shared" si="553"/>
        <v>0.33851921274601693</v>
      </c>
    </row>
    <row r="3739" spans="1:38" x14ac:dyDescent="0.2">
      <c r="A3739" s="2">
        <v>2026</v>
      </c>
      <c r="B3739" s="2">
        <v>4</v>
      </c>
      <c r="D3739" s="2" t="s">
        <v>37</v>
      </c>
      <c r="E3739" s="2" t="s">
        <v>38</v>
      </c>
      <c r="F3739" s="2" t="s">
        <v>39</v>
      </c>
      <c r="G3739" s="2">
        <v>516276506</v>
      </c>
      <c r="H3739" s="2" t="s">
        <v>40</v>
      </c>
      <c r="I3739" s="2" t="s">
        <v>3157</v>
      </c>
      <c r="L3739" s="2" t="s">
        <v>112</v>
      </c>
      <c r="M3739" s="2" t="s">
        <v>80</v>
      </c>
      <c r="O3739" s="2" t="s">
        <v>3159</v>
      </c>
      <c r="P3739" s="2" t="s">
        <v>1038</v>
      </c>
      <c r="Q3739" s="2" t="s">
        <v>2891</v>
      </c>
      <c r="R3739" s="2" t="s">
        <v>2892</v>
      </c>
      <c r="S3739" s="2">
        <v>5</v>
      </c>
      <c r="T3739" s="2">
        <v>1058</v>
      </c>
      <c r="U3739" s="2">
        <v>243.34</v>
      </c>
      <c r="V3739" s="2">
        <v>1301.3399999999999</v>
      </c>
      <c r="W3739" s="2">
        <f>115*S3739</f>
        <v>575</v>
      </c>
      <c r="X3739" s="5">
        <f t="shared" si="551"/>
        <v>0.45652173913043476</v>
      </c>
      <c r="Z3739" s="2" t="s">
        <v>3227</v>
      </c>
      <c r="AA3739" s="2" t="s">
        <v>75</v>
      </c>
      <c r="AB3739" s="2" t="s">
        <v>76</v>
      </c>
      <c r="AC3739" s="2" t="s">
        <v>1038</v>
      </c>
      <c r="AF3739" s="2">
        <f t="shared" si="549"/>
        <v>0</v>
      </c>
      <c r="AG3739" s="2">
        <v>115</v>
      </c>
      <c r="AJ3739" s="2">
        <f t="shared" si="550"/>
        <v>0</v>
      </c>
      <c r="AK3739" s="2">
        <f t="shared" si="552"/>
        <v>483</v>
      </c>
      <c r="AL3739" s="5">
        <f t="shared" si="553"/>
        <v>0.45652173913043476</v>
      </c>
    </row>
    <row r="3740" spans="1:38" x14ac:dyDescent="0.2">
      <c r="A3740" s="2">
        <v>2026</v>
      </c>
      <c r="B3740" s="2">
        <v>4</v>
      </c>
      <c r="D3740" s="2" t="s">
        <v>2526</v>
      </c>
      <c r="G3740" s="2">
        <v>503687014</v>
      </c>
      <c r="L3740" s="2" t="s">
        <v>133</v>
      </c>
      <c r="M3740" s="2" t="s">
        <v>109</v>
      </c>
      <c r="O3740" s="2" t="s">
        <v>3158</v>
      </c>
      <c r="P3740" s="2" t="s">
        <v>1038</v>
      </c>
      <c r="Q3740" s="2" t="s">
        <v>2891</v>
      </c>
      <c r="R3740" s="2" t="s">
        <v>2892</v>
      </c>
      <c r="S3740" s="2">
        <v>1</v>
      </c>
      <c r="T3740" s="2">
        <v>220</v>
      </c>
      <c r="U3740" s="2">
        <v>50.6</v>
      </c>
      <c r="V3740" s="2">
        <v>270.60000000000002</v>
      </c>
      <c r="W3740" s="2">
        <f>115*S3740</f>
        <v>115</v>
      </c>
      <c r="X3740" s="5">
        <f t="shared" si="551"/>
        <v>0.47727272727272729</v>
      </c>
      <c r="Z3740" s="2" t="s">
        <v>3227</v>
      </c>
      <c r="AA3740" s="2" t="s">
        <v>75</v>
      </c>
      <c r="AB3740" s="2" t="s">
        <v>76</v>
      </c>
      <c r="AC3740" s="2" t="s">
        <v>1038</v>
      </c>
      <c r="AF3740" s="2">
        <f t="shared" si="549"/>
        <v>0</v>
      </c>
      <c r="AG3740" s="2">
        <v>115</v>
      </c>
      <c r="AJ3740" s="2">
        <f t="shared" si="550"/>
        <v>0</v>
      </c>
      <c r="AK3740" s="2">
        <f t="shared" si="552"/>
        <v>105</v>
      </c>
      <c r="AL3740" s="5">
        <f t="shared" si="553"/>
        <v>0.47727272727272729</v>
      </c>
    </row>
    <row r="3741" spans="1:38" x14ac:dyDescent="0.2">
      <c r="A3741" s="2">
        <v>2026</v>
      </c>
      <c r="B3741" s="2">
        <v>4</v>
      </c>
      <c r="D3741" s="2" t="s">
        <v>2559</v>
      </c>
      <c r="M3741" s="2" t="s">
        <v>80</v>
      </c>
      <c r="O3741" s="2" t="s">
        <v>3163</v>
      </c>
      <c r="P3741" s="2" t="s">
        <v>1038</v>
      </c>
      <c r="Q3741" s="2" t="s">
        <v>2893</v>
      </c>
      <c r="R3741" s="2" t="s">
        <v>2894</v>
      </c>
      <c r="S3741" s="2">
        <v>1</v>
      </c>
      <c r="T3741" s="2">
        <v>390</v>
      </c>
      <c r="U3741" s="2">
        <v>89.7</v>
      </c>
      <c r="V3741" s="2">
        <v>479.7</v>
      </c>
      <c r="W3741" s="2">
        <v>210.62</v>
      </c>
      <c r="X3741" s="5">
        <f t="shared" si="551"/>
        <v>0.45994871794871794</v>
      </c>
      <c r="Z3741" s="2" t="s">
        <v>3227</v>
      </c>
      <c r="AA3741" s="2" t="s">
        <v>75</v>
      </c>
      <c r="AB3741" s="2" t="s">
        <v>76</v>
      </c>
      <c r="AC3741" s="2" t="s">
        <v>1038</v>
      </c>
      <c r="AF3741" s="2">
        <f t="shared" si="549"/>
        <v>0</v>
      </c>
      <c r="AJ3741" s="2">
        <f t="shared" si="550"/>
        <v>0</v>
      </c>
      <c r="AK3741" s="2">
        <f t="shared" si="552"/>
        <v>179.38</v>
      </c>
      <c r="AL3741" s="5">
        <f t="shared" si="553"/>
        <v>0.45994871794871794</v>
      </c>
    </row>
    <row r="3742" spans="1:38" x14ac:dyDescent="0.2">
      <c r="A3742" s="2">
        <v>2026</v>
      </c>
      <c r="B3742" s="2">
        <v>4</v>
      </c>
      <c r="D3742" s="2" t="s">
        <v>769</v>
      </c>
      <c r="E3742" s="2" t="s">
        <v>108</v>
      </c>
      <c r="F3742" s="2" t="s">
        <v>376</v>
      </c>
      <c r="G3742" s="2">
        <v>505926768</v>
      </c>
      <c r="H3742" s="2" t="s">
        <v>290</v>
      </c>
      <c r="I3742" s="2" t="s">
        <v>770</v>
      </c>
      <c r="J3742" s="2" t="s">
        <v>771</v>
      </c>
      <c r="L3742" s="2" t="s">
        <v>339</v>
      </c>
      <c r="M3742" s="2" t="s">
        <v>80</v>
      </c>
      <c r="O3742" s="2" t="s">
        <v>2895</v>
      </c>
      <c r="P3742" s="2" t="s">
        <v>1038</v>
      </c>
      <c r="Q3742" s="2" t="s">
        <v>2739</v>
      </c>
      <c r="R3742" s="2" t="s">
        <v>2740</v>
      </c>
      <c r="S3742" s="2">
        <v>1</v>
      </c>
      <c r="T3742" s="2">
        <v>274.88</v>
      </c>
      <c r="U3742" s="2">
        <v>63.2224</v>
      </c>
      <c r="V3742" s="2">
        <v>338.10239999999999</v>
      </c>
      <c r="W3742" s="2">
        <v>153.34</v>
      </c>
      <c r="X3742" s="5">
        <f t="shared" si="551"/>
        <v>0.44215657741559949</v>
      </c>
      <c r="Z3742" s="2" t="s">
        <v>3227</v>
      </c>
      <c r="AA3742" s="2" t="s">
        <v>75</v>
      </c>
      <c r="AB3742" s="2" t="s">
        <v>76</v>
      </c>
      <c r="AC3742" s="2" t="s">
        <v>1038</v>
      </c>
      <c r="AF3742" s="2">
        <f t="shared" si="549"/>
        <v>0</v>
      </c>
      <c r="AG3742" s="2">
        <v>153.34</v>
      </c>
      <c r="AJ3742" s="2">
        <f t="shared" si="550"/>
        <v>0</v>
      </c>
      <c r="AK3742" s="2">
        <f t="shared" si="552"/>
        <v>121.53999999999999</v>
      </c>
      <c r="AL3742" s="5">
        <f t="shared" si="553"/>
        <v>0.44215657741559949</v>
      </c>
    </row>
    <row r="3743" spans="1:38" x14ac:dyDescent="0.2">
      <c r="A3743" s="2">
        <v>2026</v>
      </c>
      <c r="B3743" s="2">
        <v>4</v>
      </c>
      <c r="D3743" s="2" t="s">
        <v>1553</v>
      </c>
      <c r="E3743" s="2" t="s">
        <v>108</v>
      </c>
      <c r="F3743" s="2" t="s">
        <v>717</v>
      </c>
      <c r="G3743" s="2">
        <v>500975914</v>
      </c>
      <c r="H3743" s="2" t="s">
        <v>41</v>
      </c>
      <c r="I3743" s="2" t="s">
        <v>1554</v>
      </c>
      <c r="J3743" s="2" t="s">
        <v>1555</v>
      </c>
      <c r="L3743" s="2" t="s">
        <v>177</v>
      </c>
      <c r="M3743" s="2" t="s">
        <v>41</v>
      </c>
      <c r="P3743" s="2" t="s">
        <v>1038</v>
      </c>
      <c r="Q3743" s="2" t="s">
        <v>2739</v>
      </c>
      <c r="R3743" s="2" t="s">
        <v>2740</v>
      </c>
      <c r="S3743" s="2">
        <v>-1</v>
      </c>
      <c r="T3743" s="2">
        <v>-290</v>
      </c>
      <c r="U3743" s="2">
        <v>-66.7</v>
      </c>
      <c r="V3743" s="2">
        <v>-356.7</v>
      </c>
      <c r="W3743" s="2">
        <v>153.34</v>
      </c>
      <c r="X3743" s="18">
        <f>SIGN(T3743)*((ABS(T3743)-W3743)/ABS(T3743))</f>
        <v>-0.47124137931034482</v>
      </c>
      <c r="Z3743" s="2" t="s">
        <v>3227</v>
      </c>
      <c r="AA3743" s="2" t="s">
        <v>75</v>
      </c>
      <c r="AB3743" s="2" t="s">
        <v>76</v>
      </c>
      <c r="AC3743" s="2" t="s">
        <v>1038</v>
      </c>
      <c r="AF3743" s="2">
        <f t="shared" si="549"/>
        <v>0</v>
      </c>
      <c r="AJ3743" s="2">
        <f t="shared" si="550"/>
        <v>0</v>
      </c>
      <c r="AK3743" s="2">
        <f>T3743+(W3743)</f>
        <v>-136.66</v>
      </c>
      <c r="AL3743" s="18">
        <f>SIGN(T3743)*((ABS(T3743)-W3743)/ABS(T3743))</f>
        <v>-0.47124137931034482</v>
      </c>
    </row>
    <row r="3744" spans="1:38" x14ac:dyDescent="0.2">
      <c r="A3744" s="2">
        <v>2026</v>
      </c>
      <c r="B3744" s="2">
        <v>4</v>
      </c>
      <c r="D3744" s="2" t="s">
        <v>37</v>
      </c>
      <c r="E3744" s="2" t="s">
        <v>38</v>
      </c>
      <c r="F3744" s="2" t="s">
        <v>39</v>
      </c>
      <c r="H3744" s="2" t="s">
        <v>40</v>
      </c>
      <c r="P3744" s="2" t="s">
        <v>84</v>
      </c>
      <c r="Q3744" s="2" t="s">
        <v>1971</v>
      </c>
      <c r="R3744" s="2" t="s">
        <v>1972</v>
      </c>
      <c r="S3744" s="2">
        <v>1</v>
      </c>
      <c r="T3744" s="2">
        <v>14</v>
      </c>
      <c r="U3744" s="2">
        <v>3.22</v>
      </c>
      <c r="V3744" s="2">
        <v>17.22</v>
      </c>
      <c r="X3744" s="5">
        <f t="shared" ref="X3744:X3766" si="554">(T3744-W3744)/T3744</f>
        <v>1</v>
      </c>
      <c r="Z3744" s="2" t="s">
        <v>3227</v>
      </c>
      <c r="AA3744" s="2" t="s">
        <v>87</v>
      </c>
      <c r="AB3744" s="2" t="s">
        <v>90</v>
      </c>
      <c r="AC3744" s="2" t="s">
        <v>84</v>
      </c>
      <c r="AF3744" s="2">
        <f t="shared" si="549"/>
        <v>0</v>
      </c>
      <c r="AJ3744" s="2">
        <f t="shared" si="550"/>
        <v>0</v>
      </c>
      <c r="AK3744" s="2">
        <f t="shared" ref="AK3744:AK3775" si="555">T3744-W3744</f>
        <v>14</v>
      </c>
      <c r="AL3744" s="5">
        <f t="shared" ref="AL3744:AL3766" si="556">(T3744-W3744)/T3744</f>
        <v>1</v>
      </c>
    </row>
    <row r="3745" spans="1:38" x14ac:dyDescent="0.2">
      <c r="A3745" s="2">
        <v>2026</v>
      </c>
      <c r="B3745" s="2">
        <v>3</v>
      </c>
      <c r="D3745" s="2" t="s">
        <v>2852</v>
      </c>
      <c r="M3745" s="2" t="s">
        <v>80</v>
      </c>
      <c r="P3745" s="2" t="s">
        <v>43</v>
      </c>
      <c r="Q3745" s="2" t="s">
        <v>54</v>
      </c>
      <c r="R3745" s="2" t="s">
        <v>55</v>
      </c>
      <c r="S3745" s="2">
        <v>1</v>
      </c>
      <c r="T3745" s="2">
        <v>18</v>
      </c>
      <c r="U3745" s="2">
        <v>4.1400000000000006</v>
      </c>
      <c r="V3745" s="2">
        <v>22.14</v>
      </c>
      <c r="W3745" s="2">
        <f>10.6*S3745</f>
        <v>10.6</v>
      </c>
      <c r="X3745" s="5">
        <f t="shared" si="554"/>
        <v>0.41111111111111115</v>
      </c>
      <c r="Z3745" s="2" t="s">
        <v>3227</v>
      </c>
      <c r="AA3745" s="2" t="s">
        <v>46</v>
      </c>
      <c r="AB3745" s="2" t="s">
        <v>56</v>
      </c>
      <c r="AC3745" s="2" t="s">
        <v>57</v>
      </c>
      <c r="AF3745" s="2">
        <f t="shared" si="549"/>
        <v>0</v>
      </c>
      <c r="AG3745" s="2">
        <v>10.6</v>
      </c>
      <c r="AH3745" s="2">
        <v>18</v>
      </c>
      <c r="AJ3745" s="2">
        <f t="shared" si="550"/>
        <v>0</v>
      </c>
      <c r="AK3745" s="2">
        <f t="shared" si="555"/>
        <v>7.4</v>
      </c>
      <c r="AL3745" s="5">
        <f t="shared" si="556"/>
        <v>0.41111111111111115</v>
      </c>
    </row>
    <row r="3746" spans="1:38" x14ac:dyDescent="0.2">
      <c r="A3746" s="2">
        <v>2026</v>
      </c>
      <c r="B3746" s="2">
        <v>4</v>
      </c>
      <c r="D3746" s="2" t="s">
        <v>37</v>
      </c>
      <c r="E3746" s="2" t="s">
        <v>38</v>
      </c>
      <c r="F3746" s="2" t="s">
        <v>39</v>
      </c>
      <c r="H3746" s="2" t="s">
        <v>40</v>
      </c>
      <c r="P3746" s="2" t="s">
        <v>84</v>
      </c>
      <c r="Q3746" s="2" t="s">
        <v>270</v>
      </c>
      <c r="R3746" s="2" t="s">
        <v>271</v>
      </c>
      <c r="S3746" s="2">
        <v>1</v>
      </c>
      <c r="T3746" s="2">
        <v>12</v>
      </c>
      <c r="U3746" s="2">
        <v>2.76</v>
      </c>
      <c r="V3746" s="2">
        <v>14.76</v>
      </c>
      <c r="W3746" s="2">
        <v>6.86</v>
      </c>
      <c r="X3746" s="5">
        <f t="shared" si="554"/>
        <v>0.42833333333333329</v>
      </c>
      <c r="Z3746" s="2" t="s">
        <v>3227</v>
      </c>
      <c r="AA3746" s="2" t="s">
        <v>87</v>
      </c>
      <c r="AB3746" s="2" t="s">
        <v>90</v>
      </c>
      <c r="AC3746" s="2" t="s">
        <v>84</v>
      </c>
      <c r="AF3746" s="2">
        <f t="shared" si="549"/>
        <v>0</v>
      </c>
      <c r="AJ3746" s="2">
        <f t="shared" si="550"/>
        <v>0</v>
      </c>
      <c r="AK3746" s="2">
        <f t="shared" si="555"/>
        <v>5.14</v>
      </c>
      <c r="AL3746" s="5">
        <f t="shared" si="556"/>
        <v>0.42833333333333329</v>
      </c>
    </row>
    <row r="3747" spans="1:38" x14ac:dyDescent="0.2">
      <c r="A3747" s="2">
        <v>2026</v>
      </c>
      <c r="B3747" s="2">
        <v>4</v>
      </c>
      <c r="D3747" s="2" t="s">
        <v>980</v>
      </c>
      <c r="M3747" s="2" t="s">
        <v>41</v>
      </c>
      <c r="P3747" s="2" t="s">
        <v>84</v>
      </c>
      <c r="Q3747" s="2" t="s">
        <v>270</v>
      </c>
      <c r="R3747" s="2" t="s">
        <v>271</v>
      </c>
      <c r="S3747" s="2">
        <v>1</v>
      </c>
      <c r="T3747" s="2">
        <v>12</v>
      </c>
      <c r="U3747" s="2">
        <v>2.76</v>
      </c>
      <c r="V3747" s="2">
        <v>14.76</v>
      </c>
      <c r="W3747" s="2">
        <v>6.86</v>
      </c>
      <c r="X3747" s="5">
        <f t="shared" si="554"/>
        <v>0.42833333333333329</v>
      </c>
      <c r="Z3747" s="2" t="s">
        <v>3227</v>
      </c>
      <c r="AA3747" s="2" t="s">
        <v>87</v>
      </c>
      <c r="AB3747" s="2" t="s">
        <v>90</v>
      </c>
      <c r="AC3747" s="2" t="s">
        <v>84</v>
      </c>
      <c r="AF3747" s="2">
        <f t="shared" si="549"/>
        <v>0</v>
      </c>
      <c r="AJ3747" s="2">
        <f t="shared" si="550"/>
        <v>0</v>
      </c>
      <c r="AK3747" s="2">
        <f t="shared" si="555"/>
        <v>5.14</v>
      </c>
      <c r="AL3747" s="5">
        <f t="shared" si="556"/>
        <v>0.42833333333333329</v>
      </c>
    </row>
    <row r="3748" spans="1:38" x14ac:dyDescent="0.2">
      <c r="A3748" s="2">
        <v>2026</v>
      </c>
      <c r="B3748" s="2">
        <v>4</v>
      </c>
      <c r="D3748" s="2" t="s">
        <v>1015</v>
      </c>
      <c r="E3748" s="2" t="s">
        <v>108</v>
      </c>
      <c r="F3748" s="2" t="s">
        <v>477</v>
      </c>
      <c r="G3748" s="2">
        <v>503815284</v>
      </c>
      <c r="H3748" s="2" t="s">
        <v>40</v>
      </c>
      <c r="I3748" s="2" t="s">
        <v>156</v>
      </c>
      <c r="J3748" s="2" t="s">
        <v>2538</v>
      </c>
      <c r="L3748" s="2" t="s">
        <v>99</v>
      </c>
      <c r="M3748" s="2" t="s">
        <v>80</v>
      </c>
      <c r="O3748" s="2" t="s">
        <v>2845</v>
      </c>
      <c r="P3748" s="2" t="s">
        <v>84</v>
      </c>
      <c r="Q3748" s="2" t="s">
        <v>274</v>
      </c>
      <c r="R3748" s="2" t="s">
        <v>275</v>
      </c>
      <c r="S3748" s="2">
        <v>2</v>
      </c>
      <c r="T3748" s="2">
        <v>12</v>
      </c>
      <c r="U3748" s="2">
        <v>2.76</v>
      </c>
      <c r="V3748" s="2">
        <v>14.76</v>
      </c>
      <c r="W3748" s="2">
        <f>2.94*S3748</f>
        <v>5.88</v>
      </c>
      <c r="X3748" s="5">
        <f t="shared" si="554"/>
        <v>0.51</v>
      </c>
      <c r="Z3748" s="2" t="s">
        <v>3227</v>
      </c>
      <c r="AA3748" s="2" t="s">
        <v>87</v>
      </c>
      <c r="AB3748" s="2" t="s">
        <v>90</v>
      </c>
      <c r="AC3748" s="2" t="s">
        <v>84</v>
      </c>
      <c r="AF3748" s="2">
        <f t="shared" si="549"/>
        <v>0</v>
      </c>
      <c r="AG3748" s="2">
        <v>2.94</v>
      </c>
      <c r="AJ3748" s="2">
        <f t="shared" si="550"/>
        <v>0</v>
      </c>
      <c r="AK3748" s="2">
        <f t="shared" si="555"/>
        <v>6.12</v>
      </c>
      <c r="AL3748" s="5">
        <f t="shared" si="556"/>
        <v>0.51</v>
      </c>
    </row>
    <row r="3749" spans="1:38" x14ac:dyDescent="0.2">
      <c r="A3749" s="2">
        <v>2026</v>
      </c>
      <c r="B3749" s="2">
        <v>4</v>
      </c>
      <c r="D3749" s="2" t="s">
        <v>2846</v>
      </c>
      <c r="M3749" s="2" t="s">
        <v>80</v>
      </c>
      <c r="P3749" s="2" t="s">
        <v>84</v>
      </c>
      <c r="Q3749" s="2" t="s">
        <v>274</v>
      </c>
      <c r="R3749" s="2" t="s">
        <v>275</v>
      </c>
      <c r="S3749" s="2">
        <v>1</v>
      </c>
      <c r="T3749" s="2">
        <v>12.6</v>
      </c>
      <c r="U3749" s="2">
        <v>2.8980000000000001</v>
      </c>
      <c r="V3749" s="2">
        <v>15.497999999999999</v>
      </c>
      <c r="W3749" s="2">
        <v>2.94</v>
      </c>
      <c r="X3749" s="5">
        <f t="shared" si="554"/>
        <v>0.76666666666666672</v>
      </c>
      <c r="Z3749" s="2" t="s">
        <v>3227</v>
      </c>
      <c r="AA3749" s="2" t="s">
        <v>87</v>
      </c>
      <c r="AB3749" s="2" t="s">
        <v>90</v>
      </c>
      <c r="AC3749" s="2" t="s">
        <v>84</v>
      </c>
      <c r="AF3749" s="2">
        <f t="shared" si="549"/>
        <v>0</v>
      </c>
      <c r="AJ3749" s="2">
        <f t="shared" si="550"/>
        <v>0</v>
      </c>
      <c r="AK3749" s="2">
        <f t="shared" si="555"/>
        <v>9.66</v>
      </c>
      <c r="AL3749" s="5">
        <f t="shared" si="556"/>
        <v>0.76666666666666672</v>
      </c>
    </row>
    <row r="3750" spans="1:38" x14ac:dyDescent="0.2">
      <c r="A3750" s="2">
        <v>2026</v>
      </c>
      <c r="B3750" s="2">
        <v>4</v>
      </c>
      <c r="D3750" s="2" t="s">
        <v>37</v>
      </c>
      <c r="E3750" s="2" t="s">
        <v>38</v>
      </c>
      <c r="F3750" s="2" t="s">
        <v>39</v>
      </c>
      <c r="H3750" s="2" t="s">
        <v>40</v>
      </c>
      <c r="P3750" s="2" t="s">
        <v>84</v>
      </c>
      <c r="Q3750" s="2" t="s">
        <v>91</v>
      </c>
      <c r="R3750" s="2" t="s">
        <v>92</v>
      </c>
      <c r="S3750" s="2">
        <v>2</v>
      </c>
      <c r="T3750" s="2">
        <v>8.4</v>
      </c>
      <c r="U3750" s="2">
        <v>1.9319999999999999</v>
      </c>
      <c r="V3750" s="2">
        <v>10.332000000000001</v>
      </c>
      <c r="W3750" s="2">
        <f>2.475*S3750</f>
        <v>4.95</v>
      </c>
      <c r="X3750" s="5">
        <f t="shared" si="554"/>
        <v>0.4107142857142857</v>
      </c>
      <c r="Z3750" s="2" t="s">
        <v>3227</v>
      </c>
      <c r="AA3750" s="2" t="s">
        <v>87</v>
      </c>
      <c r="AB3750" s="2" t="s">
        <v>90</v>
      </c>
      <c r="AC3750" s="2" t="s">
        <v>84</v>
      </c>
      <c r="AF3750" s="2">
        <f t="shared" si="549"/>
        <v>0</v>
      </c>
      <c r="AJ3750" s="2">
        <f t="shared" si="550"/>
        <v>0</v>
      </c>
      <c r="AK3750" s="2">
        <f t="shared" si="555"/>
        <v>3.45</v>
      </c>
      <c r="AL3750" s="5">
        <f t="shared" si="556"/>
        <v>0.4107142857142857</v>
      </c>
    </row>
    <row r="3751" spans="1:38" x14ac:dyDescent="0.2">
      <c r="A3751" s="2">
        <v>2026</v>
      </c>
      <c r="B3751" s="2">
        <v>4</v>
      </c>
      <c r="D3751" s="2" t="s">
        <v>1015</v>
      </c>
      <c r="E3751" s="2" t="s">
        <v>108</v>
      </c>
      <c r="F3751" s="2" t="s">
        <v>477</v>
      </c>
      <c r="G3751" s="2">
        <v>503815284</v>
      </c>
      <c r="H3751" s="2" t="s">
        <v>40</v>
      </c>
      <c r="I3751" s="2" t="s">
        <v>156</v>
      </c>
      <c r="J3751" s="2" t="s">
        <v>2538</v>
      </c>
      <c r="L3751" s="2" t="s">
        <v>99</v>
      </c>
      <c r="M3751" s="2" t="s">
        <v>80</v>
      </c>
      <c r="O3751" s="2" t="s">
        <v>2845</v>
      </c>
      <c r="P3751" s="2" t="s">
        <v>84</v>
      </c>
      <c r="Q3751" s="2" t="s">
        <v>276</v>
      </c>
      <c r="R3751" s="2" t="s">
        <v>277</v>
      </c>
      <c r="S3751" s="2">
        <v>1</v>
      </c>
      <c r="T3751" s="2">
        <v>7.2</v>
      </c>
      <c r="U3751" s="2">
        <v>1.6559999999999999</v>
      </c>
      <c r="V3751" s="2">
        <v>8.8559999999999999</v>
      </c>
      <c r="W3751" s="2">
        <v>2.5051000000000001</v>
      </c>
      <c r="X3751" s="5">
        <f t="shared" si="554"/>
        <v>0.65206944444444448</v>
      </c>
      <c r="Z3751" s="2" t="s">
        <v>3227</v>
      </c>
      <c r="AA3751" s="2" t="s">
        <v>87</v>
      </c>
      <c r="AB3751" s="2" t="s">
        <v>90</v>
      </c>
      <c r="AC3751" s="2" t="s">
        <v>84</v>
      </c>
      <c r="AF3751" s="2">
        <f t="shared" si="549"/>
        <v>0</v>
      </c>
      <c r="AG3751" s="2">
        <v>2.5051000000000001</v>
      </c>
      <c r="AJ3751" s="2">
        <f t="shared" si="550"/>
        <v>0</v>
      </c>
      <c r="AK3751" s="2">
        <f t="shared" si="555"/>
        <v>4.6949000000000005</v>
      </c>
      <c r="AL3751" s="5">
        <f t="shared" si="556"/>
        <v>0.65206944444444448</v>
      </c>
    </row>
    <row r="3752" spans="1:38" x14ac:dyDescent="0.2">
      <c r="A3752" s="2">
        <v>2026</v>
      </c>
      <c r="B3752" s="2">
        <v>4</v>
      </c>
      <c r="D3752" s="2" t="s">
        <v>2846</v>
      </c>
      <c r="M3752" s="2" t="s">
        <v>80</v>
      </c>
      <c r="P3752" s="2" t="s">
        <v>84</v>
      </c>
      <c r="Q3752" s="2" t="s">
        <v>276</v>
      </c>
      <c r="R3752" s="2" t="s">
        <v>277</v>
      </c>
      <c r="S3752" s="2">
        <v>1</v>
      </c>
      <c r="T3752" s="2">
        <v>12.6</v>
      </c>
      <c r="U3752" s="2">
        <v>2.8980000000000001</v>
      </c>
      <c r="V3752" s="2">
        <v>15.497999999999999</v>
      </c>
      <c r="W3752" s="2">
        <v>2.5051000000000001</v>
      </c>
      <c r="X3752" s="5">
        <f t="shared" si="554"/>
        <v>0.80118253968253961</v>
      </c>
      <c r="Z3752" s="2" t="s">
        <v>3227</v>
      </c>
      <c r="AA3752" s="2" t="s">
        <v>87</v>
      </c>
      <c r="AB3752" s="2" t="s">
        <v>90</v>
      </c>
      <c r="AC3752" s="2" t="s">
        <v>84</v>
      </c>
      <c r="AF3752" s="2">
        <f t="shared" si="549"/>
        <v>0</v>
      </c>
      <c r="AJ3752" s="2">
        <f t="shared" si="550"/>
        <v>0</v>
      </c>
      <c r="AK3752" s="2">
        <f t="shared" si="555"/>
        <v>10.094899999999999</v>
      </c>
      <c r="AL3752" s="5">
        <f t="shared" si="556"/>
        <v>0.80118253968253961</v>
      </c>
    </row>
    <row r="3753" spans="1:38" x14ac:dyDescent="0.2">
      <c r="A3753" s="2">
        <v>2026</v>
      </c>
      <c r="B3753" s="2">
        <v>4</v>
      </c>
      <c r="D3753" s="2" t="s">
        <v>563</v>
      </c>
      <c r="E3753" s="2" t="s">
        <v>108</v>
      </c>
      <c r="F3753" s="2" t="s">
        <v>39</v>
      </c>
      <c r="G3753" s="2">
        <v>510917011</v>
      </c>
      <c r="H3753" s="2" t="s">
        <v>41</v>
      </c>
      <c r="I3753" s="2" t="s">
        <v>564</v>
      </c>
      <c r="J3753" s="2" t="s">
        <v>565</v>
      </c>
      <c r="L3753" s="2" t="s">
        <v>418</v>
      </c>
      <c r="M3753" s="2" t="s">
        <v>41</v>
      </c>
      <c r="O3753" s="2" t="s">
        <v>2896</v>
      </c>
      <c r="P3753" s="2" t="s">
        <v>2897</v>
      </c>
      <c r="Q3753" s="2" t="s">
        <v>2898</v>
      </c>
      <c r="R3753" s="2" t="s">
        <v>2899</v>
      </c>
      <c r="S3753" s="2">
        <v>1</v>
      </c>
      <c r="T3753" s="2">
        <v>199</v>
      </c>
      <c r="U3753" s="2">
        <v>45.77</v>
      </c>
      <c r="V3753" s="2">
        <v>244.77</v>
      </c>
      <c r="W3753" s="2">
        <v>149.25</v>
      </c>
      <c r="X3753" s="5">
        <f t="shared" si="554"/>
        <v>0.25</v>
      </c>
      <c r="Z3753" s="2" t="s">
        <v>3227</v>
      </c>
      <c r="AA3753" s="2" t="s">
        <v>71</v>
      </c>
      <c r="AB3753" s="2" t="s">
        <v>2897</v>
      </c>
      <c r="AC3753" s="2" t="s">
        <v>2897</v>
      </c>
      <c r="AF3753" s="2">
        <f t="shared" si="549"/>
        <v>0</v>
      </c>
      <c r="AG3753" s="2">
        <v>149.25</v>
      </c>
      <c r="AJ3753" s="2">
        <f t="shared" si="550"/>
        <v>0</v>
      </c>
      <c r="AK3753" s="2">
        <f t="shared" si="555"/>
        <v>49.75</v>
      </c>
      <c r="AL3753" s="5">
        <f t="shared" si="556"/>
        <v>0.25</v>
      </c>
    </row>
    <row r="3754" spans="1:38" x14ac:dyDescent="0.2">
      <c r="A3754" s="2">
        <v>2026</v>
      </c>
      <c r="B3754" s="2">
        <v>4</v>
      </c>
      <c r="D3754" s="2" t="s">
        <v>2900</v>
      </c>
      <c r="E3754" s="2" t="s">
        <v>38</v>
      </c>
      <c r="F3754" s="2" t="s">
        <v>39</v>
      </c>
      <c r="L3754" s="2" t="s">
        <v>201</v>
      </c>
      <c r="M3754" s="2" t="s">
        <v>40</v>
      </c>
      <c r="P3754" s="2" t="s">
        <v>40</v>
      </c>
      <c r="Q3754" s="2" t="s">
        <v>2901</v>
      </c>
      <c r="R3754" s="2" t="s">
        <v>2902</v>
      </c>
      <c r="S3754" s="2">
        <v>1</v>
      </c>
      <c r="T3754" s="2">
        <v>1219.51</v>
      </c>
      <c r="U3754" s="2">
        <v>280.4873</v>
      </c>
      <c r="V3754" s="2">
        <v>1499.9973</v>
      </c>
      <c r="W3754" s="2">
        <f>T3754*75%</f>
        <v>914.63249999999994</v>
      </c>
      <c r="X3754" s="5">
        <f t="shared" si="554"/>
        <v>0.25000000000000006</v>
      </c>
      <c r="Z3754" s="2" t="s">
        <v>104</v>
      </c>
      <c r="AA3754" s="2" t="s">
        <v>414</v>
      </c>
      <c r="AB3754" s="2" t="s">
        <v>475</v>
      </c>
      <c r="AC3754" s="2" t="s">
        <v>114</v>
      </c>
      <c r="AF3754" s="2">
        <f t="shared" si="549"/>
        <v>0</v>
      </c>
      <c r="AJ3754" s="2">
        <f t="shared" si="550"/>
        <v>0</v>
      </c>
      <c r="AK3754" s="2">
        <f t="shared" si="555"/>
        <v>304.87750000000005</v>
      </c>
      <c r="AL3754" s="5">
        <f t="shared" si="556"/>
        <v>0.25000000000000006</v>
      </c>
    </row>
    <row r="3755" spans="1:38" x14ac:dyDescent="0.2">
      <c r="A3755" s="2">
        <v>2026</v>
      </c>
      <c r="B3755" s="2">
        <v>4</v>
      </c>
      <c r="D3755" s="2" t="s">
        <v>549</v>
      </c>
      <c r="E3755" s="2" t="s">
        <v>108</v>
      </c>
      <c r="F3755" s="2" t="s">
        <v>395</v>
      </c>
      <c r="G3755" s="2">
        <v>503641790</v>
      </c>
      <c r="H3755" s="2" t="s">
        <v>40</v>
      </c>
      <c r="I3755" s="2" t="s">
        <v>550</v>
      </c>
      <c r="J3755" s="2" t="s">
        <v>551</v>
      </c>
      <c r="K3755" s="2">
        <v>917753665</v>
      </c>
      <c r="L3755" s="2" t="s">
        <v>99</v>
      </c>
      <c r="M3755" s="2" t="s">
        <v>40</v>
      </c>
      <c r="O3755" s="2" t="s">
        <v>2903</v>
      </c>
      <c r="P3755" s="2" t="s">
        <v>187</v>
      </c>
      <c r="Q3755" s="2" t="s">
        <v>317</v>
      </c>
      <c r="R3755" s="2" t="s">
        <v>318</v>
      </c>
      <c r="S3755" s="2">
        <v>1</v>
      </c>
      <c r="T3755" s="2">
        <v>1099</v>
      </c>
      <c r="U3755" s="2">
        <v>252.77</v>
      </c>
      <c r="V3755" s="2">
        <v>1351.77</v>
      </c>
      <c r="X3755" s="5">
        <f t="shared" si="554"/>
        <v>1</v>
      </c>
      <c r="Z3755" s="2" t="s">
        <v>117</v>
      </c>
      <c r="AA3755" s="2" t="s">
        <v>317</v>
      </c>
      <c r="AF3755" s="2">
        <f t="shared" si="549"/>
        <v>0</v>
      </c>
      <c r="AJ3755" s="2">
        <f t="shared" si="550"/>
        <v>0</v>
      </c>
      <c r="AK3755" s="2">
        <f t="shared" si="555"/>
        <v>1099</v>
      </c>
      <c r="AL3755" s="5">
        <f t="shared" si="556"/>
        <v>1</v>
      </c>
    </row>
    <row r="3756" spans="1:38" x14ac:dyDescent="0.2">
      <c r="A3756" s="2">
        <v>2026</v>
      </c>
      <c r="B3756" s="2">
        <v>4</v>
      </c>
      <c r="D3756" s="2" t="s">
        <v>2795</v>
      </c>
      <c r="M3756" s="2" t="s">
        <v>40</v>
      </c>
      <c r="P3756" s="2" t="s">
        <v>187</v>
      </c>
      <c r="Q3756" s="2" t="s">
        <v>191</v>
      </c>
      <c r="R3756" s="2" t="s">
        <v>190</v>
      </c>
      <c r="S3756" s="2">
        <v>1</v>
      </c>
      <c r="T3756" s="2">
        <v>55</v>
      </c>
      <c r="U3756" s="2">
        <v>12.65</v>
      </c>
      <c r="V3756" s="2">
        <v>67.650000000000006</v>
      </c>
      <c r="W3756" s="2">
        <f>T3756*50%</f>
        <v>27.5</v>
      </c>
      <c r="X3756" s="5">
        <f t="shared" si="554"/>
        <v>0.5</v>
      </c>
      <c r="Z3756" s="2" t="s">
        <v>117</v>
      </c>
      <c r="AA3756" s="2" t="s">
        <v>190</v>
      </c>
      <c r="AB3756" s="2" t="s">
        <v>190</v>
      </c>
      <c r="AC3756" s="2" t="s">
        <v>40</v>
      </c>
      <c r="AF3756" s="2">
        <f t="shared" si="549"/>
        <v>0</v>
      </c>
      <c r="AG3756" s="2">
        <f>W3756</f>
        <v>27.5</v>
      </c>
      <c r="AJ3756" s="2">
        <f t="shared" si="550"/>
        <v>0</v>
      </c>
      <c r="AK3756" s="2">
        <f t="shared" si="555"/>
        <v>27.5</v>
      </c>
      <c r="AL3756" s="5">
        <f t="shared" si="556"/>
        <v>0.5</v>
      </c>
    </row>
    <row r="3757" spans="1:38" x14ac:dyDescent="0.2">
      <c r="A3757" s="2">
        <v>2026</v>
      </c>
      <c r="B3757" s="2">
        <v>3</v>
      </c>
      <c r="D3757" s="2" t="s">
        <v>1071</v>
      </c>
      <c r="E3757" s="2" t="s">
        <v>38</v>
      </c>
      <c r="F3757" s="2" t="s">
        <v>39</v>
      </c>
      <c r="G3757" s="2">
        <v>503843091</v>
      </c>
      <c r="H3757" s="2" t="s">
        <v>41</v>
      </c>
      <c r="I3757" s="2" t="s">
        <v>1554</v>
      </c>
      <c r="J3757" s="2" t="s">
        <v>1824</v>
      </c>
      <c r="L3757" s="2" t="s">
        <v>177</v>
      </c>
      <c r="M3757" s="2" t="s">
        <v>40</v>
      </c>
      <c r="P3757" s="2" t="s">
        <v>187</v>
      </c>
      <c r="Q3757" s="2" t="s">
        <v>188</v>
      </c>
      <c r="R3757" s="2" t="s">
        <v>189</v>
      </c>
      <c r="S3757" s="2">
        <v>1</v>
      </c>
      <c r="T3757" s="2">
        <v>63</v>
      </c>
      <c r="U3757" s="2">
        <v>14.49</v>
      </c>
      <c r="V3757" s="2">
        <v>77.489999999999995</v>
      </c>
      <c r="W3757" s="2">
        <f>T3757*40%</f>
        <v>25.200000000000003</v>
      </c>
      <c r="X3757" s="5">
        <f t="shared" si="554"/>
        <v>0.6</v>
      </c>
      <c r="Z3757" s="2" t="s">
        <v>117</v>
      </c>
      <c r="AA3757" s="2" t="s">
        <v>190</v>
      </c>
      <c r="AB3757" s="2" t="s">
        <v>189</v>
      </c>
      <c r="AC3757" s="2" t="s">
        <v>40</v>
      </c>
      <c r="AF3757" s="2">
        <f t="shared" si="549"/>
        <v>0</v>
      </c>
      <c r="AG3757" s="2">
        <f>W3757</f>
        <v>25.200000000000003</v>
      </c>
      <c r="AJ3757" s="2">
        <f t="shared" si="550"/>
        <v>0</v>
      </c>
      <c r="AK3757" s="2">
        <f t="shared" si="555"/>
        <v>37.799999999999997</v>
      </c>
      <c r="AL3757" s="5">
        <f t="shared" si="556"/>
        <v>0.6</v>
      </c>
    </row>
    <row r="3758" spans="1:38" x14ac:dyDescent="0.2">
      <c r="A3758" s="2">
        <v>2026</v>
      </c>
      <c r="B3758" s="2">
        <v>3</v>
      </c>
      <c r="D3758" s="2" t="s">
        <v>2852</v>
      </c>
      <c r="M3758" s="2" t="s">
        <v>80</v>
      </c>
      <c r="P3758" s="2" t="s">
        <v>43</v>
      </c>
      <c r="Q3758" s="2" t="s">
        <v>61</v>
      </c>
      <c r="R3758" s="2" t="s">
        <v>62</v>
      </c>
      <c r="S3758" s="2">
        <v>200</v>
      </c>
      <c r="T3758" s="2">
        <v>26</v>
      </c>
      <c r="U3758" s="2">
        <v>5.98</v>
      </c>
      <c r="V3758" s="2">
        <v>31.98</v>
      </c>
      <c r="W3758" s="2">
        <f>0.082*S3758</f>
        <v>16.400000000000002</v>
      </c>
      <c r="X3758" s="5">
        <f t="shared" si="554"/>
        <v>0.36923076923076914</v>
      </c>
      <c r="Z3758" s="2" t="s">
        <v>3227</v>
      </c>
      <c r="AA3758" s="2" t="s">
        <v>46</v>
      </c>
      <c r="AB3758" s="2" t="s">
        <v>60</v>
      </c>
      <c r="AC3758" s="2" t="s">
        <v>57</v>
      </c>
      <c r="AF3758" s="2">
        <f t="shared" si="549"/>
        <v>0</v>
      </c>
      <c r="AG3758" s="2">
        <v>8.1999999999999993</v>
      </c>
      <c r="AH3758" s="2">
        <v>13</v>
      </c>
      <c r="AJ3758" s="2">
        <f t="shared" si="550"/>
        <v>0</v>
      </c>
      <c r="AK3758" s="2">
        <f t="shared" si="555"/>
        <v>9.5999999999999979</v>
      </c>
      <c r="AL3758" s="5">
        <f t="shared" si="556"/>
        <v>0.36923076923076914</v>
      </c>
    </row>
    <row r="3759" spans="1:38" x14ac:dyDescent="0.2">
      <c r="A3759" s="2">
        <v>2026</v>
      </c>
      <c r="B3759" s="2">
        <v>3</v>
      </c>
      <c r="D3759" s="2" t="s">
        <v>1071</v>
      </c>
      <c r="E3759" s="2" t="s">
        <v>38</v>
      </c>
      <c r="F3759" s="2" t="s">
        <v>39</v>
      </c>
      <c r="G3759" s="2">
        <v>503843091</v>
      </c>
      <c r="H3759" s="2" t="s">
        <v>41</v>
      </c>
      <c r="I3759" s="2" t="s">
        <v>1554</v>
      </c>
      <c r="J3759" s="2" t="s">
        <v>1824</v>
      </c>
      <c r="L3759" s="2" t="s">
        <v>177</v>
      </c>
      <c r="M3759" s="2" t="s">
        <v>40</v>
      </c>
      <c r="P3759" s="2" t="s">
        <v>187</v>
      </c>
      <c r="Q3759" s="2" t="s">
        <v>191</v>
      </c>
      <c r="R3759" s="2" t="s">
        <v>190</v>
      </c>
      <c r="S3759" s="2">
        <v>1.25</v>
      </c>
      <c r="T3759" s="2">
        <v>68.75</v>
      </c>
      <c r="U3759" s="2">
        <v>15.8125</v>
      </c>
      <c r="V3759" s="2">
        <v>84.5625</v>
      </c>
      <c r="W3759" s="2">
        <f>T3759*50%</f>
        <v>34.375</v>
      </c>
      <c r="X3759" s="5">
        <f t="shared" si="554"/>
        <v>0.5</v>
      </c>
      <c r="Z3759" s="2" t="s">
        <v>117</v>
      </c>
      <c r="AA3759" s="2" t="s">
        <v>190</v>
      </c>
      <c r="AB3759" s="2" t="s">
        <v>190</v>
      </c>
      <c r="AC3759" s="2" t="s">
        <v>40</v>
      </c>
      <c r="AF3759" s="2">
        <f t="shared" si="549"/>
        <v>0</v>
      </c>
      <c r="AG3759" s="2">
        <f t="shared" ref="AG3759:AG3783" si="557">W3759</f>
        <v>34.375</v>
      </c>
      <c r="AJ3759" s="2">
        <f t="shared" si="550"/>
        <v>0</v>
      </c>
      <c r="AK3759" s="2">
        <f t="shared" si="555"/>
        <v>34.375</v>
      </c>
      <c r="AL3759" s="5">
        <f t="shared" si="556"/>
        <v>0.5</v>
      </c>
    </row>
    <row r="3760" spans="1:38" x14ac:dyDescent="0.2">
      <c r="A3760" s="2">
        <v>2026</v>
      </c>
      <c r="B3760" s="2">
        <v>4</v>
      </c>
      <c r="D3760" s="2" t="s">
        <v>1599</v>
      </c>
      <c r="M3760" s="2" t="s">
        <v>40</v>
      </c>
      <c r="P3760" s="2" t="s">
        <v>187</v>
      </c>
      <c r="Q3760" s="2" t="s">
        <v>188</v>
      </c>
      <c r="R3760" s="2" t="s">
        <v>189</v>
      </c>
      <c r="S3760" s="2">
        <v>1</v>
      </c>
      <c r="T3760" s="2">
        <v>50</v>
      </c>
      <c r="U3760" s="2">
        <v>11.5</v>
      </c>
      <c r="V3760" s="2">
        <v>61.5</v>
      </c>
      <c r="W3760" s="2">
        <f>T3760*40%</f>
        <v>20</v>
      </c>
      <c r="X3760" s="5">
        <f t="shared" si="554"/>
        <v>0.6</v>
      </c>
      <c r="Z3760" s="2" t="s">
        <v>117</v>
      </c>
      <c r="AA3760" s="2" t="s">
        <v>190</v>
      </c>
      <c r="AB3760" s="2" t="s">
        <v>189</v>
      </c>
      <c r="AC3760" s="2" t="s">
        <v>40</v>
      </c>
      <c r="AF3760" s="2">
        <f t="shared" si="549"/>
        <v>0</v>
      </c>
      <c r="AG3760" s="2">
        <f t="shared" si="557"/>
        <v>20</v>
      </c>
      <c r="AJ3760" s="2">
        <f t="shared" si="550"/>
        <v>0</v>
      </c>
      <c r="AK3760" s="2">
        <f t="shared" si="555"/>
        <v>30</v>
      </c>
      <c r="AL3760" s="5">
        <f t="shared" si="556"/>
        <v>0.6</v>
      </c>
    </row>
    <row r="3761" spans="1:38" x14ac:dyDescent="0.2">
      <c r="A3761" s="2">
        <v>2026</v>
      </c>
      <c r="B3761" s="2">
        <v>4</v>
      </c>
      <c r="D3761" s="2" t="s">
        <v>1599</v>
      </c>
      <c r="M3761" s="2" t="s">
        <v>40</v>
      </c>
      <c r="P3761" s="2" t="s">
        <v>187</v>
      </c>
      <c r="Q3761" s="2" t="s">
        <v>191</v>
      </c>
      <c r="R3761" s="2" t="s">
        <v>190</v>
      </c>
      <c r="S3761" s="2">
        <v>1</v>
      </c>
      <c r="T3761" s="2">
        <v>50</v>
      </c>
      <c r="U3761" s="2">
        <v>11.5</v>
      </c>
      <c r="V3761" s="2">
        <v>61.5</v>
      </c>
      <c r="W3761" s="2">
        <f>T3761*50%</f>
        <v>25</v>
      </c>
      <c r="X3761" s="5">
        <f t="shared" si="554"/>
        <v>0.5</v>
      </c>
      <c r="Z3761" s="2" t="s">
        <v>117</v>
      </c>
      <c r="AA3761" s="2" t="s">
        <v>190</v>
      </c>
      <c r="AB3761" s="2" t="s">
        <v>190</v>
      </c>
      <c r="AC3761" s="2" t="s">
        <v>40</v>
      </c>
      <c r="AF3761" s="2">
        <f t="shared" si="549"/>
        <v>0</v>
      </c>
      <c r="AG3761" s="2">
        <f t="shared" si="557"/>
        <v>25</v>
      </c>
      <c r="AJ3761" s="2">
        <f t="shared" si="550"/>
        <v>0</v>
      </c>
      <c r="AK3761" s="2">
        <f t="shared" si="555"/>
        <v>25</v>
      </c>
      <c r="AL3761" s="5">
        <f t="shared" si="556"/>
        <v>0.5</v>
      </c>
    </row>
    <row r="3762" spans="1:38" x14ac:dyDescent="0.2">
      <c r="A3762" s="2">
        <v>2026</v>
      </c>
      <c r="B3762" s="2">
        <v>3</v>
      </c>
      <c r="D3762" s="2" t="s">
        <v>2049</v>
      </c>
      <c r="M3762" s="2" t="s">
        <v>40</v>
      </c>
      <c r="P3762" s="2" t="s">
        <v>187</v>
      </c>
      <c r="Q3762" s="2" t="s">
        <v>188</v>
      </c>
      <c r="R3762" s="2" t="s">
        <v>189</v>
      </c>
      <c r="S3762" s="2">
        <v>1</v>
      </c>
      <c r="T3762" s="2">
        <v>114</v>
      </c>
      <c r="U3762" s="2">
        <v>26.22</v>
      </c>
      <c r="V3762" s="2">
        <v>140.22</v>
      </c>
      <c r="W3762" s="2">
        <f>T3762*40%</f>
        <v>45.6</v>
      </c>
      <c r="X3762" s="5">
        <f t="shared" si="554"/>
        <v>0.60000000000000009</v>
      </c>
      <c r="Z3762" s="2" t="s">
        <v>117</v>
      </c>
      <c r="AA3762" s="2" t="s">
        <v>190</v>
      </c>
      <c r="AB3762" s="2" t="s">
        <v>189</v>
      </c>
      <c r="AC3762" s="2" t="s">
        <v>40</v>
      </c>
      <c r="AF3762" s="2">
        <f t="shared" si="549"/>
        <v>0</v>
      </c>
      <c r="AG3762" s="2">
        <f t="shared" si="557"/>
        <v>45.6</v>
      </c>
      <c r="AJ3762" s="2">
        <f t="shared" si="550"/>
        <v>0</v>
      </c>
      <c r="AK3762" s="2">
        <f t="shared" si="555"/>
        <v>68.400000000000006</v>
      </c>
      <c r="AL3762" s="5">
        <f t="shared" si="556"/>
        <v>0.60000000000000009</v>
      </c>
    </row>
    <row r="3763" spans="1:38" x14ac:dyDescent="0.2">
      <c r="A3763" s="2">
        <v>2026</v>
      </c>
      <c r="B3763" s="2">
        <v>3</v>
      </c>
      <c r="D3763" s="2" t="s">
        <v>2049</v>
      </c>
      <c r="M3763" s="2" t="s">
        <v>40</v>
      </c>
      <c r="P3763" s="2" t="s">
        <v>187</v>
      </c>
      <c r="Q3763" s="2" t="s">
        <v>191</v>
      </c>
      <c r="R3763" s="2" t="s">
        <v>190</v>
      </c>
      <c r="S3763" s="2">
        <v>5</v>
      </c>
      <c r="T3763" s="2">
        <v>200</v>
      </c>
      <c r="U3763" s="2">
        <v>46</v>
      </c>
      <c r="V3763" s="2">
        <v>246</v>
      </c>
      <c r="W3763" s="2">
        <f>T3763*50%</f>
        <v>100</v>
      </c>
      <c r="X3763" s="5">
        <f t="shared" si="554"/>
        <v>0.5</v>
      </c>
      <c r="Z3763" s="2" t="s">
        <v>117</v>
      </c>
      <c r="AA3763" s="2" t="s">
        <v>190</v>
      </c>
      <c r="AB3763" s="2" t="s">
        <v>190</v>
      </c>
      <c r="AC3763" s="2" t="s">
        <v>40</v>
      </c>
      <c r="AF3763" s="2">
        <f t="shared" si="549"/>
        <v>0</v>
      </c>
      <c r="AG3763" s="2">
        <f t="shared" si="557"/>
        <v>100</v>
      </c>
      <c r="AJ3763" s="2">
        <f t="shared" si="550"/>
        <v>0</v>
      </c>
      <c r="AK3763" s="2">
        <f t="shared" si="555"/>
        <v>100</v>
      </c>
      <c r="AL3763" s="5">
        <f t="shared" si="556"/>
        <v>0.5</v>
      </c>
    </row>
    <row r="3764" spans="1:38" x14ac:dyDescent="0.2">
      <c r="A3764" s="2">
        <v>2026</v>
      </c>
      <c r="B3764" s="2">
        <v>4</v>
      </c>
      <c r="D3764" s="2" t="s">
        <v>2049</v>
      </c>
      <c r="M3764" s="2" t="s">
        <v>40</v>
      </c>
      <c r="P3764" s="2" t="s">
        <v>187</v>
      </c>
      <c r="Q3764" s="2" t="s">
        <v>188</v>
      </c>
      <c r="R3764" s="2" t="s">
        <v>189</v>
      </c>
      <c r="S3764" s="2">
        <v>1</v>
      </c>
      <c r="T3764" s="2">
        <v>147</v>
      </c>
      <c r="U3764" s="2">
        <v>33.81</v>
      </c>
      <c r="V3764" s="2">
        <v>180.81</v>
      </c>
      <c r="W3764" s="2">
        <f>T3764*40%</f>
        <v>58.800000000000004</v>
      </c>
      <c r="X3764" s="5">
        <f t="shared" si="554"/>
        <v>0.6</v>
      </c>
      <c r="Z3764" s="2" t="s">
        <v>117</v>
      </c>
      <c r="AA3764" s="2" t="s">
        <v>190</v>
      </c>
      <c r="AB3764" s="2" t="s">
        <v>189</v>
      </c>
      <c r="AC3764" s="2" t="s">
        <v>40</v>
      </c>
      <c r="AF3764" s="2">
        <f t="shared" si="549"/>
        <v>0</v>
      </c>
      <c r="AG3764" s="2">
        <f t="shared" si="557"/>
        <v>58.800000000000004</v>
      </c>
      <c r="AJ3764" s="2">
        <f t="shared" si="550"/>
        <v>0</v>
      </c>
      <c r="AK3764" s="2">
        <f t="shared" si="555"/>
        <v>88.199999999999989</v>
      </c>
      <c r="AL3764" s="5">
        <f t="shared" si="556"/>
        <v>0.6</v>
      </c>
    </row>
    <row r="3765" spans="1:38" x14ac:dyDescent="0.2">
      <c r="A3765" s="2">
        <v>2026</v>
      </c>
      <c r="B3765" s="2">
        <v>4</v>
      </c>
      <c r="D3765" s="2" t="s">
        <v>2049</v>
      </c>
      <c r="M3765" s="2" t="s">
        <v>40</v>
      </c>
      <c r="P3765" s="2" t="s">
        <v>187</v>
      </c>
      <c r="Q3765" s="2" t="s">
        <v>191</v>
      </c>
      <c r="R3765" s="2" t="s">
        <v>190</v>
      </c>
      <c r="S3765" s="2">
        <v>1.25</v>
      </c>
      <c r="T3765" s="2">
        <v>68.75</v>
      </c>
      <c r="U3765" s="2">
        <v>15.8125</v>
      </c>
      <c r="V3765" s="2">
        <v>84.5625</v>
      </c>
      <c r="W3765" s="2">
        <f>T3765*50%</f>
        <v>34.375</v>
      </c>
      <c r="X3765" s="5">
        <f t="shared" si="554"/>
        <v>0.5</v>
      </c>
      <c r="Z3765" s="2" t="s">
        <v>117</v>
      </c>
      <c r="AA3765" s="2" t="s">
        <v>190</v>
      </c>
      <c r="AB3765" s="2" t="s">
        <v>190</v>
      </c>
      <c r="AC3765" s="2" t="s">
        <v>40</v>
      </c>
      <c r="AF3765" s="2">
        <f t="shared" si="549"/>
        <v>0</v>
      </c>
      <c r="AG3765" s="2">
        <f t="shared" si="557"/>
        <v>34.375</v>
      </c>
      <c r="AJ3765" s="2">
        <f t="shared" si="550"/>
        <v>0</v>
      </c>
      <c r="AK3765" s="2">
        <f t="shared" si="555"/>
        <v>34.375</v>
      </c>
      <c r="AL3765" s="5">
        <f t="shared" si="556"/>
        <v>0.5</v>
      </c>
    </row>
    <row r="3766" spans="1:38" x14ac:dyDescent="0.2">
      <c r="A3766" s="2">
        <v>2026</v>
      </c>
      <c r="B3766" s="2">
        <v>4</v>
      </c>
      <c r="C3766" s="2" t="s">
        <v>3446</v>
      </c>
      <c r="D3766" s="2" t="s">
        <v>2904</v>
      </c>
      <c r="F3766" s="2" t="s">
        <v>3445</v>
      </c>
      <c r="L3766" s="2" t="s">
        <v>99</v>
      </c>
      <c r="M3766" s="2" t="s">
        <v>40</v>
      </c>
      <c r="P3766" s="2" t="s">
        <v>187</v>
      </c>
      <c r="Q3766" s="2" t="s">
        <v>191</v>
      </c>
      <c r="R3766" s="2" t="s">
        <v>190</v>
      </c>
      <c r="S3766" s="2">
        <v>1</v>
      </c>
      <c r="T3766" s="2">
        <v>62.9</v>
      </c>
      <c r="U3766" s="2">
        <v>14.467000000000001</v>
      </c>
      <c r="V3766" s="2">
        <v>77.367000000000004</v>
      </c>
      <c r="W3766" s="2">
        <f>T3766*50%</f>
        <v>31.45</v>
      </c>
      <c r="X3766" s="5">
        <f t="shared" si="554"/>
        <v>0.5</v>
      </c>
      <c r="Z3766" s="2" t="s">
        <v>117</v>
      </c>
      <c r="AA3766" s="2" t="s">
        <v>190</v>
      </c>
      <c r="AB3766" s="2" t="s">
        <v>190</v>
      </c>
      <c r="AC3766" s="2" t="s">
        <v>40</v>
      </c>
      <c r="AF3766" s="2">
        <f t="shared" si="549"/>
        <v>0</v>
      </c>
      <c r="AG3766" s="2">
        <f t="shared" si="557"/>
        <v>31.45</v>
      </c>
      <c r="AJ3766" s="2">
        <f t="shared" si="550"/>
        <v>0</v>
      </c>
      <c r="AK3766" s="2">
        <f t="shared" si="555"/>
        <v>31.45</v>
      </c>
      <c r="AL3766" s="5">
        <f t="shared" si="556"/>
        <v>0.5</v>
      </c>
    </row>
    <row r="3767" spans="1:38" x14ac:dyDescent="0.2">
      <c r="A3767" s="2">
        <v>2026</v>
      </c>
      <c r="B3767" s="2">
        <v>4</v>
      </c>
      <c r="D3767" s="2" t="s">
        <v>2905</v>
      </c>
      <c r="E3767" s="2" t="s">
        <v>38</v>
      </c>
      <c r="G3767" s="2">
        <v>506272524</v>
      </c>
      <c r="H3767" s="2" t="s">
        <v>40</v>
      </c>
      <c r="I3767" s="2" t="s">
        <v>2906</v>
      </c>
      <c r="J3767" s="2" t="s">
        <v>2907</v>
      </c>
      <c r="L3767" s="2" t="s">
        <v>99</v>
      </c>
      <c r="M3767" s="2" t="s">
        <v>40</v>
      </c>
      <c r="P3767" s="2" t="s">
        <v>187</v>
      </c>
      <c r="Q3767" s="2" t="s">
        <v>188</v>
      </c>
      <c r="R3767" s="2" t="s">
        <v>189</v>
      </c>
      <c r="S3767" s="2">
        <v>1</v>
      </c>
      <c r="U3767" s="2">
        <v>0</v>
      </c>
      <c r="V3767" s="2">
        <v>0</v>
      </c>
      <c r="W3767" s="2">
        <f>T3767*40%</f>
        <v>0</v>
      </c>
      <c r="X3767" s="5">
        <v>0</v>
      </c>
      <c r="Z3767" s="2" t="s">
        <v>117</v>
      </c>
      <c r="AA3767" s="2" t="s">
        <v>190</v>
      </c>
      <c r="AB3767" s="2" t="s">
        <v>189</v>
      </c>
      <c r="AC3767" s="2" t="s">
        <v>40</v>
      </c>
      <c r="AF3767" s="2">
        <f t="shared" si="549"/>
        <v>0</v>
      </c>
      <c r="AG3767" s="2">
        <f t="shared" si="557"/>
        <v>0</v>
      </c>
      <c r="AJ3767" s="2">
        <f t="shared" si="550"/>
        <v>0</v>
      </c>
      <c r="AK3767" s="2">
        <f t="shared" si="555"/>
        <v>0</v>
      </c>
      <c r="AL3767" s="5">
        <v>0</v>
      </c>
    </row>
    <row r="3768" spans="1:38" x14ac:dyDescent="0.2">
      <c r="A3768" s="2">
        <v>2026</v>
      </c>
      <c r="B3768" s="2">
        <v>4</v>
      </c>
      <c r="D3768" s="2" t="s">
        <v>2905</v>
      </c>
      <c r="E3768" s="2" t="s">
        <v>38</v>
      </c>
      <c r="G3768" s="2">
        <v>506272524</v>
      </c>
      <c r="H3768" s="2" t="s">
        <v>40</v>
      </c>
      <c r="I3768" s="2" t="s">
        <v>2906</v>
      </c>
      <c r="J3768" s="2" t="s">
        <v>2907</v>
      </c>
      <c r="L3768" s="2" t="s">
        <v>99</v>
      </c>
      <c r="M3768" s="2" t="s">
        <v>40</v>
      </c>
      <c r="P3768" s="2" t="s">
        <v>187</v>
      </c>
      <c r="Q3768" s="2" t="s">
        <v>191</v>
      </c>
      <c r="R3768" s="2" t="s">
        <v>190</v>
      </c>
      <c r="S3768" s="2">
        <v>1</v>
      </c>
      <c r="T3768" s="2">
        <v>55</v>
      </c>
      <c r="U3768" s="2">
        <v>12.65</v>
      </c>
      <c r="V3768" s="2">
        <v>67.650000000000006</v>
      </c>
      <c r="W3768" s="2">
        <f>T3768*50%</f>
        <v>27.5</v>
      </c>
      <c r="X3768" s="5">
        <f>(T3768-W3768)/T3768</f>
        <v>0.5</v>
      </c>
      <c r="Z3768" s="2" t="s">
        <v>117</v>
      </c>
      <c r="AA3768" s="2" t="s">
        <v>190</v>
      </c>
      <c r="AB3768" s="2" t="s">
        <v>190</v>
      </c>
      <c r="AC3768" s="2" t="s">
        <v>40</v>
      </c>
      <c r="AF3768" s="2">
        <f t="shared" si="549"/>
        <v>0</v>
      </c>
      <c r="AG3768" s="2">
        <f t="shared" si="557"/>
        <v>27.5</v>
      </c>
      <c r="AJ3768" s="2">
        <f t="shared" si="550"/>
        <v>0</v>
      </c>
      <c r="AK3768" s="2">
        <f t="shared" si="555"/>
        <v>27.5</v>
      </c>
      <c r="AL3768" s="5">
        <f>(T3768-W3768)/T3768</f>
        <v>0.5</v>
      </c>
    </row>
    <row r="3769" spans="1:38" x14ac:dyDescent="0.2">
      <c r="A3769" s="2">
        <v>2026</v>
      </c>
      <c r="B3769" s="2">
        <v>2</v>
      </c>
      <c r="D3769" s="2" t="s">
        <v>1088</v>
      </c>
      <c r="E3769" s="2" t="s">
        <v>108</v>
      </c>
      <c r="F3769" s="2" t="s">
        <v>39</v>
      </c>
      <c r="G3769" s="2">
        <v>505194147</v>
      </c>
      <c r="H3769" s="2" t="s">
        <v>109</v>
      </c>
      <c r="I3769" s="2" t="s">
        <v>1089</v>
      </c>
      <c r="J3769" s="2" t="s">
        <v>1090</v>
      </c>
      <c r="K3769" s="2">
        <v>917523997</v>
      </c>
      <c r="L3769" s="2" t="s">
        <v>112</v>
      </c>
      <c r="M3769" s="2" t="s">
        <v>40</v>
      </c>
      <c r="O3769" s="2" t="s">
        <v>2615</v>
      </c>
      <c r="P3769" s="2" t="s">
        <v>187</v>
      </c>
      <c r="Q3769" s="2" t="s">
        <v>188</v>
      </c>
      <c r="R3769" s="2" t="s">
        <v>189</v>
      </c>
      <c r="S3769" s="2">
        <v>1</v>
      </c>
      <c r="T3769" s="2">
        <v>164</v>
      </c>
      <c r="U3769" s="2">
        <v>37.72</v>
      </c>
      <c r="V3769" s="2">
        <v>201.72</v>
      </c>
      <c r="W3769" s="2">
        <f>T3769*40%</f>
        <v>65.600000000000009</v>
      </c>
      <c r="X3769" s="5">
        <f>(T3769-W3769)/T3769</f>
        <v>0.6</v>
      </c>
      <c r="Z3769" s="2" t="s">
        <v>117</v>
      </c>
      <c r="AA3769" s="2" t="s">
        <v>190</v>
      </c>
      <c r="AB3769" s="2" t="s">
        <v>189</v>
      </c>
      <c r="AC3769" s="2" t="s">
        <v>40</v>
      </c>
      <c r="AF3769" s="2">
        <f t="shared" si="549"/>
        <v>0</v>
      </c>
      <c r="AG3769" s="2">
        <f t="shared" si="557"/>
        <v>65.600000000000009</v>
      </c>
      <c r="AJ3769" s="2">
        <f t="shared" si="550"/>
        <v>0</v>
      </c>
      <c r="AK3769" s="2">
        <f t="shared" si="555"/>
        <v>98.399999999999991</v>
      </c>
      <c r="AL3769" s="5">
        <f>(T3769-W3769)/T3769</f>
        <v>0.6</v>
      </c>
    </row>
    <row r="3770" spans="1:38" x14ac:dyDescent="0.2">
      <c r="A3770" s="2">
        <v>2026</v>
      </c>
      <c r="B3770" s="2">
        <v>2</v>
      </c>
      <c r="D3770" s="2" t="s">
        <v>1088</v>
      </c>
      <c r="E3770" s="2" t="s">
        <v>108</v>
      </c>
      <c r="F3770" s="2" t="s">
        <v>39</v>
      </c>
      <c r="G3770" s="2">
        <v>505194147</v>
      </c>
      <c r="H3770" s="2" t="s">
        <v>109</v>
      </c>
      <c r="I3770" s="2" t="s">
        <v>1089</v>
      </c>
      <c r="J3770" s="2" t="s">
        <v>1090</v>
      </c>
      <c r="K3770" s="2">
        <v>917523997</v>
      </c>
      <c r="L3770" s="2" t="s">
        <v>112</v>
      </c>
      <c r="M3770" s="2" t="s">
        <v>40</v>
      </c>
      <c r="O3770" s="2" t="s">
        <v>2615</v>
      </c>
      <c r="P3770" s="2" t="s">
        <v>187</v>
      </c>
      <c r="Q3770" s="2" t="s">
        <v>191</v>
      </c>
      <c r="R3770" s="2" t="s">
        <v>190</v>
      </c>
      <c r="S3770" s="2">
        <v>1.5</v>
      </c>
      <c r="T3770" s="2">
        <v>82.5</v>
      </c>
      <c r="U3770" s="2">
        <v>18.975000000000001</v>
      </c>
      <c r="V3770" s="2">
        <v>101.47499999999999</v>
      </c>
      <c r="W3770" s="2">
        <f>T3770*50%</f>
        <v>41.25</v>
      </c>
      <c r="X3770" s="5">
        <f>(T3770-W3770)/T3770</f>
        <v>0.5</v>
      </c>
      <c r="Z3770" s="2" t="s">
        <v>117</v>
      </c>
      <c r="AA3770" s="2" t="s">
        <v>190</v>
      </c>
      <c r="AB3770" s="2" t="s">
        <v>190</v>
      </c>
      <c r="AC3770" s="2" t="s">
        <v>40</v>
      </c>
      <c r="AF3770" s="2">
        <f t="shared" si="549"/>
        <v>0</v>
      </c>
      <c r="AG3770" s="2">
        <f t="shared" si="557"/>
        <v>41.25</v>
      </c>
      <c r="AJ3770" s="2">
        <f t="shared" si="550"/>
        <v>0</v>
      </c>
      <c r="AK3770" s="2">
        <f t="shared" si="555"/>
        <v>41.25</v>
      </c>
      <c r="AL3770" s="5">
        <f>(T3770-W3770)/T3770</f>
        <v>0.5</v>
      </c>
    </row>
    <row r="3771" spans="1:38" x14ac:dyDescent="0.2">
      <c r="A3771" s="2">
        <v>2026</v>
      </c>
      <c r="B3771" s="2">
        <v>1</v>
      </c>
      <c r="D3771" s="2" t="s">
        <v>1622</v>
      </c>
      <c r="E3771" s="2" t="s">
        <v>108</v>
      </c>
      <c r="F3771" s="2" t="s">
        <v>477</v>
      </c>
      <c r="G3771" s="2">
        <v>504161342</v>
      </c>
      <c r="H3771" s="2" t="s">
        <v>290</v>
      </c>
      <c r="I3771" s="2" t="s">
        <v>1623</v>
      </c>
      <c r="J3771" s="2" t="s">
        <v>1624</v>
      </c>
      <c r="L3771" s="2" t="s">
        <v>293</v>
      </c>
      <c r="M3771" s="2" t="s">
        <v>40</v>
      </c>
      <c r="O3771" s="2" t="s">
        <v>2337</v>
      </c>
      <c r="P3771" s="2" t="s">
        <v>187</v>
      </c>
      <c r="Q3771" s="2" t="s">
        <v>188</v>
      </c>
      <c r="R3771" s="2" t="s">
        <v>189</v>
      </c>
      <c r="S3771" s="2">
        <v>1</v>
      </c>
      <c r="T3771" s="2">
        <v>0</v>
      </c>
      <c r="U3771" s="2">
        <v>0</v>
      </c>
      <c r="V3771" s="2">
        <v>0</v>
      </c>
      <c r="W3771" s="2">
        <f>T3771*40%</f>
        <v>0</v>
      </c>
      <c r="X3771" s="5">
        <v>-1</v>
      </c>
      <c r="Z3771" s="2" t="s">
        <v>117</v>
      </c>
      <c r="AA3771" s="2" t="s">
        <v>190</v>
      </c>
      <c r="AB3771" s="2" t="s">
        <v>189</v>
      </c>
      <c r="AC3771" s="2" t="s">
        <v>40</v>
      </c>
      <c r="AF3771" s="2">
        <f t="shared" si="549"/>
        <v>0</v>
      </c>
      <c r="AG3771" s="2">
        <f t="shared" si="557"/>
        <v>0</v>
      </c>
      <c r="AJ3771" s="2">
        <f t="shared" si="550"/>
        <v>0</v>
      </c>
      <c r="AK3771" s="2">
        <f t="shared" si="555"/>
        <v>0</v>
      </c>
      <c r="AL3771" s="5">
        <v>-1</v>
      </c>
    </row>
    <row r="3772" spans="1:38" x14ac:dyDescent="0.2">
      <c r="A3772" s="2">
        <v>2026</v>
      </c>
      <c r="B3772" s="2">
        <v>1</v>
      </c>
      <c r="D3772" s="2" t="s">
        <v>1622</v>
      </c>
      <c r="E3772" s="2" t="s">
        <v>108</v>
      </c>
      <c r="F3772" s="2" t="s">
        <v>477</v>
      </c>
      <c r="G3772" s="2">
        <v>504161342</v>
      </c>
      <c r="H3772" s="2" t="s">
        <v>290</v>
      </c>
      <c r="I3772" s="2" t="s">
        <v>1623</v>
      </c>
      <c r="J3772" s="2" t="s">
        <v>1624</v>
      </c>
      <c r="L3772" s="2" t="s">
        <v>293</v>
      </c>
      <c r="M3772" s="2" t="s">
        <v>40</v>
      </c>
      <c r="O3772" s="2" t="s">
        <v>2337</v>
      </c>
      <c r="P3772" s="2" t="s">
        <v>187</v>
      </c>
      <c r="Q3772" s="2" t="s">
        <v>191</v>
      </c>
      <c r="R3772" s="2" t="s">
        <v>190</v>
      </c>
      <c r="S3772" s="2">
        <v>1</v>
      </c>
      <c r="T3772" s="2">
        <v>0</v>
      </c>
      <c r="U3772" s="2">
        <v>0</v>
      </c>
      <c r="V3772" s="2">
        <v>0</v>
      </c>
      <c r="W3772" s="2">
        <f>T3772*50%</f>
        <v>0</v>
      </c>
      <c r="X3772" s="5">
        <v>-1</v>
      </c>
      <c r="Z3772" s="2" t="s">
        <v>117</v>
      </c>
      <c r="AA3772" s="2" t="s">
        <v>190</v>
      </c>
      <c r="AB3772" s="2" t="s">
        <v>190</v>
      </c>
      <c r="AC3772" s="2" t="s">
        <v>40</v>
      </c>
      <c r="AF3772" s="2">
        <f t="shared" si="549"/>
        <v>0</v>
      </c>
      <c r="AG3772" s="2">
        <f t="shared" si="557"/>
        <v>0</v>
      </c>
      <c r="AJ3772" s="2">
        <f t="shared" si="550"/>
        <v>0</v>
      </c>
      <c r="AK3772" s="2">
        <f t="shared" si="555"/>
        <v>0</v>
      </c>
      <c r="AL3772" s="5">
        <v>-1</v>
      </c>
    </row>
    <row r="3773" spans="1:38" x14ac:dyDescent="0.2">
      <c r="A3773" s="2">
        <v>2026</v>
      </c>
      <c r="B3773" s="2">
        <v>4</v>
      </c>
      <c r="D3773" s="2" t="s">
        <v>2908</v>
      </c>
      <c r="M3773" s="2" t="s">
        <v>40</v>
      </c>
      <c r="P3773" s="2" t="s">
        <v>187</v>
      </c>
      <c r="Q3773" s="2" t="s">
        <v>188</v>
      </c>
      <c r="R3773" s="2" t="s">
        <v>189</v>
      </c>
      <c r="S3773" s="2">
        <v>1</v>
      </c>
      <c r="T3773" s="2">
        <v>151</v>
      </c>
      <c r="U3773" s="2">
        <v>34.729999999999997</v>
      </c>
      <c r="V3773" s="2">
        <v>185.73</v>
      </c>
      <c r="W3773" s="2">
        <f>T3773*40%</f>
        <v>60.400000000000006</v>
      </c>
      <c r="X3773" s="5">
        <f t="shared" ref="X3773:X3778" si="558">(T3773-W3773)/T3773</f>
        <v>0.6</v>
      </c>
      <c r="Z3773" s="2" t="s">
        <v>117</v>
      </c>
      <c r="AA3773" s="2" t="s">
        <v>190</v>
      </c>
      <c r="AB3773" s="2" t="s">
        <v>189</v>
      </c>
      <c r="AC3773" s="2" t="s">
        <v>40</v>
      </c>
      <c r="AF3773" s="2">
        <f t="shared" si="549"/>
        <v>0</v>
      </c>
      <c r="AG3773" s="2">
        <f t="shared" si="557"/>
        <v>60.400000000000006</v>
      </c>
      <c r="AJ3773" s="2">
        <f t="shared" si="550"/>
        <v>0</v>
      </c>
      <c r="AK3773" s="2">
        <f t="shared" si="555"/>
        <v>90.6</v>
      </c>
      <c r="AL3773" s="5">
        <f t="shared" ref="AL3773:AL3778" si="559">(T3773-W3773)/T3773</f>
        <v>0.6</v>
      </c>
    </row>
    <row r="3774" spans="1:38" x14ac:dyDescent="0.2">
      <c r="A3774" s="2">
        <v>2026</v>
      </c>
      <c r="B3774" s="2">
        <v>4</v>
      </c>
      <c r="D3774" s="2" t="s">
        <v>2908</v>
      </c>
      <c r="M3774" s="2" t="s">
        <v>40</v>
      </c>
      <c r="P3774" s="2" t="s">
        <v>187</v>
      </c>
      <c r="Q3774" s="2" t="s">
        <v>191</v>
      </c>
      <c r="R3774" s="2" t="s">
        <v>190</v>
      </c>
      <c r="S3774" s="2">
        <v>3</v>
      </c>
      <c r="T3774" s="2">
        <v>165</v>
      </c>
      <c r="U3774" s="2">
        <v>37.950000000000003</v>
      </c>
      <c r="V3774" s="2">
        <v>202.95</v>
      </c>
      <c r="W3774" s="2">
        <f>T3774*50%</f>
        <v>82.5</v>
      </c>
      <c r="X3774" s="5">
        <f t="shared" si="558"/>
        <v>0.5</v>
      </c>
      <c r="Z3774" s="2" t="s">
        <v>117</v>
      </c>
      <c r="AA3774" s="2" t="s">
        <v>190</v>
      </c>
      <c r="AB3774" s="2" t="s">
        <v>190</v>
      </c>
      <c r="AC3774" s="2" t="s">
        <v>40</v>
      </c>
      <c r="AF3774" s="2">
        <f t="shared" si="549"/>
        <v>0</v>
      </c>
      <c r="AG3774" s="2">
        <f t="shared" si="557"/>
        <v>82.5</v>
      </c>
      <c r="AJ3774" s="2">
        <f t="shared" si="550"/>
        <v>0</v>
      </c>
      <c r="AK3774" s="2">
        <f t="shared" si="555"/>
        <v>82.5</v>
      </c>
      <c r="AL3774" s="5">
        <f t="shared" si="559"/>
        <v>0.5</v>
      </c>
    </row>
    <row r="3775" spans="1:38" x14ac:dyDescent="0.2">
      <c r="A3775" s="2">
        <v>2026</v>
      </c>
      <c r="B3775" s="2">
        <v>1</v>
      </c>
      <c r="D3775" s="2" t="s">
        <v>1092</v>
      </c>
      <c r="E3775" s="2" t="s">
        <v>108</v>
      </c>
      <c r="F3775" s="2" t="s">
        <v>39</v>
      </c>
      <c r="G3775" s="2">
        <v>513356932</v>
      </c>
      <c r="H3775" s="2" t="s">
        <v>41</v>
      </c>
      <c r="I3775" s="2" t="s">
        <v>2672</v>
      </c>
      <c r="J3775" s="2" t="s">
        <v>2673</v>
      </c>
      <c r="K3775" s="2">
        <v>962939747</v>
      </c>
      <c r="L3775" s="2" t="s">
        <v>99</v>
      </c>
      <c r="M3775" s="2" t="s">
        <v>40</v>
      </c>
      <c r="O3775" s="2" t="s">
        <v>2909</v>
      </c>
      <c r="P3775" s="2" t="s">
        <v>187</v>
      </c>
      <c r="Q3775" s="2" t="s">
        <v>188</v>
      </c>
      <c r="R3775" s="2" t="s">
        <v>189</v>
      </c>
      <c r="S3775" s="2">
        <v>1</v>
      </c>
      <c r="T3775" s="2">
        <v>50</v>
      </c>
      <c r="U3775" s="2">
        <v>11.5</v>
      </c>
      <c r="V3775" s="2">
        <v>61.5</v>
      </c>
      <c r="W3775" s="2">
        <f>T3775*40%</f>
        <v>20</v>
      </c>
      <c r="X3775" s="5">
        <f t="shared" si="558"/>
        <v>0.6</v>
      </c>
      <c r="Z3775" s="2" t="s">
        <v>117</v>
      </c>
      <c r="AA3775" s="2" t="s">
        <v>190</v>
      </c>
      <c r="AB3775" s="2" t="s">
        <v>189</v>
      </c>
      <c r="AC3775" s="2" t="s">
        <v>40</v>
      </c>
      <c r="AF3775" s="2">
        <f t="shared" si="549"/>
        <v>0</v>
      </c>
      <c r="AG3775" s="2">
        <f t="shared" si="557"/>
        <v>20</v>
      </c>
      <c r="AJ3775" s="2">
        <f t="shared" si="550"/>
        <v>0</v>
      </c>
      <c r="AK3775" s="2">
        <f t="shared" si="555"/>
        <v>30</v>
      </c>
      <c r="AL3775" s="5">
        <f t="shared" si="559"/>
        <v>0.6</v>
      </c>
    </row>
    <row r="3776" spans="1:38" x14ac:dyDescent="0.2">
      <c r="A3776" s="2">
        <v>2026</v>
      </c>
      <c r="B3776" s="2">
        <v>1</v>
      </c>
      <c r="D3776" s="2" t="s">
        <v>1092</v>
      </c>
      <c r="E3776" s="2" t="s">
        <v>108</v>
      </c>
      <c r="F3776" s="2" t="s">
        <v>39</v>
      </c>
      <c r="G3776" s="2">
        <v>513356932</v>
      </c>
      <c r="H3776" s="2" t="s">
        <v>41</v>
      </c>
      <c r="I3776" s="2" t="s">
        <v>2672</v>
      </c>
      <c r="J3776" s="2" t="s">
        <v>2673</v>
      </c>
      <c r="K3776" s="2">
        <v>962939747</v>
      </c>
      <c r="L3776" s="2" t="s">
        <v>99</v>
      </c>
      <c r="M3776" s="2" t="s">
        <v>40</v>
      </c>
      <c r="O3776" s="2" t="s">
        <v>2909</v>
      </c>
      <c r="P3776" s="2" t="s">
        <v>187</v>
      </c>
      <c r="Q3776" s="2" t="s">
        <v>191</v>
      </c>
      <c r="R3776" s="2" t="s">
        <v>190</v>
      </c>
      <c r="S3776" s="2">
        <v>1</v>
      </c>
      <c r="T3776" s="2">
        <v>50</v>
      </c>
      <c r="U3776" s="2">
        <v>11.5</v>
      </c>
      <c r="V3776" s="2">
        <v>61.5</v>
      </c>
      <c r="W3776" s="2">
        <f>T3776*50%</f>
        <v>25</v>
      </c>
      <c r="X3776" s="5">
        <f t="shared" si="558"/>
        <v>0.5</v>
      </c>
      <c r="Z3776" s="2" t="s">
        <v>117</v>
      </c>
      <c r="AA3776" s="2" t="s">
        <v>190</v>
      </c>
      <c r="AB3776" s="2" t="s">
        <v>190</v>
      </c>
      <c r="AC3776" s="2" t="s">
        <v>40</v>
      </c>
      <c r="AF3776" s="2">
        <f t="shared" si="549"/>
        <v>0</v>
      </c>
      <c r="AG3776" s="2">
        <f t="shared" si="557"/>
        <v>25</v>
      </c>
      <c r="AJ3776" s="2">
        <f t="shared" si="550"/>
        <v>0</v>
      </c>
      <c r="AK3776" s="2">
        <f t="shared" ref="AK3776:AK3807" si="560">T3776-W3776</f>
        <v>25</v>
      </c>
      <c r="AL3776" s="5">
        <f t="shared" si="559"/>
        <v>0.5</v>
      </c>
    </row>
    <row r="3777" spans="1:38" x14ac:dyDescent="0.2">
      <c r="A3777" s="2">
        <v>2026</v>
      </c>
      <c r="B3777" s="2">
        <v>1</v>
      </c>
      <c r="D3777" s="2" t="s">
        <v>2334</v>
      </c>
      <c r="M3777" s="2" t="s">
        <v>40</v>
      </c>
      <c r="P3777" s="2" t="s">
        <v>187</v>
      </c>
      <c r="Q3777" s="2" t="s">
        <v>188</v>
      </c>
      <c r="R3777" s="2" t="s">
        <v>189</v>
      </c>
      <c r="S3777" s="2">
        <v>2</v>
      </c>
      <c r="T3777" s="2">
        <v>55</v>
      </c>
      <c r="U3777" s="2">
        <v>12.65</v>
      </c>
      <c r="V3777" s="2">
        <v>67.650000000000006</v>
      </c>
      <c r="W3777" s="2">
        <f>T3777*40%</f>
        <v>22</v>
      </c>
      <c r="X3777" s="5">
        <f t="shared" si="558"/>
        <v>0.6</v>
      </c>
      <c r="Z3777" s="2" t="s">
        <v>117</v>
      </c>
      <c r="AA3777" s="2" t="s">
        <v>190</v>
      </c>
      <c r="AB3777" s="2" t="s">
        <v>189</v>
      </c>
      <c r="AC3777" s="2" t="s">
        <v>40</v>
      </c>
      <c r="AF3777" s="2">
        <f t="shared" si="549"/>
        <v>0</v>
      </c>
      <c r="AG3777" s="2">
        <f t="shared" si="557"/>
        <v>22</v>
      </c>
      <c r="AJ3777" s="2">
        <f t="shared" si="550"/>
        <v>0</v>
      </c>
      <c r="AK3777" s="2">
        <f t="shared" si="560"/>
        <v>33</v>
      </c>
      <c r="AL3777" s="5">
        <f t="shared" si="559"/>
        <v>0.6</v>
      </c>
    </row>
    <row r="3778" spans="1:38" x14ac:dyDescent="0.2">
      <c r="A3778" s="2">
        <v>2026</v>
      </c>
      <c r="B3778" s="2">
        <v>1</v>
      </c>
      <c r="D3778" s="2" t="s">
        <v>2334</v>
      </c>
      <c r="M3778" s="2" t="s">
        <v>40</v>
      </c>
      <c r="P3778" s="2" t="s">
        <v>187</v>
      </c>
      <c r="Q3778" s="2" t="s">
        <v>191</v>
      </c>
      <c r="R3778" s="2" t="s">
        <v>190</v>
      </c>
      <c r="S3778" s="2">
        <v>4</v>
      </c>
      <c r="T3778" s="2">
        <v>100</v>
      </c>
      <c r="U3778" s="2">
        <v>23</v>
      </c>
      <c r="V3778" s="2">
        <v>123</v>
      </c>
      <c r="W3778" s="2">
        <f>T3778*50%</f>
        <v>50</v>
      </c>
      <c r="X3778" s="5">
        <f t="shared" si="558"/>
        <v>0.5</v>
      </c>
      <c r="Z3778" s="2" t="s">
        <v>117</v>
      </c>
      <c r="AA3778" s="2" t="s">
        <v>190</v>
      </c>
      <c r="AB3778" s="2" t="s">
        <v>190</v>
      </c>
      <c r="AC3778" s="2" t="s">
        <v>40</v>
      </c>
      <c r="AF3778" s="2">
        <f t="shared" ref="AF3778:AF3841" si="561">AJ3778</f>
        <v>0</v>
      </c>
      <c r="AG3778" s="2">
        <f t="shared" si="557"/>
        <v>50</v>
      </c>
      <c r="AJ3778" s="2">
        <f t="shared" ref="AJ3778:AJ3841" si="562">AI3778*T3778</f>
        <v>0</v>
      </c>
      <c r="AK3778" s="2">
        <f t="shared" si="560"/>
        <v>50</v>
      </c>
      <c r="AL3778" s="5">
        <f t="shared" si="559"/>
        <v>0.5</v>
      </c>
    </row>
    <row r="3779" spans="1:38" x14ac:dyDescent="0.2">
      <c r="A3779" s="2">
        <v>2026</v>
      </c>
      <c r="B3779" s="2">
        <v>4</v>
      </c>
      <c r="D3779" s="2" t="s">
        <v>574</v>
      </c>
      <c r="E3779" s="2" t="s">
        <v>38</v>
      </c>
      <c r="F3779" s="2" t="s">
        <v>39</v>
      </c>
      <c r="G3779" s="2">
        <v>504811029</v>
      </c>
      <c r="H3779" s="2" t="s">
        <v>41</v>
      </c>
      <c r="I3779" s="2" t="s">
        <v>177</v>
      </c>
      <c r="J3779" s="2" t="s">
        <v>575</v>
      </c>
      <c r="L3779" s="2" t="s">
        <v>177</v>
      </c>
      <c r="M3779" s="2" t="s">
        <v>40</v>
      </c>
      <c r="P3779" s="2" t="s">
        <v>187</v>
      </c>
      <c r="Q3779" s="2" t="s">
        <v>188</v>
      </c>
      <c r="R3779" s="2" t="s">
        <v>189</v>
      </c>
      <c r="S3779" s="2">
        <v>1</v>
      </c>
      <c r="T3779" s="2">
        <v>0</v>
      </c>
      <c r="U3779" s="2">
        <v>0</v>
      </c>
      <c r="V3779" s="2">
        <v>0</v>
      </c>
      <c r="W3779" s="2">
        <f>T3779*40%</f>
        <v>0</v>
      </c>
      <c r="X3779" s="5">
        <v>0</v>
      </c>
      <c r="Z3779" s="2" t="s">
        <v>117</v>
      </c>
      <c r="AA3779" s="2" t="s">
        <v>190</v>
      </c>
      <c r="AB3779" s="2" t="s">
        <v>189</v>
      </c>
      <c r="AC3779" s="2" t="s">
        <v>40</v>
      </c>
      <c r="AF3779" s="2">
        <f t="shared" si="561"/>
        <v>0</v>
      </c>
      <c r="AG3779" s="2">
        <f t="shared" si="557"/>
        <v>0</v>
      </c>
      <c r="AJ3779" s="2">
        <f t="shared" si="562"/>
        <v>0</v>
      </c>
      <c r="AK3779" s="2">
        <f t="shared" si="560"/>
        <v>0</v>
      </c>
      <c r="AL3779" s="5">
        <v>0</v>
      </c>
    </row>
    <row r="3780" spans="1:38" x14ac:dyDescent="0.2">
      <c r="A3780" s="2">
        <v>2026</v>
      </c>
      <c r="B3780" s="2">
        <v>4</v>
      </c>
      <c r="D3780" s="2" t="s">
        <v>574</v>
      </c>
      <c r="E3780" s="2" t="s">
        <v>38</v>
      </c>
      <c r="F3780" s="2" t="s">
        <v>39</v>
      </c>
      <c r="G3780" s="2">
        <v>504811029</v>
      </c>
      <c r="H3780" s="2" t="s">
        <v>41</v>
      </c>
      <c r="I3780" s="2" t="s">
        <v>177</v>
      </c>
      <c r="J3780" s="2" t="s">
        <v>575</v>
      </c>
      <c r="L3780" s="2" t="s">
        <v>177</v>
      </c>
      <c r="M3780" s="2" t="s">
        <v>40</v>
      </c>
      <c r="P3780" s="2" t="s">
        <v>187</v>
      </c>
      <c r="Q3780" s="2" t="s">
        <v>191</v>
      </c>
      <c r="R3780" s="2" t="s">
        <v>190</v>
      </c>
      <c r="S3780" s="2">
        <v>2</v>
      </c>
      <c r="T3780" s="2">
        <v>0</v>
      </c>
      <c r="U3780" s="2">
        <v>0</v>
      </c>
      <c r="V3780" s="2">
        <v>0</v>
      </c>
      <c r="W3780" s="2">
        <f>T3780*50%</f>
        <v>0</v>
      </c>
      <c r="X3780" s="5">
        <v>0</v>
      </c>
      <c r="Z3780" s="2" t="s">
        <v>117</v>
      </c>
      <c r="AA3780" s="2" t="s">
        <v>190</v>
      </c>
      <c r="AB3780" s="2" t="s">
        <v>190</v>
      </c>
      <c r="AC3780" s="2" t="s">
        <v>40</v>
      </c>
      <c r="AF3780" s="2">
        <f t="shared" si="561"/>
        <v>0</v>
      </c>
      <c r="AG3780" s="2">
        <f t="shared" si="557"/>
        <v>0</v>
      </c>
      <c r="AJ3780" s="2">
        <f t="shared" si="562"/>
        <v>0</v>
      </c>
      <c r="AK3780" s="2">
        <f t="shared" si="560"/>
        <v>0</v>
      </c>
      <c r="AL3780" s="5">
        <v>0</v>
      </c>
    </row>
    <row r="3781" spans="1:38" x14ac:dyDescent="0.2">
      <c r="A3781" s="2">
        <v>2026</v>
      </c>
      <c r="B3781" s="2">
        <v>1</v>
      </c>
      <c r="D3781" s="2" t="s">
        <v>2327</v>
      </c>
      <c r="M3781" s="2" t="s">
        <v>40</v>
      </c>
      <c r="P3781" s="2" t="s">
        <v>187</v>
      </c>
      <c r="Q3781" s="2" t="s">
        <v>188</v>
      </c>
      <c r="R3781" s="2" t="s">
        <v>189</v>
      </c>
      <c r="S3781" s="2">
        <v>1</v>
      </c>
      <c r="T3781" s="2">
        <v>50</v>
      </c>
      <c r="U3781" s="2">
        <v>11.5</v>
      </c>
      <c r="V3781" s="2">
        <v>61.5</v>
      </c>
      <c r="W3781" s="2">
        <f>T3781*40%</f>
        <v>20</v>
      </c>
      <c r="X3781" s="5">
        <f>(T3781-W3781)/T3781</f>
        <v>0.6</v>
      </c>
      <c r="Z3781" s="2" t="s">
        <v>117</v>
      </c>
      <c r="AA3781" s="2" t="s">
        <v>190</v>
      </c>
      <c r="AB3781" s="2" t="s">
        <v>189</v>
      </c>
      <c r="AC3781" s="2" t="s">
        <v>40</v>
      </c>
      <c r="AF3781" s="2">
        <f t="shared" si="561"/>
        <v>0</v>
      </c>
      <c r="AG3781" s="2">
        <f t="shared" si="557"/>
        <v>20</v>
      </c>
      <c r="AJ3781" s="2">
        <f t="shared" si="562"/>
        <v>0</v>
      </c>
      <c r="AK3781" s="2">
        <f t="shared" si="560"/>
        <v>30</v>
      </c>
      <c r="AL3781" s="5">
        <f>(T3781-W3781)/T3781</f>
        <v>0.6</v>
      </c>
    </row>
    <row r="3782" spans="1:38" x14ac:dyDescent="0.2">
      <c r="A3782" s="2">
        <v>2026</v>
      </c>
      <c r="B3782" s="2">
        <v>1</v>
      </c>
      <c r="D3782" s="2" t="s">
        <v>2327</v>
      </c>
      <c r="M3782" s="2" t="s">
        <v>40</v>
      </c>
      <c r="P3782" s="2" t="s">
        <v>187</v>
      </c>
      <c r="Q3782" s="2" t="s">
        <v>191</v>
      </c>
      <c r="R3782" s="2" t="s">
        <v>190</v>
      </c>
      <c r="S3782" s="2">
        <v>1</v>
      </c>
      <c r="T3782" s="2">
        <v>50</v>
      </c>
      <c r="U3782" s="2">
        <v>11.5</v>
      </c>
      <c r="V3782" s="2">
        <v>61.5</v>
      </c>
      <c r="W3782" s="2">
        <f>T3782*50%</f>
        <v>25</v>
      </c>
      <c r="X3782" s="5">
        <f>(T3782-W3782)/T3782</f>
        <v>0.5</v>
      </c>
      <c r="Z3782" s="2" t="s">
        <v>117</v>
      </c>
      <c r="AA3782" s="2" t="s">
        <v>190</v>
      </c>
      <c r="AB3782" s="2" t="s">
        <v>190</v>
      </c>
      <c r="AC3782" s="2" t="s">
        <v>40</v>
      </c>
      <c r="AF3782" s="2">
        <f t="shared" si="561"/>
        <v>0</v>
      </c>
      <c r="AG3782" s="2">
        <f t="shared" si="557"/>
        <v>25</v>
      </c>
      <c r="AJ3782" s="2">
        <f t="shared" si="562"/>
        <v>0</v>
      </c>
      <c r="AK3782" s="2">
        <f t="shared" si="560"/>
        <v>25</v>
      </c>
      <c r="AL3782" s="5">
        <f>(T3782-W3782)/T3782</f>
        <v>0.5</v>
      </c>
    </row>
    <row r="3783" spans="1:38" x14ac:dyDescent="0.2">
      <c r="A3783" s="2">
        <v>2026</v>
      </c>
      <c r="B3783" s="2">
        <v>2</v>
      </c>
      <c r="D3783" s="2" t="s">
        <v>2327</v>
      </c>
      <c r="M3783" s="2" t="s">
        <v>40</v>
      </c>
      <c r="P3783" s="2" t="s">
        <v>187</v>
      </c>
      <c r="Q3783" s="2" t="s">
        <v>188</v>
      </c>
      <c r="R3783" s="2" t="s">
        <v>189</v>
      </c>
      <c r="S3783" s="2">
        <v>-1</v>
      </c>
      <c r="T3783" s="2">
        <v>-50</v>
      </c>
      <c r="U3783" s="2">
        <v>-11.5</v>
      </c>
      <c r="V3783" s="2">
        <v>-61.5</v>
      </c>
      <c r="W3783" s="2">
        <f>T3783*40%</f>
        <v>-20</v>
      </c>
      <c r="Z3783" s="2" t="s">
        <v>117</v>
      </c>
      <c r="AA3783" s="2" t="s">
        <v>190</v>
      </c>
      <c r="AB3783" s="2" t="s">
        <v>189</v>
      </c>
      <c r="AC3783" s="2" t="s">
        <v>40</v>
      </c>
      <c r="AF3783" s="2">
        <f t="shared" si="561"/>
        <v>0</v>
      </c>
      <c r="AG3783" s="2">
        <f t="shared" si="557"/>
        <v>-20</v>
      </c>
      <c r="AJ3783" s="2">
        <f t="shared" si="562"/>
        <v>0</v>
      </c>
      <c r="AK3783" s="2">
        <f t="shared" si="560"/>
        <v>-30</v>
      </c>
    </row>
    <row r="3784" spans="1:38" x14ac:dyDescent="0.2">
      <c r="A3784" s="2">
        <v>2026</v>
      </c>
      <c r="B3784" s="2">
        <v>3</v>
      </c>
      <c r="D3784" s="2" t="s">
        <v>2852</v>
      </c>
      <c r="M3784" s="2" t="s">
        <v>80</v>
      </c>
      <c r="P3784" s="2" t="s">
        <v>169</v>
      </c>
      <c r="Q3784" s="2" t="s">
        <v>170</v>
      </c>
      <c r="R3784" s="2" t="s">
        <v>170</v>
      </c>
      <c r="S3784" s="2">
        <v>1</v>
      </c>
      <c r="T3784" s="2">
        <v>8</v>
      </c>
      <c r="U3784" s="2">
        <v>1.84</v>
      </c>
      <c r="V3784" s="2">
        <v>9.84</v>
      </c>
      <c r="W3784" s="2">
        <v>6</v>
      </c>
      <c r="X3784" s="5">
        <f>(T3784-W3784)/T3784</f>
        <v>0.25</v>
      </c>
      <c r="Z3784" s="2" t="s">
        <v>169</v>
      </c>
      <c r="AA3784" s="2" t="s">
        <v>169</v>
      </c>
      <c r="AF3784" s="2">
        <f t="shared" si="561"/>
        <v>0</v>
      </c>
      <c r="AJ3784" s="2">
        <f t="shared" si="562"/>
        <v>0</v>
      </c>
      <c r="AK3784" s="2">
        <f t="shared" si="560"/>
        <v>2</v>
      </c>
      <c r="AL3784" s="5">
        <f t="shared" ref="AL3784:AL3792" si="563">(T3784-W3784)/T3784</f>
        <v>0.25</v>
      </c>
    </row>
    <row r="3785" spans="1:38" x14ac:dyDescent="0.2">
      <c r="A3785" s="2">
        <v>2026</v>
      </c>
      <c r="B3785" s="2">
        <v>2</v>
      </c>
      <c r="D3785" s="2" t="s">
        <v>2327</v>
      </c>
      <c r="M3785" s="2" t="s">
        <v>40</v>
      </c>
      <c r="P3785" s="2" t="s">
        <v>187</v>
      </c>
      <c r="Q3785" s="2" t="s">
        <v>191</v>
      </c>
      <c r="R3785" s="2" t="s">
        <v>190</v>
      </c>
      <c r="S3785" s="2">
        <v>-1</v>
      </c>
      <c r="T3785" s="2">
        <v>-50</v>
      </c>
      <c r="U3785" s="2">
        <v>-11.5</v>
      </c>
      <c r="V3785" s="2">
        <v>-61.5</v>
      </c>
      <c r="Z3785" s="2" t="s">
        <v>117</v>
      </c>
      <c r="AA3785" s="2" t="s">
        <v>190</v>
      </c>
      <c r="AB3785" s="2" t="s">
        <v>190</v>
      </c>
      <c r="AC3785" s="2" t="s">
        <v>40</v>
      </c>
      <c r="AF3785" s="2">
        <f t="shared" si="561"/>
        <v>0</v>
      </c>
      <c r="AG3785" s="2">
        <f t="shared" ref="AG3785:AG3809" si="564">W3785</f>
        <v>0</v>
      </c>
      <c r="AJ3785" s="2">
        <f t="shared" si="562"/>
        <v>0</v>
      </c>
      <c r="AK3785" s="2">
        <f t="shared" si="560"/>
        <v>-50</v>
      </c>
      <c r="AL3785" s="5">
        <f t="shared" si="563"/>
        <v>1</v>
      </c>
    </row>
    <row r="3786" spans="1:38" x14ac:dyDescent="0.2">
      <c r="A3786" s="2">
        <v>2026</v>
      </c>
      <c r="B3786" s="2">
        <v>2</v>
      </c>
      <c r="D3786" s="2" t="s">
        <v>2482</v>
      </c>
      <c r="M3786" s="2" t="s">
        <v>40</v>
      </c>
      <c r="P3786" s="2" t="s">
        <v>187</v>
      </c>
      <c r="Q3786" s="2" t="s">
        <v>188</v>
      </c>
      <c r="R3786" s="2" t="s">
        <v>189</v>
      </c>
      <c r="S3786" s="2">
        <v>1</v>
      </c>
      <c r="T3786" s="2">
        <v>50</v>
      </c>
      <c r="U3786" s="2">
        <v>11.5</v>
      </c>
      <c r="V3786" s="2">
        <v>61.5</v>
      </c>
      <c r="W3786" s="2">
        <f>T3786*40%</f>
        <v>20</v>
      </c>
      <c r="X3786" s="5">
        <f t="shared" ref="X3786:X3792" si="565">(T3786-W3786)/T3786</f>
        <v>0.6</v>
      </c>
      <c r="Z3786" s="2" t="s">
        <v>117</v>
      </c>
      <c r="AA3786" s="2" t="s">
        <v>190</v>
      </c>
      <c r="AB3786" s="2" t="s">
        <v>189</v>
      </c>
      <c r="AC3786" s="2" t="s">
        <v>40</v>
      </c>
      <c r="AF3786" s="2">
        <f t="shared" si="561"/>
        <v>0</v>
      </c>
      <c r="AG3786" s="2">
        <f t="shared" si="564"/>
        <v>20</v>
      </c>
      <c r="AJ3786" s="2">
        <f t="shared" si="562"/>
        <v>0</v>
      </c>
      <c r="AK3786" s="2">
        <f t="shared" si="560"/>
        <v>30</v>
      </c>
      <c r="AL3786" s="5">
        <f t="shared" si="563"/>
        <v>0.6</v>
      </c>
    </row>
    <row r="3787" spans="1:38" x14ac:dyDescent="0.2">
      <c r="A3787" s="2">
        <v>2026</v>
      </c>
      <c r="B3787" s="2">
        <v>2</v>
      </c>
      <c r="D3787" s="2" t="s">
        <v>2482</v>
      </c>
      <c r="M3787" s="2" t="s">
        <v>40</v>
      </c>
      <c r="P3787" s="2" t="s">
        <v>187</v>
      </c>
      <c r="Q3787" s="2" t="s">
        <v>191</v>
      </c>
      <c r="R3787" s="2" t="s">
        <v>190</v>
      </c>
      <c r="S3787" s="2">
        <v>1</v>
      </c>
      <c r="T3787" s="2">
        <v>50</v>
      </c>
      <c r="U3787" s="2">
        <v>11.5</v>
      </c>
      <c r="V3787" s="2">
        <v>61.5</v>
      </c>
      <c r="W3787" s="2">
        <f>T3787*50%</f>
        <v>25</v>
      </c>
      <c r="X3787" s="5">
        <f t="shared" si="565"/>
        <v>0.5</v>
      </c>
      <c r="Z3787" s="2" t="s">
        <v>117</v>
      </c>
      <c r="AA3787" s="2" t="s">
        <v>190</v>
      </c>
      <c r="AB3787" s="2" t="s">
        <v>190</v>
      </c>
      <c r="AC3787" s="2" t="s">
        <v>40</v>
      </c>
      <c r="AF3787" s="2">
        <f t="shared" si="561"/>
        <v>0</v>
      </c>
      <c r="AG3787" s="2">
        <f t="shared" si="564"/>
        <v>25</v>
      </c>
      <c r="AJ3787" s="2">
        <f t="shared" si="562"/>
        <v>0</v>
      </c>
      <c r="AK3787" s="2">
        <f t="shared" si="560"/>
        <v>25</v>
      </c>
      <c r="AL3787" s="5">
        <f t="shared" si="563"/>
        <v>0.5</v>
      </c>
    </row>
    <row r="3788" spans="1:38" x14ac:dyDescent="0.2">
      <c r="A3788" s="2">
        <v>2026</v>
      </c>
      <c r="B3788" s="2">
        <v>4</v>
      </c>
      <c r="D3788" s="2" t="s">
        <v>2781</v>
      </c>
      <c r="M3788" s="2" t="s">
        <v>40</v>
      </c>
      <c r="P3788" s="2" t="s">
        <v>187</v>
      </c>
      <c r="Q3788" s="2" t="s">
        <v>188</v>
      </c>
      <c r="R3788" s="2" t="s">
        <v>189</v>
      </c>
      <c r="S3788" s="2">
        <v>1</v>
      </c>
      <c r="T3788" s="2">
        <v>55</v>
      </c>
      <c r="U3788" s="2">
        <v>12.65</v>
      </c>
      <c r="V3788" s="2">
        <v>67.650000000000006</v>
      </c>
      <c r="W3788" s="2">
        <f>T3788*40%</f>
        <v>22</v>
      </c>
      <c r="X3788" s="5">
        <f t="shared" si="565"/>
        <v>0.6</v>
      </c>
      <c r="Z3788" s="2" t="s">
        <v>117</v>
      </c>
      <c r="AA3788" s="2" t="s">
        <v>190</v>
      </c>
      <c r="AB3788" s="2" t="s">
        <v>189</v>
      </c>
      <c r="AC3788" s="2" t="s">
        <v>40</v>
      </c>
      <c r="AF3788" s="2">
        <f t="shared" si="561"/>
        <v>0</v>
      </c>
      <c r="AG3788" s="2">
        <f t="shared" si="564"/>
        <v>22</v>
      </c>
      <c r="AJ3788" s="2">
        <f t="shared" si="562"/>
        <v>0</v>
      </c>
      <c r="AK3788" s="2">
        <f t="shared" si="560"/>
        <v>33</v>
      </c>
      <c r="AL3788" s="5">
        <f t="shared" si="563"/>
        <v>0.6</v>
      </c>
    </row>
    <row r="3789" spans="1:38" x14ac:dyDescent="0.2">
      <c r="A3789" s="2">
        <v>2026</v>
      </c>
      <c r="B3789" s="2">
        <v>4</v>
      </c>
      <c r="D3789" s="2" t="s">
        <v>2781</v>
      </c>
      <c r="M3789" s="2" t="s">
        <v>40</v>
      </c>
      <c r="P3789" s="2" t="s">
        <v>187</v>
      </c>
      <c r="Q3789" s="2" t="s">
        <v>191</v>
      </c>
      <c r="R3789" s="2" t="s">
        <v>190</v>
      </c>
      <c r="S3789" s="2">
        <v>1</v>
      </c>
      <c r="T3789" s="2">
        <v>55</v>
      </c>
      <c r="U3789" s="2">
        <v>12.65</v>
      </c>
      <c r="V3789" s="2">
        <v>67.650000000000006</v>
      </c>
      <c r="W3789" s="2">
        <f>T3789*50%</f>
        <v>27.5</v>
      </c>
      <c r="X3789" s="5">
        <f t="shared" si="565"/>
        <v>0.5</v>
      </c>
      <c r="Z3789" s="2" t="s">
        <v>117</v>
      </c>
      <c r="AA3789" s="2" t="s">
        <v>190</v>
      </c>
      <c r="AB3789" s="2" t="s">
        <v>190</v>
      </c>
      <c r="AC3789" s="2" t="s">
        <v>40</v>
      </c>
      <c r="AF3789" s="2">
        <f t="shared" si="561"/>
        <v>0</v>
      </c>
      <c r="AG3789" s="2">
        <f t="shared" si="564"/>
        <v>27.5</v>
      </c>
      <c r="AJ3789" s="2">
        <f t="shared" si="562"/>
        <v>0</v>
      </c>
      <c r="AK3789" s="2">
        <f t="shared" si="560"/>
        <v>27.5</v>
      </c>
      <c r="AL3789" s="5">
        <f t="shared" si="563"/>
        <v>0.5</v>
      </c>
    </row>
    <row r="3790" spans="1:38" x14ac:dyDescent="0.2">
      <c r="A3790" s="2">
        <v>2026</v>
      </c>
      <c r="B3790" s="2">
        <v>4</v>
      </c>
      <c r="D3790" s="2" t="s">
        <v>2283</v>
      </c>
      <c r="M3790" s="2" t="s">
        <v>40</v>
      </c>
      <c r="P3790" s="2" t="s">
        <v>187</v>
      </c>
      <c r="Q3790" s="2" t="s">
        <v>188</v>
      </c>
      <c r="R3790" s="2" t="s">
        <v>189</v>
      </c>
      <c r="S3790" s="2">
        <v>1</v>
      </c>
      <c r="T3790" s="2">
        <v>83</v>
      </c>
      <c r="U3790" s="2">
        <v>19.09</v>
      </c>
      <c r="V3790" s="2">
        <v>102.09</v>
      </c>
      <c r="W3790" s="2">
        <f>T3790*40%</f>
        <v>33.200000000000003</v>
      </c>
      <c r="X3790" s="5">
        <f t="shared" si="565"/>
        <v>0.6</v>
      </c>
      <c r="Z3790" s="2" t="s">
        <v>117</v>
      </c>
      <c r="AA3790" s="2" t="s">
        <v>190</v>
      </c>
      <c r="AB3790" s="2" t="s">
        <v>189</v>
      </c>
      <c r="AC3790" s="2" t="s">
        <v>40</v>
      </c>
      <c r="AF3790" s="2">
        <f t="shared" si="561"/>
        <v>0</v>
      </c>
      <c r="AG3790" s="2">
        <f t="shared" si="564"/>
        <v>33.200000000000003</v>
      </c>
      <c r="AJ3790" s="2">
        <f t="shared" si="562"/>
        <v>0</v>
      </c>
      <c r="AK3790" s="2">
        <f t="shared" si="560"/>
        <v>49.8</v>
      </c>
      <c r="AL3790" s="5">
        <f t="shared" si="563"/>
        <v>0.6</v>
      </c>
    </row>
    <row r="3791" spans="1:38" x14ac:dyDescent="0.2">
      <c r="A3791" s="2">
        <v>2026</v>
      </c>
      <c r="B3791" s="2">
        <v>4</v>
      </c>
      <c r="D3791" s="2" t="s">
        <v>2283</v>
      </c>
      <c r="M3791" s="2" t="s">
        <v>40</v>
      </c>
      <c r="P3791" s="2" t="s">
        <v>187</v>
      </c>
      <c r="Q3791" s="2" t="s">
        <v>191</v>
      </c>
      <c r="R3791" s="2" t="s">
        <v>190</v>
      </c>
      <c r="S3791" s="2">
        <v>0.75</v>
      </c>
      <c r="T3791" s="2">
        <v>41.25</v>
      </c>
      <c r="U3791" s="2">
        <v>9.4875000000000007</v>
      </c>
      <c r="V3791" s="2">
        <v>50.737499999999997</v>
      </c>
      <c r="W3791" s="2">
        <f>T3791*50%</f>
        <v>20.625</v>
      </c>
      <c r="X3791" s="5">
        <f t="shared" si="565"/>
        <v>0.5</v>
      </c>
      <c r="Z3791" s="2" t="s">
        <v>117</v>
      </c>
      <c r="AA3791" s="2" t="s">
        <v>190</v>
      </c>
      <c r="AB3791" s="2" t="s">
        <v>190</v>
      </c>
      <c r="AC3791" s="2" t="s">
        <v>40</v>
      </c>
      <c r="AF3791" s="2">
        <f t="shared" si="561"/>
        <v>0</v>
      </c>
      <c r="AG3791" s="2">
        <f t="shared" si="564"/>
        <v>20.625</v>
      </c>
      <c r="AJ3791" s="2">
        <f t="shared" si="562"/>
        <v>0</v>
      </c>
      <c r="AK3791" s="2">
        <f t="shared" si="560"/>
        <v>20.625</v>
      </c>
      <c r="AL3791" s="5">
        <f t="shared" si="563"/>
        <v>0.5</v>
      </c>
    </row>
    <row r="3792" spans="1:38" x14ac:dyDescent="0.2">
      <c r="A3792" s="2">
        <v>2026</v>
      </c>
      <c r="B3792" s="2">
        <v>3</v>
      </c>
      <c r="D3792" s="2" t="s">
        <v>906</v>
      </c>
      <c r="M3792" s="2" t="s">
        <v>40</v>
      </c>
      <c r="P3792" s="2" t="s">
        <v>187</v>
      </c>
      <c r="Q3792" s="2" t="s">
        <v>188</v>
      </c>
      <c r="R3792" s="2" t="s">
        <v>189</v>
      </c>
      <c r="S3792" s="2">
        <v>1</v>
      </c>
      <c r="T3792" s="2">
        <v>63</v>
      </c>
      <c r="U3792" s="2">
        <v>14.49</v>
      </c>
      <c r="V3792" s="2">
        <v>77.489999999999995</v>
      </c>
      <c r="W3792" s="2">
        <f>T3792*40%</f>
        <v>25.200000000000003</v>
      </c>
      <c r="X3792" s="5">
        <f t="shared" si="565"/>
        <v>0.6</v>
      </c>
      <c r="Z3792" s="2" t="s">
        <v>117</v>
      </c>
      <c r="AA3792" s="2" t="s">
        <v>190</v>
      </c>
      <c r="AB3792" s="2" t="s">
        <v>189</v>
      </c>
      <c r="AC3792" s="2" t="s">
        <v>40</v>
      </c>
      <c r="AF3792" s="2">
        <f t="shared" si="561"/>
        <v>0</v>
      </c>
      <c r="AG3792" s="2">
        <f t="shared" si="564"/>
        <v>25.200000000000003</v>
      </c>
      <c r="AJ3792" s="2">
        <f t="shared" si="562"/>
        <v>0</v>
      </c>
      <c r="AK3792" s="2">
        <f t="shared" si="560"/>
        <v>37.799999999999997</v>
      </c>
      <c r="AL3792" s="5">
        <f t="shared" si="563"/>
        <v>0.6</v>
      </c>
    </row>
    <row r="3793" spans="1:38" x14ac:dyDescent="0.2">
      <c r="A3793" s="2">
        <v>2026</v>
      </c>
      <c r="B3793" s="2">
        <v>3</v>
      </c>
      <c r="D3793" s="2" t="s">
        <v>906</v>
      </c>
      <c r="M3793" s="2" t="s">
        <v>40</v>
      </c>
      <c r="P3793" s="2" t="s">
        <v>187</v>
      </c>
      <c r="Q3793" s="2" t="s">
        <v>191</v>
      </c>
      <c r="R3793" s="2" t="s">
        <v>190</v>
      </c>
      <c r="S3793" s="2">
        <v>1</v>
      </c>
      <c r="T3793" s="2">
        <v>0</v>
      </c>
      <c r="U3793" s="2">
        <v>0</v>
      </c>
      <c r="V3793" s="2">
        <v>0</v>
      </c>
      <c r="W3793" s="2">
        <f>T3793*50%</f>
        <v>0</v>
      </c>
      <c r="X3793" s="5">
        <v>0</v>
      </c>
      <c r="Z3793" s="2" t="s">
        <v>117</v>
      </c>
      <c r="AA3793" s="2" t="s">
        <v>190</v>
      </c>
      <c r="AB3793" s="2" t="s">
        <v>190</v>
      </c>
      <c r="AC3793" s="2" t="s">
        <v>40</v>
      </c>
      <c r="AF3793" s="2">
        <f t="shared" si="561"/>
        <v>0</v>
      </c>
      <c r="AG3793" s="2">
        <f t="shared" si="564"/>
        <v>0</v>
      </c>
      <c r="AJ3793" s="2">
        <f t="shared" si="562"/>
        <v>0</v>
      </c>
      <c r="AK3793" s="2">
        <f t="shared" si="560"/>
        <v>0</v>
      </c>
      <c r="AL3793" s="5">
        <v>0</v>
      </c>
    </row>
    <row r="3794" spans="1:38" x14ac:dyDescent="0.2">
      <c r="A3794" s="2">
        <v>2026</v>
      </c>
      <c r="B3794" s="2">
        <v>1</v>
      </c>
      <c r="D3794" s="2" t="s">
        <v>1660</v>
      </c>
      <c r="M3794" s="2" t="s">
        <v>40</v>
      </c>
      <c r="P3794" s="2" t="s">
        <v>187</v>
      </c>
      <c r="Q3794" s="2" t="s">
        <v>188</v>
      </c>
      <c r="R3794" s="2" t="s">
        <v>189</v>
      </c>
      <c r="S3794" s="2">
        <v>2</v>
      </c>
      <c r="T3794" s="2">
        <v>572</v>
      </c>
      <c r="U3794" s="2">
        <v>131.56</v>
      </c>
      <c r="V3794" s="2">
        <v>703.56</v>
      </c>
      <c r="W3794" s="2">
        <f>T3794*40%</f>
        <v>228.8</v>
      </c>
      <c r="X3794" s="5">
        <f>(T3794-W3794)/T3794</f>
        <v>0.6</v>
      </c>
      <c r="Z3794" s="2" t="s">
        <v>117</v>
      </c>
      <c r="AA3794" s="2" t="s">
        <v>190</v>
      </c>
      <c r="AB3794" s="2" t="s">
        <v>189</v>
      </c>
      <c r="AC3794" s="2" t="s">
        <v>40</v>
      </c>
      <c r="AF3794" s="2">
        <f t="shared" si="561"/>
        <v>0</v>
      </c>
      <c r="AG3794" s="2">
        <f t="shared" si="564"/>
        <v>228.8</v>
      </c>
      <c r="AJ3794" s="2">
        <f t="shared" si="562"/>
        <v>0</v>
      </c>
      <c r="AK3794" s="2">
        <f t="shared" si="560"/>
        <v>343.2</v>
      </c>
      <c r="AL3794" s="5">
        <f>(T3794-W3794)/T3794</f>
        <v>0.6</v>
      </c>
    </row>
    <row r="3795" spans="1:38" x14ac:dyDescent="0.2">
      <c r="A3795" s="2">
        <v>2026</v>
      </c>
      <c r="B3795" s="2">
        <v>1</v>
      </c>
      <c r="D3795" s="2" t="s">
        <v>1660</v>
      </c>
      <c r="M3795" s="2" t="s">
        <v>40</v>
      </c>
      <c r="P3795" s="2" t="s">
        <v>187</v>
      </c>
      <c r="Q3795" s="2" t="s">
        <v>191</v>
      </c>
      <c r="R3795" s="2" t="s">
        <v>190</v>
      </c>
      <c r="S3795" s="2">
        <v>2</v>
      </c>
      <c r="T3795" s="2">
        <v>100</v>
      </c>
      <c r="U3795" s="2">
        <v>23</v>
      </c>
      <c r="V3795" s="2">
        <v>123</v>
      </c>
      <c r="W3795" s="2">
        <f>T3795*50%</f>
        <v>50</v>
      </c>
      <c r="X3795" s="5">
        <f>(T3795-W3795)/T3795</f>
        <v>0.5</v>
      </c>
      <c r="Z3795" s="2" t="s">
        <v>117</v>
      </c>
      <c r="AA3795" s="2" t="s">
        <v>190</v>
      </c>
      <c r="AB3795" s="2" t="s">
        <v>190</v>
      </c>
      <c r="AC3795" s="2" t="s">
        <v>40</v>
      </c>
      <c r="AF3795" s="2">
        <f t="shared" si="561"/>
        <v>0</v>
      </c>
      <c r="AG3795" s="2">
        <f t="shared" si="564"/>
        <v>50</v>
      </c>
      <c r="AJ3795" s="2">
        <f t="shared" si="562"/>
        <v>0</v>
      </c>
      <c r="AK3795" s="2">
        <f t="shared" si="560"/>
        <v>50</v>
      </c>
      <c r="AL3795" s="5">
        <f>(T3795-W3795)/T3795</f>
        <v>0.5</v>
      </c>
    </row>
    <row r="3796" spans="1:38" x14ac:dyDescent="0.2">
      <c r="A3796" s="2">
        <v>2026</v>
      </c>
      <c r="B3796" s="2">
        <v>3</v>
      </c>
      <c r="D3796" s="2" t="s">
        <v>1660</v>
      </c>
      <c r="M3796" s="2" t="s">
        <v>40</v>
      </c>
      <c r="P3796" s="2" t="s">
        <v>187</v>
      </c>
      <c r="Q3796" s="2" t="s">
        <v>188</v>
      </c>
      <c r="R3796" s="2" t="s">
        <v>189</v>
      </c>
      <c r="S3796" s="2">
        <v>-1</v>
      </c>
      <c r="T3796" s="2">
        <v>-286</v>
      </c>
      <c r="U3796" s="2">
        <v>-65.78</v>
      </c>
      <c r="V3796" s="2">
        <v>-351.78</v>
      </c>
      <c r="W3796" s="2">
        <f>T3796*40%</f>
        <v>-114.4</v>
      </c>
      <c r="Z3796" s="2" t="s">
        <v>117</v>
      </c>
      <c r="AA3796" s="2" t="s">
        <v>190</v>
      </c>
      <c r="AB3796" s="2" t="s">
        <v>189</v>
      </c>
      <c r="AC3796" s="2" t="s">
        <v>40</v>
      </c>
      <c r="AF3796" s="2">
        <f t="shared" si="561"/>
        <v>0</v>
      </c>
      <c r="AG3796" s="2">
        <f t="shared" si="564"/>
        <v>-114.4</v>
      </c>
      <c r="AJ3796" s="2">
        <f t="shared" si="562"/>
        <v>0</v>
      </c>
      <c r="AK3796" s="2">
        <f t="shared" si="560"/>
        <v>-171.6</v>
      </c>
    </row>
    <row r="3797" spans="1:38" x14ac:dyDescent="0.2">
      <c r="A3797" s="2">
        <v>2026</v>
      </c>
      <c r="B3797" s="2">
        <v>3</v>
      </c>
      <c r="D3797" s="2" t="s">
        <v>1660</v>
      </c>
      <c r="M3797" s="2" t="s">
        <v>40</v>
      </c>
      <c r="P3797" s="2" t="s">
        <v>187</v>
      </c>
      <c r="Q3797" s="2" t="s">
        <v>191</v>
      </c>
      <c r="R3797" s="2" t="s">
        <v>190</v>
      </c>
      <c r="S3797" s="2">
        <v>-1</v>
      </c>
      <c r="T3797" s="2">
        <v>-50</v>
      </c>
      <c r="U3797" s="2">
        <v>-11.5</v>
      </c>
      <c r="V3797" s="2">
        <v>-61.5</v>
      </c>
      <c r="Z3797" s="2" t="s">
        <v>117</v>
      </c>
      <c r="AA3797" s="2" t="s">
        <v>190</v>
      </c>
      <c r="AB3797" s="2" t="s">
        <v>190</v>
      </c>
      <c r="AC3797" s="2" t="s">
        <v>40</v>
      </c>
      <c r="AF3797" s="2">
        <f t="shared" si="561"/>
        <v>0</v>
      </c>
      <c r="AG3797" s="2">
        <f t="shared" si="564"/>
        <v>0</v>
      </c>
      <c r="AJ3797" s="2">
        <f t="shared" si="562"/>
        <v>0</v>
      </c>
      <c r="AK3797" s="2">
        <f t="shared" si="560"/>
        <v>-50</v>
      </c>
    </row>
    <row r="3798" spans="1:38" x14ac:dyDescent="0.2">
      <c r="A3798" s="2">
        <v>2026</v>
      </c>
      <c r="B3798" s="2">
        <v>3</v>
      </c>
      <c r="D3798" s="2" t="s">
        <v>2624</v>
      </c>
      <c r="M3798" s="2" t="s">
        <v>40</v>
      </c>
      <c r="P3798" s="2" t="s">
        <v>187</v>
      </c>
      <c r="Q3798" s="2" t="s">
        <v>188</v>
      </c>
      <c r="R3798" s="2" t="s">
        <v>189</v>
      </c>
      <c r="S3798" s="2">
        <v>1</v>
      </c>
      <c r="T3798" s="2">
        <v>178</v>
      </c>
      <c r="U3798" s="2">
        <v>40.94</v>
      </c>
      <c r="V3798" s="2">
        <v>218.94</v>
      </c>
      <c r="W3798" s="2">
        <f>T3798*40%</f>
        <v>71.2</v>
      </c>
      <c r="X3798" s="5">
        <f t="shared" ref="X3798:X3816" si="566">(T3798-W3798)/T3798</f>
        <v>0.6</v>
      </c>
      <c r="Z3798" s="2" t="s">
        <v>117</v>
      </c>
      <c r="AA3798" s="2" t="s">
        <v>190</v>
      </c>
      <c r="AB3798" s="2" t="s">
        <v>189</v>
      </c>
      <c r="AC3798" s="2" t="s">
        <v>40</v>
      </c>
      <c r="AF3798" s="2">
        <f t="shared" si="561"/>
        <v>0</v>
      </c>
      <c r="AG3798" s="2">
        <f t="shared" si="564"/>
        <v>71.2</v>
      </c>
      <c r="AJ3798" s="2">
        <f t="shared" si="562"/>
        <v>0</v>
      </c>
      <c r="AK3798" s="2">
        <f t="shared" si="560"/>
        <v>106.8</v>
      </c>
      <c r="AL3798" s="5">
        <f t="shared" ref="AL3798:AL3825" si="567">(T3798-W3798)/T3798</f>
        <v>0.6</v>
      </c>
    </row>
    <row r="3799" spans="1:38" x14ac:dyDescent="0.2">
      <c r="A3799" s="2">
        <v>2026</v>
      </c>
      <c r="B3799" s="2">
        <v>3</v>
      </c>
      <c r="D3799" s="2" t="s">
        <v>2624</v>
      </c>
      <c r="M3799" s="2" t="s">
        <v>40</v>
      </c>
      <c r="P3799" s="2" t="s">
        <v>187</v>
      </c>
      <c r="Q3799" s="2" t="s">
        <v>191</v>
      </c>
      <c r="R3799" s="2" t="s">
        <v>190</v>
      </c>
      <c r="S3799" s="2">
        <v>1.5</v>
      </c>
      <c r="T3799" s="2">
        <v>82.5</v>
      </c>
      <c r="U3799" s="2">
        <v>18.975000000000001</v>
      </c>
      <c r="V3799" s="2">
        <v>101.47499999999999</v>
      </c>
      <c r="W3799" s="2">
        <f>T3799*50%</f>
        <v>41.25</v>
      </c>
      <c r="X3799" s="5">
        <f t="shared" si="566"/>
        <v>0.5</v>
      </c>
      <c r="Z3799" s="2" t="s">
        <v>117</v>
      </c>
      <c r="AA3799" s="2" t="s">
        <v>190</v>
      </c>
      <c r="AB3799" s="2" t="s">
        <v>190</v>
      </c>
      <c r="AC3799" s="2" t="s">
        <v>40</v>
      </c>
      <c r="AF3799" s="2">
        <f t="shared" si="561"/>
        <v>0</v>
      </c>
      <c r="AG3799" s="2">
        <f t="shared" si="564"/>
        <v>41.25</v>
      </c>
      <c r="AJ3799" s="2">
        <f t="shared" si="562"/>
        <v>0</v>
      </c>
      <c r="AK3799" s="2">
        <f t="shared" si="560"/>
        <v>41.25</v>
      </c>
      <c r="AL3799" s="5">
        <f t="shared" si="567"/>
        <v>0.5</v>
      </c>
    </row>
    <row r="3800" spans="1:38" x14ac:dyDescent="0.2">
      <c r="A3800" s="2">
        <v>2026</v>
      </c>
      <c r="B3800" s="2">
        <v>2</v>
      </c>
      <c r="D3800" s="2" t="s">
        <v>2491</v>
      </c>
      <c r="M3800" s="2" t="s">
        <v>40</v>
      </c>
      <c r="P3800" s="2" t="s">
        <v>187</v>
      </c>
      <c r="Q3800" s="2" t="s">
        <v>188</v>
      </c>
      <c r="R3800" s="2" t="s">
        <v>189</v>
      </c>
      <c r="S3800" s="2">
        <v>1</v>
      </c>
      <c r="T3800" s="2">
        <v>55</v>
      </c>
      <c r="U3800" s="2">
        <v>12.65</v>
      </c>
      <c r="V3800" s="2">
        <v>67.650000000000006</v>
      </c>
      <c r="W3800" s="2">
        <f>T3800*40%</f>
        <v>22</v>
      </c>
      <c r="X3800" s="5">
        <f t="shared" si="566"/>
        <v>0.6</v>
      </c>
      <c r="Z3800" s="2" t="s">
        <v>117</v>
      </c>
      <c r="AA3800" s="2" t="s">
        <v>190</v>
      </c>
      <c r="AB3800" s="2" t="s">
        <v>189</v>
      </c>
      <c r="AC3800" s="2" t="s">
        <v>40</v>
      </c>
      <c r="AF3800" s="2">
        <f t="shared" si="561"/>
        <v>0</v>
      </c>
      <c r="AG3800" s="2">
        <f t="shared" si="564"/>
        <v>22</v>
      </c>
      <c r="AJ3800" s="2">
        <f t="shared" si="562"/>
        <v>0</v>
      </c>
      <c r="AK3800" s="2">
        <f t="shared" si="560"/>
        <v>33</v>
      </c>
      <c r="AL3800" s="5">
        <f t="shared" si="567"/>
        <v>0.6</v>
      </c>
    </row>
    <row r="3801" spans="1:38" x14ac:dyDescent="0.2">
      <c r="A3801" s="2">
        <v>2026</v>
      </c>
      <c r="B3801" s="2">
        <v>2</v>
      </c>
      <c r="D3801" s="2" t="s">
        <v>2491</v>
      </c>
      <c r="M3801" s="2" t="s">
        <v>40</v>
      </c>
      <c r="P3801" s="2" t="s">
        <v>187</v>
      </c>
      <c r="Q3801" s="2" t="s">
        <v>191</v>
      </c>
      <c r="R3801" s="2" t="s">
        <v>190</v>
      </c>
      <c r="S3801" s="2">
        <v>1</v>
      </c>
      <c r="T3801" s="2">
        <v>55</v>
      </c>
      <c r="U3801" s="2">
        <v>12.65</v>
      </c>
      <c r="V3801" s="2">
        <v>67.650000000000006</v>
      </c>
      <c r="W3801" s="2">
        <f>T3801*50%</f>
        <v>27.5</v>
      </c>
      <c r="X3801" s="5">
        <f t="shared" si="566"/>
        <v>0.5</v>
      </c>
      <c r="Z3801" s="2" t="s">
        <v>117</v>
      </c>
      <c r="AA3801" s="2" t="s">
        <v>190</v>
      </c>
      <c r="AB3801" s="2" t="s">
        <v>190</v>
      </c>
      <c r="AC3801" s="2" t="s">
        <v>40</v>
      </c>
      <c r="AF3801" s="2">
        <f t="shared" si="561"/>
        <v>0</v>
      </c>
      <c r="AG3801" s="2">
        <f t="shared" si="564"/>
        <v>27.5</v>
      </c>
      <c r="AJ3801" s="2">
        <f t="shared" si="562"/>
        <v>0</v>
      </c>
      <c r="AK3801" s="2">
        <f t="shared" si="560"/>
        <v>27.5</v>
      </c>
      <c r="AL3801" s="5">
        <f t="shared" si="567"/>
        <v>0.5</v>
      </c>
    </row>
    <row r="3802" spans="1:38" x14ac:dyDescent="0.2">
      <c r="A3802" s="2">
        <v>2026</v>
      </c>
      <c r="B3802" s="2">
        <v>1</v>
      </c>
      <c r="D3802" s="2" t="s">
        <v>1439</v>
      </c>
      <c r="M3802" s="2" t="s">
        <v>40</v>
      </c>
      <c r="P3802" s="2" t="s">
        <v>187</v>
      </c>
      <c r="Q3802" s="2" t="s">
        <v>188</v>
      </c>
      <c r="R3802" s="2" t="s">
        <v>189</v>
      </c>
      <c r="S3802" s="2">
        <v>1</v>
      </c>
      <c r="T3802" s="2">
        <v>79</v>
      </c>
      <c r="U3802" s="2">
        <v>18.170000000000002</v>
      </c>
      <c r="V3802" s="2">
        <v>97.17</v>
      </c>
      <c r="W3802" s="2">
        <f>T3802*40%</f>
        <v>31.6</v>
      </c>
      <c r="X3802" s="5">
        <f t="shared" si="566"/>
        <v>0.6</v>
      </c>
      <c r="Z3802" s="2" t="s">
        <v>117</v>
      </c>
      <c r="AA3802" s="2" t="s">
        <v>190</v>
      </c>
      <c r="AB3802" s="2" t="s">
        <v>189</v>
      </c>
      <c r="AC3802" s="2" t="s">
        <v>40</v>
      </c>
      <c r="AF3802" s="2">
        <f t="shared" si="561"/>
        <v>0</v>
      </c>
      <c r="AG3802" s="2">
        <f t="shared" si="564"/>
        <v>31.6</v>
      </c>
      <c r="AJ3802" s="2">
        <f t="shared" si="562"/>
        <v>0</v>
      </c>
      <c r="AK3802" s="2">
        <f t="shared" si="560"/>
        <v>47.4</v>
      </c>
      <c r="AL3802" s="5">
        <f t="shared" si="567"/>
        <v>0.6</v>
      </c>
    </row>
    <row r="3803" spans="1:38" x14ac:dyDescent="0.2">
      <c r="A3803" s="2">
        <v>2026</v>
      </c>
      <c r="B3803" s="2">
        <v>1</v>
      </c>
      <c r="D3803" s="2" t="s">
        <v>1439</v>
      </c>
      <c r="M3803" s="2" t="s">
        <v>40</v>
      </c>
      <c r="P3803" s="2" t="s">
        <v>187</v>
      </c>
      <c r="Q3803" s="2" t="s">
        <v>191</v>
      </c>
      <c r="R3803" s="2" t="s">
        <v>190</v>
      </c>
      <c r="S3803" s="2">
        <v>2</v>
      </c>
      <c r="T3803" s="2">
        <v>100</v>
      </c>
      <c r="U3803" s="2">
        <v>23</v>
      </c>
      <c r="V3803" s="2">
        <v>123</v>
      </c>
      <c r="W3803" s="2">
        <f>T3803*50%</f>
        <v>50</v>
      </c>
      <c r="X3803" s="5">
        <f t="shared" si="566"/>
        <v>0.5</v>
      </c>
      <c r="Z3803" s="2" t="s">
        <v>117</v>
      </c>
      <c r="AA3803" s="2" t="s">
        <v>190</v>
      </c>
      <c r="AB3803" s="2" t="s">
        <v>190</v>
      </c>
      <c r="AC3803" s="2" t="s">
        <v>40</v>
      </c>
      <c r="AF3803" s="2">
        <f t="shared" si="561"/>
        <v>0</v>
      </c>
      <c r="AG3803" s="2">
        <f t="shared" si="564"/>
        <v>50</v>
      </c>
      <c r="AJ3803" s="2">
        <f t="shared" si="562"/>
        <v>0</v>
      </c>
      <c r="AK3803" s="2">
        <f t="shared" si="560"/>
        <v>50</v>
      </c>
      <c r="AL3803" s="5">
        <f t="shared" si="567"/>
        <v>0.5</v>
      </c>
    </row>
    <row r="3804" spans="1:38" x14ac:dyDescent="0.2">
      <c r="A3804" s="2">
        <v>2026</v>
      </c>
      <c r="B3804" s="2">
        <v>3</v>
      </c>
      <c r="D3804" s="2" t="s">
        <v>1439</v>
      </c>
      <c r="M3804" s="2" t="s">
        <v>40</v>
      </c>
      <c r="P3804" s="2" t="s">
        <v>187</v>
      </c>
      <c r="Q3804" s="2" t="s">
        <v>188</v>
      </c>
      <c r="R3804" s="2" t="s">
        <v>189</v>
      </c>
      <c r="S3804" s="2">
        <v>1</v>
      </c>
      <c r="T3804" s="2">
        <v>83</v>
      </c>
      <c r="U3804" s="2">
        <v>19.09</v>
      </c>
      <c r="V3804" s="2">
        <v>102.09</v>
      </c>
      <c r="W3804" s="2">
        <f>T3804*40%</f>
        <v>33.200000000000003</v>
      </c>
      <c r="X3804" s="5">
        <f t="shared" si="566"/>
        <v>0.6</v>
      </c>
      <c r="Z3804" s="2" t="s">
        <v>117</v>
      </c>
      <c r="AA3804" s="2" t="s">
        <v>190</v>
      </c>
      <c r="AB3804" s="2" t="s">
        <v>189</v>
      </c>
      <c r="AC3804" s="2" t="s">
        <v>40</v>
      </c>
      <c r="AF3804" s="2">
        <f t="shared" si="561"/>
        <v>0</v>
      </c>
      <c r="AG3804" s="2">
        <f t="shared" si="564"/>
        <v>33.200000000000003</v>
      </c>
      <c r="AJ3804" s="2">
        <f t="shared" si="562"/>
        <v>0</v>
      </c>
      <c r="AK3804" s="2">
        <f t="shared" si="560"/>
        <v>49.8</v>
      </c>
      <c r="AL3804" s="5">
        <f t="shared" si="567"/>
        <v>0.6</v>
      </c>
    </row>
    <row r="3805" spans="1:38" x14ac:dyDescent="0.2">
      <c r="A3805" s="2">
        <v>2026</v>
      </c>
      <c r="B3805" s="2">
        <v>3</v>
      </c>
      <c r="D3805" s="2" t="s">
        <v>1439</v>
      </c>
      <c r="M3805" s="2" t="s">
        <v>40</v>
      </c>
      <c r="P3805" s="2" t="s">
        <v>187</v>
      </c>
      <c r="Q3805" s="2" t="s">
        <v>191</v>
      </c>
      <c r="R3805" s="2" t="s">
        <v>190</v>
      </c>
      <c r="S3805" s="2">
        <v>1</v>
      </c>
      <c r="T3805" s="2">
        <v>55</v>
      </c>
      <c r="U3805" s="2">
        <v>12.65</v>
      </c>
      <c r="V3805" s="2">
        <v>67.650000000000006</v>
      </c>
      <c r="W3805" s="2">
        <f>T3805*50%</f>
        <v>27.5</v>
      </c>
      <c r="X3805" s="5">
        <f t="shared" si="566"/>
        <v>0.5</v>
      </c>
      <c r="Z3805" s="2" t="s">
        <v>117</v>
      </c>
      <c r="AA3805" s="2" t="s">
        <v>190</v>
      </c>
      <c r="AB3805" s="2" t="s">
        <v>190</v>
      </c>
      <c r="AC3805" s="2" t="s">
        <v>40</v>
      </c>
      <c r="AF3805" s="2">
        <f t="shared" si="561"/>
        <v>0</v>
      </c>
      <c r="AG3805" s="2">
        <f t="shared" si="564"/>
        <v>27.5</v>
      </c>
      <c r="AJ3805" s="2">
        <f t="shared" si="562"/>
        <v>0</v>
      </c>
      <c r="AK3805" s="2">
        <f t="shared" si="560"/>
        <v>27.5</v>
      </c>
      <c r="AL3805" s="5">
        <f t="shared" si="567"/>
        <v>0.5</v>
      </c>
    </row>
    <row r="3806" spans="1:38" x14ac:dyDescent="0.2">
      <c r="A3806" s="2">
        <v>2026</v>
      </c>
      <c r="B3806" s="2">
        <v>4</v>
      </c>
      <c r="D3806" s="2" t="s">
        <v>2797</v>
      </c>
      <c r="E3806" s="2" t="s">
        <v>108</v>
      </c>
      <c r="F3806" s="2" t="s">
        <v>39</v>
      </c>
      <c r="G3806" s="2">
        <v>505556995</v>
      </c>
      <c r="H3806" s="2" t="s">
        <v>40</v>
      </c>
      <c r="I3806" s="2" t="s">
        <v>2798</v>
      </c>
      <c r="J3806" s="2" t="s">
        <v>2799</v>
      </c>
      <c r="L3806" s="2" t="s">
        <v>201</v>
      </c>
      <c r="M3806" s="2" t="s">
        <v>40</v>
      </c>
      <c r="O3806" s="2" t="s">
        <v>2800</v>
      </c>
      <c r="P3806" s="2" t="s">
        <v>187</v>
      </c>
      <c r="Q3806" s="2" t="s">
        <v>188</v>
      </c>
      <c r="R3806" s="2" t="s">
        <v>189</v>
      </c>
      <c r="S3806" s="2">
        <v>1</v>
      </c>
      <c r="T3806" s="2">
        <v>61</v>
      </c>
      <c r="U3806" s="2">
        <v>14.03</v>
      </c>
      <c r="V3806" s="2">
        <v>75.03</v>
      </c>
      <c r="W3806" s="2">
        <f>T3806*40%</f>
        <v>24.400000000000002</v>
      </c>
      <c r="X3806" s="5">
        <f t="shared" si="566"/>
        <v>0.59999999999999987</v>
      </c>
      <c r="Z3806" s="2" t="s">
        <v>117</v>
      </c>
      <c r="AA3806" s="2" t="s">
        <v>190</v>
      </c>
      <c r="AB3806" s="2" t="s">
        <v>189</v>
      </c>
      <c r="AC3806" s="2" t="s">
        <v>40</v>
      </c>
      <c r="AF3806" s="2">
        <f t="shared" si="561"/>
        <v>0</v>
      </c>
      <c r="AG3806" s="2">
        <f t="shared" si="564"/>
        <v>24.400000000000002</v>
      </c>
      <c r="AJ3806" s="2">
        <f t="shared" si="562"/>
        <v>0</v>
      </c>
      <c r="AK3806" s="2">
        <f t="shared" si="560"/>
        <v>36.599999999999994</v>
      </c>
      <c r="AL3806" s="5">
        <f t="shared" si="567"/>
        <v>0.59999999999999987</v>
      </c>
    </row>
    <row r="3807" spans="1:38" x14ac:dyDescent="0.2">
      <c r="A3807" s="2">
        <v>2026</v>
      </c>
      <c r="B3807" s="2">
        <v>4</v>
      </c>
      <c r="D3807" s="2" t="s">
        <v>2797</v>
      </c>
      <c r="E3807" s="2" t="s">
        <v>108</v>
      </c>
      <c r="F3807" s="2" t="s">
        <v>39</v>
      </c>
      <c r="G3807" s="2">
        <v>505556995</v>
      </c>
      <c r="H3807" s="2" t="s">
        <v>40</v>
      </c>
      <c r="I3807" s="2" t="s">
        <v>2798</v>
      </c>
      <c r="J3807" s="2" t="s">
        <v>2799</v>
      </c>
      <c r="L3807" s="2" t="s">
        <v>201</v>
      </c>
      <c r="M3807" s="2" t="s">
        <v>40</v>
      </c>
      <c r="O3807" s="2" t="s">
        <v>2800</v>
      </c>
      <c r="P3807" s="2" t="s">
        <v>187</v>
      </c>
      <c r="Q3807" s="2" t="s">
        <v>191</v>
      </c>
      <c r="R3807" s="2" t="s">
        <v>190</v>
      </c>
      <c r="S3807" s="2">
        <v>1</v>
      </c>
      <c r="T3807" s="2">
        <v>55</v>
      </c>
      <c r="U3807" s="2">
        <v>12.65</v>
      </c>
      <c r="V3807" s="2">
        <v>67.650000000000006</v>
      </c>
      <c r="W3807" s="2">
        <f>T3807*50%</f>
        <v>27.5</v>
      </c>
      <c r="X3807" s="5">
        <f t="shared" si="566"/>
        <v>0.5</v>
      </c>
      <c r="Z3807" s="2" t="s">
        <v>117</v>
      </c>
      <c r="AA3807" s="2" t="s">
        <v>190</v>
      </c>
      <c r="AB3807" s="2" t="s">
        <v>190</v>
      </c>
      <c r="AC3807" s="2" t="s">
        <v>40</v>
      </c>
      <c r="AF3807" s="2">
        <f t="shared" si="561"/>
        <v>0</v>
      </c>
      <c r="AG3807" s="2">
        <f t="shared" si="564"/>
        <v>27.5</v>
      </c>
      <c r="AJ3807" s="2">
        <f t="shared" si="562"/>
        <v>0</v>
      </c>
      <c r="AK3807" s="2">
        <f t="shared" si="560"/>
        <v>27.5</v>
      </c>
      <c r="AL3807" s="5">
        <f t="shared" si="567"/>
        <v>0.5</v>
      </c>
    </row>
    <row r="3808" spans="1:38" x14ac:dyDescent="0.2">
      <c r="A3808" s="2">
        <v>2026</v>
      </c>
      <c r="B3808" s="2">
        <v>4</v>
      </c>
      <c r="D3808" s="2" t="s">
        <v>1124</v>
      </c>
      <c r="E3808" s="2" t="s">
        <v>108</v>
      </c>
      <c r="F3808" s="2" t="s">
        <v>39</v>
      </c>
      <c r="G3808" s="2">
        <v>515742279</v>
      </c>
      <c r="H3808" s="2" t="s">
        <v>41</v>
      </c>
      <c r="I3808" s="2" t="s">
        <v>2294</v>
      </c>
      <c r="J3808" s="2" t="s">
        <v>2295</v>
      </c>
      <c r="K3808" s="2">
        <v>965790183</v>
      </c>
      <c r="L3808" s="2" t="s">
        <v>177</v>
      </c>
      <c r="M3808" s="2" t="s">
        <v>40</v>
      </c>
      <c r="O3808" s="2" t="s">
        <v>2910</v>
      </c>
      <c r="P3808" s="2" t="s">
        <v>187</v>
      </c>
      <c r="Q3808" s="2" t="s">
        <v>188</v>
      </c>
      <c r="R3808" s="2" t="s">
        <v>189</v>
      </c>
      <c r="S3808" s="2">
        <v>1</v>
      </c>
      <c r="T3808" s="2">
        <v>67</v>
      </c>
      <c r="U3808" s="2">
        <v>15.41</v>
      </c>
      <c r="V3808" s="2">
        <v>82.41</v>
      </c>
      <c r="W3808" s="2">
        <f>T3808*40%</f>
        <v>26.8</v>
      </c>
      <c r="X3808" s="5">
        <f t="shared" si="566"/>
        <v>0.60000000000000009</v>
      </c>
      <c r="Z3808" s="2" t="s">
        <v>117</v>
      </c>
      <c r="AA3808" s="2" t="s">
        <v>190</v>
      </c>
      <c r="AB3808" s="2" t="s">
        <v>189</v>
      </c>
      <c r="AC3808" s="2" t="s">
        <v>40</v>
      </c>
      <c r="AF3808" s="2">
        <f t="shared" si="561"/>
        <v>0</v>
      </c>
      <c r="AG3808" s="2">
        <f t="shared" si="564"/>
        <v>26.8</v>
      </c>
      <c r="AJ3808" s="2">
        <f t="shared" si="562"/>
        <v>0</v>
      </c>
      <c r="AK3808" s="2">
        <f t="shared" ref="AK3808:AK3825" si="568">T3808-W3808</f>
        <v>40.200000000000003</v>
      </c>
      <c r="AL3808" s="5">
        <f t="shared" si="567"/>
        <v>0.60000000000000009</v>
      </c>
    </row>
    <row r="3809" spans="1:38" x14ac:dyDescent="0.2">
      <c r="A3809" s="2">
        <v>2026</v>
      </c>
      <c r="B3809" s="2">
        <v>4</v>
      </c>
      <c r="D3809" s="2" t="s">
        <v>1124</v>
      </c>
      <c r="E3809" s="2" t="s">
        <v>108</v>
      </c>
      <c r="F3809" s="2" t="s">
        <v>39</v>
      </c>
      <c r="G3809" s="2">
        <v>515742279</v>
      </c>
      <c r="H3809" s="2" t="s">
        <v>41</v>
      </c>
      <c r="I3809" s="2" t="s">
        <v>2294</v>
      </c>
      <c r="J3809" s="2" t="s">
        <v>2295</v>
      </c>
      <c r="K3809" s="2">
        <v>965790183</v>
      </c>
      <c r="L3809" s="2" t="s">
        <v>177</v>
      </c>
      <c r="M3809" s="2" t="s">
        <v>40</v>
      </c>
      <c r="O3809" s="2" t="s">
        <v>2910</v>
      </c>
      <c r="P3809" s="2" t="s">
        <v>187</v>
      </c>
      <c r="Q3809" s="2" t="s">
        <v>191</v>
      </c>
      <c r="R3809" s="2" t="s">
        <v>190</v>
      </c>
      <c r="S3809" s="2">
        <v>1</v>
      </c>
      <c r="T3809" s="2">
        <v>55</v>
      </c>
      <c r="U3809" s="2">
        <v>12.65</v>
      </c>
      <c r="V3809" s="2">
        <v>67.650000000000006</v>
      </c>
      <c r="W3809" s="2">
        <f>T3809*50%</f>
        <v>27.5</v>
      </c>
      <c r="X3809" s="5">
        <f t="shared" si="566"/>
        <v>0.5</v>
      </c>
      <c r="Z3809" s="2" t="s">
        <v>117</v>
      </c>
      <c r="AA3809" s="2" t="s">
        <v>190</v>
      </c>
      <c r="AB3809" s="2" t="s">
        <v>190</v>
      </c>
      <c r="AC3809" s="2" t="s">
        <v>40</v>
      </c>
      <c r="AF3809" s="2">
        <f t="shared" si="561"/>
        <v>0</v>
      </c>
      <c r="AG3809" s="2">
        <f t="shared" si="564"/>
        <v>27.5</v>
      </c>
      <c r="AJ3809" s="2">
        <f t="shared" si="562"/>
        <v>0</v>
      </c>
      <c r="AK3809" s="2">
        <f t="shared" si="568"/>
        <v>27.5</v>
      </c>
      <c r="AL3809" s="5">
        <f t="shared" si="567"/>
        <v>0.5</v>
      </c>
    </row>
    <row r="3810" spans="1:38" x14ac:dyDescent="0.2">
      <c r="A3810" s="2">
        <v>2026</v>
      </c>
      <c r="B3810" s="2">
        <v>4</v>
      </c>
      <c r="D3810" s="2" t="s">
        <v>37</v>
      </c>
      <c r="E3810" s="2" t="s">
        <v>38</v>
      </c>
      <c r="F3810" s="2" t="s">
        <v>39</v>
      </c>
      <c r="H3810" s="2" t="s">
        <v>40</v>
      </c>
      <c r="P3810" s="2" t="s">
        <v>169</v>
      </c>
      <c r="Q3810" s="2" t="s">
        <v>170</v>
      </c>
      <c r="R3810" s="2" t="s">
        <v>170</v>
      </c>
      <c r="S3810" s="2">
        <v>1</v>
      </c>
      <c r="T3810" s="2">
        <v>120</v>
      </c>
      <c r="U3810" s="2">
        <v>27.6</v>
      </c>
      <c r="V3810" s="2">
        <v>147.6</v>
      </c>
      <c r="W3810" s="2">
        <v>150</v>
      </c>
      <c r="X3810" s="5">
        <f t="shared" si="566"/>
        <v>-0.25</v>
      </c>
      <c r="Z3810" s="2" t="s">
        <v>169</v>
      </c>
      <c r="AA3810" s="2" t="s">
        <v>169</v>
      </c>
      <c r="AF3810" s="2">
        <f t="shared" si="561"/>
        <v>0</v>
      </c>
      <c r="AJ3810" s="2">
        <f t="shared" si="562"/>
        <v>0</v>
      </c>
      <c r="AK3810" s="2">
        <f t="shared" si="568"/>
        <v>-30</v>
      </c>
      <c r="AL3810" s="5">
        <f t="shared" si="567"/>
        <v>-0.25</v>
      </c>
    </row>
    <row r="3811" spans="1:38" x14ac:dyDescent="0.2">
      <c r="A3811" s="2">
        <v>2026</v>
      </c>
      <c r="B3811" s="2">
        <v>4</v>
      </c>
      <c r="D3811" s="2" t="s">
        <v>391</v>
      </c>
      <c r="E3811" s="2" t="s">
        <v>38</v>
      </c>
      <c r="F3811" s="2" t="s">
        <v>39</v>
      </c>
      <c r="G3811" s="2">
        <v>206206143</v>
      </c>
      <c r="H3811" s="2" t="s">
        <v>41</v>
      </c>
      <c r="I3811" s="2" t="s">
        <v>392</v>
      </c>
      <c r="J3811" s="2" t="s">
        <v>393</v>
      </c>
      <c r="L3811" s="2" t="s">
        <v>99</v>
      </c>
      <c r="P3811" s="2" t="s">
        <v>169</v>
      </c>
      <c r="Q3811" s="2" t="s">
        <v>170</v>
      </c>
      <c r="R3811" s="2" t="s">
        <v>170</v>
      </c>
      <c r="S3811" s="2">
        <v>1</v>
      </c>
      <c r="T3811" s="2">
        <v>5</v>
      </c>
      <c r="U3811" s="2">
        <v>1.1499999999999999</v>
      </c>
      <c r="V3811" s="2">
        <v>6.15</v>
      </c>
      <c r="W3811" s="2">
        <v>6</v>
      </c>
      <c r="X3811" s="5">
        <f t="shared" si="566"/>
        <v>-0.2</v>
      </c>
      <c r="Z3811" s="2" t="s">
        <v>169</v>
      </c>
      <c r="AA3811" s="2" t="s">
        <v>169</v>
      </c>
      <c r="AF3811" s="2">
        <f t="shared" si="561"/>
        <v>0</v>
      </c>
      <c r="AJ3811" s="2">
        <f t="shared" si="562"/>
        <v>0</v>
      </c>
      <c r="AK3811" s="2">
        <f t="shared" si="568"/>
        <v>-1</v>
      </c>
      <c r="AL3811" s="5">
        <f t="shared" si="567"/>
        <v>-0.2</v>
      </c>
    </row>
    <row r="3812" spans="1:38" x14ac:dyDescent="0.2">
      <c r="A3812" s="2">
        <v>2026</v>
      </c>
      <c r="B3812" s="2">
        <v>4</v>
      </c>
      <c r="D3812" s="2" t="s">
        <v>2049</v>
      </c>
      <c r="P3812" s="2" t="s">
        <v>169</v>
      </c>
      <c r="Q3812" s="2" t="s">
        <v>170</v>
      </c>
      <c r="R3812" s="2" t="s">
        <v>170</v>
      </c>
      <c r="S3812" s="2">
        <v>1</v>
      </c>
      <c r="T3812" s="2">
        <v>5</v>
      </c>
      <c r="U3812" s="2">
        <v>1.1499999999999999</v>
      </c>
      <c r="V3812" s="2">
        <v>6.15</v>
      </c>
      <c r="W3812" s="2">
        <v>6</v>
      </c>
      <c r="X3812" s="5">
        <f t="shared" si="566"/>
        <v>-0.2</v>
      </c>
      <c r="Z3812" s="2" t="s">
        <v>169</v>
      </c>
      <c r="AA3812" s="2" t="s">
        <v>169</v>
      </c>
      <c r="AF3812" s="2">
        <f t="shared" si="561"/>
        <v>0</v>
      </c>
      <c r="AJ3812" s="2">
        <f t="shared" si="562"/>
        <v>0</v>
      </c>
      <c r="AK3812" s="2">
        <f t="shared" si="568"/>
        <v>-1</v>
      </c>
      <c r="AL3812" s="5">
        <f t="shared" si="567"/>
        <v>-0.2</v>
      </c>
    </row>
    <row r="3813" spans="1:38" x14ac:dyDescent="0.2">
      <c r="A3813" s="2">
        <v>2026</v>
      </c>
      <c r="B3813" s="2">
        <v>4</v>
      </c>
      <c r="D3813" s="2" t="s">
        <v>2526</v>
      </c>
      <c r="P3813" s="2" t="s">
        <v>169</v>
      </c>
      <c r="Q3813" s="2" t="s">
        <v>170</v>
      </c>
      <c r="R3813" s="2" t="s">
        <v>170</v>
      </c>
      <c r="S3813" s="2">
        <v>1</v>
      </c>
      <c r="T3813" s="2">
        <v>30</v>
      </c>
      <c r="U3813" s="2">
        <v>6.9</v>
      </c>
      <c r="V3813" s="2">
        <v>36.9</v>
      </c>
      <c r="W3813" s="2">
        <v>23</v>
      </c>
      <c r="X3813" s="5">
        <f t="shared" si="566"/>
        <v>0.23333333333333334</v>
      </c>
      <c r="Z3813" s="2" t="s">
        <v>169</v>
      </c>
      <c r="AA3813" s="2" t="s">
        <v>169</v>
      </c>
      <c r="AF3813" s="2">
        <f t="shared" si="561"/>
        <v>0</v>
      </c>
      <c r="AJ3813" s="2">
        <f t="shared" si="562"/>
        <v>0</v>
      </c>
      <c r="AK3813" s="2">
        <f t="shared" si="568"/>
        <v>7</v>
      </c>
      <c r="AL3813" s="5">
        <f t="shared" si="567"/>
        <v>0.23333333333333334</v>
      </c>
    </row>
    <row r="3814" spans="1:38" x14ac:dyDescent="0.2">
      <c r="A3814" s="2">
        <v>2026</v>
      </c>
      <c r="B3814" s="2">
        <v>4</v>
      </c>
      <c r="D3814" s="2" t="s">
        <v>568</v>
      </c>
      <c r="E3814" s="2" t="s">
        <v>38</v>
      </c>
      <c r="F3814" s="2" t="s">
        <v>39</v>
      </c>
      <c r="G3814" s="2">
        <v>506267547</v>
      </c>
      <c r="H3814" s="2" t="s">
        <v>290</v>
      </c>
      <c r="I3814" s="2" t="s">
        <v>569</v>
      </c>
      <c r="J3814" s="2" t="s">
        <v>570</v>
      </c>
      <c r="K3814" s="2">
        <v>917821904</v>
      </c>
      <c r="L3814" s="2" t="s">
        <v>571</v>
      </c>
      <c r="M3814" s="2" t="s">
        <v>290</v>
      </c>
      <c r="O3814" s="2" t="s">
        <v>2867</v>
      </c>
      <c r="P3814" s="2" t="s">
        <v>169</v>
      </c>
      <c r="Q3814" s="2" t="s">
        <v>170</v>
      </c>
      <c r="R3814" s="2" t="s">
        <v>170</v>
      </c>
      <c r="S3814" s="2">
        <v>1</v>
      </c>
      <c r="T3814" s="2">
        <v>8</v>
      </c>
      <c r="U3814" s="2">
        <v>1.84</v>
      </c>
      <c r="V3814" s="2">
        <v>9.84</v>
      </c>
      <c r="W3814" s="2">
        <v>6</v>
      </c>
      <c r="X3814" s="5">
        <f t="shared" si="566"/>
        <v>0.25</v>
      </c>
      <c r="Z3814" s="2" t="s">
        <v>169</v>
      </c>
      <c r="AA3814" s="2" t="s">
        <v>169</v>
      </c>
      <c r="AF3814" s="2">
        <f t="shared" si="561"/>
        <v>0</v>
      </c>
      <c r="AJ3814" s="2">
        <f t="shared" si="562"/>
        <v>0</v>
      </c>
      <c r="AK3814" s="2">
        <f t="shared" si="568"/>
        <v>2</v>
      </c>
      <c r="AL3814" s="5">
        <f t="shared" si="567"/>
        <v>0.25</v>
      </c>
    </row>
    <row r="3815" spans="1:38" x14ac:dyDescent="0.2">
      <c r="A3815" s="2">
        <v>2026</v>
      </c>
      <c r="B3815" s="2">
        <v>4</v>
      </c>
      <c r="D3815" s="2" t="s">
        <v>2559</v>
      </c>
      <c r="M3815" s="2" t="s">
        <v>80</v>
      </c>
      <c r="P3815" s="2" t="s">
        <v>169</v>
      </c>
      <c r="Q3815" s="2" t="s">
        <v>170</v>
      </c>
      <c r="R3815" s="2" t="s">
        <v>170</v>
      </c>
      <c r="S3815" s="2">
        <v>1</v>
      </c>
      <c r="T3815" s="2">
        <v>15</v>
      </c>
      <c r="U3815" s="2">
        <v>3.45</v>
      </c>
      <c r="V3815" s="2">
        <v>18.45</v>
      </c>
      <c r="W3815" s="2">
        <v>23</v>
      </c>
      <c r="X3815" s="5">
        <f t="shared" si="566"/>
        <v>-0.53333333333333333</v>
      </c>
      <c r="Z3815" s="2" t="s">
        <v>169</v>
      </c>
      <c r="AA3815" s="2" t="s">
        <v>169</v>
      </c>
      <c r="AF3815" s="2">
        <f t="shared" si="561"/>
        <v>0</v>
      </c>
      <c r="AJ3815" s="2">
        <f t="shared" si="562"/>
        <v>0</v>
      </c>
      <c r="AK3815" s="2">
        <f t="shared" si="568"/>
        <v>-8</v>
      </c>
      <c r="AL3815" s="5">
        <f t="shared" si="567"/>
        <v>-0.53333333333333333</v>
      </c>
    </row>
    <row r="3816" spans="1:38" x14ac:dyDescent="0.2">
      <c r="A3816" s="2">
        <v>2026</v>
      </c>
      <c r="B3816" s="2">
        <v>4</v>
      </c>
      <c r="D3816" s="2" t="s">
        <v>1295</v>
      </c>
      <c r="E3816" s="2" t="s">
        <v>183</v>
      </c>
      <c r="F3816" s="2" t="s">
        <v>366</v>
      </c>
      <c r="G3816" s="2">
        <v>500625654</v>
      </c>
      <c r="H3816" s="2" t="s">
        <v>290</v>
      </c>
      <c r="I3816" s="2" t="s">
        <v>339</v>
      </c>
      <c r="J3816" s="2" t="s">
        <v>1296</v>
      </c>
      <c r="L3816" s="2" t="s">
        <v>339</v>
      </c>
      <c r="M3816" s="2" t="s">
        <v>80</v>
      </c>
      <c r="O3816" s="2" t="s">
        <v>2888</v>
      </c>
      <c r="P3816" s="2" t="s">
        <v>169</v>
      </c>
      <c r="Q3816" s="2" t="s">
        <v>170</v>
      </c>
      <c r="R3816" s="2" t="s">
        <v>170</v>
      </c>
      <c r="S3816" s="2">
        <v>1</v>
      </c>
      <c r="T3816" s="2">
        <v>30</v>
      </c>
      <c r="U3816" s="2">
        <v>6.9</v>
      </c>
      <c r="V3816" s="2">
        <v>36.9</v>
      </c>
      <c r="W3816" s="2">
        <v>23</v>
      </c>
      <c r="X3816" s="5">
        <f t="shared" si="566"/>
        <v>0.23333333333333334</v>
      </c>
      <c r="Z3816" s="2" t="s">
        <v>169</v>
      </c>
      <c r="AA3816" s="2" t="s">
        <v>169</v>
      </c>
      <c r="AF3816" s="2">
        <f t="shared" si="561"/>
        <v>0</v>
      </c>
      <c r="AG3816" s="2">
        <v>23</v>
      </c>
      <c r="AJ3816" s="2">
        <f t="shared" si="562"/>
        <v>0</v>
      </c>
      <c r="AK3816" s="2">
        <f t="shared" si="568"/>
        <v>7</v>
      </c>
      <c r="AL3816" s="5">
        <f t="shared" si="567"/>
        <v>0.23333333333333334</v>
      </c>
    </row>
    <row r="3817" spans="1:38" x14ac:dyDescent="0.2">
      <c r="A3817" s="2">
        <v>2026</v>
      </c>
      <c r="B3817" s="2">
        <v>4</v>
      </c>
      <c r="C3817" s="2" t="s">
        <v>3469</v>
      </c>
      <c r="D3817" s="2" t="s">
        <v>941</v>
      </c>
      <c r="E3817" s="2" t="s">
        <v>38</v>
      </c>
      <c r="F3817" s="2" t="s">
        <v>39</v>
      </c>
      <c r="L3817" s="2" t="s">
        <v>177</v>
      </c>
      <c r="M3817" s="2" t="s">
        <v>40</v>
      </c>
      <c r="P3817" s="2" t="s">
        <v>40</v>
      </c>
      <c r="Q3817" s="2" t="s">
        <v>140</v>
      </c>
      <c r="R3817" s="2" t="s">
        <v>141</v>
      </c>
      <c r="S3817" s="2">
        <v>-1</v>
      </c>
      <c r="T3817" s="2">
        <v>-231.07</v>
      </c>
      <c r="U3817" s="2">
        <v>-53.146099999999997</v>
      </c>
      <c r="V3817" s="2">
        <v>-284.21609999999998</v>
      </c>
      <c r="Z3817" s="2" t="s">
        <v>119</v>
      </c>
      <c r="AA3817" s="2" t="s">
        <v>142</v>
      </c>
      <c r="AF3817" s="2">
        <f t="shared" si="561"/>
        <v>0</v>
      </c>
      <c r="AJ3817" s="2">
        <f t="shared" si="562"/>
        <v>0</v>
      </c>
      <c r="AK3817" s="2">
        <f t="shared" si="568"/>
        <v>-231.07</v>
      </c>
      <c r="AL3817" s="5">
        <f t="shared" si="567"/>
        <v>1</v>
      </c>
    </row>
    <row r="3818" spans="1:38" x14ac:dyDescent="0.2">
      <c r="A3818" s="2">
        <v>2026</v>
      </c>
      <c r="B3818" s="2">
        <v>4</v>
      </c>
      <c r="D3818" s="2" t="s">
        <v>37</v>
      </c>
      <c r="E3818" s="2" t="s">
        <v>38</v>
      </c>
      <c r="F3818" s="2" t="s">
        <v>39</v>
      </c>
      <c r="H3818" s="2" t="s">
        <v>40</v>
      </c>
      <c r="M3818" s="2" t="s">
        <v>80</v>
      </c>
      <c r="O3818" s="2" t="s">
        <v>2882</v>
      </c>
      <c r="P3818" s="2" t="s">
        <v>93</v>
      </c>
      <c r="Q3818" s="2" t="s">
        <v>94</v>
      </c>
      <c r="R3818" s="2" t="s">
        <v>95</v>
      </c>
      <c r="S3818" s="2">
        <v>6</v>
      </c>
      <c r="T3818" s="2">
        <v>8.8800000000000008</v>
      </c>
      <c r="U3818" s="2">
        <v>2.0424000000000002</v>
      </c>
      <c r="V3818" s="2">
        <v>10.9224</v>
      </c>
      <c r="W3818" s="2">
        <v>8.879999999999999</v>
      </c>
      <c r="X3818" s="5">
        <f t="shared" ref="X3818:X3825" si="569">(T3818-W3818)/T3818</f>
        <v>2.000401846171453E-16</v>
      </c>
      <c r="Z3818" s="2" t="s">
        <v>3227</v>
      </c>
      <c r="AA3818" s="2" t="s">
        <v>96</v>
      </c>
      <c r="AB3818" s="2" t="s">
        <v>76</v>
      </c>
      <c r="AC3818" s="2" t="s">
        <v>93</v>
      </c>
      <c r="AF3818" s="2">
        <f t="shared" si="561"/>
        <v>0</v>
      </c>
      <c r="AJ3818" s="2">
        <f t="shared" si="562"/>
        <v>0</v>
      </c>
      <c r="AK3818" s="2">
        <f t="shared" si="568"/>
        <v>0</v>
      </c>
      <c r="AL3818" s="5">
        <f t="shared" si="567"/>
        <v>2.000401846171453E-16</v>
      </c>
    </row>
    <row r="3819" spans="1:38" x14ac:dyDescent="0.2">
      <c r="A3819" s="2">
        <v>2026</v>
      </c>
      <c r="B3819" s="2">
        <v>4</v>
      </c>
      <c r="D3819" s="2" t="s">
        <v>936</v>
      </c>
      <c r="E3819" s="2" t="s">
        <v>38</v>
      </c>
      <c r="F3819" s="2" t="s">
        <v>39</v>
      </c>
      <c r="G3819" s="2">
        <v>508868726</v>
      </c>
      <c r="H3819" s="2" t="s">
        <v>290</v>
      </c>
      <c r="I3819" s="2" t="s">
        <v>937</v>
      </c>
      <c r="J3819" s="2" t="s">
        <v>938</v>
      </c>
      <c r="K3819" s="2">
        <v>964771057</v>
      </c>
      <c r="L3819" s="2" t="s">
        <v>339</v>
      </c>
      <c r="M3819" s="2" t="s">
        <v>80</v>
      </c>
      <c r="O3819" s="2" t="s">
        <v>2883</v>
      </c>
      <c r="P3819" s="2" t="s">
        <v>93</v>
      </c>
      <c r="Q3819" s="2" t="s">
        <v>94</v>
      </c>
      <c r="R3819" s="2" t="s">
        <v>95</v>
      </c>
      <c r="S3819" s="2">
        <v>1</v>
      </c>
      <c r="T3819" s="2">
        <v>1.48</v>
      </c>
      <c r="U3819" s="2">
        <v>0.34039999999999998</v>
      </c>
      <c r="V3819" s="2">
        <v>1.8204</v>
      </c>
      <c r="W3819" s="2">
        <v>1.48</v>
      </c>
      <c r="X3819" s="5">
        <f t="shared" si="569"/>
        <v>0</v>
      </c>
      <c r="Z3819" s="2" t="s">
        <v>3227</v>
      </c>
      <c r="AA3819" s="2" t="s">
        <v>96</v>
      </c>
      <c r="AB3819" s="2" t="s">
        <v>76</v>
      </c>
      <c r="AC3819" s="2" t="s">
        <v>93</v>
      </c>
      <c r="AF3819" s="2">
        <f t="shared" si="561"/>
        <v>0</v>
      </c>
      <c r="AG3819" s="2">
        <v>1.48</v>
      </c>
      <c r="AH3819" s="2">
        <v>1.48</v>
      </c>
      <c r="AJ3819" s="2">
        <f t="shared" si="562"/>
        <v>0</v>
      </c>
      <c r="AK3819" s="2">
        <f t="shared" si="568"/>
        <v>0</v>
      </c>
      <c r="AL3819" s="5">
        <f t="shared" si="567"/>
        <v>0</v>
      </c>
    </row>
    <row r="3820" spans="1:38" x14ac:dyDescent="0.2">
      <c r="A3820" s="2">
        <v>2026</v>
      </c>
      <c r="B3820" s="2">
        <v>4</v>
      </c>
      <c r="D3820" s="2" t="s">
        <v>198</v>
      </c>
      <c r="E3820" s="2" t="s">
        <v>108</v>
      </c>
      <c r="G3820" s="2">
        <v>507541120</v>
      </c>
      <c r="H3820" s="2" t="s">
        <v>40</v>
      </c>
      <c r="I3820" s="2" t="s">
        <v>199</v>
      </c>
      <c r="J3820" s="2" t="s">
        <v>200</v>
      </c>
      <c r="L3820" s="2" t="s">
        <v>201</v>
      </c>
      <c r="P3820" s="2" t="s">
        <v>93</v>
      </c>
      <c r="Q3820" s="2" t="s">
        <v>94</v>
      </c>
      <c r="R3820" s="2" t="s">
        <v>95</v>
      </c>
      <c r="S3820" s="2">
        <v>1</v>
      </c>
      <c r="T3820" s="2">
        <v>1.48</v>
      </c>
      <c r="U3820" s="2">
        <v>0.34039999999999998</v>
      </c>
      <c r="V3820" s="2">
        <v>1.8204</v>
      </c>
      <c r="W3820" s="2">
        <v>1.48</v>
      </c>
      <c r="X3820" s="5">
        <f t="shared" si="569"/>
        <v>0</v>
      </c>
      <c r="Z3820" s="2" t="s">
        <v>3227</v>
      </c>
      <c r="AA3820" s="2" t="s">
        <v>96</v>
      </c>
      <c r="AB3820" s="2" t="s">
        <v>76</v>
      </c>
      <c r="AC3820" s="2" t="s">
        <v>93</v>
      </c>
      <c r="AF3820" s="2">
        <f t="shared" si="561"/>
        <v>0</v>
      </c>
      <c r="AJ3820" s="2">
        <f t="shared" si="562"/>
        <v>0</v>
      </c>
      <c r="AK3820" s="2">
        <f t="shared" si="568"/>
        <v>0</v>
      </c>
      <c r="AL3820" s="5">
        <f t="shared" si="567"/>
        <v>0</v>
      </c>
    </row>
    <row r="3821" spans="1:38" x14ac:dyDescent="0.2">
      <c r="A3821" s="2">
        <v>2026</v>
      </c>
      <c r="B3821" s="2">
        <v>4</v>
      </c>
      <c r="D3821" s="2" t="s">
        <v>960</v>
      </c>
      <c r="M3821" s="2" t="s">
        <v>80</v>
      </c>
      <c r="P3821" s="2" t="s">
        <v>93</v>
      </c>
      <c r="Q3821" s="2" t="s">
        <v>94</v>
      </c>
      <c r="R3821" s="2" t="s">
        <v>95</v>
      </c>
      <c r="S3821" s="2">
        <v>1</v>
      </c>
      <c r="T3821" s="2">
        <v>1.48</v>
      </c>
      <c r="U3821" s="2">
        <v>0.34039999999999998</v>
      </c>
      <c r="V3821" s="2">
        <v>1.8204</v>
      </c>
      <c r="W3821" s="2">
        <v>1.48</v>
      </c>
      <c r="X3821" s="5">
        <f t="shared" si="569"/>
        <v>0</v>
      </c>
      <c r="Z3821" s="2" t="s">
        <v>3227</v>
      </c>
      <c r="AA3821" s="2" t="s">
        <v>96</v>
      </c>
      <c r="AB3821" s="2" t="s">
        <v>76</v>
      </c>
      <c r="AC3821" s="2" t="s">
        <v>93</v>
      </c>
      <c r="AF3821" s="2">
        <f t="shared" si="561"/>
        <v>0</v>
      </c>
      <c r="AJ3821" s="2">
        <f t="shared" si="562"/>
        <v>0</v>
      </c>
      <c r="AK3821" s="2">
        <f t="shared" si="568"/>
        <v>0</v>
      </c>
      <c r="AL3821" s="5">
        <f t="shared" si="567"/>
        <v>0</v>
      </c>
    </row>
    <row r="3822" spans="1:38" x14ac:dyDescent="0.2">
      <c r="A3822" s="2">
        <v>2026</v>
      </c>
      <c r="B3822" s="2">
        <v>4</v>
      </c>
      <c r="D3822" s="2" t="s">
        <v>319</v>
      </c>
      <c r="E3822" s="2" t="s">
        <v>38</v>
      </c>
      <c r="F3822" s="2" t="s">
        <v>39</v>
      </c>
      <c r="G3822" s="2">
        <v>500883262</v>
      </c>
      <c r="H3822" s="2" t="s">
        <v>40</v>
      </c>
      <c r="I3822" s="2" t="s">
        <v>99</v>
      </c>
      <c r="J3822" s="2" t="s">
        <v>320</v>
      </c>
      <c r="L3822" s="2" t="s">
        <v>99</v>
      </c>
      <c r="M3822" s="2" t="s">
        <v>80</v>
      </c>
      <c r="O3822" s="2" t="s">
        <v>2885</v>
      </c>
      <c r="P3822" s="2" t="s">
        <v>93</v>
      </c>
      <c r="Q3822" s="2" t="s">
        <v>94</v>
      </c>
      <c r="R3822" s="2" t="s">
        <v>95</v>
      </c>
      <c r="S3822" s="2">
        <v>1</v>
      </c>
      <c r="T3822" s="2">
        <v>1.48</v>
      </c>
      <c r="U3822" s="2">
        <v>0.34039999999999998</v>
      </c>
      <c r="V3822" s="2">
        <v>1.8204</v>
      </c>
      <c r="W3822" s="2">
        <v>1.48</v>
      </c>
      <c r="X3822" s="5">
        <f t="shared" si="569"/>
        <v>0</v>
      </c>
      <c r="Z3822" s="2" t="s">
        <v>3227</v>
      </c>
      <c r="AA3822" s="2" t="s">
        <v>96</v>
      </c>
      <c r="AB3822" s="2" t="s">
        <v>76</v>
      </c>
      <c r="AC3822" s="2" t="s">
        <v>93</v>
      </c>
      <c r="AF3822" s="2">
        <f t="shared" si="561"/>
        <v>0</v>
      </c>
      <c r="AJ3822" s="2">
        <f t="shared" si="562"/>
        <v>0</v>
      </c>
      <c r="AK3822" s="2">
        <f t="shared" si="568"/>
        <v>0</v>
      </c>
      <c r="AL3822" s="5">
        <f t="shared" si="567"/>
        <v>0</v>
      </c>
    </row>
    <row r="3823" spans="1:38" x14ac:dyDescent="0.2">
      <c r="A3823" s="2">
        <v>2026</v>
      </c>
      <c r="B3823" s="2">
        <v>4</v>
      </c>
      <c r="D3823" s="2" t="s">
        <v>731</v>
      </c>
      <c r="E3823" s="2" t="s">
        <v>108</v>
      </c>
      <c r="G3823" s="2">
        <v>502757396</v>
      </c>
      <c r="H3823" s="2" t="s">
        <v>40</v>
      </c>
      <c r="I3823" s="2" t="s">
        <v>99</v>
      </c>
      <c r="J3823" s="2" t="s">
        <v>732</v>
      </c>
      <c r="L3823" s="2" t="s">
        <v>99</v>
      </c>
      <c r="M3823" s="2" t="s">
        <v>80</v>
      </c>
      <c r="P3823" s="2" t="s">
        <v>93</v>
      </c>
      <c r="Q3823" s="2" t="s">
        <v>94</v>
      </c>
      <c r="R3823" s="2" t="s">
        <v>95</v>
      </c>
      <c r="S3823" s="2">
        <v>1</v>
      </c>
      <c r="T3823" s="2">
        <v>1.48</v>
      </c>
      <c r="U3823" s="2">
        <v>0.34039999999999998</v>
      </c>
      <c r="V3823" s="2">
        <v>1.8204</v>
      </c>
      <c r="W3823" s="2">
        <v>1.48</v>
      </c>
      <c r="X3823" s="5">
        <f t="shared" si="569"/>
        <v>0</v>
      </c>
      <c r="Z3823" s="2" t="s">
        <v>3227</v>
      </c>
      <c r="AA3823" s="2" t="s">
        <v>96</v>
      </c>
      <c r="AB3823" s="2" t="s">
        <v>76</v>
      </c>
      <c r="AC3823" s="2" t="s">
        <v>93</v>
      </c>
      <c r="AF3823" s="2">
        <f t="shared" si="561"/>
        <v>0</v>
      </c>
      <c r="AG3823" s="2">
        <v>1.48</v>
      </c>
      <c r="AH3823" s="2">
        <v>1.48</v>
      </c>
      <c r="AJ3823" s="2">
        <f t="shared" si="562"/>
        <v>0</v>
      </c>
      <c r="AK3823" s="2">
        <f t="shared" si="568"/>
        <v>0</v>
      </c>
      <c r="AL3823" s="5">
        <f t="shared" si="567"/>
        <v>0</v>
      </c>
    </row>
    <row r="3824" spans="1:38" x14ac:dyDescent="0.2">
      <c r="A3824" s="2">
        <v>2026</v>
      </c>
      <c r="B3824" s="2">
        <v>4</v>
      </c>
      <c r="D3824" s="2" t="s">
        <v>2877</v>
      </c>
      <c r="M3824" s="2" t="s">
        <v>41</v>
      </c>
      <c r="P3824" s="2" t="s">
        <v>93</v>
      </c>
      <c r="Q3824" s="2" t="s">
        <v>94</v>
      </c>
      <c r="R3824" s="2" t="s">
        <v>95</v>
      </c>
      <c r="S3824" s="2">
        <v>1</v>
      </c>
      <c r="T3824" s="2">
        <v>1.48</v>
      </c>
      <c r="U3824" s="2">
        <v>0.34039999999999998</v>
      </c>
      <c r="V3824" s="2">
        <v>1.8204</v>
      </c>
      <c r="W3824" s="2">
        <v>1.48</v>
      </c>
      <c r="X3824" s="5">
        <f t="shared" si="569"/>
        <v>0</v>
      </c>
      <c r="Z3824" s="2" t="s">
        <v>3227</v>
      </c>
      <c r="AA3824" s="2" t="s">
        <v>96</v>
      </c>
      <c r="AB3824" s="2" t="s">
        <v>76</v>
      </c>
      <c r="AC3824" s="2" t="s">
        <v>93</v>
      </c>
      <c r="AF3824" s="2">
        <f t="shared" si="561"/>
        <v>0</v>
      </c>
      <c r="AJ3824" s="2">
        <f t="shared" si="562"/>
        <v>0</v>
      </c>
      <c r="AK3824" s="2">
        <f t="shared" si="568"/>
        <v>0</v>
      </c>
      <c r="AL3824" s="5">
        <f t="shared" si="567"/>
        <v>0</v>
      </c>
    </row>
    <row r="3825" spans="1:38" x14ac:dyDescent="0.2">
      <c r="A3825" s="2">
        <v>2026</v>
      </c>
      <c r="B3825" s="2">
        <v>4</v>
      </c>
      <c r="D3825" s="2" t="s">
        <v>769</v>
      </c>
      <c r="E3825" s="2" t="s">
        <v>108</v>
      </c>
      <c r="F3825" s="2" t="s">
        <v>376</v>
      </c>
      <c r="G3825" s="2">
        <v>505926768</v>
      </c>
      <c r="H3825" s="2" t="s">
        <v>290</v>
      </c>
      <c r="I3825" s="2" t="s">
        <v>770</v>
      </c>
      <c r="J3825" s="2" t="s">
        <v>771</v>
      </c>
      <c r="L3825" s="2" t="s">
        <v>339</v>
      </c>
      <c r="M3825" s="2" t="s">
        <v>80</v>
      </c>
      <c r="O3825" s="2" t="s">
        <v>2895</v>
      </c>
      <c r="P3825" s="2" t="s">
        <v>93</v>
      </c>
      <c r="Q3825" s="2" t="s">
        <v>94</v>
      </c>
      <c r="R3825" s="2" t="s">
        <v>95</v>
      </c>
      <c r="S3825" s="2">
        <v>1</v>
      </c>
      <c r="T3825" s="2">
        <v>1.48</v>
      </c>
      <c r="U3825" s="2">
        <v>0.34039999999999998</v>
      </c>
      <c r="V3825" s="2">
        <v>1.8204</v>
      </c>
      <c r="W3825" s="2">
        <v>1.48</v>
      </c>
      <c r="X3825" s="5">
        <f t="shared" si="569"/>
        <v>0</v>
      </c>
      <c r="Z3825" s="2" t="s">
        <v>3227</v>
      </c>
      <c r="AA3825" s="2" t="s">
        <v>96</v>
      </c>
      <c r="AB3825" s="2" t="s">
        <v>76</v>
      </c>
      <c r="AC3825" s="2" t="s">
        <v>93</v>
      </c>
      <c r="AF3825" s="2">
        <f t="shared" si="561"/>
        <v>0</v>
      </c>
      <c r="AG3825" s="2">
        <v>1.48</v>
      </c>
      <c r="AH3825" s="2">
        <v>1.48</v>
      </c>
      <c r="AJ3825" s="2">
        <f t="shared" si="562"/>
        <v>0</v>
      </c>
      <c r="AK3825" s="2">
        <f t="shared" si="568"/>
        <v>0</v>
      </c>
      <c r="AL3825" s="5">
        <f t="shared" si="567"/>
        <v>0</v>
      </c>
    </row>
    <row r="3826" spans="1:38" x14ac:dyDescent="0.2">
      <c r="A3826" s="2">
        <v>2026</v>
      </c>
      <c r="B3826" s="2">
        <v>4</v>
      </c>
      <c r="D3826" s="2" t="s">
        <v>428</v>
      </c>
      <c r="E3826" s="2" t="s">
        <v>38</v>
      </c>
      <c r="G3826" s="2">
        <v>500820384</v>
      </c>
      <c r="H3826" s="2" t="s">
        <v>40</v>
      </c>
      <c r="I3826" s="2" t="s">
        <v>429</v>
      </c>
      <c r="J3826" s="2" t="s">
        <v>430</v>
      </c>
      <c r="L3826" s="2" t="s">
        <v>99</v>
      </c>
      <c r="M3826" s="2" t="s">
        <v>80</v>
      </c>
      <c r="O3826" s="2" t="s">
        <v>2873</v>
      </c>
      <c r="P3826" s="2" t="s">
        <v>93</v>
      </c>
      <c r="Q3826" s="2" t="s">
        <v>94</v>
      </c>
      <c r="R3826" s="2" t="s">
        <v>95</v>
      </c>
      <c r="S3826" s="2">
        <v>-1</v>
      </c>
      <c r="T3826" s="2">
        <v>-1.48</v>
      </c>
      <c r="U3826" s="2">
        <v>-0.34039999999999998</v>
      </c>
      <c r="V3826" s="2">
        <v>-1.8204</v>
      </c>
      <c r="W3826" s="2">
        <v>1.48</v>
      </c>
      <c r="X3826" s="18">
        <f>SIGN(T3826)*((ABS(T3826)-W3826)/ABS(T3826))</f>
        <v>0</v>
      </c>
      <c r="Z3826" s="2" t="s">
        <v>3227</v>
      </c>
      <c r="AA3826" s="2" t="s">
        <v>96</v>
      </c>
      <c r="AB3826" s="2" t="s">
        <v>76</v>
      </c>
      <c r="AC3826" s="2" t="s">
        <v>93</v>
      </c>
      <c r="AF3826" s="2">
        <f t="shared" si="561"/>
        <v>0</v>
      </c>
      <c r="AJ3826" s="2">
        <f t="shared" si="562"/>
        <v>0</v>
      </c>
      <c r="AK3826" s="2">
        <f>T3826+(W3826)</f>
        <v>0</v>
      </c>
      <c r="AL3826" s="18">
        <f>SIGN(T3826)*((ABS(T3826)-W3826)/ABS(T3826))</f>
        <v>0</v>
      </c>
    </row>
    <row r="3827" spans="1:38" x14ac:dyDescent="0.2">
      <c r="A3827" s="2">
        <v>2026</v>
      </c>
      <c r="B3827" s="2">
        <v>4</v>
      </c>
      <c r="D3827" s="2" t="s">
        <v>1553</v>
      </c>
      <c r="E3827" s="2" t="s">
        <v>108</v>
      </c>
      <c r="F3827" s="2" t="s">
        <v>717</v>
      </c>
      <c r="G3827" s="2">
        <v>500975914</v>
      </c>
      <c r="H3827" s="2" t="s">
        <v>41</v>
      </c>
      <c r="I3827" s="2" t="s">
        <v>1554</v>
      </c>
      <c r="J3827" s="2" t="s">
        <v>1555</v>
      </c>
      <c r="L3827" s="2" t="s">
        <v>177</v>
      </c>
      <c r="M3827" s="2" t="s">
        <v>41</v>
      </c>
      <c r="P3827" s="2" t="s">
        <v>93</v>
      </c>
      <c r="Q3827" s="2" t="s">
        <v>94</v>
      </c>
      <c r="R3827" s="2" t="s">
        <v>95</v>
      </c>
      <c r="S3827" s="2">
        <v>-1</v>
      </c>
      <c r="T3827" s="2">
        <v>-1.48</v>
      </c>
      <c r="U3827" s="2">
        <v>-0.34039999999999998</v>
      </c>
      <c r="V3827" s="2">
        <v>-1.8204</v>
      </c>
      <c r="W3827" s="2">
        <v>1.48</v>
      </c>
      <c r="X3827" s="18">
        <f>SIGN(T3827)*((ABS(T3827)-W3827)/ABS(T3827))</f>
        <v>0</v>
      </c>
      <c r="Z3827" s="2" t="s">
        <v>3227</v>
      </c>
      <c r="AA3827" s="2" t="s">
        <v>96</v>
      </c>
      <c r="AB3827" s="2" t="s">
        <v>76</v>
      </c>
      <c r="AC3827" s="2" t="s">
        <v>93</v>
      </c>
      <c r="AF3827" s="2">
        <f t="shared" si="561"/>
        <v>0</v>
      </c>
      <c r="AJ3827" s="2">
        <f t="shared" si="562"/>
        <v>0</v>
      </c>
      <c r="AK3827" s="2">
        <f>T3827+(W3827)</f>
        <v>0</v>
      </c>
      <c r="AL3827" s="18">
        <f>SIGN(T3827)*((ABS(T3827)-W3827)/ABS(T3827))</f>
        <v>0</v>
      </c>
    </row>
    <row r="3828" spans="1:38" x14ac:dyDescent="0.2">
      <c r="A3828" s="2">
        <v>2026</v>
      </c>
      <c r="B3828" s="2">
        <v>4</v>
      </c>
      <c r="D3828" s="2" t="s">
        <v>2880</v>
      </c>
      <c r="P3828" s="2" t="s">
        <v>93</v>
      </c>
      <c r="Q3828" s="2" t="s">
        <v>94</v>
      </c>
      <c r="R3828" s="2" t="s">
        <v>95</v>
      </c>
      <c r="S3828" s="2">
        <v>1</v>
      </c>
      <c r="T3828" s="2">
        <v>1.48</v>
      </c>
      <c r="U3828" s="2">
        <v>0.34039999999999998</v>
      </c>
      <c r="V3828" s="2">
        <v>1.8204</v>
      </c>
      <c r="W3828" s="2">
        <v>1.48</v>
      </c>
      <c r="X3828" s="5">
        <f t="shared" ref="X3828:X3839" si="570">(T3828-W3828)/T3828</f>
        <v>0</v>
      </c>
      <c r="Z3828" s="2" t="s">
        <v>3227</v>
      </c>
      <c r="AA3828" s="2" t="s">
        <v>96</v>
      </c>
      <c r="AB3828" s="2" t="s">
        <v>76</v>
      </c>
      <c r="AC3828" s="2" t="s">
        <v>93</v>
      </c>
      <c r="AF3828" s="2">
        <f t="shared" si="561"/>
        <v>0</v>
      </c>
      <c r="AJ3828" s="2">
        <f t="shared" si="562"/>
        <v>0</v>
      </c>
      <c r="AK3828" s="2">
        <f t="shared" ref="AK3828:AK3859" si="571">T3828-W3828</f>
        <v>0</v>
      </c>
      <c r="AL3828" s="5">
        <f t="shared" ref="AL3828:AL3844" si="572">(T3828-W3828)/T3828</f>
        <v>0</v>
      </c>
    </row>
    <row r="3829" spans="1:38" x14ac:dyDescent="0.2">
      <c r="A3829" s="2">
        <v>2026</v>
      </c>
      <c r="B3829" s="2">
        <v>4</v>
      </c>
      <c r="D3829" s="2" t="s">
        <v>436</v>
      </c>
      <c r="E3829" s="2" t="s">
        <v>108</v>
      </c>
      <c r="F3829" s="2" t="s">
        <v>376</v>
      </c>
      <c r="G3829" s="2">
        <v>509350631</v>
      </c>
      <c r="H3829" s="2" t="s">
        <v>290</v>
      </c>
      <c r="I3829" s="2" t="s">
        <v>437</v>
      </c>
      <c r="J3829" s="2" t="s">
        <v>438</v>
      </c>
      <c r="L3829" s="2" t="s">
        <v>339</v>
      </c>
      <c r="M3829" s="2" t="s">
        <v>80</v>
      </c>
      <c r="P3829" s="2" t="s">
        <v>93</v>
      </c>
      <c r="Q3829" s="2" t="s">
        <v>94</v>
      </c>
      <c r="R3829" s="2" t="s">
        <v>95</v>
      </c>
      <c r="S3829" s="2">
        <v>1</v>
      </c>
      <c r="T3829" s="2">
        <v>1.48</v>
      </c>
      <c r="U3829" s="2">
        <v>0.34039999999999998</v>
      </c>
      <c r="V3829" s="2">
        <v>1.8204</v>
      </c>
      <c r="W3829" s="2">
        <v>1.48</v>
      </c>
      <c r="X3829" s="5">
        <f t="shared" si="570"/>
        <v>0</v>
      </c>
      <c r="Z3829" s="2" t="s">
        <v>3227</v>
      </c>
      <c r="AA3829" s="2" t="s">
        <v>96</v>
      </c>
      <c r="AB3829" s="2" t="s">
        <v>76</v>
      </c>
      <c r="AC3829" s="2" t="s">
        <v>93</v>
      </c>
      <c r="AF3829" s="2">
        <f t="shared" si="561"/>
        <v>0</v>
      </c>
      <c r="AG3829" s="2">
        <v>1.48</v>
      </c>
      <c r="AH3829" s="2">
        <v>1.48</v>
      </c>
      <c r="AJ3829" s="2">
        <f t="shared" si="562"/>
        <v>0</v>
      </c>
      <c r="AK3829" s="2">
        <f t="shared" si="571"/>
        <v>0</v>
      </c>
      <c r="AL3829" s="5">
        <f t="shared" si="572"/>
        <v>0</v>
      </c>
    </row>
    <row r="3830" spans="1:38" x14ac:dyDescent="0.2">
      <c r="A3830" s="2">
        <v>2026</v>
      </c>
      <c r="B3830" s="2">
        <v>4</v>
      </c>
      <c r="D3830" s="2" t="s">
        <v>476</v>
      </c>
      <c r="E3830" s="2" t="s">
        <v>108</v>
      </c>
      <c r="F3830" s="2" t="s">
        <v>477</v>
      </c>
      <c r="G3830" s="2">
        <v>500864365</v>
      </c>
      <c r="H3830" s="2" t="s">
        <v>41</v>
      </c>
      <c r="I3830" s="2" t="s">
        <v>478</v>
      </c>
      <c r="J3830" s="2" t="s">
        <v>479</v>
      </c>
      <c r="L3830" s="2" t="s">
        <v>480</v>
      </c>
      <c r="M3830" s="2" t="s">
        <v>41</v>
      </c>
      <c r="P3830" s="2" t="s">
        <v>93</v>
      </c>
      <c r="Q3830" s="2" t="s">
        <v>94</v>
      </c>
      <c r="R3830" s="2" t="s">
        <v>95</v>
      </c>
      <c r="S3830" s="2">
        <v>1</v>
      </c>
      <c r="T3830" s="2">
        <v>1.48</v>
      </c>
      <c r="U3830" s="2">
        <v>0.34039999999999998</v>
      </c>
      <c r="V3830" s="2">
        <v>1.8204</v>
      </c>
      <c r="W3830" s="2">
        <v>1.48</v>
      </c>
      <c r="X3830" s="5">
        <f t="shared" si="570"/>
        <v>0</v>
      </c>
      <c r="Z3830" s="2" t="s">
        <v>3227</v>
      </c>
      <c r="AA3830" s="2" t="s">
        <v>96</v>
      </c>
      <c r="AB3830" s="2" t="s">
        <v>76</v>
      </c>
      <c r="AC3830" s="2" t="s">
        <v>93</v>
      </c>
      <c r="AF3830" s="2">
        <f t="shared" si="561"/>
        <v>0</v>
      </c>
      <c r="AJ3830" s="2">
        <f t="shared" si="562"/>
        <v>0</v>
      </c>
      <c r="AK3830" s="2">
        <f t="shared" si="571"/>
        <v>0</v>
      </c>
      <c r="AL3830" s="5">
        <f t="shared" si="572"/>
        <v>0</v>
      </c>
    </row>
    <row r="3831" spans="1:38" x14ac:dyDescent="0.2">
      <c r="A3831" s="2">
        <v>2026</v>
      </c>
      <c r="B3831" s="2">
        <v>4</v>
      </c>
      <c r="D3831" s="2" t="s">
        <v>1256</v>
      </c>
      <c r="P3831" s="2" t="s">
        <v>93</v>
      </c>
      <c r="Q3831" s="2" t="s">
        <v>94</v>
      </c>
      <c r="R3831" s="2" t="s">
        <v>95</v>
      </c>
      <c r="S3831" s="2">
        <v>1</v>
      </c>
      <c r="T3831" s="2">
        <v>1.48</v>
      </c>
      <c r="U3831" s="2">
        <v>0.34039999999999998</v>
      </c>
      <c r="V3831" s="2">
        <v>1.8204</v>
      </c>
      <c r="W3831" s="2">
        <v>1.48</v>
      </c>
      <c r="X3831" s="5">
        <f t="shared" si="570"/>
        <v>0</v>
      </c>
      <c r="Z3831" s="2" t="s">
        <v>3227</v>
      </c>
      <c r="AA3831" s="2" t="s">
        <v>96</v>
      </c>
      <c r="AB3831" s="2" t="s">
        <v>76</v>
      </c>
      <c r="AC3831" s="2" t="s">
        <v>93</v>
      </c>
      <c r="AF3831" s="2">
        <f t="shared" si="561"/>
        <v>0</v>
      </c>
      <c r="AJ3831" s="2">
        <f t="shared" si="562"/>
        <v>0</v>
      </c>
      <c r="AK3831" s="2">
        <f t="shared" si="571"/>
        <v>0</v>
      </c>
      <c r="AL3831" s="5">
        <f t="shared" si="572"/>
        <v>0</v>
      </c>
    </row>
    <row r="3832" spans="1:38" x14ac:dyDescent="0.2">
      <c r="A3832" s="2">
        <v>2026</v>
      </c>
      <c r="B3832" s="2">
        <v>4</v>
      </c>
      <c r="D3832" s="2" t="s">
        <v>542</v>
      </c>
      <c r="E3832" s="2" t="s">
        <v>108</v>
      </c>
      <c r="F3832" s="2" t="s">
        <v>39</v>
      </c>
      <c r="G3832" s="2">
        <v>506411206</v>
      </c>
      <c r="H3832" s="2" t="s">
        <v>41</v>
      </c>
      <c r="I3832" s="2" t="s">
        <v>543</v>
      </c>
      <c r="J3832" s="2" t="s">
        <v>544</v>
      </c>
      <c r="L3832" s="2" t="s">
        <v>201</v>
      </c>
      <c r="M3832" s="2" t="s">
        <v>41</v>
      </c>
      <c r="O3832" s="2" t="s">
        <v>2884</v>
      </c>
      <c r="P3832" s="2" t="s">
        <v>93</v>
      </c>
      <c r="Q3832" s="2" t="s">
        <v>94</v>
      </c>
      <c r="R3832" s="2" t="s">
        <v>95</v>
      </c>
      <c r="S3832" s="2">
        <v>1</v>
      </c>
      <c r="T3832" s="2">
        <v>1.48</v>
      </c>
      <c r="U3832" s="2">
        <v>0.34039999999999998</v>
      </c>
      <c r="V3832" s="2">
        <v>1.8204</v>
      </c>
      <c r="W3832" s="2">
        <v>1.48</v>
      </c>
      <c r="X3832" s="5">
        <f t="shared" si="570"/>
        <v>0</v>
      </c>
      <c r="Z3832" s="2" t="s">
        <v>3227</v>
      </c>
      <c r="AA3832" s="2" t="s">
        <v>96</v>
      </c>
      <c r="AB3832" s="2" t="s">
        <v>76</v>
      </c>
      <c r="AC3832" s="2" t="s">
        <v>93</v>
      </c>
      <c r="AF3832" s="2">
        <f t="shared" si="561"/>
        <v>0</v>
      </c>
      <c r="AG3832" s="2">
        <v>1.48</v>
      </c>
      <c r="AH3832" s="2">
        <v>1.48</v>
      </c>
      <c r="AJ3832" s="2">
        <f t="shared" si="562"/>
        <v>0</v>
      </c>
      <c r="AK3832" s="2">
        <f t="shared" si="571"/>
        <v>0</v>
      </c>
      <c r="AL3832" s="5">
        <f t="shared" si="572"/>
        <v>0</v>
      </c>
    </row>
    <row r="3833" spans="1:38" x14ac:dyDescent="0.2">
      <c r="A3833" s="2">
        <v>2026</v>
      </c>
      <c r="B3833" s="2">
        <v>4</v>
      </c>
      <c r="D3833" s="2" t="s">
        <v>2526</v>
      </c>
      <c r="P3833" s="2" t="s">
        <v>93</v>
      </c>
      <c r="Q3833" s="2" t="s">
        <v>94</v>
      </c>
      <c r="R3833" s="2" t="s">
        <v>95</v>
      </c>
      <c r="S3833" s="2">
        <v>1</v>
      </c>
      <c r="T3833" s="2">
        <v>1.48</v>
      </c>
      <c r="U3833" s="2">
        <v>0.34039999999999998</v>
      </c>
      <c r="V3833" s="2">
        <v>1.8204</v>
      </c>
      <c r="W3833" s="2">
        <v>1.48</v>
      </c>
      <c r="X3833" s="5">
        <f t="shared" si="570"/>
        <v>0</v>
      </c>
      <c r="Z3833" s="2" t="s">
        <v>3227</v>
      </c>
      <c r="AA3833" s="2" t="s">
        <v>96</v>
      </c>
      <c r="AB3833" s="2" t="s">
        <v>76</v>
      </c>
      <c r="AC3833" s="2" t="s">
        <v>93</v>
      </c>
      <c r="AF3833" s="2">
        <f t="shared" si="561"/>
        <v>0</v>
      </c>
      <c r="AJ3833" s="2">
        <f t="shared" si="562"/>
        <v>0</v>
      </c>
      <c r="AK3833" s="2">
        <f t="shared" si="571"/>
        <v>0</v>
      </c>
      <c r="AL3833" s="5">
        <f t="shared" si="572"/>
        <v>0</v>
      </c>
    </row>
    <row r="3834" spans="1:38" x14ac:dyDescent="0.2">
      <c r="A3834" s="2">
        <v>2026</v>
      </c>
      <c r="B3834" s="2">
        <v>4</v>
      </c>
      <c r="D3834" s="2" t="s">
        <v>1419</v>
      </c>
      <c r="E3834" s="2" t="s">
        <v>108</v>
      </c>
      <c r="F3834" s="2" t="s">
        <v>39</v>
      </c>
      <c r="G3834" s="2">
        <v>513795855</v>
      </c>
      <c r="H3834" s="2" t="s">
        <v>41</v>
      </c>
      <c r="I3834" s="2" t="s">
        <v>1272</v>
      </c>
      <c r="J3834" s="2" t="s">
        <v>2394</v>
      </c>
      <c r="L3834" s="2" t="s">
        <v>177</v>
      </c>
      <c r="M3834" s="2" t="s">
        <v>41</v>
      </c>
      <c r="P3834" s="2" t="s">
        <v>93</v>
      </c>
      <c r="Q3834" s="2" t="s">
        <v>94</v>
      </c>
      <c r="R3834" s="2" t="s">
        <v>95</v>
      </c>
      <c r="S3834" s="2">
        <v>1</v>
      </c>
      <c r="T3834" s="2">
        <v>1.48</v>
      </c>
      <c r="U3834" s="2">
        <v>0.34039999999999998</v>
      </c>
      <c r="V3834" s="2">
        <v>1.8204</v>
      </c>
      <c r="W3834" s="2">
        <v>1.48</v>
      </c>
      <c r="X3834" s="5">
        <f t="shared" si="570"/>
        <v>0</v>
      </c>
      <c r="Z3834" s="2" t="s">
        <v>3227</v>
      </c>
      <c r="AA3834" s="2" t="s">
        <v>96</v>
      </c>
      <c r="AB3834" s="2" t="s">
        <v>76</v>
      </c>
      <c r="AC3834" s="2" t="s">
        <v>93</v>
      </c>
      <c r="AF3834" s="2">
        <f t="shared" si="561"/>
        <v>0</v>
      </c>
      <c r="AJ3834" s="2">
        <f t="shared" si="562"/>
        <v>0</v>
      </c>
      <c r="AK3834" s="2">
        <f t="shared" si="571"/>
        <v>0</v>
      </c>
      <c r="AL3834" s="5">
        <f t="shared" si="572"/>
        <v>0</v>
      </c>
    </row>
    <row r="3835" spans="1:38" x14ac:dyDescent="0.2">
      <c r="A3835" s="2">
        <v>2026</v>
      </c>
      <c r="B3835" s="2">
        <v>4</v>
      </c>
      <c r="D3835" s="2" t="s">
        <v>549</v>
      </c>
      <c r="E3835" s="2" t="s">
        <v>108</v>
      </c>
      <c r="F3835" s="2" t="s">
        <v>395</v>
      </c>
      <c r="G3835" s="2">
        <v>503641790</v>
      </c>
      <c r="H3835" s="2" t="s">
        <v>40</v>
      </c>
      <c r="I3835" s="2" t="s">
        <v>550</v>
      </c>
      <c r="J3835" s="2" t="s">
        <v>551</v>
      </c>
      <c r="K3835" s="2">
        <v>917753665</v>
      </c>
      <c r="L3835" s="2" t="s">
        <v>99</v>
      </c>
      <c r="M3835" s="2" t="s">
        <v>80</v>
      </c>
      <c r="O3835" s="2" t="s">
        <v>2876</v>
      </c>
      <c r="P3835" s="2" t="s">
        <v>93</v>
      </c>
      <c r="Q3835" s="2" t="s">
        <v>94</v>
      </c>
      <c r="R3835" s="2" t="s">
        <v>95</v>
      </c>
      <c r="S3835" s="2">
        <v>3</v>
      </c>
      <c r="T3835" s="2">
        <v>4.4400000000000004</v>
      </c>
      <c r="U3835" s="2">
        <v>1.0212000000000001</v>
      </c>
      <c r="V3835" s="2">
        <v>5.4612000000000007</v>
      </c>
      <c r="W3835" s="2">
        <v>4.4400000000000004</v>
      </c>
      <c r="X3835" s="5">
        <f t="shared" si="570"/>
        <v>0</v>
      </c>
      <c r="Z3835" s="2" t="s">
        <v>3227</v>
      </c>
      <c r="AA3835" s="2" t="s">
        <v>96</v>
      </c>
      <c r="AB3835" s="2" t="s">
        <v>76</v>
      </c>
      <c r="AC3835" s="2" t="s">
        <v>93</v>
      </c>
      <c r="AF3835" s="2">
        <f t="shared" si="561"/>
        <v>0</v>
      </c>
      <c r="AG3835" s="2">
        <v>1.48</v>
      </c>
      <c r="AH3835" s="2">
        <v>1.48</v>
      </c>
      <c r="AJ3835" s="2">
        <f t="shared" si="562"/>
        <v>0</v>
      </c>
      <c r="AK3835" s="2">
        <f t="shared" si="571"/>
        <v>0</v>
      </c>
      <c r="AL3835" s="5">
        <f t="shared" si="572"/>
        <v>0</v>
      </c>
    </row>
    <row r="3836" spans="1:38" x14ac:dyDescent="0.2">
      <c r="A3836" s="2">
        <v>2026</v>
      </c>
      <c r="B3836" s="2">
        <v>4</v>
      </c>
      <c r="D3836" s="2" t="s">
        <v>894</v>
      </c>
      <c r="P3836" s="2" t="s">
        <v>93</v>
      </c>
      <c r="Q3836" s="2" t="s">
        <v>94</v>
      </c>
      <c r="R3836" s="2" t="s">
        <v>95</v>
      </c>
      <c r="S3836" s="2">
        <v>1</v>
      </c>
      <c r="T3836" s="2">
        <v>1.48</v>
      </c>
      <c r="U3836" s="2">
        <v>0.34039999999999998</v>
      </c>
      <c r="V3836" s="2">
        <v>1.8204</v>
      </c>
      <c r="W3836" s="2">
        <v>1.48</v>
      </c>
      <c r="X3836" s="5">
        <f t="shared" si="570"/>
        <v>0</v>
      </c>
      <c r="Z3836" s="2" t="s">
        <v>3227</v>
      </c>
      <c r="AA3836" s="2" t="s">
        <v>96</v>
      </c>
      <c r="AB3836" s="2" t="s">
        <v>76</v>
      </c>
      <c r="AC3836" s="2" t="s">
        <v>93</v>
      </c>
      <c r="AF3836" s="2">
        <f t="shared" si="561"/>
        <v>0</v>
      </c>
      <c r="AJ3836" s="2">
        <f t="shared" si="562"/>
        <v>0</v>
      </c>
      <c r="AK3836" s="2">
        <f t="shared" si="571"/>
        <v>0</v>
      </c>
      <c r="AL3836" s="5">
        <f t="shared" si="572"/>
        <v>0</v>
      </c>
    </row>
    <row r="3837" spans="1:38" x14ac:dyDescent="0.2">
      <c r="A3837" s="2">
        <v>2026</v>
      </c>
      <c r="B3837" s="2">
        <v>4</v>
      </c>
      <c r="D3837" s="2" t="s">
        <v>2559</v>
      </c>
      <c r="M3837" s="2" t="s">
        <v>80</v>
      </c>
      <c r="P3837" s="2" t="s">
        <v>93</v>
      </c>
      <c r="Q3837" s="2" t="s">
        <v>94</v>
      </c>
      <c r="R3837" s="2" t="s">
        <v>95</v>
      </c>
      <c r="S3837" s="2">
        <v>2</v>
      </c>
      <c r="T3837" s="2">
        <v>2.96</v>
      </c>
      <c r="U3837" s="2">
        <v>0.68080000000000007</v>
      </c>
      <c r="V3837" s="2">
        <v>3.6408</v>
      </c>
      <c r="W3837" s="2">
        <v>2.96</v>
      </c>
      <c r="X3837" s="5">
        <f t="shared" si="570"/>
        <v>0</v>
      </c>
      <c r="Z3837" s="2" t="s">
        <v>3227</v>
      </c>
      <c r="AA3837" s="2" t="s">
        <v>96</v>
      </c>
      <c r="AB3837" s="2" t="s">
        <v>76</v>
      </c>
      <c r="AC3837" s="2" t="s">
        <v>93</v>
      </c>
      <c r="AF3837" s="2">
        <f t="shared" si="561"/>
        <v>0</v>
      </c>
      <c r="AJ3837" s="2">
        <f t="shared" si="562"/>
        <v>0</v>
      </c>
      <c r="AK3837" s="2">
        <f t="shared" si="571"/>
        <v>0</v>
      </c>
      <c r="AL3837" s="5">
        <f t="shared" si="572"/>
        <v>0</v>
      </c>
    </row>
    <row r="3838" spans="1:38" x14ac:dyDescent="0.2">
      <c r="A3838" s="2">
        <v>2026</v>
      </c>
      <c r="B3838" s="2">
        <v>4</v>
      </c>
      <c r="D3838" s="2" t="s">
        <v>1295</v>
      </c>
      <c r="E3838" s="2" t="s">
        <v>183</v>
      </c>
      <c r="F3838" s="2" t="s">
        <v>366</v>
      </c>
      <c r="G3838" s="2">
        <v>500625654</v>
      </c>
      <c r="H3838" s="2" t="s">
        <v>290</v>
      </c>
      <c r="I3838" s="2" t="s">
        <v>339</v>
      </c>
      <c r="J3838" s="2" t="s">
        <v>1296</v>
      </c>
      <c r="L3838" s="2" t="s">
        <v>339</v>
      </c>
      <c r="M3838" s="2" t="s">
        <v>80</v>
      </c>
      <c r="O3838" s="2" t="s">
        <v>2911</v>
      </c>
      <c r="P3838" s="2" t="s">
        <v>93</v>
      </c>
      <c r="Q3838" s="2" t="s">
        <v>94</v>
      </c>
      <c r="R3838" s="2" t="s">
        <v>95</v>
      </c>
      <c r="S3838" s="2">
        <v>3</v>
      </c>
      <c r="T3838" s="2">
        <v>4.4400000000000004</v>
      </c>
      <c r="U3838" s="2">
        <v>1.0212000000000001</v>
      </c>
      <c r="V3838" s="2">
        <v>5.4612000000000007</v>
      </c>
      <c r="W3838" s="2">
        <v>4.4400000000000004</v>
      </c>
      <c r="X3838" s="5">
        <f t="shared" si="570"/>
        <v>0</v>
      </c>
      <c r="Z3838" s="2" t="s">
        <v>3227</v>
      </c>
      <c r="AA3838" s="2" t="s">
        <v>96</v>
      </c>
      <c r="AB3838" s="2" t="s">
        <v>76</v>
      </c>
      <c r="AC3838" s="2" t="s">
        <v>93</v>
      </c>
      <c r="AF3838" s="2">
        <f t="shared" si="561"/>
        <v>0</v>
      </c>
      <c r="AG3838" s="2">
        <v>1.48</v>
      </c>
      <c r="AH3838" s="2">
        <v>1.48</v>
      </c>
      <c r="AJ3838" s="2">
        <f t="shared" si="562"/>
        <v>0</v>
      </c>
      <c r="AK3838" s="2">
        <f t="shared" si="571"/>
        <v>0</v>
      </c>
      <c r="AL3838" s="5">
        <f t="shared" si="572"/>
        <v>0</v>
      </c>
    </row>
    <row r="3839" spans="1:38" x14ac:dyDescent="0.2">
      <c r="A3839" s="2">
        <v>2026</v>
      </c>
      <c r="B3839" s="2">
        <v>4</v>
      </c>
      <c r="D3839" s="2" t="s">
        <v>1955</v>
      </c>
      <c r="P3839" s="2" t="s">
        <v>93</v>
      </c>
      <c r="Q3839" s="2" t="s">
        <v>94</v>
      </c>
      <c r="R3839" s="2" t="s">
        <v>95</v>
      </c>
      <c r="S3839" s="2">
        <v>1</v>
      </c>
      <c r="T3839" s="2">
        <v>1.48</v>
      </c>
      <c r="U3839" s="2">
        <v>0.34039999999999998</v>
      </c>
      <c r="V3839" s="2">
        <v>1.8204</v>
      </c>
      <c r="W3839" s="2">
        <v>1.48</v>
      </c>
      <c r="X3839" s="5">
        <f t="shared" si="570"/>
        <v>0</v>
      </c>
      <c r="Z3839" s="2" t="s">
        <v>3227</v>
      </c>
      <c r="AA3839" s="2" t="s">
        <v>96</v>
      </c>
      <c r="AB3839" s="2" t="s">
        <v>76</v>
      </c>
      <c r="AC3839" s="2" t="s">
        <v>93</v>
      </c>
      <c r="AF3839" s="2">
        <f t="shared" si="561"/>
        <v>0</v>
      </c>
      <c r="AJ3839" s="2">
        <f t="shared" si="562"/>
        <v>0</v>
      </c>
      <c r="AK3839" s="2">
        <f t="shared" si="571"/>
        <v>0</v>
      </c>
      <c r="AL3839" s="5">
        <f t="shared" si="572"/>
        <v>0</v>
      </c>
    </row>
    <row r="3840" spans="1:38" x14ac:dyDescent="0.2">
      <c r="A3840" s="2">
        <v>2026</v>
      </c>
      <c r="B3840" s="2">
        <v>4</v>
      </c>
      <c r="D3840" s="2" t="s">
        <v>549</v>
      </c>
      <c r="E3840" s="2" t="s">
        <v>108</v>
      </c>
      <c r="F3840" s="2" t="s">
        <v>395</v>
      </c>
      <c r="G3840" s="2">
        <v>503641790</v>
      </c>
      <c r="H3840" s="2" t="s">
        <v>40</v>
      </c>
      <c r="I3840" s="2" t="s">
        <v>550</v>
      </c>
      <c r="J3840" s="2" t="s">
        <v>551</v>
      </c>
      <c r="K3840" s="2">
        <v>917753665</v>
      </c>
      <c r="L3840" s="2" t="s">
        <v>99</v>
      </c>
      <c r="M3840" s="2" t="s">
        <v>40</v>
      </c>
      <c r="O3840" s="2" t="s">
        <v>2903</v>
      </c>
      <c r="P3840" s="2" t="s">
        <v>114</v>
      </c>
      <c r="Q3840" s="2" t="s">
        <v>408</v>
      </c>
      <c r="R3840" s="2" t="s">
        <v>409</v>
      </c>
      <c r="S3840" s="2">
        <v>1</v>
      </c>
      <c r="T3840" s="2">
        <v>0</v>
      </c>
      <c r="U3840" s="2">
        <v>0</v>
      </c>
      <c r="V3840" s="2">
        <v>0</v>
      </c>
      <c r="X3840" s="5">
        <v>0</v>
      </c>
      <c r="Z3840" s="2" t="s">
        <v>117</v>
      </c>
      <c r="AA3840" s="2" t="s">
        <v>317</v>
      </c>
      <c r="AF3840" s="2">
        <f t="shared" si="561"/>
        <v>0</v>
      </c>
      <c r="AJ3840" s="2">
        <f t="shared" si="562"/>
        <v>0</v>
      </c>
      <c r="AK3840" s="2">
        <f t="shared" si="571"/>
        <v>0</v>
      </c>
      <c r="AL3840" s="5" t="e">
        <f t="shared" si="572"/>
        <v>#DIV/0!</v>
      </c>
    </row>
    <row r="3841" spans="1:38" x14ac:dyDescent="0.2">
      <c r="A3841" s="2">
        <v>2026</v>
      </c>
      <c r="B3841" s="2">
        <v>4</v>
      </c>
      <c r="D3841" s="2" t="s">
        <v>715</v>
      </c>
      <c r="E3841" s="2" t="s">
        <v>108</v>
      </c>
      <c r="F3841" s="2" t="s">
        <v>39</v>
      </c>
      <c r="L3841" s="2" t="s">
        <v>344</v>
      </c>
      <c r="P3841" s="2" t="s">
        <v>40</v>
      </c>
      <c r="Q3841" s="2" t="s">
        <v>363</v>
      </c>
      <c r="R3841" s="2" t="s">
        <v>364</v>
      </c>
      <c r="S3841" s="2">
        <v>1</v>
      </c>
      <c r="T3841" s="2">
        <v>72.37</v>
      </c>
      <c r="U3841" s="2">
        <v>16.645099999999999</v>
      </c>
      <c r="V3841" s="2">
        <v>89.015100000000004</v>
      </c>
      <c r="X3841" s="5">
        <f>(T3841-W3841)/T3841</f>
        <v>1</v>
      </c>
      <c r="Z3841" s="2" t="s">
        <v>119</v>
      </c>
      <c r="AA3841" s="2" t="s">
        <v>3380</v>
      </c>
      <c r="AF3841" s="2">
        <f t="shared" si="561"/>
        <v>0</v>
      </c>
      <c r="AJ3841" s="2">
        <f t="shared" si="562"/>
        <v>0</v>
      </c>
      <c r="AK3841" s="2">
        <f t="shared" si="571"/>
        <v>72.37</v>
      </c>
      <c r="AL3841" s="5">
        <f t="shared" si="572"/>
        <v>1</v>
      </c>
    </row>
    <row r="3842" spans="1:38" x14ac:dyDescent="0.2">
      <c r="A3842" s="2">
        <v>2026</v>
      </c>
      <c r="B3842" s="2">
        <v>4</v>
      </c>
      <c r="D3842" s="2" t="s">
        <v>382</v>
      </c>
      <c r="E3842" s="2" t="s">
        <v>38</v>
      </c>
      <c r="F3842" s="2" t="s">
        <v>39</v>
      </c>
      <c r="G3842" s="2">
        <v>212196260</v>
      </c>
      <c r="H3842" s="2" t="s">
        <v>109</v>
      </c>
      <c r="I3842" s="2" t="s">
        <v>383</v>
      </c>
      <c r="J3842" s="2" t="s">
        <v>384</v>
      </c>
      <c r="K3842" s="2">
        <v>926769894</v>
      </c>
      <c r="L3842" s="2" t="s">
        <v>112</v>
      </c>
      <c r="M3842" s="2" t="s">
        <v>109</v>
      </c>
      <c r="O3842" s="2" t="s">
        <v>2912</v>
      </c>
      <c r="P3842" s="2" t="s">
        <v>40</v>
      </c>
      <c r="Q3842" s="2" t="s">
        <v>363</v>
      </c>
      <c r="R3842" s="2" t="s">
        <v>364</v>
      </c>
      <c r="S3842" s="2">
        <v>38</v>
      </c>
      <c r="T3842" s="2">
        <v>286.36</v>
      </c>
      <c r="U3842" s="2">
        <v>65.862800000000007</v>
      </c>
      <c r="V3842" s="2">
        <v>352.22280000000001</v>
      </c>
      <c r="X3842" s="5">
        <f>(T3842-W3842)/T3842</f>
        <v>1</v>
      </c>
      <c r="Z3842" s="2" t="s">
        <v>3227</v>
      </c>
      <c r="AA3842" s="2" t="s">
        <v>119</v>
      </c>
      <c r="AF3842" s="2">
        <f t="shared" ref="AF3842:AF3905" si="573">AJ3842</f>
        <v>0</v>
      </c>
      <c r="AJ3842" s="2">
        <f t="shared" ref="AJ3842:AJ3905" si="574">AI3842*T3842</f>
        <v>0</v>
      </c>
      <c r="AK3842" s="2">
        <f t="shared" si="571"/>
        <v>286.36</v>
      </c>
      <c r="AL3842" s="5">
        <f t="shared" si="572"/>
        <v>1</v>
      </c>
    </row>
    <row r="3843" spans="1:38" x14ac:dyDescent="0.2">
      <c r="A3843" s="2">
        <v>2026</v>
      </c>
      <c r="B3843" s="2">
        <v>4</v>
      </c>
      <c r="D3843" s="2" t="s">
        <v>2908</v>
      </c>
      <c r="P3843" s="2" t="s">
        <v>40</v>
      </c>
      <c r="Q3843" s="2" t="s">
        <v>363</v>
      </c>
      <c r="R3843" s="2" t="s">
        <v>364</v>
      </c>
      <c r="S3843" s="2">
        <v>1</v>
      </c>
      <c r="T3843" s="2">
        <v>75.25</v>
      </c>
      <c r="U3843" s="2">
        <v>17.307500000000001</v>
      </c>
      <c r="V3843" s="2">
        <v>92.557500000000005</v>
      </c>
      <c r="X3843" s="5">
        <f>(T3843-W3843)/T3843</f>
        <v>1</v>
      </c>
      <c r="Z3843" s="2" t="s">
        <v>119</v>
      </c>
      <c r="AA3843" s="2" t="s">
        <v>3380</v>
      </c>
      <c r="AF3843" s="2">
        <f t="shared" si="573"/>
        <v>0</v>
      </c>
      <c r="AJ3843" s="2">
        <f t="shared" si="574"/>
        <v>0</v>
      </c>
      <c r="AK3843" s="2">
        <f t="shared" si="571"/>
        <v>75.25</v>
      </c>
      <c r="AL3843" s="5">
        <f t="shared" si="572"/>
        <v>1</v>
      </c>
    </row>
    <row r="3844" spans="1:38" x14ac:dyDescent="0.2">
      <c r="A3844" s="2">
        <v>2026</v>
      </c>
      <c r="B3844" s="2">
        <v>5</v>
      </c>
      <c r="C3844" s="2" t="s">
        <v>3370</v>
      </c>
      <c r="D3844" s="2" t="s">
        <v>37</v>
      </c>
      <c r="E3844" s="2" t="s">
        <v>38</v>
      </c>
      <c r="F3844" s="2" t="s">
        <v>39</v>
      </c>
      <c r="L3844" s="2" t="s">
        <v>133</v>
      </c>
      <c r="M3844" s="2" t="s">
        <v>80</v>
      </c>
      <c r="P3844" s="2" t="s">
        <v>152</v>
      </c>
      <c r="Q3844" s="2" t="s">
        <v>1940</v>
      </c>
      <c r="R3844" s="2" t="s">
        <v>1941</v>
      </c>
      <c r="S3844" s="2">
        <v>4</v>
      </c>
      <c r="T3844" s="2">
        <v>20</v>
      </c>
      <c r="U3844" s="2">
        <v>4.6000000000000014</v>
      </c>
      <c r="V3844" s="2">
        <v>24.6</v>
      </c>
      <c r="W3844" s="2">
        <f>2.9*S3844</f>
        <v>11.6</v>
      </c>
      <c r="X3844" s="5">
        <f>(T3844-W3844)/T3844</f>
        <v>0.42000000000000004</v>
      </c>
      <c r="Z3844" s="2" t="s">
        <v>3227</v>
      </c>
      <c r="AA3844" s="2" t="s">
        <v>155</v>
      </c>
      <c r="AB3844" s="2" t="s">
        <v>1941</v>
      </c>
      <c r="AC3844" s="2" t="s">
        <v>152</v>
      </c>
      <c r="AF3844" s="2">
        <f t="shared" si="573"/>
        <v>0</v>
      </c>
      <c r="AJ3844" s="2">
        <f t="shared" si="574"/>
        <v>0</v>
      </c>
      <c r="AK3844" s="2">
        <f t="shared" si="571"/>
        <v>8.4</v>
      </c>
      <c r="AL3844" s="5">
        <f t="shared" si="572"/>
        <v>0.42000000000000004</v>
      </c>
    </row>
    <row r="3845" spans="1:38" x14ac:dyDescent="0.2">
      <c r="A3845" s="2">
        <v>2026</v>
      </c>
      <c r="B3845" s="2">
        <v>5</v>
      </c>
      <c r="D3845" s="2" t="s">
        <v>37</v>
      </c>
      <c r="E3845" s="2" t="s">
        <v>38</v>
      </c>
      <c r="F3845" s="2" t="s">
        <v>39</v>
      </c>
      <c r="H3845" s="2" t="s">
        <v>40</v>
      </c>
      <c r="P3845" s="2" t="s">
        <v>43</v>
      </c>
      <c r="Q3845" s="2" t="s">
        <v>48</v>
      </c>
      <c r="R3845" s="2" t="s">
        <v>49</v>
      </c>
      <c r="S3845" s="2">
        <v>1</v>
      </c>
      <c r="T3845" s="2">
        <v>0</v>
      </c>
      <c r="U3845" s="2">
        <v>0</v>
      </c>
      <c r="V3845" s="2">
        <v>0</v>
      </c>
      <c r="W3845" s="2">
        <f>6.6267*S3845</f>
        <v>6.6266999999999996</v>
      </c>
      <c r="X3845" s="18">
        <f>IF(T3845=0,IF(W3845&gt;0,-100%,0%),(T3845-W3845)/T3845)</f>
        <v>-1</v>
      </c>
      <c r="Z3845" s="2" t="s">
        <v>3227</v>
      </c>
      <c r="AA3845" s="2" t="s">
        <v>46</v>
      </c>
      <c r="AB3845" s="2" t="s">
        <v>47</v>
      </c>
      <c r="AC3845" s="2" t="s">
        <v>57</v>
      </c>
      <c r="AF3845" s="2">
        <f t="shared" si="573"/>
        <v>0</v>
      </c>
      <c r="AG3845" s="2">
        <v>6.6266999999999996</v>
      </c>
      <c r="AH3845" s="2">
        <v>12</v>
      </c>
      <c r="AJ3845" s="2">
        <f t="shared" si="574"/>
        <v>0</v>
      </c>
      <c r="AK3845" s="2">
        <f t="shared" si="571"/>
        <v>-6.6266999999999996</v>
      </c>
      <c r="AL3845" s="18">
        <f>IF(T3845=0,IF(W3845&gt;0,-100%,0%),(T3845-W3845)/T3845)</f>
        <v>-1</v>
      </c>
    </row>
    <row r="3846" spans="1:38" x14ac:dyDescent="0.2">
      <c r="A3846" s="2">
        <v>2026</v>
      </c>
      <c r="B3846" s="2">
        <v>5</v>
      </c>
      <c r="D3846" s="2" t="s">
        <v>37</v>
      </c>
      <c r="E3846" s="2" t="s">
        <v>38</v>
      </c>
      <c r="F3846" s="2" t="s">
        <v>39</v>
      </c>
      <c r="H3846" s="2" t="s">
        <v>40</v>
      </c>
      <c r="P3846" s="2" t="s">
        <v>43</v>
      </c>
      <c r="Q3846" s="2" t="s">
        <v>54</v>
      </c>
      <c r="R3846" s="2" t="s">
        <v>55</v>
      </c>
      <c r="S3846" s="2">
        <v>5</v>
      </c>
      <c r="T3846" s="2">
        <v>70.5</v>
      </c>
      <c r="U3846" s="2">
        <v>16.215</v>
      </c>
      <c r="V3846" s="2">
        <v>86.715000000000003</v>
      </c>
      <c r="W3846" s="2">
        <f>10.6*S3846</f>
        <v>53</v>
      </c>
      <c r="X3846" s="5">
        <f t="shared" ref="X3846:X3877" si="575">(T3846-W3846)/T3846</f>
        <v>0.24822695035460993</v>
      </c>
      <c r="Z3846" s="2" t="s">
        <v>3227</v>
      </c>
      <c r="AA3846" s="2" t="s">
        <v>46</v>
      </c>
      <c r="AB3846" s="2" t="s">
        <v>56</v>
      </c>
      <c r="AC3846" s="2" t="s">
        <v>57</v>
      </c>
      <c r="AF3846" s="2">
        <f t="shared" si="573"/>
        <v>0</v>
      </c>
      <c r="AG3846" s="2">
        <v>10.6</v>
      </c>
      <c r="AH3846" s="2">
        <v>18</v>
      </c>
      <c r="AJ3846" s="2">
        <f t="shared" si="574"/>
        <v>0</v>
      </c>
      <c r="AK3846" s="2">
        <f t="shared" si="571"/>
        <v>17.5</v>
      </c>
      <c r="AL3846" s="5">
        <f t="shared" ref="AL3846:AL3877" si="576">(T3846-W3846)/T3846</f>
        <v>0.24822695035460993</v>
      </c>
    </row>
    <row r="3847" spans="1:38" x14ac:dyDescent="0.2">
      <c r="A3847" s="2">
        <v>2026</v>
      </c>
      <c r="B3847" s="2">
        <v>5</v>
      </c>
      <c r="D3847" s="2" t="s">
        <v>37</v>
      </c>
      <c r="E3847" s="2" t="s">
        <v>38</v>
      </c>
      <c r="F3847" s="2" t="s">
        <v>39</v>
      </c>
      <c r="H3847" s="2" t="s">
        <v>40</v>
      </c>
      <c r="P3847" s="2" t="s">
        <v>43</v>
      </c>
      <c r="Q3847" s="2" t="s">
        <v>61</v>
      </c>
      <c r="R3847" s="2" t="s">
        <v>62</v>
      </c>
      <c r="S3847" s="2">
        <v>400</v>
      </c>
      <c r="T3847" s="2">
        <v>47</v>
      </c>
      <c r="U3847" s="2">
        <v>10.81</v>
      </c>
      <c r="V3847" s="2">
        <v>57.81</v>
      </c>
      <c r="W3847" s="2">
        <f>0.082*S3847</f>
        <v>32.800000000000004</v>
      </c>
      <c r="X3847" s="5">
        <f t="shared" si="575"/>
        <v>0.30212765957446802</v>
      </c>
      <c r="Z3847" s="2" t="s">
        <v>3227</v>
      </c>
      <c r="AA3847" s="2" t="s">
        <v>46</v>
      </c>
      <c r="AB3847" s="2" t="s">
        <v>60</v>
      </c>
      <c r="AC3847" s="2" t="s">
        <v>57</v>
      </c>
      <c r="AF3847" s="2">
        <f t="shared" si="573"/>
        <v>0</v>
      </c>
      <c r="AG3847" s="2">
        <v>8.1999999999999993</v>
      </c>
      <c r="AH3847" s="2">
        <v>13</v>
      </c>
      <c r="AJ3847" s="2">
        <f t="shared" si="574"/>
        <v>0</v>
      </c>
      <c r="AK3847" s="2">
        <f t="shared" si="571"/>
        <v>14.199999999999996</v>
      </c>
      <c r="AL3847" s="5">
        <f t="shared" si="576"/>
        <v>0.30212765957446802</v>
      </c>
    </row>
    <row r="3848" spans="1:38" x14ac:dyDescent="0.2">
      <c r="A3848" s="2">
        <v>2026</v>
      </c>
      <c r="B3848" s="2">
        <v>5</v>
      </c>
      <c r="D3848" s="2" t="s">
        <v>37</v>
      </c>
      <c r="E3848" s="2" t="s">
        <v>38</v>
      </c>
      <c r="F3848" s="2" t="s">
        <v>39</v>
      </c>
      <c r="H3848" s="2" t="s">
        <v>40</v>
      </c>
      <c r="P3848" s="2" t="s">
        <v>43</v>
      </c>
      <c r="Q3848" s="2" t="s">
        <v>63</v>
      </c>
      <c r="R3848" s="2" t="s">
        <v>64</v>
      </c>
      <c r="S3848" s="2">
        <v>20</v>
      </c>
      <c r="T3848" s="2">
        <v>36</v>
      </c>
      <c r="U3848" s="2">
        <v>8.2800000000000011</v>
      </c>
      <c r="V3848" s="2">
        <v>44.28</v>
      </c>
      <c r="W3848" s="2">
        <f>0.8561*S3848</f>
        <v>17.122</v>
      </c>
      <c r="X3848" s="5">
        <f t="shared" si="575"/>
        <v>0.5243888888888889</v>
      </c>
      <c r="Z3848" s="2" t="s">
        <v>3227</v>
      </c>
      <c r="AA3848" s="2" t="s">
        <v>46</v>
      </c>
      <c r="AB3848" s="2" t="s">
        <v>60</v>
      </c>
      <c r="AC3848" s="2" t="s">
        <v>57</v>
      </c>
      <c r="AF3848" s="2">
        <f t="shared" si="573"/>
        <v>0</v>
      </c>
      <c r="AG3848" s="2">
        <v>0.85609999999999997</v>
      </c>
      <c r="AH3848" s="2">
        <v>1.8</v>
      </c>
      <c r="AJ3848" s="2">
        <f t="shared" si="574"/>
        <v>0</v>
      </c>
      <c r="AK3848" s="2">
        <f t="shared" si="571"/>
        <v>18.878</v>
      </c>
      <c r="AL3848" s="5">
        <f t="shared" si="576"/>
        <v>0.5243888888888889</v>
      </c>
    </row>
    <row r="3849" spans="1:38" x14ac:dyDescent="0.2">
      <c r="A3849" s="2">
        <v>2026</v>
      </c>
      <c r="B3849" s="2">
        <v>5</v>
      </c>
      <c r="D3849" s="2" t="s">
        <v>37</v>
      </c>
      <c r="E3849" s="2" t="s">
        <v>38</v>
      </c>
      <c r="F3849" s="2" t="s">
        <v>39</v>
      </c>
      <c r="H3849" s="2" t="s">
        <v>40</v>
      </c>
      <c r="P3849" s="2" t="s">
        <v>43</v>
      </c>
      <c r="Q3849" s="2" t="s">
        <v>334</v>
      </c>
      <c r="R3849" s="2" t="s">
        <v>335</v>
      </c>
      <c r="S3849" s="2">
        <v>17</v>
      </c>
      <c r="T3849" s="2">
        <v>51</v>
      </c>
      <c r="U3849" s="2">
        <v>11.73</v>
      </c>
      <c r="V3849" s="2">
        <v>62.73</v>
      </c>
      <c r="W3849" s="2">
        <f>1.1122*S3849</f>
        <v>18.907400000000003</v>
      </c>
      <c r="X3849" s="5">
        <f t="shared" si="575"/>
        <v>0.62926666666666664</v>
      </c>
      <c r="Z3849" s="2" t="s">
        <v>3227</v>
      </c>
      <c r="AA3849" s="2" t="s">
        <v>46</v>
      </c>
      <c r="AB3849" s="2" t="s">
        <v>60</v>
      </c>
      <c r="AC3849" s="2" t="s">
        <v>57</v>
      </c>
      <c r="AF3849" s="2">
        <f t="shared" si="573"/>
        <v>0</v>
      </c>
      <c r="AG3849" s="2">
        <v>1.1122000000000001</v>
      </c>
      <c r="AH3849" s="2">
        <v>3</v>
      </c>
      <c r="AJ3849" s="2">
        <f t="shared" si="574"/>
        <v>0</v>
      </c>
      <c r="AK3849" s="2">
        <f t="shared" si="571"/>
        <v>32.092599999999997</v>
      </c>
      <c r="AL3849" s="5">
        <f t="shared" si="576"/>
        <v>0.62926666666666664</v>
      </c>
    </row>
    <row r="3850" spans="1:38" x14ac:dyDescent="0.2">
      <c r="A3850" s="2">
        <v>2026</v>
      </c>
      <c r="B3850" s="2">
        <v>5</v>
      </c>
      <c r="D3850" s="2" t="s">
        <v>37</v>
      </c>
      <c r="E3850" s="2" t="s">
        <v>38</v>
      </c>
      <c r="F3850" s="2" t="s">
        <v>39</v>
      </c>
      <c r="H3850" s="2" t="s">
        <v>40</v>
      </c>
      <c r="P3850" s="2" t="s">
        <v>43</v>
      </c>
      <c r="Q3850" s="2" t="s">
        <v>65</v>
      </c>
      <c r="R3850" s="2" t="s">
        <v>66</v>
      </c>
      <c r="S3850" s="2">
        <v>4</v>
      </c>
      <c r="T3850" s="2">
        <v>93</v>
      </c>
      <c r="U3850" s="2">
        <v>21.39</v>
      </c>
      <c r="V3850" s="2">
        <v>114.39</v>
      </c>
      <c r="W3850" s="2">
        <f>15.0203*S3850</f>
        <v>60.081200000000003</v>
      </c>
      <c r="X3850" s="5">
        <f t="shared" si="575"/>
        <v>0.35396559139784944</v>
      </c>
      <c r="Z3850" s="2" t="s">
        <v>3227</v>
      </c>
      <c r="AA3850" s="2" t="s">
        <v>46</v>
      </c>
      <c r="AB3850" s="2" t="s">
        <v>67</v>
      </c>
      <c r="AC3850" s="2" t="s">
        <v>57</v>
      </c>
      <c r="AF3850" s="2">
        <f t="shared" si="573"/>
        <v>0</v>
      </c>
      <c r="AG3850" s="2">
        <v>15.020300000000001</v>
      </c>
      <c r="AH3850" s="2">
        <v>27.6</v>
      </c>
      <c r="AJ3850" s="2">
        <f t="shared" si="574"/>
        <v>0</v>
      </c>
      <c r="AK3850" s="2">
        <f t="shared" si="571"/>
        <v>32.918799999999997</v>
      </c>
      <c r="AL3850" s="5">
        <f t="shared" si="576"/>
        <v>0.35396559139784944</v>
      </c>
    </row>
    <row r="3851" spans="1:38" x14ac:dyDescent="0.2">
      <c r="A3851" s="2">
        <v>2026</v>
      </c>
      <c r="B3851" s="2">
        <v>5</v>
      </c>
      <c r="D3851" s="2" t="s">
        <v>37</v>
      </c>
      <c r="E3851" s="2" t="s">
        <v>38</v>
      </c>
      <c r="F3851" s="2" t="s">
        <v>39</v>
      </c>
      <c r="H3851" s="2" t="s">
        <v>40</v>
      </c>
      <c r="M3851" s="2" t="s">
        <v>80</v>
      </c>
      <c r="O3851" s="2" t="s">
        <v>2913</v>
      </c>
      <c r="P3851" s="2" t="s">
        <v>72</v>
      </c>
      <c r="Q3851" s="2" t="s">
        <v>912</v>
      </c>
      <c r="R3851" s="2" t="s">
        <v>74</v>
      </c>
      <c r="S3851" s="2">
        <v>1</v>
      </c>
      <c r="T3851" s="2">
        <v>234.29</v>
      </c>
      <c r="U3851" s="2">
        <v>53.886699999999998</v>
      </c>
      <c r="V3851" s="2">
        <v>288.17669999999998</v>
      </c>
      <c r="W3851" s="2">
        <f>115.92+6.06</f>
        <v>121.98</v>
      </c>
      <c r="X3851" s="5">
        <f t="shared" si="575"/>
        <v>0.47936318238081005</v>
      </c>
      <c r="Z3851" s="2" t="s">
        <v>3227</v>
      </c>
      <c r="AA3851" s="2" t="s">
        <v>75</v>
      </c>
      <c r="AB3851" s="2" t="s">
        <v>76</v>
      </c>
      <c r="AC3851" s="2" t="s">
        <v>77</v>
      </c>
      <c r="AF3851" s="2">
        <f t="shared" si="573"/>
        <v>0</v>
      </c>
      <c r="AJ3851" s="2">
        <f t="shared" si="574"/>
        <v>0</v>
      </c>
      <c r="AK3851" s="2">
        <f t="shared" si="571"/>
        <v>112.30999999999999</v>
      </c>
      <c r="AL3851" s="5">
        <f t="shared" si="576"/>
        <v>0.47936318238081005</v>
      </c>
    </row>
    <row r="3852" spans="1:38" x14ac:dyDescent="0.2">
      <c r="A3852" s="2">
        <v>2026</v>
      </c>
      <c r="B3852" s="2">
        <v>5</v>
      </c>
      <c r="D3852" s="2" t="s">
        <v>37</v>
      </c>
      <c r="E3852" s="2" t="s">
        <v>38</v>
      </c>
      <c r="F3852" s="2" t="s">
        <v>39</v>
      </c>
      <c r="H3852" s="2" t="s">
        <v>40</v>
      </c>
      <c r="M3852" s="2" t="s">
        <v>80</v>
      </c>
      <c r="O3852" s="2" t="s">
        <v>2914</v>
      </c>
      <c r="P3852" s="2" t="s">
        <v>72</v>
      </c>
      <c r="Q3852" s="2" t="s">
        <v>664</v>
      </c>
      <c r="R3852" s="2" t="s">
        <v>79</v>
      </c>
      <c r="S3852" s="2">
        <v>1</v>
      </c>
      <c r="T3852" s="2">
        <v>234.29</v>
      </c>
      <c r="U3852" s="2">
        <v>53.886699999999998</v>
      </c>
      <c r="V3852" s="2">
        <v>288.17669999999998</v>
      </c>
      <c r="W3852" s="2">
        <f>113.905+11.25</f>
        <v>125.155</v>
      </c>
      <c r="X3852" s="5">
        <f t="shared" si="575"/>
        <v>0.46581160100729863</v>
      </c>
      <c r="Z3852" s="2" t="s">
        <v>3227</v>
      </c>
      <c r="AA3852" s="2" t="s">
        <v>75</v>
      </c>
      <c r="AB3852" s="2" t="s">
        <v>76</v>
      </c>
      <c r="AC3852" s="2" t="s">
        <v>77</v>
      </c>
      <c r="AF3852" s="2">
        <f t="shared" si="573"/>
        <v>0</v>
      </c>
      <c r="AJ3852" s="2">
        <f t="shared" si="574"/>
        <v>0</v>
      </c>
      <c r="AK3852" s="2">
        <f t="shared" si="571"/>
        <v>109.13499999999999</v>
      </c>
      <c r="AL3852" s="5">
        <f t="shared" si="576"/>
        <v>0.46581160100729863</v>
      </c>
    </row>
    <row r="3853" spans="1:38" x14ac:dyDescent="0.2">
      <c r="A3853" s="2">
        <v>2026</v>
      </c>
      <c r="B3853" s="2">
        <v>5</v>
      </c>
      <c r="D3853" s="2" t="s">
        <v>37</v>
      </c>
      <c r="E3853" s="2" t="s">
        <v>38</v>
      </c>
      <c r="F3853" s="2" t="s">
        <v>39</v>
      </c>
      <c r="H3853" s="2" t="s">
        <v>40</v>
      </c>
      <c r="M3853" s="2" t="s">
        <v>80</v>
      </c>
      <c r="O3853" s="2" t="s">
        <v>2915</v>
      </c>
      <c r="P3853" s="2" t="s">
        <v>72</v>
      </c>
      <c r="Q3853" s="2" t="s">
        <v>1449</v>
      </c>
      <c r="R3853" s="2" t="s">
        <v>307</v>
      </c>
      <c r="S3853" s="2">
        <v>1</v>
      </c>
      <c r="T3853" s="2">
        <v>140</v>
      </c>
      <c r="U3853" s="2">
        <v>32.200000000000003</v>
      </c>
      <c r="V3853" s="2">
        <v>172.2</v>
      </c>
      <c r="W3853" s="2">
        <v>122.446</v>
      </c>
      <c r="X3853" s="5">
        <f t="shared" si="575"/>
        <v>0.12538571428571429</v>
      </c>
      <c r="Z3853" s="2" t="s">
        <v>3227</v>
      </c>
      <c r="AA3853" s="2" t="s">
        <v>75</v>
      </c>
      <c r="AB3853" s="2" t="s">
        <v>76</v>
      </c>
      <c r="AC3853" s="2" t="s">
        <v>77</v>
      </c>
      <c r="AF3853" s="2">
        <f t="shared" si="573"/>
        <v>0</v>
      </c>
      <c r="AG3853" s="2">
        <v>122.446</v>
      </c>
      <c r="AH3853" s="2">
        <v>230</v>
      </c>
      <c r="AJ3853" s="2">
        <f t="shared" si="574"/>
        <v>0</v>
      </c>
      <c r="AK3853" s="2">
        <f t="shared" si="571"/>
        <v>17.554000000000002</v>
      </c>
      <c r="AL3853" s="5">
        <f t="shared" si="576"/>
        <v>0.12538571428571429</v>
      </c>
    </row>
    <row r="3854" spans="1:38" x14ac:dyDescent="0.2">
      <c r="A3854" s="2">
        <v>2026</v>
      </c>
      <c r="B3854" s="2">
        <v>5</v>
      </c>
      <c r="D3854" s="2" t="s">
        <v>37</v>
      </c>
      <c r="E3854" s="2" t="s">
        <v>38</v>
      </c>
      <c r="F3854" s="2" t="s">
        <v>39</v>
      </c>
      <c r="H3854" s="2" t="s">
        <v>40</v>
      </c>
      <c r="P3854" s="2" t="s">
        <v>1378</v>
      </c>
      <c r="Q3854" s="2" t="s">
        <v>2916</v>
      </c>
      <c r="R3854" s="2" t="s">
        <v>2917</v>
      </c>
      <c r="S3854" s="2">
        <v>4</v>
      </c>
      <c r="T3854" s="2">
        <v>479.67</v>
      </c>
      <c r="U3854" s="2">
        <v>110.3241</v>
      </c>
      <c r="V3854" s="2">
        <v>589.9941</v>
      </c>
      <c r="X3854" s="5">
        <f t="shared" si="575"/>
        <v>1</v>
      </c>
      <c r="Z3854" s="2" t="s">
        <v>3227</v>
      </c>
      <c r="AA3854" s="2" t="s">
        <v>1041</v>
      </c>
      <c r="AB3854" s="2" t="s">
        <v>1270</v>
      </c>
      <c r="AC3854" s="2" t="s">
        <v>1378</v>
      </c>
      <c r="AF3854" s="2">
        <f t="shared" si="573"/>
        <v>0</v>
      </c>
      <c r="AJ3854" s="2">
        <f t="shared" si="574"/>
        <v>0</v>
      </c>
      <c r="AK3854" s="2">
        <f t="shared" si="571"/>
        <v>479.67</v>
      </c>
      <c r="AL3854" s="5">
        <f t="shared" si="576"/>
        <v>1</v>
      </c>
    </row>
    <row r="3855" spans="1:38" x14ac:dyDescent="0.2">
      <c r="A3855" s="2">
        <v>2026</v>
      </c>
      <c r="B3855" s="2">
        <v>5</v>
      </c>
      <c r="D3855" s="2" t="s">
        <v>37</v>
      </c>
      <c r="E3855" s="2" t="s">
        <v>38</v>
      </c>
      <c r="F3855" s="2" t="s">
        <v>39</v>
      </c>
      <c r="H3855" s="2" t="s">
        <v>40</v>
      </c>
      <c r="M3855" s="2" t="s">
        <v>80</v>
      </c>
      <c r="O3855" s="2" t="s">
        <v>2918</v>
      </c>
      <c r="P3855" s="2" t="s">
        <v>93</v>
      </c>
      <c r="Q3855" s="2" t="s">
        <v>94</v>
      </c>
      <c r="R3855" s="2" t="s">
        <v>95</v>
      </c>
      <c r="S3855" s="2">
        <v>3</v>
      </c>
      <c r="T3855" s="2">
        <v>4.4400000000000004</v>
      </c>
      <c r="U3855" s="2">
        <v>1.0212000000000001</v>
      </c>
      <c r="V3855" s="2">
        <v>5.4612000000000007</v>
      </c>
      <c r="W3855" s="2">
        <f>1.48*S3855</f>
        <v>4.4399999999999995</v>
      </c>
      <c r="X3855" s="5">
        <f t="shared" si="575"/>
        <v>2.000401846171453E-16</v>
      </c>
      <c r="Z3855" s="2" t="s">
        <v>3227</v>
      </c>
      <c r="AA3855" s="2" t="s">
        <v>96</v>
      </c>
      <c r="AB3855" s="2" t="s">
        <v>76</v>
      </c>
      <c r="AC3855" s="2" t="s">
        <v>93</v>
      </c>
      <c r="AF3855" s="2">
        <f t="shared" si="573"/>
        <v>0</v>
      </c>
      <c r="AJ3855" s="2">
        <f t="shared" si="574"/>
        <v>0</v>
      </c>
      <c r="AK3855" s="2">
        <f t="shared" si="571"/>
        <v>0</v>
      </c>
      <c r="AL3855" s="5">
        <f t="shared" si="576"/>
        <v>2.000401846171453E-16</v>
      </c>
    </row>
    <row r="3856" spans="1:38" x14ac:dyDescent="0.2">
      <c r="A3856" s="2">
        <v>2026</v>
      </c>
      <c r="B3856" s="2">
        <v>5</v>
      </c>
      <c r="D3856" s="2" t="s">
        <v>37</v>
      </c>
      <c r="E3856" s="2" t="s">
        <v>38</v>
      </c>
      <c r="F3856" s="2" t="s">
        <v>39</v>
      </c>
      <c r="H3856" s="2" t="s">
        <v>40</v>
      </c>
      <c r="M3856" s="2" t="s">
        <v>40</v>
      </c>
      <c r="P3856" s="2" t="s">
        <v>40</v>
      </c>
      <c r="Q3856" s="2" t="s">
        <v>2919</v>
      </c>
      <c r="R3856" s="2" t="s">
        <v>2920</v>
      </c>
      <c r="S3856" s="2">
        <v>1</v>
      </c>
      <c r="T3856" s="2">
        <v>200</v>
      </c>
      <c r="U3856" s="2">
        <v>46</v>
      </c>
      <c r="V3856" s="2">
        <v>246</v>
      </c>
      <c r="X3856" s="5">
        <f t="shared" si="575"/>
        <v>1</v>
      </c>
      <c r="Z3856" s="2" t="s">
        <v>119</v>
      </c>
      <c r="AA3856" s="2" t="s">
        <v>2921</v>
      </c>
      <c r="AF3856" s="2">
        <f t="shared" si="573"/>
        <v>0</v>
      </c>
      <c r="AJ3856" s="2">
        <f t="shared" si="574"/>
        <v>0</v>
      </c>
      <c r="AK3856" s="2">
        <f t="shared" si="571"/>
        <v>200</v>
      </c>
      <c r="AL3856" s="5">
        <f t="shared" si="576"/>
        <v>1</v>
      </c>
    </row>
    <row r="3857" spans="1:38" x14ac:dyDescent="0.2">
      <c r="A3857" s="2">
        <v>2026</v>
      </c>
      <c r="B3857" s="2">
        <v>5</v>
      </c>
      <c r="D3857" s="2" t="s">
        <v>1324</v>
      </c>
      <c r="P3857" s="2" t="s">
        <v>43</v>
      </c>
      <c r="Q3857" s="2" t="s">
        <v>54</v>
      </c>
      <c r="R3857" s="2" t="s">
        <v>55</v>
      </c>
      <c r="S3857" s="2">
        <v>2</v>
      </c>
      <c r="T3857" s="2">
        <v>36</v>
      </c>
      <c r="U3857" s="2">
        <v>8.2800000000000011</v>
      </c>
      <c r="V3857" s="2">
        <v>44.28</v>
      </c>
      <c r="W3857" s="2">
        <f>10.6*S3857</f>
        <v>21.2</v>
      </c>
      <c r="X3857" s="5">
        <f t="shared" si="575"/>
        <v>0.41111111111111115</v>
      </c>
      <c r="Z3857" s="2" t="s">
        <v>3227</v>
      </c>
      <c r="AA3857" s="2" t="s">
        <v>46</v>
      </c>
      <c r="AB3857" s="2" t="s">
        <v>56</v>
      </c>
      <c r="AC3857" s="2" t="s">
        <v>57</v>
      </c>
      <c r="AF3857" s="2">
        <f t="shared" si="573"/>
        <v>0</v>
      </c>
      <c r="AG3857" s="2">
        <v>10.6</v>
      </c>
      <c r="AH3857" s="2">
        <v>18</v>
      </c>
      <c r="AJ3857" s="2">
        <f t="shared" si="574"/>
        <v>0</v>
      </c>
      <c r="AK3857" s="2">
        <f t="shared" si="571"/>
        <v>14.8</v>
      </c>
      <c r="AL3857" s="5">
        <f t="shared" si="576"/>
        <v>0.41111111111111115</v>
      </c>
    </row>
    <row r="3858" spans="1:38" x14ac:dyDescent="0.2">
      <c r="A3858" s="2">
        <v>2026</v>
      </c>
      <c r="B3858" s="2">
        <v>5</v>
      </c>
      <c r="C3858" s="2" t="s">
        <v>3370</v>
      </c>
      <c r="D3858" s="2" t="s">
        <v>1324</v>
      </c>
      <c r="E3858" s="2" t="s">
        <v>38</v>
      </c>
      <c r="F3858" s="2" t="s">
        <v>39</v>
      </c>
      <c r="H3858" s="2" t="s">
        <v>41</v>
      </c>
      <c r="I3858" s="2" t="s">
        <v>3369</v>
      </c>
      <c r="L3858" s="2" t="s">
        <v>600</v>
      </c>
      <c r="M3858" s="2" t="s">
        <v>41</v>
      </c>
      <c r="P3858" s="2" t="s">
        <v>43</v>
      </c>
      <c r="Q3858" s="2" t="s">
        <v>250</v>
      </c>
      <c r="R3858" s="2" t="s">
        <v>251</v>
      </c>
      <c r="S3858" s="2">
        <v>1</v>
      </c>
      <c r="T3858" s="2">
        <v>60</v>
      </c>
      <c r="U3858" s="2">
        <v>13.8</v>
      </c>
      <c r="V3858" s="2">
        <v>73.8</v>
      </c>
      <c r="W3858" s="2">
        <f>25.0958*S3858</f>
        <v>25.095800000000001</v>
      </c>
      <c r="X3858" s="5">
        <f t="shared" si="575"/>
        <v>0.58173666666666668</v>
      </c>
      <c r="Z3858" s="2" t="s">
        <v>3227</v>
      </c>
      <c r="AA3858" s="2" t="s">
        <v>46</v>
      </c>
      <c r="AB3858" s="2" t="s">
        <v>90</v>
      </c>
      <c r="AC3858" s="2" t="s">
        <v>57</v>
      </c>
      <c r="AF3858" s="2">
        <f t="shared" si="573"/>
        <v>0</v>
      </c>
      <c r="AJ3858" s="2">
        <f t="shared" si="574"/>
        <v>0</v>
      </c>
      <c r="AK3858" s="2">
        <f t="shared" si="571"/>
        <v>34.904200000000003</v>
      </c>
      <c r="AL3858" s="5">
        <f t="shared" si="576"/>
        <v>0.58173666666666668</v>
      </c>
    </row>
    <row r="3859" spans="1:38" x14ac:dyDescent="0.2">
      <c r="A3859" s="2">
        <v>2026</v>
      </c>
      <c r="B3859" s="2">
        <v>5</v>
      </c>
      <c r="D3859" s="2" t="s">
        <v>1145</v>
      </c>
      <c r="E3859" s="2" t="s">
        <v>108</v>
      </c>
      <c r="F3859" s="2" t="s">
        <v>39</v>
      </c>
      <c r="G3859" s="2">
        <v>518312798</v>
      </c>
      <c r="H3859" s="2" t="s">
        <v>41</v>
      </c>
      <c r="I3859" s="2" t="s">
        <v>1146</v>
      </c>
      <c r="J3859" s="2" t="s">
        <v>1147</v>
      </c>
      <c r="L3859" s="2" t="s">
        <v>133</v>
      </c>
      <c r="M3859" s="2" t="s">
        <v>41</v>
      </c>
      <c r="O3859" s="2" t="s">
        <v>2922</v>
      </c>
      <c r="P3859" s="2" t="s">
        <v>282</v>
      </c>
      <c r="Q3859" s="2" t="s">
        <v>2124</v>
      </c>
      <c r="R3859" s="2" t="s">
        <v>2125</v>
      </c>
      <c r="S3859" s="2">
        <v>1</v>
      </c>
      <c r="T3859" s="2">
        <v>119.9</v>
      </c>
      <c r="U3859" s="2">
        <v>27.577000000000002</v>
      </c>
      <c r="V3859" s="2">
        <v>147.477</v>
      </c>
      <c r="W3859" s="2">
        <v>73</v>
      </c>
      <c r="X3859" s="5">
        <f t="shared" si="575"/>
        <v>0.39115929941618016</v>
      </c>
      <c r="Z3859" s="2" t="s">
        <v>3227</v>
      </c>
      <c r="AA3859" s="2" t="s">
        <v>71</v>
      </c>
      <c r="AB3859" s="2" t="s">
        <v>1600</v>
      </c>
      <c r="AC3859" s="2" t="s">
        <v>1600</v>
      </c>
      <c r="AF3859" s="2">
        <f t="shared" si="573"/>
        <v>0</v>
      </c>
      <c r="AG3859" s="2">
        <v>73</v>
      </c>
      <c r="AJ3859" s="2">
        <f t="shared" si="574"/>
        <v>0</v>
      </c>
      <c r="AK3859" s="2">
        <f t="shared" si="571"/>
        <v>46.900000000000006</v>
      </c>
      <c r="AL3859" s="5">
        <f t="shared" si="576"/>
        <v>0.39115929941618016</v>
      </c>
    </row>
    <row r="3860" spans="1:38" x14ac:dyDescent="0.2">
      <c r="A3860" s="2">
        <v>2026</v>
      </c>
      <c r="B3860" s="2">
        <v>5</v>
      </c>
      <c r="D3860" s="2" t="s">
        <v>1145</v>
      </c>
      <c r="E3860" s="2" t="s">
        <v>108</v>
      </c>
      <c r="F3860" s="2" t="s">
        <v>39</v>
      </c>
      <c r="G3860" s="2">
        <v>518312798</v>
      </c>
      <c r="H3860" s="2" t="s">
        <v>41</v>
      </c>
      <c r="I3860" s="2" t="s">
        <v>1146</v>
      </c>
      <c r="J3860" s="2" t="s">
        <v>1147</v>
      </c>
      <c r="L3860" s="2" t="s">
        <v>133</v>
      </c>
      <c r="M3860" s="2" t="s">
        <v>41</v>
      </c>
      <c r="O3860" s="2" t="s">
        <v>2922</v>
      </c>
      <c r="P3860" s="2" t="s">
        <v>282</v>
      </c>
      <c r="Q3860" s="2" t="s">
        <v>798</v>
      </c>
      <c r="R3860" s="2" t="s">
        <v>799</v>
      </c>
      <c r="S3860" s="2">
        <v>1</v>
      </c>
      <c r="T3860" s="2">
        <v>27.89</v>
      </c>
      <c r="U3860" s="2">
        <v>6.4147000000000007</v>
      </c>
      <c r="V3860" s="2">
        <v>34.304699999999997</v>
      </c>
      <c r="W3860" s="2">
        <v>18.14</v>
      </c>
      <c r="X3860" s="5">
        <f t="shared" si="575"/>
        <v>0.34958766583004658</v>
      </c>
      <c r="Z3860" s="2" t="s">
        <v>3227</v>
      </c>
      <c r="AA3860" s="2" t="s">
        <v>71</v>
      </c>
      <c r="AB3860" s="2" t="s">
        <v>119</v>
      </c>
      <c r="AC3860" s="2" t="s">
        <v>119</v>
      </c>
      <c r="AF3860" s="2">
        <f t="shared" si="573"/>
        <v>0</v>
      </c>
      <c r="AG3860" s="2">
        <v>18.14</v>
      </c>
      <c r="AJ3860" s="2">
        <f t="shared" si="574"/>
        <v>0</v>
      </c>
      <c r="AK3860" s="2">
        <f t="shared" ref="AK3860:AK3891" si="577">T3860-W3860</f>
        <v>9.75</v>
      </c>
      <c r="AL3860" s="5">
        <f t="shared" si="576"/>
        <v>0.34958766583004658</v>
      </c>
    </row>
    <row r="3861" spans="1:38" x14ac:dyDescent="0.2">
      <c r="A3861" s="2">
        <v>2026</v>
      </c>
      <c r="B3861" s="2">
        <v>5</v>
      </c>
      <c r="D3861" s="2" t="s">
        <v>1145</v>
      </c>
      <c r="E3861" s="2" t="s">
        <v>108</v>
      </c>
      <c r="F3861" s="2" t="s">
        <v>39</v>
      </c>
      <c r="G3861" s="2">
        <v>518312798</v>
      </c>
      <c r="H3861" s="2" t="s">
        <v>41</v>
      </c>
      <c r="I3861" s="2" t="s">
        <v>1146</v>
      </c>
      <c r="J3861" s="2" t="s">
        <v>1147</v>
      </c>
      <c r="L3861" s="2" t="s">
        <v>133</v>
      </c>
      <c r="M3861" s="2" t="s">
        <v>41</v>
      </c>
      <c r="O3861" s="2" t="s">
        <v>2922</v>
      </c>
      <c r="P3861" s="2" t="s">
        <v>43</v>
      </c>
      <c r="Q3861" s="2" t="s">
        <v>2923</v>
      </c>
      <c r="R3861" s="2" t="s">
        <v>269</v>
      </c>
      <c r="S3861" s="2">
        <v>1</v>
      </c>
      <c r="T3861" s="2">
        <v>10.8</v>
      </c>
      <c r="U3861" s="2">
        <v>2.484</v>
      </c>
      <c r="V3861" s="2">
        <v>13.284000000000001</v>
      </c>
      <c r="W3861" s="2">
        <v>5.23</v>
      </c>
      <c r="X3861" s="5">
        <f t="shared" si="575"/>
        <v>0.51574074074074072</v>
      </c>
      <c r="Z3861" s="2" t="s">
        <v>3227</v>
      </c>
      <c r="AA3861" s="2" t="s">
        <v>46</v>
      </c>
      <c r="AB3861" s="2" t="s">
        <v>90</v>
      </c>
      <c r="AC3861" s="2" t="s">
        <v>57</v>
      </c>
      <c r="AF3861" s="2">
        <f t="shared" si="573"/>
        <v>0</v>
      </c>
      <c r="AG3861" s="2">
        <v>5.23</v>
      </c>
      <c r="AH3861" s="2">
        <v>10.8</v>
      </c>
      <c r="AJ3861" s="2">
        <f t="shared" si="574"/>
        <v>0</v>
      </c>
      <c r="AK3861" s="2">
        <f t="shared" si="577"/>
        <v>5.57</v>
      </c>
      <c r="AL3861" s="5">
        <f t="shared" si="576"/>
        <v>0.51574074074074072</v>
      </c>
    </row>
    <row r="3862" spans="1:38" x14ac:dyDescent="0.2">
      <c r="A3862" s="2">
        <v>2026</v>
      </c>
      <c r="B3862" s="2">
        <v>5</v>
      </c>
      <c r="D3862" s="2" t="s">
        <v>1145</v>
      </c>
      <c r="E3862" s="2" t="s">
        <v>108</v>
      </c>
      <c r="F3862" s="2" t="s">
        <v>39</v>
      </c>
      <c r="G3862" s="2">
        <v>518312798</v>
      </c>
      <c r="H3862" s="2" t="s">
        <v>41</v>
      </c>
      <c r="I3862" s="2" t="s">
        <v>1146</v>
      </c>
      <c r="J3862" s="2" t="s">
        <v>1147</v>
      </c>
      <c r="L3862" s="2" t="s">
        <v>133</v>
      </c>
      <c r="M3862" s="2" t="s">
        <v>41</v>
      </c>
      <c r="O3862" s="2" t="s">
        <v>2922</v>
      </c>
      <c r="P3862" s="2" t="s">
        <v>43</v>
      </c>
      <c r="Q3862" s="2" t="s">
        <v>2924</v>
      </c>
      <c r="R3862" s="2" t="s">
        <v>2925</v>
      </c>
      <c r="S3862" s="2">
        <v>4</v>
      </c>
      <c r="T3862" s="2">
        <v>14.4</v>
      </c>
      <c r="U3862" s="2">
        <v>3.3119999999999998</v>
      </c>
      <c r="V3862" s="2">
        <v>17.712</v>
      </c>
      <c r="W3862" s="2">
        <f>0.97*S3862</f>
        <v>3.88</v>
      </c>
      <c r="X3862" s="5">
        <f t="shared" si="575"/>
        <v>0.73055555555555551</v>
      </c>
      <c r="Z3862" s="2" t="s">
        <v>3227</v>
      </c>
      <c r="AA3862" s="2" t="s">
        <v>46</v>
      </c>
      <c r="AB3862" s="2" t="s">
        <v>90</v>
      </c>
      <c r="AC3862" s="2" t="s">
        <v>57</v>
      </c>
      <c r="AF3862" s="2">
        <f t="shared" si="573"/>
        <v>0</v>
      </c>
      <c r="AG3862" s="2">
        <v>0.97</v>
      </c>
      <c r="AH3862" s="2">
        <v>6</v>
      </c>
      <c r="AJ3862" s="2">
        <f t="shared" si="574"/>
        <v>0</v>
      </c>
      <c r="AK3862" s="2">
        <f t="shared" si="577"/>
        <v>10.52</v>
      </c>
      <c r="AL3862" s="5">
        <f t="shared" si="576"/>
        <v>0.73055555555555551</v>
      </c>
    </row>
    <row r="3863" spans="1:38" x14ac:dyDescent="0.2">
      <c r="A3863" s="2">
        <v>2026</v>
      </c>
      <c r="B3863" s="2">
        <v>5</v>
      </c>
      <c r="D3863" s="2" t="s">
        <v>1145</v>
      </c>
      <c r="E3863" s="2" t="s">
        <v>108</v>
      </c>
      <c r="F3863" s="2" t="s">
        <v>39</v>
      </c>
      <c r="G3863" s="2">
        <v>518312798</v>
      </c>
      <c r="H3863" s="2" t="s">
        <v>41</v>
      </c>
      <c r="I3863" s="2" t="s">
        <v>1146</v>
      </c>
      <c r="J3863" s="2" t="s">
        <v>1147</v>
      </c>
      <c r="L3863" s="2" t="s">
        <v>133</v>
      </c>
      <c r="M3863" s="2" t="s">
        <v>41</v>
      </c>
      <c r="O3863" s="2" t="s">
        <v>2922</v>
      </c>
      <c r="P3863" s="2" t="s">
        <v>43</v>
      </c>
      <c r="Q3863" s="2" t="s">
        <v>232</v>
      </c>
      <c r="R3863" s="2" t="s">
        <v>233</v>
      </c>
      <c r="S3863" s="2">
        <v>1</v>
      </c>
      <c r="T3863" s="2">
        <v>12.6</v>
      </c>
      <c r="U3863" s="2">
        <v>2.8980000000000001</v>
      </c>
      <c r="V3863" s="2">
        <v>15.497999999999999</v>
      </c>
      <c r="W3863" s="2">
        <v>5.9066999999999998</v>
      </c>
      <c r="X3863" s="5">
        <f t="shared" si="575"/>
        <v>0.53121428571428575</v>
      </c>
      <c r="Z3863" s="2" t="s">
        <v>3227</v>
      </c>
      <c r="AA3863" s="2" t="s">
        <v>46</v>
      </c>
      <c r="AB3863" s="2" t="s">
        <v>56</v>
      </c>
      <c r="AC3863" s="2" t="s">
        <v>57</v>
      </c>
      <c r="AF3863" s="2">
        <f t="shared" si="573"/>
        <v>0</v>
      </c>
      <c r="AG3863" s="2">
        <v>5.9066999999999998</v>
      </c>
      <c r="AH3863" s="2">
        <v>12.6</v>
      </c>
      <c r="AJ3863" s="2">
        <f t="shared" si="574"/>
        <v>0</v>
      </c>
      <c r="AK3863" s="2">
        <f t="shared" si="577"/>
        <v>6.6932999999999998</v>
      </c>
      <c r="AL3863" s="5">
        <f t="shared" si="576"/>
        <v>0.53121428571428575</v>
      </c>
    </row>
    <row r="3864" spans="1:38" x14ac:dyDescent="0.2">
      <c r="A3864" s="2">
        <v>2026</v>
      </c>
      <c r="B3864" s="2">
        <v>5</v>
      </c>
      <c r="D3864" s="2" t="s">
        <v>1145</v>
      </c>
      <c r="E3864" s="2" t="s">
        <v>108</v>
      </c>
      <c r="F3864" s="2" t="s">
        <v>39</v>
      </c>
      <c r="G3864" s="2">
        <v>518312798</v>
      </c>
      <c r="H3864" s="2" t="s">
        <v>41</v>
      </c>
      <c r="I3864" s="2" t="s">
        <v>1146</v>
      </c>
      <c r="J3864" s="2" t="s">
        <v>1147</v>
      </c>
      <c r="L3864" s="2" t="s">
        <v>133</v>
      </c>
      <c r="M3864" s="2" t="s">
        <v>41</v>
      </c>
      <c r="O3864" s="2" t="s">
        <v>2922</v>
      </c>
      <c r="P3864" s="2" t="s">
        <v>43</v>
      </c>
      <c r="Q3864" s="2" t="s">
        <v>234</v>
      </c>
      <c r="R3864" s="2" t="s">
        <v>235</v>
      </c>
      <c r="S3864" s="2">
        <v>1</v>
      </c>
      <c r="T3864" s="2">
        <v>14.4</v>
      </c>
      <c r="U3864" s="2">
        <v>3.3119999999999998</v>
      </c>
      <c r="V3864" s="2">
        <v>17.712</v>
      </c>
      <c r="W3864" s="2">
        <v>7.2217000000000002</v>
      </c>
      <c r="X3864" s="5">
        <f t="shared" si="575"/>
        <v>0.49849305555555556</v>
      </c>
      <c r="Z3864" s="2" t="s">
        <v>3227</v>
      </c>
      <c r="AA3864" s="2" t="s">
        <v>46</v>
      </c>
      <c r="AB3864" s="2" t="s">
        <v>56</v>
      </c>
      <c r="AC3864" s="2" t="s">
        <v>57</v>
      </c>
      <c r="AF3864" s="2">
        <f t="shared" si="573"/>
        <v>0</v>
      </c>
      <c r="AG3864" s="2">
        <v>7.2217000000000002</v>
      </c>
      <c r="AH3864" s="2">
        <v>14.4</v>
      </c>
      <c r="AJ3864" s="2">
        <f t="shared" si="574"/>
        <v>0</v>
      </c>
      <c r="AK3864" s="2">
        <f t="shared" si="577"/>
        <v>7.1783000000000001</v>
      </c>
      <c r="AL3864" s="5">
        <f t="shared" si="576"/>
        <v>0.49849305555555556</v>
      </c>
    </row>
    <row r="3865" spans="1:38" x14ac:dyDescent="0.2">
      <c r="A3865" s="2">
        <v>2026</v>
      </c>
      <c r="B3865" s="2">
        <v>5</v>
      </c>
      <c r="D3865" s="2" t="s">
        <v>1145</v>
      </c>
      <c r="E3865" s="2" t="s">
        <v>108</v>
      </c>
      <c r="F3865" s="2" t="s">
        <v>39</v>
      </c>
      <c r="G3865" s="2">
        <v>518312798</v>
      </c>
      <c r="H3865" s="2" t="s">
        <v>41</v>
      </c>
      <c r="I3865" s="2" t="s">
        <v>1146</v>
      </c>
      <c r="J3865" s="2" t="s">
        <v>1147</v>
      </c>
      <c r="L3865" s="2" t="s">
        <v>133</v>
      </c>
      <c r="M3865" s="2" t="s">
        <v>41</v>
      </c>
      <c r="O3865" s="2" t="s">
        <v>2922</v>
      </c>
      <c r="P3865" s="2" t="s">
        <v>43</v>
      </c>
      <c r="Q3865" s="2" t="s">
        <v>236</v>
      </c>
      <c r="R3865" s="2" t="s">
        <v>237</v>
      </c>
      <c r="S3865" s="2">
        <v>1</v>
      </c>
      <c r="T3865" s="2">
        <v>17.399999999999999</v>
      </c>
      <c r="U3865" s="2">
        <v>4.0019999999999998</v>
      </c>
      <c r="V3865" s="2">
        <v>21.402000000000001</v>
      </c>
      <c r="W3865" s="2">
        <f>9.075*S3865</f>
        <v>9.0749999999999993</v>
      </c>
      <c r="X3865" s="5">
        <f t="shared" si="575"/>
        <v>0.47844827586206895</v>
      </c>
      <c r="Z3865" s="2" t="s">
        <v>3227</v>
      </c>
      <c r="AA3865" s="2" t="s">
        <v>46</v>
      </c>
      <c r="AB3865" s="2" t="s">
        <v>56</v>
      </c>
      <c r="AC3865" s="2" t="s">
        <v>57</v>
      </c>
      <c r="AF3865" s="2">
        <f t="shared" si="573"/>
        <v>0</v>
      </c>
      <c r="AJ3865" s="2">
        <f t="shared" si="574"/>
        <v>0</v>
      </c>
      <c r="AK3865" s="2">
        <f t="shared" si="577"/>
        <v>8.3249999999999993</v>
      </c>
      <c r="AL3865" s="5">
        <f t="shared" si="576"/>
        <v>0.47844827586206895</v>
      </c>
    </row>
    <row r="3866" spans="1:38" x14ac:dyDescent="0.2">
      <c r="A3866" s="2">
        <v>2026</v>
      </c>
      <c r="B3866" s="2">
        <v>5</v>
      </c>
      <c r="D3866" s="2" t="s">
        <v>1145</v>
      </c>
      <c r="E3866" s="2" t="s">
        <v>108</v>
      </c>
      <c r="F3866" s="2" t="s">
        <v>39</v>
      </c>
      <c r="G3866" s="2">
        <v>518312798</v>
      </c>
      <c r="H3866" s="2" t="s">
        <v>41</v>
      </c>
      <c r="I3866" s="2" t="s">
        <v>1146</v>
      </c>
      <c r="J3866" s="2" t="s">
        <v>1147</v>
      </c>
      <c r="L3866" s="2" t="s">
        <v>133</v>
      </c>
      <c r="M3866" s="2" t="s">
        <v>41</v>
      </c>
      <c r="O3866" s="2" t="s">
        <v>2922</v>
      </c>
      <c r="P3866" s="2" t="s">
        <v>43</v>
      </c>
      <c r="Q3866" s="2" t="s">
        <v>238</v>
      </c>
      <c r="R3866" s="2" t="s">
        <v>239</v>
      </c>
      <c r="S3866" s="2">
        <v>1</v>
      </c>
      <c r="T3866" s="2">
        <v>21</v>
      </c>
      <c r="U3866" s="2">
        <v>4.83</v>
      </c>
      <c r="V3866" s="2">
        <v>25.83</v>
      </c>
      <c r="W3866" s="2">
        <f>11.045*S3866</f>
        <v>11.045</v>
      </c>
      <c r="X3866" s="5">
        <f t="shared" si="575"/>
        <v>0.47404761904761905</v>
      </c>
      <c r="Z3866" s="2" t="s">
        <v>3227</v>
      </c>
      <c r="AA3866" s="2" t="s">
        <v>46</v>
      </c>
      <c r="AB3866" s="2" t="s">
        <v>56</v>
      </c>
      <c r="AC3866" s="2" t="s">
        <v>57</v>
      </c>
      <c r="AF3866" s="2">
        <f t="shared" si="573"/>
        <v>0</v>
      </c>
      <c r="AJ3866" s="2">
        <f t="shared" si="574"/>
        <v>0</v>
      </c>
      <c r="AK3866" s="2">
        <f t="shared" si="577"/>
        <v>9.9550000000000001</v>
      </c>
      <c r="AL3866" s="5">
        <f t="shared" si="576"/>
        <v>0.47404761904761905</v>
      </c>
    </row>
    <row r="3867" spans="1:38" x14ac:dyDescent="0.2">
      <c r="A3867" s="2">
        <v>2026</v>
      </c>
      <c r="B3867" s="2">
        <v>5</v>
      </c>
      <c r="D3867" s="2" t="s">
        <v>1145</v>
      </c>
      <c r="E3867" s="2" t="s">
        <v>108</v>
      </c>
      <c r="F3867" s="2" t="s">
        <v>39</v>
      </c>
      <c r="G3867" s="2">
        <v>518312798</v>
      </c>
      <c r="H3867" s="2" t="s">
        <v>41</v>
      </c>
      <c r="I3867" s="2" t="s">
        <v>1146</v>
      </c>
      <c r="J3867" s="2" t="s">
        <v>1147</v>
      </c>
      <c r="L3867" s="2" t="s">
        <v>133</v>
      </c>
      <c r="M3867" s="2" t="s">
        <v>41</v>
      </c>
      <c r="O3867" s="2" t="s">
        <v>2922</v>
      </c>
      <c r="P3867" s="2" t="s">
        <v>43</v>
      </c>
      <c r="Q3867" s="2" t="s">
        <v>240</v>
      </c>
      <c r="R3867" s="2" t="s">
        <v>241</v>
      </c>
      <c r="S3867" s="2">
        <v>1</v>
      </c>
      <c r="T3867" s="2">
        <v>25.2</v>
      </c>
      <c r="U3867" s="2">
        <v>5.7960000000000003</v>
      </c>
      <c r="V3867" s="2">
        <v>30.995999999999999</v>
      </c>
      <c r="W3867" s="2">
        <f>13.4067*S3867</f>
        <v>13.406700000000001</v>
      </c>
      <c r="X3867" s="5">
        <f t="shared" si="575"/>
        <v>0.4679880952380952</v>
      </c>
      <c r="Z3867" s="2" t="s">
        <v>3227</v>
      </c>
      <c r="AA3867" s="2" t="s">
        <v>46</v>
      </c>
      <c r="AB3867" s="2" t="s">
        <v>56</v>
      </c>
      <c r="AC3867" s="2" t="s">
        <v>57</v>
      </c>
      <c r="AF3867" s="2">
        <f t="shared" si="573"/>
        <v>0</v>
      </c>
      <c r="AJ3867" s="2">
        <f t="shared" si="574"/>
        <v>0</v>
      </c>
      <c r="AK3867" s="2">
        <f t="shared" si="577"/>
        <v>11.793299999999999</v>
      </c>
      <c r="AL3867" s="5">
        <f t="shared" si="576"/>
        <v>0.4679880952380952</v>
      </c>
    </row>
    <row r="3868" spans="1:38" x14ac:dyDescent="0.2">
      <c r="A3868" s="2">
        <v>2026</v>
      </c>
      <c r="B3868" s="2">
        <v>5</v>
      </c>
      <c r="D3868" s="2" t="s">
        <v>1145</v>
      </c>
      <c r="E3868" s="2" t="s">
        <v>108</v>
      </c>
      <c r="F3868" s="2" t="s">
        <v>39</v>
      </c>
      <c r="G3868" s="2">
        <v>518312798</v>
      </c>
      <c r="H3868" s="2" t="s">
        <v>41</v>
      </c>
      <c r="I3868" s="2" t="s">
        <v>1146</v>
      </c>
      <c r="J3868" s="2" t="s">
        <v>1147</v>
      </c>
      <c r="L3868" s="2" t="s">
        <v>133</v>
      </c>
      <c r="M3868" s="2" t="s">
        <v>41</v>
      </c>
      <c r="O3868" s="2" t="s">
        <v>2922</v>
      </c>
      <c r="P3868" s="2" t="s">
        <v>43</v>
      </c>
      <c r="Q3868" s="2" t="s">
        <v>242</v>
      </c>
      <c r="R3868" s="2" t="s">
        <v>243</v>
      </c>
      <c r="S3868" s="2">
        <v>1</v>
      </c>
      <c r="T3868" s="2">
        <v>30</v>
      </c>
      <c r="U3868" s="2">
        <v>6.9</v>
      </c>
      <c r="V3868" s="2">
        <v>36.9</v>
      </c>
      <c r="W3868" s="2">
        <f>16.2249*S3868</f>
        <v>16.224900000000002</v>
      </c>
      <c r="X3868" s="5">
        <f t="shared" si="575"/>
        <v>0.45916999999999997</v>
      </c>
      <c r="Z3868" s="2" t="s">
        <v>3227</v>
      </c>
      <c r="AA3868" s="2" t="s">
        <v>46</v>
      </c>
      <c r="AB3868" s="2" t="s">
        <v>56</v>
      </c>
      <c r="AC3868" s="2" t="s">
        <v>57</v>
      </c>
      <c r="AF3868" s="2">
        <f t="shared" si="573"/>
        <v>0</v>
      </c>
      <c r="AJ3868" s="2">
        <f t="shared" si="574"/>
        <v>0</v>
      </c>
      <c r="AK3868" s="2">
        <f t="shared" si="577"/>
        <v>13.775099999999998</v>
      </c>
      <c r="AL3868" s="5">
        <f t="shared" si="576"/>
        <v>0.45916999999999997</v>
      </c>
    </row>
    <row r="3869" spans="1:38" x14ac:dyDescent="0.2">
      <c r="A3869" s="2">
        <v>2026</v>
      </c>
      <c r="B3869" s="2">
        <v>5</v>
      </c>
      <c r="D3869" s="2" t="s">
        <v>1145</v>
      </c>
      <c r="E3869" s="2" t="s">
        <v>108</v>
      </c>
      <c r="F3869" s="2" t="s">
        <v>39</v>
      </c>
      <c r="G3869" s="2">
        <v>518312798</v>
      </c>
      <c r="H3869" s="2" t="s">
        <v>41</v>
      </c>
      <c r="I3869" s="2" t="s">
        <v>1146</v>
      </c>
      <c r="J3869" s="2" t="s">
        <v>1147</v>
      </c>
      <c r="L3869" s="2" t="s">
        <v>133</v>
      </c>
      <c r="M3869" s="2" t="s">
        <v>41</v>
      </c>
      <c r="O3869" s="2" t="s">
        <v>2922</v>
      </c>
      <c r="P3869" s="2" t="s">
        <v>43</v>
      </c>
      <c r="Q3869" s="2" t="s">
        <v>244</v>
      </c>
      <c r="R3869" s="2" t="s">
        <v>245</v>
      </c>
      <c r="S3869" s="2">
        <v>1</v>
      </c>
      <c r="T3869" s="2">
        <v>18</v>
      </c>
      <c r="U3869" s="2">
        <v>4.1400000000000006</v>
      </c>
      <c r="V3869" s="2">
        <v>22.14</v>
      </c>
      <c r="W3869" s="2">
        <f>9.2346*S3869</f>
        <v>9.2346000000000004</v>
      </c>
      <c r="X3869" s="5">
        <f t="shared" si="575"/>
        <v>0.48696666666666666</v>
      </c>
      <c r="Z3869" s="2" t="s">
        <v>3227</v>
      </c>
      <c r="AA3869" s="2" t="s">
        <v>46</v>
      </c>
      <c r="AB3869" s="2" t="s">
        <v>56</v>
      </c>
      <c r="AC3869" s="2" t="s">
        <v>57</v>
      </c>
      <c r="AF3869" s="2">
        <f t="shared" si="573"/>
        <v>0</v>
      </c>
      <c r="AJ3869" s="2">
        <f t="shared" si="574"/>
        <v>0</v>
      </c>
      <c r="AK3869" s="2">
        <f t="shared" si="577"/>
        <v>8.7653999999999996</v>
      </c>
      <c r="AL3869" s="5">
        <f t="shared" si="576"/>
        <v>0.48696666666666666</v>
      </c>
    </row>
    <row r="3870" spans="1:38" x14ac:dyDescent="0.2">
      <c r="A3870" s="2">
        <v>2026</v>
      </c>
      <c r="B3870" s="2">
        <v>5</v>
      </c>
      <c r="D3870" s="2" t="s">
        <v>1145</v>
      </c>
      <c r="E3870" s="2" t="s">
        <v>108</v>
      </c>
      <c r="F3870" s="2" t="s">
        <v>39</v>
      </c>
      <c r="G3870" s="2">
        <v>518312798</v>
      </c>
      <c r="H3870" s="2" t="s">
        <v>41</v>
      </c>
      <c r="I3870" s="2" t="s">
        <v>1146</v>
      </c>
      <c r="J3870" s="2" t="s">
        <v>1147</v>
      </c>
      <c r="L3870" s="2" t="s">
        <v>133</v>
      </c>
      <c r="M3870" s="2" t="s">
        <v>41</v>
      </c>
      <c r="O3870" s="2" t="s">
        <v>2922</v>
      </c>
      <c r="P3870" s="2" t="s">
        <v>43</v>
      </c>
      <c r="Q3870" s="2" t="s">
        <v>246</v>
      </c>
      <c r="R3870" s="2" t="s">
        <v>247</v>
      </c>
      <c r="S3870" s="2">
        <v>1</v>
      </c>
      <c r="T3870" s="2">
        <v>19.8</v>
      </c>
      <c r="U3870" s="2">
        <v>4.5540000000000003</v>
      </c>
      <c r="V3870" s="2">
        <v>24.353999999999999</v>
      </c>
      <c r="W3870" s="2">
        <f>10.5267*S3870</f>
        <v>10.5267</v>
      </c>
      <c r="X3870" s="5">
        <f t="shared" si="575"/>
        <v>0.46834848484848485</v>
      </c>
      <c r="Z3870" s="2" t="s">
        <v>3227</v>
      </c>
      <c r="AA3870" s="2" t="s">
        <v>46</v>
      </c>
      <c r="AB3870" s="2" t="s">
        <v>56</v>
      </c>
      <c r="AC3870" s="2" t="s">
        <v>57</v>
      </c>
      <c r="AF3870" s="2">
        <f t="shared" si="573"/>
        <v>0</v>
      </c>
      <c r="AJ3870" s="2">
        <f t="shared" si="574"/>
        <v>0</v>
      </c>
      <c r="AK3870" s="2">
        <f t="shared" si="577"/>
        <v>9.2733000000000008</v>
      </c>
      <c r="AL3870" s="5">
        <f t="shared" si="576"/>
        <v>0.46834848484848485</v>
      </c>
    </row>
    <row r="3871" spans="1:38" x14ac:dyDescent="0.2">
      <c r="A3871" s="2">
        <v>2026</v>
      </c>
      <c r="B3871" s="2">
        <v>5</v>
      </c>
      <c r="D3871" s="2" t="s">
        <v>1145</v>
      </c>
      <c r="E3871" s="2" t="s">
        <v>108</v>
      </c>
      <c r="F3871" s="2" t="s">
        <v>39</v>
      </c>
      <c r="G3871" s="2">
        <v>518312798</v>
      </c>
      <c r="H3871" s="2" t="s">
        <v>41</v>
      </c>
      <c r="I3871" s="2" t="s">
        <v>1146</v>
      </c>
      <c r="J3871" s="2" t="s">
        <v>1147</v>
      </c>
      <c r="L3871" s="2" t="s">
        <v>133</v>
      </c>
      <c r="M3871" s="2" t="s">
        <v>41</v>
      </c>
      <c r="O3871" s="2" t="s">
        <v>2922</v>
      </c>
      <c r="P3871" s="2" t="s">
        <v>43</v>
      </c>
      <c r="Q3871" s="2" t="s">
        <v>285</v>
      </c>
      <c r="R3871" s="2" t="s">
        <v>286</v>
      </c>
      <c r="S3871" s="2">
        <v>1</v>
      </c>
      <c r="T3871" s="2">
        <v>22.8</v>
      </c>
      <c r="U3871" s="2">
        <v>5.2440000000000007</v>
      </c>
      <c r="V3871" s="2">
        <v>28.044</v>
      </c>
      <c r="W3871" s="2">
        <f>12.2604*S3871</f>
        <v>12.260400000000001</v>
      </c>
      <c r="X3871" s="5">
        <f t="shared" si="575"/>
        <v>0.46226315789473682</v>
      </c>
      <c r="Z3871" s="2" t="s">
        <v>3227</v>
      </c>
      <c r="AA3871" s="2" t="s">
        <v>46</v>
      </c>
      <c r="AB3871" s="2" t="s">
        <v>56</v>
      </c>
      <c r="AC3871" s="2" t="s">
        <v>57</v>
      </c>
      <c r="AF3871" s="2">
        <f t="shared" si="573"/>
        <v>0</v>
      </c>
      <c r="AJ3871" s="2">
        <f t="shared" si="574"/>
        <v>0</v>
      </c>
      <c r="AK3871" s="2">
        <f t="shared" si="577"/>
        <v>10.5396</v>
      </c>
      <c r="AL3871" s="5">
        <f t="shared" si="576"/>
        <v>0.46226315789473682</v>
      </c>
    </row>
    <row r="3872" spans="1:38" x14ac:dyDescent="0.2">
      <c r="A3872" s="2">
        <v>2026</v>
      </c>
      <c r="B3872" s="2">
        <v>5</v>
      </c>
      <c r="D3872" s="2" t="s">
        <v>1145</v>
      </c>
      <c r="E3872" s="2" t="s">
        <v>108</v>
      </c>
      <c r="F3872" s="2" t="s">
        <v>39</v>
      </c>
      <c r="G3872" s="2">
        <v>518312798</v>
      </c>
      <c r="H3872" s="2" t="s">
        <v>41</v>
      </c>
      <c r="I3872" s="2" t="s">
        <v>1146</v>
      </c>
      <c r="J3872" s="2" t="s">
        <v>1147</v>
      </c>
      <c r="L3872" s="2" t="s">
        <v>133</v>
      </c>
      <c r="M3872" s="2" t="s">
        <v>41</v>
      </c>
      <c r="O3872" s="2" t="s">
        <v>2922</v>
      </c>
      <c r="P3872" s="2" t="s">
        <v>43</v>
      </c>
      <c r="Q3872" s="2" t="s">
        <v>248</v>
      </c>
      <c r="R3872" s="2" t="s">
        <v>249</v>
      </c>
      <c r="S3872" s="2">
        <v>1</v>
      </c>
      <c r="T3872" s="2">
        <v>24</v>
      </c>
      <c r="U3872" s="2">
        <v>5.52</v>
      </c>
      <c r="V3872" s="2">
        <v>29.52</v>
      </c>
      <c r="W3872" s="2">
        <f>12.71*S3872</f>
        <v>12.71</v>
      </c>
      <c r="X3872" s="5">
        <f t="shared" si="575"/>
        <v>0.47041666666666665</v>
      </c>
      <c r="Z3872" s="2" t="s">
        <v>3227</v>
      </c>
      <c r="AA3872" s="2" t="s">
        <v>46</v>
      </c>
      <c r="AB3872" s="2" t="s">
        <v>56</v>
      </c>
      <c r="AC3872" s="2" t="s">
        <v>57</v>
      </c>
      <c r="AF3872" s="2">
        <f t="shared" si="573"/>
        <v>0</v>
      </c>
      <c r="AJ3872" s="2">
        <f t="shared" si="574"/>
        <v>0</v>
      </c>
      <c r="AK3872" s="2">
        <f t="shared" si="577"/>
        <v>11.29</v>
      </c>
      <c r="AL3872" s="5">
        <f t="shared" si="576"/>
        <v>0.47041666666666665</v>
      </c>
    </row>
    <row r="3873" spans="1:38" x14ac:dyDescent="0.2">
      <c r="A3873" s="2">
        <v>2026</v>
      </c>
      <c r="B3873" s="2">
        <v>5</v>
      </c>
      <c r="D3873" s="2" t="s">
        <v>1145</v>
      </c>
      <c r="E3873" s="2" t="s">
        <v>108</v>
      </c>
      <c r="F3873" s="2" t="s">
        <v>39</v>
      </c>
      <c r="G3873" s="2">
        <v>518312798</v>
      </c>
      <c r="H3873" s="2" t="s">
        <v>41</v>
      </c>
      <c r="I3873" s="2" t="s">
        <v>1146</v>
      </c>
      <c r="J3873" s="2" t="s">
        <v>1147</v>
      </c>
      <c r="L3873" s="2" t="s">
        <v>133</v>
      </c>
      <c r="M3873" s="2" t="s">
        <v>41</v>
      </c>
      <c r="O3873" s="2" t="s">
        <v>2922</v>
      </c>
      <c r="P3873" s="2" t="s">
        <v>43</v>
      </c>
      <c r="Q3873" s="2" t="s">
        <v>54</v>
      </c>
      <c r="R3873" s="2" t="s">
        <v>55</v>
      </c>
      <c r="S3873" s="2">
        <v>10</v>
      </c>
      <c r="T3873" s="2">
        <v>145</v>
      </c>
      <c r="U3873" s="2">
        <v>33.35</v>
      </c>
      <c r="V3873" s="2">
        <v>178.35</v>
      </c>
      <c r="W3873" s="2">
        <f>10.6*S3873</f>
        <v>106</v>
      </c>
      <c r="X3873" s="5">
        <f t="shared" si="575"/>
        <v>0.26896551724137929</v>
      </c>
      <c r="Z3873" s="2" t="s">
        <v>3227</v>
      </c>
      <c r="AA3873" s="2" t="s">
        <v>46</v>
      </c>
      <c r="AB3873" s="2" t="s">
        <v>56</v>
      </c>
      <c r="AC3873" s="2" t="s">
        <v>57</v>
      </c>
      <c r="AF3873" s="2">
        <f t="shared" si="573"/>
        <v>0</v>
      </c>
      <c r="AG3873" s="2">
        <v>10.6</v>
      </c>
      <c r="AH3873" s="2">
        <v>18</v>
      </c>
      <c r="AJ3873" s="2">
        <f t="shared" si="574"/>
        <v>0</v>
      </c>
      <c r="AK3873" s="2">
        <f t="shared" si="577"/>
        <v>39</v>
      </c>
      <c r="AL3873" s="5">
        <f t="shared" si="576"/>
        <v>0.26896551724137929</v>
      </c>
    </row>
    <row r="3874" spans="1:38" x14ac:dyDescent="0.2">
      <c r="A3874" s="2">
        <v>2026</v>
      </c>
      <c r="B3874" s="2">
        <v>5</v>
      </c>
      <c r="C3874" s="2" t="s">
        <v>3372</v>
      </c>
      <c r="D3874" s="2" t="s">
        <v>1145</v>
      </c>
      <c r="E3874" s="2" t="s">
        <v>108</v>
      </c>
      <c r="F3874" s="2" t="s">
        <v>39</v>
      </c>
      <c r="G3874" s="2">
        <v>518312798</v>
      </c>
      <c r="H3874" s="2" t="s">
        <v>41</v>
      </c>
      <c r="I3874" s="2" t="s">
        <v>1146</v>
      </c>
      <c r="J3874" s="2" t="s">
        <v>1147</v>
      </c>
      <c r="L3874" s="2" t="s">
        <v>133</v>
      </c>
      <c r="M3874" s="2" t="s">
        <v>41</v>
      </c>
      <c r="O3874" s="2" t="s">
        <v>2922</v>
      </c>
      <c r="P3874" s="2" t="s">
        <v>43</v>
      </c>
      <c r="Q3874" s="2" t="s">
        <v>250</v>
      </c>
      <c r="R3874" s="2" t="s">
        <v>251</v>
      </c>
      <c r="S3874" s="2">
        <v>1</v>
      </c>
      <c r="T3874" s="2">
        <v>50</v>
      </c>
      <c r="U3874" s="2">
        <v>11.5</v>
      </c>
      <c r="V3874" s="2">
        <v>61.5</v>
      </c>
      <c r="W3874" s="2">
        <f>25.0958*S3874</f>
        <v>25.095800000000001</v>
      </c>
      <c r="X3874" s="5">
        <f t="shared" si="575"/>
        <v>0.49808399999999997</v>
      </c>
      <c r="Z3874" s="2" t="s">
        <v>3227</v>
      </c>
      <c r="AA3874" s="2" t="s">
        <v>46</v>
      </c>
      <c r="AB3874" s="2" t="s">
        <v>90</v>
      </c>
      <c r="AC3874" s="2" t="s">
        <v>57</v>
      </c>
      <c r="AF3874" s="2">
        <f t="shared" si="573"/>
        <v>0</v>
      </c>
      <c r="AG3874" s="2">
        <v>25.094999999999999</v>
      </c>
      <c r="AH3874" s="2">
        <v>66</v>
      </c>
      <c r="AJ3874" s="2">
        <f t="shared" si="574"/>
        <v>0</v>
      </c>
      <c r="AK3874" s="2">
        <f t="shared" si="577"/>
        <v>24.904199999999999</v>
      </c>
      <c r="AL3874" s="5">
        <f t="shared" si="576"/>
        <v>0.49808399999999997</v>
      </c>
    </row>
    <row r="3875" spans="1:38" x14ac:dyDescent="0.2">
      <c r="A3875" s="2">
        <v>2026</v>
      </c>
      <c r="B3875" s="2">
        <v>5</v>
      </c>
      <c r="D3875" s="2" t="s">
        <v>1145</v>
      </c>
      <c r="E3875" s="2" t="s">
        <v>108</v>
      </c>
      <c r="F3875" s="2" t="s">
        <v>39</v>
      </c>
      <c r="G3875" s="2">
        <v>518312798</v>
      </c>
      <c r="H3875" s="2" t="s">
        <v>41</v>
      </c>
      <c r="I3875" s="2" t="s">
        <v>1146</v>
      </c>
      <c r="J3875" s="2" t="s">
        <v>1147</v>
      </c>
      <c r="L3875" s="2" t="s">
        <v>133</v>
      </c>
      <c r="M3875" s="2" t="s">
        <v>41</v>
      </c>
      <c r="O3875" s="2" t="s">
        <v>2922</v>
      </c>
      <c r="P3875" s="2" t="s">
        <v>43</v>
      </c>
      <c r="Q3875" s="2" t="s">
        <v>58</v>
      </c>
      <c r="R3875" s="2" t="s">
        <v>59</v>
      </c>
      <c r="S3875" s="2">
        <v>100</v>
      </c>
      <c r="T3875" s="2">
        <v>13</v>
      </c>
      <c r="U3875" s="2">
        <v>2.99</v>
      </c>
      <c r="V3875" s="2">
        <v>15.99</v>
      </c>
      <c r="W3875" s="2">
        <f>0.0914*S3875</f>
        <v>9.1399999999999988</v>
      </c>
      <c r="X3875" s="5">
        <f t="shared" si="575"/>
        <v>0.29692307692307701</v>
      </c>
      <c r="Z3875" s="2" t="s">
        <v>3227</v>
      </c>
      <c r="AA3875" s="2" t="s">
        <v>46</v>
      </c>
      <c r="AB3875" s="2" t="s">
        <v>60</v>
      </c>
      <c r="AC3875" s="2" t="s">
        <v>57</v>
      </c>
      <c r="AF3875" s="2">
        <f t="shared" si="573"/>
        <v>0</v>
      </c>
      <c r="AG3875" s="2">
        <v>9.14</v>
      </c>
      <c r="AH3875" s="2">
        <v>16</v>
      </c>
      <c r="AJ3875" s="2">
        <f t="shared" si="574"/>
        <v>0</v>
      </c>
      <c r="AK3875" s="2">
        <f t="shared" si="577"/>
        <v>3.8600000000000012</v>
      </c>
      <c r="AL3875" s="5">
        <f t="shared" si="576"/>
        <v>0.29692307692307701</v>
      </c>
    </row>
    <row r="3876" spans="1:38" x14ac:dyDescent="0.2">
      <c r="A3876" s="2">
        <v>2026</v>
      </c>
      <c r="B3876" s="2">
        <v>5</v>
      </c>
      <c r="D3876" s="2" t="s">
        <v>1145</v>
      </c>
      <c r="E3876" s="2" t="s">
        <v>108</v>
      </c>
      <c r="F3876" s="2" t="s">
        <v>39</v>
      </c>
      <c r="G3876" s="2">
        <v>518312798</v>
      </c>
      <c r="H3876" s="2" t="s">
        <v>41</v>
      </c>
      <c r="I3876" s="2" t="s">
        <v>1146</v>
      </c>
      <c r="J3876" s="2" t="s">
        <v>1147</v>
      </c>
      <c r="L3876" s="2" t="s">
        <v>133</v>
      </c>
      <c r="M3876" s="2" t="s">
        <v>41</v>
      </c>
      <c r="O3876" s="2" t="s">
        <v>2922</v>
      </c>
      <c r="P3876" s="2" t="s">
        <v>43</v>
      </c>
      <c r="Q3876" s="2" t="s">
        <v>61</v>
      </c>
      <c r="R3876" s="2" t="s">
        <v>62</v>
      </c>
      <c r="S3876" s="2">
        <v>400</v>
      </c>
      <c r="T3876" s="2">
        <v>52</v>
      </c>
      <c r="U3876" s="2">
        <v>11.96</v>
      </c>
      <c r="V3876" s="2">
        <v>63.96</v>
      </c>
      <c r="W3876" s="2">
        <f>0.082*S3876</f>
        <v>32.800000000000004</v>
      </c>
      <c r="X3876" s="5">
        <f t="shared" si="575"/>
        <v>0.36923076923076914</v>
      </c>
      <c r="Z3876" s="2" t="s">
        <v>3227</v>
      </c>
      <c r="AA3876" s="2" t="s">
        <v>46</v>
      </c>
      <c r="AB3876" s="2" t="s">
        <v>60</v>
      </c>
      <c r="AC3876" s="2" t="s">
        <v>57</v>
      </c>
      <c r="AF3876" s="2">
        <f t="shared" si="573"/>
        <v>0</v>
      </c>
      <c r="AG3876" s="2">
        <v>8.1999999999999993</v>
      </c>
      <c r="AH3876" s="2">
        <v>13</v>
      </c>
      <c r="AJ3876" s="2">
        <f t="shared" si="574"/>
        <v>0</v>
      </c>
      <c r="AK3876" s="2">
        <f t="shared" si="577"/>
        <v>19.199999999999996</v>
      </c>
      <c r="AL3876" s="5">
        <f t="shared" si="576"/>
        <v>0.36923076923076914</v>
      </c>
    </row>
    <row r="3877" spans="1:38" x14ac:dyDescent="0.2">
      <c r="A3877" s="2">
        <v>2026</v>
      </c>
      <c r="B3877" s="2">
        <v>5</v>
      </c>
      <c r="D3877" s="2" t="s">
        <v>1145</v>
      </c>
      <c r="E3877" s="2" t="s">
        <v>108</v>
      </c>
      <c r="F3877" s="2" t="s">
        <v>39</v>
      </c>
      <c r="G3877" s="2">
        <v>518312798</v>
      </c>
      <c r="H3877" s="2" t="s">
        <v>41</v>
      </c>
      <c r="I3877" s="2" t="s">
        <v>1146</v>
      </c>
      <c r="J3877" s="2" t="s">
        <v>1147</v>
      </c>
      <c r="L3877" s="2" t="s">
        <v>133</v>
      </c>
      <c r="M3877" s="2" t="s">
        <v>41</v>
      </c>
      <c r="O3877" s="2" t="s">
        <v>2922</v>
      </c>
      <c r="P3877" s="2" t="s">
        <v>43</v>
      </c>
      <c r="Q3877" s="2" t="s">
        <v>254</v>
      </c>
      <c r="R3877" s="2" t="s">
        <v>255</v>
      </c>
      <c r="S3877" s="2">
        <v>100</v>
      </c>
      <c r="T3877" s="2">
        <v>13</v>
      </c>
      <c r="U3877" s="2">
        <v>2.99</v>
      </c>
      <c r="V3877" s="2">
        <v>15.99</v>
      </c>
      <c r="W3877" s="2">
        <f>0.0914*S3877</f>
        <v>9.1399999999999988</v>
      </c>
      <c r="X3877" s="5">
        <f t="shared" si="575"/>
        <v>0.29692307692307701</v>
      </c>
      <c r="Z3877" s="2" t="s">
        <v>3227</v>
      </c>
      <c r="AA3877" s="2" t="s">
        <v>46</v>
      </c>
      <c r="AB3877" s="2" t="s">
        <v>60</v>
      </c>
      <c r="AC3877" s="2" t="s">
        <v>57</v>
      </c>
      <c r="AF3877" s="2">
        <f t="shared" si="573"/>
        <v>0</v>
      </c>
      <c r="AJ3877" s="2">
        <f t="shared" si="574"/>
        <v>0</v>
      </c>
      <c r="AK3877" s="2">
        <f t="shared" si="577"/>
        <v>3.8600000000000012</v>
      </c>
      <c r="AL3877" s="5">
        <f t="shared" si="576"/>
        <v>0.29692307692307701</v>
      </c>
    </row>
    <row r="3878" spans="1:38" x14ac:dyDescent="0.2">
      <c r="A3878" s="2">
        <v>2026</v>
      </c>
      <c r="B3878" s="2">
        <v>5</v>
      </c>
      <c r="D3878" s="2" t="s">
        <v>1145</v>
      </c>
      <c r="E3878" s="2" t="s">
        <v>108</v>
      </c>
      <c r="F3878" s="2" t="s">
        <v>39</v>
      </c>
      <c r="G3878" s="2">
        <v>518312798</v>
      </c>
      <c r="H3878" s="2" t="s">
        <v>41</v>
      </c>
      <c r="I3878" s="2" t="s">
        <v>1146</v>
      </c>
      <c r="J3878" s="2" t="s">
        <v>1147</v>
      </c>
      <c r="L3878" s="2" t="s">
        <v>133</v>
      </c>
      <c r="M3878" s="2" t="s">
        <v>41</v>
      </c>
      <c r="O3878" s="2" t="s">
        <v>2922</v>
      </c>
      <c r="P3878" s="2" t="s">
        <v>43</v>
      </c>
      <c r="Q3878" s="2" t="s">
        <v>63</v>
      </c>
      <c r="R3878" s="2" t="s">
        <v>64</v>
      </c>
      <c r="S3878" s="2">
        <v>8</v>
      </c>
      <c r="T3878" s="2">
        <v>14.4</v>
      </c>
      <c r="U3878" s="2">
        <v>3.3119999999999998</v>
      </c>
      <c r="V3878" s="2">
        <v>17.712</v>
      </c>
      <c r="W3878" s="2">
        <f>0.8561*S3878</f>
        <v>6.8487999999999998</v>
      </c>
      <c r="X3878" s="5">
        <f t="shared" ref="X3878:X3909" si="578">(T3878-W3878)/T3878</f>
        <v>0.5243888888888889</v>
      </c>
      <c r="Z3878" s="2" t="s">
        <v>3227</v>
      </c>
      <c r="AA3878" s="2" t="s">
        <v>46</v>
      </c>
      <c r="AB3878" s="2" t="s">
        <v>60</v>
      </c>
      <c r="AC3878" s="2" t="s">
        <v>57</v>
      </c>
      <c r="AF3878" s="2">
        <f t="shared" si="573"/>
        <v>0</v>
      </c>
      <c r="AG3878" s="2">
        <v>0.85609999999999997</v>
      </c>
      <c r="AH3878" s="2">
        <v>1.8</v>
      </c>
      <c r="AJ3878" s="2">
        <f t="shared" si="574"/>
        <v>0</v>
      </c>
      <c r="AK3878" s="2">
        <f t="shared" si="577"/>
        <v>7.5512000000000006</v>
      </c>
      <c r="AL3878" s="5">
        <f t="shared" ref="AL3878:AL3914" si="579">(T3878-W3878)/T3878</f>
        <v>0.5243888888888889</v>
      </c>
    </row>
    <row r="3879" spans="1:38" x14ac:dyDescent="0.2">
      <c r="A3879" s="2">
        <v>2026</v>
      </c>
      <c r="B3879" s="2">
        <v>5</v>
      </c>
      <c r="D3879" s="2" t="s">
        <v>1145</v>
      </c>
      <c r="E3879" s="2" t="s">
        <v>108</v>
      </c>
      <c r="F3879" s="2" t="s">
        <v>39</v>
      </c>
      <c r="G3879" s="2">
        <v>518312798</v>
      </c>
      <c r="H3879" s="2" t="s">
        <v>41</v>
      </c>
      <c r="I3879" s="2" t="s">
        <v>1146</v>
      </c>
      <c r="J3879" s="2" t="s">
        <v>1147</v>
      </c>
      <c r="L3879" s="2" t="s">
        <v>133</v>
      </c>
      <c r="M3879" s="2" t="s">
        <v>41</v>
      </c>
      <c r="O3879" s="2" t="s">
        <v>2922</v>
      </c>
      <c r="P3879" s="2" t="s">
        <v>43</v>
      </c>
      <c r="Q3879" s="2" t="s">
        <v>334</v>
      </c>
      <c r="R3879" s="2" t="s">
        <v>335</v>
      </c>
      <c r="S3879" s="2">
        <v>8</v>
      </c>
      <c r="T3879" s="2">
        <v>24</v>
      </c>
      <c r="U3879" s="2">
        <v>5.52</v>
      </c>
      <c r="V3879" s="2">
        <v>29.52</v>
      </c>
      <c r="W3879" s="2">
        <f>1.1122*S3879</f>
        <v>8.8976000000000006</v>
      </c>
      <c r="X3879" s="5">
        <f t="shared" si="578"/>
        <v>0.62926666666666664</v>
      </c>
      <c r="Z3879" s="2" t="s">
        <v>3227</v>
      </c>
      <c r="AA3879" s="2" t="s">
        <v>46</v>
      </c>
      <c r="AB3879" s="2" t="s">
        <v>60</v>
      </c>
      <c r="AC3879" s="2" t="s">
        <v>57</v>
      </c>
      <c r="AF3879" s="2">
        <f t="shared" si="573"/>
        <v>0</v>
      </c>
      <c r="AG3879" s="2">
        <v>1.1122000000000001</v>
      </c>
      <c r="AH3879" s="2">
        <v>3</v>
      </c>
      <c r="AJ3879" s="2">
        <f t="shared" si="574"/>
        <v>0</v>
      </c>
      <c r="AK3879" s="2">
        <f t="shared" si="577"/>
        <v>15.102399999999999</v>
      </c>
      <c r="AL3879" s="5">
        <f t="shared" si="579"/>
        <v>0.62926666666666664</v>
      </c>
    </row>
    <row r="3880" spans="1:38" x14ac:dyDescent="0.2">
      <c r="A3880" s="2">
        <v>2026</v>
      </c>
      <c r="B3880" s="2">
        <v>5</v>
      </c>
      <c r="D3880" s="2" t="s">
        <v>1145</v>
      </c>
      <c r="E3880" s="2" t="s">
        <v>108</v>
      </c>
      <c r="F3880" s="2" t="s">
        <v>39</v>
      </c>
      <c r="G3880" s="2">
        <v>518312798</v>
      </c>
      <c r="H3880" s="2" t="s">
        <v>41</v>
      </c>
      <c r="I3880" s="2" t="s">
        <v>1146</v>
      </c>
      <c r="J3880" s="2" t="s">
        <v>1147</v>
      </c>
      <c r="L3880" s="2" t="s">
        <v>133</v>
      </c>
      <c r="M3880" s="2" t="s">
        <v>41</v>
      </c>
      <c r="O3880" s="2" t="s">
        <v>2922</v>
      </c>
      <c r="P3880" s="2" t="s">
        <v>43</v>
      </c>
      <c r="Q3880" s="2" t="s">
        <v>579</v>
      </c>
      <c r="R3880" s="2" t="s">
        <v>580</v>
      </c>
      <c r="S3880" s="2">
        <v>4</v>
      </c>
      <c r="T3880" s="2">
        <v>12</v>
      </c>
      <c r="U3880" s="2">
        <v>2.76</v>
      </c>
      <c r="V3880" s="2">
        <v>14.76</v>
      </c>
      <c r="W3880" s="2">
        <f>1.4114*S3880</f>
        <v>5.6456</v>
      </c>
      <c r="X3880" s="5">
        <f t="shared" si="578"/>
        <v>0.5295333333333333</v>
      </c>
      <c r="Z3880" s="2" t="s">
        <v>3227</v>
      </c>
      <c r="AA3880" s="2" t="s">
        <v>46</v>
      </c>
      <c r="AB3880" s="2" t="s">
        <v>60</v>
      </c>
      <c r="AC3880" s="2" t="s">
        <v>57</v>
      </c>
      <c r="AF3880" s="2">
        <f t="shared" si="573"/>
        <v>0</v>
      </c>
      <c r="AG3880" s="2">
        <v>1.4114</v>
      </c>
      <c r="AH3880" s="2">
        <v>3</v>
      </c>
      <c r="AJ3880" s="2">
        <f t="shared" si="574"/>
        <v>0</v>
      </c>
      <c r="AK3880" s="2">
        <f t="shared" si="577"/>
        <v>6.3544</v>
      </c>
      <c r="AL3880" s="5">
        <f t="shared" si="579"/>
        <v>0.5295333333333333</v>
      </c>
    </row>
    <row r="3881" spans="1:38" x14ac:dyDescent="0.2">
      <c r="A3881" s="2">
        <v>2026</v>
      </c>
      <c r="B3881" s="2">
        <v>5</v>
      </c>
      <c r="D3881" s="2" t="s">
        <v>1145</v>
      </c>
      <c r="E3881" s="2" t="s">
        <v>108</v>
      </c>
      <c r="F3881" s="2" t="s">
        <v>39</v>
      </c>
      <c r="G3881" s="2">
        <v>518312798</v>
      </c>
      <c r="H3881" s="2" t="s">
        <v>41</v>
      </c>
      <c r="I3881" s="2" t="s">
        <v>1146</v>
      </c>
      <c r="J3881" s="2" t="s">
        <v>1147</v>
      </c>
      <c r="L3881" s="2" t="s">
        <v>133</v>
      </c>
      <c r="M3881" s="2" t="s">
        <v>41</v>
      </c>
      <c r="O3881" s="2" t="s">
        <v>2922</v>
      </c>
      <c r="P3881" s="2" t="s">
        <v>43</v>
      </c>
      <c r="Q3881" s="2" t="s">
        <v>505</v>
      </c>
      <c r="R3881" s="2" t="s">
        <v>506</v>
      </c>
      <c r="S3881" s="2">
        <v>10</v>
      </c>
      <c r="T3881" s="2">
        <v>12</v>
      </c>
      <c r="U3881" s="2">
        <v>2.76</v>
      </c>
      <c r="V3881" s="2">
        <v>14.76</v>
      </c>
      <c r="W3881" s="2">
        <f>0.677*S3881</f>
        <v>6.7700000000000005</v>
      </c>
      <c r="X3881" s="5">
        <f t="shared" si="578"/>
        <v>0.43583333333333329</v>
      </c>
      <c r="Z3881" s="2" t="s">
        <v>3227</v>
      </c>
      <c r="AA3881" s="2" t="s">
        <v>46</v>
      </c>
      <c r="AB3881" s="2" t="s">
        <v>60</v>
      </c>
      <c r="AC3881" s="2" t="s">
        <v>57</v>
      </c>
      <c r="AF3881" s="2">
        <f t="shared" si="573"/>
        <v>0</v>
      </c>
      <c r="AJ3881" s="2">
        <f t="shared" si="574"/>
        <v>0</v>
      </c>
      <c r="AK3881" s="2">
        <f t="shared" si="577"/>
        <v>5.2299999999999995</v>
      </c>
      <c r="AL3881" s="5">
        <f t="shared" si="579"/>
        <v>0.43583333333333329</v>
      </c>
    </row>
    <row r="3882" spans="1:38" x14ac:dyDescent="0.2">
      <c r="A3882" s="2">
        <v>2026</v>
      </c>
      <c r="B3882" s="2">
        <v>5</v>
      </c>
      <c r="D3882" s="2" t="s">
        <v>1145</v>
      </c>
      <c r="E3882" s="2" t="s">
        <v>108</v>
      </c>
      <c r="F3882" s="2" t="s">
        <v>39</v>
      </c>
      <c r="G3882" s="2">
        <v>518312798</v>
      </c>
      <c r="H3882" s="2" t="s">
        <v>41</v>
      </c>
      <c r="I3882" s="2" t="s">
        <v>1146</v>
      </c>
      <c r="J3882" s="2" t="s">
        <v>1147</v>
      </c>
      <c r="L3882" s="2" t="s">
        <v>133</v>
      </c>
      <c r="M3882" s="2" t="s">
        <v>41</v>
      </c>
      <c r="O3882" s="2" t="s">
        <v>2922</v>
      </c>
      <c r="P3882" s="2" t="s">
        <v>43</v>
      </c>
      <c r="Q3882" s="2" t="s">
        <v>65</v>
      </c>
      <c r="R3882" s="2" t="s">
        <v>66</v>
      </c>
      <c r="S3882" s="2">
        <v>1</v>
      </c>
      <c r="T3882" s="2">
        <v>23</v>
      </c>
      <c r="U3882" s="2">
        <v>5.29</v>
      </c>
      <c r="V3882" s="2">
        <v>28.29</v>
      </c>
      <c r="W3882" s="2">
        <f>15.0203*S3882</f>
        <v>15.020300000000001</v>
      </c>
      <c r="X3882" s="5">
        <f t="shared" si="578"/>
        <v>0.34694347826086952</v>
      </c>
      <c r="Z3882" s="2" t="s">
        <v>3227</v>
      </c>
      <c r="AA3882" s="2" t="s">
        <v>46</v>
      </c>
      <c r="AB3882" s="2" t="s">
        <v>67</v>
      </c>
      <c r="AC3882" s="2" t="s">
        <v>57</v>
      </c>
      <c r="AF3882" s="2">
        <f t="shared" si="573"/>
        <v>0</v>
      </c>
      <c r="AG3882" s="2">
        <v>15.020300000000001</v>
      </c>
      <c r="AH3882" s="2">
        <v>27.6</v>
      </c>
      <c r="AJ3882" s="2">
        <f t="shared" si="574"/>
        <v>0</v>
      </c>
      <c r="AK3882" s="2">
        <f t="shared" si="577"/>
        <v>7.9796999999999993</v>
      </c>
      <c r="AL3882" s="5">
        <f t="shared" si="579"/>
        <v>0.34694347826086952</v>
      </c>
    </row>
    <row r="3883" spans="1:38" x14ac:dyDescent="0.2">
      <c r="A3883" s="2">
        <v>2026</v>
      </c>
      <c r="B3883" s="2">
        <v>5</v>
      </c>
      <c r="D3883" s="2" t="s">
        <v>1145</v>
      </c>
      <c r="E3883" s="2" t="s">
        <v>108</v>
      </c>
      <c r="F3883" s="2" t="s">
        <v>39</v>
      </c>
      <c r="G3883" s="2">
        <v>518312798</v>
      </c>
      <c r="H3883" s="2" t="s">
        <v>41</v>
      </c>
      <c r="I3883" s="2" t="s">
        <v>1146</v>
      </c>
      <c r="J3883" s="2" t="s">
        <v>1147</v>
      </c>
      <c r="L3883" s="2" t="s">
        <v>133</v>
      </c>
      <c r="M3883" s="2" t="s">
        <v>41</v>
      </c>
      <c r="O3883" s="2" t="s">
        <v>2922</v>
      </c>
      <c r="P3883" s="2" t="s">
        <v>43</v>
      </c>
      <c r="Q3883" s="2" t="s">
        <v>260</v>
      </c>
      <c r="R3883" s="2" t="s">
        <v>261</v>
      </c>
      <c r="S3883" s="2">
        <v>1</v>
      </c>
      <c r="T3883" s="2">
        <v>13</v>
      </c>
      <c r="U3883" s="2">
        <v>2.99</v>
      </c>
      <c r="V3883" s="2">
        <v>15.99</v>
      </c>
      <c r="W3883" s="2">
        <f>8.3145*S3883</f>
        <v>8.3145000000000007</v>
      </c>
      <c r="X3883" s="5">
        <f t="shared" si="578"/>
        <v>0.36042307692307685</v>
      </c>
      <c r="Z3883" s="2" t="s">
        <v>3227</v>
      </c>
      <c r="AA3883" s="2" t="s">
        <v>46</v>
      </c>
      <c r="AB3883" s="2" t="s">
        <v>67</v>
      </c>
      <c r="AC3883" s="2" t="s">
        <v>57</v>
      </c>
      <c r="AF3883" s="2">
        <f t="shared" si="573"/>
        <v>0</v>
      </c>
      <c r="AG3883" s="2">
        <v>8.3145000000000007</v>
      </c>
      <c r="AH3883" s="2">
        <v>15</v>
      </c>
      <c r="AJ3883" s="2">
        <f t="shared" si="574"/>
        <v>0</v>
      </c>
      <c r="AK3883" s="2">
        <f t="shared" si="577"/>
        <v>4.6854999999999993</v>
      </c>
      <c r="AL3883" s="5">
        <f t="shared" si="579"/>
        <v>0.36042307692307685</v>
      </c>
    </row>
    <row r="3884" spans="1:38" x14ac:dyDescent="0.2">
      <c r="A3884" s="2">
        <v>2026</v>
      </c>
      <c r="B3884" s="2">
        <v>5</v>
      </c>
      <c r="D3884" s="2" t="s">
        <v>1145</v>
      </c>
      <c r="E3884" s="2" t="s">
        <v>108</v>
      </c>
      <c r="F3884" s="2" t="s">
        <v>39</v>
      </c>
      <c r="G3884" s="2">
        <v>518312798</v>
      </c>
      <c r="H3884" s="2" t="s">
        <v>41</v>
      </c>
      <c r="I3884" s="2" t="s">
        <v>1146</v>
      </c>
      <c r="J3884" s="2" t="s">
        <v>1147</v>
      </c>
      <c r="L3884" s="2" t="s">
        <v>133</v>
      </c>
      <c r="M3884" s="2" t="s">
        <v>41</v>
      </c>
      <c r="O3884" s="2" t="s">
        <v>2922</v>
      </c>
      <c r="P3884" s="2" t="s">
        <v>84</v>
      </c>
      <c r="Q3884" s="2" t="s">
        <v>1211</v>
      </c>
      <c r="R3884" s="2" t="s">
        <v>1212</v>
      </c>
      <c r="S3884" s="2">
        <v>1</v>
      </c>
      <c r="T3884" s="2">
        <v>13.2</v>
      </c>
      <c r="U3884" s="2">
        <v>3.036</v>
      </c>
      <c r="V3884" s="2">
        <v>16.236000000000001</v>
      </c>
      <c r="X3884" s="5">
        <f t="shared" si="578"/>
        <v>1</v>
      </c>
      <c r="Z3884" s="2" t="s">
        <v>3227</v>
      </c>
      <c r="AA3884" s="2" t="s">
        <v>87</v>
      </c>
      <c r="AB3884" s="2" t="s">
        <v>90</v>
      </c>
      <c r="AC3884" s="2" t="s">
        <v>84</v>
      </c>
      <c r="AF3884" s="2">
        <f t="shared" si="573"/>
        <v>0</v>
      </c>
      <c r="AJ3884" s="2">
        <f t="shared" si="574"/>
        <v>0</v>
      </c>
      <c r="AK3884" s="2">
        <f t="shared" si="577"/>
        <v>13.2</v>
      </c>
      <c r="AL3884" s="5">
        <f t="shared" si="579"/>
        <v>1</v>
      </c>
    </row>
    <row r="3885" spans="1:38" x14ac:dyDescent="0.2">
      <c r="A3885" s="2">
        <v>2026</v>
      </c>
      <c r="B3885" s="2">
        <v>5</v>
      </c>
      <c r="D3885" s="2" t="s">
        <v>1145</v>
      </c>
      <c r="E3885" s="2" t="s">
        <v>108</v>
      </c>
      <c r="F3885" s="2" t="s">
        <v>39</v>
      </c>
      <c r="G3885" s="2">
        <v>518312798</v>
      </c>
      <c r="H3885" s="2" t="s">
        <v>41</v>
      </c>
      <c r="I3885" s="2" t="s">
        <v>1146</v>
      </c>
      <c r="J3885" s="2" t="s">
        <v>1147</v>
      </c>
      <c r="L3885" s="2" t="s">
        <v>133</v>
      </c>
      <c r="M3885" s="2" t="s">
        <v>41</v>
      </c>
      <c r="O3885" s="2" t="s">
        <v>2922</v>
      </c>
      <c r="P3885" s="2" t="s">
        <v>2897</v>
      </c>
      <c r="Q3885" s="2" t="s">
        <v>2926</v>
      </c>
      <c r="R3885" s="2" t="s">
        <v>2927</v>
      </c>
      <c r="S3885" s="2">
        <v>1</v>
      </c>
      <c r="T3885" s="2">
        <v>165</v>
      </c>
      <c r="U3885" s="2">
        <v>37.950000000000003</v>
      </c>
      <c r="V3885" s="2">
        <v>202.95</v>
      </c>
      <c r="W3885" s="2">
        <v>139.5</v>
      </c>
      <c r="X3885" s="5">
        <f t="shared" si="578"/>
        <v>0.15454545454545454</v>
      </c>
      <c r="Z3885" s="2" t="s">
        <v>3227</v>
      </c>
      <c r="AA3885" s="2" t="s">
        <v>71</v>
      </c>
      <c r="AB3885" s="2" t="s">
        <v>2897</v>
      </c>
      <c r="AC3885" s="2" t="s">
        <v>2897</v>
      </c>
      <c r="AF3885" s="2">
        <f t="shared" si="573"/>
        <v>0</v>
      </c>
      <c r="AG3885" s="2">
        <v>139.5</v>
      </c>
      <c r="AJ3885" s="2">
        <f t="shared" si="574"/>
        <v>0</v>
      </c>
      <c r="AK3885" s="2">
        <f t="shared" si="577"/>
        <v>25.5</v>
      </c>
      <c r="AL3885" s="5">
        <f t="shared" si="579"/>
        <v>0.15454545454545454</v>
      </c>
    </row>
    <row r="3886" spans="1:38" x14ac:dyDescent="0.2">
      <c r="A3886" s="2">
        <v>2026</v>
      </c>
      <c r="B3886" s="2">
        <v>5</v>
      </c>
      <c r="D3886" s="2" t="s">
        <v>689</v>
      </c>
      <c r="E3886" s="2" t="s">
        <v>108</v>
      </c>
      <c r="F3886" s="2" t="s">
        <v>39</v>
      </c>
      <c r="G3886" s="2">
        <v>503589950</v>
      </c>
      <c r="H3886" s="2" t="s">
        <v>41</v>
      </c>
      <c r="I3886" s="2" t="s">
        <v>610</v>
      </c>
      <c r="J3886" s="2" t="s">
        <v>690</v>
      </c>
      <c r="K3886" s="2">
        <v>913036545</v>
      </c>
      <c r="L3886" s="2" t="s">
        <v>177</v>
      </c>
      <c r="M3886" s="2" t="s">
        <v>41</v>
      </c>
      <c r="O3886" s="2" t="s">
        <v>2928</v>
      </c>
      <c r="P3886" s="2" t="s">
        <v>43</v>
      </c>
      <c r="Q3886" s="2" t="s">
        <v>160</v>
      </c>
      <c r="R3886" s="2" t="s">
        <v>161</v>
      </c>
      <c r="S3886" s="2">
        <v>4</v>
      </c>
      <c r="T3886" s="2">
        <v>36</v>
      </c>
      <c r="U3886" s="2">
        <v>8.2800000000000011</v>
      </c>
      <c r="V3886" s="2">
        <v>44.28</v>
      </c>
      <c r="W3886" s="2">
        <f>3.7358*S3886</f>
        <v>14.943199999999999</v>
      </c>
      <c r="X3886" s="5">
        <f t="shared" si="578"/>
        <v>0.58491111111111116</v>
      </c>
      <c r="Z3886" s="2" t="s">
        <v>3227</v>
      </c>
      <c r="AA3886" s="2" t="s">
        <v>46</v>
      </c>
      <c r="AB3886" s="2" t="s">
        <v>47</v>
      </c>
      <c r="AC3886" s="2" t="s">
        <v>57</v>
      </c>
      <c r="AF3886" s="2">
        <f t="shared" si="573"/>
        <v>0</v>
      </c>
      <c r="AG3886" s="2">
        <v>3.7357999999999998</v>
      </c>
      <c r="AH3886" s="2">
        <v>9</v>
      </c>
      <c r="AJ3886" s="2">
        <f t="shared" si="574"/>
        <v>0</v>
      </c>
      <c r="AK3886" s="2">
        <f t="shared" si="577"/>
        <v>21.056800000000003</v>
      </c>
      <c r="AL3886" s="5">
        <f t="shared" si="579"/>
        <v>0.58491111111111116</v>
      </c>
    </row>
    <row r="3887" spans="1:38" x14ac:dyDescent="0.2">
      <c r="A3887" s="2">
        <v>2026</v>
      </c>
      <c r="B3887" s="2">
        <v>5</v>
      </c>
      <c r="D3887" s="2" t="s">
        <v>311</v>
      </c>
      <c r="E3887" s="2" t="s">
        <v>2446</v>
      </c>
      <c r="F3887" s="2" t="s">
        <v>39</v>
      </c>
      <c r="G3887" s="2">
        <v>505814030</v>
      </c>
      <c r="H3887" s="2" t="s">
        <v>290</v>
      </c>
      <c r="I3887" s="2" t="s">
        <v>2447</v>
      </c>
      <c r="J3887" s="2" t="s">
        <v>2448</v>
      </c>
      <c r="L3887" s="2" t="s">
        <v>339</v>
      </c>
      <c r="M3887" s="2" t="s">
        <v>80</v>
      </c>
      <c r="O3887" s="2" t="s">
        <v>2929</v>
      </c>
      <c r="P3887" s="2" t="s">
        <v>43</v>
      </c>
      <c r="Q3887" s="2" t="s">
        <v>61</v>
      </c>
      <c r="R3887" s="2" t="s">
        <v>62</v>
      </c>
      <c r="S3887" s="2">
        <v>100</v>
      </c>
      <c r="T3887" s="2">
        <v>13</v>
      </c>
      <c r="U3887" s="2">
        <v>2.99</v>
      </c>
      <c r="V3887" s="2">
        <v>15.99</v>
      </c>
      <c r="W3887" s="2">
        <f>0.082*S3887</f>
        <v>8.2000000000000011</v>
      </c>
      <c r="X3887" s="5">
        <f t="shared" si="578"/>
        <v>0.36923076923076914</v>
      </c>
      <c r="Z3887" s="2" t="s">
        <v>3227</v>
      </c>
      <c r="AA3887" s="2" t="s">
        <v>46</v>
      </c>
      <c r="AB3887" s="2" t="s">
        <v>60</v>
      </c>
      <c r="AC3887" s="2" t="s">
        <v>57</v>
      </c>
      <c r="AF3887" s="2">
        <f t="shared" si="573"/>
        <v>0</v>
      </c>
      <c r="AG3887" s="2">
        <v>8.1999999999999993</v>
      </c>
      <c r="AH3887" s="2">
        <v>13</v>
      </c>
      <c r="AJ3887" s="2">
        <f t="shared" si="574"/>
        <v>0</v>
      </c>
      <c r="AK3887" s="2">
        <f t="shared" si="577"/>
        <v>4.7999999999999989</v>
      </c>
      <c r="AL3887" s="5">
        <f t="shared" si="579"/>
        <v>0.36923076923076914</v>
      </c>
    </row>
    <row r="3888" spans="1:38" x14ac:dyDescent="0.2">
      <c r="A3888" s="2">
        <v>2026</v>
      </c>
      <c r="B3888" s="2">
        <v>5</v>
      </c>
      <c r="D3888" s="2" t="s">
        <v>311</v>
      </c>
      <c r="E3888" s="2" t="s">
        <v>2446</v>
      </c>
      <c r="F3888" s="2" t="s">
        <v>39</v>
      </c>
      <c r="G3888" s="2">
        <v>505814030</v>
      </c>
      <c r="H3888" s="2" t="s">
        <v>290</v>
      </c>
      <c r="I3888" s="2" t="s">
        <v>2447</v>
      </c>
      <c r="J3888" s="2" t="s">
        <v>2448</v>
      </c>
      <c r="L3888" s="2" t="s">
        <v>339</v>
      </c>
      <c r="M3888" s="2" t="s">
        <v>80</v>
      </c>
      <c r="O3888" s="2" t="s">
        <v>2929</v>
      </c>
      <c r="P3888" s="2" t="s">
        <v>43</v>
      </c>
      <c r="Q3888" s="2" t="s">
        <v>65</v>
      </c>
      <c r="R3888" s="2" t="s">
        <v>66</v>
      </c>
      <c r="S3888" s="2">
        <v>1</v>
      </c>
      <c r="T3888" s="2">
        <v>23</v>
      </c>
      <c r="U3888" s="2">
        <v>5.29</v>
      </c>
      <c r="V3888" s="2">
        <v>28.29</v>
      </c>
      <c r="W3888" s="2">
        <f>15.0203*S3888</f>
        <v>15.020300000000001</v>
      </c>
      <c r="X3888" s="5">
        <f t="shared" si="578"/>
        <v>0.34694347826086952</v>
      </c>
      <c r="Z3888" s="2" t="s">
        <v>3227</v>
      </c>
      <c r="AA3888" s="2" t="s">
        <v>46</v>
      </c>
      <c r="AB3888" s="2" t="s">
        <v>67</v>
      </c>
      <c r="AC3888" s="2" t="s">
        <v>57</v>
      </c>
      <c r="AF3888" s="2">
        <f t="shared" si="573"/>
        <v>0</v>
      </c>
      <c r="AG3888" s="2">
        <v>15.020300000000001</v>
      </c>
      <c r="AH3888" s="2">
        <v>27.6</v>
      </c>
      <c r="AJ3888" s="2">
        <f t="shared" si="574"/>
        <v>0</v>
      </c>
      <c r="AK3888" s="2">
        <f t="shared" si="577"/>
        <v>7.9796999999999993</v>
      </c>
      <c r="AL3888" s="5">
        <f t="shared" si="579"/>
        <v>0.34694347826086952</v>
      </c>
    </row>
    <row r="3889" spans="1:38" x14ac:dyDescent="0.2">
      <c r="A3889" s="2">
        <v>2026</v>
      </c>
      <c r="B3889" s="2">
        <v>5</v>
      </c>
      <c r="D3889" s="2" t="s">
        <v>311</v>
      </c>
      <c r="E3889" s="2" t="s">
        <v>2446</v>
      </c>
      <c r="F3889" s="2" t="s">
        <v>39</v>
      </c>
      <c r="G3889" s="2">
        <v>505814030</v>
      </c>
      <c r="H3889" s="2" t="s">
        <v>290</v>
      </c>
      <c r="I3889" s="2" t="s">
        <v>2447</v>
      </c>
      <c r="J3889" s="2" t="s">
        <v>2448</v>
      </c>
      <c r="L3889" s="2" t="s">
        <v>339</v>
      </c>
      <c r="M3889" s="2" t="s">
        <v>80</v>
      </c>
      <c r="O3889" s="2" t="s">
        <v>2929</v>
      </c>
      <c r="P3889" s="2" t="s">
        <v>169</v>
      </c>
      <c r="Q3889" s="2" t="s">
        <v>170</v>
      </c>
      <c r="R3889" s="2" t="s">
        <v>170</v>
      </c>
      <c r="S3889" s="2">
        <v>1</v>
      </c>
      <c r="T3889" s="2">
        <v>5</v>
      </c>
      <c r="U3889" s="2">
        <v>1.1499999999999999</v>
      </c>
      <c r="V3889" s="2">
        <v>6.15</v>
      </c>
      <c r="W3889" s="2">
        <v>6</v>
      </c>
      <c r="X3889" s="5">
        <f t="shared" si="578"/>
        <v>-0.2</v>
      </c>
      <c r="Z3889" s="2" t="s">
        <v>169</v>
      </c>
      <c r="AA3889" s="2" t="s">
        <v>169</v>
      </c>
      <c r="AF3889" s="2">
        <f t="shared" si="573"/>
        <v>0</v>
      </c>
      <c r="AJ3889" s="2">
        <f t="shared" si="574"/>
        <v>0</v>
      </c>
      <c r="AK3889" s="2">
        <f t="shared" si="577"/>
        <v>-1</v>
      </c>
      <c r="AL3889" s="5">
        <f t="shared" si="579"/>
        <v>-0.2</v>
      </c>
    </row>
    <row r="3890" spans="1:38" x14ac:dyDescent="0.2">
      <c r="A3890" s="2">
        <v>2026</v>
      </c>
      <c r="B3890" s="2">
        <v>5</v>
      </c>
      <c r="C3890" s="2" t="s">
        <v>3372</v>
      </c>
      <c r="D3890" s="2" t="s">
        <v>302</v>
      </c>
      <c r="E3890" s="2" t="s">
        <v>98</v>
      </c>
      <c r="F3890" s="2" t="s">
        <v>39</v>
      </c>
      <c r="L3890" s="2" t="s">
        <v>339</v>
      </c>
      <c r="M3890" s="2" t="s">
        <v>40</v>
      </c>
      <c r="P3890" s="2" t="s">
        <v>3230</v>
      </c>
      <c r="Q3890" s="2" t="s">
        <v>1786</v>
      </c>
      <c r="R3890" s="2" t="s">
        <v>1787</v>
      </c>
      <c r="S3890" s="2">
        <v>2</v>
      </c>
      <c r="T3890" s="2">
        <v>3723</v>
      </c>
      <c r="U3890" s="2">
        <v>856.29000000000008</v>
      </c>
      <c r="V3890" s="2">
        <v>4579.29</v>
      </c>
      <c r="W3890" s="2">
        <f>1036.96*S3890</f>
        <v>2073.92</v>
      </c>
      <c r="X3890" s="5">
        <f t="shared" si="578"/>
        <v>0.44294386247649742</v>
      </c>
      <c r="Z3890" s="2" t="s">
        <v>104</v>
      </c>
      <c r="AA3890" s="2" t="s">
        <v>105</v>
      </c>
      <c r="AB3890" s="2" t="s">
        <v>106</v>
      </c>
      <c r="AC3890" s="2" t="s">
        <v>3230</v>
      </c>
      <c r="AF3890" s="2">
        <f t="shared" si="573"/>
        <v>0</v>
      </c>
      <c r="AJ3890" s="2">
        <f t="shared" si="574"/>
        <v>0</v>
      </c>
      <c r="AK3890" s="2">
        <f t="shared" si="577"/>
        <v>1649.08</v>
      </c>
      <c r="AL3890" s="5">
        <f t="shared" si="579"/>
        <v>0.44294386247649742</v>
      </c>
    </row>
    <row r="3891" spans="1:38" x14ac:dyDescent="0.2">
      <c r="A3891" s="2">
        <v>2026</v>
      </c>
      <c r="B3891" s="2">
        <v>5</v>
      </c>
      <c r="D3891" s="2" t="s">
        <v>715</v>
      </c>
      <c r="E3891" s="2" t="s">
        <v>108</v>
      </c>
      <c r="F3891" s="2" t="s">
        <v>39</v>
      </c>
      <c r="L3891" s="2" t="s">
        <v>344</v>
      </c>
      <c r="M3891" s="2" t="s">
        <v>40</v>
      </c>
      <c r="P3891" s="2" t="s">
        <v>187</v>
      </c>
      <c r="Q3891" s="2" t="s">
        <v>188</v>
      </c>
      <c r="R3891" s="2" t="s">
        <v>189</v>
      </c>
      <c r="S3891" s="2">
        <v>1</v>
      </c>
      <c r="T3891" s="2">
        <v>237.75</v>
      </c>
      <c r="U3891" s="2">
        <v>54.682499999999997</v>
      </c>
      <c r="V3891" s="2">
        <v>292.4325</v>
      </c>
      <c r="W3891" s="2">
        <f>T3891*40%</f>
        <v>95.100000000000009</v>
      </c>
      <c r="X3891" s="5">
        <f t="shared" si="578"/>
        <v>0.59999999999999987</v>
      </c>
      <c r="Z3891" s="2" t="s">
        <v>117</v>
      </c>
      <c r="AA3891" s="2" t="s">
        <v>190</v>
      </c>
      <c r="AB3891" s="2" t="s">
        <v>189</v>
      </c>
      <c r="AC3891" s="2" t="s">
        <v>40</v>
      </c>
      <c r="AF3891" s="2">
        <f t="shared" si="573"/>
        <v>0</v>
      </c>
      <c r="AG3891" s="2">
        <f>W3891</f>
        <v>95.100000000000009</v>
      </c>
      <c r="AJ3891" s="2">
        <f t="shared" si="574"/>
        <v>0</v>
      </c>
      <c r="AK3891" s="2">
        <f t="shared" si="577"/>
        <v>142.64999999999998</v>
      </c>
      <c r="AL3891" s="5">
        <f t="shared" si="579"/>
        <v>0.59999999999999987</v>
      </c>
    </row>
    <row r="3892" spans="1:38" x14ac:dyDescent="0.2">
      <c r="A3892" s="2">
        <v>2026</v>
      </c>
      <c r="B3892" s="2">
        <v>5</v>
      </c>
      <c r="D3892" s="2" t="s">
        <v>715</v>
      </c>
      <c r="E3892" s="2" t="s">
        <v>108</v>
      </c>
      <c r="F3892" s="2" t="s">
        <v>39</v>
      </c>
      <c r="L3892" s="2" t="s">
        <v>344</v>
      </c>
      <c r="M3892" s="2" t="s">
        <v>40</v>
      </c>
      <c r="P3892" s="2" t="s">
        <v>187</v>
      </c>
      <c r="Q3892" s="2" t="s">
        <v>191</v>
      </c>
      <c r="R3892" s="2" t="s">
        <v>190</v>
      </c>
      <c r="S3892" s="2">
        <v>1</v>
      </c>
      <c r="T3892" s="2">
        <v>55</v>
      </c>
      <c r="U3892" s="2">
        <v>12.65</v>
      </c>
      <c r="V3892" s="2">
        <v>67.650000000000006</v>
      </c>
      <c r="W3892" s="2">
        <f>T3892*50%</f>
        <v>27.5</v>
      </c>
      <c r="X3892" s="5">
        <f t="shared" si="578"/>
        <v>0.5</v>
      </c>
      <c r="Z3892" s="2" t="s">
        <v>117</v>
      </c>
      <c r="AA3892" s="2" t="s">
        <v>190</v>
      </c>
      <c r="AB3892" s="2" t="s">
        <v>190</v>
      </c>
      <c r="AC3892" s="2" t="s">
        <v>40</v>
      </c>
      <c r="AF3892" s="2">
        <f t="shared" si="573"/>
        <v>0</v>
      </c>
      <c r="AG3892" s="2">
        <f>W3892</f>
        <v>27.5</v>
      </c>
      <c r="AJ3892" s="2">
        <f t="shared" si="574"/>
        <v>0</v>
      </c>
      <c r="AK3892" s="2">
        <f t="shared" ref="AK3892:AK3923" si="580">T3892-W3892</f>
        <v>27.5</v>
      </c>
      <c r="AL3892" s="5">
        <f t="shared" si="579"/>
        <v>0.5</v>
      </c>
    </row>
    <row r="3893" spans="1:38" x14ac:dyDescent="0.2">
      <c r="A3893" s="2">
        <v>2026</v>
      </c>
      <c r="B3893" s="2">
        <v>5</v>
      </c>
      <c r="D3893" s="2" t="s">
        <v>715</v>
      </c>
      <c r="E3893" s="2" t="s">
        <v>108</v>
      </c>
      <c r="F3893" s="2" t="s">
        <v>39</v>
      </c>
      <c r="L3893" s="2" t="s">
        <v>344</v>
      </c>
      <c r="P3893" s="2" t="s">
        <v>40</v>
      </c>
      <c r="Q3893" s="2" t="s">
        <v>363</v>
      </c>
      <c r="R3893" s="2" t="s">
        <v>364</v>
      </c>
      <c r="S3893" s="2">
        <v>1</v>
      </c>
      <c r="T3893" s="2">
        <v>297.5</v>
      </c>
      <c r="U3893" s="2">
        <v>68.424999999999997</v>
      </c>
      <c r="V3893" s="2">
        <v>365.92500000000001</v>
      </c>
      <c r="X3893" s="5">
        <f t="shared" si="578"/>
        <v>1</v>
      </c>
      <c r="Z3893" s="2" t="s">
        <v>119</v>
      </c>
      <c r="AA3893" s="2" t="s">
        <v>3380</v>
      </c>
      <c r="AF3893" s="2">
        <f t="shared" si="573"/>
        <v>0</v>
      </c>
      <c r="AJ3893" s="2">
        <f t="shared" si="574"/>
        <v>0</v>
      </c>
      <c r="AK3893" s="2">
        <f t="shared" si="580"/>
        <v>297.5</v>
      </c>
      <c r="AL3893" s="5">
        <f t="shared" si="579"/>
        <v>1</v>
      </c>
    </row>
    <row r="3894" spans="1:38" x14ac:dyDescent="0.2">
      <c r="A3894" s="2">
        <v>2026</v>
      </c>
      <c r="B3894" s="2">
        <v>5</v>
      </c>
      <c r="D3894" s="2" t="s">
        <v>297</v>
      </c>
      <c r="E3894" s="2" t="s">
        <v>38</v>
      </c>
      <c r="F3894" s="2" t="s">
        <v>39</v>
      </c>
      <c r="G3894" s="2">
        <v>510939570</v>
      </c>
      <c r="H3894" s="2" t="s">
        <v>41</v>
      </c>
      <c r="I3894" s="2" t="s">
        <v>298</v>
      </c>
      <c r="J3894" s="2" t="s">
        <v>299</v>
      </c>
      <c r="K3894" s="2">
        <v>962678129</v>
      </c>
      <c r="L3894" s="2" t="s">
        <v>177</v>
      </c>
      <c r="M3894" s="2" t="s">
        <v>40</v>
      </c>
      <c r="O3894" s="2" t="s">
        <v>2930</v>
      </c>
      <c r="P3894" s="2" t="s">
        <v>114</v>
      </c>
      <c r="Q3894" s="2" t="s">
        <v>1151</v>
      </c>
      <c r="R3894" s="2" t="s">
        <v>1152</v>
      </c>
      <c r="S3894" s="2">
        <v>1</v>
      </c>
      <c r="T3894" s="2">
        <v>257.72000000000003</v>
      </c>
      <c r="U3894" s="2">
        <v>59.275600000000011</v>
      </c>
      <c r="V3894" s="2">
        <v>316.99560000000002</v>
      </c>
      <c r="W3894" s="2">
        <v>110.8</v>
      </c>
      <c r="X3894" s="5">
        <f t="shared" si="578"/>
        <v>0.57007605152879093</v>
      </c>
      <c r="Z3894" s="2" t="s">
        <v>117</v>
      </c>
      <c r="AA3894" s="2" t="s">
        <v>118</v>
      </c>
      <c r="AB3894" s="2" t="s">
        <v>119</v>
      </c>
      <c r="AC3894" s="2" t="s">
        <v>114</v>
      </c>
      <c r="AF3894" s="2">
        <f t="shared" si="573"/>
        <v>0</v>
      </c>
      <c r="AJ3894" s="2">
        <f t="shared" si="574"/>
        <v>0</v>
      </c>
      <c r="AK3894" s="2">
        <f t="shared" si="580"/>
        <v>146.92000000000002</v>
      </c>
      <c r="AL3894" s="5">
        <f t="shared" si="579"/>
        <v>0.57007605152879093</v>
      </c>
    </row>
    <row r="3895" spans="1:38" x14ac:dyDescent="0.2">
      <c r="A3895" s="2">
        <v>2026</v>
      </c>
      <c r="B3895" s="2">
        <v>5</v>
      </c>
      <c r="D3895" s="2" t="s">
        <v>1347</v>
      </c>
      <c r="E3895" s="2" t="s">
        <v>38</v>
      </c>
      <c r="F3895" s="2" t="s">
        <v>39</v>
      </c>
      <c r="G3895" s="2">
        <v>513960392</v>
      </c>
      <c r="H3895" s="2" t="s">
        <v>109</v>
      </c>
      <c r="I3895" s="2" t="s">
        <v>2931</v>
      </c>
      <c r="J3895" s="2" t="s">
        <v>2932</v>
      </c>
      <c r="K3895" s="2">
        <v>915170083</v>
      </c>
      <c r="L3895" s="2" t="s">
        <v>461</v>
      </c>
      <c r="M3895" s="2" t="s">
        <v>80</v>
      </c>
      <c r="O3895" s="2" t="s">
        <v>2933</v>
      </c>
      <c r="P3895" s="2" t="s">
        <v>72</v>
      </c>
      <c r="Q3895" s="2" t="s">
        <v>301</v>
      </c>
      <c r="R3895" s="2" t="s">
        <v>74</v>
      </c>
      <c r="S3895" s="2">
        <v>1</v>
      </c>
      <c r="T3895" s="2">
        <v>230</v>
      </c>
      <c r="U3895" s="2">
        <v>52.900000000000013</v>
      </c>
      <c r="V3895" s="2">
        <v>282.89999999999998</v>
      </c>
      <c r="W3895" s="2">
        <v>121.46</v>
      </c>
      <c r="X3895" s="5">
        <f t="shared" si="578"/>
        <v>0.47191304347826091</v>
      </c>
      <c r="Z3895" s="2" t="s">
        <v>3227</v>
      </c>
      <c r="AA3895" s="2" t="s">
        <v>75</v>
      </c>
      <c r="AB3895" s="2" t="s">
        <v>76</v>
      </c>
      <c r="AC3895" s="2" t="s">
        <v>77</v>
      </c>
      <c r="AF3895" s="2">
        <f t="shared" si="573"/>
        <v>0</v>
      </c>
      <c r="AG3895" s="2">
        <v>121.46</v>
      </c>
      <c r="AH3895" s="2">
        <v>210</v>
      </c>
      <c r="AJ3895" s="2">
        <f t="shared" si="574"/>
        <v>0</v>
      </c>
      <c r="AK3895" s="2">
        <f t="shared" si="580"/>
        <v>108.54</v>
      </c>
      <c r="AL3895" s="5">
        <f t="shared" si="579"/>
        <v>0.47191304347826091</v>
      </c>
    </row>
    <row r="3896" spans="1:38" x14ac:dyDescent="0.2">
      <c r="A3896" s="2">
        <v>2026</v>
      </c>
      <c r="B3896" s="2">
        <v>5</v>
      </c>
      <c r="D3896" s="2" t="s">
        <v>1347</v>
      </c>
      <c r="P3896" s="2" t="s">
        <v>93</v>
      </c>
      <c r="Q3896" s="2" t="s">
        <v>94</v>
      </c>
      <c r="R3896" s="2" t="s">
        <v>95</v>
      </c>
      <c r="S3896" s="2">
        <v>1</v>
      </c>
      <c r="T3896" s="2">
        <v>1.48</v>
      </c>
      <c r="U3896" s="2">
        <v>0.34039999999999998</v>
      </c>
      <c r="V3896" s="2">
        <v>1.8204</v>
      </c>
      <c r="W3896" s="2">
        <v>1.48</v>
      </c>
      <c r="X3896" s="5">
        <f t="shared" si="578"/>
        <v>0</v>
      </c>
      <c r="Z3896" s="2" t="s">
        <v>3227</v>
      </c>
      <c r="AA3896" s="2" t="s">
        <v>96</v>
      </c>
      <c r="AB3896" s="2" t="s">
        <v>76</v>
      </c>
      <c r="AC3896" s="2" t="s">
        <v>93</v>
      </c>
      <c r="AF3896" s="2">
        <f t="shared" si="573"/>
        <v>0</v>
      </c>
      <c r="AJ3896" s="2">
        <f t="shared" si="574"/>
        <v>0</v>
      </c>
      <c r="AK3896" s="2">
        <f t="shared" si="580"/>
        <v>0</v>
      </c>
      <c r="AL3896" s="5">
        <f t="shared" si="579"/>
        <v>0</v>
      </c>
    </row>
    <row r="3897" spans="1:38" x14ac:dyDescent="0.2">
      <c r="A3897" s="2">
        <v>2026</v>
      </c>
      <c r="B3897" s="2">
        <v>5</v>
      </c>
      <c r="D3897" s="2" t="s">
        <v>319</v>
      </c>
      <c r="E3897" s="2" t="s">
        <v>38</v>
      </c>
      <c r="F3897" s="2" t="s">
        <v>39</v>
      </c>
      <c r="G3897" s="2">
        <v>500883262</v>
      </c>
      <c r="H3897" s="2" t="s">
        <v>40</v>
      </c>
      <c r="I3897" s="2" t="s">
        <v>99</v>
      </c>
      <c r="J3897" s="2" t="s">
        <v>320</v>
      </c>
      <c r="L3897" s="2" t="s">
        <v>99</v>
      </c>
      <c r="M3897" s="2" t="s">
        <v>80</v>
      </c>
      <c r="O3897" s="2" t="s">
        <v>2934</v>
      </c>
      <c r="P3897" s="2" t="s">
        <v>72</v>
      </c>
      <c r="Q3897" s="2" t="s">
        <v>1025</v>
      </c>
      <c r="R3897" s="2" t="s">
        <v>197</v>
      </c>
      <c r="S3897" s="2">
        <v>1</v>
      </c>
      <c r="T3897" s="2">
        <v>270</v>
      </c>
      <c r="U3897" s="2">
        <v>62.1</v>
      </c>
      <c r="V3897" s="2">
        <v>332.1</v>
      </c>
      <c r="W3897" s="2">
        <v>152.85</v>
      </c>
      <c r="X3897" s="5">
        <f t="shared" si="578"/>
        <v>0.43388888888888894</v>
      </c>
      <c r="Z3897" s="2" t="s">
        <v>3227</v>
      </c>
      <c r="AA3897" s="2" t="s">
        <v>75</v>
      </c>
      <c r="AB3897" s="2" t="s">
        <v>76</v>
      </c>
      <c r="AC3897" s="2" t="s">
        <v>77</v>
      </c>
      <c r="AF3897" s="2">
        <f t="shared" si="573"/>
        <v>0</v>
      </c>
      <c r="AJ3897" s="2">
        <f t="shared" si="574"/>
        <v>0</v>
      </c>
      <c r="AK3897" s="2">
        <f t="shared" si="580"/>
        <v>117.15</v>
      </c>
      <c r="AL3897" s="5">
        <f t="shared" si="579"/>
        <v>0.43388888888888894</v>
      </c>
    </row>
    <row r="3898" spans="1:38" x14ac:dyDescent="0.2">
      <c r="A3898" s="2">
        <v>2026</v>
      </c>
      <c r="B3898" s="2">
        <v>5</v>
      </c>
      <c r="D3898" s="2" t="s">
        <v>319</v>
      </c>
      <c r="E3898" s="2" t="s">
        <v>38</v>
      </c>
      <c r="F3898" s="2" t="s">
        <v>39</v>
      </c>
      <c r="G3898" s="2">
        <v>500883262</v>
      </c>
      <c r="H3898" s="2" t="s">
        <v>40</v>
      </c>
      <c r="I3898" s="2" t="s">
        <v>99</v>
      </c>
      <c r="J3898" s="2" t="s">
        <v>320</v>
      </c>
      <c r="L3898" s="2" t="s">
        <v>99</v>
      </c>
      <c r="M3898" s="2" t="s">
        <v>80</v>
      </c>
      <c r="O3898" s="2" t="s">
        <v>2934</v>
      </c>
      <c r="P3898" s="2" t="s">
        <v>93</v>
      </c>
      <c r="Q3898" s="2" t="s">
        <v>94</v>
      </c>
      <c r="R3898" s="2" t="s">
        <v>95</v>
      </c>
      <c r="S3898" s="2">
        <v>1</v>
      </c>
      <c r="T3898" s="2">
        <v>1.48</v>
      </c>
      <c r="U3898" s="2">
        <v>0.34039999999999998</v>
      </c>
      <c r="V3898" s="2">
        <v>1.8204</v>
      </c>
      <c r="W3898" s="2">
        <v>1.48</v>
      </c>
      <c r="X3898" s="5">
        <f t="shared" si="578"/>
        <v>0</v>
      </c>
      <c r="Z3898" s="2" t="s">
        <v>3227</v>
      </c>
      <c r="AA3898" s="2" t="s">
        <v>96</v>
      </c>
      <c r="AB3898" s="2" t="s">
        <v>76</v>
      </c>
      <c r="AC3898" s="2" t="s">
        <v>93</v>
      </c>
      <c r="AF3898" s="2">
        <f t="shared" si="573"/>
        <v>0</v>
      </c>
      <c r="AJ3898" s="2">
        <f t="shared" si="574"/>
        <v>0</v>
      </c>
      <c r="AK3898" s="2">
        <f t="shared" si="580"/>
        <v>0</v>
      </c>
      <c r="AL3898" s="5">
        <f t="shared" si="579"/>
        <v>0</v>
      </c>
    </row>
    <row r="3899" spans="1:38" x14ac:dyDescent="0.2">
      <c r="A3899" s="2">
        <v>2026</v>
      </c>
      <c r="B3899" s="2">
        <v>5</v>
      </c>
      <c r="C3899" s="2" t="s">
        <v>3372</v>
      </c>
      <c r="D3899" s="2" t="s">
        <v>2935</v>
      </c>
      <c r="E3899" s="2" t="s">
        <v>108</v>
      </c>
      <c r="F3899" s="2" t="s">
        <v>477</v>
      </c>
      <c r="L3899" s="2" t="s">
        <v>133</v>
      </c>
      <c r="M3899" s="2" t="s">
        <v>109</v>
      </c>
      <c r="P3899" s="2" t="s">
        <v>43</v>
      </c>
      <c r="Q3899" s="2" t="s">
        <v>61</v>
      </c>
      <c r="R3899" s="2" t="s">
        <v>62</v>
      </c>
      <c r="S3899" s="2">
        <v>100</v>
      </c>
      <c r="T3899" s="2">
        <v>14</v>
      </c>
      <c r="U3899" s="2">
        <v>3.22</v>
      </c>
      <c r="V3899" s="2">
        <v>17.22</v>
      </c>
      <c r="W3899" s="2">
        <f>0.082*S3899</f>
        <v>8.2000000000000011</v>
      </c>
      <c r="X3899" s="5">
        <f t="shared" si="578"/>
        <v>0.4142857142857142</v>
      </c>
      <c r="Z3899" s="2" t="s">
        <v>3227</v>
      </c>
      <c r="AA3899" s="2" t="s">
        <v>46</v>
      </c>
      <c r="AB3899" s="2" t="s">
        <v>60</v>
      </c>
      <c r="AC3899" s="2" t="s">
        <v>57</v>
      </c>
      <c r="AF3899" s="2">
        <f t="shared" si="573"/>
        <v>0</v>
      </c>
      <c r="AG3899" s="2">
        <v>8.1999999999999993</v>
      </c>
      <c r="AH3899" s="2">
        <v>13</v>
      </c>
      <c r="AJ3899" s="2">
        <f t="shared" si="574"/>
        <v>0</v>
      </c>
      <c r="AK3899" s="2">
        <f t="shared" si="580"/>
        <v>5.7999999999999989</v>
      </c>
      <c r="AL3899" s="5">
        <f t="shared" si="579"/>
        <v>0.4142857142857142</v>
      </c>
    </row>
    <row r="3900" spans="1:38" x14ac:dyDescent="0.2">
      <c r="A3900" s="2">
        <v>2026</v>
      </c>
      <c r="B3900" s="2">
        <v>5</v>
      </c>
      <c r="D3900" s="2" t="s">
        <v>980</v>
      </c>
      <c r="E3900" s="2" t="s">
        <v>38</v>
      </c>
      <c r="F3900" s="2" t="s">
        <v>39</v>
      </c>
      <c r="L3900" s="2" t="s">
        <v>418</v>
      </c>
      <c r="M3900" s="2" t="s">
        <v>41</v>
      </c>
      <c r="P3900" s="2" t="s">
        <v>43</v>
      </c>
      <c r="Q3900" s="2" t="s">
        <v>54</v>
      </c>
      <c r="R3900" s="2" t="s">
        <v>55</v>
      </c>
      <c r="S3900" s="2">
        <v>2</v>
      </c>
      <c r="T3900" s="2">
        <v>36</v>
      </c>
      <c r="U3900" s="2">
        <v>8.2800000000000011</v>
      </c>
      <c r="V3900" s="2">
        <v>44.28</v>
      </c>
      <c r="W3900" s="2">
        <f>10.6*S3900</f>
        <v>21.2</v>
      </c>
      <c r="X3900" s="5">
        <f t="shared" si="578"/>
        <v>0.41111111111111115</v>
      </c>
      <c r="Z3900" s="2" t="s">
        <v>3227</v>
      </c>
      <c r="AA3900" s="2" t="s">
        <v>46</v>
      </c>
      <c r="AB3900" s="2" t="s">
        <v>56</v>
      </c>
      <c r="AC3900" s="2" t="s">
        <v>57</v>
      </c>
      <c r="AF3900" s="2">
        <f t="shared" si="573"/>
        <v>0</v>
      </c>
      <c r="AG3900" s="2">
        <v>10.6</v>
      </c>
      <c r="AH3900" s="2">
        <v>18</v>
      </c>
      <c r="AJ3900" s="2">
        <f t="shared" si="574"/>
        <v>0</v>
      </c>
      <c r="AK3900" s="2">
        <f t="shared" si="580"/>
        <v>14.8</v>
      </c>
      <c r="AL3900" s="5">
        <f t="shared" si="579"/>
        <v>0.41111111111111115</v>
      </c>
    </row>
    <row r="3901" spans="1:38" x14ac:dyDescent="0.2">
      <c r="A3901" s="2">
        <v>2026</v>
      </c>
      <c r="B3901" s="2">
        <v>5</v>
      </c>
      <c r="D3901" s="2" t="s">
        <v>981</v>
      </c>
      <c r="E3901" s="2" t="s">
        <v>108</v>
      </c>
      <c r="F3901" s="2" t="s">
        <v>717</v>
      </c>
      <c r="G3901" s="2">
        <v>500594309</v>
      </c>
      <c r="H3901" s="2" t="s">
        <v>290</v>
      </c>
      <c r="I3901" s="2" t="s">
        <v>982</v>
      </c>
      <c r="J3901" s="2" t="s">
        <v>983</v>
      </c>
      <c r="L3901" s="2" t="s">
        <v>293</v>
      </c>
      <c r="M3901" s="2" t="s">
        <v>80</v>
      </c>
      <c r="O3901" s="2" t="s">
        <v>2936</v>
      </c>
      <c r="P3901" s="2" t="s">
        <v>72</v>
      </c>
      <c r="Q3901" s="2" t="s">
        <v>73</v>
      </c>
      <c r="R3901" s="2" t="s">
        <v>74</v>
      </c>
      <c r="S3901" s="2">
        <v>1</v>
      </c>
      <c r="T3901" s="2">
        <v>220</v>
      </c>
      <c r="U3901" s="2">
        <v>50.6</v>
      </c>
      <c r="V3901" s="2">
        <v>270.60000000000002</v>
      </c>
      <c r="W3901" s="2">
        <v>125.51600000000001</v>
      </c>
      <c r="X3901" s="5">
        <f t="shared" si="578"/>
        <v>0.42947272727272723</v>
      </c>
      <c r="Z3901" s="2" t="s">
        <v>3227</v>
      </c>
      <c r="AA3901" s="2" t="s">
        <v>75</v>
      </c>
      <c r="AB3901" s="2" t="s">
        <v>76</v>
      </c>
      <c r="AC3901" s="2" t="s">
        <v>77</v>
      </c>
      <c r="AF3901" s="2">
        <f t="shared" si="573"/>
        <v>0</v>
      </c>
      <c r="AG3901" s="2">
        <v>125.51600000000001</v>
      </c>
      <c r="AH3901" s="2">
        <v>220</v>
      </c>
      <c r="AJ3901" s="2">
        <f t="shared" si="574"/>
        <v>0</v>
      </c>
      <c r="AK3901" s="2">
        <f t="shared" si="580"/>
        <v>94.483999999999995</v>
      </c>
      <c r="AL3901" s="5">
        <f t="shared" si="579"/>
        <v>0.42947272727272723</v>
      </c>
    </row>
    <row r="3902" spans="1:38" x14ac:dyDescent="0.2">
      <c r="A3902" s="2">
        <v>2026</v>
      </c>
      <c r="B3902" s="2">
        <v>5</v>
      </c>
      <c r="D3902" s="2" t="s">
        <v>981</v>
      </c>
      <c r="E3902" s="2" t="s">
        <v>108</v>
      </c>
      <c r="F3902" s="2" t="s">
        <v>717</v>
      </c>
      <c r="G3902" s="2">
        <v>500594309</v>
      </c>
      <c r="H3902" s="2" t="s">
        <v>290</v>
      </c>
      <c r="I3902" s="2" t="s">
        <v>982</v>
      </c>
      <c r="J3902" s="2" t="s">
        <v>983</v>
      </c>
      <c r="L3902" s="2" t="s">
        <v>293</v>
      </c>
      <c r="M3902" s="2" t="s">
        <v>80</v>
      </c>
      <c r="O3902" s="2" t="s">
        <v>2936</v>
      </c>
      <c r="P3902" s="2" t="s">
        <v>72</v>
      </c>
      <c r="Q3902" s="2" t="s">
        <v>78</v>
      </c>
      <c r="R3902" s="2" t="s">
        <v>79</v>
      </c>
      <c r="S3902" s="2">
        <v>1</v>
      </c>
      <c r="T3902" s="2">
        <v>205</v>
      </c>
      <c r="U3902" s="2">
        <v>47.15</v>
      </c>
      <c r="V3902" s="2">
        <v>252.15</v>
      </c>
      <c r="W3902" s="2">
        <v>111.98</v>
      </c>
      <c r="X3902" s="5">
        <f t="shared" si="578"/>
        <v>0.45375609756097557</v>
      </c>
      <c r="Z3902" s="2" t="s">
        <v>3227</v>
      </c>
      <c r="AA3902" s="2" t="s">
        <v>75</v>
      </c>
      <c r="AB3902" s="2" t="s">
        <v>76</v>
      </c>
      <c r="AC3902" s="2" t="s">
        <v>77</v>
      </c>
      <c r="AF3902" s="2">
        <f t="shared" si="573"/>
        <v>0</v>
      </c>
      <c r="AG3902" s="2">
        <v>111.98</v>
      </c>
      <c r="AH3902" s="2">
        <v>210</v>
      </c>
      <c r="AJ3902" s="2">
        <f t="shared" si="574"/>
        <v>0</v>
      </c>
      <c r="AK3902" s="2">
        <f t="shared" si="580"/>
        <v>93.02</v>
      </c>
      <c r="AL3902" s="5">
        <f t="shared" si="579"/>
        <v>0.45375609756097557</v>
      </c>
    </row>
    <row r="3903" spans="1:38" x14ac:dyDescent="0.2">
      <c r="A3903" s="2">
        <v>2026</v>
      </c>
      <c r="B3903" s="2">
        <v>5</v>
      </c>
      <c r="D3903" s="2" t="s">
        <v>981</v>
      </c>
      <c r="E3903" s="2" t="s">
        <v>108</v>
      </c>
      <c r="F3903" s="2" t="s">
        <v>717</v>
      </c>
      <c r="G3903" s="2">
        <v>500594309</v>
      </c>
      <c r="H3903" s="2" t="s">
        <v>290</v>
      </c>
      <c r="I3903" s="2" t="s">
        <v>982</v>
      </c>
      <c r="J3903" s="2" t="s">
        <v>983</v>
      </c>
      <c r="L3903" s="2" t="s">
        <v>293</v>
      </c>
      <c r="M3903" s="2" t="s">
        <v>80</v>
      </c>
      <c r="O3903" s="2" t="s">
        <v>2936</v>
      </c>
      <c r="P3903" s="2" t="s">
        <v>93</v>
      </c>
      <c r="Q3903" s="2" t="s">
        <v>94</v>
      </c>
      <c r="R3903" s="2" t="s">
        <v>95</v>
      </c>
      <c r="S3903" s="2">
        <v>2</v>
      </c>
      <c r="T3903" s="2">
        <v>2.96</v>
      </c>
      <c r="U3903" s="2">
        <v>0.68080000000000007</v>
      </c>
      <c r="V3903" s="2">
        <v>3.6408</v>
      </c>
      <c r="W3903" s="2">
        <f>1.48*S3903</f>
        <v>2.96</v>
      </c>
      <c r="X3903" s="5">
        <f t="shared" si="578"/>
        <v>0</v>
      </c>
      <c r="Z3903" s="2" t="s">
        <v>3227</v>
      </c>
      <c r="AA3903" s="2" t="s">
        <v>96</v>
      </c>
      <c r="AB3903" s="2" t="s">
        <v>76</v>
      </c>
      <c r="AC3903" s="2" t="s">
        <v>93</v>
      </c>
      <c r="AF3903" s="2">
        <f t="shared" si="573"/>
        <v>0</v>
      </c>
      <c r="AG3903" s="2">
        <v>1.48</v>
      </c>
      <c r="AH3903" s="2">
        <v>1.48</v>
      </c>
      <c r="AJ3903" s="2">
        <f t="shared" si="574"/>
        <v>0</v>
      </c>
      <c r="AK3903" s="2">
        <f t="shared" si="580"/>
        <v>0</v>
      </c>
      <c r="AL3903" s="5">
        <f t="shared" si="579"/>
        <v>0</v>
      </c>
    </row>
    <row r="3904" spans="1:38" x14ac:dyDescent="0.2">
      <c r="A3904" s="2">
        <v>2026</v>
      </c>
      <c r="B3904" s="2">
        <v>5</v>
      </c>
      <c r="D3904" s="2" t="s">
        <v>1355</v>
      </c>
      <c r="E3904" s="2" t="s">
        <v>752</v>
      </c>
      <c r="F3904" s="2" t="s">
        <v>39</v>
      </c>
      <c r="G3904" s="2">
        <v>518238334</v>
      </c>
      <c r="H3904" s="2" t="s">
        <v>41</v>
      </c>
      <c r="I3904" s="2" t="s">
        <v>762</v>
      </c>
      <c r="J3904" s="2" t="s">
        <v>1356</v>
      </c>
      <c r="L3904" s="2" t="s">
        <v>418</v>
      </c>
      <c r="P3904" s="2" t="s">
        <v>282</v>
      </c>
      <c r="Q3904" s="2" t="s">
        <v>1510</v>
      </c>
      <c r="R3904" s="2" t="s">
        <v>1511</v>
      </c>
      <c r="S3904" s="2">
        <v>1</v>
      </c>
      <c r="T3904" s="2">
        <v>45</v>
      </c>
      <c r="U3904" s="2">
        <v>10.35</v>
      </c>
      <c r="V3904" s="2">
        <v>55.35</v>
      </c>
      <c r="W3904" s="2">
        <f>27.445*S3904</f>
        <v>27.445</v>
      </c>
      <c r="X3904" s="5">
        <f t="shared" si="578"/>
        <v>0.39011111111111113</v>
      </c>
      <c r="Z3904" s="2" t="s">
        <v>3227</v>
      </c>
      <c r="AA3904" s="2" t="s">
        <v>71</v>
      </c>
      <c r="AB3904" s="2" t="s">
        <v>1600</v>
      </c>
      <c r="AC3904" s="2" t="s">
        <v>1600</v>
      </c>
      <c r="AF3904" s="2">
        <f t="shared" si="573"/>
        <v>0</v>
      </c>
      <c r="AJ3904" s="2">
        <f t="shared" si="574"/>
        <v>0</v>
      </c>
      <c r="AK3904" s="2">
        <f t="shared" si="580"/>
        <v>17.555</v>
      </c>
      <c r="AL3904" s="5">
        <f t="shared" si="579"/>
        <v>0.39011111111111113</v>
      </c>
    </row>
    <row r="3905" spans="1:38" x14ac:dyDescent="0.2">
      <c r="A3905" s="2">
        <v>2026</v>
      </c>
      <c r="B3905" s="2">
        <v>5</v>
      </c>
      <c r="D3905" s="2" t="s">
        <v>2557</v>
      </c>
      <c r="E3905" s="2" t="s">
        <v>108</v>
      </c>
      <c r="F3905" s="2" t="s">
        <v>717</v>
      </c>
      <c r="G3905" s="2">
        <v>500228264</v>
      </c>
      <c r="H3905" s="2" t="s">
        <v>109</v>
      </c>
      <c r="I3905" s="2" t="s">
        <v>2937</v>
      </c>
      <c r="J3905" s="2" t="s">
        <v>2938</v>
      </c>
      <c r="K3905" s="2">
        <v>962004672</v>
      </c>
      <c r="L3905" s="2" t="s">
        <v>398</v>
      </c>
      <c r="M3905" s="2" t="s">
        <v>80</v>
      </c>
      <c r="O3905" s="2" t="s">
        <v>2939</v>
      </c>
      <c r="P3905" s="2" t="s">
        <v>72</v>
      </c>
      <c r="Q3905" s="2" t="s">
        <v>681</v>
      </c>
      <c r="R3905" s="2" t="s">
        <v>74</v>
      </c>
      <c r="S3905" s="2">
        <v>1</v>
      </c>
      <c r="T3905" s="2">
        <v>220</v>
      </c>
      <c r="U3905" s="2">
        <v>50.6</v>
      </c>
      <c r="V3905" s="2">
        <v>270.60000000000002</v>
      </c>
      <c r="W3905" s="2">
        <v>104.49</v>
      </c>
      <c r="X3905" s="5">
        <f t="shared" si="578"/>
        <v>0.52504545454545459</v>
      </c>
      <c r="Z3905" s="2" t="s">
        <v>3227</v>
      </c>
      <c r="AA3905" s="2" t="s">
        <v>75</v>
      </c>
      <c r="AB3905" s="2" t="s">
        <v>76</v>
      </c>
      <c r="AC3905" s="2" t="s">
        <v>77</v>
      </c>
      <c r="AF3905" s="2">
        <f t="shared" si="573"/>
        <v>0</v>
      </c>
      <c r="AG3905" s="2">
        <v>104.49</v>
      </c>
      <c r="AH3905" s="2">
        <v>220</v>
      </c>
      <c r="AJ3905" s="2">
        <f t="shared" si="574"/>
        <v>0</v>
      </c>
      <c r="AK3905" s="2">
        <f t="shared" si="580"/>
        <v>115.51</v>
      </c>
      <c r="AL3905" s="5">
        <f t="shared" si="579"/>
        <v>0.52504545454545459</v>
      </c>
    </row>
    <row r="3906" spans="1:38" x14ac:dyDescent="0.2">
      <c r="A3906" s="2">
        <v>2026</v>
      </c>
      <c r="B3906" s="2">
        <v>5</v>
      </c>
      <c r="D3906" s="2" t="s">
        <v>2557</v>
      </c>
      <c r="P3906" s="2" t="s">
        <v>93</v>
      </c>
      <c r="Q3906" s="2" t="s">
        <v>94</v>
      </c>
      <c r="R3906" s="2" t="s">
        <v>95</v>
      </c>
      <c r="S3906" s="2">
        <v>1</v>
      </c>
      <c r="T3906" s="2">
        <v>1.48</v>
      </c>
      <c r="U3906" s="2">
        <v>0.34039999999999998</v>
      </c>
      <c r="V3906" s="2">
        <v>1.8204</v>
      </c>
      <c r="X3906" s="5">
        <f t="shared" si="578"/>
        <v>1</v>
      </c>
      <c r="Z3906" s="2" t="s">
        <v>3227</v>
      </c>
      <c r="AA3906" s="2" t="s">
        <v>96</v>
      </c>
      <c r="AB3906" s="2" t="s">
        <v>76</v>
      </c>
      <c r="AC3906" s="2" t="s">
        <v>93</v>
      </c>
      <c r="AF3906" s="2">
        <f t="shared" ref="AF3906:AF3969" si="581">AJ3906</f>
        <v>0</v>
      </c>
      <c r="AJ3906" s="2">
        <f t="shared" ref="AJ3906:AJ3969" si="582">AI3906*T3906</f>
        <v>0</v>
      </c>
      <c r="AK3906" s="2">
        <f t="shared" si="580"/>
        <v>1.48</v>
      </c>
      <c r="AL3906" s="5">
        <f t="shared" si="579"/>
        <v>1</v>
      </c>
    </row>
    <row r="3907" spans="1:38" x14ac:dyDescent="0.2">
      <c r="A3907" s="2">
        <v>2026</v>
      </c>
      <c r="B3907" s="2">
        <v>5</v>
      </c>
      <c r="D3907" s="2" t="s">
        <v>347</v>
      </c>
      <c r="E3907" s="2" t="s">
        <v>108</v>
      </c>
      <c r="F3907" s="2" t="s">
        <v>39</v>
      </c>
      <c r="G3907" s="2">
        <v>517451123</v>
      </c>
      <c r="H3907" s="2" t="s">
        <v>41</v>
      </c>
      <c r="I3907" s="2" t="s">
        <v>348</v>
      </c>
      <c r="J3907" s="2" t="s">
        <v>349</v>
      </c>
      <c r="K3907" s="2">
        <v>915209128</v>
      </c>
      <c r="L3907" s="2" t="s">
        <v>177</v>
      </c>
      <c r="M3907" s="2" t="s">
        <v>41</v>
      </c>
      <c r="O3907" s="2" t="s">
        <v>2940</v>
      </c>
      <c r="P3907" s="2" t="s">
        <v>43</v>
      </c>
      <c r="Q3907" s="2" t="s">
        <v>50</v>
      </c>
      <c r="R3907" s="2" t="s">
        <v>51</v>
      </c>
      <c r="S3907" s="2">
        <v>1</v>
      </c>
      <c r="T3907" s="2">
        <v>21</v>
      </c>
      <c r="U3907" s="2">
        <v>4.83</v>
      </c>
      <c r="V3907" s="2">
        <v>25.83</v>
      </c>
      <c r="W3907" s="2">
        <f>14.4*S3907</f>
        <v>14.4</v>
      </c>
      <c r="X3907" s="5">
        <f t="shared" si="578"/>
        <v>0.31428571428571428</v>
      </c>
      <c r="Z3907" s="2" t="s">
        <v>3227</v>
      </c>
      <c r="AA3907" s="2" t="s">
        <v>46</v>
      </c>
      <c r="AB3907" s="2" t="s">
        <v>47</v>
      </c>
      <c r="AC3907" s="2" t="s">
        <v>57</v>
      </c>
      <c r="AF3907" s="2">
        <f t="shared" si="581"/>
        <v>0</v>
      </c>
      <c r="AG3907" s="2">
        <v>14.4</v>
      </c>
      <c r="AH3907" s="2">
        <v>21</v>
      </c>
      <c r="AJ3907" s="2">
        <f t="shared" si="582"/>
        <v>0</v>
      </c>
      <c r="AK3907" s="2">
        <f t="shared" si="580"/>
        <v>6.6</v>
      </c>
      <c r="AL3907" s="5">
        <f t="shared" si="579"/>
        <v>0.31428571428571428</v>
      </c>
    </row>
    <row r="3908" spans="1:38" x14ac:dyDescent="0.2">
      <c r="A3908" s="2">
        <v>2026</v>
      </c>
      <c r="B3908" s="2">
        <v>5</v>
      </c>
      <c r="D3908" s="2" t="s">
        <v>347</v>
      </c>
      <c r="E3908" s="2" t="s">
        <v>108</v>
      </c>
      <c r="F3908" s="2" t="s">
        <v>39</v>
      </c>
      <c r="G3908" s="2">
        <v>517451123</v>
      </c>
      <c r="H3908" s="2" t="s">
        <v>41</v>
      </c>
      <c r="I3908" s="2" t="s">
        <v>348</v>
      </c>
      <c r="J3908" s="2" t="s">
        <v>349</v>
      </c>
      <c r="K3908" s="2">
        <v>915209128</v>
      </c>
      <c r="L3908" s="2" t="s">
        <v>177</v>
      </c>
      <c r="M3908" s="2" t="s">
        <v>41</v>
      </c>
      <c r="O3908" s="2" t="s">
        <v>2941</v>
      </c>
      <c r="P3908" s="2" t="s">
        <v>43</v>
      </c>
      <c r="Q3908" s="2" t="s">
        <v>54</v>
      </c>
      <c r="R3908" s="2" t="s">
        <v>55</v>
      </c>
      <c r="S3908" s="2">
        <v>10</v>
      </c>
      <c r="T3908" s="2">
        <v>150</v>
      </c>
      <c r="U3908" s="2">
        <v>34.5</v>
      </c>
      <c r="V3908" s="2">
        <v>184.5</v>
      </c>
      <c r="W3908" s="2">
        <f>10.6*S3908</f>
        <v>106</v>
      </c>
      <c r="X3908" s="5">
        <f t="shared" si="578"/>
        <v>0.29333333333333333</v>
      </c>
      <c r="Z3908" s="2" t="s">
        <v>3227</v>
      </c>
      <c r="AA3908" s="2" t="s">
        <v>46</v>
      </c>
      <c r="AB3908" s="2" t="s">
        <v>56</v>
      </c>
      <c r="AC3908" s="2" t="s">
        <v>57</v>
      </c>
      <c r="AF3908" s="2">
        <f t="shared" si="581"/>
        <v>0</v>
      </c>
      <c r="AG3908" s="2">
        <v>10.6</v>
      </c>
      <c r="AH3908" s="2">
        <v>18</v>
      </c>
      <c r="AJ3908" s="2">
        <f t="shared" si="582"/>
        <v>0</v>
      </c>
      <c r="AK3908" s="2">
        <f t="shared" si="580"/>
        <v>44</v>
      </c>
      <c r="AL3908" s="5">
        <f t="shared" si="579"/>
        <v>0.29333333333333333</v>
      </c>
    </row>
    <row r="3909" spans="1:38" x14ac:dyDescent="0.2">
      <c r="A3909" s="2">
        <v>2026</v>
      </c>
      <c r="B3909" s="2">
        <v>5</v>
      </c>
      <c r="D3909" s="2" t="s">
        <v>347</v>
      </c>
      <c r="E3909" s="2" t="s">
        <v>108</v>
      </c>
      <c r="F3909" s="2" t="s">
        <v>39</v>
      </c>
      <c r="G3909" s="2">
        <v>517451123</v>
      </c>
      <c r="H3909" s="2" t="s">
        <v>41</v>
      </c>
      <c r="I3909" s="2" t="s">
        <v>348</v>
      </c>
      <c r="J3909" s="2" t="s">
        <v>349</v>
      </c>
      <c r="K3909" s="2">
        <v>915209128</v>
      </c>
      <c r="L3909" s="2" t="s">
        <v>177</v>
      </c>
      <c r="M3909" s="2" t="s">
        <v>41</v>
      </c>
      <c r="O3909" s="2" t="s">
        <v>2940</v>
      </c>
      <c r="P3909" s="2" t="s">
        <v>43</v>
      </c>
      <c r="Q3909" s="2" t="s">
        <v>65</v>
      </c>
      <c r="R3909" s="2" t="s">
        <v>66</v>
      </c>
      <c r="S3909" s="2">
        <v>1</v>
      </c>
      <c r="T3909" s="2">
        <v>24.5</v>
      </c>
      <c r="U3909" s="2">
        <v>5.6350000000000007</v>
      </c>
      <c r="V3909" s="2">
        <v>30.135000000000002</v>
      </c>
      <c r="W3909" s="2">
        <f>15.0203*S3909</f>
        <v>15.020300000000001</v>
      </c>
      <c r="X3909" s="5">
        <f t="shared" si="578"/>
        <v>0.38692653061224486</v>
      </c>
      <c r="Z3909" s="2" t="s">
        <v>3227</v>
      </c>
      <c r="AA3909" s="2" t="s">
        <v>46</v>
      </c>
      <c r="AB3909" s="2" t="s">
        <v>67</v>
      </c>
      <c r="AC3909" s="2" t="s">
        <v>57</v>
      </c>
      <c r="AF3909" s="2">
        <f t="shared" si="581"/>
        <v>0</v>
      </c>
      <c r="AG3909" s="2">
        <v>15.020300000000001</v>
      </c>
      <c r="AH3909" s="2">
        <v>27.6</v>
      </c>
      <c r="AJ3909" s="2">
        <f t="shared" si="582"/>
        <v>0</v>
      </c>
      <c r="AK3909" s="2">
        <f t="shared" si="580"/>
        <v>9.4796999999999993</v>
      </c>
      <c r="AL3909" s="5">
        <f t="shared" si="579"/>
        <v>0.38692653061224486</v>
      </c>
    </row>
    <row r="3910" spans="1:38" x14ac:dyDescent="0.2">
      <c r="A3910" s="2">
        <v>2026</v>
      </c>
      <c r="B3910" s="2">
        <v>5</v>
      </c>
      <c r="D3910" s="2" t="s">
        <v>1524</v>
      </c>
      <c r="E3910" s="2" t="s">
        <v>108</v>
      </c>
      <c r="F3910" s="2" t="s">
        <v>39</v>
      </c>
      <c r="G3910" s="2">
        <v>513338888</v>
      </c>
      <c r="H3910" s="2" t="s">
        <v>40</v>
      </c>
      <c r="I3910" s="2" t="s">
        <v>1525</v>
      </c>
      <c r="J3910" s="2" t="s">
        <v>1526</v>
      </c>
      <c r="K3910" s="2">
        <v>962461409</v>
      </c>
      <c r="L3910" s="2" t="s">
        <v>344</v>
      </c>
      <c r="M3910" s="2" t="s">
        <v>40</v>
      </c>
      <c r="O3910" s="2" t="s">
        <v>2942</v>
      </c>
      <c r="P3910" s="2" t="s">
        <v>187</v>
      </c>
      <c r="Q3910" s="2" t="s">
        <v>363</v>
      </c>
      <c r="R3910" s="2" t="s">
        <v>364</v>
      </c>
      <c r="S3910" s="2">
        <v>1</v>
      </c>
      <c r="T3910" s="2">
        <v>104.83</v>
      </c>
      <c r="U3910" s="2">
        <v>24.110900000000001</v>
      </c>
      <c r="V3910" s="2">
        <v>128.9409</v>
      </c>
      <c r="X3910" s="5">
        <f t="shared" ref="X3910:X3914" si="583">(T3910-W3910)/T3910</f>
        <v>1</v>
      </c>
      <c r="Z3910" s="2" t="s">
        <v>117</v>
      </c>
      <c r="AA3910" s="2" t="s">
        <v>1310</v>
      </c>
      <c r="AF3910" s="2">
        <f t="shared" si="581"/>
        <v>0</v>
      </c>
      <c r="AJ3910" s="2">
        <f t="shared" si="582"/>
        <v>0</v>
      </c>
      <c r="AK3910" s="2">
        <f t="shared" si="580"/>
        <v>104.83</v>
      </c>
      <c r="AL3910" s="5">
        <f t="shared" si="579"/>
        <v>1</v>
      </c>
    </row>
    <row r="3911" spans="1:38" x14ac:dyDescent="0.2">
      <c r="A3911" s="2">
        <v>2026</v>
      </c>
      <c r="B3911" s="2">
        <v>5</v>
      </c>
      <c r="D3911" s="2" t="s">
        <v>2943</v>
      </c>
      <c r="P3911" s="2" t="s">
        <v>43</v>
      </c>
      <c r="Q3911" s="2" t="s">
        <v>54</v>
      </c>
      <c r="R3911" s="2" t="s">
        <v>55</v>
      </c>
      <c r="S3911" s="2">
        <v>10</v>
      </c>
      <c r="T3911" s="2">
        <v>150</v>
      </c>
      <c r="U3911" s="2">
        <v>34.5</v>
      </c>
      <c r="V3911" s="2">
        <v>184.5</v>
      </c>
      <c r="W3911" s="2">
        <f>10.6*S3911</f>
        <v>106</v>
      </c>
      <c r="X3911" s="5">
        <f t="shared" si="583"/>
        <v>0.29333333333333333</v>
      </c>
      <c r="Z3911" s="2" t="s">
        <v>3227</v>
      </c>
      <c r="AA3911" s="2" t="s">
        <v>46</v>
      </c>
      <c r="AB3911" s="2" t="s">
        <v>56</v>
      </c>
      <c r="AC3911" s="2" t="s">
        <v>57</v>
      </c>
      <c r="AF3911" s="2">
        <f t="shared" si="581"/>
        <v>0</v>
      </c>
      <c r="AG3911" s="2">
        <v>10.6</v>
      </c>
      <c r="AH3911" s="2">
        <v>18</v>
      </c>
      <c r="AJ3911" s="2">
        <f t="shared" si="582"/>
        <v>0</v>
      </c>
      <c r="AK3911" s="2">
        <f t="shared" si="580"/>
        <v>44</v>
      </c>
      <c r="AL3911" s="5">
        <f t="shared" si="579"/>
        <v>0.29333333333333333</v>
      </c>
    </row>
    <row r="3912" spans="1:38" x14ac:dyDescent="0.2">
      <c r="A3912" s="2">
        <v>2026</v>
      </c>
      <c r="B3912" s="2">
        <v>5</v>
      </c>
      <c r="D3912" s="2" t="s">
        <v>2231</v>
      </c>
      <c r="P3912" s="2" t="s">
        <v>43</v>
      </c>
      <c r="Q3912" s="2" t="s">
        <v>61</v>
      </c>
      <c r="R3912" s="2" t="s">
        <v>62</v>
      </c>
      <c r="S3912" s="2">
        <v>1000</v>
      </c>
      <c r="T3912" s="2">
        <v>110</v>
      </c>
      <c r="U3912" s="2">
        <v>25.3</v>
      </c>
      <c r="V3912" s="2">
        <v>135.30000000000001</v>
      </c>
      <c r="W3912" s="2">
        <f>0.082*S3912</f>
        <v>82</v>
      </c>
      <c r="X3912" s="5">
        <f t="shared" si="583"/>
        <v>0.25454545454545452</v>
      </c>
      <c r="Z3912" s="2" t="s">
        <v>3227</v>
      </c>
      <c r="AA3912" s="2" t="s">
        <v>46</v>
      </c>
      <c r="AB3912" s="2" t="s">
        <v>60</v>
      </c>
      <c r="AC3912" s="2" t="s">
        <v>57</v>
      </c>
      <c r="AF3912" s="2">
        <f t="shared" si="581"/>
        <v>0</v>
      </c>
      <c r="AG3912" s="2">
        <v>8.1999999999999993</v>
      </c>
      <c r="AH3912" s="2">
        <v>13</v>
      </c>
      <c r="AJ3912" s="2">
        <f t="shared" si="582"/>
        <v>0</v>
      </c>
      <c r="AK3912" s="2">
        <f t="shared" si="580"/>
        <v>28</v>
      </c>
      <c r="AL3912" s="5">
        <f t="shared" si="579"/>
        <v>0.25454545454545452</v>
      </c>
    </row>
    <row r="3913" spans="1:38" x14ac:dyDescent="0.2">
      <c r="A3913" s="2">
        <v>2026</v>
      </c>
      <c r="B3913" s="2">
        <v>5</v>
      </c>
      <c r="D3913" s="2" t="s">
        <v>2231</v>
      </c>
      <c r="P3913" s="2" t="s">
        <v>169</v>
      </c>
      <c r="Q3913" s="2" t="s">
        <v>170</v>
      </c>
      <c r="R3913" s="2" t="s">
        <v>170</v>
      </c>
      <c r="S3913" s="2">
        <v>1</v>
      </c>
      <c r="T3913" s="2">
        <v>5</v>
      </c>
      <c r="U3913" s="2">
        <v>1.1499999999999999</v>
      </c>
      <c r="V3913" s="2">
        <v>6.15</v>
      </c>
      <c r="W3913" s="2">
        <v>6</v>
      </c>
      <c r="X3913" s="5">
        <f t="shared" si="583"/>
        <v>-0.2</v>
      </c>
      <c r="Z3913" s="2" t="s">
        <v>169</v>
      </c>
      <c r="AA3913" s="2" t="s">
        <v>169</v>
      </c>
      <c r="AF3913" s="2">
        <f t="shared" si="581"/>
        <v>0</v>
      </c>
      <c r="AJ3913" s="2">
        <f t="shared" si="582"/>
        <v>0</v>
      </c>
      <c r="AK3913" s="2">
        <f t="shared" si="580"/>
        <v>-1</v>
      </c>
      <c r="AL3913" s="5">
        <f t="shared" si="579"/>
        <v>-0.2</v>
      </c>
    </row>
    <row r="3914" spans="1:38" x14ac:dyDescent="0.2">
      <c r="A3914" s="2">
        <v>2026</v>
      </c>
      <c r="B3914" s="2">
        <v>5</v>
      </c>
      <c r="C3914" s="2" t="s">
        <v>3435</v>
      </c>
      <c r="D3914" s="2" t="s">
        <v>2944</v>
      </c>
      <c r="E3914" s="2" t="s">
        <v>752</v>
      </c>
      <c r="F3914" s="2" t="s">
        <v>39</v>
      </c>
      <c r="L3914" s="2" t="s">
        <v>480</v>
      </c>
      <c r="M3914" s="2" t="s">
        <v>80</v>
      </c>
      <c r="P3914" s="2" t="s">
        <v>72</v>
      </c>
      <c r="Q3914" s="2" t="s">
        <v>73</v>
      </c>
      <c r="R3914" s="2" t="s">
        <v>74</v>
      </c>
      <c r="S3914" s="2">
        <v>1</v>
      </c>
      <c r="T3914" s="2">
        <v>190</v>
      </c>
      <c r="U3914" s="2">
        <v>43.7</v>
      </c>
      <c r="V3914" s="2">
        <v>233.7</v>
      </c>
      <c r="W3914" s="2">
        <v>125.51600000000001</v>
      </c>
      <c r="X3914" s="5">
        <f t="shared" si="583"/>
        <v>0.33938947368421052</v>
      </c>
      <c r="Z3914" s="2" t="s">
        <v>3227</v>
      </c>
      <c r="AA3914" s="2" t="s">
        <v>75</v>
      </c>
      <c r="AB3914" s="2" t="s">
        <v>76</v>
      </c>
      <c r="AC3914" s="2" t="s">
        <v>77</v>
      </c>
      <c r="AF3914" s="2">
        <f t="shared" si="581"/>
        <v>0</v>
      </c>
      <c r="AG3914" s="2">
        <v>125.51600000000001</v>
      </c>
      <c r="AH3914" s="2">
        <v>220</v>
      </c>
      <c r="AJ3914" s="2">
        <f t="shared" si="582"/>
        <v>0</v>
      </c>
      <c r="AK3914" s="2">
        <f t="shared" si="580"/>
        <v>64.483999999999995</v>
      </c>
      <c r="AL3914" s="5">
        <f t="shared" si="579"/>
        <v>0.33938947368421052</v>
      </c>
    </row>
    <row r="3915" spans="1:38" x14ac:dyDescent="0.2">
      <c r="A3915" s="2">
        <v>2026</v>
      </c>
      <c r="B3915" s="2">
        <v>5</v>
      </c>
      <c r="D3915" s="2" t="s">
        <v>2944</v>
      </c>
      <c r="M3915" s="2" t="s">
        <v>40</v>
      </c>
      <c r="P3915" s="2" t="s">
        <v>187</v>
      </c>
      <c r="Q3915" s="2" t="s">
        <v>1308</v>
      </c>
      <c r="R3915" s="2" t="s">
        <v>1309</v>
      </c>
      <c r="S3915" s="2">
        <v>1</v>
      </c>
      <c r="T3915" s="2">
        <v>0</v>
      </c>
      <c r="U3915" s="2">
        <v>0</v>
      </c>
      <c r="V3915" s="2">
        <v>0</v>
      </c>
      <c r="X3915" s="5">
        <v>0</v>
      </c>
      <c r="Z3915" s="2" t="s">
        <v>117</v>
      </c>
      <c r="AA3915" s="2" t="s">
        <v>1310</v>
      </c>
      <c r="AF3915" s="2">
        <f t="shared" si="581"/>
        <v>0</v>
      </c>
      <c r="AJ3915" s="2">
        <f t="shared" si="582"/>
        <v>0</v>
      </c>
      <c r="AK3915" s="2">
        <f t="shared" si="580"/>
        <v>0</v>
      </c>
      <c r="AL3915" s="5">
        <v>0</v>
      </c>
    </row>
    <row r="3916" spans="1:38" x14ac:dyDescent="0.2">
      <c r="A3916" s="2">
        <v>2026</v>
      </c>
      <c r="B3916" s="2">
        <v>5</v>
      </c>
      <c r="C3916" s="2" t="s">
        <v>3435</v>
      </c>
      <c r="D3916" s="2" t="s">
        <v>2944</v>
      </c>
      <c r="E3916" s="2" t="s">
        <v>752</v>
      </c>
      <c r="F3916" s="2" t="s">
        <v>39</v>
      </c>
      <c r="L3916" s="2" t="s">
        <v>480</v>
      </c>
      <c r="M3916" s="2" t="s">
        <v>80</v>
      </c>
      <c r="P3916" s="2" t="s">
        <v>93</v>
      </c>
      <c r="Q3916" s="2" t="s">
        <v>94</v>
      </c>
      <c r="R3916" s="2" t="s">
        <v>95</v>
      </c>
      <c r="S3916" s="2">
        <v>1</v>
      </c>
      <c r="T3916" s="2">
        <v>1.48</v>
      </c>
      <c r="U3916" s="2">
        <v>0.34039999999999998</v>
      </c>
      <c r="V3916" s="2">
        <v>1.8204</v>
      </c>
      <c r="W3916" s="2">
        <v>1.48</v>
      </c>
      <c r="X3916" s="5">
        <f>(T3916-W3916)/T3916</f>
        <v>0</v>
      </c>
      <c r="Z3916" s="2" t="s">
        <v>3227</v>
      </c>
      <c r="AA3916" s="2" t="s">
        <v>96</v>
      </c>
      <c r="AB3916" s="2" t="s">
        <v>76</v>
      </c>
      <c r="AC3916" s="2" t="s">
        <v>93</v>
      </c>
      <c r="AF3916" s="2">
        <f t="shared" si="581"/>
        <v>0</v>
      </c>
      <c r="AJ3916" s="2">
        <f t="shared" si="582"/>
        <v>0</v>
      </c>
      <c r="AK3916" s="2">
        <f t="shared" si="580"/>
        <v>0</v>
      </c>
      <c r="AL3916" s="5">
        <f>(T3916-W3916)/T3916</f>
        <v>0</v>
      </c>
    </row>
    <row r="3917" spans="1:38" x14ac:dyDescent="0.2">
      <c r="A3917" s="2">
        <v>2026</v>
      </c>
      <c r="B3917" s="2">
        <v>5</v>
      </c>
      <c r="D3917" s="2" t="s">
        <v>2877</v>
      </c>
      <c r="G3917" s="2">
        <v>506647188</v>
      </c>
      <c r="I3917" s="2" t="s">
        <v>2945</v>
      </c>
      <c r="M3917" s="2" t="s">
        <v>40</v>
      </c>
      <c r="O3917" s="2" t="s">
        <v>2946</v>
      </c>
      <c r="P3917" s="2" t="s">
        <v>114</v>
      </c>
      <c r="Q3917" s="2" t="s">
        <v>779</v>
      </c>
      <c r="R3917" s="2" t="s">
        <v>780</v>
      </c>
      <c r="S3917" s="2">
        <v>2</v>
      </c>
      <c r="T3917" s="2">
        <v>141.46</v>
      </c>
      <c r="U3917" s="2">
        <v>32.535800000000002</v>
      </c>
      <c r="V3917" s="2">
        <v>173.9958</v>
      </c>
      <c r="W3917" s="2">
        <f>35.9317*S3917</f>
        <v>71.863399999999999</v>
      </c>
      <c r="X3917" s="5">
        <f>(T3917-W3917)/T3917</f>
        <v>0.49198784108581933</v>
      </c>
      <c r="Z3917" s="2" t="s">
        <v>117</v>
      </c>
      <c r="AA3917" s="2" t="s">
        <v>118</v>
      </c>
      <c r="AB3917" s="2" t="s">
        <v>119</v>
      </c>
      <c r="AC3917" s="2" t="s">
        <v>114</v>
      </c>
      <c r="AF3917" s="2">
        <f t="shared" si="581"/>
        <v>0</v>
      </c>
      <c r="AG3917" s="2">
        <v>35.931699999999999</v>
      </c>
      <c r="AJ3917" s="2">
        <f t="shared" si="582"/>
        <v>0</v>
      </c>
      <c r="AK3917" s="2">
        <f t="shared" si="580"/>
        <v>69.596600000000009</v>
      </c>
      <c r="AL3917" s="5">
        <f>(T3917-W3917)/T3917</f>
        <v>0.49198784108581933</v>
      </c>
    </row>
    <row r="3918" spans="1:38" x14ac:dyDescent="0.2">
      <c r="A3918" s="2">
        <v>2026</v>
      </c>
      <c r="B3918" s="2">
        <v>5</v>
      </c>
      <c r="D3918" s="2" t="s">
        <v>2877</v>
      </c>
      <c r="M3918" s="2" t="s">
        <v>40</v>
      </c>
      <c r="O3918" s="2" t="s">
        <v>2946</v>
      </c>
      <c r="P3918" s="2" t="s">
        <v>114</v>
      </c>
      <c r="Q3918" s="2" t="s">
        <v>561</v>
      </c>
      <c r="R3918" s="2" t="s">
        <v>562</v>
      </c>
      <c r="S3918" s="2">
        <v>8</v>
      </c>
      <c r="T3918" s="2">
        <v>102.87</v>
      </c>
      <c r="U3918" s="2">
        <v>23.6601</v>
      </c>
      <c r="V3918" s="2">
        <v>126.5301</v>
      </c>
      <c r="W3918" s="2">
        <f>5.33*S3918</f>
        <v>42.64</v>
      </c>
      <c r="X3918" s="5">
        <f>(T3918-W3918)/T3918</f>
        <v>0.58549625741226796</v>
      </c>
      <c r="Z3918" s="2" t="s">
        <v>117</v>
      </c>
      <c r="AA3918" s="2" t="s">
        <v>118</v>
      </c>
      <c r="AB3918" s="2" t="s">
        <v>119</v>
      </c>
      <c r="AC3918" s="2" t="s">
        <v>114</v>
      </c>
      <c r="AF3918" s="2">
        <f t="shared" si="581"/>
        <v>0</v>
      </c>
      <c r="AG3918" s="2">
        <v>5.33</v>
      </c>
      <c r="AJ3918" s="2">
        <f t="shared" si="582"/>
        <v>0</v>
      </c>
      <c r="AK3918" s="2">
        <f t="shared" si="580"/>
        <v>60.230000000000004</v>
      </c>
      <c r="AL3918" s="5">
        <f>(T3918-W3918)/T3918</f>
        <v>0.58549625741226796</v>
      </c>
    </row>
    <row r="3919" spans="1:38" x14ac:dyDescent="0.2">
      <c r="A3919" s="2">
        <v>2026</v>
      </c>
      <c r="B3919" s="2">
        <v>5</v>
      </c>
      <c r="D3919" s="2" t="s">
        <v>2131</v>
      </c>
      <c r="M3919" s="2" t="s">
        <v>40</v>
      </c>
      <c r="P3919" s="2" t="s">
        <v>187</v>
      </c>
      <c r="Q3919" s="2" t="s">
        <v>188</v>
      </c>
      <c r="R3919" s="2" t="s">
        <v>189</v>
      </c>
      <c r="S3919" s="2">
        <v>-1</v>
      </c>
      <c r="T3919" s="2">
        <v>-68.5</v>
      </c>
      <c r="U3919" s="2">
        <v>-15.755000000000001</v>
      </c>
      <c r="V3919" s="2">
        <v>-84.254999999999995</v>
      </c>
      <c r="W3919" s="2">
        <f>T3919*40%</f>
        <v>-27.400000000000002</v>
      </c>
      <c r="Z3919" s="2" t="s">
        <v>117</v>
      </c>
      <c r="AA3919" s="2" t="s">
        <v>190</v>
      </c>
      <c r="AB3919" s="2" t="s">
        <v>189</v>
      </c>
      <c r="AC3919" s="2" t="s">
        <v>40</v>
      </c>
      <c r="AF3919" s="2">
        <f t="shared" si="581"/>
        <v>0</v>
      </c>
      <c r="AG3919" s="2">
        <f>W3919</f>
        <v>-27.400000000000002</v>
      </c>
      <c r="AJ3919" s="2">
        <f t="shared" si="582"/>
        <v>0</v>
      </c>
      <c r="AK3919" s="2">
        <f t="shared" si="580"/>
        <v>-41.099999999999994</v>
      </c>
    </row>
    <row r="3920" spans="1:38" x14ac:dyDescent="0.2">
      <c r="A3920" s="2">
        <v>2026</v>
      </c>
      <c r="B3920" s="2">
        <v>5</v>
      </c>
      <c r="D3920" s="2" t="s">
        <v>2131</v>
      </c>
      <c r="M3920" s="2" t="s">
        <v>40</v>
      </c>
      <c r="P3920" s="2" t="s">
        <v>187</v>
      </c>
      <c r="Q3920" s="2" t="s">
        <v>191</v>
      </c>
      <c r="R3920" s="2" t="s">
        <v>190</v>
      </c>
      <c r="S3920" s="2">
        <v>-1.25</v>
      </c>
      <c r="T3920" s="2">
        <v>-6.25</v>
      </c>
      <c r="U3920" s="2">
        <v>-1.4375</v>
      </c>
      <c r="V3920" s="2">
        <v>-7.6875</v>
      </c>
      <c r="Z3920" s="2" t="s">
        <v>117</v>
      </c>
      <c r="AA3920" s="2" t="s">
        <v>190</v>
      </c>
      <c r="AB3920" s="2" t="s">
        <v>190</v>
      </c>
      <c r="AC3920" s="2" t="s">
        <v>40</v>
      </c>
      <c r="AF3920" s="2">
        <f t="shared" si="581"/>
        <v>0</v>
      </c>
      <c r="AG3920" s="2">
        <f>W3920</f>
        <v>0</v>
      </c>
      <c r="AJ3920" s="2">
        <f t="shared" si="582"/>
        <v>0</v>
      </c>
      <c r="AK3920" s="2">
        <f t="shared" si="580"/>
        <v>-6.25</v>
      </c>
    </row>
    <row r="3921" spans="1:38" x14ac:dyDescent="0.2">
      <c r="A3921" s="2">
        <v>2026</v>
      </c>
      <c r="B3921" s="2">
        <v>5</v>
      </c>
      <c r="D3921" s="2" t="s">
        <v>375</v>
      </c>
      <c r="E3921" s="2" t="s">
        <v>108</v>
      </c>
      <c r="F3921" s="2" t="s">
        <v>376</v>
      </c>
      <c r="G3921" s="2">
        <v>503552542</v>
      </c>
      <c r="H3921" s="2" t="s">
        <v>290</v>
      </c>
      <c r="I3921" s="2" t="s">
        <v>377</v>
      </c>
      <c r="J3921" s="2" t="s">
        <v>378</v>
      </c>
      <c r="L3921" s="2" t="s">
        <v>339</v>
      </c>
      <c r="M3921" s="2" t="s">
        <v>40</v>
      </c>
      <c r="O3921" s="2" t="s">
        <v>2947</v>
      </c>
      <c r="P3921" s="2" t="s">
        <v>114</v>
      </c>
      <c r="Q3921" s="2" t="s">
        <v>1151</v>
      </c>
      <c r="R3921" s="2" t="s">
        <v>1152</v>
      </c>
      <c r="S3921" s="2">
        <v>1</v>
      </c>
      <c r="T3921" s="2">
        <v>257.72000000000003</v>
      </c>
      <c r="U3921" s="2">
        <v>59.275600000000011</v>
      </c>
      <c r="V3921" s="2">
        <v>316.99560000000002</v>
      </c>
      <c r="W3921" s="2">
        <v>110.8</v>
      </c>
      <c r="X3921" s="5">
        <f t="shared" ref="X3921:X3940" si="584">(T3921-W3921)/T3921</f>
        <v>0.57007605152879093</v>
      </c>
      <c r="Z3921" s="2" t="s">
        <v>117</v>
      </c>
      <c r="AA3921" s="2" t="s">
        <v>118</v>
      </c>
      <c r="AB3921" s="2" t="s">
        <v>119</v>
      </c>
      <c r="AC3921" s="2" t="s">
        <v>114</v>
      </c>
      <c r="AF3921" s="2">
        <f t="shared" si="581"/>
        <v>0</v>
      </c>
      <c r="AJ3921" s="2">
        <f t="shared" si="582"/>
        <v>0</v>
      </c>
      <c r="AK3921" s="2">
        <f t="shared" si="580"/>
        <v>146.92000000000002</v>
      </c>
      <c r="AL3921" s="5">
        <f t="shared" ref="AL3921:AL3940" si="585">(T3921-W3921)/T3921</f>
        <v>0.57007605152879093</v>
      </c>
    </row>
    <row r="3922" spans="1:38" x14ac:dyDescent="0.2">
      <c r="A3922" s="2">
        <v>2026</v>
      </c>
      <c r="B3922" s="2">
        <v>5</v>
      </c>
      <c r="D3922" s="2" t="s">
        <v>382</v>
      </c>
      <c r="E3922" s="2" t="s">
        <v>38</v>
      </c>
      <c r="F3922" s="2" t="s">
        <v>39</v>
      </c>
      <c r="G3922" s="2">
        <v>212196260</v>
      </c>
      <c r="H3922" s="2" t="s">
        <v>109</v>
      </c>
      <c r="I3922" s="2" t="s">
        <v>383</v>
      </c>
      <c r="J3922" s="2" t="s">
        <v>384</v>
      </c>
      <c r="K3922" s="2">
        <v>926769894</v>
      </c>
      <c r="L3922" s="2" t="s">
        <v>112</v>
      </c>
      <c r="M3922" s="2" t="s">
        <v>109</v>
      </c>
      <c r="O3922" s="2" t="s">
        <v>2948</v>
      </c>
      <c r="P3922" s="2" t="s">
        <v>43</v>
      </c>
      <c r="Q3922" s="2" t="s">
        <v>54</v>
      </c>
      <c r="R3922" s="2" t="s">
        <v>55</v>
      </c>
      <c r="S3922" s="2">
        <v>4</v>
      </c>
      <c r="T3922" s="2">
        <v>60</v>
      </c>
      <c r="U3922" s="2">
        <v>13.8</v>
      </c>
      <c r="V3922" s="2">
        <v>73.8</v>
      </c>
      <c r="W3922" s="2">
        <f>10.6*S3922</f>
        <v>42.4</v>
      </c>
      <c r="X3922" s="5">
        <f t="shared" si="584"/>
        <v>0.29333333333333333</v>
      </c>
      <c r="Z3922" s="2" t="s">
        <v>3227</v>
      </c>
      <c r="AA3922" s="2" t="s">
        <v>46</v>
      </c>
      <c r="AB3922" s="2" t="s">
        <v>56</v>
      </c>
      <c r="AC3922" s="2" t="s">
        <v>57</v>
      </c>
      <c r="AF3922" s="2">
        <f t="shared" si="581"/>
        <v>0</v>
      </c>
      <c r="AG3922" s="2">
        <v>10.6</v>
      </c>
      <c r="AH3922" s="2">
        <v>18</v>
      </c>
      <c r="AJ3922" s="2">
        <f t="shared" si="582"/>
        <v>0</v>
      </c>
      <c r="AK3922" s="2">
        <f t="shared" si="580"/>
        <v>17.600000000000001</v>
      </c>
      <c r="AL3922" s="5">
        <f t="shared" si="585"/>
        <v>0.29333333333333333</v>
      </c>
    </row>
    <row r="3923" spans="1:38" x14ac:dyDescent="0.2">
      <c r="A3923" s="2">
        <v>2026</v>
      </c>
      <c r="B3923" s="2">
        <v>5</v>
      </c>
      <c r="D3923" s="2" t="s">
        <v>382</v>
      </c>
      <c r="E3923" s="2" t="s">
        <v>38</v>
      </c>
      <c r="F3923" s="2" t="s">
        <v>39</v>
      </c>
      <c r="G3923" s="2">
        <v>212196260</v>
      </c>
      <c r="H3923" s="2" t="s">
        <v>109</v>
      </c>
      <c r="I3923" s="2" t="s">
        <v>383</v>
      </c>
      <c r="J3923" s="2" t="s">
        <v>384</v>
      </c>
      <c r="K3923" s="2">
        <v>926769894</v>
      </c>
      <c r="L3923" s="2" t="s">
        <v>112</v>
      </c>
      <c r="M3923" s="2" t="s">
        <v>290</v>
      </c>
      <c r="O3923" s="2" t="s">
        <v>2949</v>
      </c>
      <c r="P3923" s="2" t="s">
        <v>43</v>
      </c>
      <c r="Q3923" s="2" t="s">
        <v>2869</v>
      </c>
      <c r="R3923" s="2" t="s">
        <v>2870</v>
      </c>
      <c r="S3923" s="2">
        <v>1</v>
      </c>
      <c r="T3923" s="2">
        <v>50</v>
      </c>
      <c r="U3923" s="2">
        <v>11.5</v>
      </c>
      <c r="V3923" s="2">
        <v>61.5</v>
      </c>
      <c r="W3923" s="2">
        <v>35.78</v>
      </c>
      <c r="X3923" s="5">
        <f t="shared" si="584"/>
        <v>0.28439999999999999</v>
      </c>
      <c r="Z3923" s="2" t="s">
        <v>3227</v>
      </c>
      <c r="AA3923" s="2" t="s">
        <v>46</v>
      </c>
      <c r="AB3923" s="2" t="s">
        <v>90</v>
      </c>
      <c r="AC3923" s="2" t="s">
        <v>57</v>
      </c>
      <c r="AF3923" s="2">
        <f t="shared" si="581"/>
        <v>0</v>
      </c>
      <c r="AJ3923" s="2">
        <f t="shared" si="582"/>
        <v>0</v>
      </c>
      <c r="AK3923" s="2">
        <f t="shared" si="580"/>
        <v>14.219999999999999</v>
      </c>
      <c r="AL3923" s="5">
        <f t="shared" si="585"/>
        <v>0.28439999999999999</v>
      </c>
    </row>
    <row r="3924" spans="1:38" x14ac:dyDescent="0.2">
      <c r="A3924" s="2">
        <v>2026</v>
      </c>
      <c r="B3924" s="2">
        <v>5</v>
      </c>
      <c r="D3924" s="2" t="s">
        <v>775</v>
      </c>
      <c r="E3924" s="2" t="s">
        <v>38</v>
      </c>
      <c r="F3924" s="2" t="s">
        <v>39</v>
      </c>
      <c r="G3924" s="2">
        <v>507324560</v>
      </c>
      <c r="H3924" s="2" t="s">
        <v>40</v>
      </c>
      <c r="I3924" s="2" t="s">
        <v>776</v>
      </c>
      <c r="J3924" s="2" t="s">
        <v>777</v>
      </c>
      <c r="L3924" s="2" t="s">
        <v>339</v>
      </c>
      <c r="M3924" s="2" t="s">
        <v>40</v>
      </c>
      <c r="O3924" s="2" t="s">
        <v>2950</v>
      </c>
      <c r="P3924" s="2" t="s">
        <v>114</v>
      </c>
      <c r="Q3924" s="2" t="s">
        <v>779</v>
      </c>
      <c r="R3924" s="2" t="s">
        <v>780</v>
      </c>
      <c r="S3924" s="2">
        <v>2</v>
      </c>
      <c r="T3924" s="2">
        <v>157.18</v>
      </c>
      <c r="U3924" s="2">
        <v>36.151400000000002</v>
      </c>
      <c r="V3924" s="2">
        <v>193.3314</v>
      </c>
      <c r="W3924" s="2">
        <f>35.9317*S3924</f>
        <v>71.863399999999999</v>
      </c>
      <c r="X3924" s="5">
        <f t="shared" si="584"/>
        <v>0.54279552105865891</v>
      </c>
      <c r="Z3924" s="2" t="s">
        <v>117</v>
      </c>
      <c r="AA3924" s="2" t="s">
        <v>118</v>
      </c>
      <c r="AB3924" s="2" t="s">
        <v>119</v>
      </c>
      <c r="AC3924" s="2" t="s">
        <v>114</v>
      </c>
      <c r="AF3924" s="2">
        <f t="shared" si="581"/>
        <v>0</v>
      </c>
      <c r="AG3924" s="2">
        <v>35.931699999999999</v>
      </c>
      <c r="AJ3924" s="2">
        <f t="shared" si="582"/>
        <v>0</v>
      </c>
      <c r="AK3924" s="2">
        <f t="shared" ref="AK3924:AK3940" si="586">T3924-W3924</f>
        <v>85.316600000000008</v>
      </c>
      <c r="AL3924" s="5">
        <f t="shared" si="585"/>
        <v>0.54279552105865891</v>
      </c>
    </row>
    <row r="3925" spans="1:38" x14ac:dyDescent="0.2">
      <c r="A3925" s="2">
        <v>2026</v>
      </c>
      <c r="B3925" s="2">
        <v>5</v>
      </c>
      <c r="D3925" s="2" t="s">
        <v>781</v>
      </c>
      <c r="E3925" s="2" t="s">
        <v>38</v>
      </c>
      <c r="F3925" s="2" t="s">
        <v>39</v>
      </c>
      <c r="G3925" s="2">
        <v>510219675</v>
      </c>
      <c r="H3925" s="2" t="s">
        <v>40</v>
      </c>
      <c r="I3925" s="2" t="s">
        <v>782</v>
      </c>
      <c r="J3925" s="2" t="s">
        <v>783</v>
      </c>
      <c r="K3925" s="2">
        <v>917341136</v>
      </c>
      <c r="L3925" s="2" t="s">
        <v>99</v>
      </c>
      <c r="P3925" s="2" t="s">
        <v>43</v>
      </c>
      <c r="Q3925" s="2" t="s">
        <v>65</v>
      </c>
      <c r="R3925" s="2" t="s">
        <v>66</v>
      </c>
      <c r="S3925" s="2">
        <v>1</v>
      </c>
      <c r="T3925" s="2">
        <v>27.6</v>
      </c>
      <c r="U3925" s="2">
        <v>6.3480000000000008</v>
      </c>
      <c r="V3925" s="2">
        <v>33.948</v>
      </c>
      <c r="W3925" s="2">
        <f>15.0203*S3925</f>
        <v>15.020300000000001</v>
      </c>
      <c r="X3925" s="5">
        <f t="shared" si="584"/>
        <v>0.45578623188405798</v>
      </c>
      <c r="Z3925" s="2" t="s">
        <v>3227</v>
      </c>
      <c r="AA3925" s="2" t="s">
        <v>46</v>
      </c>
      <c r="AB3925" s="2" t="s">
        <v>67</v>
      </c>
      <c r="AC3925" s="2" t="s">
        <v>57</v>
      </c>
      <c r="AF3925" s="2">
        <f t="shared" si="581"/>
        <v>0</v>
      </c>
      <c r="AG3925" s="2">
        <v>15.020300000000001</v>
      </c>
      <c r="AH3925" s="2">
        <v>27.6</v>
      </c>
      <c r="AJ3925" s="2">
        <f t="shared" si="582"/>
        <v>0</v>
      </c>
      <c r="AK3925" s="2">
        <f t="shared" si="586"/>
        <v>12.579700000000001</v>
      </c>
      <c r="AL3925" s="5">
        <f t="shared" si="585"/>
        <v>0.45578623188405798</v>
      </c>
    </row>
    <row r="3926" spans="1:38" x14ac:dyDescent="0.2">
      <c r="A3926" s="2">
        <v>2026</v>
      </c>
      <c r="B3926" s="2">
        <v>5</v>
      </c>
      <c r="D3926" s="2" t="s">
        <v>2951</v>
      </c>
      <c r="E3926" s="2" t="s">
        <v>38</v>
      </c>
      <c r="F3926" s="2" t="s">
        <v>39</v>
      </c>
      <c r="G3926" s="2">
        <v>502727268</v>
      </c>
      <c r="H3926" s="2" t="s">
        <v>40</v>
      </c>
      <c r="I3926" s="2" t="s">
        <v>2952</v>
      </c>
      <c r="J3926" s="2" t="s">
        <v>2953</v>
      </c>
      <c r="K3926" s="2">
        <v>962543971</v>
      </c>
      <c r="L3926" s="2" t="s">
        <v>133</v>
      </c>
      <c r="M3926" s="2" t="s">
        <v>109</v>
      </c>
      <c r="O3926" s="2" t="s">
        <v>2954</v>
      </c>
      <c r="P3926" s="2" t="s">
        <v>72</v>
      </c>
      <c r="Q3926" s="2" t="s">
        <v>484</v>
      </c>
      <c r="R3926" s="2" t="s">
        <v>74</v>
      </c>
      <c r="S3926" s="2">
        <v>1</v>
      </c>
      <c r="T3926" s="2">
        <v>230</v>
      </c>
      <c r="U3926" s="2">
        <v>52.900000000000013</v>
      </c>
      <c r="V3926" s="2">
        <v>282.89999999999998</v>
      </c>
      <c r="W3926" s="2">
        <v>131.93</v>
      </c>
      <c r="X3926" s="5">
        <f t="shared" si="584"/>
        <v>0.42639130434782607</v>
      </c>
      <c r="Z3926" s="2" t="s">
        <v>3227</v>
      </c>
      <c r="AA3926" s="2" t="s">
        <v>75</v>
      </c>
      <c r="AB3926" s="2" t="s">
        <v>76</v>
      </c>
      <c r="AC3926" s="2" t="s">
        <v>77</v>
      </c>
      <c r="AF3926" s="2">
        <f t="shared" si="581"/>
        <v>0</v>
      </c>
      <c r="AG3926" s="2">
        <v>131.93</v>
      </c>
      <c r="AH3926" s="2">
        <v>220</v>
      </c>
      <c r="AJ3926" s="2">
        <f t="shared" si="582"/>
        <v>0</v>
      </c>
      <c r="AK3926" s="2">
        <f t="shared" si="586"/>
        <v>98.07</v>
      </c>
      <c r="AL3926" s="5">
        <f t="shared" si="585"/>
        <v>0.42639130434782607</v>
      </c>
    </row>
    <row r="3927" spans="1:38" x14ac:dyDescent="0.2">
      <c r="A3927" s="2">
        <v>2026</v>
      </c>
      <c r="B3927" s="2">
        <v>5</v>
      </c>
      <c r="D3927" s="2" t="s">
        <v>2951</v>
      </c>
      <c r="P3927" s="2" t="s">
        <v>93</v>
      </c>
      <c r="Q3927" s="2" t="s">
        <v>94</v>
      </c>
      <c r="R3927" s="2" t="s">
        <v>95</v>
      </c>
      <c r="S3927" s="2">
        <v>1</v>
      </c>
      <c r="T3927" s="2">
        <v>1.48</v>
      </c>
      <c r="U3927" s="2">
        <v>0.34039999999999998</v>
      </c>
      <c r="V3927" s="2">
        <v>1.8204</v>
      </c>
      <c r="W3927" s="2">
        <v>1.48</v>
      </c>
      <c r="X3927" s="5">
        <f t="shared" si="584"/>
        <v>0</v>
      </c>
      <c r="Z3927" s="2" t="s">
        <v>3227</v>
      </c>
      <c r="AA3927" s="2" t="s">
        <v>96</v>
      </c>
      <c r="AB3927" s="2" t="s">
        <v>76</v>
      </c>
      <c r="AC3927" s="2" t="s">
        <v>93</v>
      </c>
      <c r="AF3927" s="2">
        <f t="shared" si="581"/>
        <v>0</v>
      </c>
      <c r="AJ3927" s="2">
        <f t="shared" si="582"/>
        <v>0</v>
      </c>
      <c r="AK3927" s="2">
        <f t="shared" si="586"/>
        <v>0</v>
      </c>
      <c r="AL3927" s="5">
        <f t="shared" si="585"/>
        <v>0</v>
      </c>
    </row>
    <row r="3928" spans="1:38" x14ac:dyDescent="0.2">
      <c r="A3928" s="2">
        <v>2026</v>
      </c>
      <c r="B3928" s="2">
        <v>5</v>
      </c>
      <c r="D3928" s="2" t="s">
        <v>422</v>
      </c>
      <c r="E3928" s="2" t="s">
        <v>98</v>
      </c>
      <c r="F3928" s="2" t="s">
        <v>39</v>
      </c>
      <c r="G3928" s="2">
        <v>503523470</v>
      </c>
      <c r="H3928" s="2" t="s">
        <v>40</v>
      </c>
      <c r="I3928" s="2" t="s">
        <v>423</v>
      </c>
      <c r="J3928" s="2" t="s">
        <v>424</v>
      </c>
      <c r="L3928" s="2" t="s">
        <v>201</v>
      </c>
      <c r="M3928" s="2" t="s">
        <v>80</v>
      </c>
      <c r="O3928" s="2" t="s">
        <v>2955</v>
      </c>
      <c r="P3928" s="2" t="s">
        <v>43</v>
      </c>
      <c r="Q3928" s="2" t="s">
        <v>2923</v>
      </c>
      <c r="R3928" s="2" t="s">
        <v>269</v>
      </c>
      <c r="S3928" s="2">
        <v>1</v>
      </c>
      <c r="T3928" s="2">
        <v>15</v>
      </c>
      <c r="U3928" s="2">
        <v>3.45</v>
      </c>
      <c r="V3928" s="2">
        <v>18.45</v>
      </c>
      <c r="W3928" s="2">
        <v>5.23</v>
      </c>
      <c r="X3928" s="5">
        <f t="shared" si="584"/>
        <v>0.65133333333333332</v>
      </c>
      <c r="Z3928" s="2" t="s">
        <v>3227</v>
      </c>
      <c r="AA3928" s="2" t="s">
        <v>46</v>
      </c>
      <c r="AB3928" s="2" t="s">
        <v>90</v>
      </c>
      <c r="AC3928" s="2" t="s">
        <v>57</v>
      </c>
      <c r="AF3928" s="2">
        <f t="shared" si="581"/>
        <v>0</v>
      </c>
      <c r="AG3928" s="2">
        <v>5.23</v>
      </c>
      <c r="AH3928" s="2">
        <v>10.8</v>
      </c>
      <c r="AJ3928" s="2">
        <f t="shared" si="582"/>
        <v>0</v>
      </c>
      <c r="AK3928" s="2">
        <f t="shared" si="586"/>
        <v>9.77</v>
      </c>
      <c r="AL3928" s="5">
        <f t="shared" si="585"/>
        <v>0.65133333333333332</v>
      </c>
    </row>
    <row r="3929" spans="1:38" x14ac:dyDescent="0.2">
      <c r="A3929" s="2">
        <v>2026</v>
      </c>
      <c r="B3929" s="2">
        <v>5</v>
      </c>
      <c r="D3929" s="2" t="s">
        <v>422</v>
      </c>
      <c r="E3929" s="2" t="s">
        <v>98</v>
      </c>
      <c r="F3929" s="2" t="s">
        <v>39</v>
      </c>
      <c r="G3929" s="2">
        <v>503523470</v>
      </c>
      <c r="H3929" s="2" t="s">
        <v>40</v>
      </c>
      <c r="I3929" s="2" t="s">
        <v>423</v>
      </c>
      <c r="J3929" s="2" t="s">
        <v>424</v>
      </c>
      <c r="L3929" s="2" t="s">
        <v>201</v>
      </c>
      <c r="M3929" s="2" t="s">
        <v>80</v>
      </c>
      <c r="O3929" s="2" t="s">
        <v>2955</v>
      </c>
      <c r="P3929" s="2" t="s">
        <v>43</v>
      </c>
      <c r="Q3929" s="2" t="s">
        <v>2924</v>
      </c>
      <c r="R3929" s="2" t="s">
        <v>2925</v>
      </c>
      <c r="S3929" s="2">
        <v>1</v>
      </c>
      <c r="T3929" s="2">
        <v>5</v>
      </c>
      <c r="U3929" s="2">
        <v>1.1499999999999999</v>
      </c>
      <c r="V3929" s="2">
        <v>6.15</v>
      </c>
      <c r="W3929" s="2">
        <f>0.97*S3929</f>
        <v>0.97</v>
      </c>
      <c r="X3929" s="5">
        <f t="shared" si="584"/>
        <v>0.80600000000000005</v>
      </c>
      <c r="Z3929" s="2" t="s">
        <v>3227</v>
      </c>
      <c r="AA3929" s="2" t="s">
        <v>46</v>
      </c>
      <c r="AB3929" s="2" t="s">
        <v>90</v>
      </c>
      <c r="AC3929" s="2" t="s">
        <v>57</v>
      </c>
      <c r="AF3929" s="2">
        <f t="shared" si="581"/>
        <v>0</v>
      </c>
      <c r="AG3929" s="2">
        <v>0.97</v>
      </c>
      <c r="AH3929" s="2">
        <v>6</v>
      </c>
      <c r="AJ3929" s="2">
        <f t="shared" si="582"/>
        <v>0</v>
      </c>
      <c r="AK3929" s="2">
        <f t="shared" si="586"/>
        <v>4.03</v>
      </c>
      <c r="AL3929" s="5">
        <f t="shared" si="585"/>
        <v>0.80600000000000005</v>
      </c>
    </row>
    <row r="3930" spans="1:38" x14ac:dyDescent="0.2">
      <c r="A3930" s="2">
        <v>2026</v>
      </c>
      <c r="B3930" s="2">
        <v>5</v>
      </c>
      <c r="D3930" s="2" t="s">
        <v>422</v>
      </c>
      <c r="E3930" s="2" t="s">
        <v>98</v>
      </c>
      <c r="F3930" s="2" t="s">
        <v>39</v>
      </c>
      <c r="G3930" s="2">
        <v>503523470</v>
      </c>
      <c r="H3930" s="2" t="s">
        <v>40</v>
      </c>
      <c r="I3930" s="2" t="s">
        <v>423</v>
      </c>
      <c r="J3930" s="2" t="s">
        <v>424</v>
      </c>
      <c r="L3930" s="2" t="s">
        <v>201</v>
      </c>
      <c r="M3930" s="2" t="s">
        <v>80</v>
      </c>
      <c r="P3930" s="2" t="s">
        <v>43</v>
      </c>
      <c r="Q3930" s="2" t="s">
        <v>160</v>
      </c>
      <c r="R3930" s="2" t="s">
        <v>161</v>
      </c>
      <c r="S3930" s="2">
        <v>1</v>
      </c>
      <c r="T3930" s="2">
        <v>9</v>
      </c>
      <c r="U3930" s="2">
        <v>2.0699999999999998</v>
      </c>
      <c r="V3930" s="2">
        <v>11.07</v>
      </c>
      <c r="W3930" s="2">
        <f>3.7358*S3930</f>
        <v>3.7357999999999998</v>
      </c>
      <c r="X3930" s="5">
        <f t="shared" si="584"/>
        <v>0.58491111111111116</v>
      </c>
      <c r="Z3930" s="2" t="s">
        <v>3227</v>
      </c>
      <c r="AA3930" s="2" t="s">
        <v>46</v>
      </c>
      <c r="AB3930" s="2" t="s">
        <v>47</v>
      </c>
      <c r="AC3930" s="2" t="s">
        <v>57</v>
      </c>
      <c r="AF3930" s="2">
        <f t="shared" si="581"/>
        <v>0</v>
      </c>
      <c r="AG3930" s="2">
        <v>3.7357999999999998</v>
      </c>
      <c r="AH3930" s="2">
        <v>9</v>
      </c>
      <c r="AJ3930" s="2">
        <f t="shared" si="582"/>
        <v>0</v>
      </c>
      <c r="AK3930" s="2">
        <f t="shared" si="586"/>
        <v>5.2642000000000007</v>
      </c>
      <c r="AL3930" s="5">
        <f t="shared" si="585"/>
        <v>0.58491111111111116</v>
      </c>
    </row>
    <row r="3931" spans="1:38" x14ac:dyDescent="0.2">
      <c r="A3931" s="2">
        <v>2026</v>
      </c>
      <c r="B3931" s="2">
        <v>5</v>
      </c>
      <c r="D3931" s="2" t="s">
        <v>422</v>
      </c>
      <c r="E3931" s="2" t="s">
        <v>98</v>
      </c>
      <c r="F3931" s="2" t="s">
        <v>39</v>
      </c>
      <c r="G3931" s="2">
        <v>503523470</v>
      </c>
      <c r="H3931" s="2" t="s">
        <v>40</v>
      </c>
      <c r="I3931" s="2" t="s">
        <v>423</v>
      </c>
      <c r="J3931" s="2" t="s">
        <v>424</v>
      </c>
      <c r="L3931" s="2" t="s">
        <v>201</v>
      </c>
      <c r="M3931" s="2" t="s">
        <v>80</v>
      </c>
      <c r="P3931" s="2" t="s">
        <v>43</v>
      </c>
      <c r="Q3931" s="2" t="s">
        <v>54</v>
      </c>
      <c r="R3931" s="2" t="s">
        <v>55</v>
      </c>
      <c r="S3931" s="2">
        <v>5</v>
      </c>
      <c r="T3931" s="2">
        <v>90</v>
      </c>
      <c r="U3931" s="2">
        <v>20.7</v>
      </c>
      <c r="V3931" s="2">
        <v>110.7</v>
      </c>
      <c r="W3931" s="2">
        <f>10.6*S3931</f>
        <v>53</v>
      </c>
      <c r="X3931" s="5">
        <f t="shared" si="584"/>
        <v>0.41111111111111109</v>
      </c>
      <c r="Z3931" s="2" t="s">
        <v>3227</v>
      </c>
      <c r="AA3931" s="2" t="s">
        <v>46</v>
      </c>
      <c r="AB3931" s="2" t="s">
        <v>56</v>
      </c>
      <c r="AC3931" s="2" t="s">
        <v>57</v>
      </c>
      <c r="AF3931" s="2">
        <f t="shared" si="581"/>
        <v>0</v>
      </c>
      <c r="AG3931" s="2">
        <v>10.6</v>
      </c>
      <c r="AH3931" s="2">
        <v>18</v>
      </c>
      <c r="AJ3931" s="2">
        <f t="shared" si="582"/>
        <v>0</v>
      </c>
      <c r="AK3931" s="2">
        <f t="shared" si="586"/>
        <v>37</v>
      </c>
      <c r="AL3931" s="5">
        <f t="shared" si="585"/>
        <v>0.41111111111111109</v>
      </c>
    </row>
    <row r="3932" spans="1:38" x14ac:dyDescent="0.2">
      <c r="A3932" s="2">
        <v>2026</v>
      </c>
      <c r="B3932" s="2">
        <v>5</v>
      </c>
      <c r="D3932" s="2" t="s">
        <v>422</v>
      </c>
      <c r="E3932" s="2" t="s">
        <v>98</v>
      </c>
      <c r="F3932" s="2" t="s">
        <v>39</v>
      </c>
      <c r="G3932" s="2">
        <v>503523470</v>
      </c>
      <c r="H3932" s="2" t="s">
        <v>40</v>
      </c>
      <c r="I3932" s="2" t="s">
        <v>423</v>
      </c>
      <c r="J3932" s="2" t="s">
        <v>424</v>
      </c>
      <c r="L3932" s="2" t="s">
        <v>201</v>
      </c>
      <c r="M3932" s="2" t="s">
        <v>80</v>
      </c>
      <c r="P3932" s="2" t="s">
        <v>43</v>
      </c>
      <c r="Q3932" s="2" t="s">
        <v>61</v>
      </c>
      <c r="R3932" s="2" t="s">
        <v>62</v>
      </c>
      <c r="S3932" s="2">
        <v>1200</v>
      </c>
      <c r="T3932" s="2">
        <v>131</v>
      </c>
      <c r="U3932" s="2">
        <v>30.13</v>
      </c>
      <c r="V3932" s="2">
        <v>161.13</v>
      </c>
      <c r="W3932" s="2">
        <f>0.082*S3932</f>
        <v>98.4</v>
      </c>
      <c r="X3932" s="5">
        <f t="shared" si="584"/>
        <v>0.24885496183206102</v>
      </c>
      <c r="Z3932" s="2" t="s">
        <v>3227</v>
      </c>
      <c r="AA3932" s="2" t="s">
        <v>46</v>
      </c>
      <c r="AB3932" s="2" t="s">
        <v>60</v>
      </c>
      <c r="AC3932" s="2" t="s">
        <v>57</v>
      </c>
      <c r="AF3932" s="2">
        <f t="shared" si="581"/>
        <v>0</v>
      </c>
      <c r="AG3932" s="2">
        <v>8.1999999999999993</v>
      </c>
      <c r="AH3932" s="2">
        <v>13</v>
      </c>
      <c r="AJ3932" s="2">
        <f t="shared" si="582"/>
        <v>0</v>
      </c>
      <c r="AK3932" s="2">
        <f t="shared" si="586"/>
        <v>32.599999999999994</v>
      </c>
      <c r="AL3932" s="5">
        <f t="shared" si="585"/>
        <v>0.24885496183206102</v>
      </c>
    </row>
    <row r="3933" spans="1:38" x14ac:dyDescent="0.2">
      <c r="A3933" s="2">
        <v>2026</v>
      </c>
      <c r="B3933" s="2">
        <v>5</v>
      </c>
      <c r="D3933" s="2" t="s">
        <v>422</v>
      </c>
      <c r="E3933" s="2" t="s">
        <v>98</v>
      </c>
      <c r="F3933" s="2" t="s">
        <v>39</v>
      </c>
      <c r="G3933" s="2">
        <v>503523470</v>
      </c>
      <c r="H3933" s="2" t="s">
        <v>40</v>
      </c>
      <c r="I3933" s="2" t="s">
        <v>423</v>
      </c>
      <c r="J3933" s="2" t="s">
        <v>424</v>
      </c>
      <c r="L3933" s="2" t="s">
        <v>201</v>
      </c>
      <c r="M3933" s="2" t="s">
        <v>80</v>
      </c>
      <c r="P3933" s="2" t="s">
        <v>43</v>
      </c>
      <c r="Q3933" s="2" t="s">
        <v>254</v>
      </c>
      <c r="R3933" s="2" t="s">
        <v>255</v>
      </c>
      <c r="S3933" s="2">
        <v>100</v>
      </c>
      <c r="T3933" s="2">
        <v>16</v>
      </c>
      <c r="U3933" s="2">
        <v>3.68</v>
      </c>
      <c r="V3933" s="2">
        <v>19.68</v>
      </c>
      <c r="W3933" s="2">
        <f>0.0914*S3933</f>
        <v>9.1399999999999988</v>
      </c>
      <c r="X3933" s="5">
        <f t="shared" si="584"/>
        <v>0.42875000000000008</v>
      </c>
      <c r="Z3933" s="2" t="s">
        <v>3227</v>
      </c>
      <c r="AA3933" s="2" t="s">
        <v>46</v>
      </c>
      <c r="AB3933" s="2" t="s">
        <v>60</v>
      </c>
      <c r="AC3933" s="2" t="s">
        <v>57</v>
      </c>
      <c r="AF3933" s="2">
        <f t="shared" si="581"/>
        <v>0</v>
      </c>
      <c r="AJ3933" s="2">
        <f t="shared" si="582"/>
        <v>0</v>
      </c>
      <c r="AK3933" s="2">
        <f t="shared" si="586"/>
        <v>6.8600000000000012</v>
      </c>
      <c r="AL3933" s="5">
        <f t="shared" si="585"/>
        <v>0.42875000000000008</v>
      </c>
    </row>
    <row r="3934" spans="1:38" x14ac:dyDescent="0.2">
      <c r="A3934" s="2">
        <v>2026</v>
      </c>
      <c r="B3934" s="2">
        <v>5</v>
      </c>
      <c r="D3934" s="2" t="s">
        <v>425</v>
      </c>
      <c r="E3934" s="2" t="s">
        <v>98</v>
      </c>
      <c r="F3934" s="2" t="s">
        <v>39</v>
      </c>
      <c r="G3934" s="2">
        <v>510613888</v>
      </c>
      <c r="H3934" s="2" t="s">
        <v>40</v>
      </c>
      <c r="I3934" s="2" t="s">
        <v>426</v>
      </c>
      <c r="J3934" s="2" t="s">
        <v>427</v>
      </c>
      <c r="L3934" s="2" t="s">
        <v>99</v>
      </c>
      <c r="M3934" s="2" t="s">
        <v>80</v>
      </c>
      <c r="P3934" s="2" t="s">
        <v>43</v>
      </c>
      <c r="Q3934" s="2" t="s">
        <v>61</v>
      </c>
      <c r="R3934" s="2" t="s">
        <v>62</v>
      </c>
      <c r="S3934" s="2">
        <v>100</v>
      </c>
      <c r="T3934" s="2">
        <v>13</v>
      </c>
      <c r="U3934" s="2">
        <v>2.99</v>
      </c>
      <c r="V3934" s="2">
        <v>15.99</v>
      </c>
      <c r="W3934" s="2">
        <f>0.082*S3934</f>
        <v>8.2000000000000011</v>
      </c>
      <c r="X3934" s="5">
        <f t="shared" si="584"/>
        <v>0.36923076923076914</v>
      </c>
      <c r="Z3934" s="2" t="s">
        <v>3227</v>
      </c>
      <c r="AA3934" s="2" t="s">
        <v>46</v>
      </c>
      <c r="AB3934" s="2" t="s">
        <v>60</v>
      </c>
      <c r="AC3934" s="2" t="s">
        <v>57</v>
      </c>
      <c r="AF3934" s="2">
        <f t="shared" si="581"/>
        <v>0</v>
      </c>
      <c r="AG3934" s="2">
        <v>8.1999999999999993</v>
      </c>
      <c r="AH3934" s="2">
        <v>13</v>
      </c>
      <c r="AJ3934" s="2">
        <f t="shared" si="582"/>
        <v>0</v>
      </c>
      <c r="AK3934" s="2">
        <f t="shared" si="586"/>
        <v>4.7999999999999989</v>
      </c>
      <c r="AL3934" s="5">
        <f t="shared" si="585"/>
        <v>0.36923076923076914</v>
      </c>
    </row>
    <row r="3935" spans="1:38" x14ac:dyDescent="0.2">
      <c r="A3935" s="2">
        <v>2026</v>
      </c>
      <c r="B3935" s="2">
        <v>5</v>
      </c>
      <c r="D3935" s="2" t="s">
        <v>433</v>
      </c>
      <c r="E3935" s="2" t="s">
        <v>38</v>
      </c>
      <c r="F3935" s="2" t="s">
        <v>39</v>
      </c>
      <c r="L3935" s="2" t="s">
        <v>99</v>
      </c>
      <c r="M3935" s="2" t="s">
        <v>41</v>
      </c>
      <c r="P3935" s="2" t="s">
        <v>72</v>
      </c>
      <c r="Q3935" s="2" t="s">
        <v>73</v>
      </c>
      <c r="R3935" s="2" t="s">
        <v>74</v>
      </c>
      <c r="S3935" s="2">
        <v>1</v>
      </c>
      <c r="T3935" s="2">
        <v>220</v>
      </c>
      <c r="U3935" s="2">
        <v>50.6</v>
      </c>
      <c r="V3935" s="2">
        <v>270.60000000000002</v>
      </c>
      <c r="W3935" s="2">
        <v>125.51600000000001</v>
      </c>
      <c r="X3935" s="5">
        <f t="shared" si="584"/>
        <v>0.42947272727272723</v>
      </c>
      <c r="Z3935" s="2" t="s">
        <v>3227</v>
      </c>
      <c r="AA3935" s="2" t="s">
        <v>75</v>
      </c>
      <c r="AB3935" s="2" t="s">
        <v>76</v>
      </c>
      <c r="AC3935" s="2" t="s">
        <v>77</v>
      </c>
      <c r="AF3935" s="2">
        <f t="shared" si="581"/>
        <v>0</v>
      </c>
      <c r="AG3935" s="2">
        <v>125.51600000000001</v>
      </c>
      <c r="AH3935" s="2">
        <v>220</v>
      </c>
      <c r="AJ3935" s="2">
        <f t="shared" si="582"/>
        <v>0</v>
      </c>
      <c r="AK3935" s="2">
        <f t="shared" si="586"/>
        <v>94.483999999999995</v>
      </c>
      <c r="AL3935" s="5">
        <f t="shared" si="585"/>
        <v>0.42947272727272723</v>
      </c>
    </row>
    <row r="3936" spans="1:38" x14ac:dyDescent="0.2">
      <c r="A3936" s="2">
        <v>2026</v>
      </c>
      <c r="B3936" s="2">
        <v>5</v>
      </c>
      <c r="D3936" s="2" t="s">
        <v>433</v>
      </c>
      <c r="E3936" s="2" t="s">
        <v>38</v>
      </c>
      <c r="F3936" s="2" t="s">
        <v>39</v>
      </c>
      <c r="L3936" s="2" t="s">
        <v>99</v>
      </c>
      <c r="M3936" s="2" t="s">
        <v>41</v>
      </c>
      <c r="P3936" s="2" t="s">
        <v>93</v>
      </c>
      <c r="Q3936" s="2" t="s">
        <v>94</v>
      </c>
      <c r="R3936" s="2" t="s">
        <v>95</v>
      </c>
      <c r="S3936" s="2">
        <v>1</v>
      </c>
      <c r="T3936" s="2">
        <v>1.48</v>
      </c>
      <c r="U3936" s="2">
        <v>0.34039999999999998</v>
      </c>
      <c r="V3936" s="2">
        <v>1.8204</v>
      </c>
      <c r="X3936" s="5">
        <f t="shared" si="584"/>
        <v>1</v>
      </c>
      <c r="Z3936" s="2" t="s">
        <v>3227</v>
      </c>
      <c r="AA3936" s="2" t="s">
        <v>96</v>
      </c>
      <c r="AB3936" s="2" t="s">
        <v>76</v>
      </c>
      <c r="AC3936" s="2" t="s">
        <v>93</v>
      </c>
      <c r="AF3936" s="2">
        <f t="shared" si="581"/>
        <v>0</v>
      </c>
      <c r="AJ3936" s="2">
        <f t="shared" si="582"/>
        <v>0</v>
      </c>
      <c r="AK3936" s="2">
        <f t="shared" si="586"/>
        <v>1.48</v>
      </c>
      <c r="AL3936" s="5">
        <f t="shared" si="585"/>
        <v>1</v>
      </c>
    </row>
    <row r="3937" spans="1:38" x14ac:dyDescent="0.2">
      <c r="A3937" s="2">
        <v>2026</v>
      </c>
      <c r="B3937" s="2">
        <v>5</v>
      </c>
      <c r="C3937" s="2" t="s">
        <v>3370</v>
      </c>
      <c r="D3937" s="2" t="s">
        <v>1017</v>
      </c>
      <c r="E3937" s="2" t="s">
        <v>108</v>
      </c>
      <c r="F3937" s="2" t="s">
        <v>477</v>
      </c>
      <c r="G3937" s="2">
        <v>505647338</v>
      </c>
      <c r="H3937" s="2" t="s">
        <v>290</v>
      </c>
      <c r="I3937" s="2" t="s">
        <v>1018</v>
      </c>
      <c r="J3937" s="2" t="s">
        <v>1019</v>
      </c>
      <c r="L3937" s="2" t="s">
        <v>293</v>
      </c>
      <c r="M3937" s="2" t="s">
        <v>80</v>
      </c>
      <c r="O3937" s="2" t="s">
        <v>2956</v>
      </c>
      <c r="P3937" s="2" t="s">
        <v>1038</v>
      </c>
      <c r="Q3937" s="2" t="s">
        <v>2957</v>
      </c>
      <c r="R3937" s="2" t="s">
        <v>2958</v>
      </c>
      <c r="S3937" s="2">
        <v>1</v>
      </c>
      <c r="T3937" s="2">
        <v>266.8</v>
      </c>
      <c r="U3937" s="2">
        <v>61.363999999999997</v>
      </c>
      <c r="V3937" s="2">
        <v>328.16399999999999</v>
      </c>
      <c r="W3937" s="2">
        <v>172.8</v>
      </c>
      <c r="X3937" s="5">
        <f t="shared" si="584"/>
        <v>0.35232383808095952</v>
      </c>
      <c r="Z3937" s="2" t="s">
        <v>3227</v>
      </c>
      <c r="AA3937" s="2" t="s">
        <v>75</v>
      </c>
      <c r="AB3937" s="2" t="s">
        <v>76</v>
      </c>
      <c r="AC3937" s="2" t="s">
        <v>1038</v>
      </c>
      <c r="AF3937" s="2">
        <f t="shared" si="581"/>
        <v>0</v>
      </c>
      <c r="AJ3937" s="2">
        <f t="shared" si="582"/>
        <v>0</v>
      </c>
      <c r="AK3937" s="2">
        <f t="shared" si="586"/>
        <v>94</v>
      </c>
      <c r="AL3937" s="5">
        <f t="shared" si="585"/>
        <v>0.35232383808095952</v>
      </c>
    </row>
    <row r="3938" spans="1:38" x14ac:dyDescent="0.2">
      <c r="A3938" s="2">
        <v>2026</v>
      </c>
      <c r="B3938" s="2">
        <v>5</v>
      </c>
      <c r="C3938" s="2" t="s">
        <v>3370</v>
      </c>
      <c r="D3938" s="2" t="s">
        <v>1017</v>
      </c>
      <c r="E3938" s="2" t="s">
        <v>108</v>
      </c>
      <c r="F3938" s="2" t="s">
        <v>477</v>
      </c>
      <c r="G3938" s="2">
        <v>505647338</v>
      </c>
      <c r="H3938" s="2" t="s">
        <v>290</v>
      </c>
      <c r="I3938" s="2" t="s">
        <v>1018</v>
      </c>
      <c r="J3938" s="2" t="s">
        <v>1019</v>
      </c>
      <c r="L3938" s="2" t="s">
        <v>293</v>
      </c>
      <c r="M3938" s="2" t="s">
        <v>80</v>
      </c>
      <c r="O3938" s="2" t="s">
        <v>2956</v>
      </c>
      <c r="P3938" s="2" t="s">
        <v>93</v>
      </c>
      <c r="Q3938" s="2" t="s">
        <v>94</v>
      </c>
      <c r="R3938" s="2" t="s">
        <v>95</v>
      </c>
      <c r="S3938" s="2">
        <v>1</v>
      </c>
      <c r="T3938" s="2">
        <v>1.48</v>
      </c>
      <c r="U3938" s="2">
        <v>0.34039999999999998</v>
      </c>
      <c r="V3938" s="2">
        <v>1.8204</v>
      </c>
      <c r="W3938" s="2">
        <v>1.48</v>
      </c>
      <c r="X3938" s="5">
        <f t="shared" si="584"/>
        <v>0</v>
      </c>
      <c r="Z3938" s="2" t="s">
        <v>3227</v>
      </c>
      <c r="AA3938" s="2" t="s">
        <v>96</v>
      </c>
      <c r="AB3938" s="2" t="s">
        <v>76</v>
      </c>
      <c r="AC3938" s="2" t="s">
        <v>93</v>
      </c>
      <c r="AF3938" s="2">
        <f t="shared" si="581"/>
        <v>0</v>
      </c>
      <c r="AG3938" s="2">
        <v>1.48</v>
      </c>
      <c r="AH3938" s="2">
        <v>1.48</v>
      </c>
      <c r="AJ3938" s="2">
        <f t="shared" si="582"/>
        <v>0</v>
      </c>
      <c r="AK3938" s="2">
        <f t="shared" si="586"/>
        <v>0</v>
      </c>
      <c r="AL3938" s="5">
        <f t="shared" si="585"/>
        <v>0</v>
      </c>
    </row>
    <row r="3939" spans="1:38" x14ac:dyDescent="0.2">
      <c r="A3939" s="2">
        <v>2026</v>
      </c>
      <c r="B3939" s="2">
        <v>5</v>
      </c>
      <c r="D3939" s="2" t="s">
        <v>1901</v>
      </c>
      <c r="G3939" s="2">
        <v>505757486</v>
      </c>
      <c r="I3939" s="2" t="s">
        <v>2959</v>
      </c>
      <c r="M3939" s="2" t="s">
        <v>80</v>
      </c>
      <c r="O3939" s="2" t="s">
        <v>2960</v>
      </c>
      <c r="P3939" s="2" t="s">
        <v>72</v>
      </c>
      <c r="Q3939" s="2" t="s">
        <v>1075</v>
      </c>
      <c r="R3939" s="2" t="s">
        <v>83</v>
      </c>
      <c r="S3939" s="2">
        <v>1</v>
      </c>
      <c r="T3939" s="2">
        <v>257.60000000000002</v>
      </c>
      <c r="U3939" s="2">
        <v>59.247999999999998</v>
      </c>
      <c r="V3939" s="2">
        <v>316.84800000000001</v>
      </c>
      <c r="W3939" s="2">
        <v>159.54</v>
      </c>
      <c r="X3939" s="5">
        <f t="shared" si="584"/>
        <v>0.38066770186335414</v>
      </c>
      <c r="Z3939" s="2" t="s">
        <v>3227</v>
      </c>
      <c r="AA3939" s="2" t="s">
        <v>75</v>
      </c>
      <c r="AB3939" s="2" t="s">
        <v>76</v>
      </c>
      <c r="AC3939" s="2" t="s">
        <v>77</v>
      </c>
      <c r="AF3939" s="2">
        <f t="shared" si="581"/>
        <v>0</v>
      </c>
      <c r="AG3939" s="2">
        <f>144.14+15.4</f>
        <v>159.54</v>
      </c>
      <c r="AH3939" s="2">
        <v>280</v>
      </c>
      <c r="AJ3939" s="2">
        <f t="shared" si="582"/>
        <v>0</v>
      </c>
      <c r="AK3939" s="2">
        <f t="shared" si="586"/>
        <v>98.060000000000031</v>
      </c>
      <c r="AL3939" s="5">
        <f t="shared" si="585"/>
        <v>0.38066770186335414</v>
      </c>
    </row>
    <row r="3940" spans="1:38" x14ac:dyDescent="0.2">
      <c r="A3940" s="2">
        <v>2026</v>
      </c>
      <c r="B3940" s="2">
        <v>5</v>
      </c>
      <c r="D3940" s="2" t="s">
        <v>1901</v>
      </c>
      <c r="P3940" s="2" t="s">
        <v>93</v>
      </c>
      <c r="Q3940" s="2" t="s">
        <v>94</v>
      </c>
      <c r="R3940" s="2" t="s">
        <v>95</v>
      </c>
      <c r="S3940" s="2">
        <v>1</v>
      </c>
      <c r="T3940" s="2">
        <v>1.48</v>
      </c>
      <c r="U3940" s="2">
        <v>0.34039999999999998</v>
      </c>
      <c r="V3940" s="2">
        <v>1.8204</v>
      </c>
      <c r="W3940" s="2">
        <v>1.48</v>
      </c>
      <c r="X3940" s="5">
        <f t="shared" si="584"/>
        <v>0</v>
      </c>
      <c r="Z3940" s="2" t="s">
        <v>3227</v>
      </c>
      <c r="AA3940" s="2" t="s">
        <v>96</v>
      </c>
      <c r="AB3940" s="2" t="s">
        <v>76</v>
      </c>
      <c r="AC3940" s="2" t="s">
        <v>93</v>
      </c>
      <c r="AF3940" s="2">
        <f t="shared" si="581"/>
        <v>0</v>
      </c>
      <c r="AJ3940" s="2">
        <f t="shared" si="582"/>
        <v>0</v>
      </c>
      <c r="AK3940" s="2">
        <f t="shared" si="586"/>
        <v>0</v>
      </c>
      <c r="AL3940" s="5">
        <f t="shared" si="585"/>
        <v>0</v>
      </c>
    </row>
    <row r="3941" spans="1:38" x14ac:dyDescent="0.2">
      <c r="A3941" s="2">
        <v>2026</v>
      </c>
      <c r="B3941" s="2">
        <v>5</v>
      </c>
      <c r="D3941" s="2" t="s">
        <v>451</v>
      </c>
      <c r="E3941" s="2" t="s">
        <v>108</v>
      </c>
      <c r="F3941" s="2" t="s">
        <v>39</v>
      </c>
      <c r="G3941" s="2">
        <v>506085686</v>
      </c>
      <c r="H3941" s="2" t="s">
        <v>40</v>
      </c>
      <c r="I3941" s="2" t="s">
        <v>452</v>
      </c>
      <c r="J3941" s="2" t="s">
        <v>453</v>
      </c>
      <c r="K3941" s="2">
        <v>917241919</v>
      </c>
      <c r="L3941" s="2" t="s">
        <v>398</v>
      </c>
      <c r="M3941" s="2" t="s">
        <v>40</v>
      </c>
      <c r="P3941" s="2" t="s">
        <v>40</v>
      </c>
      <c r="Q3941" s="2" t="s">
        <v>140</v>
      </c>
      <c r="R3941" s="2" t="s">
        <v>141</v>
      </c>
      <c r="S3941" s="2">
        <v>-1</v>
      </c>
      <c r="T3941" s="2">
        <v>-478.42</v>
      </c>
      <c r="U3941" s="2">
        <v>-110.03660000000001</v>
      </c>
      <c r="V3941" s="2">
        <v>-588.45659999999998</v>
      </c>
      <c r="Z3941" s="2" t="s">
        <v>119</v>
      </c>
      <c r="AA3941" s="2" t="s">
        <v>142</v>
      </c>
      <c r="AF3941" s="2">
        <f t="shared" si="581"/>
        <v>0</v>
      </c>
      <c r="AJ3941" s="2">
        <f t="shared" si="582"/>
        <v>0</v>
      </c>
    </row>
    <row r="3942" spans="1:38" x14ac:dyDescent="0.2">
      <c r="A3942" s="2">
        <v>2026</v>
      </c>
      <c r="B3942" s="2">
        <v>5</v>
      </c>
      <c r="D3942" s="2" t="s">
        <v>2961</v>
      </c>
      <c r="E3942" s="2" t="s">
        <v>38</v>
      </c>
      <c r="F3942" s="2" t="s">
        <v>39</v>
      </c>
      <c r="G3942" s="2">
        <v>513801537</v>
      </c>
      <c r="H3942" s="2" t="s">
        <v>40</v>
      </c>
      <c r="I3942" s="2" t="s">
        <v>2962</v>
      </c>
      <c r="J3942" s="2" t="s">
        <v>2963</v>
      </c>
      <c r="K3942" s="2">
        <v>966567958</v>
      </c>
      <c r="L3942" s="2" t="s">
        <v>344</v>
      </c>
      <c r="M3942" s="2" t="s">
        <v>80</v>
      </c>
      <c r="O3942" s="2" t="s">
        <v>2964</v>
      </c>
      <c r="P3942" s="2" t="s">
        <v>282</v>
      </c>
      <c r="Q3942" s="2" t="s">
        <v>1436</v>
      </c>
      <c r="R3942" s="2" t="s">
        <v>1437</v>
      </c>
      <c r="S3942" s="2">
        <v>10</v>
      </c>
      <c r="T3942" s="2">
        <v>69</v>
      </c>
      <c r="U3942" s="2">
        <v>15.87</v>
      </c>
      <c r="V3942" s="2">
        <v>84.87</v>
      </c>
      <c r="W3942" s="2">
        <f>5.135*S3942</f>
        <v>51.349999999999994</v>
      </c>
      <c r="X3942" s="5">
        <f t="shared" ref="X3942:X3947" si="587">(T3942-W3942)/T3942</f>
        <v>0.25579710144927542</v>
      </c>
      <c r="Z3942" s="2" t="s">
        <v>3227</v>
      </c>
      <c r="AA3942" s="2" t="s">
        <v>71</v>
      </c>
      <c r="AB3942" s="2" t="s">
        <v>119</v>
      </c>
      <c r="AC3942" s="2" t="s">
        <v>119</v>
      </c>
      <c r="AF3942" s="2">
        <f t="shared" si="581"/>
        <v>0</v>
      </c>
      <c r="AG3942" s="2">
        <v>5.1349999999999998</v>
      </c>
      <c r="AJ3942" s="2">
        <f t="shared" si="582"/>
        <v>0</v>
      </c>
      <c r="AK3942" s="2">
        <f t="shared" ref="AK3942:AK3950" si="588">T3942-W3942</f>
        <v>17.650000000000006</v>
      </c>
      <c r="AL3942" s="5">
        <f t="shared" ref="AL3942:AL3947" si="589">(T3942-W3942)/T3942</f>
        <v>0.25579710144927542</v>
      </c>
    </row>
    <row r="3943" spans="1:38" x14ac:dyDescent="0.2">
      <c r="A3943" s="2">
        <v>2026</v>
      </c>
      <c r="B3943" s="2">
        <v>5</v>
      </c>
      <c r="D3943" s="2" t="s">
        <v>2961</v>
      </c>
      <c r="E3943" s="2" t="s">
        <v>38</v>
      </c>
      <c r="F3943" s="2" t="s">
        <v>39</v>
      </c>
      <c r="G3943" s="2">
        <v>513801537</v>
      </c>
      <c r="H3943" s="2" t="s">
        <v>40</v>
      </c>
      <c r="I3943" s="2" t="s">
        <v>2962</v>
      </c>
      <c r="J3943" s="2" t="s">
        <v>2963</v>
      </c>
      <c r="K3943" s="2">
        <v>966567958</v>
      </c>
      <c r="L3943" s="2" t="s">
        <v>344</v>
      </c>
      <c r="M3943" s="2" t="s">
        <v>80</v>
      </c>
      <c r="O3943" s="2" t="s">
        <v>2964</v>
      </c>
      <c r="P3943" s="2" t="s">
        <v>282</v>
      </c>
      <c r="Q3943" s="2" t="s">
        <v>1588</v>
      </c>
      <c r="R3943" s="2" t="s">
        <v>1589</v>
      </c>
      <c r="S3943" s="2">
        <v>10</v>
      </c>
      <c r="T3943" s="2">
        <v>69</v>
      </c>
      <c r="U3943" s="2">
        <v>15.87</v>
      </c>
      <c r="V3943" s="2">
        <v>84.87</v>
      </c>
      <c r="W3943" s="2">
        <f>5.135*S3943</f>
        <v>51.349999999999994</v>
      </c>
      <c r="X3943" s="5">
        <f t="shared" si="587"/>
        <v>0.25579710144927542</v>
      </c>
      <c r="Z3943" s="2" t="s">
        <v>3227</v>
      </c>
      <c r="AA3943" s="2" t="s">
        <v>71</v>
      </c>
      <c r="AB3943" s="2" t="s">
        <v>119</v>
      </c>
      <c r="AC3943" s="2" t="s">
        <v>119</v>
      </c>
      <c r="AF3943" s="2">
        <f t="shared" si="581"/>
        <v>0</v>
      </c>
      <c r="AG3943" s="2">
        <v>5.1349999999999998</v>
      </c>
      <c r="AJ3943" s="2">
        <f t="shared" si="582"/>
        <v>0</v>
      </c>
      <c r="AK3943" s="2">
        <f t="shared" si="588"/>
        <v>17.650000000000006</v>
      </c>
      <c r="AL3943" s="5">
        <f t="shared" si="589"/>
        <v>0.25579710144927542</v>
      </c>
    </row>
    <row r="3944" spans="1:38" x14ac:dyDescent="0.2">
      <c r="A3944" s="2">
        <v>2026</v>
      </c>
      <c r="B3944" s="2">
        <v>5</v>
      </c>
      <c r="D3944" s="2" t="s">
        <v>2961</v>
      </c>
      <c r="E3944" s="2" t="s">
        <v>38</v>
      </c>
      <c r="F3944" s="2" t="s">
        <v>39</v>
      </c>
      <c r="G3944" s="2">
        <v>513801537</v>
      </c>
      <c r="H3944" s="2" t="s">
        <v>40</v>
      </c>
      <c r="I3944" s="2" t="s">
        <v>2962</v>
      </c>
      <c r="J3944" s="2" t="s">
        <v>2963</v>
      </c>
      <c r="K3944" s="2">
        <v>966567958</v>
      </c>
      <c r="L3944" s="2" t="s">
        <v>344</v>
      </c>
      <c r="M3944" s="2" t="s">
        <v>80</v>
      </c>
      <c r="O3944" s="2" t="s">
        <v>2964</v>
      </c>
      <c r="P3944" s="2" t="s">
        <v>43</v>
      </c>
      <c r="Q3944" s="2" t="s">
        <v>50</v>
      </c>
      <c r="R3944" s="2" t="s">
        <v>51</v>
      </c>
      <c r="S3944" s="2">
        <v>1</v>
      </c>
      <c r="T3944" s="2">
        <v>21</v>
      </c>
      <c r="U3944" s="2">
        <v>4.83</v>
      </c>
      <c r="V3944" s="2">
        <v>25.83</v>
      </c>
      <c r="W3944" s="2">
        <f>14.4*S3944</f>
        <v>14.4</v>
      </c>
      <c r="X3944" s="5">
        <f t="shared" si="587"/>
        <v>0.31428571428571428</v>
      </c>
      <c r="Z3944" s="2" t="s">
        <v>3227</v>
      </c>
      <c r="AA3944" s="2" t="s">
        <v>46</v>
      </c>
      <c r="AB3944" s="2" t="s">
        <v>47</v>
      </c>
      <c r="AC3944" s="2" t="s">
        <v>57</v>
      </c>
      <c r="AF3944" s="2">
        <f t="shared" si="581"/>
        <v>0</v>
      </c>
      <c r="AG3944" s="2">
        <v>14.4</v>
      </c>
      <c r="AH3944" s="2">
        <v>21</v>
      </c>
      <c r="AJ3944" s="2">
        <f t="shared" si="582"/>
        <v>0</v>
      </c>
      <c r="AK3944" s="2">
        <f t="shared" si="588"/>
        <v>6.6</v>
      </c>
      <c r="AL3944" s="5">
        <f t="shared" si="589"/>
        <v>0.31428571428571428</v>
      </c>
    </row>
    <row r="3945" spans="1:38" x14ac:dyDescent="0.2">
      <c r="A3945" s="2">
        <v>2026</v>
      </c>
      <c r="B3945" s="2">
        <v>5</v>
      </c>
      <c r="D3945" s="2" t="s">
        <v>2961</v>
      </c>
      <c r="E3945" s="2" t="s">
        <v>38</v>
      </c>
      <c r="F3945" s="2" t="s">
        <v>39</v>
      </c>
      <c r="G3945" s="2">
        <v>513801537</v>
      </c>
      <c r="H3945" s="2" t="s">
        <v>40</v>
      </c>
      <c r="I3945" s="2" t="s">
        <v>2962</v>
      </c>
      <c r="J3945" s="2" t="s">
        <v>2963</v>
      </c>
      <c r="K3945" s="2">
        <v>966567958</v>
      </c>
      <c r="L3945" s="2" t="s">
        <v>344</v>
      </c>
      <c r="M3945" s="2" t="s">
        <v>80</v>
      </c>
      <c r="O3945" s="2" t="s">
        <v>2964</v>
      </c>
      <c r="P3945" s="2" t="s">
        <v>43</v>
      </c>
      <c r="Q3945" s="2" t="s">
        <v>859</v>
      </c>
      <c r="R3945" s="2" t="s">
        <v>860</v>
      </c>
      <c r="S3945" s="2">
        <v>2</v>
      </c>
      <c r="T3945" s="2">
        <v>42</v>
      </c>
      <c r="U3945" s="2">
        <v>9.66</v>
      </c>
      <c r="V3945" s="2">
        <v>51.66</v>
      </c>
      <c r="W3945" s="2">
        <f>8*S3945</f>
        <v>16</v>
      </c>
      <c r="X3945" s="5">
        <f t="shared" si="587"/>
        <v>0.61904761904761907</v>
      </c>
      <c r="Z3945" s="2" t="s">
        <v>3227</v>
      </c>
      <c r="AA3945" s="2" t="s">
        <v>46</v>
      </c>
      <c r="AB3945" s="2" t="s">
        <v>47</v>
      </c>
      <c r="AC3945" s="2" t="s">
        <v>57</v>
      </c>
      <c r="AF3945" s="2">
        <f t="shared" si="581"/>
        <v>0</v>
      </c>
      <c r="AJ3945" s="2">
        <f t="shared" si="582"/>
        <v>0</v>
      </c>
      <c r="AK3945" s="2">
        <f t="shared" si="588"/>
        <v>26</v>
      </c>
      <c r="AL3945" s="5">
        <f t="shared" si="589"/>
        <v>0.61904761904761907</v>
      </c>
    </row>
    <row r="3946" spans="1:38" x14ac:dyDescent="0.2">
      <c r="A3946" s="2">
        <v>2026</v>
      </c>
      <c r="B3946" s="2">
        <v>5</v>
      </c>
      <c r="D3946" s="2" t="s">
        <v>2961</v>
      </c>
      <c r="E3946" s="2" t="s">
        <v>38</v>
      </c>
      <c r="F3946" s="2" t="s">
        <v>39</v>
      </c>
      <c r="G3946" s="2">
        <v>513801537</v>
      </c>
      <c r="H3946" s="2" t="s">
        <v>40</v>
      </c>
      <c r="I3946" s="2" t="s">
        <v>2962</v>
      </c>
      <c r="J3946" s="2" t="s">
        <v>2963</v>
      </c>
      <c r="K3946" s="2">
        <v>966567958</v>
      </c>
      <c r="L3946" s="2" t="s">
        <v>344</v>
      </c>
      <c r="M3946" s="2" t="s">
        <v>80</v>
      </c>
      <c r="O3946" s="2" t="s">
        <v>2964</v>
      </c>
      <c r="P3946" s="2" t="s">
        <v>43</v>
      </c>
      <c r="Q3946" s="2" t="s">
        <v>244</v>
      </c>
      <c r="R3946" s="2" t="s">
        <v>245</v>
      </c>
      <c r="S3946" s="2">
        <v>1</v>
      </c>
      <c r="T3946" s="2">
        <v>18</v>
      </c>
      <c r="U3946" s="2">
        <v>4.1400000000000006</v>
      </c>
      <c r="V3946" s="2">
        <v>22.14</v>
      </c>
      <c r="W3946" s="2">
        <f>9.2346*S3946</f>
        <v>9.2346000000000004</v>
      </c>
      <c r="X3946" s="5">
        <f t="shared" si="587"/>
        <v>0.48696666666666666</v>
      </c>
      <c r="Z3946" s="2" t="s">
        <v>3227</v>
      </c>
      <c r="AA3946" s="2" t="s">
        <v>46</v>
      </c>
      <c r="AB3946" s="2" t="s">
        <v>56</v>
      </c>
      <c r="AC3946" s="2" t="s">
        <v>57</v>
      </c>
      <c r="AF3946" s="2">
        <f t="shared" si="581"/>
        <v>0</v>
      </c>
      <c r="AG3946" s="2">
        <v>9.2346000000000004</v>
      </c>
      <c r="AJ3946" s="2">
        <f t="shared" si="582"/>
        <v>0</v>
      </c>
      <c r="AK3946" s="2">
        <f t="shared" si="588"/>
        <v>8.7653999999999996</v>
      </c>
      <c r="AL3946" s="5">
        <f t="shared" si="589"/>
        <v>0.48696666666666666</v>
      </c>
    </row>
    <row r="3947" spans="1:38" x14ac:dyDescent="0.2">
      <c r="A3947" s="2">
        <v>2026</v>
      </c>
      <c r="B3947" s="2">
        <v>5</v>
      </c>
      <c r="D3947" s="2" t="s">
        <v>2961</v>
      </c>
      <c r="E3947" s="2" t="s">
        <v>38</v>
      </c>
      <c r="F3947" s="2" t="s">
        <v>39</v>
      </c>
      <c r="G3947" s="2">
        <v>513801537</v>
      </c>
      <c r="H3947" s="2" t="s">
        <v>40</v>
      </c>
      <c r="I3947" s="2" t="s">
        <v>2962</v>
      </c>
      <c r="J3947" s="2" t="s">
        <v>2963</v>
      </c>
      <c r="K3947" s="2">
        <v>966567958</v>
      </c>
      <c r="L3947" s="2" t="s">
        <v>344</v>
      </c>
      <c r="M3947" s="2" t="s">
        <v>80</v>
      </c>
      <c r="O3947" s="2" t="s">
        <v>2964</v>
      </c>
      <c r="P3947" s="2" t="s">
        <v>43</v>
      </c>
      <c r="Q3947" s="2" t="s">
        <v>61</v>
      </c>
      <c r="R3947" s="2" t="s">
        <v>62</v>
      </c>
      <c r="S3947" s="2">
        <v>1000</v>
      </c>
      <c r="T3947" s="2">
        <v>110</v>
      </c>
      <c r="U3947" s="2">
        <v>25.3</v>
      </c>
      <c r="V3947" s="2">
        <v>135.30000000000001</v>
      </c>
      <c r="W3947" s="2">
        <f>0.082*S3947</f>
        <v>82</v>
      </c>
      <c r="X3947" s="5">
        <f t="shared" si="587"/>
        <v>0.25454545454545452</v>
      </c>
      <c r="Z3947" s="2" t="s">
        <v>3227</v>
      </c>
      <c r="AA3947" s="2" t="s">
        <v>46</v>
      </c>
      <c r="AB3947" s="2" t="s">
        <v>60</v>
      </c>
      <c r="AC3947" s="2" t="s">
        <v>57</v>
      </c>
      <c r="AF3947" s="2">
        <f t="shared" si="581"/>
        <v>0</v>
      </c>
      <c r="AG3947" s="2">
        <v>8.1999999999999993</v>
      </c>
      <c r="AH3947" s="2">
        <v>13</v>
      </c>
      <c r="AJ3947" s="2">
        <f t="shared" si="582"/>
        <v>0</v>
      </c>
      <c r="AK3947" s="2">
        <f t="shared" si="588"/>
        <v>28</v>
      </c>
      <c r="AL3947" s="5">
        <f t="shared" si="589"/>
        <v>0.25454545454545452</v>
      </c>
    </row>
    <row r="3948" spans="1:38" x14ac:dyDescent="0.2">
      <c r="A3948" s="2">
        <v>2026</v>
      </c>
      <c r="B3948" s="2">
        <v>5</v>
      </c>
      <c r="D3948" s="2" t="s">
        <v>2961</v>
      </c>
      <c r="E3948" s="2" t="s">
        <v>38</v>
      </c>
      <c r="F3948" s="2" t="s">
        <v>39</v>
      </c>
      <c r="G3948" s="2">
        <v>513801537</v>
      </c>
      <c r="H3948" s="2" t="s">
        <v>40</v>
      </c>
      <c r="I3948" s="2" t="s">
        <v>2962</v>
      </c>
      <c r="J3948" s="2" t="s">
        <v>2963</v>
      </c>
      <c r="K3948" s="2">
        <v>966567958</v>
      </c>
      <c r="L3948" s="2" t="s">
        <v>344</v>
      </c>
      <c r="M3948" s="2" t="s">
        <v>80</v>
      </c>
      <c r="O3948" s="2" t="s">
        <v>2964</v>
      </c>
      <c r="P3948" s="2" t="s">
        <v>43</v>
      </c>
      <c r="Q3948" s="2" t="s">
        <v>2965</v>
      </c>
      <c r="R3948" s="2" t="s">
        <v>2966</v>
      </c>
      <c r="S3948" s="2">
        <v>1</v>
      </c>
      <c r="T3948" s="2">
        <v>0</v>
      </c>
      <c r="U3948" s="2">
        <v>0</v>
      </c>
      <c r="V3948" s="2">
        <v>0</v>
      </c>
      <c r="W3948" s="2">
        <v>19.68</v>
      </c>
      <c r="X3948" s="5">
        <f>IF(T3948=0,IF(W3948&gt;0,-100%,0%),(T3948-W3948)/T3948)</f>
        <v>-1</v>
      </c>
      <c r="Z3948" s="2" t="s">
        <v>3227</v>
      </c>
      <c r="AA3948" s="2" t="s">
        <v>46</v>
      </c>
      <c r="AB3948" s="2" t="s">
        <v>56</v>
      </c>
      <c r="AC3948" s="2" t="s">
        <v>57</v>
      </c>
      <c r="AF3948" s="2">
        <f t="shared" si="581"/>
        <v>0</v>
      </c>
      <c r="AG3948" s="2">
        <v>19.68</v>
      </c>
      <c r="AJ3948" s="2">
        <f t="shared" si="582"/>
        <v>0</v>
      </c>
      <c r="AK3948" s="2">
        <f t="shared" si="588"/>
        <v>-19.68</v>
      </c>
      <c r="AL3948" s="5">
        <f>IF(T3948=0,IF(W3948&gt;0,-100%,0%),(T3948-W3948)/T3948)</f>
        <v>-1</v>
      </c>
    </row>
    <row r="3949" spans="1:38" x14ac:dyDescent="0.2">
      <c r="A3949" s="2">
        <v>2026</v>
      </c>
      <c r="B3949" s="2">
        <v>5</v>
      </c>
      <c r="D3949" s="2" t="s">
        <v>2961</v>
      </c>
      <c r="E3949" s="2" t="s">
        <v>38</v>
      </c>
      <c r="F3949" s="2" t="s">
        <v>39</v>
      </c>
      <c r="G3949" s="2">
        <v>513801537</v>
      </c>
      <c r="H3949" s="2" t="s">
        <v>40</v>
      </c>
      <c r="I3949" s="2" t="s">
        <v>2962</v>
      </c>
      <c r="J3949" s="2" t="s">
        <v>2963</v>
      </c>
      <c r="K3949" s="2">
        <v>966567958</v>
      </c>
      <c r="L3949" s="2" t="s">
        <v>344</v>
      </c>
      <c r="M3949" s="2" t="s">
        <v>80</v>
      </c>
      <c r="O3949" s="2" t="s">
        <v>2964</v>
      </c>
      <c r="P3949" s="2" t="s">
        <v>43</v>
      </c>
      <c r="Q3949" s="2" t="s">
        <v>2967</v>
      </c>
      <c r="R3949" s="2" t="s">
        <v>2968</v>
      </c>
      <c r="S3949" s="2">
        <v>4</v>
      </c>
      <c r="T3949" s="2">
        <v>72</v>
      </c>
      <c r="U3949" s="2">
        <v>16.559999999999999</v>
      </c>
      <c r="V3949" s="2">
        <v>88.56</v>
      </c>
      <c r="W3949" s="2">
        <f>11.525*S3949</f>
        <v>46.1</v>
      </c>
      <c r="X3949" s="5">
        <f>(T3949-W3949)/T3949</f>
        <v>0.35972222222222222</v>
      </c>
      <c r="Z3949" s="2" t="s">
        <v>3227</v>
      </c>
      <c r="AA3949" s="2" t="s">
        <v>46</v>
      </c>
      <c r="AB3949" s="2" t="s">
        <v>56</v>
      </c>
      <c r="AC3949" s="2" t="s">
        <v>57</v>
      </c>
      <c r="AF3949" s="2">
        <f t="shared" si="581"/>
        <v>0</v>
      </c>
      <c r="AG3949" s="2">
        <v>11.525</v>
      </c>
      <c r="AJ3949" s="2">
        <f t="shared" si="582"/>
        <v>0</v>
      </c>
      <c r="AK3949" s="2">
        <f t="shared" si="588"/>
        <v>25.9</v>
      </c>
      <c r="AL3949" s="5">
        <f>(T3949-W3949)/T3949</f>
        <v>0.35972222222222222</v>
      </c>
    </row>
    <row r="3950" spans="1:38" x14ac:dyDescent="0.2">
      <c r="A3950" s="2">
        <v>2026</v>
      </c>
      <c r="B3950" s="2">
        <v>5</v>
      </c>
      <c r="D3950" s="2" t="s">
        <v>2238</v>
      </c>
      <c r="E3950" s="2" t="s">
        <v>108</v>
      </c>
      <c r="F3950" s="2" t="s">
        <v>39</v>
      </c>
      <c r="G3950" s="2">
        <v>2000750098</v>
      </c>
      <c r="H3950" s="2" t="s">
        <v>41</v>
      </c>
      <c r="I3950" s="2" t="s">
        <v>2969</v>
      </c>
      <c r="J3950" s="2" t="s">
        <v>2970</v>
      </c>
      <c r="K3950" s="2">
        <v>939310247</v>
      </c>
      <c r="L3950" s="2" t="s">
        <v>461</v>
      </c>
      <c r="M3950" s="2" t="s">
        <v>40</v>
      </c>
      <c r="O3950" s="2" t="s">
        <v>2971</v>
      </c>
      <c r="P3950" s="2" t="s">
        <v>114</v>
      </c>
      <c r="Q3950" s="2" t="s">
        <v>576</v>
      </c>
      <c r="R3950" s="2" t="s">
        <v>577</v>
      </c>
      <c r="S3950" s="2">
        <v>1</v>
      </c>
      <c r="T3950" s="2">
        <v>79.47</v>
      </c>
      <c r="U3950" s="2">
        <v>18.278099999999998</v>
      </c>
      <c r="V3950" s="2">
        <v>97.748099999999994</v>
      </c>
      <c r="W3950" s="2">
        <v>25.2</v>
      </c>
      <c r="X3950" s="5">
        <f>(T3950-W3950)/T3950</f>
        <v>0.68289920724801811</v>
      </c>
      <c r="Z3950" s="2" t="s">
        <v>117</v>
      </c>
      <c r="AA3950" s="2" t="s">
        <v>578</v>
      </c>
      <c r="AB3950" s="2" t="s">
        <v>119</v>
      </c>
      <c r="AC3950" s="2" t="s">
        <v>114</v>
      </c>
      <c r="AF3950" s="2">
        <f t="shared" si="581"/>
        <v>0</v>
      </c>
      <c r="AG3950" s="2">
        <v>25.2</v>
      </c>
      <c r="AJ3950" s="2">
        <f t="shared" si="582"/>
        <v>0</v>
      </c>
      <c r="AK3950" s="2">
        <f t="shared" si="588"/>
        <v>54.269999999999996</v>
      </c>
      <c r="AL3950" s="5">
        <f>(T3950-W3950)/T3950</f>
        <v>0.68289920724801811</v>
      </c>
    </row>
    <row r="3951" spans="1:38" x14ac:dyDescent="0.2">
      <c r="A3951" s="2">
        <v>2026</v>
      </c>
      <c r="B3951" s="2">
        <v>5</v>
      </c>
      <c r="D3951" s="2" t="s">
        <v>462</v>
      </c>
      <c r="E3951" s="2" t="s">
        <v>108</v>
      </c>
      <c r="F3951" s="2" t="s">
        <v>39</v>
      </c>
      <c r="G3951" s="2">
        <v>506531031</v>
      </c>
      <c r="H3951" s="2" t="s">
        <v>109</v>
      </c>
      <c r="I3951" s="2" t="s">
        <v>463</v>
      </c>
      <c r="J3951" s="2" t="s">
        <v>464</v>
      </c>
      <c r="L3951" s="2" t="s">
        <v>112</v>
      </c>
      <c r="O3951" s="2" t="s">
        <v>2972</v>
      </c>
      <c r="P3951" s="2" t="s">
        <v>114</v>
      </c>
      <c r="Q3951" s="2" t="s">
        <v>1578</v>
      </c>
      <c r="R3951" s="2" t="s">
        <v>1579</v>
      </c>
      <c r="S3951" s="2">
        <v>-1</v>
      </c>
      <c r="T3951" s="2">
        <v>-6990</v>
      </c>
      <c r="U3951" s="2">
        <v>-1607.7</v>
      </c>
      <c r="V3951" s="2">
        <v>-8597.7000000000007</v>
      </c>
      <c r="W3951" s="2">
        <v>5064.2299999999996</v>
      </c>
      <c r="X3951" s="5">
        <f>SIGN(T3951)*((ABS(T3951)-W3951)/ABS(T3951))</f>
        <v>-0.27550357653791135</v>
      </c>
      <c r="Z3951" s="2" t="s">
        <v>104</v>
      </c>
      <c r="AA3951" s="2" t="s">
        <v>150</v>
      </c>
      <c r="AB3951" s="2" t="s">
        <v>151</v>
      </c>
      <c r="AC3951" s="2" t="s">
        <v>114</v>
      </c>
      <c r="AF3951" s="2">
        <f t="shared" si="581"/>
        <v>0</v>
      </c>
      <c r="AG3951" s="2">
        <f>4893.23+171</f>
        <v>5064.2299999999996</v>
      </c>
      <c r="AJ3951" s="2">
        <f t="shared" si="582"/>
        <v>0</v>
      </c>
      <c r="AK3951" s="2">
        <f>W3951+(T3951)</f>
        <v>-1925.7700000000004</v>
      </c>
      <c r="AL3951" s="5">
        <f>SIGN(T3951)*((ABS(T3951)-W3951)/ABS(T3951))</f>
        <v>-0.27550357653791135</v>
      </c>
    </row>
    <row r="3952" spans="1:38" x14ac:dyDescent="0.2">
      <c r="A3952" s="2">
        <v>2026</v>
      </c>
      <c r="B3952" s="2">
        <v>5</v>
      </c>
      <c r="C3952" s="2" t="s">
        <v>3450</v>
      </c>
      <c r="D3952" s="2" t="s">
        <v>3448</v>
      </c>
      <c r="E3952" s="2" t="s">
        <v>108</v>
      </c>
      <c r="F3952" s="2" t="s">
        <v>39</v>
      </c>
      <c r="J3952" s="2" t="s">
        <v>471</v>
      </c>
      <c r="L3952" s="2" t="s">
        <v>293</v>
      </c>
      <c r="M3952" s="2" t="s">
        <v>1172</v>
      </c>
      <c r="O3952" s="2" t="s">
        <v>2973</v>
      </c>
      <c r="P3952" s="2" t="s">
        <v>114</v>
      </c>
      <c r="Q3952" s="2" t="s">
        <v>955</v>
      </c>
      <c r="R3952" s="2" t="s">
        <v>956</v>
      </c>
      <c r="S3952" s="2">
        <v>1</v>
      </c>
      <c r="T3952" s="2">
        <v>9930</v>
      </c>
      <c r="U3952" s="2">
        <v>2283.9</v>
      </c>
      <c r="V3952" s="2">
        <v>12213.9</v>
      </c>
      <c r="W3952" s="2">
        <v>6468.73</v>
      </c>
      <c r="X3952" s="5">
        <f t="shared" ref="X3952:X3970" si="590">(T3952-W3952)/T3952</f>
        <v>0.34856696878147031</v>
      </c>
      <c r="Z3952" s="2" t="s">
        <v>104</v>
      </c>
      <c r="AA3952" s="2" t="s">
        <v>616</v>
      </c>
      <c r="AB3952" s="2" t="s">
        <v>957</v>
      </c>
      <c r="AC3952" s="2" t="s">
        <v>114</v>
      </c>
      <c r="AF3952" s="2">
        <f t="shared" si="581"/>
        <v>0</v>
      </c>
      <c r="AG3952" s="2">
        <v>6468.73</v>
      </c>
      <c r="AJ3952" s="2">
        <f t="shared" si="582"/>
        <v>0</v>
      </c>
      <c r="AK3952" s="2">
        <f t="shared" ref="AK3952:AK3983" si="591">T3952-W3952</f>
        <v>3461.2700000000004</v>
      </c>
      <c r="AL3952" s="5">
        <f t="shared" ref="AL3952:AL3983" si="592">(T3952-W3952)/T3952</f>
        <v>0.34856696878147031</v>
      </c>
    </row>
    <row r="3953" spans="1:38" x14ac:dyDescent="0.2">
      <c r="A3953" s="2">
        <v>2026</v>
      </c>
      <c r="B3953" s="2">
        <v>5</v>
      </c>
      <c r="C3953" s="2" t="s">
        <v>3370</v>
      </c>
      <c r="D3953" s="2" t="s">
        <v>3449</v>
      </c>
      <c r="E3953" s="2" t="s">
        <v>752</v>
      </c>
      <c r="F3953" s="2" t="s">
        <v>39</v>
      </c>
      <c r="G3953" s="2">
        <v>513626930</v>
      </c>
      <c r="H3953" s="2" t="s">
        <v>40</v>
      </c>
      <c r="I3953" s="2" t="s">
        <v>339</v>
      </c>
      <c r="J3953" s="2" t="s">
        <v>471</v>
      </c>
      <c r="L3953" s="2" t="s">
        <v>133</v>
      </c>
      <c r="M3953" s="2" t="s">
        <v>109</v>
      </c>
      <c r="O3953" s="2" t="s">
        <v>2974</v>
      </c>
      <c r="P3953" s="2" t="s">
        <v>3230</v>
      </c>
      <c r="Q3953" s="2" t="s">
        <v>2975</v>
      </c>
      <c r="R3953" s="2" t="s">
        <v>2976</v>
      </c>
      <c r="S3953" s="2">
        <v>1</v>
      </c>
      <c r="T3953" s="2">
        <v>2460</v>
      </c>
      <c r="U3953" s="2">
        <v>565.80000000000007</v>
      </c>
      <c r="V3953" s="2">
        <v>3025.8</v>
      </c>
      <c r="W3953" s="2">
        <v>1296.2</v>
      </c>
      <c r="X3953" s="5">
        <f t="shared" si="590"/>
        <v>0.47308943089430894</v>
      </c>
      <c r="Z3953" s="2" t="s">
        <v>104</v>
      </c>
      <c r="AA3953" s="2" t="s">
        <v>105</v>
      </c>
      <c r="AB3953" s="2" t="s">
        <v>106</v>
      </c>
      <c r="AC3953" s="2" t="s">
        <v>3230</v>
      </c>
      <c r="AF3953" s="2">
        <f t="shared" si="581"/>
        <v>0</v>
      </c>
      <c r="AJ3953" s="2">
        <f t="shared" si="582"/>
        <v>0</v>
      </c>
      <c r="AK3953" s="2">
        <f t="shared" si="591"/>
        <v>1163.8</v>
      </c>
      <c r="AL3953" s="5">
        <f t="shared" si="592"/>
        <v>0.47308943089430894</v>
      </c>
    </row>
    <row r="3954" spans="1:38" x14ac:dyDescent="0.2">
      <c r="A3954" s="2">
        <v>2026</v>
      </c>
      <c r="B3954" s="2">
        <v>5</v>
      </c>
      <c r="D3954" s="2" t="s">
        <v>2567</v>
      </c>
      <c r="P3954" s="2" t="s">
        <v>72</v>
      </c>
      <c r="Q3954" s="2" t="s">
        <v>1449</v>
      </c>
      <c r="R3954" s="2" t="s">
        <v>307</v>
      </c>
      <c r="S3954" s="2">
        <v>1</v>
      </c>
      <c r="T3954" s="2">
        <v>230</v>
      </c>
      <c r="U3954" s="2">
        <v>52.900000000000013</v>
      </c>
      <c r="V3954" s="2">
        <v>282.89999999999998</v>
      </c>
      <c r="W3954" s="2">
        <v>122.446</v>
      </c>
      <c r="X3954" s="5">
        <f t="shared" si="590"/>
        <v>0.46762608695652175</v>
      </c>
      <c r="Z3954" s="2" t="s">
        <v>3227</v>
      </c>
      <c r="AA3954" s="2" t="s">
        <v>75</v>
      </c>
      <c r="AB3954" s="2" t="s">
        <v>76</v>
      </c>
      <c r="AC3954" s="2" t="s">
        <v>77</v>
      </c>
      <c r="AF3954" s="2">
        <f t="shared" si="581"/>
        <v>0</v>
      </c>
      <c r="AG3954" s="2">
        <v>122.446</v>
      </c>
      <c r="AH3954" s="2">
        <v>230</v>
      </c>
      <c r="AJ3954" s="2">
        <f t="shared" si="582"/>
        <v>0</v>
      </c>
      <c r="AK3954" s="2">
        <f t="shared" si="591"/>
        <v>107.554</v>
      </c>
      <c r="AL3954" s="5">
        <f t="shared" si="592"/>
        <v>0.46762608695652175</v>
      </c>
    </row>
    <row r="3955" spans="1:38" x14ac:dyDescent="0.2">
      <c r="A3955" s="2">
        <v>2026</v>
      </c>
      <c r="B3955" s="2">
        <v>5</v>
      </c>
      <c r="D3955" s="2" t="s">
        <v>2567</v>
      </c>
      <c r="P3955" s="2" t="s">
        <v>93</v>
      </c>
      <c r="Q3955" s="2" t="s">
        <v>94</v>
      </c>
      <c r="R3955" s="2" t="s">
        <v>95</v>
      </c>
      <c r="S3955" s="2">
        <v>1</v>
      </c>
      <c r="T3955" s="2">
        <v>1.48</v>
      </c>
      <c r="U3955" s="2">
        <v>0.34039999999999998</v>
      </c>
      <c r="V3955" s="2">
        <v>1.8204</v>
      </c>
      <c r="W3955" s="2">
        <v>1.48</v>
      </c>
      <c r="X3955" s="5">
        <f t="shared" si="590"/>
        <v>0</v>
      </c>
      <c r="Z3955" s="2" t="s">
        <v>3227</v>
      </c>
      <c r="AA3955" s="2" t="s">
        <v>96</v>
      </c>
      <c r="AB3955" s="2" t="s">
        <v>76</v>
      </c>
      <c r="AC3955" s="2" t="s">
        <v>93</v>
      </c>
      <c r="AF3955" s="2">
        <f t="shared" si="581"/>
        <v>0</v>
      </c>
      <c r="AJ3955" s="2">
        <f t="shared" si="582"/>
        <v>0</v>
      </c>
      <c r="AK3955" s="2">
        <f t="shared" si="591"/>
        <v>0</v>
      </c>
      <c r="AL3955" s="5">
        <f t="shared" si="592"/>
        <v>0</v>
      </c>
    </row>
    <row r="3956" spans="1:38" x14ac:dyDescent="0.2">
      <c r="A3956" s="2">
        <v>2026</v>
      </c>
      <c r="B3956" s="2">
        <v>5</v>
      </c>
      <c r="D3956" s="2" t="s">
        <v>843</v>
      </c>
      <c r="E3956" s="2" t="s">
        <v>38</v>
      </c>
      <c r="F3956" s="2" t="s">
        <v>39</v>
      </c>
      <c r="G3956" s="2">
        <v>161685080</v>
      </c>
      <c r="H3956" s="2" t="s">
        <v>41</v>
      </c>
      <c r="I3956" s="2" t="s">
        <v>418</v>
      </c>
      <c r="K3956" s="2" t="s">
        <v>844</v>
      </c>
      <c r="L3956" s="2" t="s">
        <v>418</v>
      </c>
      <c r="M3956" s="2" t="s">
        <v>41</v>
      </c>
      <c r="O3956" s="2" t="s">
        <v>2977</v>
      </c>
      <c r="P3956" s="2" t="s">
        <v>43</v>
      </c>
      <c r="Q3956" s="2" t="s">
        <v>48</v>
      </c>
      <c r="R3956" s="2" t="s">
        <v>49</v>
      </c>
      <c r="S3956" s="2">
        <v>1</v>
      </c>
      <c r="T3956" s="2">
        <v>12</v>
      </c>
      <c r="U3956" s="2">
        <v>2.76</v>
      </c>
      <c r="V3956" s="2">
        <v>14.76</v>
      </c>
      <c r="W3956" s="2">
        <f>6.6267*S3956</f>
        <v>6.6266999999999996</v>
      </c>
      <c r="X3956" s="5">
        <f t="shared" si="590"/>
        <v>0.44777500000000003</v>
      </c>
      <c r="Z3956" s="2" t="s">
        <v>3227</v>
      </c>
      <c r="AA3956" s="2" t="s">
        <v>46</v>
      </c>
      <c r="AB3956" s="2" t="s">
        <v>47</v>
      </c>
      <c r="AC3956" s="2" t="s">
        <v>57</v>
      </c>
      <c r="AF3956" s="2">
        <f t="shared" si="581"/>
        <v>0</v>
      </c>
      <c r="AG3956" s="2">
        <v>6.6266999999999996</v>
      </c>
      <c r="AH3956" s="2">
        <v>12</v>
      </c>
      <c r="AJ3956" s="2">
        <f t="shared" si="582"/>
        <v>0</v>
      </c>
      <c r="AK3956" s="2">
        <f t="shared" si="591"/>
        <v>5.3733000000000004</v>
      </c>
      <c r="AL3956" s="5">
        <f t="shared" si="592"/>
        <v>0.44777500000000003</v>
      </c>
    </row>
    <row r="3957" spans="1:38" x14ac:dyDescent="0.2">
      <c r="A3957" s="2">
        <v>2026</v>
      </c>
      <c r="B3957" s="2">
        <v>5</v>
      </c>
      <c r="D3957" s="2" t="s">
        <v>843</v>
      </c>
      <c r="E3957" s="2" t="s">
        <v>38</v>
      </c>
      <c r="F3957" s="2" t="s">
        <v>39</v>
      </c>
      <c r="G3957" s="2">
        <v>161685080</v>
      </c>
      <c r="H3957" s="2" t="s">
        <v>41</v>
      </c>
      <c r="I3957" s="2" t="s">
        <v>418</v>
      </c>
      <c r="K3957" s="2" t="s">
        <v>844</v>
      </c>
      <c r="L3957" s="2" t="s">
        <v>418</v>
      </c>
      <c r="M3957" s="2" t="s">
        <v>41</v>
      </c>
      <c r="O3957" s="2" t="s">
        <v>2977</v>
      </c>
      <c r="P3957" s="2" t="s">
        <v>43</v>
      </c>
      <c r="Q3957" s="2" t="s">
        <v>54</v>
      </c>
      <c r="R3957" s="2" t="s">
        <v>55</v>
      </c>
      <c r="S3957" s="2">
        <v>2</v>
      </c>
      <c r="T3957" s="2">
        <v>36</v>
      </c>
      <c r="U3957" s="2">
        <v>8.2800000000000011</v>
      </c>
      <c r="V3957" s="2">
        <v>44.28</v>
      </c>
      <c r="W3957" s="2">
        <f>10.6*S3957</f>
        <v>21.2</v>
      </c>
      <c r="X3957" s="5">
        <f t="shared" si="590"/>
        <v>0.41111111111111115</v>
      </c>
      <c r="Z3957" s="2" t="s">
        <v>3227</v>
      </c>
      <c r="AA3957" s="2" t="s">
        <v>46</v>
      </c>
      <c r="AB3957" s="2" t="s">
        <v>56</v>
      </c>
      <c r="AC3957" s="2" t="s">
        <v>57</v>
      </c>
      <c r="AF3957" s="2">
        <f t="shared" si="581"/>
        <v>0</v>
      </c>
      <c r="AG3957" s="2">
        <v>10.6</v>
      </c>
      <c r="AH3957" s="2">
        <v>18</v>
      </c>
      <c r="AJ3957" s="2">
        <f t="shared" si="582"/>
        <v>0</v>
      </c>
      <c r="AK3957" s="2">
        <f t="shared" si="591"/>
        <v>14.8</v>
      </c>
      <c r="AL3957" s="5">
        <f t="shared" si="592"/>
        <v>0.41111111111111115</v>
      </c>
    </row>
    <row r="3958" spans="1:38" x14ac:dyDescent="0.2">
      <c r="A3958" s="2">
        <v>2026</v>
      </c>
      <c r="B3958" s="2">
        <v>5</v>
      </c>
      <c r="C3958" s="2" t="s">
        <v>3370</v>
      </c>
      <c r="D3958" s="2" t="s">
        <v>485</v>
      </c>
      <c r="E3958" s="2" t="s">
        <v>108</v>
      </c>
      <c r="F3958" s="2" t="s">
        <v>39</v>
      </c>
      <c r="G3958" s="2">
        <v>506834689</v>
      </c>
      <c r="H3958" s="2" t="s">
        <v>41</v>
      </c>
      <c r="I3958" s="2" t="s">
        <v>486</v>
      </c>
      <c r="J3958" s="2" t="s">
        <v>487</v>
      </c>
      <c r="K3958" s="2">
        <v>919866237</v>
      </c>
      <c r="L3958" s="2" t="s">
        <v>461</v>
      </c>
      <c r="M3958" s="2" t="s">
        <v>40</v>
      </c>
      <c r="O3958" s="2" t="s">
        <v>2978</v>
      </c>
      <c r="P3958" s="2" t="s">
        <v>114</v>
      </c>
      <c r="Q3958" s="2" t="s">
        <v>1383</v>
      </c>
      <c r="R3958" s="2" t="s">
        <v>1384</v>
      </c>
      <c r="S3958" s="2">
        <v>1</v>
      </c>
      <c r="T3958" s="2">
        <v>152.41</v>
      </c>
      <c r="U3958" s="2">
        <v>35.054299999999998</v>
      </c>
      <c r="V3958" s="2">
        <v>187.46430000000001</v>
      </c>
      <c r="W3958" s="2">
        <v>71.381</v>
      </c>
      <c r="X3958" s="5">
        <f t="shared" si="590"/>
        <v>0.53165146643921002</v>
      </c>
      <c r="Z3958" s="2" t="s">
        <v>117</v>
      </c>
      <c r="AA3958" s="2" t="s">
        <v>118</v>
      </c>
      <c r="AB3958" s="2" t="s">
        <v>119</v>
      </c>
      <c r="AC3958" s="2" t="s">
        <v>114</v>
      </c>
      <c r="AF3958" s="2">
        <f t="shared" si="581"/>
        <v>0</v>
      </c>
      <c r="AG3958" s="2">
        <v>71.381</v>
      </c>
      <c r="AJ3958" s="2">
        <f t="shared" si="582"/>
        <v>0</v>
      </c>
      <c r="AK3958" s="2">
        <f t="shared" si="591"/>
        <v>81.028999999999996</v>
      </c>
      <c r="AL3958" s="5">
        <f t="shared" si="592"/>
        <v>0.53165146643921002</v>
      </c>
    </row>
    <row r="3959" spans="1:38" x14ac:dyDescent="0.2">
      <c r="A3959" s="2">
        <v>2026</v>
      </c>
      <c r="B3959" s="2">
        <v>5</v>
      </c>
      <c r="C3959" s="2" t="s">
        <v>3370</v>
      </c>
      <c r="D3959" s="2" t="s">
        <v>485</v>
      </c>
      <c r="E3959" s="2" t="s">
        <v>108</v>
      </c>
      <c r="F3959" s="2" t="s">
        <v>39</v>
      </c>
      <c r="G3959" s="2">
        <v>506834689</v>
      </c>
      <c r="H3959" s="2" t="s">
        <v>41</v>
      </c>
      <c r="I3959" s="2" t="s">
        <v>486</v>
      </c>
      <c r="J3959" s="2" t="s">
        <v>487</v>
      </c>
      <c r="K3959" s="2">
        <v>919866237</v>
      </c>
      <c r="L3959" s="2" t="s">
        <v>461</v>
      </c>
      <c r="M3959" s="2" t="s">
        <v>40</v>
      </c>
      <c r="O3959" s="2" t="s">
        <v>2978</v>
      </c>
      <c r="P3959" s="2" t="s">
        <v>114</v>
      </c>
      <c r="Q3959" s="2" t="s">
        <v>735</v>
      </c>
      <c r="R3959" s="2" t="s">
        <v>736</v>
      </c>
      <c r="S3959" s="2">
        <v>2</v>
      </c>
      <c r="T3959" s="2">
        <v>42.99</v>
      </c>
      <c r="U3959" s="2">
        <v>9.8877000000000006</v>
      </c>
      <c r="V3959" s="2">
        <v>52.877699999999997</v>
      </c>
      <c r="W3959" s="2">
        <f>10.38*S3959</f>
        <v>20.76</v>
      </c>
      <c r="X3959" s="5">
        <f t="shared" si="590"/>
        <v>0.51709699930216324</v>
      </c>
      <c r="Z3959" s="2" t="s">
        <v>117</v>
      </c>
      <c r="AA3959" s="2" t="s">
        <v>118</v>
      </c>
      <c r="AB3959" s="2" t="s">
        <v>119</v>
      </c>
      <c r="AC3959" s="2" t="s">
        <v>114</v>
      </c>
      <c r="AF3959" s="2">
        <f t="shared" si="581"/>
        <v>0</v>
      </c>
      <c r="AG3959" s="2">
        <f>9.75+0.63</f>
        <v>10.38</v>
      </c>
      <c r="AJ3959" s="2">
        <f t="shared" si="582"/>
        <v>0</v>
      </c>
      <c r="AK3959" s="2">
        <f t="shared" si="591"/>
        <v>22.23</v>
      </c>
      <c r="AL3959" s="5">
        <f t="shared" si="592"/>
        <v>0.51709699930216324</v>
      </c>
    </row>
    <row r="3960" spans="1:38" x14ac:dyDescent="0.2">
      <c r="A3960" s="2">
        <v>2026</v>
      </c>
      <c r="B3960" s="2">
        <v>5</v>
      </c>
      <c r="D3960" s="2" t="s">
        <v>1255</v>
      </c>
      <c r="P3960" s="2" t="s">
        <v>72</v>
      </c>
      <c r="Q3960" s="2" t="s">
        <v>1449</v>
      </c>
      <c r="R3960" s="2" t="s">
        <v>307</v>
      </c>
      <c r="S3960" s="2">
        <v>1</v>
      </c>
      <c r="T3960" s="2">
        <v>230</v>
      </c>
      <c r="U3960" s="2">
        <v>52.900000000000013</v>
      </c>
      <c r="V3960" s="2">
        <v>282.89999999999998</v>
      </c>
      <c r="W3960" s="2">
        <v>122.446</v>
      </c>
      <c r="X3960" s="5">
        <f t="shared" si="590"/>
        <v>0.46762608695652175</v>
      </c>
      <c r="Z3960" s="2" t="s">
        <v>3227</v>
      </c>
      <c r="AA3960" s="2" t="s">
        <v>75</v>
      </c>
      <c r="AB3960" s="2" t="s">
        <v>76</v>
      </c>
      <c r="AC3960" s="2" t="s">
        <v>77</v>
      </c>
      <c r="AF3960" s="2">
        <f t="shared" si="581"/>
        <v>0</v>
      </c>
      <c r="AG3960" s="2">
        <v>122.446</v>
      </c>
      <c r="AH3960" s="2">
        <v>230</v>
      </c>
      <c r="AJ3960" s="2">
        <f t="shared" si="582"/>
        <v>0</v>
      </c>
      <c r="AK3960" s="2">
        <f t="shared" si="591"/>
        <v>107.554</v>
      </c>
      <c r="AL3960" s="5">
        <f t="shared" si="592"/>
        <v>0.46762608695652175</v>
      </c>
    </row>
    <row r="3961" spans="1:38" x14ac:dyDescent="0.2">
      <c r="A3961" s="2">
        <v>2026</v>
      </c>
      <c r="B3961" s="2">
        <v>5</v>
      </c>
      <c r="D3961" s="2" t="s">
        <v>1255</v>
      </c>
      <c r="P3961" s="2" t="s">
        <v>1038</v>
      </c>
      <c r="Q3961" s="2" t="s">
        <v>2979</v>
      </c>
      <c r="R3961" s="2" t="s">
        <v>2980</v>
      </c>
      <c r="S3961" s="2">
        <v>1</v>
      </c>
      <c r="T3961" s="2">
        <v>270</v>
      </c>
      <c r="U3961" s="2">
        <v>62.1</v>
      </c>
      <c r="V3961" s="2">
        <v>332.1</v>
      </c>
      <c r="W3961" s="2">
        <v>157.85</v>
      </c>
      <c r="X3961" s="5">
        <f t="shared" si="590"/>
        <v>0.41537037037037039</v>
      </c>
      <c r="Z3961" s="2" t="s">
        <v>3227</v>
      </c>
      <c r="AA3961" s="2" t="s">
        <v>75</v>
      </c>
      <c r="AB3961" s="2" t="s">
        <v>76</v>
      </c>
      <c r="AC3961" s="2" t="s">
        <v>1038</v>
      </c>
      <c r="AF3961" s="2">
        <f t="shared" si="581"/>
        <v>0</v>
      </c>
      <c r="AJ3961" s="2">
        <f t="shared" si="582"/>
        <v>0</v>
      </c>
      <c r="AK3961" s="2">
        <f t="shared" si="591"/>
        <v>112.15</v>
      </c>
      <c r="AL3961" s="5">
        <f t="shared" si="592"/>
        <v>0.41537037037037039</v>
      </c>
    </row>
    <row r="3962" spans="1:38" x14ac:dyDescent="0.2">
      <c r="A3962" s="2">
        <v>2026</v>
      </c>
      <c r="B3962" s="2">
        <v>5</v>
      </c>
      <c r="D3962" s="2" t="s">
        <v>1255</v>
      </c>
      <c r="P3962" s="2" t="s">
        <v>93</v>
      </c>
      <c r="Q3962" s="2" t="s">
        <v>94</v>
      </c>
      <c r="R3962" s="2" t="s">
        <v>95</v>
      </c>
      <c r="S3962" s="2">
        <v>2</v>
      </c>
      <c r="T3962" s="2">
        <v>2.96</v>
      </c>
      <c r="U3962" s="2">
        <v>0.68080000000000007</v>
      </c>
      <c r="V3962" s="2">
        <v>3.6408</v>
      </c>
      <c r="W3962" s="2">
        <f>1.48*2</f>
        <v>2.96</v>
      </c>
      <c r="X3962" s="5">
        <f t="shared" si="590"/>
        <v>0</v>
      </c>
      <c r="Z3962" s="2" t="s">
        <v>3227</v>
      </c>
      <c r="AA3962" s="2" t="s">
        <v>96</v>
      </c>
      <c r="AB3962" s="2" t="s">
        <v>76</v>
      </c>
      <c r="AC3962" s="2" t="s">
        <v>93</v>
      </c>
      <c r="AF3962" s="2">
        <f t="shared" si="581"/>
        <v>0</v>
      </c>
      <c r="AJ3962" s="2">
        <f t="shared" si="582"/>
        <v>0</v>
      </c>
      <c r="AK3962" s="2">
        <f t="shared" si="591"/>
        <v>0</v>
      </c>
      <c r="AL3962" s="5">
        <f t="shared" si="592"/>
        <v>0</v>
      </c>
    </row>
    <row r="3963" spans="1:38" x14ac:dyDescent="0.2">
      <c r="A3963" s="2">
        <v>2026</v>
      </c>
      <c r="B3963" s="2">
        <v>5</v>
      </c>
      <c r="D3963" s="2" t="s">
        <v>488</v>
      </c>
      <c r="E3963" s="2" t="s">
        <v>38</v>
      </c>
      <c r="F3963" s="2" t="s">
        <v>39</v>
      </c>
      <c r="G3963" s="2">
        <v>507380312</v>
      </c>
      <c r="H3963" s="2" t="s">
        <v>40</v>
      </c>
      <c r="I3963" s="2" t="s">
        <v>489</v>
      </c>
      <c r="J3963" s="2" t="s">
        <v>490</v>
      </c>
      <c r="K3963" s="2">
        <v>912293443</v>
      </c>
      <c r="L3963" s="2" t="s">
        <v>99</v>
      </c>
      <c r="M3963" s="2" t="s">
        <v>40</v>
      </c>
      <c r="O3963" s="2" t="s">
        <v>2981</v>
      </c>
      <c r="P3963" s="2" t="s">
        <v>40</v>
      </c>
      <c r="Q3963" s="2" t="s">
        <v>491</v>
      </c>
      <c r="R3963" s="2" t="s">
        <v>492</v>
      </c>
      <c r="S3963" s="2">
        <v>2</v>
      </c>
      <c r="T3963" s="2">
        <v>1357.82</v>
      </c>
      <c r="U3963" s="2">
        <v>312.29860000000002</v>
      </c>
      <c r="V3963" s="2">
        <v>1670.1186</v>
      </c>
      <c r="X3963" s="5">
        <f t="shared" si="590"/>
        <v>1</v>
      </c>
      <c r="Z3963" s="2" t="s">
        <v>119</v>
      </c>
      <c r="AA3963" s="2" t="s">
        <v>492</v>
      </c>
      <c r="AF3963" s="2">
        <f t="shared" si="581"/>
        <v>0</v>
      </c>
      <c r="AJ3963" s="2">
        <f t="shared" si="582"/>
        <v>0</v>
      </c>
      <c r="AK3963" s="2">
        <f t="shared" si="591"/>
        <v>1357.82</v>
      </c>
      <c r="AL3963" s="5">
        <f t="shared" si="592"/>
        <v>1</v>
      </c>
    </row>
    <row r="3964" spans="1:38" x14ac:dyDescent="0.2">
      <c r="A3964" s="2">
        <v>2026</v>
      </c>
      <c r="B3964" s="2">
        <v>5</v>
      </c>
      <c r="D3964" s="2" t="s">
        <v>2982</v>
      </c>
      <c r="E3964" s="2" t="s">
        <v>108</v>
      </c>
      <c r="F3964" s="2" t="s">
        <v>39</v>
      </c>
      <c r="G3964" s="2">
        <v>510594778</v>
      </c>
      <c r="H3964" s="2" t="s">
        <v>41</v>
      </c>
      <c r="I3964" s="2" t="s">
        <v>2983</v>
      </c>
      <c r="J3964" s="2" t="s">
        <v>1102</v>
      </c>
      <c r="K3964" s="2">
        <v>934645042</v>
      </c>
      <c r="L3964" s="2" t="s">
        <v>99</v>
      </c>
      <c r="M3964" s="2" t="s">
        <v>40</v>
      </c>
      <c r="O3964" s="2" t="s">
        <v>2984</v>
      </c>
      <c r="P3964" s="2" t="s">
        <v>114</v>
      </c>
      <c r="Q3964" s="2" t="s">
        <v>791</v>
      </c>
      <c r="R3964" s="2" t="s">
        <v>792</v>
      </c>
      <c r="S3964" s="2">
        <v>1</v>
      </c>
      <c r="T3964" s="2">
        <v>187.92</v>
      </c>
      <c r="U3964" s="2">
        <v>43.221600000000002</v>
      </c>
      <c r="V3964" s="2">
        <v>231.14160000000001</v>
      </c>
      <c r="W3964" s="2">
        <v>90.41</v>
      </c>
      <c r="X3964" s="5">
        <f t="shared" si="590"/>
        <v>0.51889101745423583</v>
      </c>
      <c r="Z3964" s="2" t="s">
        <v>117</v>
      </c>
      <c r="AA3964" s="2" t="s">
        <v>118</v>
      </c>
      <c r="AB3964" s="2" t="s">
        <v>119</v>
      </c>
      <c r="AC3964" s="2" t="s">
        <v>114</v>
      </c>
      <c r="AF3964" s="2">
        <f t="shared" si="581"/>
        <v>0</v>
      </c>
      <c r="AG3964" s="2">
        <f>88.6+1.81</f>
        <v>90.41</v>
      </c>
      <c r="AJ3964" s="2">
        <f t="shared" si="582"/>
        <v>0</v>
      </c>
      <c r="AK3964" s="2">
        <f t="shared" si="591"/>
        <v>97.509999999999991</v>
      </c>
      <c r="AL3964" s="5">
        <f t="shared" si="592"/>
        <v>0.51889101745423583</v>
      </c>
    </row>
    <row r="3965" spans="1:38" x14ac:dyDescent="0.2">
      <c r="A3965" s="2">
        <v>2026</v>
      </c>
      <c r="B3965" s="2">
        <v>5</v>
      </c>
      <c r="D3965" s="2" t="s">
        <v>2982</v>
      </c>
      <c r="E3965" s="2" t="s">
        <v>108</v>
      </c>
      <c r="F3965" s="2" t="s">
        <v>39</v>
      </c>
      <c r="G3965" s="2">
        <v>510594778</v>
      </c>
      <c r="H3965" s="2" t="s">
        <v>41</v>
      </c>
      <c r="I3965" s="2" t="s">
        <v>2983</v>
      </c>
      <c r="J3965" s="2" t="s">
        <v>1102</v>
      </c>
      <c r="K3965" s="2">
        <v>934645042</v>
      </c>
      <c r="L3965" s="2" t="s">
        <v>99</v>
      </c>
      <c r="M3965" s="2" t="s">
        <v>40</v>
      </c>
      <c r="O3965" s="2" t="s">
        <v>2984</v>
      </c>
      <c r="P3965" s="2" t="s">
        <v>114</v>
      </c>
      <c r="Q3965" s="2" t="s">
        <v>795</v>
      </c>
      <c r="R3965" s="2" t="s">
        <v>2985</v>
      </c>
      <c r="S3965" s="2">
        <v>1</v>
      </c>
      <c r="T3965" s="2">
        <v>28.38</v>
      </c>
      <c r="U3965" s="2">
        <v>6.5274000000000001</v>
      </c>
      <c r="V3965" s="2">
        <v>34.907400000000003</v>
      </c>
      <c r="W3965" s="2">
        <v>13.17</v>
      </c>
      <c r="X3965" s="5">
        <f t="shared" si="590"/>
        <v>0.53594080338266381</v>
      </c>
      <c r="Z3965" s="2" t="s">
        <v>117</v>
      </c>
      <c r="AA3965" s="2" t="s">
        <v>118</v>
      </c>
      <c r="AB3965" s="2" t="s">
        <v>119</v>
      </c>
      <c r="AC3965" s="2" t="s">
        <v>114</v>
      </c>
      <c r="AF3965" s="2">
        <f t="shared" si="581"/>
        <v>0</v>
      </c>
      <c r="AG3965" s="2">
        <f>12.87+0.3</f>
        <v>13.17</v>
      </c>
      <c r="AJ3965" s="2">
        <f t="shared" si="582"/>
        <v>0</v>
      </c>
      <c r="AK3965" s="2">
        <f t="shared" si="591"/>
        <v>15.209999999999999</v>
      </c>
      <c r="AL3965" s="5">
        <f t="shared" si="592"/>
        <v>0.53594080338266381</v>
      </c>
    </row>
    <row r="3966" spans="1:38" x14ac:dyDescent="0.2">
      <c r="A3966" s="2">
        <v>2026</v>
      </c>
      <c r="B3966" s="2">
        <v>5</v>
      </c>
      <c r="D3966" s="2" t="s">
        <v>2982</v>
      </c>
      <c r="E3966" s="2" t="s">
        <v>108</v>
      </c>
      <c r="F3966" s="2" t="s">
        <v>39</v>
      </c>
      <c r="G3966" s="2">
        <v>510594778</v>
      </c>
      <c r="H3966" s="2" t="s">
        <v>41</v>
      </c>
      <c r="I3966" s="2" t="s">
        <v>2983</v>
      </c>
      <c r="J3966" s="2" t="s">
        <v>1102</v>
      </c>
      <c r="K3966" s="2">
        <v>934645042</v>
      </c>
      <c r="L3966" s="2" t="s">
        <v>99</v>
      </c>
      <c r="M3966" s="2" t="s">
        <v>40</v>
      </c>
      <c r="O3966" s="2" t="s">
        <v>2984</v>
      </c>
      <c r="P3966" s="2" t="s">
        <v>187</v>
      </c>
      <c r="Q3966" s="2" t="s">
        <v>188</v>
      </c>
      <c r="R3966" s="2" t="s">
        <v>189</v>
      </c>
      <c r="S3966" s="2">
        <v>1</v>
      </c>
      <c r="T3966" s="2">
        <v>94</v>
      </c>
      <c r="U3966" s="2">
        <v>21.62</v>
      </c>
      <c r="V3966" s="2">
        <v>115.62</v>
      </c>
      <c r="W3966" s="2">
        <f>T3966*40%</f>
        <v>37.6</v>
      </c>
      <c r="X3966" s="5">
        <f t="shared" si="590"/>
        <v>0.6</v>
      </c>
      <c r="Z3966" s="2" t="s">
        <v>117</v>
      </c>
      <c r="AA3966" s="2" t="s">
        <v>190</v>
      </c>
      <c r="AB3966" s="2" t="s">
        <v>189</v>
      </c>
      <c r="AC3966" s="2" t="s">
        <v>40</v>
      </c>
      <c r="AF3966" s="2">
        <f t="shared" si="581"/>
        <v>0</v>
      </c>
      <c r="AG3966" s="2">
        <f>W3966</f>
        <v>37.6</v>
      </c>
      <c r="AJ3966" s="2">
        <f t="shared" si="582"/>
        <v>0</v>
      </c>
      <c r="AK3966" s="2">
        <f t="shared" si="591"/>
        <v>56.4</v>
      </c>
      <c r="AL3966" s="5">
        <f t="shared" si="592"/>
        <v>0.6</v>
      </c>
    </row>
    <row r="3967" spans="1:38" x14ac:dyDescent="0.2">
      <c r="A3967" s="2">
        <v>2026</v>
      </c>
      <c r="B3967" s="2">
        <v>5</v>
      </c>
      <c r="D3967" s="2" t="s">
        <v>2982</v>
      </c>
      <c r="E3967" s="2" t="s">
        <v>108</v>
      </c>
      <c r="F3967" s="2" t="s">
        <v>39</v>
      </c>
      <c r="G3967" s="2">
        <v>510594778</v>
      </c>
      <c r="H3967" s="2" t="s">
        <v>41</v>
      </c>
      <c r="I3967" s="2" t="s">
        <v>2983</v>
      </c>
      <c r="J3967" s="2" t="s">
        <v>1102</v>
      </c>
      <c r="K3967" s="2">
        <v>934645042</v>
      </c>
      <c r="L3967" s="2" t="s">
        <v>99</v>
      </c>
      <c r="M3967" s="2" t="s">
        <v>40</v>
      </c>
      <c r="O3967" s="2" t="s">
        <v>2984</v>
      </c>
      <c r="P3967" s="2" t="s">
        <v>187</v>
      </c>
      <c r="Q3967" s="2" t="s">
        <v>191</v>
      </c>
      <c r="R3967" s="2" t="s">
        <v>190</v>
      </c>
      <c r="S3967" s="2">
        <v>1</v>
      </c>
      <c r="T3967" s="2">
        <v>55</v>
      </c>
      <c r="U3967" s="2">
        <v>12.65</v>
      </c>
      <c r="V3967" s="2">
        <v>67.650000000000006</v>
      </c>
      <c r="W3967" s="2">
        <f>T3967*50%</f>
        <v>27.5</v>
      </c>
      <c r="X3967" s="5">
        <f t="shared" si="590"/>
        <v>0.5</v>
      </c>
      <c r="Z3967" s="2" t="s">
        <v>117</v>
      </c>
      <c r="AA3967" s="2" t="s">
        <v>190</v>
      </c>
      <c r="AB3967" s="2" t="s">
        <v>190</v>
      </c>
      <c r="AC3967" s="2" t="s">
        <v>40</v>
      </c>
      <c r="AF3967" s="2">
        <f t="shared" si="581"/>
        <v>0</v>
      </c>
      <c r="AG3967" s="2">
        <f>W3967</f>
        <v>27.5</v>
      </c>
      <c r="AJ3967" s="2">
        <f t="shared" si="582"/>
        <v>0</v>
      </c>
      <c r="AK3967" s="2">
        <f t="shared" si="591"/>
        <v>27.5</v>
      </c>
      <c r="AL3967" s="5">
        <f t="shared" si="592"/>
        <v>0.5</v>
      </c>
    </row>
    <row r="3968" spans="1:38" x14ac:dyDescent="0.2">
      <c r="A3968" s="2">
        <v>2026</v>
      </c>
      <c r="B3968" s="2">
        <v>5</v>
      </c>
      <c r="D3968" s="2" t="s">
        <v>2982</v>
      </c>
      <c r="E3968" s="2" t="s">
        <v>108</v>
      </c>
      <c r="F3968" s="2" t="s">
        <v>39</v>
      </c>
      <c r="G3968" s="2">
        <v>510594778</v>
      </c>
      <c r="H3968" s="2" t="s">
        <v>41</v>
      </c>
      <c r="I3968" s="2" t="s">
        <v>2983</v>
      </c>
      <c r="J3968" s="2" t="s">
        <v>1102</v>
      </c>
      <c r="K3968" s="2">
        <v>934645042</v>
      </c>
      <c r="L3968" s="2" t="s">
        <v>99</v>
      </c>
      <c r="M3968" s="2" t="s">
        <v>40</v>
      </c>
      <c r="O3968" s="2" t="s">
        <v>2984</v>
      </c>
      <c r="P3968" s="2" t="s">
        <v>40</v>
      </c>
      <c r="Q3968" s="2" t="s">
        <v>363</v>
      </c>
      <c r="R3968" s="2" t="s">
        <v>364</v>
      </c>
      <c r="S3968" s="2">
        <v>1</v>
      </c>
      <c r="T3968" s="2">
        <v>87.5</v>
      </c>
      <c r="U3968" s="2">
        <v>20.125</v>
      </c>
      <c r="V3968" s="2">
        <v>107.625</v>
      </c>
      <c r="X3968" s="5">
        <f t="shared" si="590"/>
        <v>1</v>
      </c>
      <c r="Z3968" s="2" t="s">
        <v>117</v>
      </c>
      <c r="AA3968" s="2" t="s">
        <v>1310</v>
      </c>
      <c r="AF3968" s="2">
        <f t="shared" si="581"/>
        <v>0</v>
      </c>
      <c r="AJ3968" s="2">
        <f t="shared" si="582"/>
        <v>0</v>
      </c>
      <c r="AK3968" s="2">
        <f t="shared" si="591"/>
        <v>87.5</v>
      </c>
      <c r="AL3968" s="5">
        <f t="shared" si="592"/>
        <v>1</v>
      </c>
    </row>
    <row r="3969" spans="1:38" x14ac:dyDescent="0.2">
      <c r="A3969" s="2">
        <v>2026</v>
      </c>
      <c r="B3969" s="2">
        <v>5</v>
      </c>
      <c r="D3969" s="2" t="s">
        <v>1053</v>
      </c>
      <c r="E3969" s="2" t="s">
        <v>183</v>
      </c>
      <c r="F3969" s="2" t="s">
        <v>1054</v>
      </c>
      <c r="G3969" s="2">
        <v>500199523</v>
      </c>
      <c r="H3969" s="2" t="s">
        <v>290</v>
      </c>
      <c r="I3969" s="2" t="s">
        <v>293</v>
      </c>
      <c r="J3969" s="2" t="s">
        <v>1055</v>
      </c>
      <c r="L3969" s="2" t="s">
        <v>293</v>
      </c>
      <c r="M3969" s="2" t="s">
        <v>80</v>
      </c>
      <c r="O3969" s="2" t="s">
        <v>2986</v>
      </c>
      <c r="P3969" s="2" t="s">
        <v>72</v>
      </c>
      <c r="Q3969" s="2" t="s">
        <v>325</v>
      </c>
      <c r="R3969" s="2" t="s">
        <v>79</v>
      </c>
      <c r="S3969" s="2">
        <v>2</v>
      </c>
      <c r="T3969" s="2">
        <v>420</v>
      </c>
      <c r="U3969" s="2">
        <v>96.600000000000009</v>
      </c>
      <c r="V3969" s="2">
        <v>516.6</v>
      </c>
      <c r="W3969" s="2">
        <f>110.68*S3969</f>
        <v>221.36</v>
      </c>
      <c r="X3969" s="5">
        <f t="shared" si="590"/>
        <v>0.4729523809523809</v>
      </c>
      <c r="Z3969" s="2" t="s">
        <v>3227</v>
      </c>
      <c r="AA3969" s="2" t="s">
        <v>75</v>
      </c>
      <c r="AB3969" s="2" t="s">
        <v>76</v>
      </c>
      <c r="AC3969" s="2" t="s">
        <v>77</v>
      </c>
      <c r="AF3969" s="2">
        <f t="shared" si="581"/>
        <v>0</v>
      </c>
      <c r="AG3969" s="2">
        <v>110.68</v>
      </c>
      <c r="AH3969" s="2">
        <v>210</v>
      </c>
      <c r="AJ3969" s="2">
        <f t="shared" si="582"/>
        <v>0</v>
      </c>
      <c r="AK3969" s="2">
        <f t="shared" si="591"/>
        <v>198.64</v>
      </c>
      <c r="AL3969" s="5">
        <f t="shared" si="592"/>
        <v>0.4729523809523809</v>
      </c>
    </row>
    <row r="3970" spans="1:38" x14ac:dyDescent="0.2">
      <c r="A3970" s="2">
        <v>2026</v>
      </c>
      <c r="B3970" s="2">
        <v>5</v>
      </c>
      <c r="D3970" s="2" t="s">
        <v>1053</v>
      </c>
      <c r="E3970" s="2" t="s">
        <v>183</v>
      </c>
      <c r="F3970" s="2" t="s">
        <v>1054</v>
      </c>
      <c r="G3970" s="2">
        <v>500199523</v>
      </c>
      <c r="H3970" s="2" t="s">
        <v>290</v>
      </c>
      <c r="I3970" s="2" t="s">
        <v>293</v>
      </c>
      <c r="J3970" s="2" t="s">
        <v>1055</v>
      </c>
      <c r="L3970" s="2" t="s">
        <v>293</v>
      </c>
      <c r="M3970" s="2" t="s">
        <v>80</v>
      </c>
      <c r="O3970" s="2" t="s">
        <v>2986</v>
      </c>
      <c r="P3970" s="2" t="s">
        <v>93</v>
      </c>
      <c r="Q3970" s="2" t="s">
        <v>94</v>
      </c>
      <c r="R3970" s="2" t="s">
        <v>95</v>
      </c>
      <c r="S3970" s="2">
        <v>2</v>
      </c>
      <c r="T3970" s="2">
        <v>2.96</v>
      </c>
      <c r="U3970" s="2">
        <v>0.68080000000000007</v>
      </c>
      <c r="V3970" s="2">
        <v>3.6408</v>
      </c>
      <c r="W3970" s="2">
        <f>1.48*2</f>
        <v>2.96</v>
      </c>
      <c r="X3970" s="5">
        <f t="shared" si="590"/>
        <v>0</v>
      </c>
      <c r="Z3970" s="2" t="s">
        <v>3227</v>
      </c>
      <c r="AA3970" s="2" t="s">
        <v>96</v>
      </c>
      <c r="AB3970" s="2" t="s">
        <v>76</v>
      </c>
      <c r="AC3970" s="2" t="s">
        <v>93</v>
      </c>
      <c r="AF3970" s="2">
        <f t="shared" ref="AF3970:AF4033" si="593">AJ3970</f>
        <v>0</v>
      </c>
      <c r="AJ3970" s="2">
        <f t="shared" ref="AJ3970:AJ4033" si="594">AI3970*T3970</f>
        <v>0</v>
      </c>
      <c r="AK3970" s="2">
        <f t="shared" si="591"/>
        <v>0</v>
      </c>
      <c r="AL3970" s="5">
        <f t="shared" si="592"/>
        <v>0</v>
      </c>
    </row>
    <row r="3971" spans="1:38" x14ac:dyDescent="0.2">
      <c r="A3971" s="2">
        <v>2026</v>
      </c>
      <c r="B3971" s="2">
        <v>5</v>
      </c>
      <c r="D3971" s="2" t="s">
        <v>2987</v>
      </c>
      <c r="P3971" s="2" t="s">
        <v>72</v>
      </c>
      <c r="Q3971" s="2" t="s">
        <v>73</v>
      </c>
      <c r="R3971" s="2" t="s">
        <v>74</v>
      </c>
      <c r="S3971" s="2">
        <v>1</v>
      </c>
      <c r="T3971" s="2">
        <v>220</v>
      </c>
      <c r="U3971" s="2">
        <v>50.6</v>
      </c>
      <c r="V3971" s="2">
        <v>270.60000000000002</v>
      </c>
      <c r="W3971" s="2">
        <v>125.51600000000001</v>
      </c>
      <c r="X3971" s="5">
        <f>SIGN(T3971)*((ABS(T3971)-W3971)/ABS(T3971))</f>
        <v>0.42947272727272723</v>
      </c>
      <c r="Z3971" s="2" t="s">
        <v>3227</v>
      </c>
      <c r="AA3971" s="2" t="s">
        <v>75</v>
      </c>
      <c r="AB3971" s="2" t="s">
        <v>76</v>
      </c>
      <c r="AC3971" s="2" t="s">
        <v>77</v>
      </c>
      <c r="AF3971" s="2">
        <f t="shared" si="593"/>
        <v>0</v>
      </c>
      <c r="AG3971" s="2">
        <v>125.51600000000001</v>
      </c>
      <c r="AH3971" s="2">
        <v>220</v>
      </c>
      <c r="AJ3971" s="2">
        <f t="shared" si="594"/>
        <v>0</v>
      </c>
      <c r="AK3971" s="2">
        <f t="shared" si="591"/>
        <v>94.483999999999995</v>
      </c>
      <c r="AL3971" s="5">
        <f t="shared" si="592"/>
        <v>0.42947272727272723</v>
      </c>
    </row>
    <row r="3972" spans="1:38" x14ac:dyDescent="0.2">
      <c r="A3972" s="2">
        <v>2026</v>
      </c>
      <c r="B3972" s="2">
        <v>5</v>
      </c>
      <c r="D3972" s="2" t="s">
        <v>2987</v>
      </c>
      <c r="P3972" s="2" t="s">
        <v>93</v>
      </c>
      <c r="Q3972" s="2" t="s">
        <v>94</v>
      </c>
      <c r="R3972" s="2" t="s">
        <v>95</v>
      </c>
      <c r="S3972" s="2">
        <v>1</v>
      </c>
      <c r="T3972" s="2">
        <v>1.48</v>
      </c>
      <c r="U3972" s="2">
        <v>0.34039999999999998</v>
      </c>
      <c r="V3972" s="2">
        <v>1.8204</v>
      </c>
      <c r="W3972" s="2">
        <v>1.48</v>
      </c>
      <c r="X3972" s="5">
        <f t="shared" ref="X3972:X3980" si="595">(T3972-W3972)/T3972</f>
        <v>0</v>
      </c>
      <c r="Z3972" s="2" t="s">
        <v>3227</v>
      </c>
      <c r="AA3972" s="2" t="s">
        <v>96</v>
      </c>
      <c r="AB3972" s="2" t="s">
        <v>76</v>
      </c>
      <c r="AC3972" s="2" t="s">
        <v>93</v>
      </c>
      <c r="AF3972" s="2">
        <f t="shared" si="593"/>
        <v>0</v>
      </c>
      <c r="AJ3972" s="2">
        <f t="shared" si="594"/>
        <v>0</v>
      </c>
      <c r="AK3972" s="2">
        <f t="shared" si="591"/>
        <v>0</v>
      </c>
      <c r="AL3972" s="5">
        <f t="shared" si="592"/>
        <v>0</v>
      </c>
    </row>
    <row r="3973" spans="1:38" x14ac:dyDescent="0.2">
      <c r="A3973" s="2">
        <v>2026</v>
      </c>
      <c r="B3973" s="2">
        <v>5</v>
      </c>
      <c r="D3973" s="2" t="s">
        <v>2988</v>
      </c>
      <c r="P3973" s="2" t="s">
        <v>72</v>
      </c>
      <c r="Q3973" s="2" t="s">
        <v>325</v>
      </c>
      <c r="R3973" s="2" t="s">
        <v>79</v>
      </c>
      <c r="S3973" s="2">
        <v>1</v>
      </c>
      <c r="T3973" s="2">
        <v>200</v>
      </c>
      <c r="U3973" s="2">
        <v>46</v>
      </c>
      <c r="V3973" s="2">
        <v>246</v>
      </c>
      <c r="W3973" s="2">
        <f>110.68*S3973</f>
        <v>110.68</v>
      </c>
      <c r="X3973" s="5">
        <f t="shared" si="595"/>
        <v>0.44659999999999994</v>
      </c>
      <c r="Z3973" s="2" t="s">
        <v>3227</v>
      </c>
      <c r="AA3973" s="2" t="s">
        <v>75</v>
      </c>
      <c r="AB3973" s="2" t="s">
        <v>76</v>
      </c>
      <c r="AC3973" s="2" t="s">
        <v>77</v>
      </c>
      <c r="AF3973" s="2">
        <f t="shared" si="593"/>
        <v>0</v>
      </c>
      <c r="AG3973" s="2">
        <v>110.68</v>
      </c>
      <c r="AH3973" s="2">
        <v>210</v>
      </c>
      <c r="AJ3973" s="2">
        <f t="shared" si="594"/>
        <v>0</v>
      </c>
      <c r="AK3973" s="2">
        <f t="shared" si="591"/>
        <v>89.32</v>
      </c>
      <c r="AL3973" s="5">
        <f t="shared" si="592"/>
        <v>0.44659999999999994</v>
      </c>
    </row>
    <row r="3974" spans="1:38" x14ac:dyDescent="0.2">
      <c r="A3974" s="2">
        <v>2026</v>
      </c>
      <c r="B3974" s="2">
        <v>5</v>
      </c>
      <c r="D3974" s="2" t="s">
        <v>2988</v>
      </c>
      <c r="P3974" s="2" t="s">
        <v>93</v>
      </c>
      <c r="Q3974" s="2" t="s">
        <v>94</v>
      </c>
      <c r="R3974" s="2" t="s">
        <v>95</v>
      </c>
      <c r="S3974" s="2">
        <v>1</v>
      </c>
      <c r="T3974" s="2">
        <v>1.48</v>
      </c>
      <c r="U3974" s="2">
        <v>0.34039999999999998</v>
      </c>
      <c r="V3974" s="2">
        <v>1.8204</v>
      </c>
      <c r="W3974" s="2">
        <v>1.48</v>
      </c>
      <c r="X3974" s="5">
        <f t="shared" si="595"/>
        <v>0</v>
      </c>
      <c r="Z3974" s="2" t="s">
        <v>3227</v>
      </c>
      <c r="AA3974" s="2" t="s">
        <v>96</v>
      </c>
      <c r="AB3974" s="2" t="s">
        <v>76</v>
      </c>
      <c r="AC3974" s="2" t="s">
        <v>93</v>
      </c>
      <c r="AF3974" s="2">
        <f t="shared" si="593"/>
        <v>0</v>
      </c>
      <c r="AJ3974" s="2">
        <f t="shared" si="594"/>
        <v>0</v>
      </c>
      <c r="AK3974" s="2">
        <f t="shared" si="591"/>
        <v>0</v>
      </c>
      <c r="AL3974" s="5">
        <f t="shared" si="592"/>
        <v>0</v>
      </c>
    </row>
    <row r="3975" spans="1:38" x14ac:dyDescent="0.2">
      <c r="A3975" s="2">
        <v>2026</v>
      </c>
      <c r="B3975" s="2">
        <v>5</v>
      </c>
      <c r="D3975" s="2" t="s">
        <v>1593</v>
      </c>
      <c r="E3975" s="2" t="s">
        <v>108</v>
      </c>
      <c r="F3975" s="2" t="s">
        <v>395</v>
      </c>
      <c r="G3975" s="2">
        <v>500314594</v>
      </c>
      <c r="H3975" s="2" t="s">
        <v>40</v>
      </c>
      <c r="I3975" s="2" t="s">
        <v>1594</v>
      </c>
      <c r="J3975" s="2" t="s">
        <v>1595</v>
      </c>
      <c r="L3975" s="2" t="s">
        <v>201</v>
      </c>
      <c r="M3975" s="2" t="s">
        <v>80</v>
      </c>
      <c r="O3975" s="2" t="s">
        <v>2989</v>
      </c>
      <c r="P3975" s="2" t="s">
        <v>72</v>
      </c>
      <c r="Q3975" s="2" t="s">
        <v>556</v>
      </c>
      <c r="R3975" s="2" t="s">
        <v>381</v>
      </c>
      <c r="S3975" s="2">
        <v>1</v>
      </c>
      <c r="T3975" s="2">
        <v>230</v>
      </c>
      <c r="U3975" s="2">
        <v>52.900000000000013</v>
      </c>
      <c r="V3975" s="2">
        <v>282.89999999999998</v>
      </c>
      <c r="W3975" s="2">
        <v>143.91999999999999</v>
      </c>
      <c r="X3975" s="5">
        <f t="shared" si="595"/>
        <v>0.37426086956521742</v>
      </c>
      <c r="Z3975" s="2" t="s">
        <v>3227</v>
      </c>
      <c r="AA3975" s="2" t="s">
        <v>75</v>
      </c>
      <c r="AB3975" s="2" t="s">
        <v>76</v>
      </c>
      <c r="AC3975" s="2" t="s">
        <v>77</v>
      </c>
      <c r="AF3975" s="2">
        <f t="shared" si="593"/>
        <v>0</v>
      </c>
      <c r="AG3975" s="2">
        <v>143.91999999999999</v>
      </c>
      <c r="AJ3975" s="2">
        <f t="shared" si="594"/>
        <v>0</v>
      </c>
      <c r="AK3975" s="2">
        <f t="shared" si="591"/>
        <v>86.080000000000013</v>
      </c>
      <c r="AL3975" s="5">
        <f t="shared" si="592"/>
        <v>0.37426086956521742</v>
      </c>
    </row>
    <row r="3976" spans="1:38" x14ac:dyDescent="0.2">
      <c r="A3976" s="2">
        <v>2026</v>
      </c>
      <c r="B3976" s="2">
        <v>5</v>
      </c>
      <c r="D3976" s="2" t="s">
        <v>1593</v>
      </c>
      <c r="E3976" s="2" t="s">
        <v>108</v>
      </c>
      <c r="F3976" s="2" t="s">
        <v>395</v>
      </c>
      <c r="G3976" s="2">
        <v>500314594</v>
      </c>
      <c r="H3976" s="2" t="s">
        <v>40</v>
      </c>
      <c r="I3976" s="2" t="s">
        <v>1594</v>
      </c>
      <c r="J3976" s="2" t="s">
        <v>1595</v>
      </c>
      <c r="L3976" s="2" t="s">
        <v>201</v>
      </c>
      <c r="M3976" s="2" t="s">
        <v>80</v>
      </c>
      <c r="O3976" s="2" t="s">
        <v>2989</v>
      </c>
      <c r="P3976" s="2" t="s">
        <v>93</v>
      </c>
      <c r="Q3976" s="2" t="s">
        <v>94</v>
      </c>
      <c r="R3976" s="2" t="s">
        <v>95</v>
      </c>
      <c r="S3976" s="2">
        <v>1</v>
      </c>
      <c r="T3976" s="2">
        <v>1.48</v>
      </c>
      <c r="U3976" s="2">
        <v>0.34039999999999998</v>
      </c>
      <c r="V3976" s="2">
        <v>1.8204</v>
      </c>
      <c r="W3976" s="2">
        <v>1.48</v>
      </c>
      <c r="X3976" s="5">
        <f t="shared" si="595"/>
        <v>0</v>
      </c>
      <c r="Z3976" s="2" t="s">
        <v>3227</v>
      </c>
      <c r="AA3976" s="2" t="s">
        <v>96</v>
      </c>
      <c r="AB3976" s="2" t="s">
        <v>76</v>
      </c>
      <c r="AC3976" s="2" t="s">
        <v>93</v>
      </c>
      <c r="AF3976" s="2">
        <f t="shared" si="593"/>
        <v>0</v>
      </c>
      <c r="AG3976" s="2">
        <v>1.48</v>
      </c>
      <c r="AH3976" s="2">
        <v>1.48</v>
      </c>
      <c r="AJ3976" s="2">
        <f t="shared" si="594"/>
        <v>0</v>
      </c>
      <c r="AK3976" s="2">
        <f t="shared" si="591"/>
        <v>0</v>
      </c>
      <c r="AL3976" s="5">
        <f t="shared" si="592"/>
        <v>0</v>
      </c>
    </row>
    <row r="3977" spans="1:38" x14ac:dyDescent="0.2">
      <c r="A3977" s="2">
        <v>2026</v>
      </c>
      <c r="B3977" s="2">
        <v>5</v>
      </c>
      <c r="D3977" s="2" t="s">
        <v>1719</v>
      </c>
      <c r="E3977" s="2" t="s">
        <v>38</v>
      </c>
      <c r="F3977" s="2" t="s">
        <v>477</v>
      </c>
      <c r="G3977" s="2">
        <v>504997866</v>
      </c>
      <c r="H3977" s="2" t="s">
        <v>290</v>
      </c>
      <c r="I3977" s="2" t="s">
        <v>3234</v>
      </c>
      <c r="J3977" s="2" t="s">
        <v>3235</v>
      </c>
      <c r="L3977" s="2" t="s">
        <v>571</v>
      </c>
      <c r="M3977" s="2" t="s">
        <v>80</v>
      </c>
      <c r="O3977" s="2" t="s">
        <v>3237</v>
      </c>
      <c r="P3977" s="2" t="s">
        <v>72</v>
      </c>
      <c r="Q3977" s="2" t="s">
        <v>2414</v>
      </c>
      <c r="R3977" s="2" t="s">
        <v>2415</v>
      </c>
      <c r="S3977" s="2">
        <v>1</v>
      </c>
      <c r="T3977" s="2">
        <v>260</v>
      </c>
      <c r="U3977" s="2">
        <v>59.8</v>
      </c>
      <c r="V3977" s="2">
        <v>319.8</v>
      </c>
      <c r="W3977" s="2">
        <v>120.78</v>
      </c>
      <c r="X3977" s="5">
        <f t="shared" si="595"/>
        <v>0.53546153846153843</v>
      </c>
      <c r="Z3977" s="2" t="s">
        <v>3227</v>
      </c>
      <c r="AA3977" s="2" t="s">
        <v>75</v>
      </c>
      <c r="AB3977" s="2" t="s">
        <v>76</v>
      </c>
      <c r="AC3977" s="2" t="s">
        <v>77</v>
      </c>
      <c r="AF3977" s="2">
        <f t="shared" si="593"/>
        <v>0</v>
      </c>
      <c r="AG3977" s="2">
        <v>120.78</v>
      </c>
      <c r="AH3977" s="2">
        <v>210</v>
      </c>
      <c r="AJ3977" s="2">
        <f t="shared" si="594"/>
        <v>0</v>
      </c>
      <c r="AK3977" s="2">
        <f t="shared" si="591"/>
        <v>139.22</v>
      </c>
      <c r="AL3977" s="5">
        <f t="shared" si="592"/>
        <v>0.53546153846153843</v>
      </c>
    </row>
    <row r="3978" spans="1:38" x14ac:dyDescent="0.2">
      <c r="A3978" s="2">
        <v>2026</v>
      </c>
      <c r="B3978" s="2">
        <v>5</v>
      </c>
      <c r="D3978" s="2" t="s">
        <v>1719</v>
      </c>
      <c r="E3978" s="2" t="s">
        <v>38</v>
      </c>
      <c r="F3978" s="2" t="s">
        <v>477</v>
      </c>
      <c r="G3978" s="2">
        <v>504997866</v>
      </c>
      <c r="H3978" s="2" t="s">
        <v>290</v>
      </c>
      <c r="I3978" s="2" t="s">
        <v>3234</v>
      </c>
      <c r="J3978" s="2" t="s">
        <v>3235</v>
      </c>
      <c r="L3978" s="2" t="s">
        <v>571</v>
      </c>
      <c r="M3978" s="2" t="s">
        <v>80</v>
      </c>
      <c r="O3978" s="2" t="s">
        <v>3237</v>
      </c>
      <c r="P3978" s="2" t="s">
        <v>93</v>
      </c>
      <c r="Q3978" s="2" t="s">
        <v>94</v>
      </c>
      <c r="R3978" s="2" t="s">
        <v>95</v>
      </c>
      <c r="S3978" s="2">
        <v>1</v>
      </c>
      <c r="T3978" s="2">
        <v>1.48</v>
      </c>
      <c r="U3978" s="2">
        <v>0.34039999999999998</v>
      </c>
      <c r="V3978" s="2">
        <v>1.8204</v>
      </c>
      <c r="W3978" s="2">
        <v>1.48</v>
      </c>
      <c r="X3978" s="5">
        <f t="shared" si="595"/>
        <v>0</v>
      </c>
      <c r="Z3978" s="2" t="s">
        <v>3227</v>
      </c>
      <c r="AA3978" s="2" t="s">
        <v>96</v>
      </c>
      <c r="AB3978" s="2" t="s">
        <v>76</v>
      </c>
      <c r="AC3978" s="2" t="s">
        <v>93</v>
      </c>
      <c r="AF3978" s="2">
        <f t="shared" si="593"/>
        <v>0</v>
      </c>
      <c r="AJ3978" s="2">
        <f t="shared" si="594"/>
        <v>0</v>
      </c>
      <c r="AK3978" s="2">
        <f t="shared" si="591"/>
        <v>0</v>
      </c>
      <c r="AL3978" s="5">
        <f t="shared" si="592"/>
        <v>0</v>
      </c>
    </row>
    <row r="3979" spans="1:38" x14ac:dyDescent="0.2">
      <c r="A3979" s="2">
        <v>2026</v>
      </c>
      <c r="B3979" s="2">
        <v>5</v>
      </c>
      <c r="D3979" s="2" t="s">
        <v>873</v>
      </c>
      <c r="M3979" s="2" t="s">
        <v>40</v>
      </c>
      <c r="P3979" s="2" t="s">
        <v>187</v>
      </c>
      <c r="Q3979" s="2" t="s">
        <v>188</v>
      </c>
      <c r="R3979" s="2" t="s">
        <v>189</v>
      </c>
      <c r="S3979" s="2">
        <v>1</v>
      </c>
      <c r="T3979" s="2">
        <v>60</v>
      </c>
      <c r="U3979" s="2">
        <v>13.8</v>
      </c>
      <c r="V3979" s="2">
        <v>73.8</v>
      </c>
      <c r="W3979" s="2">
        <f>T3979*40%</f>
        <v>24</v>
      </c>
      <c r="X3979" s="5">
        <f t="shared" si="595"/>
        <v>0.6</v>
      </c>
      <c r="Z3979" s="2" t="s">
        <v>117</v>
      </c>
      <c r="AA3979" s="2" t="s">
        <v>190</v>
      </c>
      <c r="AB3979" s="2" t="s">
        <v>189</v>
      </c>
      <c r="AC3979" s="2" t="s">
        <v>40</v>
      </c>
      <c r="AF3979" s="2">
        <f t="shared" si="593"/>
        <v>0</v>
      </c>
      <c r="AG3979" s="2">
        <f>W3979</f>
        <v>24</v>
      </c>
      <c r="AJ3979" s="2">
        <f t="shared" si="594"/>
        <v>0</v>
      </c>
      <c r="AK3979" s="2">
        <f t="shared" si="591"/>
        <v>36</v>
      </c>
      <c r="AL3979" s="5">
        <f t="shared" si="592"/>
        <v>0.6</v>
      </c>
    </row>
    <row r="3980" spans="1:38" x14ac:dyDescent="0.2">
      <c r="A3980" s="2">
        <v>2026</v>
      </c>
      <c r="B3980" s="2">
        <v>5</v>
      </c>
      <c r="D3980" s="2" t="s">
        <v>873</v>
      </c>
      <c r="M3980" s="2" t="s">
        <v>40</v>
      </c>
      <c r="P3980" s="2" t="s">
        <v>187</v>
      </c>
      <c r="Q3980" s="2" t="s">
        <v>191</v>
      </c>
      <c r="R3980" s="2" t="s">
        <v>190</v>
      </c>
      <c r="S3980" s="2">
        <v>1</v>
      </c>
      <c r="T3980" s="2">
        <v>55</v>
      </c>
      <c r="U3980" s="2">
        <v>12.65</v>
      </c>
      <c r="V3980" s="2">
        <v>67.650000000000006</v>
      </c>
      <c r="W3980" s="2">
        <f>T3980*50%</f>
        <v>27.5</v>
      </c>
      <c r="X3980" s="5">
        <f t="shared" si="595"/>
        <v>0.5</v>
      </c>
      <c r="Z3980" s="2" t="s">
        <v>117</v>
      </c>
      <c r="AA3980" s="2" t="s">
        <v>190</v>
      </c>
      <c r="AB3980" s="2" t="s">
        <v>190</v>
      </c>
      <c r="AC3980" s="2" t="s">
        <v>40</v>
      </c>
      <c r="AF3980" s="2">
        <f t="shared" si="593"/>
        <v>0</v>
      </c>
      <c r="AG3980" s="2">
        <f>W3980</f>
        <v>27.5</v>
      </c>
      <c r="AJ3980" s="2">
        <f t="shared" si="594"/>
        <v>0</v>
      </c>
      <c r="AK3980" s="2">
        <f t="shared" si="591"/>
        <v>27.5</v>
      </c>
      <c r="AL3980" s="5">
        <f t="shared" si="592"/>
        <v>0.5</v>
      </c>
    </row>
    <row r="3981" spans="1:38" x14ac:dyDescent="0.2">
      <c r="A3981" s="2">
        <v>2026</v>
      </c>
      <c r="B3981" s="2">
        <v>5</v>
      </c>
      <c r="D3981" s="2" t="s">
        <v>2049</v>
      </c>
      <c r="E3981" s="2" t="s">
        <v>108</v>
      </c>
      <c r="F3981" s="2" t="s">
        <v>39</v>
      </c>
      <c r="G3981" s="2">
        <v>514960337</v>
      </c>
      <c r="H3981" s="2" t="s">
        <v>290</v>
      </c>
      <c r="I3981" s="2" t="s">
        <v>2779</v>
      </c>
      <c r="J3981" s="2" t="s">
        <v>2820</v>
      </c>
      <c r="K3981" s="2">
        <v>914732950</v>
      </c>
      <c r="L3981" s="2" t="s">
        <v>480</v>
      </c>
      <c r="M3981" s="2" t="s">
        <v>40</v>
      </c>
      <c r="O3981" s="2" t="s">
        <v>2990</v>
      </c>
      <c r="P3981" s="2" t="s">
        <v>1604</v>
      </c>
      <c r="Q3981" s="2" t="s">
        <v>1602</v>
      </c>
      <c r="R3981" s="2" t="s">
        <v>1603</v>
      </c>
      <c r="S3981" s="2">
        <v>-1</v>
      </c>
      <c r="T3981" s="2">
        <v>-68.86</v>
      </c>
      <c r="U3981" s="2">
        <v>-15.8378</v>
      </c>
      <c r="V3981" s="2">
        <v>-84.697800000000001</v>
      </c>
      <c r="Z3981" s="2" t="s">
        <v>117</v>
      </c>
      <c r="AA3981" s="2" t="s">
        <v>118</v>
      </c>
      <c r="AB3981" s="2" t="s">
        <v>119</v>
      </c>
      <c r="AC3981" s="2" t="s">
        <v>1604</v>
      </c>
      <c r="AF3981" s="2">
        <f t="shared" si="593"/>
        <v>0</v>
      </c>
      <c r="AG3981" s="2">
        <v>10.15</v>
      </c>
      <c r="AJ3981" s="2">
        <f t="shared" si="594"/>
        <v>0</v>
      </c>
      <c r="AK3981" s="2">
        <f t="shared" si="591"/>
        <v>-68.86</v>
      </c>
      <c r="AL3981" s="5">
        <f t="shared" si="592"/>
        <v>1</v>
      </c>
    </row>
    <row r="3982" spans="1:38" x14ac:dyDescent="0.2">
      <c r="A3982" s="2">
        <v>2026</v>
      </c>
      <c r="B3982" s="2">
        <v>5</v>
      </c>
      <c r="D3982" s="2" t="s">
        <v>2049</v>
      </c>
      <c r="M3982" s="2" t="s">
        <v>40</v>
      </c>
      <c r="P3982" s="2" t="s">
        <v>187</v>
      </c>
      <c r="Q3982" s="2" t="s">
        <v>188</v>
      </c>
      <c r="R3982" s="2" t="s">
        <v>189</v>
      </c>
      <c r="S3982" s="2">
        <v>1</v>
      </c>
      <c r="T3982" s="2">
        <v>147</v>
      </c>
      <c r="U3982" s="2">
        <v>33.81</v>
      </c>
      <c r="V3982" s="2">
        <v>180.81</v>
      </c>
      <c r="W3982" s="2">
        <f>T3982*40%</f>
        <v>58.800000000000004</v>
      </c>
      <c r="X3982" s="5">
        <f t="shared" ref="X3982:X4019" si="596">(T3982-W3982)/T3982</f>
        <v>0.6</v>
      </c>
      <c r="Z3982" s="2" t="s">
        <v>117</v>
      </c>
      <c r="AA3982" s="2" t="s">
        <v>190</v>
      </c>
      <c r="AB3982" s="2" t="s">
        <v>189</v>
      </c>
      <c r="AC3982" s="2" t="s">
        <v>40</v>
      </c>
      <c r="AF3982" s="2">
        <f t="shared" si="593"/>
        <v>0</v>
      </c>
      <c r="AG3982" s="2">
        <f>W3982</f>
        <v>58.800000000000004</v>
      </c>
      <c r="AJ3982" s="2">
        <f t="shared" si="594"/>
        <v>0</v>
      </c>
      <c r="AK3982" s="2">
        <f t="shared" si="591"/>
        <v>88.199999999999989</v>
      </c>
      <c r="AL3982" s="5">
        <f t="shared" si="592"/>
        <v>0.6</v>
      </c>
    </row>
    <row r="3983" spans="1:38" x14ac:dyDescent="0.2">
      <c r="A3983" s="2">
        <v>2026</v>
      </c>
      <c r="B3983" s="2">
        <v>5</v>
      </c>
      <c r="D3983" s="2" t="s">
        <v>2049</v>
      </c>
      <c r="M3983" s="2" t="s">
        <v>40</v>
      </c>
      <c r="P3983" s="2" t="s">
        <v>187</v>
      </c>
      <c r="Q3983" s="2" t="s">
        <v>191</v>
      </c>
      <c r="R3983" s="2" t="s">
        <v>190</v>
      </c>
      <c r="S3983" s="2">
        <v>1</v>
      </c>
      <c r="T3983" s="2">
        <v>55</v>
      </c>
      <c r="U3983" s="2">
        <v>12.65</v>
      </c>
      <c r="V3983" s="2">
        <v>67.650000000000006</v>
      </c>
      <c r="W3983" s="2">
        <f>T3983*50%</f>
        <v>27.5</v>
      </c>
      <c r="X3983" s="5">
        <f t="shared" si="596"/>
        <v>0.5</v>
      </c>
      <c r="Z3983" s="2" t="s">
        <v>117</v>
      </c>
      <c r="AA3983" s="2" t="s">
        <v>190</v>
      </c>
      <c r="AB3983" s="2" t="s">
        <v>190</v>
      </c>
      <c r="AC3983" s="2" t="s">
        <v>40</v>
      </c>
      <c r="AF3983" s="2">
        <f t="shared" si="593"/>
        <v>0</v>
      </c>
      <c r="AG3983" s="2">
        <f>W3983</f>
        <v>27.5</v>
      </c>
      <c r="AJ3983" s="2">
        <f t="shared" si="594"/>
        <v>0</v>
      </c>
      <c r="AK3983" s="2">
        <f t="shared" si="591"/>
        <v>27.5</v>
      </c>
      <c r="AL3983" s="5">
        <f t="shared" si="592"/>
        <v>0.5</v>
      </c>
    </row>
    <row r="3984" spans="1:38" x14ac:dyDescent="0.2">
      <c r="A3984" s="2">
        <v>2026</v>
      </c>
      <c r="B3984" s="2">
        <v>5</v>
      </c>
      <c r="D3984" s="2" t="s">
        <v>530</v>
      </c>
      <c r="E3984" s="2" t="s">
        <v>108</v>
      </c>
      <c r="F3984" s="2" t="s">
        <v>531</v>
      </c>
      <c r="G3984" s="2">
        <v>502139552</v>
      </c>
      <c r="H3984" s="2" t="s">
        <v>40</v>
      </c>
      <c r="I3984" s="2" t="s">
        <v>339</v>
      </c>
      <c r="J3984" s="2" t="s">
        <v>532</v>
      </c>
      <c r="L3984" s="2" t="s">
        <v>339</v>
      </c>
      <c r="M3984" s="2" t="s">
        <v>80</v>
      </c>
      <c r="P3984" s="2" t="s">
        <v>72</v>
      </c>
      <c r="Q3984" s="2" t="s">
        <v>73</v>
      </c>
      <c r="R3984" s="2" t="s">
        <v>74</v>
      </c>
      <c r="S3984" s="2">
        <v>3</v>
      </c>
      <c r="T3984" s="2">
        <v>600.76</v>
      </c>
      <c r="U3984" s="2">
        <v>138.1748</v>
      </c>
      <c r="V3984" s="2">
        <v>738.9348</v>
      </c>
      <c r="W3984" s="2">
        <v>376.548</v>
      </c>
      <c r="X3984" s="5">
        <f t="shared" si="596"/>
        <v>0.37321392902323725</v>
      </c>
      <c r="Z3984" s="2" t="s">
        <v>3227</v>
      </c>
      <c r="AA3984" s="2" t="s">
        <v>75</v>
      </c>
      <c r="AB3984" s="2" t="s">
        <v>76</v>
      </c>
      <c r="AC3984" s="2" t="s">
        <v>77</v>
      </c>
      <c r="AF3984" s="2">
        <f t="shared" si="593"/>
        <v>0</v>
      </c>
      <c r="AG3984" s="2">
        <v>125.51600000000001</v>
      </c>
      <c r="AH3984" s="2">
        <v>220</v>
      </c>
      <c r="AJ3984" s="2">
        <f t="shared" si="594"/>
        <v>0</v>
      </c>
      <c r="AK3984" s="2">
        <f t="shared" ref="AK3984:AK4015" si="597">T3984-W3984</f>
        <v>224.21199999999999</v>
      </c>
      <c r="AL3984" s="5">
        <f t="shared" ref="AL3984:AL4019" si="598">(T3984-W3984)/T3984</f>
        <v>0.37321392902323725</v>
      </c>
    </row>
    <row r="3985" spans="1:38" x14ac:dyDescent="0.2">
      <c r="A3985" s="2">
        <v>2026</v>
      </c>
      <c r="B3985" s="2">
        <v>5</v>
      </c>
      <c r="D3985" s="2" t="s">
        <v>530</v>
      </c>
      <c r="E3985" s="2" t="s">
        <v>108</v>
      </c>
      <c r="F3985" s="2" t="s">
        <v>531</v>
      </c>
      <c r="G3985" s="2">
        <v>502139552</v>
      </c>
      <c r="H3985" s="2" t="s">
        <v>40</v>
      </c>
      <c r="I3985" s="2" t="s">
        <v>339</v>
      </c>
      <c r="J3985" s="2" t="s">
        <v>532</v>
      </c>
      <c r="L3985" s="2" t="s">
        <v>339</v>
      </c>
      <c r="M3985" s="2" t="s">
        <v>80</v>
      </c>
      <c r="P3985" s="2" t="s">
        <v>72</v>
      </c>
      <c r="Q3985" s="2" t="s">
        <v>1345</v>
      </c>
      <c r="R3985" s="2" t="s">
        <v>79</v>
      </c>
      <c r="S3985" s="2">
        <v>1</v>
      </c>
      <c r="T3985" s="2">
        <v>219.88</v>
      </c>
      <c r="U3985" s="2">
        <v>50.572400000000002</v>
      </c>
      <c r="V3985" s="2">
        <v>270.45240000000001</v>
      </c>
      <c r="W3985" s="2">
        <v>96.15</v>
      </c>
      <c r="X3985" s="5">
        <f t="shared" si="596"/>
        <v>0.56271602692377654</v>
      </c>
      <c r="Z3985" s="2" t="s">
        <v>3227</v>
      </c>
      <c r="AA3985" s="2" t="s">
        <v>75</v>
      </c>
      <c r="AB3985" s="2" t="s">
        <v>76</v>
      </c>
      <c r="AC3985" s="2" t="s">
        <v>77</v>
      </c>
      <c r="AF3985" s="2">
        <f t="shared" si="593"/>
        <v>0</v>
      </c>
      <c r="AJ3985" s="2">
        <f t="shared" si="594"/>
        <v>0</v>
      </c>
      <c r="AK3985" s="2">
        <f t="shared" si="597"/>
        <v>123.72999999999999</v>
      </c>
      <c r="AL3985" s="5">
        <f t="shared" si="598"/>
        <v>0.56271602692377654</v>
      </c>
    </row>
    <row r="3986" spans="1:38" x14ac:dyDescent="0.2">
      <c r="A3986" s="2">
        <v>2026</v>
      </c>
      <c r="B3986" s="2">
        <v>5</v>
      </c>
      <c r="D3986" s="2" t="s">
        <v>530</v>
      </c>
      <c r="E3986" s="2" t="s">
        <v>108</v>
      </c>
      <c r="F3986" s="2" t="s">
        <v>531</v>
      </c>
      <c r="G3986" s="2">
        <v>502139552</v>
      </c>
      <c r="H3986" s="2" t="s">
        <v>40</v>
      </c>
      <c r="I3986" s="2" t="s">
        <v>339</v>
      </c>
      <c r="J3986" s="2" t="s">
        <v>532</v>
      </c>
      <c r="L3986" s="2" t="s">
        <v>339</v>
      </c>
      <c r="M3986" s="2" t="s">
        <v>80</v>
      </c>
      <c r="P3986" s="2" t="s">
        <v>72</v>
      </c>
      <c r="Q3986" s="2" t="s">
        <v>325</v>
      </c>
      <c r="R3986" s="2" t="s">
        <v>79</v>
      </c>
      <c r="S3986" s="2">
        <v>1</v>
      </c>
      <c r="T3986" s="2">
        <v>211.6</v>
      </c>
      <c r="U3986" s="2">
        <v>48.667999999999999</v>
      </c>
      <c r="V3986" s="2">
        <v>260.26799999999997</v>
      </c>
      <c r="W3986" s="2">
        <f>110.68*S3986</f>
        <v>110.68</v>
      </c>
      <c r="X3986" s="5">
        <f t="shared" si="596"/>
        <v>0.47693761814744795</v>
      </c>
      <c r="Z3986" s="2" t="s">
        <v>3227</v>
      </c>
      <c r="AA3986" s="2" t="s">
        <v>75</v>
      </c>
      <c r="AB3986" s="2" t="s">
        <v>76</v>
      </c>
      <c r="AC3986" s="2" t="s">
        <v>77</v>
      </c>
      <c r="AF3986" s="2">
        <f t="shared" si="593"/>
        <v>0</v>
      </c>
      <c r="AG3986" s="2">
        <v>110.68</v>
      </c>
      <c r="AH3986" s="2">
        <v>210</v>
      </c>
      <c r="AJ3986" s="2">
        <f t="shared" si="594"/>
        <v>0</v>
      </c>
      <c r="AK3986" s="2">
        <f t="shared" si="597"/>
        <v>100.91999999999999</v>
      </c>
      <c r="AL3986" s="5">
        <f t="shared" si="598"/>
        <v>0.47693761814744795</v>
      </c>
    </row>
    <row r="3987" spans="1:38" x14ac:dyDescent="0.2">
      <c r="A3987" s="2">
        <v>2026</v>
      </c>
      <c r="B3987" s="2">
        <v>5</v>
      </c>
      <c r="D3987" s="2" t="s">
        <v>530</v>
      </c>
      <c r="E3987" s="2" t="s">
        <v>108</v>
      </c>
      <c r="F3987" s="2" t="s">
        <v>531</v>
      </c>
      <c r="G3987" s="2">
        <v>502139552</v>
      </c>
      <c r="H3987" s="2" t="s">
        <v>40</v>
      </c>
      <c r="I3987" s="2" t="s">
        <v>339</v>
      </c>
      <c r="J3987" s="2" t="s">
        <v>532</v>
      </c>
      <c r="L3987" s="2" t="s">
        <v>339</v>
      </c>
      <c r="M3987" s="2" t="s">
        <v>80</v>
      </c>
      <c r="P3987" s="2" t="s">
        <v>93</v>
      </c>
      <c r="Q3987" s="2" t="s">
        <v>94</v>
      </c>
      <c r="R3987" s="2" t="s">
        <v>95</v>
      </c>
      <c r="S3987" s="2">
        <v>5</v>
      </c>
      <c r="T3987" s="2">
        <v>7.4</v>
      </c>
      <c r="U3987" s="2">
        <v>1.702</v>
      </c>
      <c r="V3987" s="2">
        <v>9.1020000000000003</v>
      </c>
      <c r="W3987" s="2">
        <f>1.48*S3987</f>
        <v>7.4</v>
      </c>
      <c r="X3987" s="5">
        <f t="shared" si="596"/>
        <v>0</v>
      </c>
      <c r="Z3987" s="2" t="s">
        <v>3227</v>
      </c>
      <c r="AA3987" s="2" t="s">
        <v>96</v>
      </c>
      <c r="AB3987" s="2" t="s">
        <v>76</v>
      </c>
      <c r="AC3987" s="2" t="s">
        <v>93</v>
      </c>
      <c r="AF3987" s="2">
        <f t="shared" si="593"/>
        <v>0</v>
      </c>
      <c r="AJ3987" s="2">
        <f t="shared" si="594"/>
        <v>0</v>
      </c>
      <c r="AK3987" s="2">
        <f t="shared" si="597"/>
        <v>0</v>
      </c>
      <c r="AL3987" s="5">
        <f t="shared" si="598"/>
        <v>0</v>
      </c>
    </row>
    <row r="3988" spans="1:38" x14ac:dyDescent="0.2">
      <c r="A3988" s="2">
        <v>2026</v>
      </c>
      <c r="B3988" s="2">
        <v>5</v>
      </c>
      <c r="D3988" s="2" t="s">
        <v>549</v>
      </c>
      <c r="E3988" s="2" t="s">
        <v>108</v>
      </c>
      <c r="F3988" s="2" t="s">
        <v>395</v>
      </c>
      <c r="G3988" s="2">
        <v>503641790</v>
      </c>
      <c r="H3988" s="2" t="s">
        <v>40</v>
      </c>
      <c r="I3988" s="2" t="s">
        <v>550</v>
      </c>
      <c r="J3988" s="2" t="s">
        <v>551</v>
      </c>
      <c r="K3988" s="2">
        <v>917753665</v>
      </c>
      <c r="L3988" s="2" t="s">
        <v>99</v>
      </c>
      <c r="M3988" s="2" t="s">
        <v>80</v>
      </c>
      <c r="P3988" s="2" t="s">
        <v>1038</v>
      </c>
      <c r="Q3988" s="2" t="s">
        <v>2991</v>
      </c>
      <c r="R3988" s="2" t="s">
        <v>2992</v>
      </c>
      <c r="S3988" s="2">
        <v>2</v>
      </c>
      <c r="T3988" s="2">
        <v>465.6</v>
      </c>
      <c r="U3988" s="2">
        <v>107.08799999999999</v>
      </c>
      <c r="V3988" s="2">
        <v>572.68799999999999</v>
      </c>
      <c r="W3988" s="2">
        <f>137.105*2</f>
        <v>274.20999999999998</v>
      </c>
      <c r="X3988" s="5">
        <f t="shared" si="596"/>
        <v>0.41106099656357398</v>
      </c>
      <c r="Z3988" s="2" t="s">
        <v>3227</v>
      </c>
      <c r="AA3988" s="2" t="s">
        <v>75</v>
      </c>
      <c r="AB3988" s="2" t="s">
        <v>76</v>
      </c>
      <c r="AC3988" s="2" t="s">
        <v>1038</v>
      </c>
      <c r="AF3988" s="2">
        <f t="shared" si="593"/>
        <v>0</v>
      </c>
      <c r="AJ3988" s="2">
        <f t="shared" si="594"/>
        <v>0</v>
      </c>
      <c r="AK3988" s="2">
        <f t="shared" si="597"/>
        <v>191.39000000000004</v>
      </c>
      <c r="AL3988" s="5">
        <f t="shared" si="598"/>
        <v>0.41106099656357398</v>
      </c>
    </row>
    <row r="3989" spans="1:38" x14ac:dyDescent="0.2">
      <c r="A3989" s="2">
        <v>2026</v>
      </c>
      <c r="B3989" s="2">
        <v>5</v>
      </c>
      <c r="D3989" s="2" t="s">
        <v>549</v>
      </c>
      <c r="E3989" s="2" t="s">
        <v>108</v>
      </c>
      <c r="F3989" s="2" t="s">
        <v>395</v>
      </c>
      <c r="G3989" s="2">
        <v>503641790</v>
      </c>
      <c r="H3989" s="2" t="s">
        <v>40</v>
      </c>
      <c r="I3989" s="2" t="s">
        <v>550</v>
      </c>
      <c r="J3989" s="2" t="s">
        <v>551</v>
      </c>
      <c r="K3989" s="2">
        <v>917753665</v>
      </c>
      <c r="L3989" s="2" t="s">
        <v>99</v>
      </c>
      <c r="M3989" s="2" t="s">
        <v>80</v>
      </c>
      <c r="P3989" s="2" t="s">
        <v>169</v>
      </c>
      <c r="Q3989" s="2" t="s">
        <v>170</v>
      </c>
      <c r="R3989" s="2" t="s">
        <v>170</v>
      </c>
      <c r="S3989" s="2">
        <v>1</v>
      </c>
      <c r="T3989" s="2">
        <v>30</v>
      </c>
      <c r="U3989" s="2">
        <v>6.9</v>
      </c>
      <c r="V3989" s="2">
        <v>36.9</v>
      </c>
      <c r="W3989" s="2">
        <v>23</v>
      </c>
      <c r="X3989" s="5">
        <f t="shared" si="596"/>
        <v>0.23333333333333334</v>
      </c>
      <c r="Z3989" s="2" t="s">
        <v>169</v>
      </c>
      <c r="AA3989" s="2" t="s">
        <v>169</v>
      </c>
      <c r="AF3989" s="2">
        <f t="shared" si="593"/>
        <v>0</v>
      </c>
      <c r="AJ3989" s="2">
        <f t="shared" si="594"/>
        <v>0</v>
      </c>
      <c r="AK3989" s="2">
        <f t="shared" si="597"/>
        <v>7</v>
      </c>
      <c r="AL3989" s="5">
        <f t="shared" si="598"/>
        <v>0.23333333333333334</v>
      </c>
    </row>
    <row r="3990" spans="1:38" x14ac:dyDescent="0.2">
      <c r="A3990" s="2">
        <v>2026</v>
      </c>
      <c r="B3990" s="2">
        <v>5</v>
      </c>
      <c r="D3990" s="2" t="s">
        <v>549</v>
      </c>
      <c r="E3990" s="2" t="s">
        <v>108</v>
      </c>
      <c r="F3990" s="2" t="s">
        <v>395</v>
      </c>
      <c r="G3990" s="2">
        <v>503641790</v>
      </c>
      <c r="H3990" s="2" t="s">
        <v>40</v>
      </c>
      <c r="I3990" s="2" t="s">
        <v>550</v>
      </c>
      <c r="J3990" s="2" t="s">
        <v>551</v>
      </c>
      <c r="K3990" s="2">
        <v>917753665</v>
      </c>
      <c r="L3990" s="2" t="s">
        <v>99</v>
      </c>
      <c r="M3990" s="2" t="s">
        <v>80</v>
      </c>
      <c r="P3990" s="2" t="s">
        <v>93</v>
      </c>
      <c r="Q3990" s="2" t="s">
        <v>94</v>
      </c>
      <c r="R3990" s="2" t="s">
        <v>95</v>
      </c>
      <c r="S3990" s="2">
        <v>2</v>
      </c>
      <c r="T3990" s="2">
        <v>2.96</v>
      </c>
      <c r="U3990" s="2">
        <v>0.68080000000000007</v>
      </c>
      <c r="V3990" s="2">
        <v>3.6408</v>
      </c>
      <c r="W3990" s="2">
        <f>1.48*S3990</f>
        <v>2.96</v>
      </c>
      <c r="X3990" s="5">
        <f t="shared" si="596"/>
        <v>0</v>
      </c>
      <c r="Z3990" s="2" t="s">
        <v>3227</v>
      </c>
      <c r="AA3990" s="2" t="s">
        <v>96</v>
      </c>
      <c r="AB3990" s="2" t="s">
        <v>76</v>
      </c>
      <c r="AC3990" s="2" t="s">
        <v>93</v>
      </c>
      <c r="AF3990" s="2">
        <f t="shared" si="593"/>
        <v>0</v>
      </c>
      <c r="AJ3990" s="2">
        <f t="shared" si="594"/>
        <v>0</v>
      </c>
      <c r="AK3990" s="2">
        <f t="shared" si="597"/>
        <v>0</v>
      </c>
      <c r="AL3990" s="5">
        <f t="shared" si="598"/>
        <v>0</v>
      </c>
    </row>
    <row r="3991" spans="1:38" x14ac:dyDescent="0.2">
      <c r="A3991" s="2">
        <v>2026</v>
      </c>
      <c r="B3991" s="2">
        <v>5</v>
      </c>
      <c r="D3991" s="2" t="s">
        <v>558</v>
      </c>
      <c r="E3991" s="2" t="s">
        <v>108</v>
      </c>
      <c r="F3991" s="2" t="s">
        <v>39</v>
      </c>
      <c r="G3991" s="2">
        <v>506517233</v>
      </c>
      <c r="H3991" s="2" t="s">
        <v>80</v>
      </c>
      <c r="I3991" s="2" t="s">
        <v>559</v>
      </c>
      <c r="J3991" s="2" t="s">
        <v>560</v>
      </c>
      <c r="L3991" s="2" t="s">
        <v>133</v>
      </c>
      <c r="M3991" s="2" t="s">
        <v>80</v>
      </c>
      <c r="P3991" s="2" t="s">
        <v>72</v>
      </c>
      <c r="Q3991" s="2" t="s">
        <v>325</v>
      </c>
      <c r="R3991" s="2" t="s">
        <v>79</v>
      </c>
      <c r="S3991" s="2">
        <v>2</v>
      </c>
      <c r="T3991" s="2">
        <v>252.9</v>
      </c>
      <c r="U3991" s="2">
        <v>58.167000000000002</v>
      </c>
      <c r="V3991" s="2">
        <v>311.06700000000001</v>
      </c>
      <c r="W3991" s="2">
        <f>110.68*S3991</f>
        <v>221.36</v>
      </c>
      <c r="X3991" s="5">
        <f t="shared" si="596"/>
        <v>0.12471332542506916</v>
      </c>
      <c r="Z3991" s="2" t="s">
        <v>3227</v>
      </c>
      <c r="AA3991" s="2" t="s">
        <v>75</v>
      </c>
      <c r="AB3991" s="2" t="s">
        <v>76</v>
      </c>
      <c r="AC3991" s="2" t="s">
        <v>77</v>
      </c>
      <c r="AF3991" s="2">
        <f t="shared" si="593"/>
        <v>0</v>
      </c>
      <c r="AG3991" s="2">
        <v>110.68</v>
      </c>
      <c r="AH3991" s="2">
        <v>210</v>
      </c>
      <c r="AJ3991" s="2">
        <f t="shared" si="594"/>
        <v>0</v>
      </c>
      <c r="AK3991" s="2">
        <f t="shared" si="597"/>
        <v>31.539999999999992</v>
      </c>
      <c r="AL3991" s="5">
        <f t="shared" si="598"/>
        <v>0.12471332542506916</v>
      </c>
    </row>
    <row r="3992" spans="1:38" x14ac:dyDescent="0.2">
      <c r="A3992" s="2">
        <v>2026</v>
      </c>
      <c r="B3992" s="2">
        <v>5</v>
      </c>
      <c r="D3992" s="2" t="s">
        <v>558</v>
      </c>
      <c r="E3992" s="2" t="s">
        <v>108</v>
      </c>
      <c r="F3992" s="2" t="s">
        <v>39</v>
      </c>
      <c r="G3992" s="2">
        <v>506517233</v>
      </c>
      <c r="H3992" s="2" t="s">
        <v>80</v>
      </c>
      <c r="I3992" s="2" t="s">
        <v>559</v>
      </c>
      <c r="J3992" s="2" t="s">
        <v>560</v>
      </c>
      <c r="L3992" s="2" t="s">
        <v>133</v>
      </c>
      <c r="M3992" s="2" t="s">
        <v>80</v>
      </c>
      <c r="P3992" s="2" t="s">
        <v>93</v>
      </c>
      <c r="Q3992" s="2" t="s">
        <v>94</v>
      </c>
      <c r="R3992" s="2" t="s">
        <v>95</v>
      </c>
      <c r="S3992" s="2">
        <v>2</v>
      </c>
      <c r="T3992" s="2">
        <v>2.96</v>
      </c>
      <c r="U3992" s="2">
        <v>0.68080000000000007</v>
      </c>
      <c r="V3992" s="2">
        <v>3.6408</v>
      </c>
      <c r="W3992" s="2">
        <f>1.48*S3992</f>
        <v>2.96</v>
      </c>
      <c r="X3992" s="5">
        <f t="shared" si="596"/>
        <v>0</v>
      </c>
      <c r="Z3992" s="2" t="s">
        <v>3227</v>
      </c>
      <c r="AA3992" s="2" t="s">
        <v>96</v>
      </c>
      <c r="AB3992" s="2" t="s">
        <v>76</v>
      </c>
      <c r="AC3992" s="2" t="s">
        <v>93</v>
      </c>
      <c r="AF3992" s="2">
        <f t="shared" si="593"/>
        <v>0</v>
      </c>
      <c r="AJ3992" s="2">
        <f t="shared" si="594"/>
        <v>0</v>
      </c>
      <c r="AK3992" s="2">
        <f t="shared" si="597"/>
        <v>0</v>
      </c>
      <c r="AL3992" s="5">
        <f t="shared" si="598"/>
        <v>0</v>
      </c>
    </row>
    <row r="3993" spans="1:38" x14ac:dyDescent="0.2">
      <c r="A3993" s="2">
        <v>2026</v>
      </c>
      <c r="B3993" s="2">
        <v>5</v>
      </c>
      <c r="D3993" s="2" t="s">
        <v>892</v>
      </c>
      <c r="M3993" s="2" t="s">
        <v>80</v>
      </c>
      <c r="P3993" s="2" t="s">
        <v>72</v>
      </c>
      <c r="Q3993" s="2" t="s">
        <v>73</v>
      </c>
      <c r="R3993" s="2" t="s">
        <v>74</v>
      </c>
      <c r="S3993" s="2">
        <v>1</v>
      </c>
      <c r="T3993" s="2">
        <v>220</v>
      </c>
      <c r="U3993" s="2">
        <v>50.6</v>
      </c>
      <c r="V3993" s="2">
        <v>270.60000000000002</v>
      </c>
      <c r="W3993" s="2">
        <v>125.51600000000001</v>
      </c>
      <c r="X3993" s="5">
        <f t="shared" si="596"/>
        <v>0.42947272727272723</v>
      </c>
      <c r="Z3993" s="2" t="s">
        <v>3227</v>
      </c>
      <c r="AA3993" s="2" t="s">
        <v>75</v>
      </c>
      <c r="AB3993" s="2" t="s">
        <v>76</v>
      </c>
      <c r="AC3993" s="2" t="s">
        <v>77</v>
      </c>
      <c r="AF3993" s="2">
        <f t="shared" si="593"/>
        <v>0</v>
      </c>
      <c r="AG3993" s="2">
        <v>125.51600000000001</v>
      </c>
      <c r="AH3993" s="2">
        <v>220</v>
      </c>
      <c r="AJ3993" s="2">
        <f t="shared" si="594"/>
        <v>0</v>
      </c>
      <c r="AK3993" s="2">
        <f t="shared" si="597"/>
        <v>94.483999999999995</v>
      </c>
      <c r="AL3993" s="5">
        <f t="shared" si="598"/>
        <v>0.42947272727272723</v>
      </c>
    </row>
    <row r="3994" spans="1:38" x14ac:dyDescent="0.2">
      <c r="A3994" s="2">
        <v>2026</v>
      </c>
      <c r="B3994" s="2">
        <v>5</v>
      </c>
      <c r="D3994" s="2" t="s">
        <v>892</v>
      </c>
      <c r="P3994" s="2" t="s">
        <v>93</v>
      </c>
      <c r="Q3994" s="2" t="s">
        <v>94</v>
      </c>
      <c r="R3994" s="2" t="s">
        <v>95</v>
      </c>
      <c r="S3994" s="2">
        <v>1</v>
      </c>
      <c r="T3994" s="2">
        <v>1.48</v>
      </c>
      <c r="U3994" s="2">
        <v>0.34039999999999998</v>
      </c>
      <c r="V3994" s="2">
        <v>1.8204</v>
      </c>
      <c r="W3994" s="2">
        <v>1.48</v>
      </c>
      <c r="X3994" s="5">
        <f t="shared" si="596"/>
        <v>0</v>
      </c>
      <c r="Z3994" s="2" t="s">
        <v>3227</v>
      </c>
      <c r="AA3994" s="2" t="s">
        <v>96</v>
      </c>
      <c r="AB3994" s="2" t="s">
        <v>76</v>
      </c>
      <c r="AC3994" s="2" t="s">
        <v>93</v>
      </c>
      <c r="AF3994" s="2">
        <f t="shared" si="593"/>
        <v>0</v>
      </c>
      <c r="AJ3994" s="2">
        <f t="shared" si="594"/>
        <v>0</v>
      </c>
      <c r="AK3994" s="2">
        <f t="shared" si="597"/>
        <v>0</v>
      </c>
      <c r="AL3994" s="5">
        <f t="shared" si="598"/>
        <v>0</v>
      </c>
    </row>
    <row r="3995" spans="1:38" x14ac:dyDescent="0.2">
      <c r="A3995" s="2">
        <v>2026</v>
      </c>
      <c r="B3995" s="2">
        <v>5</v>
      </c>
      <c r="D3995" s="2" t="s">
        <v>1622</v>
      </c>
      <c r="E3995" s="2" t="s">
        <v>108</v>
      </c>
      <c r="F3995" s="2" t="s">
        <v>477</v>
      </c>
      <c r="G3995" s="2">
        <v>504161342</v>
      </c>
      <c r="H3995" s="2" t="s">
        <v>290</v>
      </c>
      <c r="I3995" s="2" t="s">
        <v>1623</v>
      </c>
      <c r="J3995" s="2" t="s">
        <v>1624</v>
      </c>
      <c r="L3995" s="2" t="s">
        <v>293</v>
      </c>
      <c r="M3995" s="2" t="s">
        <v>40</v>
      </c>
      <c r="O3995" s="2" t="s">
        <v>2993</v>
      </c>
      <c r="P3995" s="2" t="s">
        <v>114</v>
      </c>
      <c r="Q3995" s="2" t="s">
        <v>672</v>
      </c>
      <c r="R3995" s="2" t="s">
        <v>673</v>
      </c>
      <c r="S3995" s="2">
        <v>1</v>
      </c>
      <c r="T3995" s="2">
        <v>14.95</v>
      </c>
      <c r="U3995" s="2">
        <v>3.4384999999999999</v>
      </c>
      <c r="V3995" s="2">
        <v>18.388500000000001</v>
      </c>
      <c r="W3995" s="2">
        <v>5.2342000000000004</v>
      </c>
      <c r="X3995" s="5">
        <f t="shared" si="596"/>
        <v>0.649886287625418</v>
      </c>
      <c r="Z3995" s="2" t="s">
        <v>117</v>
      </c>
      <c r="AA3995" s="2" t="s">
        <v>118</v>
      </c>
      <c r="AB3995" s="2" t="s">
        <v>119</v>
      </c>
      <c r="AC3995" s="2" t="s">
        <v>114</v>
      </c>
      <c r="AF3995" s="2">
        <f t="shared" si="593"/>
        <v>0</v>
      </c>
      <c r="AJ3995" s="2">
        <f t="shared" si="594"/>
        <v>0</v>
      </c>
      <c r="AK3995" s="2">
        <f t="shared" si="597"/>
        <v>9.715799999999998</v>
      </c>
      <c r="AL3995" s="5">
        <f t="shared" si="598"/>
        <v>0.649886287625418</v>
      </c>
    </row>
    <row r="3996" spans="1:38" x14ac:dyDescent="0.2">
      <c r="A3996" s="2">
        <v>2026</v>
      </c>
      <c r="B3996" s="2">
        <v>5</v>
      </c>
      <c r="D3996" s="2" t="s">
        <v>1622</v>
      </c>
      <c r="E3996" s="2" t="s">
        <v>108</v>
      </c>
      <c r="F3996" s="2" t="s">
        <v>477</v>
      </c>
      <c r="G3996" s="2">
        <v>504161342</v>
      </c>
      <c r="H3996" s="2" t="s">
        <v>290</v>
      </c>
      <c r="I3996" s="2" t="s">
        <v>1623</v>
      </c>
      <c r="J3996" s="2" t="s">
        <v>1624</v>
      </c>
      <c r="L3996" s="2" t="s">
        <v>293</v>
      </c>
      <c r="M3996" s="2" t="s">
        <v>40</v>
      </c>
      <c r="O3996" s="2" t="s">
        <v>2993</v>
      </c>
      <c r="P3996" s="2" t="s">
        <v>169</v>
      </c>
      <c r="Q3996" s="2" t="s">
        <v>170</v>
      </c>
      <c r="R3996" s="2" t="s">
        <v>170</v>
      </c>
      <c r="S3996" s="2">
        <v>1</v>
      </c>
      <c r="T3996" s="2">
        <v>5</v>
      </c>
      <c r="U3996" s="2">
        <v>1.1499999999999999</v>
      </c>
      <c r="V3996" s="2">
        <v>6.15</v>
      </c>
      <c r="W3996" s="2">
        <v>6</v>
      </c>
      <c r="X3996" s="5">
        <f t="shared" si="596"/>
        <v>-0.2</v>
      </c>
      <c r="Z3996" s="2" t="s">
        <v>169</v>
      </c>
      <c r="AA3996" s="2" t="s">
        <v>169</v>
      </c>
      <c r="AF3996" s="2">
        <f t="shared" si="593"/>
        <v>0</v>
      </c>
      <c r="AJ3996" s="2">
        <f t="shared" si="594"/>
        <v>0</v>
      </c>
      <c r="AK3996" s="2">
        <f t="shared" si="597"/>
        <v>-1</v>
      </c>
      <c r="AL3996" s="5">
        <f t="shared" si="598"/>
        <v>-0.2</v>
      </c>
    </row>
    <row r="3997" spans="1:38" x14ac:dyDescent="0.2">
      <c r="A3997" s="2">
        <v>2026</v>
      </c>
      <c r="B3997" s="2">
        <v>5</v>
      </c>
      <c r="D3997" s="2" t="s">
        <v>1281</v>
      </c>
      <c r="E3997" s="2" t="s">
        <v>183</v>
      </c>
      <c r="F3997" s="2" t="s">
        <v>2994</v>
      </c>
      <c r="G3997" s="2">
        <v>517805383</v>
      </c>
      <c r="H3997" s="2" t="s">
        <v>40</v>
      </c>
      <c r="I3997" s="2" t="s">
        <v>99</v>
      </c>
      <c r="J3997" s="2" t="s">
        <v>2995</v>
      </c>
      <c r="K3997" s="2">
        <v>964651239</v>
      </c>
      <c r="L3997" s="2" t="s">
        <v>99</v>
      </c>
      <c r="M3997" s="2" t="s">
        <v>40</v>
      </c>
      <c r="O3997" s="2" t="s">
        <v>2996</v>
      </c>
      <c r="P3997" s="2" t="s">
        <v>282</v>
      </c>
      <c r="Q3997" s="2" t="s">
        <v>2997</v>
      </c>
      <c r="R3997" s="2" t="s">
        <v>2998</v>
      </c>
      <c r="S3997" s="2">
        <v>1</v>
      </c>
      <c r="T3997" s="2">
        <v>1130.5</v>
      </c>
      <c r="U3997" s="2">
        <v>260.01499999999999</v>
      </c>
      <c r="V3997" s="2">
        <v>1390.5150000000001</v>
      </c>
      <c r="W3997" s="2">
        <v>773.5</v>
      </c>
      <c r="X3997" s="5">
        <f t="shared" si="596"/>
        <v>0.31578947368421051</v>
      </c>
      <c r="Z3997" s="2" t="s">
        <v>117</v>
      </c>
      <c r="AA3997" s="2" t="s">
        <v>181</v>
      </c>
      <c r="AB3997" s="2" t="s">
        <v>3381</v>
      </c>
      <c r="AC3997" s="2" t="s">
        <v>1327</v>
      </c>
      <c r="AF3997" s="2">
        <f t="shared" si="593"/>
        <v>0</v>
      </c>
      <c r="AG3997" s="2">
        <v>773.5</v>
      </c>
      <c r="AJ3997" s="2">
        <f t="shared" si="594"/>
        <v>0</v>
      </c>
      <c r="AK3997" s="2">
        <f t="shared" si="597"/>
        <v>357</v>
      </c>
      <c r="AL3997" s="5">
        <f t="shared" si="598"/>
        <v>0.31578947368421051</v>
      </c>
    </row>
    <row r="3998" spans="1:38" x14ac:dyDescent="0.2">
      <c r="A3998" s="2">
        <v>2026</v>
      </c>
      <c r="B3998" s="2">
        <v>5</v>
      </c>
      <c r="D3998" s="2" t="s">
        <v>2999</v>
      </c>
      <c r="E3998" s="2" t="s">
        <v>38</v>
      </c>
      <c r="F3998" s="2" t="s">
        <v>39</v>
      </c>
      <c r="G3998" s="2">
        <v>509894615</v>
      </c>
      <c r="H3998" s="2" t="s">
        <v>40</v>
      </c>
      <c r="I3998" s="2" t="s">
        <v>3000</v>
      </c>
      <c r="J3998" s="2" t="s">
        <v>3001</v>
      </c>
      <c r="K3998" s="2">
        <v>969030161</v>
      </c>
      <c r="L3998" s="2" t="s">
        <v>3002</v>
      </c>
      <c r="M3998" s="2" t="s">
        <v>40</v>
      </c>
      <c r="O3998" s="2" t="s">
        <v>3003</v>
      </c>
      <c r="P3998" s="2" t="s">
        <v>114</v>
      </c>
      <c r="Q3998" s="2" t="s">
        <v>1471</v>
      </c>
      <c r="R3998" s="2" t="s">
        <v>1472</v>
      </c>
      <c r="S3998" s="2">
        <v>1</v>
      </c>
      <c r="T3998" s="2">
        <v>690.61</v>
      </c>
      <c r="U3998" s="2">
        <v>158.84030000000001</v>
      </c>
      <c r="V3998" s="2">
        <v>849.45029999999997</v>
      </c>
      <c r="W3998" s="2">
        <v>343.38</v>
      </c>
      <c r="X3998" s="5">
        <f t="shared" si="596"/>
        <v>0.50278739085735802</v>
      </c>
      <c r="Z3998" s="2" t="s">
        <v>117</v>
      </c>
      <c r="AA3998" s="2" t="s">
        <v>181</v>
      </c>
      <c r="AB3998" s="2" t="s">
        <v>119</v>
      </c>
      <c r="AC3998" s="2" t="s">
        <v>114</v>
      </c>
      <c r="AF3998" s="2">
        <f t="shared" si="593"/>
        <v>0</v>
      </c>
      <c r="AG3998" s="2">
        <v>343.38</v>
      </c>
      <c r="AJ3998" s="2">
        <f t="shared" si="594"/>
        <v>0</v>
      </c>
      <c r="AK3998" s="2">
        <f t="shared" si="597"/>
        <v>347.23</v>
      </c>
      <c r="AL3998" s="5">
        <f t="shared" si="598"/>
        <v>0.50278739085735802</v>
      </c>
    </row>
    <row r="3999" spans="1:38" x14ac:dyDescent="0.2">
      <c r="A3999" s="2">
        <v>2026</v>
      </c>
      <c r="B3999" s="2">
        <v>5</v>
      </c>
      <c r="D3999" s="2" t="s">
        <v>2999</v>
      </c>
      <c r="E3999" s="2" t="s">
        <v>38</v>
      </c>
      <c r="F3999" s="2" t="s">
        <v>39</v>
      </c>
      <c r="G3999" s="2">
        <v>509894615</v>
      </c>
      <c r="H3999" s="2" t="s">
        <v>40</v>
      </c>
      <c r="I3999" s="2" t="s">
        <v>3000</v>
      </c>
      <c r="J3999" s="2" t="s">
        <v>3001</v>
      </c>
      <c r="K3999" s="2">
        <v>969030161</v>
      </c>
      <c r="L3999" s="2" t="s">
        <v>3002</v>
      </c>
      <c r="M3999" s="2" t="s">
        <v>40</v>
      </c>
      <c r="O3999" s="2" t="s">
        <v>3003</v>
      </c>
      <c r="P3999" s="2" t="s">
        <v>114</v>
      </c>
      <c r="Q3999" s="2" t="s">
        <v>1578</v>
      </c>
      <c r="R3999" s="2" t="s">
        <v>1579</v>
      </c>
      <c r="S3999" s="2">
        <v>1</v>
      </c>
      <c r="T3999" s="2">
        <v>6990</v>
      </c>
      <c r="U3999" s="2">
        <v>1607.7</v>
      </c>
      <c r="V3999" s="2">
        <v>8597.7000000000007</v>
      </c>
      <c r="W3999" s="2">
        <v>5064.2299999999996</v>
      </c>
      <c r="X3999" s="5">
        <f t="shared" si="596"/>
        <v>0.27550357653791135</v>
      </c>
      <c r="Z3999" s="2" t="s">
        <v>104</v>
      </c>
      <c r="AA3999" s="2" t="s">
        <v>150</v>
      </c>
      <c r="AB3999" s="2" t="s">
        <v>151</v>
      </c>
      <c r="AC3999" s="2" t="s">
        <v>114</v>
      </c>
      <c r="AF3999" s="2">
        <f t="shared" si="593"/>
        <v>0</v>
      </c>
      <c r="AG3999" s="2">
        <f>4893.23+171</f>
        <v>5064.2299999999996</v>
      </c>
      <c r="AJ3999" s="2">
        <f t="shared" si="594"/>
        <v>0</v>
      </c>
      <c r="AK3999" s="2">
        <f t="shared" si="597"/>
        <v>1925.7700000000004</v>
      </c>
      <c r="AL3999" s="5">
        <f t="shared" si="598"/>
        <v>0.27550357653791135</v>
      </c>
    </row>
    <row r="4000" spans="1:38" x14ac:dyDescent="0.2">
      <c r="A4000" s="2">
        <v>2026</v>
      </c>
      <c r="B4000" s="2">
        <v>5</v>
      </c>
      <c r="D4000" s="2" t="s">
        <v>2334</v>
      </c>
      <c r="E4000" s="2" t="s">
        <v>38</v>
      </c>
      <c r="F4000" s="2" t="s">
        <v>39</v>
      </c>
      <c r="G4000" s="2">
        <v>502784121</v>
      </c>
      <c r="H4000" s="2" t="s">
        <v>41</v>
      </c>
      <c r="I4000" s="2" t="s">
        <v>327</v>
      </c>
      <c r="J4000" s="2" t="s">
        <v>3004</v>
      </c>
      <c r="L4000" s="2" t="s">
        <v>177</v>
      </c>
      <c r="M4000" s="2" t="s">
        <v>41</v>
      </c>
      <c r="O4000" s="2" t="s">
        <v>3005</v>
      </c>
      <c r="P4000" s="2" t="s">
        <v>72</v>
      </c>
      <c r="Q4000" s="2" t="s">
        <v>484</v>
      </c>
      <c r="R4000" s="2" t="s">
        <v>74</v>
      </c>
      <c r="S4000" s="2">
        <v>1</v>
      </c>
      <c r="T4000" s="2">
        <v>200</v>
      </c>
      <c r="U4000" s="2">
        <v>46</v>
      </c>
      <c r="V4000" s="2">
        <v>246</v>
      </c>
      <c r="W4000" s="2">
        <v>131.93</v>
      </c>
      <c r="X4000" s="5">
        <f t="shared" si="596"/>
        <v>0.34034999999999999</v>
      </c>
      <c r="Z4000" s="2" t="s">
        <v>3227</v>
      </c>
      <c r="AA4000" s="2" t="s">
        <v>75</v>
      </c>
      <c r="AB4000" s="2" t="s">
        <v>76</v>
      </c>
      <c r="AC4000" s="2" t="s">
        <v>77</v>
      </c>
      <c r="AF4000" s="2">
        <f t="shared" si="593"/>
        <v>0</v>
      </c>
      <c r="AG4000" s="2">
        <v>131.93</v>
      </c>
      <c r="AH4000" s="2">
        <v>220</v>
      </c>
      <c r="AJ4000" s="2">
        <f t="shared" si="594"/>
        <v>0</v>
      </c>
      <c r="AK4000" s="2">
        <f t="shared" si="597"/>
        <v>68.069999999999993</v>
      </c>
      <c r="AL4000" s="5">
        <f t="shared" si="598"/>
        <v>0.34034999999999999</v>
      </c>
    </row>
    <row r="4001" spans="1:38" x14ac:dyDescent="0.2">
      <c r="A4001" s="2">
        <v>2026</v>
      </c>
      <c r="B4001" s="2">
        <v>5</v>
      </c>
      <c r="D4001" s="2" t="s">
        <v>2334</v>
      </c>
      <c r="P4001" s="2" t="s">
        <v>93</v>
      </c>
      <c r="Q4001" s="2" t="s">
        <v>94</v>
      </c>
      <c r="R4001" s="2" t="s">
        <v>95</v>
      </c>
      <c r="S4001" s="2">
        <v>1</v>
      </c>
      <c r="T4001" s="2">
        <v>1.48</v>
      </c>
      <c r="U4001" s="2">
        <v>0.34039999999999998</v>
      </c>
      <c r="V4001" s="2">
        <v>1.8204</v>
      </c>
      <c r="W4001" s="2">
        <v>1.48</v>
      </c>
      <c r="X4001" s="5">
        <f t="shared" si="596"/>
        <v>0</v>
      </c>
      <c r="Z4001" s="2" t="s">
        <v>3227</v>
      </c>
      <c r="AA4001" s="2" t="s">
        <v>96</v>
      </c>
      <c r="AB4001" s="2" t="s">
        <v>76</v>
      </c>
      <c r="AC4001" s="2" t="s">
        <v>93</v>
      </c>
      <c r="AF4001" s="2">
        <f t="shared" si="593"/>
        <v>0</v>
      </c>
      <c r="AJ4001" s="2">
        <f t="shared" si="594"/>
        <v>0</v>
      </c>
      <c r="AK4001" s="2">
        <f t="shared" si="597"/>
        <v>0</v>
      </c>
      <c r="AL4001" s="5">
        <f t="shared" si="598"/>
        <v>0</v>
      </c>
    </row>
    <row r="4002" spans="1:38" x14ac:dyDescent="0.2">
      <c r="A4002" s="2">
        <v>2026</v>
      </c>
      <c r="B4002" s="2">
        <v>5</v>
      </c>
      <c r="D4002" s="2" t="s">
        <v>3006</v>
      </c>
      <c r="E4002" s="2" t="s">
        <v>108</v>
      </c>
      <c r="F4002" s="2" t="s">
        <v>477</v>
      </c>
      <c r="G4002" s="2">
        <v>500228434</v>
      </c>
      <c r="H4002" s="2" t="s">
        <v>109</v>
      </c>
      <c r="I4002" s="2" t="s">
        <v>112</v>
      </c>
      <c r="J4002" s="2" t="s">
        <v>3240</v>
      </c>
      <c r="L4002" s="2" t="s">
        <v>112</v>
      </c>
      <c r="M4002" s="2" t="s">
        <v>109</v>
      </c>
      <c r="O4002" s="2" t="s">
        <v>3241</v>
      </c>
      <c r="P4002" s="2" t="s">
        <v>72</v>
      </c>
      <c r="Q4002" s="2" t="s">
        <v>832</v>
      </c>
      <c r="R4002" s="2" t="s">
        <v>74</v>
      </c>
      <c r="S4002" s="2">
        <v>1</v>
      </c>
      <c r="T4002" s="2">
        <v>220</v>
      </c>
      <c r="U4002" s="2">
        <v>50.6</v>
      </c>
      <c r="V4002" s="2">
        <v>270.60000000000002</v>
      </c>
      <c r="W4002" s="2">
        <v>120.636</v>
      </c>
      <c r="X4002" s="5">
        <f t="shared" si="596"/>
        <v>0.45165454545454548</v>
      </c>
      <c r="Z4002" s="2" t="s">
        <v>3227</v>
      </c>
      <c r="AA4002" s="2" t="s">
        <v>75</v>
      </c>
      <c r="AB4002" s="2" t="s">
        <v>76</v>
      </c>
      <c r="AC4002" s="2" t="s">
        <v>77</v>
      </c>
      <c r="AF4002" s="2">
        <f t="shared" si="593"/>
        <v>0</v>
      </c>
      <c r="AG4002" s="2">
        <v>120.636</v>
      </c>
      <c r="AH4002" s="2">
        <v>220</v>
      </c>
      <c r="AJ4002" s="2">
        <f t="shared" si="594"/>
        <v>0</v>
      </c>
      <c r="AK4002" s="2">
        <f t="shared" si="597"/>
        <v>99.364000000000004</v>
      </c>
      <c r="AL4002" s="5">
        <f t="shared" si="598"/>
        <v>0.45165454545454548</v>
      </c>
    </row>
    <row r="4003" spans="1:38" x14ac:dyDescent="0.2">
      <c r="A4003" s="2">
        <v>2026</v>
      </c>
      <c r="B4003" s="2">
        <v>5</v>
      </c>
      <c r="D4003" s="2" t="s">
        <v>3006</v>
      </c>
      <c r="E4003" s="2" t="s">
        <v>108</v>
      </c>
      <c r="F4003" s="2" t="s">
        <v>477</v>
      </c>
      <c r="G4003" s="2">
        <v>500228434</v>
      </c>
      <c r="H4003" s="2" t="s">
        <v>109</v>
      </c>
      <c r="I4003" s="2" t="s">
        <v>112</v>
      </c>
      <c r="J4003" s="2" t="s">
        <v>3240</v>
      </c>
      <c r="L4003" s="2" t="s">
        <v>112</v>
      </c>
      <c r="M4003" s="2" t="s">
        <v>109</v>
      </c>
      <c r="O4003" s="2" t="s">
        <v>3241</v>
      </c>
      <c r="P4003" s="2" t="s">
        <v>93</v>
      </c>
      <c r="Q4003" s="2" t="s">
        <v>94</v>
      </c>
      <c r="R4003" s="2" t="s">
        <v>95</v>
      </c>
      <c r="S4003" s="2">
        <v>1</v>
      </c>
      <c r="T4003" s="2">
        <v>1.48</v>
      </c>
      <c r="U4003" s="2">
        <v>0.34039999999999998</v>
      </c>
      <c r="V4003" s="2">
        <v>1.8204</v>
      </c>
      <c r="W4003" s="2">
        <v>1.48</v>
      </c>
      <c r="X4003" s="5">
        <f t="shared" si="596"/>
        <v>0</v>
      </c>
      <c r="Z4003" s="2" t="s">
        <v>3227</v>
      </c>
      <c r="AA4003" s="2" t="s">
        <v>96</v>
      </c>
      <c r="AB4003" s="2" t="s">
        <v>76</v>
      </c>
      <c r="AC4003" s="2" t="s">
        <v>93</v>
      </c>
      <c r="AF4003" s="2">
        <f t="shared" si="593"/>
        <v>0</v>
      </c>
      <c r="AJ4003" s="2">
        <f t="shared" si="594"/>
        <v>0</v>
      </c>
      <c r="AK4003" s="2">
        <f t="shared" si="597"/>
        <v>0</v>
      </c>
      <c r="AL4003" s="5">
        <f t="shared" si="598"/>
        <v>0</v>
      </c>
    </row>
    <row r="4004" spans="1:38" x14ac:dyDescent="0.2">
      <c r="A4004" s="2">
        <v>2026</v>
      </c>
      <c r="B4004" s="2">
        <v>5</v>
      </c>
      <c r="D4004" s="2" t="s">
        <v>574</v>
      </c>
      <c r="E4004" s="2" t="s">
        <v>38</v>
      </c>
      <c r="F4004" s="2" t="s">
        <v>39</v>
      </c>
      <c r="G4004" s="2">
        <v>504811029</v>
      </c>
      <c r="H4004" s="2" t="s">
        <v>41</v>
      </c>
      <c r="I4004" s="2" t="s">
        <v>177</v>
      </c>
      <c r="J4004" s="2" t="s">
        <v>575</v>
      </c>
      <c r="L4004" s="2" t="s">
        <v>177</v>
      </c>
      <c r="M4004" s="2" t="s">
        <v>40</v>
      </c>
      <c r="O4004" s="2" t="s">
        <v>3007</v>
      </c>
      <c r="P4004" s="2" t="s">
        <v>114</v>
      </c>
      <c r="Q4004" s="2" t="s">
        <v>2211</v>
      </c>
      <c r="R4004" s="2" t="s">
        <v>2212</v>
      </c>
      <c r="S4004" s="2">
        <v>1</v>
      </c>
      <c r="T4004" s="2">
        <v>153.02000000000001</v>
      </c>
      <c r="U4004" s="2">
        <v>35.194600000000001</v>
      </c>
      <c r="V4004" s="2">
        <v>188.21459999999999</v>
      </c>
      <c r="W4004" s="2">
        <v>79.37</v>
      </c>
      <c r="X4004" s="5">
        <f t="shared" si="596"/>
        <v>0.48130963272774802</v>
      </c>
      <c r="Z4004" s="2" t="s">
        <v>117</v>
      </c>
      <c r="AA4004" s="2" t="s">
        <v>118</v>
      </c>
      <c r="AB4004" s="2" t="s">
        <v>119</v>
      </c>
      <c r="AC4004" s="2" t="s">
        <v>114</v>
      </c>
      <c r="AF4004" s="2">
        <f t="shared" si="593"/>
        <v>0</v>
      </c>
      <c r="AG4004" s="2">
        <f>78.74+0.63</f>
        <v>79.36999999999999</v>
      </c>
      <c r="AJ4004" s="2">
        <f t="shared" si="594"/>
        <v>0</v>
      </c>
      <c r="AK4004" s="2">
        <f t="shared" si="597"/>
        <v>73.650000000000006</v>
      </c>
      <c r="AL4004" s="5">
        <f t="shared" si="598"/>
        <v>0.48130963272774802</v>
      </c>
    </row>
    <row r="4005" spans="1:38" x14ac:dyDescent="0.2">
      <c r="A4005" s="2">
        <v>2026</v>
      </c>
      <c r="B4005" s="2">
        <v>5</v>
      </c>
      <c r="D4005" s="2" t="s">
        <v>574</v>
      </c>
      <c r="E4005" s="2" t="s">
        <v>38</v>
      </c>
      <c r="F4005" s="2" t="s">
        <v>39</v>
      </c>
      <c r="G4005" s="2">
        <v>504811029</v>
      </c>
      <c r="H4005" s="2" t="s">
        <v>41</v>
      </c>
      <c r="I4005" s="2" t="s">
        <v>177</v>
      </c>
      <c r="J4005" s="2" t="s">
        <v>575</v>
      </c>
      <c r="L4005" s="2" t="s">
        <v>177</v>
      </c>
      <c r="M4005" s="2" t="s">
        <v>40</v>
      </c>
      <c r="P4005" s="2" t="s">
        <v>114</v>
      </c>
      <c r="Q4005" s="2" t="s">
        <v>576</v>
      </c>
      <c r="R4005" s="2" t="s">
        <v>577</v>
      </c>
      <c r="S4005" s="2">
        <v>1</v>
      </c>
      <c r="T4005" s="2">
        <v>79.47</v>
      </c>
      <c r="U4005" s="2">
        <v>18.278099999999998</v>
      </c>
      <c r="V4005" s="2">
        <v>97.748099999999994</v>
      </c>
      <c r="W4005" s="2">
        <v>79.37</v>
      </c>
      <c r="X4005" s="5">
        <f t="shared" si="596"/>
        <v>1.2583364791744597E-3</v>
      </c>
      <c r="Z4005" s="2" t="s">
        <v>117</v>
      </c>
      <c r="AA4005" s="2" t="s">
        <v>118</v>
      </c>
      <c r="AB4005" s="2" t="s">
        <v>119</v>
      </c>
      <c r="AC4005" s="2" t="s">
        <v>114</v>
      </c>
      <c r="AF4005" s="2">
        <f t="shared" si="593"/>
        <v>0</v>
      </c>
      <c r="AG4005" s="2">
        <f>78.74+0.63</f>
        <v>79.36999999999999</v>
      </c>
      <c r="AJ4005" s="2">
        <f t="shared" si="594"/>
        <v>0</v>
      </c>
      <c r="AK4005" s="2">
        <f t="shared" si="597"/>
        <v>9.9999999999994316E-2</v>
      </c>
      <c r="AL4005" s="5">
        <f t="shared" si="598"/>
        <v>1.2583364791744597E-3</v>
      </c>
    </row>
    <row r="4006" spans="1:38" x14ac:dyDescent="0.2">
      <c r="A4006" s="2">
        <v>2026</v>
      </c>
      <c r="B4006" s="2">
        <v>5</v>
      </c>
      <c r="D4006" s="2" t="s">
        <v>574</v>
      </c>
      <c r="E4006" s="2" t="s">
        <v>38</v>
      </c>
      <c r="F4006" s="2" t="s">
        <v>39</v>
      </c>
      <c r="G4006" s="2">
        <v>504811029</v>
      </c>
      <c r="H4006" s="2" t="s">
        <v>41</v>
      </c>
      <c r="I4006" s="2" t="s">
        <v>177</v>
      </c>
      <c r="J4006" s="2" t="s">
        <v>575</v>
      </c>
      <c r="L4006" s="2" t="s">
        <v>177</v>
      </c>
      <c r="M4006" s="2" t="s">
        <v>41</v>
      </c>
      <c r="P4006" s="2" t="s">
        <v>114</v>
      </c>
      <c r="Q4006" s="2" t="s">
        <v>3008</v>
      </c>
      <c r="R4006" s="2" t="s">
        <v>3009</v>
      </c>
      <c r="S4006" s="2">
        <v>1</v>
      </c>
      <c r="T4006" s="2">
        <v>3990</v>
      </c>
      <c r="U4006" s="2">
        <v>917.7</v>
      </c>
      <c r="V4006" s="2">
        <v>4907.7</v>
      </c>
      <c r="X4006" s="5">
        <f t="shared" si="596"/>
        <v>1</v>
      </c>
      <c r="Z4006" s="2" t="s">
        <v>104</v>
      </c>
      <c r="AA4006" s="2" t="s">
        <v>616</v>
      </c>
      <c r="AB4006" s="2" t="s">
        <v>3437</v>
      </c>
      <c r="AC4006" s="2" t="s">
        <v>114</v>
      </c>
      <c r="AF4006" s="2">
        <f t="shared" si="593"/>
        <v>0</v>
      </c>
      <c r="AJ4006" s="2">
        <f t="shared" si="594"/>
        <v>0</v>
      </c>
      <c r="AK4006" s="2">
        <f t="shared" si="597"/>
        <v>3990</v>
      </c>
      <c r="AL4006" s="5">
        <f t="shared" si="598"/>
        <v>1</v>
      </c>
    </row>
    <row r="4007" spans="1:38" x14ac:dyDescent="0.2">
      <c r="A4007" s="2">
        <v>2026</v>
      </c>
      <c r="B4007" s="2">
        <v>5</v>
      </c>
      <c r="D4007" s="2" t="s">
        <v>574</v>
      </c>
      <c r="E4007" s="2" t="s">
        <v>38</v>
      </c>
      <c r="F4007" s="2" t="s">
        <v>39</v>
      </c>
      <c r="G4007" s="2">
        <v>504811029</v>
      </c>
      <c r="H4007" s="2" t="s">
        <v>41</v>
      </c>
      <c r="I4007" s="2" t="s">
        <v>177</v>
      </c>
      <c r="J4007" s="2" t="s">
        <v>575</v>
      </c>
      <c r="L4007" s="2" t="s">
        <v>177</v>
      </c>
      <c r="M4007" s="2" t="s">
        <v>41</v>
      </c>
      <c r="O4007" s="2" t="s">
        <v>3010</v>
      </c>
      <c r="P4007" s="2" t="s">
        <v>43</v>
      </c>
      <c r="Q4007" s="2" t="s">
        <v>420</v>
      </c>
      <c r="R4007" s="2" t="s">
        <v>421</v>
      </c>
      <c r="S4007" s="2">
        <v>15</v>
      </c>
      <c r="T4007" s="2">
        <v>108</v>
      </c>
      <c r="U4007" s="2">
        <v>24.84</v>
      </c>
      <c r="V4007" s="2">
        <v>132.84</v>
      </c>
      <c r="W4007" s="2">
        <f>3.7556*S4007</f>
        <v>56.333999999999996</v>
      </c>
      <c r="X4007" s="5">
        <f t="shared" si="596"/>
        <v>0.47838888888888892</v>
      </c>
      <c r="Z4007" s="2" t="s">
        <v>3227</v>
      </c>
      <c r="AA4007" s="2" t="s">
        <v>46</v>
      </c>
      <c r="AB4007" s="2" t="s">
        <v>60</v>
      </c>
      <c r="AC4007" s="2" t="s">
        <v>57</v>
      </c>
      <c r="AF4007" s="2">
        <f t="shared" si="593"/>
        <v>0</v>
      </c>
      <c r="AG4007" s="2">
        <v>3.7555999999999998</v>
      </c>
      <c r="AH4007" s="2">
        <v>7.2</v>
      </c>
      <c r="AJ4007" s="2">
        <f t="shared" si="594"/>
        <v>0</v>
      </c>
      <c r="AK4007" s="2">
        <f t="shared" si="597"/>
        <v>51.666000000000004</v>
      </c>
      <c r="AL4007" s="5">
        <f t="shared" si="598"/>
        <v>0.47838888888888892</v>
      </c>
    </row>
    <row r="4008" spans="1:38" x14ac:dyDescent="0.2">
      <c r="A4008" s="2">
        <v>2026</v>
      </c>
      <c r="B4008" s="2">
        <v>5</v>
      </c>
      <c r="D4008" s="2" t="s">
        <v>574</v>
      </c>
      <c r="E4008" s="2" t="s">
        <v>38</v>
      </c>
      <c r="F4008" s="2" t="s">
        <v>39</v>
      </c>
      <c r="G4008" s="2">
        <v>504811029</v>
      </c>
      <c r="H4008" s="2" t="s">
        <v>41</v>
      </c>
      <c r="I4008" s="2" t="s">
        <v>177</v>
      </c>
      <c r="J4008" s="2" t="s">
        <v>575</v>
      </c>
      <c r="L4008" s="2" t="s">
        <v>177</v>
      </c>
      <c r="M4008" s="2" t="s">
        <v>41</v>
      </c>
      <c r="P4008" s="2" t="s">
        <v>43</v>
      </c>
      <c r="Q4008" s="2" t="s">
        <v>334</v>
      </c>
      <c r="R4008" s="2" t="s">
        <v>335</v>
      </c>
      <c r="S4008" s="2">
        <v>20</v>
      </c>
      <c r="T4008" s="2">
        <v>60</v>
      </c>
      <c r="U4008" s="2">
        <v>13.8</v>
      </c>
      <c r="V4008" s="2">
        <v>73.8</v>
      </c>
      <c r="W4008" s="2">
        <f>1.1122*S4008</f>
        <v>22.244</v>
      </c>
      <c r="X4008" s="5">
        <f t="shared" si="596"/>
        <v>0.62926666666666664</v>
      </c>
      <c r="Z4008" s="2" t="s">
        <v>3227</v>
      </c>
      <c r="AA4008" s="2" t="s">
        <v>46</v>
      </c>
      <c r="AB4008" s="2" t="s">
        <v>60</v>
      </c>
      <c r="AC4008" s="2" t="s">
        <v>57</v>
      </c>
      <c r="AF4008" s="2">
        <f t="shared" si="593"/>
        <v>0</v>
      </c>
      <c r="AG4008" s="2">
        <v>1.1122000000000001</v>
      </c>
      <c r="AH4008" s="2">
        <v>3</v>
      </c>
      <c r="AJ4008" s="2">
        <f t="shared" si="594"/>
        <v>0</v>
      </c>
      <c r="AK4008" s="2">
        <f t="shared" si="597"/>
        <v>37.756</v>
      </c>
      <c r="AL4008" s="5">
        <f t="shared" si="598"/>
        <v>0.62926666666666664</v>
      </c>
    </row>
    <row r="4009" spans="1:38" x14ac:dyDescent="0.2">
      <c r="A4009" s="2">
        <v>2026</v>
      </c>
      <c r="B4009" s="2">
        <v>5</v>
      </c>
      <c r="D4009" s="2" t="s">
        <v>574</v>
      </c>
      <c r="E4009" s="2" t="s">
        <v>38</v>
      </c>
      <c r="F4009" s="2" t="s">
        <v>39</v>
      </c>
      <c r="G4009" s="2">
        <v>504811029</v>
      </c>
      <c r="H4009" s="2" t="s">
        <v>41</v>
      </c>
      <c r="I4009" s="2" t="s">
        <v>177</v>
      </c>
      <c r="J4009" s="2" t="s">
        <v>575</v>
      </c>
      <c r="L4009" s="2" t="s">
        <v>177</v>
      </c>
      <c r="M4009" s="2" t="s">
        <v>41</v>
      </c>
      <c r="P4009" s="2" t="s">
        <v>43</v>
      </c>
      <c r="Q4009" s="2" t="s">
        <v>65</v>
      </c>
      <c r="R4009" s="2" t="s">
        <v>66</v>
      </c>
      <c r="S4009" s="2">
        <v>2</v>
      </c>
      <c r="T4009" s="2">
        <v>49</v>
      </c>
      <c r="U4009" s="2">
        <v>11.27</v>
      </c>
      <c r="V4009" s="2">
        <v>60.27</v>
      </c>
      <c r="W4009" s="2">
        <f>15.0203*S4009</f>
        <v>30.040600000000001</v>
      </c>
      <c r="X4009" s="5">
        <f t="shared" si="596"/>
        <v>0.38692653061224486</v>
      </c>
      <c r="Z4009" s="2" t="s">
        <v>3227</v>
      </c>
      <c r="AA4009" s="2" t="s">
        <v>46</v>
      </c>
      <c r="AB4009" s="2" t="s">
        <v>67</v>
      </c>
      <c r="AC4009" s="2" t="s">
        <v>57</v>
      </c>
      <c r="AF4009" s="2">
        <f t="shared" si="593"/>
        <v>0</v>
      </c>
      <c r="AG4009" s="2">
        <v>15.020300000000001</v>
      </c>
      <c r="AH4009" s="2">
        <v>27.6</v>
      </c>
      <c r="AJ4009" s="2">
        <f t="shared" si="594"/>
        <v>0</v>
      </c>
      <c r="AK4009" s="2">
        <f t="shared" si="597"/>
        <v>18.959399999999999</v>
      </c>
      <c r="AL4009" s="5">
        <f t="shared" si="598"/>
        <v>0.38692653061224486</v>
      </c>
    </row>
    <row r="4010" spans="1:38" x14ac:dyDescent="0.2">
      <c r="A4010" s="2">
        <v>2026</v>
      </c>
      <c r="B4010" s="2">
        <v>5</v>
      </c>
      <c r="D4010" s="2" t="s">
        <v>3011</v>
      </c>
      <c r="P4010" s="2" t="s">
        <v>43</v>
      </c>
      <c r="Q4010" s="2" t="s">
        <v>254</v>
      </c>
      <c r="R4010" s="2" t="s">
        <v>255</v>
      </c>
      <c r="S4010" s="2">
        <v>100</v>
      </c>
      <c r="T4010" s="2">
        <v>14</v>
      </c>
      <c r="U4010" s="2">
        <v>3.22</v>
      </c>
      <c r="V4010" s="2">
        <v>17.22</v>
      </c>
      <c r="W4010" s="2">
        <f>0.0914*S4010</f>
        <v>9.1399999999999988</v>
      </c>
      <c r="X4010" s="5">
        <f t="shared" si="596"/>
        <v>0.34714285714285725</v>
      </c>
      <c r="Z4010" s="2" t="s">
        <v>3227</v>
      </c>
      <c r="AA4010" s="2" t="s">
        <v>46</v>
      </c>
      <c r="AB4010" s="2" t="s">
        <v>60</v>
      </c>
      <c r="AC4010" s="2" t="s">
        <v>57</v>
      </c>
      <c r="AF4010" s="2">
        <f t="shared" si="593"/>
        <v>0</v>
      </c>
      <c r="AJ4010" s="2">
        <f t="shared" si="594"/>
        <v>0</v>
      </c>
      <c r="AK4010" s="2">
        <f t="shared" si="597"/>
        <v>4.8600000000000012</v>
      </c>
      <c r="AL4010" s="5">
        <f t="shared" si="598"/>
        <v>0.34714285714285725</v>
      </c>
    </row>
    <row r="4011" spans="1:38" x14ac:dyDescent="0.2">
      <c r="A4011" s="2">
        <v>2026</v>
      </c>
      <c r="B4011" s="2">
        <v>5</v>
      </c>
      <c r="D4011" s="2" t="s">
        <v>3011</v>
      </c>
      <c r="P4011" s="2" t="s">
        <v>169</v>
      </c>
      <c r="Q4011" s="2" t="s">
        <v>170</v>
      </c>
      <c r="R4011" s="2" t="s">
        <v>170</v>
      </c>
      <c r="S4011" s="2">
        <v>1</v>
      </c>
      <c r="T4011" s="2">
        <v>5</v>
      </c>
      <c r="U4011" s="2">
        <v>1.1499999999999999</v>
      </c>
      <c r="V4011" s="2">
        <v>6.15</v>
      </c>
      <c r="W4011" s="2">
        <v>6</v>
      </c>
      <c r="X4011" s="5">
        <f t="shared" si="596"/>
        <v>-0.2</v>
      </c>
      <c r="Z4011" s="2" t="s">
        <v>169</v>
      </c>
      <c r="AA4011" s="2" t="s">
        <v>169</v>
      </c>
      <c r="AF4011" s="2">
        <f t="shared" si="593"/>
        <v>0</v>
      </c>
      <c r="AJ4011" s="2">
        <f t="shared" si="594"/>
        <v>0</v>
      </c>
      <c r="AK4011" s="2">
        <f t="shared" si="597"/>
        <v>-1</v>
      </c>
      <c r="AL4011" s="5">
        <f t="shared" si="598"/>
        <v>-0.2</v>
      </c>
    </row>
    <row r="4012" spans="1:38" x14ac:dyDescent="0.2">
      <c r="A4012" s="2">
        <v>2026</v>
      </c>
      <c r="B4012" s="2">
        <v>5</v>
      </c>
      <c r="D4012" s="2" t="s">
        <v>581</v>
      </c>
      <c r="E4012" s="2" t="s">
        <v>38</v>
      </c>
      <c r="F4012" s="2" t="s">
        <v>39</v>
      </c>
      <c r="G4012" s="2">
        <v>518281272</v>
      </c>
      <c r="H4012" s="2" t="s">
        <v>41</v>
      </c>
      <c r="I4012" s="2" t="s">
        <v>1101</v>
      </c>
      <c r="J4012" s="2" t="s">
        <v>1102</v>
      </c>
      <c r="L4012" s="2" t="s">
        <v>177</v>
      </c>
      <c r="M4012" s="2" t="s">
        <v>41</v>
      </c>
      <c r="P4012" s="2" t="s">
        <v>43</v>
      </c>
      <c r="Q4012" s="2" t="s">
        <v>50</v>
      </c>
      <c r="R4012" s="2" t="s">
        <v>51</v>
      </c>
      <c r="S4012" s="2">
        <v>1</v>
      </c>
      <c r="T4012" s="2">
        <v>21</v>
      </c>
      <c r="U4012" s="2">
        <v>4.83</v>
      </c>
      <c r="V4012" s="2">
        <v>25.83</v>
      </c>
      <c r="W4012" s="2">
        <f>14.4*S4012</f>
        <v>14.4</v>
      </c>
      <c r="X4012" s="5">
        <f t="shared" si="596"/>
        <v>0.31428571428571428</v>
      </c>
      <c r="Z4012" s="2" t="s">
        <v>3227</v>
      </c>
      <c r="AA4012" s="2" t="s">
        <v>46</v>
      </c>
      <c r="AB4012" s="2" t="s">
        <v>47</v>
      </c>
      <c r="AC4012" s="2" t="s">
        <v>57</v>
      </c>
      <c r="AF4012" s="2">
        <f t="shared" si="593"/>
        <v>0</v>
      </c>
      <c r="AG4012" s="2">
        <v>14.4</v>
      </c>
      <c r="AH4012" s="2">
        <v>21</v>
      </c>
      <c r="AJ4012" s="2">
        <f t="shared" si="594"/>
        <v>0</v>
      </c>
      <c r="AK4012" s="2">
        <f t="shared" si="597"/>
        <v>6.6</v>
      </c>
      <c r="AL4012" s="5">
        <f t="shared" si="598"/>
        <v>0.31428571428571428</v>
      </c>
    </row>
    <row r="4013" spans="1:38" x14ac:dyDescent="0.2">
      <c r="A4013" s="2">
        <v>2026</v>
      </c>
      <c r="B4013" s="2">
        <v>5</v>
      </c>
      <c r="D4013" s="2" t="s">
        <v>581</v>
      </c>
      <c r="E4013" s="2" t="s">
        <v>38</v>
      </c>
      <c r="F4013" s="2" t="s">
        <v>39</v>
      </c>
      <c r="G4013" s="2">
        <v>518281272</v>
      </c>
      <c r="H4013" s="2" t="s">
        <v>41</v>
      </c>
      <c r="I4013" s="2" t="s">
        <v>1101</v>
      </c>
      <c r="J4013" s="2" t="s">
        <v>1102</v>
      </c>
      <c r="L4013" s="2" t="s">
        <v>177</v>
      </c>
      <c r="M4013" s="2" t="s">
        <v>41</v>
      </c>
      <c r="P4013" s="2" t="s">
        <v>43</v>
      </c>
      <c r="Q4013" s="2" t="s">
        <v>61</v>
      </c>
      <c r="R4013" s="2" t="s">
        <v>62</v>
      </c>
      <c r="S4013" s="2">
        <v>1000</v>
      </c>
      <c r="T4013" s="2">
        <v>110</v>
      </c>
      <c r="U4013" s="2">
        <v>25.3</v>
      </c>
      <c r="V4013" s="2">
        <v>135.30000000000001</v>
      </c>
      <c r="W4013" s="2">
        <f>0.082*S4013</f>
        <v>82</v>
      </c>
      <c r="X4013" s="5">
        <f t="shared" si="596"/>
        <v>0.25454545454545452</v>
      </c>
      <c r="Z4013" s="2" t="s">
        <v>3227</v>
      </c>
      <c r="AA4013" s="2" t="s">
        <v>46</v>
      </c>
      <c r="AB4013" s="2" t="s">
        <v>60</v>
      </c>
      <c r="AC4013" s="2" t="s">
        <v>57</v>
      </c>
      <c r="AF4013" s="2">
        <f t="shared" si="593"/>
        <v>0</v>
      </c>
      <c r="AG4013" s="2">
        <v>8.1999999999999993</v>
      </c>
      <c r="AH4013" s="2">
        <v>13</v>
      </c>
      <c r="AJ4013" s="2">
        <f t="shared" si="594"/>
        <v>0</v>
      </c>
      <c r="AK4013" s="2">
        <f t="shared" si="597"/>
        <v>28</v>
      </c>
      <c r="AL4013" s="5">
        <f t="shared" si="598"/>
        <v>0.25454545454545452</v>
      </c>
    </row>
    <row r="4014" spans="1:38" x14ac:dyDescent="0.2">
      <c r="A4014" s="2">
        <v>2026</v>
      </c>
      <c r="B4014" s="2">
        <v>5</v>
      </c>
      <c r="D4014" s="2" t="s">
        <v>581</v>
      </c>
      <c r="P4014" s="2" t="s">
        <v>84</v>
      </c>
      <c r="Q4014" s="2" t="s">
        <v>620</v>
      </c>
      <c r="R4014" s="2" t="s">
        <v>621</v>
      </c>
      <c r="S4014" s="2">
        <v>1</v>
      </c>
      <c r="T4014" s="2">
        <v>10.15</v>
      </c>
      <c r="U4014" s="2">
        <v>2.3344999999999998</v>
      </c>
      <c r="V4014" s="2">
        <v>12.484500000000001</v>
      </c>
      <c r="X4014" s="5">
        <f t="shared" si="596"/>
        <v>1</v>
      </c>
      <c r="Z4014" s="2" t="s">
        <v>3227</v>
      </c>
      <c r="AA4014" s="2" t="s">
        <v>87</v>
      </c>
      <c r="AB4014" s="2" t="s">
        <v>60</v>
      </c>
      <c r="AC4014" s="2" t="s">
        <v>84</v>
      </c>
      <c r="AF4014" s="2">
        <f t="shared" si="593"/>
        <v>0</v>
      </c>
      <c r="AJ4014" s="2">
        <f t="shared" si="594"/>
        <v>0</v>
      </c>
      <c r="AK4014" s="2">
        <f t="shared" si="597"/>
        <v>10.15</v>
      </c>
      <c r="AL4014" s="5">
        <f t="shared" si="598"/>
        <v>1</v>
      </c>
    </row>
    <row r="4015" spans="1:38" x14ac:dyDescent="0.2">
      <c r="A4015" s="2">
        <v>2026</v>
      </c>
      <c r="B4015" s="2">
        <v>5</v>
      </c>
      <c r="D4015" s="2" t="s">
        <v>588</v>
      </c>
      <c r="E4015" s="2" t="s">
        <v>38</v>
      </c>
      <c r="F4015" s="2" t="s">
        <v>39</v>
      </c>
      <c r="G4015" s="2">
        <v>510339298</v>
      </c>
      <c r="H4015" s="2" t="s">
        <v>41</v>
      </c>
      <c r="I4015" s="2" t="s">
        <v>177</v>
      </c>
      <c r="J4015" s="2" t="s">
        <v>589</v>
      </c>
      <c r="L4015" s="2" t="s">
        <v>177</v>
      </c>
      <c r="M4015" s="2" t="s">
        <v>40</v>
      </c>
      <c r="P4015" s="2" t="s">
        <v>187</v>
      </c>
      <c r="Q4015" s="2" t="s">
        <v>188</v>
      </c>
      <c r="R4015" s="2" t="s">
        <v>189</v>
      </c>
      <c r="S4015" s="2">
        <v>1</v>
      </c>
      <c r="T4015" s="2">
        <v>76</v>
      </c>
      <c r="U4015" s="2">
        <v>17.48</v>
      </c>
      <c r="V4015" s="2">
        <v>93.48</v>
      </c>
      <c r="W4015" s="2">
        <f>T4015*40%</f>
        <v>30.400000000000002</v>
      </c>
      <c r="X4015" s="5">
        <f t="shared" si="596"/>
        <v>0.6</v>
      </c>
      <c r="Z4015" s="2" t="s">
        <v>117</v>
      </c>
      <c r="AA4015" s="2" t="s">
        <v>190</v>
      </c>
      <c r="AB4015" s="2" t="s">
        <v>189</v>
      </c>
      <c r="AC4015" s="2" t="s">
        <v>40</v>
      </c>
      <c r="AF4015" s="2">
        <f t="shared" si="593"/>
        <v>0</v>
      </c>
      <c r="AG4015" s="2">
        <f>W4015</f>
        <v>30.400000000000002</v>
      </c>
      <c r="AJ4015" s="2">
        <f t="shared" si="594"/>
        <v>0</v>
      </c>
      <c r="AK4015" s="2">
        <f t="shared" si="597"/>
        <v>45.599999999999994</v>
      </c>
      <c r="AL4015" s="5">
        <f t="shared" si="598"/>
        <v>0.6</v>
      </c>
    </row>
    <row r="4016" spans="1:38" x14ac:dyDescent="0.2">
      <c r="A4016" s="2">
        <v>2026</v>
      </c>
      <c r="B4016" s="2">
        <v>5</v>
      </c>
      <c r="D4016" s="2" t="s">
        <v>588</v>
      </c>
      <c r="E4016" s="2" t="s">
        <v>38</v>
      </c>
      <c r="F4016" s="2" t="s">
        <v>39</v>
      </c>
      <c r="G4016" s="2">
        <v>510339298</v>
      </c>
      <c r="H4016" s="2" t="s">
        <v>41</v>
      </c>
      <c r="I4016" s="2" t="s">
        <v>177</v>
      </c>
      <c r="J4016" s="2" t="s">
        <v>589</v>
      </c>
      <c r="L4016" s="2" t="s">
        <v>177</v>
      </c>
      <c r="M4016" s="2" t="s">
        <v>40</v>
      </c>
      <c r="P4016" s="2" t="s">
        <v>187</v>
      </c>
      <c r="Q4016" s="2" t="s">
        <v>191</v>
      </c>
      <c r="R4016" s="2" t="s">
        <v>190</v>
      </c>
      <c r="S4016" s="2">
        <v>1</v>
      </c>
      <c r="T4016" s="2">
        <v>55</v>
      </c>
      <c r="U4016" s="2">
        <v>12.65</v>
      </c>
      <c r="V4016" s="2">
        <v>67.650000000000006</v>
      </c>
      <c r="W4016" s="2">
        <f>T4016*50%</f>
        <v>27.5</v>
      </c>
      <c r="X4016" s="5">
        <f t="shared" si="596"/>
        <v>0.5</v>
      </c>
      <c r="Z4016" s="2" t="s">
        <v>117</v>
      </c>
      <c r="AA4016" s="2" t="s">
        <v>190</v>
      </c>
      <c r="AB4016" s="2" t="s">
        <v>190</v>
      </c>
      <c r="AC4016" s="2" t="s">
        <v>40</v>
      </c>
      <c r="AF4016" s="2">
        <f t="shared" si="593"/>
        <v>0</v>
      </c>
      <c r="AG4016" s="2">
        <f>W4016</f>
        <v>27.5</v>
      </c>
      <c r="AJ4016" s="2">
        <f t="shared" si="594"/>
        <v>0</v>
      </c>
      <c r="AK4016" s="2">
        <f t="shared" ref="AK4016:AK4047" si="599">T4016-W4016</f>
        <v>27.5</v>
      </c>
      <c r="AL4016" s="5">
        <f t="shared" si="598"/>
        <v>0.5</v>
      </c>
    </row>
    <row r="4017" spans="1:38" x14ac:dyDescent="0.2">
      <c r="A4017" s="2">
        <v>2026</v>
      </c>
      <c r="B4017" s="2">
        <v>5</v>
      </c>
      <c r="D4017" s="2" t="s">
        <v>588</v>
      </c>
      <c r="E4017" s="2" t="s">
        <v>38</v>
      </c>
      <c r="F4017" s="2" t="s">
        <v>39</v>
      </c>
      <c r="G4017" s="2">
        <v>510339298</v>
      </c>
      <c r="H4017" s="2" t="s">
        <v>41</v>
      </c>
      <c r="I4017" s="2" t="s">
        <v>177</v>
      </c>
      <c r="J4017" s="2" t="s">
        <v>589</v>
      </c>
      <c r="L4017" s="2" t="s">
        <v>177</v>
      </c>
      <c r="P4017" s="2" t="s">
        <v>40</v>
      </c>
      <c r="Q4017" s="2" t="s">
        <v>363</v>
      </c>
      <c r="R4017" s="2" t="s">
        <v>364</v>
      </c>
      <c r="S4017" s="2">
        <v>1</v>
      </c>
      <c r="T4017" s="2">
        <v>5.99</v>
      </c>
      <c r="U4017" s="2">
        <v>1.3776999999999999</v>
      </c>
      <c r="V4017" s="2">
        <v>7.3677000000000001</v>
      </c>
      <c r="X4017" s="5">
        <f t="shared" si="596"/>
        <v>1</v>
      </c>
      <c r="Z4017" s="2" t="s">
        <v>119</v>
      </c>
      <c r="AA4017" s="2" t="s">
        <v>3380</v>
      </c>
      <c r="AF4017" s="2">
        <f t="shared" si="593"/>
        <v>0</v>
      </c>
      <c r="AJ4017" s="2">
        <f t="shared" si="594"/>
        <v>0</v>
      </c>
      <c r="AK4017" s="2">
        <f t="shared" si="599"/>
        <v>5.99</v>
      </c>
      <c r="AL4017" s="5">
        <f t="shared" si="598"/>
        <v>1</v>
      </c>
    </row>
    <row r="4018" spans="1:38" x14ac:dyDescent="0.2">
      <c r="A4018" s="2">
        <v>2026</v>
      </c>
      <c r="B4018" s="2">
        <v>5</v>
      </c>
      <c r="D4018" s="2" t="s">
        <v>1740</v>
      </c>
      <c r="E4018" s="2" t="s">
        <v>98</v>
      </c>
      <c r="F4018" s="2" t="s">
        <v>39</v>
      </c>
      <c r="G4018" s="2">
        <v>502368519</v>
      </c>
      <c r="H4018" s="2" t="s">
        <v>41</v>
      </c>
      <c r="I4018" s="2" t="s">
        <v>1126</v>
      </c>
      <c r="J4018" s="2" t="s">
        <v>1741</v>
      </c>
      <c r="K4018" s="2">
        <v>968602188</v>
      </c>
      <c r="L4018" s="2" t="s">
        <v>461</v>
      </c>
      <c r="M4018" s="2" t="s">
        <v>40</v>
      </c>
      <c r="O4018" s="2" t="s">
        <v>3012</v>
      </c>
      <c r="P4018" s="2" t="s">
        <v>114</v>
      </c>
      <c r="Q4018" s="2" t="s">
        <v>1471</v>
      </c>
      <c r="R4018" s="2" t="s">
        <v>1472</v>
      </c>
      <c r="S4018" s="2">
        <v>1</v>
      </c>
      <c r="T4018" s="2">
        <v>699.3</v>
      </c>
      <c r="U4018" s="2">
        <v>160.839</v>
      </c>
      <c r="V4018" s="2">
        <v>860.1389999999999</v>
      </c>
      <c r="W4018" s="2">
        <v>343.38</v>
      </c>
      <c r="X4018" s="5">
        <f t="shared" si="596"/>
        <v>0.50896610896610894</v>
      </c>
      <c r="Z4018" s="2" t="s">
        <v>117</v>
      </c>
      <c r="AA4018" s="2" t="s">
        <v>181</v>
      </c>
      <c r="AB4018" s="2" t="s">
        <v>119</v>
      </c>
      <c r="AC4018" s="2" t="s">
        <v>114</v>
      </c>
      <c r="AF4018" s="2">
        <f t="shared" si="593"/>
        <v>0</v>
      </c>
      <c r="AG4018" s="2">
        <v>343.38</v>
      </c>
      <c r="AJ4018" s="2">
        <f t="shared" si="594"/>
        <v>0</v>
      </c>
      <c r="AK4018" s="2">
        <f t="shared" si="599"/>
        <v>355.91999999999996</v>
      </c>
      <c r="AL4018" s="5">
        <f t="shared" si="598"/>
        <v>0.50896610896610894</v>
      </c>
    </row>
    <row r="4019" spans="1:38" x14ac:dyDescent="0.2">
      <c r="A4019" s="2">
        <v>2026</v>
      </c>
      <c r="B4019" s="2">
        <v>5</v>
      </c>
      <c r="D4019" s="2" t="s">
        <v>1740</v>
      </c>
      <c r="E4019" s="2" t="s">
        <v>98</v>
      </c>
      <c r="F4019" s="2" t="s">
        <v>39</v>
      </c>
      <c r="G4019" s="2">
        <v>502368519</v>
      </c>
      <c r="H4019" s="2" t="s">
        <v>41</v>
      </c>
      <c r="I4019" s="2" t="s">
        <v>1126</v>
      </c>
      <c r="J4019" s="2" t="s">
        <v>1741</v>
      </c>
      <c r="K4019" s="2">
        <v>968602188</v>
      </c>
      <c r="L4019" s="2" t="s">
        <v>461</v>
      </c>
      <c r="M4019" s="2" t="s">
        <v>40</v>
      </c>
      <c r="O4019" s="2" t="s">
        <v>3012</v>
      </c>
      <c r="P4019" s="2" t="s">
        <v>187</v>
      </c>
      <c r="Q4019" s="2" t="s">
        <v>188</v>
      </c>
      <c r="R4019" s="2" t="s">
        <v>189</v>
      </c>
      <c r="S4019" s="2">
        <v>1</v>
      </c>
      <c r="T4019" s="2">
        <v>225</v>
      </c>
      <c r="U4019" s="2">
        <v>51.75</v>
      </c>
      <c r="V4019" s="2">
        <v>276.75</v>
      </c>
      <c r="W4019" s="2">
        <f>T4019*40%</f>
        <v>90</v>
      </c>
      <c r="X4019" s="5">
        <f t="shared" si="596"/>
        <v>0.6</v>
      </c>
      <c r="Z4019" s="2" t="s">
        <v>117</v>
      </c>
      <c r="AA4019" s="2" t="s">
        <v>190</v>
      </c>
      <c r="AB4019" s="2" t="s">
        <v>189</v>
      </c>
      <c r="AC4019" s="2" t="s">
        <v>40</v>
      </c>
      <c r="AF4019" s="2">
        <f t="shared" si="593"/>
        <v>0</v>
      </c>
      <c r="AG4019" s="2">
        <f>W4019</f>
        <v>90</v>
      </c>
      <c r="AJ4019" s="2">
        <f t="shared" si="594"/>
        <v>0</v>
      </c>
      <c r="AK4019" s="2">
        <f t="shared" si="599"/>
        <v>135</v>
      </c>
      <c r="AL4019" s="5">
        <f t="shared" si="598"/>
        <v>0.6</v>
      </c>
    </row>
    <row r="4020" spans="1:38" x14ac:dyDescent="0.2">
      <c r="A4020" s="2">
        <v>2026</v>
      </c>
      <c r="B4020" s="2">
        <v>5</v>
      </c>
      <c r="D4020" s="2" t="s">
        <v>1740</v>
      </c>
      <c r="E4020" s="2" t="s">
        <v>98</v>
      </c>
      <c r="F4020" s="2" t="s">
        <v>39</v>
      </c>
      <c r="G4020" s="2">
        <v>502368519</v>
      </c>
      <c r="H4020" s="2" t="s">
        <v>41</v>
      </c>
      <c r="I4020" s="2" t="s">
        <v>1126</v>
      </c>
      <c r="J4020" s="2" t="s">
        <v>1741</v>
      </c>
      <c r="K4020" s="2">
        <v>968602188</v>
      </c>
      <c r="L4020" s="2" t="s">
        <v>461</v>
      </c>
      <c r="M4020" s="2" t="s">
        <v>40</v>
      </c>
      <c r="O4020" s="2" t="s">
        <v>3012</v>
      </c>
      <c r="P4020" s="2" t="s">
        <v>187</v>
      </c>
      <c r="Q4020" s="2" t="s">
        <v>191</v>
      </c>
      <c r="R4020" s="2" t="s">
        <v>190</v>
      </c>
      <c r="S4020" s="2">
        <v>1</v>
      </c>
      <c r="T4020" s="2">
        <v>0</v>
      </c>
      <c r="U4020" s="2">
        <v>0</v>
      </c>
      <c r="V4020" s="2">
        <v>0</v>
      </c>
      <c r="W4020" s="2">
        <f>T4020*50%</f>
        <v>0</v>
      </c>
      <c r="X4020" s="5">
        <v>0</v>
      </c>
      <c r="Z4020" s="2" t="s">
        <v>117</v>
      </c>
      <c r="AA4020" s="2" t="s">
        <v>190</v>
      </c>
      <c r="AB4020" s="2" t="s">
        <v>190</v>
      </c>
      <c r="AC4020" s="2" t="s">
        <v>40</v>
      </c>
      <c r="AF4020" s="2">
        <f t="shared" si="593"/>
        <v>0</v>
      </c>
      <c r="AG4020" s="2">
        <f>W4020</f>
        <v>0</v>
      </c>
      <c r="AJ4020" s="2">
        <f t="shared" si="594"/>
        <v>0</v>
      </c>
      <c r="AK4020" s="2">
        <f t="shared" si="599"/>
        <v>0</v>
      </c>
      <c r="AL4020" s="5">
        <v>0</v>
      </c>
    </row>
    <row r="4021" spans="1:38" x14ac:dyDescent="0.2">
      <c r="A4021" s="2">
        <v>2026</v>
      </c>
      <c r="B4021" s="2">
        <v>5</v>
      </c>
      <c r="D4021" s="2" t="s">
        <v>1295</v>
      </c>
      <c r="E4021" s="2" t="s">
        <v>183</v>
      </c>
      <c r="F4021" s="2" t="s">
        <v>366</v>
      </c>
      <c r="G4021" s="2">
        <v>500625654</v>
      </c>
      <c r="H4021" s="2" t="s">
        <v>290</v>
      </c>
      <c r="I4021" s="2" t="s">
        <v>339</v>
      </c>
      <c r="J4021" s="2" t="s">
        <v>1296</v>
      </c>
      <c r="L4021" s="2" t="s">
        <v>339</v>
      </c>
      <c r="M4021" s="2" t="s">
        <v>80</v>
      </c>
      <c r="O4021" s="2" t="s">
        <v>3013</v>
      </c>
      <c r="P4021" s="2" t="s">
        <v>72</v>
      </c>
      <c r="Q4021" s="2" t="s">
        <v>78</v>
      </c>
      <c r="R4021" s="2" t="s">
        <v>79</v>
      </c>
      <c r="S4021" s="2">
        <v>1</v>
      </c>
      <c r="T4021" s="2">
        <v>210</v>
      </c>
      <c r="U4021" s="2">
        <v>48.3</v>
      </c>
      <c r="V4021" s="2">
        <v>258.3</v>
      </c>
      <c r="W4021" s="2">
        <v>111.98</v>
      </c>
      <c r="X4021" s="5">
        <f t="shared" ref="X4021:X4052" si="600">(T4021-W4021)/T4021</f>
        <v>0.46676190476190477</v>
      </c>
      <c r="Z4021" s="2" t="s">
        <v>3227</v>
      </c>
      <c r="AA4021" s="2" t="s">
        <v>75</v>
      </c>
      <c r="AB4021" s="2" t="s">
        <v>76</v>
      </c>
      <c r="AC4021" s="2" t="s">
        <v>77</v>
      </c>
      <c r="AF4021" s="2">
        <f t="shared" si="593"/>
        <v>0</v>
      </c>
      <c r="AG4021" s="2">
        <v>111.98</v>
      </c>
      <c r="AH4021" s="2">
        <v>210</v>
      </c>
      <c r="AJ4021" s="2">
        <f t="shared" si="594"/>
        <v>0</v>
      </c>
      <c r="AK4021" s="2">
        <f t="shared" si="599"/>
        <v>98.02</v>
      </c>
      <c r="AL4021" s="5">
        <f t="shared" ref="AL4021:AL4047" si="601">(T4021-W4021)/T4021</f>
        <v>0.46676190476190477</v>
      </c>
    </row>
    <row r="4022" spans="1:38" x14ac:dyDescent="0.2">
      <c r="A4022" s="2">
        <v>2026</v>
      </c>
      <c r="B4022" s="2">
        <v>5</v>
      </c>
      <c r="D4022" s="2" t="s">
        <v>1295</v>
      </c>
      <c r="E4022" s="2" t="s">
        <v>183</v>
      </c>
      <c r="F4022" s="2" t="s">
        <v>366</v>
      </c>
      <c r="G4022" s="2">
        <v>500625654</v>
      </c>
      <c r="H4022" s="2" t="s">
        <v>290</v>
      </c>
      <c r="I4022" s="2" t="s">
        <v>339</v>
      </c>
      <c r="J4022" s="2" t="s">
        <v>1296</v>
      </c>
      <c r="L4022" s="2" t="s">
        <v>339</v>
      </c>
      <c r="M4022" s="2" t="s">
        <v>80</v>
      </c>
      <c r="O4022" s="2" t="s">
        <v>3013</v>
      </c>
      <c r="P4022" s="2" t="s">
        <v>93</v>
      </c>
      <c r="Q4022" s="2" t="s">
        <v>94</v>
      </c>
      <c r="R4022" s="2" t="s">
        <v>95</v>
      </c>
      <c r="S4022" s="2">
        <v>1</v>
      </c>
      <c r="T4022" s="2">
        <v>1.48</v>
      </c>
      <c r="U4022" s="2">
        <v>0.34039999999999998</v>
      </c>
      <c r="V4022" s="2">
        <v>1.8204</v>
      </c>
      <c r="W4022" s="2">
        <v>1.48</v>
      </c>
      <c r="X4022" s="5">
        <f t="shared" si="600"/>
        <v>0</v>
      </c>
      <c r="Z4022" s="2" t="s">
        <v>3227</v>
      </c>
      <c r="AA4022" s="2" t="s">
        <v>96</v>
      </c>
      <c r="AB4022" s="2" t="s">
        <v>76</v>
      </c>
      <c r="AC4022" s="2" t="s">
        <v>93</v>
      </c>
      <c r="AF4022" s="2">
        <f t="shared" si="593"/>
        <v>0</v>
      </c>
      <c r="AG4022" s="2">
        <v>1.48</v>
      </c>
      <c r="AH4022" s="2">
        <v>1.48</v>
      </c>
      <c r="AJ4022" s="2">
        <f t="shared" si="594"/>
        <v>0</v>
      </c>
      <c r="AK4022" s="2">
        <f t="shared" si="599"/>
        <v>0</v>
      </c>
      <c r="AL4022" s="5">
        <f t="shared" si="601"/>
        <v>0</v>
      </c>
    </row>
    <row r="4023" spans="1:38" x14ac:dyDescent="0.2">
      <c r="A4023" s="2">
        <v>2026</v>
      </c>
      <c r="B4023" s="2">
        <v>5</v>
      </c>
      <c r="D4023" s="2" t="s">
        <v>617</v>
      </c>
      <c r="E4023" s="2" t="s">
        <v>38</v>
      </c>
      <c r="F4023" s="2" t="s">
        <v>39</v>
      </c>
      <c r="G4023" s="2">
        <v>513759654</v>
      </c>
      <c r="H4023" s="2" t="s">
        <v>41</v>
      </c>
      <c r="I4023" s="2" t="s">
        <v>618</v>
      </c>
      <c r="J4023" s="2" t="s">
        <v>619</v>
      </c>
      <c r="L4023" s="2" t="s">
        <v>418</v>
      </c>
      <c r="M4023" s="2" t="s">
        <v>41</v>
      </c>
      <c r="P4023" s="2" t="s">
        <v>43</v>
      </c>
      <c r="Q4023" s="2" t="s">
        <v>1363</v>
      </c>
      <c r="R4023" s="2" t="s">
        <v>1364</v>
      </c>
      <c r="S4023" s="2">
        <v>2</v>
      </c>
      <c r="T4023" s="2">
        <v>68.400000000000006</v>
      </c>
      <c r="U4023" s="2">
        <v>15.731999999999999</v>
      </c>
      <c r="V4023" s="2">
        <v>84.132000000000005</v>
      </c>
      <c r="W4023" s="2">
        <f>9.75*S4023</f>
        <v>19.5</v>
      </c>
      <c r="X4023" s="5">
        <f t="shared" si="600"/>
        <v>0.71491228070175439</v>
      </c>
      <c r="Z4023" s="2" t="s">
        <v>3227</v>
      </c>
      <c r="AA4023" s="2" t="s">
        <v>46</v>
      </c>
      <c r="AB4023" s="2" t="s">
        <v>47</v>
      </c>
      <c r="AC4023" s="2" t="s">
        <v>57</v>
      </c>
      <c r="AF4023" s="2">
        <f t="shared" si="593"/>
        <v>0</v>
      </c>
      <c r="AJ4023" s="2">
        <f t="shared" si="594"/>
        <v>0</v>
      </c>
      <c r="AK4023" s="2">
        <f t="shared" si="599"/>
        <v>48.900000000000006</v>
      </c>
      <c r="AL4023" s="5">
        <f t="shared" si="601"/>
        <v>0.71491228070175439</v>
      </c>
    </row>
    <row r="4024" spans="1:38" x14ac:dyDescent="0.2">
      <c r="A4024" s="2">
        <v>2026</v>
      </c>
      <c r="B4024" s="2">
        <v>5</v>
      </c>
      <c r="D4024" s="2" t="s">
        <v>617</v>
      </c>
      <c r="E4024" s="2" t="s">
        <v>38</v>
      </c>
      <c r="F4024" s="2" t="s">
        <v>39</v>
      </c>
      <c r="G4024" s="2">
        <v>513759654</v>
      </c>
      <c r="H4024" s="2" t="s">
        <v>41</v>
      </c>
      <c r="I4024" s="2" t="s">
        <v>618</v>
      </c>
      <c r="J4024" s="2" t="s">
        <v>619</v>
      </c>
      <c r="L4024" s="2" t="s">
        <v>418</v>
      </c>
      <c r="M4024" s="2" t="s">
        <v>41</v>
      </c>
      <c r="P4024" s="2" t="s">
        <v>43</v>
      </c>
      <c r="Q4024" s="2" t="s">
        <v>160</v>
      </c>
      <c r="R4024" s="2" t="s">
        <v>161</v>
      </c>
      <c r="S4024" s="2">
        <v>2</v>
      </c>
      <c r="T4024" s="2">
        <v>18</v>
      </c>
      <c r="U4024" s="2">
        <v>4.1400000000000006</v>
      </c>
      <c r="V4024" s="2">
        <v>22.14</v>
      </c>
      <c r="W4024" s="2">
        <f>3.7358*S4024</f>
        <v>7.4715999999999996</v>
      </c>
      <c r="X4024" s="5">
        <f t="shared" si="600"/>
        <v>0.58491111111111116</v>
      </c>
      <c r="Z4024" s="2" t="s">
        <v>3227</v>
      </c>
      <c r="AA4024" s="2" t="s">
        <v>46</v>
      </c>
      <c r="AB4024" s="2" t="s">
        <v>47</v>
      </c>
      <c r="AC4024" s="2" t="s">
        <v>57</v>
      </c>
      <c r="AF4024" s="2">
        <f t="shared" si="593"/>
        <v>0</v>
      </c>
      <c r="AG4024" s="2">
        <v>3.7357999999999998</v>
      </c>
      <c r="AH4024" s="2">
        <v>9</v>
      </c>
      <c r="AJ4024" s="2">
        <f t="shared" si="594"/>
        <v>0</v>
      </c>
      <c r="AK4024" s="2">
        <f t="shared" si="599"/>
        <v>10.528400000000001</v>
      </c>
      <c r="AL4024" s="5">
        <f t="shared" si="601"/>
        <v>0.58491111111111116</v>
      </c>
    </row>
    <row r="4025" spans="1:38" x14ac:dyDescent="0.2">
      <c r="A4025" s="2">
        <v>2026</v>
      </c>
      <c r="B4025" s="2">
        <v>5</v>
      </c>
      <c r="D4025" s="2" t="s">
        <v>617</v>
      </c>
      <c r="E4025" s="2" t="s">
        <v>38</v>
      </c>
      <c r="F4025" s="2" t="s">
        <v>39</v>
      </c>
      <c r="G4025" s="2">
        <v>513759654</v>
      </c>
      <c r="H4025" s="2" t="s">
        <v>41</v>
      </c>
      <c r="I4025" s="2" t="s">
        <v>618</v>
      </c>
      <c r="J4025" s="2" t="s">
        <v>619</v>
      </c>
      <c r="L4025" s="2" t="s">
        <v>418</v>
      </c>
      <c r="M4025" s="2" t="s">
        <v>41</v>
      </c>
      <c r="P4025" s="2" t="s">
        <v>43</v>
      </c>
      <c r="Q4025" s="2" t="s">
        <v>54</v>
      </c>
      <c r="R4025" s="2" t="s">
        <v>55</v>
      </c>
      <c r="S4025" s="2">
        <v>10</v>
      </c>
      <c r="T4025" s="2">
        <v>145</v>
      </c>
      <c r="U4025" s="2">
        <v>33.35</v>
      </c>
      <c r="V4025" s="2">
        <v>178.35</v>
      </c>
      <c r="W4025" s="2">
        <f>10.6*S4025</f>
        <v>106</v>
      </c>
      <c r="X4025" s="5">
        <f t="shared" si="600"/>
        <v>0.26896551724137929</v>
      </c>
      <c r="Z4025" s="2" t="s">
        <v>3227</v>
      </c>
      <c r="AA4025" s="2" t="s">
        <v>46</v>
      </c>
      <c r="AB4025" s="2" t="s">
        <v>56</v>
      </c>
      <c r="AC4025" s="2" t="s">
        <v>57</v>
      </c>
      <c r="AF4025" s="2">
        <f t="shared" si="593"/>
        <v>0</v>
      </c>
      <c r="AG4025" s="2">
        <v>10.6</v>
      </c>
      <c r="AH4025" s="2">
        <v>18</v>
      </c>
      <c r="AJ4025" s="2">
        <f t="shared" si="594"/>
        <v>0</v>
      </c>
      <c r="AK4025" s="2">
        <f t="shared" si="599"/>
        <v>39</v>
      </c>
      <c r="AL4025" s="5">
        <f t="shared" si="601"/>
        <v>0.26896551724137929</v>
      </c>
    </row>
    <row r="4026" spans="1:38" x14ac:dyDescent="0.2">
      <c r="A4026" s="2">
        <v>2026</v>
      </c>
      <c r="B4026" s="2">
        <v>5</v>
      </c>
      <c r="D4026" s="2" t="s">
        <v>617</v>
      </c>
      <c r="E4026" s="2" t="s">
        <v>38</v>
      </c>
      <c r="F4026" s="2" t="s">
        <v>39</v>
      </c>
      <c r="G4026" s="2">
        <v>513759654</v>
      </c>
      <c r="H4026" s="2" t="s">
        <v>41</v>
      </c>
      <c r="I4026" s="2" t="s">
        <v>618</v>
      </c>
      <c r="J4026" s="2" t="s">
        <v>619</v>
      </c>
      <c r="L4026" s="2" t="s">
        <v>418</v>
      </c>
      <c r="M4026" s="2" t="s">
        <v>41</v>
      </c>
      <c r="O4026" s="2" t="s">
        <v>3014</v>
      </c>
      <c r="P4026" s="2" t="s">
        <v>43</v>
      </c>
      <c r="Q4026" s="2" t="s">
        <v>58</v>
      </c>
      <c r="R4026" s="2" t="s">
        <v>59</v>
      </c>
      <c r="S4026" s="2">
        <v>300</v>
      </c>
      <c r="T4026" s="2">
        <v>39</v>
      </c>
      <c r="U4026" s="2">
        <v>8.9700000000000006</v>
      </c>
      <c r="V4026" s="2">
        <v>47.97</v>
      </c>
      <c r="W4026" s="2">
        <f>0.0914*S4026</f>
        <v>27.419999999999998</v>
      </c>
      <c r="X4026" s="5">
        <f t="shared" si="600"/>
        <v>0.29692307692307696</v>
      </c>
      <c r="Z4026" s="2" t="s">
        <v>3227</v>
      </c>
      <c r="AA4026" s="2" t="s">
        <v>46</v>
      </c>
      <c r="AB4026" s="2" t="s">
        <v>60</v>
      </c>
      <c r="AC4026" s="2" t="s">
        <v>57</v>
      </c>
      <c r="AF4026" s="2">
        <f t="shared" si="593"/>
        <v>0</v>
      </c>
      <c r="AG4026" s="2">
        <v>9.14</v>
      </c>
      <c r="AH4026" s="2">
        <v>16</v>
      </c>
      <c r="AJ4026" s="2">
        <f t="shared" si="594"/>
        <v>0</v>
      </c>
      <c r="AK4026" s="2">
        <f t="shared" si="599"/>
        <v>11.580000000000002</v>
      </c>
      <c r="AL4026" s="5">
        <f t="shared" si="601"/>
        <v>0.29692307692307696</v>
      </c>
    </row>
    <row r="4027" spans="1:38" x14ac:dyDescent="0.2">
      <c r="A4027" s="2">
        <v>2026</v>
      </c>
      <c r="B4027" s="2">
        <v>5</v>
      </c>
      <c r="D4027" s="2" t="s">
        <v>617</v>
      </c>
      <c r="E4027" s="2" t="s">
        <v>38</v>
      </c>
      <c r="F4027" s="2" t="s">
        <v>39</v>
      </c>
      <c r="G4027" s="2">
        <v>513759654</v>
      </c>
      <c r="H4027" s="2" t="s">
        <v>41</v>
      </c>
      <c r="I4027" s="2" t="s">
        <v>618</v>
      </c>
      <c r="J4027" s="2" t="s">
        <v>619</v>
      </c>
      <c r="L4027" s="2" t="s">
        <v>418</v>
      </c>
      <c r="M4027" s="2" t="s">
        <v>41</v>
      </c>
      <c r="P4027" s="2" t="s">
        <v>43</v>
      </c>
      <c r="Q4027" s="2" t="s">
        <v>61</v>
      </c>
      <c r="R4027" s="2" t="s">
        <v>62</v>
      </c>
      <c r="S4027" s="2">
        <v>300</v>
      </c>
      <c r="T4027" s="2">
        <v>39</v>
      </c>
      <c r="U4027" s="2">
        <v>8.9700000000000006</v>
      </c>
      <c r="V4027" s="2">
        <v>47.97</v>
      </c>
      <c r="W4027" s="2">
        <f>0.082*S4027</f>
        <v>24.6</v>
      </c>
      <c r="X4027" s="5">
        <f t="shared" si="600"/>
        <v>0.3692307692307692</v>
      </c>
      <c r="Z4027" s="2" t="s">
        <v>3227</v>
      </c>
      <c r="AA4027" s="2" t="s">
        <v>46</v>
      </c>
      <c r="AB4027" s="2" t="s">
        <v>60</v>
      </c>
      <c r="AC4027" s="2" t="s">
        <v>57</v>
      </c>
      <c r="AF4027" s="2">
        <f t="shared" si="593"/>
        <v>0</v>
      </c>
      <c r="AG4027" s="2">
        <v>8.1999999999999993</v>
      </c>
      <c r="AH4027" s="2">
        <v>13</v>
      </c>
      <c r="AJ4027" s="2">
        <f t="shared" si="594"/>
        <v>0</v>
      </c>
      <c r="AK4027" s="2">
        <f t="shared" si="599"/>
        <v>14.399999999999999</v>
      </c>
      <c r="AL4027" s="5">
        <f t="shared" si="601"/>
        <v>0.3692307692307692</v>
      </c>
    </row>
    <row r="4028" spans="1:38" x14ac:dyDescent="0.2">
      <c r="A4028" s="2">
        <v>2026</v>
      </c>
      <c r="B4028" s="2">
        <v>5</v>
      </c>
      <c r="D4028" s="2" t="s">
        <v>617</v>
      </c>
      <c r="E4028" s="2" t="s">
        <v>38</v>
      </c>
      <c r="F4028" s="2" t="s">
        <v>39</v>
      </c>
      <c r="G4028" s="2">
        <v>513759654</v>
      </c>
      <c r="H4028" s="2" t="s">
        <v>41</v>
      </c>
      <c r="I4028" s="2" t="s">
        <v>618</v>
      </c>
      <c r="J4028" s="2" t="s">
        <v>619</v>
      </c>
      <c r="L4028" s="2" t="s">
        <v>418</v>
      </c>
      <c r="M4028" s="2" t="s">
        <v>41</v>
      </c>
      <c r="O4028" s="2" t="s">
        <v>3015</v>
      </c>
      <c r="P4028" s="2" t="s">
        <v>43</v>
      </c>
      <c r="Q4028" s="2" t="s">
        <v>3016</v>
      </c>
      <c r="R4028" s="2" t="s">
        <v>3017</v>
      </c>
      <c r="S4028" s="2">
        <v>12</v>
      </c>
      <c r="T4028" s="2">
        <v>28.8</v>
      </c>
      <c r="U4028" s="2">
        <v>6.6240000000000014</v>
      </c>
      <c r="V4028" s="2">
        <v>35.423999999999999</v>
      </c>
      <c r="W4028" s="2">
        <f>0.903*S4028</f>
        <v>10.836</v>
      </c>
      <c r="X4028" s="5">
        <f t="shared" si="600"/>
        <v>0.62374999999999992</v>
      </c>
      <c r="Z4028" s="2" t="s">
        <v>3227</v>
      </c>
      <c r="AA4028" s="2" t="s">
        <v>46</v>
      </c>
      <c r="AB4028" s="2" t="s">
        <v>60</v>
      </c>
      <c r="AC4028" s="2" t="s">
        <v>57</v>
      </c>
      <c r="AF4028" s="2">
        <f t="shared" si="593"/>
        <v>0</v>
      </c>
      <c r="AG4028" s="2">
        <v>0.90300000000000002</v>
      </c>
      <c r="AH4028" s="2">
        <v>2.4</v>
      </c>
      <c r="AJ4028" s="2">
        <f t="shared" si="594"/>
        <v>0</v>
      </c>
      <c r="AK4028" s="2">
        <f t="shared" si="599"/>
        <v>17.963999999999999</v>
      </c>
      <c r="AL4028" s="5">
        <f t="shared" si="601"/>
        <v>0.62374999999999992</v>
      </c>
    </row>
    <row r="4029" spans="1:38" x14ac:dyDescent="0.2">
      <c r="A4029" s="2">
        <v>2026</v>
      </c>
      <c r="B4029" s="2">
        <v>5</v>
      </c>
      <c r="D4029" s="2" t="s">
        <v>617</v>
      </c>
      <c r="E4029" s="2" t="s">
        <v>38</v>
      </c>
      <c r="F4029" s="2" t="s">
        <v>39</v>
      </c>
      <c r="G4029" s="2">
        <v>513759654</v>
      </c>
      <c r="H4029" s="2" t="s">
        <v>41</v>
      </c>
      <c r="I4029" s="2" t="s">
        <v>618</v>
      </c>
      <c r="J4029" s="2" t="s">
        <v>619</v>
      </c>
      <c r="L4029" s="2" t="s">
        <v>418</v>
      </c>
      <c r="M4029" s="2" t="s">
        <v>41</v>
      </c>
      <c r="O4029" s="2" t="s">
        <v>3015</v>
      </c>
      <c r="P4029" s="2" t="s">
        <v>43</v>
      </c>
      <c r="Q4029" s="2" t="s">
        <v>3018</v>
      </c>
      <c r="R4029" s="2" t="s">
        <v>3019</v>
      </c>
      <c r="S4029" s="2">
        <v>12</v>
      </c>
      <c r="T4029" s="2">
        <v>28.8</v>
      </c>
      <c r="U4029" s="2">
        <v>6.6240000000000014</v>
      </c>
      <c r="V4029" s="2">
        <v>35.423999999999999</v>
      </c>
      <c r="W4029" s="2">
        <f>0.902*S4029</f>
        <v>10.824</v>
      </c>
      <c r="X4029" s="5">
        <f t="shared" si="600"/>
        <v>0.62416666666666665</v>
      </c>
      <c r="Z4029" s="2" t="s">
        <v>3227</v>
      </c>
      <c r="AA4029" s="2" t="s">
        <v>46</v>
      </c>
      <c r="AB4029" s="2" t="s">
        <v>60</v>
      </c>
      <c r="AC4029" s="2" t="s">
        <v>57</v>
      </c>
      <c r="AF4029" s="2">
        <f t="shared" si="593"/>
        <v>0</v>
      </c>
      <c r="AG4029" s="2">
        <v>0.90200000000000002</v>
      </c>
      <c r="AH4029" s="2">
        <v>2.8</v>
      </c>
      <c r="AJ4029" s="2">
        <f t="shared" si="594"/>
        <v>0</v>
      </c>
      <c r="AK4029" s="2">
        <f t="shared" si="599"/>
        <v>17.975999999999999</v>
      </c>
      <c r="AL4029" s="5">
        <f t="shared" si="601"/>
        <v>0.62416666666666665</v>
      </c>
    </row>
    <row r="4030" spans="1:38" x14ac:dyDescent="0.2">
      <c r="A4030" s="2">
        <v>2026</v>
      </c>
      <c r="B4030" s="2">
        <v>5</v>
      </c>
      <c r="C4030" s="2" t="s">
        <v>3450</v>
      </c>
      <c r="D4030" s="2" t="s">
        <v>624</v>
      </c>
      <c r="E4030" s="2" t="s">
        <v>38</v>
      </c>
      <c r="F4030" s="2" t="s">
        <v>39</v>
      </c>
      <c r="G4030" s="2" t="s">
        <v>625</v>
      </c>
      <c r="H4030" s="2" t="s">
        <v>40</v>
      </c>
      <c r="I4030" s="2" t="s">
        <v>626</v>
      </c>
      <c r="J4030" s="2" t="s">
        <v>627</v>
      </c>
      <c r="L4030" s="2" t="s">
        <v>626</v>
      </c>
      <c r="M4030" s="2" t="s">
        <v>40</v>
      </c>
      <c r="O4030" s="2" t="s">
        <v>3020</v>
      </c>
      <c r="P4030" s="2" t="s">
        <v>114</v>
      </c>
      <c r="Q4030" s="2" t="s">
        <v>3021</v>
      </c>
      <c r="R4030" s="2" t="s">
        <v>3022</v>
      </c>
      <c r="S4030" s="2">
        <v>2</v>
      </c>
      <c r="T4030" s="2">
        <v>351.42</v>
      </c>
      <c r="V4030" s="2">
        <f>T4030</f>
        <v>351.42</v>
      </c>
      <c r="W4030" s="2">
        <f>106.17*S4030</f>
        <v>212.34</v>
      </c>
      <c r="X4030" s="5">
        <f t="shared" si="600"/>
        <v>0.39576575038415573</v>
      </c>
      <c r="Z4030" s="2" t="s">
        <v>117</v>
      </c>
      <c r="AA4030" s="2" t="s">
        <v>578</v>
      </c>
      <c r="AB4030" s="2" t="s">
        <v>119</v>
      </c>
      <c r="AC4030" s="2" t="s">
        <v>114</v>
      </c>
      <c r="AF4030" s="2">
        <f t="shared" si="593"/>
        <v>0</v>
      </c>
      <c r="AG4030" s="2">
        <f>104.4+1.77</f>
        <v>106.17</v>
      </c>
      <c r="AJ4030" s="2">
        <f t="shared" si="594"/>
        <v>0</v>
      </c>
      <c r="AK4030" s="2">
        <f t="shared" si="599"/>
        <v>139.08000000000001</v>
      </c>
      <c r="AL4030" s="5">
        <f t="shared" si="601"/>
        <v>0.39576575038415573</v>
      </c>
    </row>
    <row r="4031" spans="1:38" x14ac:dyDescent="0.2">
      <c r="A4031" s="2">
        <v>2026</v>
      </c>
      <c r="B4031" s="2">
        <v>5</v>
      </c>
      <c r="C4031" s="2" t="s">
        <v>3372</v>
      </c>
      <c r="D4031" s="2" t="s">
        <v>624</v>
      </c>
      <c r="E4031" s="2" t="s">
        <v>38</v>
      </c>
      <c r="F4031" s="2" t="s">
        <v>39</v>
      </c>
      <c r="G4031" s="2" t="s">
        <v>625</v>
      </c>
      <c r="H4031" s="2" t="s">
        <v>40</v>
      </c>
      <c r="I4031" s="2" t="s">
        <v>626</v>
      </c>
      <c r="J4031" s="2" t="s">
        <v>627</v>
      </c>
      <c r="L4031" s="2" t="s">
        <v>626</v>
      </c>
      <c r="M4031" s="2" t="s">
        <v>40</v>
      </c>
      <c r="O4031" s="2" t="s">
        <v>3023</v>
      </c>
      <c r="P4031" s="2" t="s">
        <v>114</v>
      </c>
      <c r="Q4031" s="2" t="s">
        <v>904</v>
      </c>
      <c r="R4031" s="2" t="s">
        <v>905</v>
      </c>
      <c r="S4031" s="2">
        <v>1</v>
      </c>
      <c r="T4031" s="2">
        <v>465.7</v>
      </c>
      <c r="V4031" s="2">
        <f>T4031</f>
        <v>465.7</v>
      </c>
      <c r="W4031" s="2">
        <v>345.20339999999999</v>
      </c>
      <c r="X4031" s="5">
        <f t="shared" si="600"/>
        <v>0.25874296757569254</v>
      </c>
      <c r="Z4031" s="2" t="s">
        <v>117</v>
      </c>
      <c r="AA4031" s="2" t="s">
        <v>181</v>
      </c>
      <c r="AB4031" s="2" t="s">
        <v>119</v>
      </c>
      <c r="AC4031" s="2" t="s">
        <v>114</v>
      </c>
      <c r="AF4031" s="2">
        <f t="shared" si="593"/>
        <v>0</v>
      </c>
      <c r="AG4031" s="2">
        <v>342.22</v>
      </c>
      <c r="AJ4031" s="2">
        <f t="shared" si="594"/>
        <v>0</v>
      </c>
      <c r="AK4031" s="2">
        <f t="shared" si="599"/>
        <v>120.4966</v>
      </c>
      <c r="AL4031" s="5">
        <f t="shared" si="601"/>
        <v>0.25874296757569254</v>
      </c>
    </row>
    <row r="4032" spans="1:38" x14ac:dyDescent="0.2">
      <c r="A4032" s="2">
        <v>2026</v>
      </c>
      <c r="B4032" s="2">
        <v>5</v>
      </c>
      <c r="D4032" s="2" t="s">
        <v>3024</v>
      </c>
      <c r="M4032" s="2" t="s">
        <v>80</v>
      </c>
      <c r="P4032" s="2" t="s">
        <v>72</v>
      </c>
      <c r="Q4032" s="2" t="s">
        <v>73</v>
      </c>
      <c r="R4032" s="2" t="s">
        <v>74</v>
      </c>
      <c r="S4032" s="2">
        <v>1</v>
      </c>
      <c r="T4032" s="2">
        <v>220</v>
      </c>
      <c r="U4032" s="2">
        <v>50.6</v>
      </c>
      <c r="V4032" s="2">
        <v>270.60000000000002</v>
      </c>
      <c r="W4032" s="2">
        <v>125.51600000000001</v>
      </c>
      <c r="X4032" s="5">
        <f t="shared" si="600"/>
        <v>0.42947272727272723</v>
      </c>
      <c r="Z4032" s="2" t="s">
        <v>3227</v>
      </c>
      <c r="AA4032" s="2" t="s">
        <v>75</v>
      </c>
      <c r="AB4032" s="2" t="s">
        <v>76</v>
      </c>
      <c r="AC4032" s="2" t="s">
        <v>77</v>
      </c>
      <c r="AF4032" s="2">
        <f t="shared" si="593"/>
        <v>0</v>
      </c>
      <c r="AG4032" s="2">
        <v>125.51600000000001</v>
      </c>
      <c r="AH4032" s="2">
        <v>220</v>
      </c>
      <c r="AJ4032" s="2">
        <f t="shared" si="594"/>
        <v>0</v>
      </c>
      <c r="AK4032" s="2">
        <f t="shared" si="599"/>
        <v>94.483999999999995</v>
      </c>
      <c r="AL4032" s="5">
        <f t="shared" si="601"/>
        <v>0.42947272727272723</v>
      </c>
    </row>
    <row r="4033" spans="1:38" x14ac:dyDescent="0.2">
      <c r="A4033" s="2">
        <v>2026</v>
      </c>
      <c r="B4033" s="2">
        <v>5</v>
      </c>
      <c r="D4033" s="2" t="s">
        <v>3024</v>
      </c>
      <c r="P4033" s="2" t="s">
        <v>93</v>
      </c>
      <c r="Q4033" s="2" t="s">
        <v>94</v>
      </c>
      <c r="R4033" s="2" t="s">
        <v>95</v>
      </c>
      <c r="S4033" s="2">
        <v>1</v>
      </c>
      <c r="T4033" s="2">
        <v>1.48</v>
      </c>
      <c r="U4033" s="2">
        <v>0.34039999999999998</v>
      </c>
      <c r="V4033" s="2">
        <v>1.8204</v>
      </c>
      <c r="W4033" s="2">
        <v>1.48</v>
      </c>
      <c r="X4033" s="5">
        <f t="shared" si="600"/>
        <v>0</v>
      </c>
      <c r="Z4033" s="2" t="s">
        <v>3227</v>
      </c>
      <c r="AA4033" s="2" t="s">
        <v>96</v>
      </c>
      <c r="AB4033" s="2" t="s">
        <v>76</v>
      </c>
      <c r="AC4033" s="2" t="s">
        <v>93</v>
      </c>
      <c r="AF4033" s="2">
        <f t="shared" si="593"/>
        <v>0</v>
      </c>
      <c r="AJ4033" s="2">
        <f t="shared" si="594"/>
        <v>0</v>
      </c>
      <c r="AK4033" s="2">
        <f t="shared" si="599"/>
        <v>0</v>
      </c>
      <c r="AL4033" s="5">
        <f t="shared" si="601"/>
        <v>0</v>
      </c>
    </row>
    <row r="4034" spans="1:38" x14ac:dyDescent="0.2">
      <c r="A4034" s="2">
        <v>2026</v>
      </c>
      <c r="B4034" s="2">
        <v>5</v>
      </c>
      <c r="D4034" s="2" t="s">
        <v>3025</v>
      </c>
      <c r="M4034" s="2" t="s">
        <v>40</v>
      </c>
      <c r="O4034" s="2" t="s">
        <v>3026</v>
      </c>
      <c r="P4034" s="2" t="s">
        <v>114</v>
      </c>
      <c r="Q4034" s="2" t="s">
        <v>179</v>
      </c>
      <c r="R4034" s="2" t="s">
        <v>180</v>
      </c>
      <c r="S4034" s="2">
        <v>1</v>
      </c>
      <c r="T4034" s="2">
        <v>699.3</v>
      </c>
      <c r="U4034" s="2">
        <v>160.839</v>
      </c>
      <c r="V4034" s="2">
        <v>860.1389999999999</v>
      </c>
      <c r="W4034" s="2">
        <v>346.57</v>
      </c>
      <c r="X4034" s="5">
        <f t="shared" si="600"/>
        <v>0.50440440440440437</v>
      </c>
      <c r="Z4034" s="2" t="s">
        <v>117</v>
      </c>
      <c r="AA4034" s="2" t="s">
        <v>181</v>
      </c>
      <c r="AB4034" s="2" t="s">
        <v>119</v>
      </c>
      <c r="AC4034" s="2" t="s">
        <v>114</v>
      </c>
      <c r="AF4034" s="2">
        <f t="shared" ref="AF4034:AF4042" si="602">AJ4034</f>
        <v>0</v>
      </c>
      <c r="AJ4034" s="2">
        <f t="shared" ref="AJ4034:AJ4047" si="603">AI4034*T4034</f>
        <v>0</v>
      </c>
      <c r="AK4034" s="2">
        <f t="shared" si="599"/>
        <v>352.72999999999996</v>
      </c>
      <c r="AL4034" s="5">
        <f t="shared" si="601"/>
        <v>0.50440440440440437</v>
      </c>
    </row>
    <row r="4035" spans="1:38" x14ac:dyDescent="0.2">
      <c r="A4035" s="2">
        <v>2026</v>
      </c>
      <c r="B4035" s="2">
        <v>5</v>
      </c>
      <c r="D4035" s="2" t="s">
        <v>3025</v>
      </c>
      <c r="M4035" s="2" t="s">
        <v>40</v>
      </c>
      <c r="P4035" s="2" t="s">
        <v>187</v>
      </c>
      <c r="Q4035" s="2" t="s">
        <v>188</v>
      </c>
      <c r="R4035" s="2" t="s">
        <v>189</v>
      </c>
      <c r="S4035" s="2">
        <v>1</v>
      </c>
      <c r="T4035" s="2">
        <v>175</v>
      </c>
      <c r="U4035" s="2">
        <v>40.25</v>
      </c>
      <c r="V4035" s="2">
        <v>215.25</v>
      </c>
      <c r="W4035" s="2">
        <f>T4035*40%</f>
        <v>70</v>
      </c>
      <c r="X4035" s="5">
        <f t="shared" si="600"/>
        <v>0.6</v>
      </c>
      <c r="Z4035" s="2" t="s">
        <v>117</v>
      </c>
      <c r="AA4035" s="2" t="s">
        <v>190</v>
      </c>
      <c r="AB4035" s="2" t="s">
        <v>189</v>
      </c>
      <c r="AC4035" s="2" t="s">
        <v>40</v>
      </c>
      <c r="AF4035" s="2">
        <f t="shared" si="602"/>
        <v>0</v>
      </c>
      <c r="AG4035" s="2">
        <f>W4035</f>
        <v>70</v>
      </c>
      <c r="AJ4035" s="2">
        <f t="shared" si="603"/>
        <v>0</v>
      </c>
      <c r="AK4035" s="2">
        <f t="shared" si="599"/>
        <v>105</v>
      </c>
      <c r="AL4035" s="5">
        <f t="shared" si="601"/>
        <v>0.6</v>
      </c>
    </row>
    <row r="4036" spans="1:38" x14ac:dyDescent="0.2">
      <c r="A4036" s="2">
        <v>2026</v>
      </c>
      <c r="B4036" s="2">
        <v>5</v>
      </c>
      <c r="D4036" s="2" t="s">
        <v>3025</v>
      </c>
      <c r="M4036" s="2" t="s">
        <v>40</v>
      </c>
      <c r="P4036" s="2" t="s">
        <v>187</v>
      </c>
      <c r="Q4036" s="2" t="s">
        <v>191</v>
      </c>
      <c r="R4036" s="2" t="s">
        <v>190</v>
      </c>
      <c r="S4036" s="2">
        <v>4</v>
      </c>
      <c r="T4036" s="2">
        <v>220</v>
      </c>
      <c r="U4036" s="2">
        <v>50.6</v>
      </c>
      <c r="V4036" s="2">
        <v>270.60000000000002</v>
      </c>
      <c r="W4036" s="2">
        <f>T4036*50%</f>
        <v>110</v>
      </c>
      <c r="X4036" s="5">
        <f t="shared" si="600"/>
        <v>0.5</v>
      </c>
      <c r="Z4036" s="2" t="s">
        <v>117</v>
      </c>
      <c r="AA4036" s="2" t="s">
        <v>190</v>
      </c>
      <c r="AB4036" s="2" t="s">
        <v>190</v>
      </c>
      <c r="AC4036" s="2" t="s">
        <v>40</v>
      </c>
      <c r="AF4036" s="2">
        <f t="shared" si="602"/>
        <v>0</v>
      </c>
      <c r="AG4036" s="2">
        <f>W4036</f>
        <v>110</v>
      </c>
      <c r="AJ4036" s="2">
        <f t="shared" si="603"/>
        <v>0</v>
      </c>
      <c r="AK4036" s="2">
        <f t="shared" si="599"/>
        <v>110</v>
      </c>
      <c r="AL4036" s="5">
        <f t="shared" si="601"/>
        <v>0.5</v>
      </c>
    </row>
    <row r="4037" spans="1:38" x14ac:dyDescent="0.2">
      <c r="A4037" s="2">
        <v>2026</v>
      </c>
      <c r="B4037" s="2">
        <v>5</v>
      </c>
      <c r="D4037" s="2" t="s">
        <v>660</v>
      </c>
      <c r="E4037" s="2" t="s">
        <v>38</v>
      </c>
      <c r="F4037" s="2" t="s">
        <v>39</v>
      </c>
      <c r="G4037" s="2">
        <v>510651810</v>
      </c>
      <c r="H4037" s="2" t="s">
        <v>40</v>
      </c>
      <c r="I4037" s="2" t="s">
        <v>661</v>
      </c>
      <c r="J4037" s="2" t="s">
        <v>662</v>
      </c>
      <c r="L4037" s="2" t="s">
        <v>344</v>
      </c>
      <c r="M4037" s="2" t="s">
        <v>80</v>
      </c>
      <c r="O4037" s="2" t="s">
        <v>3027</v>
      </c>
      <c r="P4037" s="2" t="s">
        <v>72</v>
      </c>
      <c r="Q4037" s="2" t="s">
        <v>3028</v>
      </c>
      <c r="R4037" s="2" t="s">
        <v>331</v>
      </c>
      <c r="S4037" s="2">
        <v>1</v>
      </c>
      <c r="T4037" s="2">
        <v>193</v>
      </c>
      <c r="U4037" s="2">
        <v>44.39</v>
      </c>
      <c r="V4037" s="2">
        <v>237.39</v>
      </c>
      <c r="W4037" s="2">
        <v>116.87</v>
      </c>
      <c r="X4037" s="5">
        <f t="shared" si="600"/>
        <v>0.39445595854922277</v>
      </c>
      <c r="Z4037" s="2" t="s">
        <v>3227</v>
      </c>
      <c r="AA4037" s="2" t="s">
        <v>75</v>
      </c>
      <c r="AB4037" s="2" t="s">
        <v>76</v>
      </c>
      <c r="AC4037" s="2" t="s">
        <v>77</v>
      </c>
      <c r="AF4037" s="2">
        <f t="shared" si="602"/>
        <v>0</v>
      </c>
      <c r="AG4037" s="2">
        <v>125.51600000000001</v>
      </c>
      <c r="AH4037" s="2">
        <v>220</v>
      </c>
      <c r="AJ4037" s="2">
        <f t="shared" si="603"/>
        <v>0</v>
      </c>
      <c r="AK4037" s="2">
        <f t="shared" si="599"/>
        <v>76.13</v>
      </c>
      <c r="AL4037" s="5">
        <f t="shared" si="601"/>
        <v>0.39445595854922277</v>
      </c>
    </row>
    <row r="4038" spans="1:38" x14ac:dyDescent="0.2">
      <c r="A4038" s="2">
        <v>2026</v>
      </c>
      <c r="B4038" s="2">
        <v>5</v>
      </c>
      <c r="D4038" s="2" t="s">
        <v>660</v>
      </c>
      <c r="E4038" s="2" t="s">
        <v>38</v>
      </c>
      <c r="F4038" s="2" t="s">
        <v>39</v>
      </c>
      <c r="G4038" s="2">
        <v>510651810</v>
      </c>
      <c r="H4038" s="2" t="s">
        <v>40</v>
      </c>
      <c r="I4038" s="2" t="s">
        <v>661</v>
      </c>
      <c r="J4038" s="2" t="s">
        <v>662</v>
      </c>
      <c r="L4038" s="2" t="s">
        <v>344</v>
      </c>
      <c r="M4038" s="2" t="s">
        <v>80</v>
      </c>
      <c r="P4038" s="2" t="s">
        <v>72</v>
      </c>
      <c r="Q4038" s="2" t="s">
        <v>325</v>
      </c>
      <c r="R4038" s="2" t="s">
        <v>79</v>
      </c>
      <c r="S4038" s="2">
        <v>1</v>
      </c>
      <c r="T4038" s="2">
        <v>220</v>
      </c>
      <c r="U4038" s="2">
        <v>50.6</v>
      </c>
      <c r="V4038" s="2">
        <v>270.60000000000002</v>
      </c>
      <c r="W4038" s="2">
        <f>110.68*S4038</f>
        <v>110.68</v>
      </c>
      <c r="X4038" s="5">
        <f t="shared" si="600"/>
        <v>0.49690909090909086</v>
      </c>
      <c r="Z4038" s="2" t="s">
        <v>3227</v>
      </c>
      <c r="AA4038" s="2" t="s">
        <v>75</v>
      </c>
      <c r="AB4038" s="2" t="s">
        <v>76</v>
      </c>
      <c r="AC4038" s="2" t="s">
        <v>77</v>
      </c>
      <c r="AF4038" s="2">
        <f t="shared" si="602"/>
        <v>0</v>
      </c>
      <c r="AG4038" s="2">
        <v>110.68</v>
      </c>
      <c r="AH4038" s="2">
        <v>210</v>
      </c>
      <c r="AJ4038" s="2">
        <f t="shared" si="603"/>
        <v>0</v>
      </c>
      <c r="AK4038" s="2">
        <f t="shared" si="599"/>
        <v>109.32</v>
      </c>
      <c r="AL4038" s="5">
        <f t="shared" si="601"/>
        <v>0.49690909090909086</v>
      </c>
    </row>
    <row r="4039" spans="1:38" x14ac:dyDescent="0.2">
      <c r="A4039" s="2">
        <v>2026</v>
      </c>
      <c r="B4039" s="2">
        <v>5</v>
      </c>
      <c r="D4039" s="2" t="s">
        <v>660</v>
      </c>
      <c r="E4039" s="2" t="s">
        <v>38</v>
      </c>
      <c r="F4039" s="2" t="s">
        <v>39</v>
      </c>
      <c r="G4039" s="2">
        <v>510651810</v>
      </c>
      <c r="H4039" s="2" t="s">
        <v>40</v>
      </c>
      <c r="I4039" s="2" t="s">
        <v>661</v>
      </c>
      <c r="J4039" s="2" t="s">
        <v>662</v>
      </c>
      <c r="L4039" s="2" t="s">
        <v>344</v>
      </c>
      <c r="M4039" s="2" t="s">
        <v>80</v>
      </c>
      <c r="P4039" s="2" t="s">
        <v>1038</v>
      </c>
      <c r="Q4039" s="2" t="s">
        <v>3029</v>
      </c>
      <c r="R4039" s="2" t="s">
        <v>3030</v>
      </c>
      <c r="S4039" s="2">
        <v>1</v>
      </c>
      <c r="T4039" s="2">
        <v>220</v>
      </c>
      <c r="U4039" s="2">
        <f>T4039*23%</f>
        <v>50.6</v>
      </c>
      <c r="V4039" s="2">
        <f>T4039+U4039</f>
        <v>270.60000000000002</v>
      </c>
      <c r="W4039" s="2">
        <v>119.06</v>
      </c>
      <c r="X4039" s="5">
        <f t="shared" si="600"/>
        <v>0.45881818181818179</v>
      </c>
      <c r="Z4039" s="2" t="s">
        <v>3227</v>
      </c>
      <c r="AA4039" s="2" t="s">
        <v>75</v>
      </c>
      <c r="AB4039" s="2" t="s">
        <v>76</v>
      </c>
      <c r="AC4039" s="2" t="s">
        <v>1038</v>
      </c>
      <c r="AF4039" s="2">
        <f t="shared" si="602"/>
        <v>0</v>
      </c>
      <c r="AJ4039" s="2">
        <f t="shared" si="603"/>
        <v>0</v>
      </c>
      <c r="AK4039" s="2">
        <f t="shared" si="599"/>
        <v>100.94</v>
      </c>
      <c r="AL4039" s="5">
        <f t="shared" si="601"/>
        <v>0.45881818181818179</v>
      </c>
    </row>
    <row r="4040" spans="1:38" x14ac:dyDescent="0.2">
      <c r="A4040" s="2">
        <v>2026</v>
      </c>
      <c r="B4040" s="2">
        <v>5</v>
      </c>
      <c r="D4040" s="2" t="s">
        <v>660</v>
      </c>
      <c r="E4040" s="2" t="s">
        <v>38</v>
      </c>
      <c r="F4040" s="2" t="s">
        <v>39</v>
      </c>
      <c r="G4040" s="2">
        <v>510651810</v>
      </c>
      <c r="H4040" s="2" t="s">
        <v>40</v>
      </c>
      <c r="I4040" s="2" t="s">
        <v>661</v>
      </c>
      <c r="J4040" s="2" t="s">
        <v>662</v>
      </c>
      <c r="L4040" s="2" t="s">
        <v>344</v>
      </c>
      <c r="M4040" s="2" t="s">
        <v>80</v>
      </c>
      <c r="P4040" s="2" t="s">
        <v>93</v>
      </c>
      <c r="Q4040" s="2" t="s">
        <v>94</v>
      </c>
      <c r="R4040" s="2" t="s">
        <v>95</v>
      </c>
      <c r="S4040" s="2">
        <v>3</v>
      </c>
      <c r="T4040" s="2">
        <v>4.4400000000000004</v>
      </c>
      <c r="U4040" s="2">
        <v>1.0212000000000001</v>
      </c>
      <c r="V4040" s="2">
        <v>5.4612000000000007</v>
      </c>
      <c r="W4040" s="2">
        <f>1.48*S4040</f>
        <v>4.4399999999999995</v>
      </c>
      <c r="X4040" s="5">
        <f t="shared" si="600"/>
        <v>2.000401846171453E-16</v>
      </c>
      <c r="Z4040" s="2" t="s">
        <v>3227</v>
      </c>
      <c r="AA4040" s="2" t="s">
        <v>96</v>
      </c>
      <c r="AB4040" s="2" t="s">
        <v>76</v>
      </c>
      <c r="AC4040" s="2" t="s">
        <v>93</v>
      </c>
      <c r="AF4040" s="2">
        <f t="shared" si="602"/>
        <v>0</v>
      </c>
      <c r="AJ4040" s="2">
        <f t="shared" si="603"/>
        <v>0</v>
      </c>
      <c r="AK4040" s="2">
        <f t="shared" si="599"/>
        <v>0</v>
      </c>
      <c r="AL4040" s="5">
        <f t="shared" si="601"/>
        <v>2.000401846171453E-16</v>
      </c>
    </row>
    <row r="4041" spans="1:38" x14ac:dyDescent="0.2">
      <c r="A4041" s="2">
        <v>2026</v>
      </c>
      <c r="B4041" s="2">
        <v>5</v>
      </c>
      <c r="D4041" s="2" t="s">
        <v>2364</v>
      </c>
      <c r="E4041" s="2" t="s">
        <v>108</v>
      </c>
      <c r="F4041" s="2" t="s">
        <v>39</v>
      </c>
      <c r="G4041" s="2">
        <v>503554952</v>
      </c>
      <c r="H4041" s="2" t="s">
        <v>41</v>
      </c>
      <c r="I4041" s="2" t="s">
        <v>2365</v>
      </c>
      <c r="J4041" s="2" t="s">
        <v>2366</v>
      </c>
      <c r="K4041" s="2">
        <v>963062174</v>
      </c>
      <c r="L4041" s="2" t="s">
        <v>418</v>
      </c>
      <c r="M4041" s="2" t="s">
        <v>41</v>
      </c>
      <c r="O4041" s="2" t="s">
        <v>3031</v>
      </c>
      <c r="P4041" s="2" t="s">
        <v>282</v>
      </c>
      <c r="Q4041" s="2" t="s">
        <v>3032</v>
      </c>
      <c r="R4041" s="2" t="s">
        <v>3033</v>
      </c>
      <c r="S4041" s="2">
        <v>1</v>
      </c>
      <c r="T4041" s="2">
        <v>240</v>
      </c>
      <c r="U4041" s="2">
        <v>55.2</v>
      </c>
      <c r="V4041" s="2">
        <v>295.2</v>
      </c>
      <c r="W4041" s="2">
        <v>285</v>
      </c>
      <c r="X4041" s="5">
        <f t="shared" si="600"/>
        <v>-0.1875</v>
      </c>
      <c r="Z4041" s="2" t="s">
        <v>104</v>
      </c>
      <c r="AA4041" s="2" t="s">
        <v>387</v>
      </c>
      <c r="AB4041" s="2" t="s">
        <v>388</v>
      </c>
      <c r="AC4041" s="2" t="s">
        <v>389</v>
      </c>
      <c r="AF4041" s="2">
        <f t="shared" si="602"/>
        <v>0</v>
      </c>
      <c r="AG4041" s="2">
        <v>285</v>
      </c>
      <c r="AJ4041" s="2">
        <f t="shared" si="603"/>
        <v>0</v>
      </c>
      <c r="AK4041" s="2">
        <f t="shared" si="599"/>
        <v>-45</v>
      </c>
      <c r="AL4041" s="5">
        <f t="shared" si="601"/>
        <v>-0.1875</v>
      </c>
    </row>
    <row r="4042" spans="1:38" x14ac:dyDescent="0.2">
      <c r="A4042" s="2">
        <v>2026</v>
      </c>
      <c r="B4042" s="2">
        <v>5</v>
      </c>
      <c r="D4042" s="2" t="s">
        <v>2364</v>
      </c>
      <c r="E4042" s="2" t="s">
        <v>108</v>
      </c>
      <c r="F4042" s="2" t="s">
        <v>39</v>
      </c>
      <c r="G4042" s="2">
        <v>503554952</v>
      </c>
      <c r="H4042" s="2" t="s">
        <v>41</v>
      </c>
      <c r="I4042" s="2" t="s">
        <v>2365</v>
      </c>
      <c r="J4042" s="2" t="s">
        <v>2366</v>
      </c>
      <c r="K4042" s="2">
        <v>963062174</v>
      </c>
      <c r="L4042" s="2" t="s">
        <v>418</v>
      </c>
      <c r="M4042" s="2" t="s">
        <v>41</v>
      </c>
      <c r="O4042" s="2" t="s">
        <v>3031</v>
      </c>
      <c r="P4042" s="2" t="s">
        <v>43</v>
      </c>
      <c r="Q4042" s="2" t="s">
        <v>54</v>
      </c>
      <c r="R4042" s="2" t="s">
        <v>55</v>
      </c>
      <c r="S4042" s="2">
        <v>4</v>
      </c>
      <c r="T4042" s="2">
        <v>68</v>
      </c>
      <c r="U4042" s="2">
        <v>15.64</v>
      </c>
      <c r="V4042" s="2">
        <v>83.64</v>
      </c>
      <c r="W4042" s="2">
        <f>10.6*S4042</f>
        <v>42.4</v>
      </c>
      <c r="X4042" s="5">
        <f t="shared" si="600"/>
        <v>0.37647058823529411</v>
      </c>
      <c r="Z4042" s="2" t="s">
        <v>3227</v>
      </c>
      <c r="AA4042" s="2" t="s">
        <v>46</v>
      </c>
      <c r="AB4042" s="2" t="s">
        <v>56</v>
      </c>
      <c r="AC4042" s="2" t="s">
        <v>57</v>
      </c>
      <c r="AF4042" s="2">
        <f t="shared" si="602"/>
        <v>0</v>
      </c>
      <c r="AG4042" s="2">
        <v>10.6</v>
      </c>
      <c r="AH4042" s="2">
        <v>18</v>
      </c>
      <c r="AJ4042" s="2">
        <f t="shared" si="603"/>
        <v>0</v>
      </c>
      <c r="AK4042" s="2">
        <f t="shared" si="599"/>
        <v>25.6</v>
      </c>
      <c r="AL4042" s="5">
        <f t="shared" si="601"/>
        <v>0.37647058823529411</v>
      </c>
    </row>
    <row r="4043" spans="1:38" x14ac:dyDescent="0.2">
      <c r="A4043" s="2">
        <v>2026</v>
      </c>
      <c r="B4043" s="2">
        <v>5</v>
      </c>
      <c r="D4043" s="2" t="s">
        <v>462</v>
      </c>
      <c r="E4043" s="2" t="s">
        <v>108</v>
      </c>
      <c r="F4043" s="2" t="s">
        <v>39</v>
      </c>
      <c r="G4043" s="2">
        <v>506531031</v>
      </c>
      <c r="H4043" s="2" t="s">
        <v>109</v>
      </c>
      <c r="I4043" s="2" t="s">
        <v>463</v>
      </c>
      <c r="J4043" s="2" t="s">
        <v>464</v>
      </c>
      <c r="L4043" s="2" t="s">
        <v>112</v>
      </c>
      <c r="O4043" s="2" t="s">
        <v>3034</v>
      </c>
      <c r="P4043" s="2" t="s">
        <v>114</v>
      </c>
      <c r="Q4043" s="2" t="s">
        <v>1578</v>
      </c>
      <c r="R4043" s="2" t="s">
        <v>1579</v>
      </c>
      <c r="S4043" s="2">
        <v>1</v>
      </c>
      <c r="T4043" s="2">
        <v>5490</v>
      </c>
      <c r="U4043" s="2">
        <f t="shared" ref="U4043:U4065" si="604">T4043*23%</f>
        <v>1262.7</v>
      </c>
      <c r="V4043" s="2">
        <f t="shared" ref="V4043:V4065" si="605">T4043+U4043</f>
        <v>6752.7</v>
      </c>
      <c r="W4043" s="2">
        <v>5064.2299999999996</v>
      </c>
      <c r="X4043" s="5">
        <f t="shared" si="600"/>
        <v>7.7553734061930862E-2</v>
      </c>
      <c r="Z4043" s="2" t="s">
        <v>104</v>
      </c>
      <c r="AA4043" s="2" t="s">
        <v>150</v>
      </c>
      <c r="AB4043" s="2" t="s">
        <v>151</v>
      </c>
      <c r="AC4043" s="2" t="s">
        <v>114</v>
      </c>
      <c r="AF4043" s="2">
        <v>0</v>
      </c>
      <c r="AG4043" s="2">
        <f>4893.23+171</f>
        <v>5064.2299999999996</v>
      </c>
      <c r="AJ4043" s="2">
        <f t="shared" si="603"/>
        <v>0</v>
      </c>
      <c r="AK4043" s="2">
        <f t="shared" si="599"/>
        <v>425.77000000000044</v>
      </c>
      <c r="AL4043" s="5">
        <f t="shared" si="601"/>
        <v>7.7553734061930862E-2</v>
      </c>
    </row>
    <row r="4044" spans="1:38" x14ac:dyDescent="0.2">
      <c r="A4044" s="2">
        <v>2026</v>
      </c>
      <c r="B4044" s="2">
        <v>2</v>
      </c>
      <c r="D4044" s="2" t="s">
        <v>516</v>
      </c>
      <c r="E4044" s="2" t="s">
        <v>38</v>
      </c>
      <c r="F4044" s="2" t="s">
        <v>39</v>
      </c>
      <c r="G4044" s="2">
        <v>514232749</v>
      </c>
      <c r="H4044" s="2" t="s">
        <v>40</v>
      </c>
      <c r="I4044" s="2" t="s">
        <v>279</v>
      </c>
      <c r="J4044" s="2" t="s">
        <v>517</v>
      </c>
      <c r="K4044" s="2">
        <v>967657430</v>
      </c>
      <c r="L4044" s="2" t="s">
        <v>201</v>
      </c>
      <c r="M4044" s="2" t="s">
        <v>40</v>
      </c>
      <c r="O4044" s="2" t="s">
        <v>3035</v>
      </c>
      <c r="P4044" s="2" t="s">
        <v>187</v>
      </c>
      <c r="Q4044" s="2" t="s">
        <v>188</v>
      </c>
      <c r="R4044" s="2" t="s">
        <v>189</v>
      </c>
      <c r="S4044" s="2">
        <v>1</v>
      </c>
      <c r="T4044" s="2">
        <v>73</v>
      </c>
      <c r="U4044" s="2">
        <f t="shared" si="604"/>
        <v>16.79</v>
      </c>
      <c r="V4044" s="2">
        <f t="shared" si="605"/>
        <v>89.789999999999992</v>
      </c>
      <c r="W4044" s="2">
        <f>T4044*40%</f>
        <v>29.200000000000003</v>
      </c>
      <c r="X4044" s="5">
        <f t="shared" si="600"/>
        <v>0.6</v>
      </c>
      <c r="Z4044" s="2" t="s">
        <v>117</v>
      </c>
      <c r="AA4044" s="2" t="s">
        <v>190</v>
      </c>
      <c r="AB4044" s="2" t="s">
        <v>189</v>
      </c>
      <c r="AC4044" s="2" t="s">
        <v>40</v>
      </c>
      <c r="AF4044" s="2">
        <f>AJ4044</f>
        <v>0</v>
      </c>
      <c r="AG4044" s="2">
        <f>W4044</f>
        <v>29.200000000000003</v>
      </c>
      <c r="AJ4044" s="2">
        <f t="shared" si="603"/>
        <v>0</v>
      </c>
      <c r="AK4044" s="2">
        <f t="shared" si="599"/>
        <v>43.8</v>
      </c>
      <c r="AL4044" s="5">
        <f t="shared" si="601"/>
        <v>0.6</v>
      </c>
    </row>
    <row r="4045" spans="1:38" x14ac:dyDescent="0.2">
      <c r="A4045" s="2">
        <v>2026</v>
      </c>
      <c r="B4045" s="2">
        <v>2</v>
      </c>
      <c r="D4045" s="2" t="s">
        <v>516</v>
      </c>
      <c r="E4045" s="2" t="s">
        <v>38</v>
      </c>
      <c r="F4045" s="2" t="s">
        <v>39</v>
      </c>
      <c r="G4045" s="2">
        <v>514232749</v>
      </c>
      <c r="H4045" s="2" t="s">
        <v>40</v>
      </c>
      <c r="I4045" s="2" t="s">
        <v>279</v>
      </c>
      <c r="J4045" s="2" t="s">
        <v>517</v>
      </c>
      <c r="K4045" s="2">
        <v>967657430</v>
      </c>
      <c r="L4045" s="2" t="s">
        <v>201</v>
      </c>
      <c r="M4045" s="2" t="s">
        <v>40</v>
      </c>
      <c r="O4045" s="2" t="s">
        <v>3035</v>
      </c>
      <c r="P4045" s="2" t="s">
        <v>187</v>
      </c>
      <c r="Q4045" s="2" t="s">
        <v>191</v>
      </c>
      <c r="R4045" s="2" t="s">
        <v>190</v>
      </c>
      <c r="S4045" s="2">
        <v>1.5</v>
      </c>
      <c r="T4045" s="2">
        <v>55</v>
      </c>
      <c r="U4045" s="2">
        <f t="shared" si="604"/>
        <v>12.65</v>
      </c>
      <c r="V4045" s="2">
        <f t="shared" si="605"/>
        <v>67.650000000000006</v>
      </c>
      <c r="W4045" s="2">
        <f>T4045*50%</f>
        <v>27.5</v>
      </c>
      <c r="X4045" s="5">
        <f t="shared" si="600"/>
        <v>0.5</v>
      </c>
      <c r="Z4045" s="2" t="s">
        <v>117</v>
      </c>
      <c r="AA4045" s="2" t="s">
        <v>190</v>
      </c>
      <c r="AB4045" s="2" t="s">
        <v>190</v>
      </c>
      <c r="AC4045" s="2" t="s">
        <v>40</v>
      </c>
      <c r="AF4045" s="2">
        <f>AJ4045</f>
        <v>0</v>
      </c>
      <c r="AG4045" s="2">
        <f>W4045</f>
        <v>27.5</v>
      </c>
      <c r="AJ4045" s="2">
        <f t="shared" si="603"/>
        <v>0</v>
      </c>
      <c r="AK4045" s="2">
        <f t="shared" si="599"/>
        <v>27.5</v>
      </c>
      <c r="AL4045" s="5">
        <f t="shared" si="601"/>
        <v>0.5</v>
      </c>
    </row>
    <row r="4046" spans="1:38" x14ac:dyDescent="0.2">
      <c r="A4046" s="8">
        <v>2026</v>
      </c>
      <c r="B4046" s="8">
        <v>6</v>
      </c>
      <c r="C4046" s="8"/>
      <c r="D4046" s="2" t="s">
        <v>37</v>
      </c>
      <c r="E4046" s="2" t="s">
        <v>38</v>
      </c>
      <c r="F4046" s="2" t="s">
        <v>39</v>
      </c>
      <c r="H4046" s="2" t="s">
        <v>40</v>
      </c>
      <c r="P4046" s="2" t="s">
        <v>72</v>
      </c>
      <c r="Q4046" s="2" t="s">
        <v>202</v>
      </c>
      <c r="R4046" s="2" t="s">
        <v>197</v>
      </c>
      <c r="S4046" s="8">
        <v>1</v>
      </c>
      <c r="T4046" s="10">
        <v>260</v>
      </c>
      <c r="U4046" s="2">
        <f t="shared" si="604"/>
        <v>59.800000000000004</v>
      </c>
      <c r="V4046" s="10">
        <f t="shared" si="605"/>
        <v>319.8</v>
      </c>
      <c r="W4046" s="2">
        <v>152.85</v>
      </c>
      <c r="X4046" s="5">
        <f t="shared" si="600"/>
        <v>0.41211538461538466</v>
      </c>
      <c r="Z4046" s="2" t="s">
        <v>3227</v>
      </c>
      <c r="AA4046" s="2" t="s">
        <v>75</v>
      </c>
      <c r="AB4046" s="2" t="s">
        <v>76</v>
      </c>
      <c r="AC4046" s="2" t="s">
        <v>77</v>
      </c>
      <c r="AF4046" s="2">
        <f>AJ4046</f>
        <v>0</v>
      </c>
      <c r="AG4046" s="2">
        <v>152.85</v>
      </c>
      <c r="AH4046" s="2">
        <v>260</v>
      </c>
      <c r="AI4046" s="2"/>
      <c r="AJ4046" s="2">
        <f t="shared" si="603"/>
        <v>0</v>
      </c>
      <c r="AK4046" s="2">
        <f t="shared" si="599"/>
        <v>107.15</v>
      </c>
      <c r="AL4046" s="5">
        <f t="shared" si="601"/>
        <v>0.41211538461538466</v>
      </c>
    </row>
    <row r="4047" spans="1:38" x14ac:dyDescent="0.2">
      <c r="A4047" s="8">
        <v>2026</v>
      </c>
      <c r="B4047" s="8">
        <v>6</v>
      </c>
      <c r="C4047" s="8"/>
      <c r="D4047" s="2" t="s">
        <v>37</v>
      </c>
      <c r="E4047" s="2" t="s">
        <v>38</v>
      </c>
      <c r="F4047" s="2" t="s">
        <v>39</v>
      </c>
      <c r="H4047" s="2" t="s">
        <v>40</v>
      </c>
      <c r="P4047" s="2" t="s">
        <v>93</v>
      </c>
      <c r="Q4047" s="2" t="s">
        <v>94</v>
      </c>
      <c r="R4047" s="2" t="s">
        <v>95</v>
      </c>
      <c r="S4047" s="9">
        <v>1</v>
      </c>
      <c r="T4047" s="10">
        <v>1.48</v>
      </c>
      <c r="U4047" s="2">
        <f t="shared" si="604"/>
        <v>0.34040000000000004</v>
      </c>
      <c r="V4047" s="10">
        <f t="shared" si="605"/>
        <v>1.8204</v>
      </c>
      <c r="W4047" s="2">
        <f>1.48*S4047</f>
        <v>1.48</v>
      </c>
      <c r="X4047" s="5">
        <f t="shared" si="600"/>
        <v>0</v>
      </c>
      <c r="Z4047" s="2" t="s">
        <v>3227</v>
      </c>
      <c r="AA4047" s="2" t="s">
        <v>96</v>
      </c>
      <c r="AB4047" s="2" t="s">
        <v>76</v>
      </c>
      <c r="AC4047" s="2" t="s">
        <v>93</v>
      </c>
      <c r="AF4047" s="2">
        <f>AJ4047</f>
        <v>0</v>
      </c>
      <c r="AG4047" s="2">
        <v>1.48</v>
      </c>
      <c r="AH4047" s="2">
        <v>1.48</v>
      </c>
      <c r="AI4047" s="2"/>
      <c r="AJ4047" s="2">
        <f t="shared" si="603"/>
        <v>0</v>
      </c>
      <c r="AK4047" s="2">
        <f t="shared" si="599"/>
        <v>0</v>
      </c>
      <c r="AL4047" s="5">
        <f t="shared" si="601"/>
        <v>0</v>
      </c>
    </row>
    <row r="4048" spans="1:38" x14ac:dyDescent="0.2">
      <c r="A4048" s="8">
        <v>2026</v>
      </c>
      <c r="B4048" s="8">
        <v>6</v>
      </c>
      <c r="C4048" s="8" t="s">
        <v>3323</v>
      </c>
      <c r="D4048" s="2" t="s">
        <v>1450</v>
      </c>
      <c r="E4048" s="2" t="s">
        <v>108</v>
      </c>
      <c r="F4048" s="2" t="s">
        <v>477</v>
      </c>
      <c r="L4048" s="2" t="s">
        <v>112</v>
      </c>
      <c r="M4048" s="2" t="s">
        <v>40</v>
      </c>
      <c r="P4048" s="2" t="s">
        <v>114</v>
      </c>
      <c r="Q4048" s="2" t="s">
        <v>1079</v>
      </c>
      <c r="R4048" s="2" t="s">
        <v>1080</v>
      </c>
      <c r="S4048" s="9">
        <v>1</v>
      </c>
      <c r="T4048" s="10">
        <v>77.48</v>
      </c>
      <c r="U4048" s="2">
        <f t="shared" si="604"/>
        <v>17.820400000000003</v>
      </c>
      <c r="V4048" s="10">
        <f t="shared" si="605"/>
        <v>95.30040000000001</v>
      </c>
      <c r="X4048" s="5">
        <f t="shared" si="600"/>
        <v>1</v>
      </c>
      <c r="Z4048" s="2" t="s">
        <v>117</v>
      </c>
      <c r="AA4048" s="2" t="s">
        <v>118</v>
      </c>
      <c r="AB4048" s="2" t="s">
        <v>119</v>
      </c>
      <c r="AC4048" s="2" t="s">
        <v>114</v>
      </c>
      <c r="AI4048" s="2"/>
      <c r="AL4048" s="2"/>
    </row>
    <row r="4049" spans="1:38" x14ac:dyDescent="0.2">
      <c r="A4049" s="8">
        <v>2026</v>
      </c>
      <c r="B4049" s="8">
        <v>6</v>
      </c>
      <c r="C4049" s="8" t="s">
        <v>3323</v>
      </c>
      <c r="D4049" s="2" t="s">
        <v>1450</v>
      </c>
      <c r="E4049" s="2" t="s">
        <v>108</v>
      </c>
      <c r="F4049" s="2" t="s">
        <v>477</v>
      </c>
      <c r="L4049" s="2" t="s">
        <v>112</v>
      </c>
      <c r="M4049" s="2" t="s">
        <v>40</v>
      </c>
      <c r="P4049" s="2" t="s">
        <v>114</v>
      </c>
      <c r="Q4049" s="2" t="s">
        <v>2480</v>
      </c>
      <c r="R4049" s="2" t="s">
        <v>1387</v>
      </c>
      <c r="S4049" s="9">
        <v>1</v>
      </c>
      <c r="T4049" s="10">
        <v>466.58</v>
      </c>
      <c r="U4049" s="2">
        <f t="shared" si="604"/>
        <v>107.3134</v>
      </c>
      <c r="V4049" s="10">
        <f t="shared" si="605"/>
        <v>573.89339999999993</v>
      </c>
      <c r="X4049" s="5">
        <f t="shared" si="600"/>
        <v>1</v>
      </c>
      <c r="Z4049" s="2" t="s">
        <v>117</v>
      </c>
      <c r="AA4049" s="2" t="s">
        <v>118</v>
      </c>
      <c r="AB4049" s="2" t="s">
        <v>119</v>
      </c>
      <c r="AC4049" s="2" t="s">
        <v>114</v>
      </c>
      <c r="AI4049" s="2"/>
      <c r="AL4049" s="2"/>
    </row>
    <row r="4050" spans="1:38" x14ac:dyDescent="0.2">
      <c r="A4050" s="8">
        <v>2026</v>
      </c>
      <c r="B4050" s="8">
        <v>6</v>
      </c>
      <c r="C4050" s="8" t="s">
        <v>3323</v>
      </c>
      <c r="D4050" s="2" t="s">
        <v>1450</v>
      </c>
      <c r="E4050" s="2" t="s">
        <v>108</v>
      </c>
      <c r="F4050" s="2" t="s">
        <v>477</v>
      </c>
      <c r="L4050" s="2" t="s">
        <v>112</v>
      </c>
      <c r="M4050" s="2" t="s">
        <v>40</v>
      </c>
      <c r="P4050" s="2" t="s">
        <v>187</v>
      </c>
      <c r="Q4050" s="2" t="s">
        <v>188</v>
      </c>
      <c r="R4050" s="2" t="s">
        <v>189</v>
      </c>
      <c r="S4050" s="9">
        <v>1</v>
      </c>
      <c r="T4050" s="10">
        <v>125</v>
      </c>
      <c r="U4050" s="2">
        <f t="shared" si="604"/>
        <v>28.75</v>
      </c>
      <c r="V4050" s="2">
        <f t="shared" si="605"/>
        <v>153.75</v>
      </c>
      <c r="W4050" s="2">
        <f>T4050*40%</f>
        <v>50</v>
      </c>
      <c r="X4050" s="5">
        <f t="shared" si="600"/>
        <v>0.6</v>
      </c>
      <c r="Z4050" s="2" t="s">
        <v>117</v>
      </c>
      <c r="AA4050" s="2" t="s">
        <v>190</v>
      </c>
      <c r="AB4050" s="2" t="s">
        <v>189</v>
      </c>
      <c r="AC4050" s="2" t="s">
        <v>40</v>
      </c>
      <c r="AG4050" s="2">
        <f>W4050</f>
        <v>50</v>
      </c>
      <c r="AI4050" s="2"/>
      <c r="AJ4050" s="2">
        <f>AI4050*T4050</f>
        <v>0</v>
      </c>
      <c r="AK4050" s="2">
        <f>T4050-W4050</f>
        <v>75</v>
      </c>
      <c r="AL4050" s="5">
        <f>(T4050-W4050)/T4050</f>
        <v>0.6</v>
      </c>
    </row>
    <row r="4051" spans="1:38" x14ac:dyDescent="0.2">
      <c r="A4051" s="8">
        <v>2026</v>
      </c>
      <c r="B4051" s="8">
        <v>6</v>
      </c>
      <c r="C4051" s="8" t="s">
        <v>3323</v>
      </c>
      <c r="D4051" s="2" t="s">
        <v>1450</v>
      </c>
      <c r="E4051" s="2" t="s">
        <v>108</v>
      </c>
      <c r="F4051" s="2" t="s">
        <v>477</v>
      </c>
      <c r="L4051" s="2" t="s">
        <v>112</v>
      </c>
      <c r="M4051" s="2" t="s">
        <v>40</v>
      </c>
      <c r="P4051" s="2" t="s">
        <v>187</v>
      </c>
      <c r="Q4051" s="2" t="s">
        <v>191</v>
      </c>
      <c r="R4051" s="2" t="s">
        <v>190</v>
      </c>
      <c r="S4051" s="9">
        <v>2</v>
      </c>
      <c r="T4051" s="10">
        <v>110</v>
      </c>
      <c r="U4051" s="2">
        <f t="shared" si="604"/>
        <v>25.3</v>
      </c>
      <c r="V4051" s="2">
        <f t="shared" si="605"/>
        <v>135.30000000000001</v>
      </c>
      <c r="W4051" s="2">
        <f>T4051*50%</f>
        <v>55</v>
      </c>
      <c r="X4051" s="5">
        <f t="shared" si="600"/>
        <v>0.5</v>
      </c>
      <c r="Z4051" s="2" t="s">
        <v>117</v>
      </c>
      <c r="AA4051" s="2" t="s">
        <v>190</v>
      </c>
      <c r="AB4051" s="2" t="s">
        <v>190</v>
      </c>
      <c r="AC4051" s="2" t="s">
        <v>40</v>
      </c>
      <c r="AF4051" s="2">
        <f>AJ4051</f>
        <v>0</v>
      </c>
      <c r="AG4051" s="2">
        <f>W4051</f>
        <v>55</v>
      </c>
      <c r="AI4051" s="2"/>
      <c r="AJ4051" s="2">
        <f>AI4051*T4051</f>
        <v>0</v>
      </c>
      <c r="AK4051" s="2">
        <f>T4051-W4051</f>
        <v>55</v>
      </c>
      <c r="AL4051" s="5">
        <f>(T4051-W4051)/T4051</f>
        <v>0.5</v>
      </c>
    </row>
    <row r="4052" spans="1:38" x14ac:dyDescent="0.2">
      <c r="A4052" s="8">
        <v>2026</v>
      </c>
      <c r="B4052" s="8">
        <v>6</v>
      </c>
      <c r="C4052" s="8"/>
      <c r="D4052" s="2" t="s">
        <v>1323</v>
      </c>
      <c r="P4052" s="2" t="s">
        <v>43</v>
      </c>
      <c r="Q4052" s="2" t="s">
        <v>54</v>
      </c>
      <c r="R4052" s="2" t="s">
        <v>55</v>
      </c>
      <c r="S4052" s="9">
        <v>1</v>
      </c>
      <c r="T4052" s="10">
        <v>18</v>
      </c>
      <c r="U4052" s="2">
        <f t="shared" si="604"/>
        <v>4.1400000000000006</v>
      </c>
      <c r="V4052" s="10">
        <f t="shared" si="605"/>
        <v>22.14</v>
      </c>
      <c r="W4052" s="2">
        <v>10.6</v>
      </c>
      <c r="X4052" s="5">
        <f t="shared" si="600"/>
        <v>0.41111111111111115</v>
      </c>
      <c r="Z4052" s="2" t="s">
        <v>3227</v>
      </c>
      <c r="AA4052" s="2" t="s">
        <v>46</v>
      </c>
      <c r="AB4052" s="2" t="s">
        <v>56</v>
      </c>
      <c r="AC4052" s="2" t="s">
        <v>57</v>
      </c>
      <c r="AI4052" s="2"/>
      <c r="AL4052" s="2"/>
    </row>
    <row r="4053" spans="1:38" x14ac:dyDescent="0.2">
      <c r="A4053" s="8">
        <v>2026</v>
      </c>
      <c r="B4053" s="8">
        <v>6</v>
      </c>
      <c r="C4053" s="8"/>
      <c r="D4053" s="2" t="s">
        <v>1323</v>
      </c>
      <c r="P4053" s="2" t="s">
        <v>43</v>
      </c>
      <c r="Q4053" s="2" t="s">
        <v>61</v>
      </c>
      <c r="R4053" s="2" t="s">
        <v>62</v>
      </c>
      <c r="S4053" s="9">
        <v>100</v>
      </c>
      <c r="T4053" s="10">
        <v>13</v>
      </c>
      <c r="U4053" s="2">
        <f t="shared" si="604"/>
        <v>2.99</v>
      </c>
      <c r="V4053" s="10">
        <f t="shared" si="605"/>
        <v>15.99</v>
      </c>
      <c r="W4053" s="2">
        <f>0.082*S4053</f>
        <v>8.2000000000000011</v>
      </c>
      <c r="X4053" s="5">
        <f t="shared" ref="X4053:X4075" si="606">(T4053-W4053)/T4053</f>
        <v>0.36923076923076914</v>
      </c>
      <c r="Z4053" s="2" t="s">
        <v>3227</v>
      </c>
      <c r="AA4053" s="2" t="s">
        <v>46</v>
      </c>
      <c r="AB4053" s="2" t="s">
        <v>60</v>
      </c>
      <c r="AC4053" s="2" t="s">
        <v>57</v>
      </c>
      <c r="AI4053" s="2"/>
      <c r="AK4053" s="2">
        <f>T4053-W4053</f>
        <v>4.7999999999999989</v>
      </c>
      <c r="AL4053" s="5">
        <f>(T4053-W4053)/T4053</f>
        <v>0.36923076923076914</v>
      </c>
    </row>
    <row r="4054" spans="1:38" x14ac:dyDescent="0.2">
      <c r="A4054" s="8">
        <v>2026</v>
      </c>
      <c r="B4054" s="8">
        <v>6</v>
      </c>
      <c r="C4054" s="8"/>
      <c r="D4054" s="2" t="s">
        <v>1323</v>
      </c>
      <c r="P4054" s="2" t="s">
        <v>43</v>
      </c>
      <c r="Q4054" s="2" t="s">
        <v>65</v>
      </c>
      <c r="R4054" s="2" t="s">
        <v>66</v>
      </c>
      <c r="S4054" s="9">
        <v>1</v>
      </c>
      <c r="T4054" s="10">
        <v>20</v>
      </c>
      <c r="U4054" s="2">
        <f t="shared" si="604"/>
        <v>4.6000000000000005</v>
      </c>
      <c r="V4054" s="10">
        <f t="shared" si="605"/>
        <v>24.6</v>
      </c>
      <c r="W4054" s="2">
        <f>15.0203*S4054</f>
        <v>15.020300000000001</v>
      </c>
      <c r="X4054" s="5">
        <f t="shared" si="606"/>
        <v>0.24898499999999996</v>
      </c>
      <c r="Z4054" s="2" t="s">
        <v>3227</v>
      </c>
      <c r="AA4054" s="2" t="s">
        <v>46</v>
      </c>
      <c r="AB4054" s="2" t="s">
        <v>67</v>
      </c>
      <c r="AC4054" s="2" t="s">
        <v>57</v>
      </c>
      <c r="AI4054" s="2"/>
      <c r="AK4054" s="2">
        <f t="shared" ref="AK4054" si="607">T4054-W4054</f>
        <v>4.9796999999999993</v>
      </c>
      <c r="AL4054" s="5">
        <f t="shared" ref="AL4054" si="608">(T4054-W4054)/T4054</f>
        <v>0.24898499999999996</v>
      </c>
    </row>
    <row r="4055" spans="1:38" x14ac:dyDescent="0.2">
      <c r="A4055" s="8">
        <v>2026</v>
      </c>
      <c r="B4055" s="8">
        <v>6</v>
      </c>
      <c r="C4055" s="8"/>
      <c r="D4055" s="2" t="s">
        <v>3101</v>
      </c>
      <c r="P4055" s="2" t="s">
        <v>1038</v>
      </c>
      <c r="Q4055" s="2" t="s">
        <v>3036</v>
      </c>
      <c r="R4055" s="2" t="s">
        <v>3037</v>
      </c>
      <c r="S4055" s="9">
        <v>1</v>
      </c>
      <c r="T4055" s="10">
        <v>280</v>
      </c>
      <c r="U4055" s="2">
        <f t="shared" si="604"/>
        <v>64.400000000000006</v>
      </c>
      <c r="V4055" s="2">
        <f t="shared" si="605"/>
        <v>344.4</v>
      </c>
      <c r="W4055" s="2">
        <v>153.4</v>
      </c>
      <c r="X4055" s="5">
        <f t="shared" si="606"/>
        <v>0.45214285714285712</v>
      </c>
      <c r="Z4055" s="2" t="s">
        <v>3227</v>
      </c>
      <c r="AA4055" s="2" t="s">
        <v>75</v>
      </c>
      <c r="AB4055" s="2" t="s">
        <v>76</v>
      </c>
      <c r="AC4055" s="2" t="s">
        <v>1038</v>
      </c>
      <c r="AF4055" s="2">
        <f>AJ4055</f>
        <v>0</v>
      </c>
      <c r="AI4055" s="2"/>
      <c r="AJ4055" s="2">
        <f>AI4055*T4055</f>
        <v>0</v>
      </c>
      <c r="AK4055" s="2">
        <f>T4055-W4055</f>
        <v>126.6</v>
      </c>
      <c r="AL4055" s="5">
        <f>(T4055-W4055)/T4055</f>
        <v>0.45214285714285712</v>
      </c>
    </row>
    <row r="4056" spans="1:38" x14ac:dyDescent="0.2">
      <c r="A4056" s="8">
        <v>2026</v>
      </c>
      <c r="B4056" s="8">
        <v>6</v>
      </c>
      <c r="C4056" s="8"/>
      <c r="D4056" s="2" t="s">
        <v>3101</v>
      </c>
      <c r="P4056" s="2" t="s">
        <v>93</v>
      </c>
      <c r="Q4056" s="2" t="s">
        <v>94</v>
      </c>
      <c r="R4056" s="2" t="s">
        <v>95</v>
      </c>
      <c r="S4056" s="9">
        <v>1</v>
      </c>
      <c r="T4056" s="10">
        <v>1.48</v>
      </c>
      <c r="U4056" s="2">
        <f t="shared" si="604"/>
        <v>0.34040000000000004</v>
      </c>
      <c r="V4056" s="10">
        <f t="shared" si="605"/>
        <v>1.8204</v>
      </c>
      <c r="W4056" s="2">
        <f>1.48*S4056</f>
        <v>1.48</v>
      </c>
      <c r="X4056" s="5">
        <f t="shared" si="606"/>
        <v>0</v>
      </c>
      <c r="Z4056" s="2" t="s">
        <v>3227</v>
      </c>
      <c r="AA4056" s="2" t="s">
        <v>96</v>
      </c>
      <c r="AB4056" s="2" t="s">
        <v>76</v>
      </c>
      <c r="AC4056" s="2" t="s">
        <v>93</v>
      </c>
      <c r="AF4056" s="2">
        <f>AJ4056</f>
        <v>0</v>
      </c>
      <c r="AG4056" s="2">
        <v>1.48</v>
      </c>
      <c r="AH4056" s="2">
        <v>1.48</v>
      </c>
      <c r="AI4056" s="2"/>
      <c r="AJ4056" s="2">
        <f>AI4056*T4056</f>
        <v>0</v>
      </c>
      <c r="AK4056" s="2">
        <f>T4056-W4056</f>
        <v>0</v>
      </c>
      <c r="AL4056" s="5">
        <f>(T4056-W4056)/T4056</f>
        <v>0</v>
      </c>
    </row>
    <row r="4057" spans="1:38" x14ac:dyDescent="0.2">
      <c r="A4057" s="8">
        <v>2026</v>
      </c>
      <c r="B4057" s="8">
        <v>6</v>
      </c>
      <c r="C4057" s="8"/>
      <c r="D4057" s="2" t="s">
        <v>278</v>
      </c>
      <c r="P4057" s="2" t="s">
        <v>43</v>
      </c>
      <c r="Q4057" s="2" t="s">
        <v>238</v>
      </c>
      <c r="R4057" s="2" t="s">
        <v>239</v>
      </c>
      <c r="S4057" s="9">
        <v>1</v>
      </c>
      <c r="T4057" s="10">
        <v>21</v>
      </c>
      <c r="U4057" s="2">
        <f t="shared" si="604"/>
        <v>4.83</v>
      </c>
      <c r="V4057" s="10">
        <f t="shared" si="605"/>
        <v>25.83</v>
      </c>
      <c r="W4057" s="2">
        <f>11.045*S4057</f>
        <v>11.045</v>
      </c>
      <c r="X4057" s="5">
        <f t="shared" si="606"/>
        <v>0.47404761904761905</v>
      </c>
      <c r="Z4057" s="2" t="s">
        <v>3227</v>
      </c>
      <c r="AA4057" s="2" t="s">
        <v>46</v>
      </c>
      <c r="AB4057" s="2" t="s">
        <v>56</v>
      </c>
      <c r="AC4057" s="2" t="s">
        <v>57</v>
      </c>
      <c r="AI4057" s="2"/>
      <c r="AK4057" s="2">
        <f t="shared" ref="AK4057" si="609">T4057-W4057</f>
        <v>9.9550000000000001</v>
      </c>
      <c r="AL4057" s="5">
        <f t="shared" ref="AL4057" si="610">(T4057-W4057)/T4057</f>
        <v>0.47404761904761905</v>
      </c>
    </row>
    <row r="4058" spans="1:38" x14ac:dyDescent="0.2">
      <c r="A4058" s="8">
        <v>2026</v>
      </c>
      <c r="B4058" s="8">
        <v>6</v>
      </c>
      <c r="C4058" s="8"/>
      <c r="D4058" s="2" t="s">
        <v>278</v>
      </c>
      <c r="P4058" s="2" t="s">
        <v>43</v>
      </c>
      <c r="Q4058" s="2" t="s">
        <v>242</v>
      </c>
      <c r="R4058" s="2" t="s">
        <v>243</v>
      </c>
      <c r="S4058" s="9">
        <v>1</v>
      </c>
      <c r="T4058" s="10">
        <v>30</v>
      </c>
      <c r="U4058" s="2">
        <f t="shared" si="604"/>
        <v>6.9</v>
      </c>
      <c r="V4058" s="10">
        <f t="shared" si="605"/>
        <v>36.9</v>
      </c>
      <c r="W4058" s="2">
        <f>16.2249*S4058</f>
        <v>16.224900000000002</v>
      </c>
      <c r="X4058" s="5">
        <f t="shared" si="606"/>
        <v>0.45916999999999997</v>
      </c>
      <c r="Z4058" s="2" t="s">
        <v>3227</v>
      </c>
      <c r="AA4058" s="2" t="s">
        <v>46</v>
      </c>
      <c r="AB4058" s="2" t="s">
        <v>56</v>
      </c>
      <c r="AC4058" s="2" t="s">
        <v>57</v>
      </c>
      <c r="AI4058" s="2"/>
      <c r="AK4058" s="2">
        <f>T4058-W4058</f>
        <v>13.775099999999998</v>
      </c>
      <c r="AL4058" s="5">
        <f>(T4058-W4058)/T4058</f>
        <v>0.45916999999999997</v>
      </c>
    </row>
    <row r="4059" spans="1:38" x14ac:dyDescent="0.2">
      <c r="A4059" s="8">
        <v>2026</v>
      </c>
      <c r="B4059" s="8">
        <v>6</v>
      </c>
      <c r="C4059" s="8"/>
      <c r="D4059" s="2" t="s">
        <v>278</v>
      </c>
      <c r="P4059" s="2" t="s">
        <v>43</v>
      </c>
      <c r="Q4059" s="2" t="s">
        <v>246</v>
      </c>
      <c r="R4059" s="2" t="s">
        <v>247</v>
      </c>
      <c r="S4059" s="9">
        <v>1</v>
      </c>
      <c r="T4059" s="10">
        <v>19.8</v>
      </c>
      <c r="U4059" s="2">
        <f t="shared" si="604"/>
        <v>4.5540000000000003</v>
      </c>
      <c r="V4059" s="10">
        <f t="shared" si="605"/>
        <v>24.353999999999999</v>
      </c>
      <c r="W4059" s="2">
        <f>10.5267*S4059</f>
        <v>10.5267</v>
      </c>
      <c r="X4059" s="5">
        <f t="shared" si="606"/>
        <v>0.46834848484848485</v>
      </c>
      <c r="Z4059" s="2" t="s">
        <v>3227</v>
      </c>
      <c r="AA4059" s="2" t="s">
        <v>46</v>
      </c>
      <c r="AB4059" s="2" t="s">
        <v>56</v>
      </c>
      <c r="AC4059" s="2" t="s">
        <v>57</v>
      </c>
      <c r="AI4059" s="2"/>
      <c r="AK4059" s="2">
        <f t="shared" ref="AK4059" si="611">T4059-W4059</f>
        <v>9.2733000000000008</v>
      </c>
      <c r="AL4059" s="5">
        <f t="shared" ref="AL4059" si="612">(T4059-W4059)/T4059</f>
        <v>0.46834848484848485</v>
      </c>
    </row>
    <row r="4060" spans="1:38" x14ac:dyDescent="0.2">
      <c r="A4060" s="8">
        <v>2026</v>
      </c>
      <c r="B4060" s="8">
        <v>6</v>
      </c>
      <c r="C4060" s="8"/>
      <c r="D4060" s="2" t="s">
        <v>278</v>
      </c>
      <c r="P4060" s="2" t="s">
        <v>43</v>
      </c>
      <c r="Q4060" s="2" t="s">
        <v>54</v>
      </c>
      <c r="R4060" s="2" t="s">
        <v>55</v>
      </c>
      <c r="S4060" s="9">
        <v>2</v>
      </c>
      <c r="T4060" s="10">
        <v>36</v>
      </c>
      <c r="U4060" s="2">
        <f t="shared" si="604"/>
        <v>8.2800000000000011</v>
      </c>
      <c r="V4060" s="10">
        <f t="shared" si="605"/>
        <v>44.28</v>
      </c>
      <c r="W4060" s="2">
        <f>10.6*S4060</f>
        <v>21.2</v>
      </c>
      <c r="X4060" s="5">
        <f t="shared" si="606"/>
        <v>0.41111111111111115</v>
      </c>
      <c r="Z4060" s="2" t="s">
        <v>3227</v>
      </c>
      <c r="AA4060" s="2" t="s">
        <v>46</v>
      </c>
      <c r="AB4060" s="2" t="s">
        <v>56</v>
      </c>
      <c r="AC4060" s="2" t="s">
        <v>57</v>
      </c>
      <c r="AI4060" s="2"/>
      <c r="AL4060" s="2"/>
    </row>
    <row r="4061" spans="1:38" x14ac:dyDescent="0.2">
      <c r="A4061" s="8">
        <v>2026</v>
      </c>
      <c r="B4061" s="8">
        <v>6</v>
      </c>
      <c r="C4061" s="8"/>
      <c r="D4061" s="2" t="s">
        <v>1150</v>
      </c>
      <c r="P4061" s="2" t="s">
        <v>72</v>
      </c>
      <c r="Q4061" s="2" t="s">
        <v>484</v>
      </c>
      <c r="R4061" s="2" t="s">
        <v>74</v>
      </c>
      <c r="S4061" s="9">
        <v>1</v>
      </c>
      <c r="T4061" s="10">
        <v>220</v>
      </c>
      <c r="U4061" s="2">
        <f t="shared" si="604"/>
        <v>50.6</v>
      </c>
      <c r="V4061" s="10">
        <f t="shared" si="605"/>
        <v>270.60000000000002</v>
      </c>
      <c r="W4061" s="2">
        <v>131.93</v>
      </c>
      <c r="X4061" s="5">
        <f t="shared" si="606"/>
        <v>0.4003181818181818</v>
      </c>
      <c r="Z4061" s="2" t="s">
        <v>3227</v>
      </c>
      <c r="AA4061" s="2" t="s">
        <v>75</v>
      </c>
      <c r="AB4061" s="2" t="s">
        <v>76</v>
      </c>
      <c r="AC4061" s="2" t="s">
        <v>77</v>
      </c>
      <c r="AF4061" s="2">
        <f>AJ4061</f>
        <v>0</v>
      </c>
      <c r="AG4061" s="2">
        <v>131.93</v>
      </c>
      <c r="AH4061" s="2">
        <v>220</v>
      </c>
      <c r="AI4061" s="2"/>
      <c r="AJ4061" s="2">
        <f>AI4061*T4061</f>
        <v>0</v>
      </c>
      <c r="AK4061" s="2">
        <f>T4061-W4061</f>
        <v>88.07</v>
      </c>
      <c r="AL4061" s="5">
        <f>(T4061-W4061)/T4061</f>
        <v>0.4003181818181818</v>
      </c>
    </row>
    <row r="4062" spans="1:38" x14ac:dyDescent="0.2">
      <c r="A4062" s="8">
        <v>2026</v>
      </c>
      <c r="B4062" s="8">
        <v>6</v>
      </c>
      <c r="C4062" s="8"/>
      <c r="D4062" s="2" t="s">
        <v>1150</v>
      </c>
      <c r="P4062" s="2" t="s">
        <v>93</v>
      </c>
      <c r="Q4062" s="2" t="s">
        <v>94</v>
      </c>
      <c r="R4062" s="2" t="s">
        <v>95</v>
      </c>
      <c r="S4062" s="9">
        <v>1</v>
      </c>
      <c r="T4062" s="10">
        <v>1.48</v>
      </c>
      <c r="U4062" s="2">
        <f t="shared" si="604"/>
        <v>0.34040000000000004</v>
      </c>
      <c r="V4062" s="10">
        <f t="shared" si="605"/>
        <v>1.8204</v>
      </c>
      <c r="W4062" s="2">
        <f>1.48*S4062</f>
        <v>1.48</v>
      </c>
      <c r="X4062" s="5">
        <f t="shared" si="606"/>
        <v>0</v>
      </c>
      <c r="Z4062" s="2" t="s">
        <v>3227</v>
      </c>
      <c r="AA4062" s="2" t="s">
        <v>96</v>
      </c>
      <c r="AB4062" s="2" t="s">
        <v>76</v>
      </c>
      <c r="AC4062" s="2" t="s">
        <v>93</v>
      </c>
      <c r="AF4062" s="2">
        <f>AJ4062</f>
        <v>0</v>
      </c>
      <c r="AG4062" s="2">
        <v>1.48</v>
      </c>
      <c r="AH4062" s="2">
        <v>1.48</v>
      </c>
      <c r="AI4062" s="2"/>
      <c r="AJ4062" s="2">
        <f>AI4062*T4062</f>
        <v>0</v>
      </c>
      <c r="AK4062" s="2">
        <f>T4062-W4062</f>
        <v>0</v>
      </c>
      <c r="AL4062" s="5">
        <f>(T4062-W4062)/T4062</f>
        <v>0</v>
      </c>
    </row>
    <row r="4063" spans="1:38" x14ac:dyDescent="0.2">
      <c r="A4063" s="8">
        <v>2026</v>
      </c>
      <c r="B4063" s="8">
        <v>6</v>
      </c>
      <c r="C4063" s="8"/>
      <c r="D4063" s="2" t="s">
        <v>687</v>
      </c>
      <c r="M4063" s="2" t="s">
        <v>40</v>
      </c>
      <c r="P4063" s="2" t="s">
        <v>187</v>
      </c>
      <c r="Q4063" s="2" t="s">
        <v>188</v>
      </c>
      <c r="R4063" s="2" t="s">
        <v>189</v>
      </c>
      <c r="S4063" s="9">
        <v>1</v>
      </c>
      <c r="T4063" s="10">
        <v>60</v>
      </c>
      <c r="U4063" s="2">
        <f t="shared" si="604"/>
        <v>13.8</v>
      </c>
      <c r="V4063" s="2">
        <f t="shared" si="605"/>
        <v>73.8</v>
      </c>
      <c r="W4063" s="2">
        <f>T4063*40%</f>
        <v>24</v>
      </c>
      <c r="X4063" s="5">
        <f t="shared" si="606"/>
        <v>0.6</v>
      </c>
      <c r="Z4063" s="2" t="s">
        <v>117</v>
      </c>
      <c r="AA4063" s="2" t="s">
        <v>190</v>
      </c>
      <c r="AB4063" s="2" t="s">
        <v>189</v>
      </c>
      <c r="AC4063" s="2" t="s">
        <v>40</v>
      </c>
      <c r="AG4063" s="2">
        <f>W4063</f>
        <v>24</v>
      </c>
      <c r="AI4063" s="2"/>
      <c r="AJ4063" s="2">
        <f>AI4063*T4063</f>
        <v>0</v>
      </c>
      <c r="AK4063" s="2">
        <f>T4063-W4063</f>
        <v>36</v>
      </c>
      <c r="AL4063" s="5">
        <f>(T4063-W4063)/T4063</f>
        <v>0.6</v>
      </c>
    </row>
    <row r="4064" spans="1:38" x14ac:dyDescent="0.2">
      <c r="A4064" s="8">
        <v>2026</v>
      </c>
      <c r="B4064" s="8">
        <v>6</v>
      </c>
      <c r="C4064" s="8"/>
      <c r="D4064" s="2" t="s">
        <v>687</v>
      </c>
      <c r="M4064" s="2" t="s">
        <v>40</v>
      </c>
      <c r="P4064" s="2" t="s">
        <v>187</v>
      </c>
      <c r="Q4064" s="2" t="s">
        <v>191</v>
      </c>
      <c r="R4064" s="2" t="s">
        <v>190</v>
      </c>
      <c r="S4064" s="9">
        <v>1</v>
      </c>
      <c r="T4064" s="10">
        <v>55</v>
      </c>
      <c r="U4064" s="2">
        <f t="shared" si="604"/>
        <v>12.65</v>
      </c>
      <c r="V4064" s="2">
        <f t="shared" si="605"/>
        <v>67.650000000000006</v>
      </c>
      <c r="W4064" s="2">
        <f>T4064*50%</f>
        <v>27.5</v>
      </c>
      <c r="X4064" s="5">
        <f t="shared" si="606"/>
        <v>0.5</v>
      </c>
      <c r="Z4064" s="2" t="s">
        <v>117</v>
      </c>
      <c r="AA4064" s="2" t="s">
        <v>190</v>
      </c>
      <c r="AB4064" s="2" t="s">
        <v>190</v>
      </c>
      <c r="AC4064" s="2" t="s">
        <v>40</v>
      </c>
      <c r="AF4064" s="2">
        <f>AJ4064</f>
        <v>0</v>
      </c>
      <c r="AG4064" s="2">
        <f>W4064</f>
        <v>27.5</v>
      </c>
      <c r="AI4064" s="2"/>
      <c r="AJ4064" s="2">
        <f>AI4064*T4064</f>
        <v>0</v>
      </c>
      <c r="AK4064" s="2">
        <f>T4064-W4064</f>
        <v>27.5</v>
      </c>
      <c r="AL4064" s="5">
        <f>(T4064-W4064)/T4064</f>
        <v>0.5</v>
      </c>
    </row>
    <row r="4065" spans="1:38" x14ac:dyDescent="0.2">
      <c r="A4065" s="8">
        <v>2026</v>
      </c>
      <c r="B4065" s="8">
        <v>6</v>
      </c>
      <c r="C4065" s="8"/>
      <c r="D4065" s="2" t="s">
        <v>689</v>
      </c>
      <c r="M4065" s="2" t="s">
        <v>40</v>
      </c>
      <c r="P4065" s="2" t="s">
        <v>114</v>
      </c>
      <c r="Q4065" s="2" t="s">
        <v>904</v>
      </c>
      <c r="R4065" s="2" t="s">
        <v>905</v>
      </c>
      <c r="S4065" s="9">
        <v>1</v>
      </c>
      <c r="T4065" s="10">
        <v>699.3</v>
      </c>
      <c r="U4065" s="2">
        <f t="shared" si="604"/>
        <v>160.839</v>
      </c>
      <c r="V4065" s="10">
        <f t="shared" si="605"/>
        <v>860.1389999999999</v>
      </c>
      <c r="W4065" s="2">
        <v>345.20339999999999</v>
      </c>
      <c r="X4065" s="5">
        <f t="shared" si="606"/>
        <v>0.50635864435864431</v>
      </c>
      <c r="Z4065" s="2" t="s">
        <v>117</v>
      </c>
      <c r="AA4065" s="2" t="s">
        <v>181</v>
      </c>
      <c r="AB4065" s="2" t="s">
        <v>119</v>
      </c>
      <c r="AC4065" s="2" t="s">
        <v>114</v>
      </c>
      <c r="AI4065" s="2"/>
      <c r="AK4065" s="2">
        <f>T4065-W4065</f>
        <v>354.09659999999997</v>
      </c>
      <c r="AL4065" s="5">
        <f>(T4065-W4065)/T4065</f>
        <v>0.50635864435864431</v>
      </c>
    </row>
    <row r="4066" spans="1:38" x14ac:dyDescent="0.2">
      <c r="A4066" s="8">
        <v>2026</v>
      </c>
      <c r="B4066" s="8">
        <v>6</v>
      </c>
      <c r="C4066" s="8"/>
      <c r="D4066" s="2" t="s">
        <v>1977</v>
      </c>
      <c r="P4066" s="2" t="s">
        <v>282</v>
      </c>
      <c r="Q4066" s="2" t="s">
        <v>528</v>
      </c>
      <c r="R4066" s="2" t="s">
        <v>529</v>
      </c>
      <c r="S4066" s="9">
        <v>1</v>
      </c>
      <c r="T4066" s="10">
        <v>399</v>
      </c>
      <c r="U4066" s="2">
        <v>89.016899999999993</v>
      </c>
      <c r="V4066" s="2">
        <v>476.04689999999988</v>
      </c>
      <c r="W4066" s="2">
        <v>299.25</v>
      </c>
      <c r="X4066" s="5">
        <f t="shared" si="606"/>
        <v>0.25</v>
      </c>
      <c r="Z4066" s="2" t="s">
        <v>3227</v>
      </c>
      <c r="AA4066" s="2" t="s">
        <v>71</v>
      </c>
      <c r="AB4066" s="2" t="s">
        <v>119</v>
      </c>
      <c r="AC4066" s="2" t="s">
        <v>119</v>
      </c>
      <c r="AI4066" s="2"/>
      <c r="AL4066" s="2"/>
    </row>
    <row r="4067" spans="1:38" x14ac:dyDescent="0.2">
      <c r="A4067" s="8">
        <v>2026</v>
      </c>
      <c r="B4067" s="8">
        <v>6</v>
      </c>
      <c r="C4067" s="8"/>
      <c r="D4067" s="2" t="s">
        <v>1168</v>
      </c>
      <c r="P4067" s="2" t="s">
        <v>43</v>
      </c>
      <c r="Q4067" s="2" t="s">
        <v>971</v>
      </c>
      <c r="R4067" s="2" t="s">
        <v>972</v>
      </c>
      <c r="S4067" s="9">
        <v>4</v>
      </c>
      <c r="T4067" s="10">
        <v>116</v>
      </c>
      <c r="U4067" s="2">
        <f t="shared" ref="U4067:U4075" si="613">T4067*23%</f>
        <v>26.68</v>
      </c>
      <c r="V4067" s="10">
        <f t="shared" ref="V4067:V4075" si="614">T4067+U4067</f>
        <v>142.68</v>
      </c>
      <c r="W4067" s="2">
        <f>18.9342*S4067</f>
        <v>75.736800000000002</v>
      </c>
      <c r="X4067" s="5">
        <f t="shared" si="606"/>
        <v>0.34709655172413789</v>
      </c>
      <c r="Z4067" s="2" t="s">
        <v>3227</v>
      </c>
      <c r="AA4067" s="2" t="s">
        <v>46</v>
      </c>
      <c r="AB4067" s="2" t="s">
        <v>60</v>
      </c>
      <c r="AC4067" s="2" t="s">
        <v>57</v>
      </c>
      <c r="AI4067" s="2"/>
      <c r="AK4067" s="2">
        <f t="shared" ref="AK4067" si="615">T4067-W4067</f>
        <v>40.263199999999998</v>
      </c>
      <c r="AL4067" s="5">
        <f t="shared" ref="AL4067" si="616">(T4067-W4067)/T4067</f>
        <v>0.34709655172413789</v>
      </c>
    </row>
    <row r="4068" spans="1:38" x14ac:dyDescent="0.2">
      <c r="A4068" s="2">
        <v>2026</v>
      </c>
      <c r="B4068" s="2">
        <v>4</v>
      </c>
      <c r="D4068" s="2" t="s">
        <v>3262</v>
      </c>
      <c r="E4068" s="2" t="s">
        <v>38</v>
      </c>
      <c r="F4068" s="2" t="s">
        <v>3420</v>
      </c>
      <c r="G4068" s="2">
        <v>500844321</v>
      </c>
      <c r="H4068" s="2" t="s">
        <v>40</v>
      </c>
      <c r="I4068" s="2" t="s">
        <v>339</v>
      </c>
      <c r="J4068" s="2" t="s">
        <v>2646</v>
      </c>
      <c r="L4068" s="2" t="s">
        <v>339</v>
      </c>
      <c r="M4068" s="2" t="s">
        <v>290</v>
      </c>
      <c r="O4068" s="2" t="s">
        <v>3261</v>
      </c>
      <c r="P4068" s="2" t="s">
        <v>114</v>
      </c>
      <c r="Q4068" s="2" t="s">
        <v>412</v>
      </c>
      <c r="R4068" s="2" t="s">
        <v>413</v>
      </c>
      <c r="S4068" s="9">
        <v>1</v>
      </c>
      <c r="T4068" s="10">
        <v>19900</v>
      </c>
      <c r="U4068" s="2">
        <f t="shared" si="613"/>
        <v>4577</v>
      </c>
      <c r="V4068" s="2">
        <f t="shared" si="614"/>
        <v>24477</v>
      </c>
      <c r="W4068" s="2">
        <f>10699.41+285.74</f>
        <v>10985.15</v>
      </c>
      <c r="X4068" s="5">
        <f t="shared" si="606"/>
        <v>0.44798241206030154</v>
      </c>
      <c r="Z4068" s="2" t="s">
        <v>104</v>
      </c>
      <c r="AA4068" s="2" t="s">
        <v>414</v>
      </c>
      <c r="AB4068" s="2" t="s">
        <v>151</v>
      </c>
      <c r="AC4068" s="2" t="s">
        <v>114</v>
      </c>
      <c r="AI4068" s="2"/>
      <c r="AK4068" s="2">
        <f>T4068-W4068</f>
        <v>8914.85</v>
      </c>
      <c r="AL4068" s="5">
        <f>(T4068-W4068)/T4068</f>
        <v>0.44798241206030154</v>
      </c>
    </row>
    <row r="4069" spans="1:38" x14ac:dyDescent="0.2">
      <c r="A4069" s="8">
        <v>2026</v>
      </c>
      <c r="B4069" s="8">
        <v>6</v>
      </c>
      <c r="C4069" s="8"/>
      <c r="D4069" s="2" t="s">
        <v>3258</v>
      </c>
      <c r="E4069" s="2" t="s">
        <v>38</v>
      </c>
      <c r="G4069" s="2">
        <v>500844321</v>
      </c>
      <c r="H4069" s="2" t="s">
        <v>40</v>
      </c>
      <c r="I4069" s="2" t="s">
        <v>339</v>
      </c>
      <c r="J4069" s="2" t="s">
        <v>2646</v>
      </c>
      <c r="L4069" s="2" t="s">
        <v>418</v>
      </c>
      <c r="M4069" s="2" t="s">
        <v>41</v>
      </c>
      <c r="O4069" s="2" t="s">
        <v>3263</v>
      </c>
      <c r="P4069" s="2" t="s">
        <v>114</v>
      </c>
      <c r="Q4069" s="2" t="s">
        <v>955</v>
      </c>
      <c r="R4069" s="2" t="s">
        <v>956</v>
      </c>
      <c r="S4069" s="9">
        <v>1</v>
      </c>
      <c r="T4069" s="10">
        <v>8930</v>
      </c>
      <c r="U4069" s="2">
        <f t="shared" si="613"/>
        <v>2053.9</v>
      </c>
      <c r="V4069" s="10">
        <f t="shared" si="614"/>
        <v>10983.9</v>
      </c>
      <c r="W4069" s="2">
        <f>6348.73+221.85</f>
        <v>6570.58</v>
      </c>
      <c r="X4069" s="5">
        <f t="shared" si="606"/>
        <v>0.2642127659574468</v>
      </c>
      <c r="Z4069" s="2" t="s">
        <v>104</v>
      </c>
      <c r="AA4069" s="2" t="s">
        <v>616</v>
      </c>
      <c r="AB4069" s="2" t="s">
        <v>3264</v>
      </c>
      <c r="AC4069" s="2" t="s">
        <v>114</v>
      </c>
      <c r="AI4069" s="2"/>
      <c r="AL4069" s="2"/>
    </row>
    <row r="4070" spans="1:38" x14ac:dyDescent="0.2">
      <c r="A4070" s="8">
        <v>2026</v>
      </c>
      <c r="B4070" s="8">
        <v>6</v>
      </c>
      <c r="C4070" s="8"/>
      <c r="D4070" s="2" t="s">
        <v>3258</v>
      </c>
      <c r="E4070" s="2" t="s">
        <v>38</v>
      </c>
      <c r="G4070" s="2">
        <v>500844321</v>
      </c>
      <c r="H4070" s="2" t="s">
        <v>40</v>
      </c>
      <c r="I4070" s="2" t="s">
        <v>339</v>
      </c>
      <c r="J4070" s="2" t="s">
        <v>2646</v>
      </c>
      <c r="L4070" s="2" t="s">
        <v>418</v>
      </c>
      <c r="M4070" s="2" t="s">
        <v>41</v>
      </c>
      <c r="O4070" s="2" t="s">
        <v>3263</v>
      </c>
      <c r="P4070" s="2" t="s">
        <v>114</v>
      </c>
      <c r="Q4070" s="2" t="s">
        <v>1578</v>
      </c>
      <c r="R4070" s="2" t="s">
        <v>1579</v>
      </c>
      <c r="S4070" s="9">
        <v>1</v>
      </c>
      <c r="T4070" s="10">
        <v>6990</v>
      </c>
      <c r="U4070" s="2">
        <f t="shared" si="613"/>
        <v>1607.7</v>
      </c>
      <c r="V4070" s="10">
        <f t="shared" si="614"/>
        <v>8597.7000000000007</v>
      </c>
      <c r="W4070" s="2">
        <f>4893.23+171</f>
        <v>5064.2299999999996</v>
      </c>
      <c r="X4070" s="5">
        <f t="shared" si="606"/>
        <v>0.27550357653791135</v>
      </c>
      <c r="Z4070" s="2" t="s">
        <v>104</v>
      </c>
      <c r="AA4070" s="2" t="s">
        <v>150</v>
      </c>
      <c r="AB4070" s="2" t="s">
        <v>151</v>
      </c>
      <c r="AC4070" s="2" t="s">
        <v>114</v>
      </c>
      <c r="AI4070" s="2"/>
      <c r="AK4070" s="2">
        <f t="shared" ref="AK4070:AK4075" si="617">T4070-W4070</f>
        <v>1925.7700000000004</v>
      </c>
      <c r="AL4070" s="5">
        <f t="shared" ref="AL4070:AL4075" si="618">(T4070-W4070)/T4070</f>
        <v>0.27550357653791135</v>
      </c>
    </row>
    <row r="4071" spans="1:38" x14ac:dyDescent="0.2">
      <c r="A4071" s="8">
        <v>2026</v>
      </c>
      <c r="B4071" s="8">
        <v>6</v>
      </c>
      <c r="C4071" s="8"/>
      <c r="D4071" s="2" t="s">
        <v>3105</v>
      </c>
      <c r="M4071" s="2" t="s">
        <v>40</v>
      </c>
      <c r="P4071" s="2" t="s">
        <v>187</v>
      </c>
      <c r="Q4071" s="2" t="s">
        <v>188</v>
      </c>
      <c r="R4071" s="2" t="s">
        <v>189</v>
      </c>
      <c r="S4071" s="9">
        <v>1</v>
      </c>
      <c r="T4071" s="10">
        <v>314</v>
      </c>
      <c r="U4071" s="2">
        <f t="shared" si="613"/>
        <v>72.22</v>
      </c>
      <c r="V4071" s="2">
        <f t="shared" si="614"/>
        <v>386.22</v>
      </c>
      <c r="W4071" s="2">
        <f>T4071*40%</f>
        <v>125.60000000000001</v>
      </c>
      <c r="X4071" s="5">
        <f t="shared" si="606"/>
        <v>0.6</v>
      </c>
      <c r="Z4071" s="2" t="s">
        <v>117</v>
      </c>
      <c r="AA4071" s="2" t="s">
        <v>190</v>
      </c>
      <c r="AB4071" s="2" t="s">
        <v>189</v>
      </c>
      <c r="AC4071" s="2" t="s">
        <v>40</v>
      </c>
      <c r="AG4071" s="2">
        <f>W4071</f>
        <v>125.60000000000001</v>
      </c>
      <c r="AI4071" s="2"/>
      <c r="AJ4071" s="2">
        <f>AI4071*T4071</f>
        <v>0</v>
      </c>
      <c r="AK4071" s="2">
        <f t="shared" si="617"/>
        <v>188.39999999999998</v>
      </c>
      <c r="AL4071" s="5">
        <f t="shared" si="618"/>
        <v>0.6</v>
      </c>
    </row>
    <row r="4072" spans="1:38" x14ac:dyDescent="0.2">
      <c r="A4072" s="8">
        <v>2026</v>
      </c>
      <c r="B4072" s="8">
        <v>6</v>
      </c>
      <c r="C4072" s="8"/>
      <c r="D4072" s="2" t="s">
        <v>3105</v>
      </c>
      <c r="M4072" s="2" t="s">
        <v>40</v>
      </c>
      <c r="P4072" s="2" t="s">
        <v>187</v>
      </c>
      <c r="Q4072" s="2" t="s">
        <v>191</v>
      </c>
      <c r="R4072" s="2" t="s">
        <v>190</v>
      </c>
      <c r="S4072" s="9">
        <v>4</v>
      </c>
      <c r="T4072" s="10">
        <v>220</v>
      </c>
      <c r="U4072" s="2">
        <f t="shared" si="613"/>
        <v>50.6</v>
      </c>
      <c r="V4072" s="2">
        <f t="shared" si="614"/>
        <v>270.60000000000002</v>
      </c>
      <c r="W4072" s="2">
        <f>T4072*50%</f>
        <v>110</v>
      </c>
      <c r="X4072" s="5">
        <f t="shared" si="606"/>
        <v>0.5</v>
      </c>
      <c r="Z4072" s="2" t="s">
        <v>117</v>
      </c>
      <c r="AA4072" s="2" t="s">
        <v>190</v>
      </c>
      <c r="AB4072" s="2" t="s">
        <v>190</v>
      </c>
      <c r="AC4072" s="2" t="s">
        <v>40</v>
      </c>
      <c r="AF4072" s="2">
        <f>AJ4072</f>
        <v>0</v>
      </c>
      <c r="AG4072" s="2">
        <f>W4072</f>
        <v>110</v>
      </c>
      <c r="AI4072" s="2"/>
      <c r="AJ4072" s="2">
        <f>AI4072*T4072</f>
        <v>0</v>
      </c>
      <c r="AK4072" s="2">
        <f t="shared" si="617"/>
        <v>110</v>
      </c>
      <c r="AL4072" s="5">
        <f t="shared" si="618"/>
        <v>0.5</v>
      </c>
    </row>
    <row r="4073" spans="1:38" x14ac:dyDescent="0.2">
      <c r="A4073" s="8">
        <v>2026</v>
      </c>
      <c r="B4073" s="8">
        <v>6</v>
      </c>
      <c r="C4073" s="8"/>
      <c r="D4073" s="2" t="s">
        <v>3105</v>
      </c>
      <c r="P4073" s="2" t="s">
        <v>40</v>
      </c>
      <c r="Q4073" s="2" t="s">
        <v>363</v>
      </c>
      <c r="R4073" s="2" t="s">
        <v>364</v>
      </c>
      <c r="S4073" s="9">
        <v>1</v>
      </c>
      <c r="T4073" s="10">
        <v>100</v>
      </c>
      <c r="U4073" s="2">
        <f t="shared" si="613"/>
        <v>23</v>
      </c>
      <c r="V4073" s="10">
        <f t="shared" si="614"/>
        <v>123</v>
      </c>
      <c r="X4073" s="5">
        <f t="shared" si="606"/>
        <v>1</v>
      </c>
      <c r="Z4073" s="2" t="s">
        <v>119</v>
      </c>
      <c r="AA4073" s="2" t="s">
        <v>3380</v>
      </c>
      <c r="AI4073" s="2"/>
      <c r="AK4073" s="2">
        <f t="shared" si="617"/>
        <v>100</v>
      </c>
      <c r="AL4073" s="5">
        <f t="shared" si="618"/>
        <v>1</v>
      </c>
    </row>
    <row r="4074" spans="1:38" x14ac:dyDescent="0.2">
      <c r="A4074" s="8">
        <v>2026</v>
      </c>
      <c r="B4074" s="8">
        <v>6</v>
      </c>
      <c r="C4074" s="8"/>
      <c r="D4074" s="2" t="s">
        <v>2123</v>
      </c>
      <c r="P4074" s="2" t="s">
        <v>1038</v>
      </c>
      <c r="Q4074" s="2" t="s">
        <v>3038</v>
      </c>
      <c r="R4074" s="2" t="s">
        <v>3039</v>
      </c>
      <c r="S4074" s="9">
        <v>4</v>
      </c>
      <c r="T4074" s="10">
        <v>560.97</v>
      </c>
      <c r="U4074" s="2">
        <f t="shared" si="613"/>
        <v>129.0231</v>
      </c>
      <c r="V4074" s="2">
        <f t="shared" si="614"/>
        <v>689.99310000000003</v>
      </c>
      <c r="W4074" s="2">
        <f>80.93*4</f>
        <v>323.72000000000003</v>
      </c>
      <c r="X4074" s="5">
        <f t="shared" si="606"/>
        <v>0.4229281423249015</v>
      </c>
      <c r="Z4074" s="2" t="s">
        <v>3227</v>
      </c>
      <c r="AA4074" s="2" t="s">
        <v>1041</v>
      </c>
      <c r="AB4074" s="2" t="s">
        <v>1270</v>
      </c>
      <c r="AC4074" s="2" t="s">
        <v>1038</v>
      </c>
      <c r="AF4074" s="2">
        <f>AJ4074</f>
        <v>0</v>
      </c>
      <c r="AI4074" s="2"/>
      <c r="AJ4074" s="2">
        <f>AI4074*T4074</f>
        <v>0</v>
      </c>
      <c r="AK4074" s="2">
        <f t="shared" si="617"/>
        <v>237.25</v>
      </c>
      <c r="AL4074" s="5">
        <f t="shared" si="618"/>
        <v>0.4229281423249015</v>
      </c>
    </row>
    <row r="4075" spans="1:38" x14ac:dyDescent="0.2">
      <c r="A4075" s="8">
        <v>2026</v>
      </c>
      <c r="B4075" s="8">
        <v>6</v>
      </c>
      <c r="C4075" s="8"/>
      <c r="D4075" s="2" t="s">
        <v>332</v>
      </c>
      <c r="E4075" s="2" t="s">
        <v>108</v>
      </c>
      <c r="F4075" s="2" t="s">
        <v>39</v>
      </c>
      <c r="G4075" s="2">
        <v>513493557</v>
      </c>
      <c r="H4075" s="2" t="s">
        <v>41</v>
      </c>
      <c r="I4075" s="2" t="s">
        <v>279</v>
      </c>
      <c r="J4075" s="2" t="s">
        <v>333</v>
      </c>
      <c r="L4075" s="2" t="s">
        <v>177</v>
      </c>
      <c r="M4075" s="2" t="s">
        <v>41</v>
      </c>
      <c r="P4075" s="2" t="s">
        <v>43</v>
      </c>
      <c r="Q4075" s="2" t="s">
        <v>63</v>
      </c>
      <c r="R4075" s="2" t="s">
        <v>64</v>
      </c>
      <c r="S4075" s="9">
        <v>20</v>
      </c>
      <c r="T4075" s="10">
        <v>36</v>
      </c>
      <c r="U4075" s="2">
        <f t="shared" si="613"/>
        <v>8.2800000000000011</v>
      </c>
      <c r="V4075" s="10">
        <f t="shared" si="614"/>
        <v>44.28</v>
      </c>
      <c r="W4075" s="2">
        <f>0.8561*S4075</f>
        <v>17.122</v>
      </c>
      <c r="X4075" s="5">
        <f t="shared" si="606"/>
        <v>0.5243888888888889</v>
      </c>
      <c r="Z4075" s="2" t="s">
        <v>3227</v>
      </c>
      <c r="AA4075" s="2" t="s">
        <v>46</v>
      </c>
      <c r="AB4075" s="2" t="s">
        <v>60</v>
      </c>
      <c r="AC4075" s="2" t="s">
        <v>57</v>
      </c>
      <c r="AI4075" s="2"/>
      <c r="AK4075" s="2">
        <f t="shared" si="617"/>
        <v>18.878</v>
      </c>
      <c r="AL4075" s="5">
        <f t="shared" si="618"/>
        <v>0.5243888888888889</v>
      </c>
    </row>
    <row r="4076" spans="1:38" x14ac:dyDescent="0.2">
      <c r="A4076" s="8">
        <v>2026</v>
      </c>
      <c r="B4076" s="8">
        <v>6</v>
      </c>
      <c r="C4076" s="8"/>
      <c r="D4076" s="2" t="s">
        <v>3099</v>
      </c>
      <c r="P4076" s="2" t="s">
        <v>114</v>
      </c>
      <c r="Q4076" s="2" t="s">
        <v>834</v>
      </c>
      <c r="R4076" s="2" t="s">
        <v>835</v>
      </c>
      <c r="S4076" s="9">
        <v>1</v>
      </c>
      <c r="T4076" s="10">
        <v>0</v>
      </c>
      <c r="X4076" s="2"/>
      <c r="Z4076" s="2" t="s">
        <v>117</v>
      </c>
      <c r="AI4076" s="2"/>
      <c r="AL4076" s="2"/>
    </row>
    <row r="4077" spans="1:38" x14ac:dyDescent="0.2">
      <c r="A4077" s="8">
        <v>2026</v>
      </c>
      <c r="B4077" s="8">
        <v>6</v>
      </c>
      <c r="C4077" s="8"/>
      <c r="D4077" s="2" t="s">
        <v>3099</v>
      </c>
      <c r="P4077" s="2" t="s">
        <v>114</v>
      </c>
      <c r="Q4077" s="2" t="s">
        <v>2114</v>
      </c>
      <c r="R4077" s="2" t="s">
        <v>2115</v>
      </c>
      <c r="S4077" s="9">
        <v>1</v>
      </c>
      <c r="T4077" s="10">
        <v>700</v>
      </c>
      <c r="U4077" s="2">
        <f t="shared" ref="U4077:U4108" si="619">T4077*23%</f>
        <v>161</v>
      </c>
      <c r="V4077" s="10">
        <f t="shared" ref="V4077:V4108" si="620">T4077+U4077</f>
        <v>861</v>
      </c>
      <c r="X4077" s="5">
        <f t="shared" ref="X4077:X4092" si="621">(T4077-W4077)/T4077</f>
        <v>1</v>
      </c>
      <c r="AI4077" s="2"/>
      <c r="AK4077" s="2">
        <f t="shared" ref="AK4077:AK4092" si="622">T4077-W4077</f>
        <v>700</v>
      </c>
      <c r="AL4077" s="5">
        <f t="shared" ref="AL4077:AL4092" si="623">(T4077-W4077)/T4077</f>
        <v>1</v>
      </c>
    </row>
    <row r="4078" spans="1:38" x14ac:dyDescent="0.2">
      <c r="A4078" s="8">
        <v>2026</v>
      </c>
      <c r="B4078" s="8">
        <v>6</v>
      </c>
      <c r="C4078" s="8"/>
      <c r="D4078" s="2" t="s">
        <v>3099</v>
      </c>
      <c r="P4078" s="2" t="s">
        <v>114</v>
      </c>
      <c r="Q4078" s="2" t="s">
        <v>1183</v>
      </c>
      <c r="R4078" s="2" t="s">
        <v>1184</v>
      </c>
      <c r="S4078" s="9">
        <v>1</v>
      </c>
      <c r="T4078" s="10">
        <v>11500</v>
      </c>
      <c r="U4078" s="2">
        <f t="shared" si="619"/>
        <v>2645</v>
      </c>
      <c r="V4078" s="10">
        <f t="shared" si="620"/>
        <v>14145</v>
      </c>
      <c r="W4078" s="2">
        <v>7437.5950000000003</v>
      </c>
      <c r="X4078" s="5">
        <f t="shared" si="621"/>
        <v>0.35325260869565217</v>
      </c>
      <c r="Z4078" s="2" t="s">
        <v>104</v>
      </c>
      <c r="AA4078" s="2" t="s">
        <v>414</v>
      </c>
      <c r="AB4078" s="2" t="s">
        <v>151</v>
      </c>
      <c r="AC4078" s="2" t="s">
        <v>114</v>
      </c>
      <c r="AI4078" s="2"/>
      <c r="AK4078" s="2">
        <f t="shared" si="622"/>
        <v>4062.4049999999997</v>
      </c>
      <c r="AL4078" s="5">
        <f t="shared" si="623"/>
        <v>0.35325260869565217</v>
      </c>
    </row>
    <row r="4079" spans="1:38" x14ac:dyDescent="0.2">
      <c r="A4079" s="8">
        <v>2026</v>
      </c>
      <c r="B4079" s="8">
        <v>6</v>
      </c>
      <c r="C4079" s="8" t="s">
        <v>3378</v>
      </c>
      <c r="D4079" s="2" t="s">
        <v>1355</v>
      </c>
      <c r="E4079" s="2" t="s">
        <v>752</v>
      </c>
      <c r="F4079" s="2" t="s">
        <v>39</v>
      </c>
      <c r="G4079" s="2">
        <v>518238334</v>
      </c>
      <c r="H4079" s="2" t="s">
        <v>41</v>
      </c>
      <c r="I4079" s="2" t="s">
        <v>762</v>
      </c>
      <c r="J4079" s="2" t="s">
        <v>1356</v>
      </c>
      <c r="L4079" s="2" t="s">
        <v>418</v>
      </c>
      <c r="M4079" s="2" t="s">
        <v>41</v>
      </c>
      <c r="P4079" s="2" t="s">
        <v>43</v>
      </c>
      <c r="Q4079" s="2" t="s">
        <v>2923</v>
      </c>
      <c r="R4079" s="2" t="s">
        <v>269</v>
      </c>
      <c r="S4079" s="9">
        <v>1</v>
      </c>
      <c r="T4079" s="10">
        <v>10.8</v>
      </c>
      <c r="U4079" s="2">
        <f t="shared" si="619"/>
        <v>2.4840000000000004</v>
      </c>
      <c r="V4079" s="10">
        <f t="shared" si="620"/>
        <v>13.284000000000001</v>
      </c>
      <c r="W4079" s="2">
        <v>5.23</v>
      </c>
      <c r="X4079" s="5">
        <f t="shared" si="621"/>
        <v>0.51574074074074072</v>
      </c>
      <c r="Z4079" s="2" t="s">
        <v>3227</v>
      </c>
      <c r="AA4079" s="2" t="s">
        <v>46</v>
      </c>
      <c r="AB4079" s="2" t="s">
        <v>90</v>
      </c>
      <c r="AC4079" s="2" t="s">
        <v>57</v>
      </c>
      <c r="AI4079" s="2"/>
      <c r="AK4079" s="2">
        <f t="shared" si="622"/>
        <v>5.57</v>
      </c>
      <c r="AL4079" s="5">
        <f t="shared" si="623"/>
        <v>0.51574074074074072</v>
      </c>
    </row>
    <row r="4080" spans="1:38" x14ac:dyDescent="0.2">
      <c r="A4080" s="8">
        <v>2026</v>
      </c>
      <c r="B4080" s="8">
        <v>6</v>
      </c>
      <c r="C4080" s="8" t="s">
        <v>3378</v>
      </c>
      <c r="D4080" s="2" t="s">
        <v>1355</v>
      </c>
      <c r="E4080" s="2" t="s">
        <v>752</v>
      </c>
      <c r="F4080" s="2" t="s">
        <v>39</v>
      </c>
      <c r="G4080" s="2">
        <v>518238334</v>
      </c>
      <c r="H4080" s="2" t="s">
        <v>41</v>
      </c>
      <c r="I4080" s="2" t="s">
        <v>762</v>
      </c>
      <c r="J4080" s="2" t="s">
        <v>1356</v>
      </c>
      <c r="L4080" s="2" t="s">
        <v>418</v>
      </c>
      <c r="M4080" s="2" t="s">
        <v>41</v>
      </c>
      <c r="P4080" s="2" t="s">
        <v>43</v>
      </c>
      <c r="Q4080" s="2" t="s">
        <v>2924</v>
      </c>
      <c r="R4080" s="2" t="s">
        <v>2925</v>
      </c>
      <c r="S4080" s="9">
        <v>1</v>
      </c>
      <c r="T4080" s="10">
        <v>3.6</v>
      </c>
      <c r="U4080" s="2">
        <f t="shared" si="619"/>
        <v>0.82800000000000007</v>
      </c>
      <c r="V4080" s="10">
        <f t="shared" si="620"/>
        <v>4.4279999999999999</v>
      </c>
      <c r="W4080" s="2">
        <f>0.97*S4080</f>
        <v>0.97</v>
      </c>
      <c r="X4080" s="5">
        <f t="shared" si="621"/>
        <v>0.73055555555555551</v>
      </c>
      <c r="Z4080" s="2" t="s">
        <v>3227</v>
      </c>
      <c r="AA4080" s="2" t="s">
        <v>46</v>
      </c>
      <c r="AB4080" s="2" t="s">
        <v>90</v>
      </c>
      <c r="AC4080" s="2" t="s">
        <v>57</v>
      </c>
      <c r="AI4080" s="2"/>
      <c r="AK4080" s="2">
        <f t="shared" si="622"/>
        <v>2.63</v>
      </c>
      <c r="AL4080" s="5">
        <f t="shared" si="623"/>
        <v>0.73055555555555551</v>
      </c>
    </row>
    <row r="4081" spans="1:38" x14ac:dyDescent="0.2">
      <c r="A4081" s="8">
        <v>2026</v>
      </c>
      <c r="B4081" s="8">
        <v>6</v>
      </c>
      <c r="C4081" s="8" t="s">
        <v>3378</v>
      </c>
      <c r="D4081" s="2" t="s">
        <v>1355</v>
      </c>
      <c r="E4081" s="2" t="s">
        <v>752</v>
      </c>
      <c r="F4081" s="2" t="s">
        <v>39</v>
      </c>
      <c r="G4081" s="2">
        <v>518238334</v>
      </c>
      <c r="H4081" s="2" t="s">
        <v>41</v>
      </c>
      <c r="I4081" s="2" t="s">
        <v>762</v>
      </c>
      <c r="J4081" s="2" t="s">
        <v>1356</v>
      </c>
      <c r="L4081" s="2" t="s">
        <v>418</v>
      </c>
      <c r="M4081" s="2" t="s">
        <v>41</v>
      </c>
      <c r="P4081" s="2" t="s">
        <v>43</v>
      </c>
      <c r="Q4081" s="2" t="s">
        <v>351</v>
      </c>
      <c r="R4081" s="2" t="s">
        <v>352</v>
      </c>
      <c r="S4081" s="9">
        <v>1</v>
      </c>
      <c r="T4081" s="10">
        <v>21</v>
      </c>
      <c r="U4081" s="2">
        <f t="shared" si="619"/>
        <v>4.83</v>
      </c>
      <c r="V4081" s="10">
        <f t="shared" si="620"/>
        <v>25.83</v>
      </c>
      <c r="W4081" s="2">
        <f>10.67*S4081</f>
        <v>10.67</v>
      </c>
      <c r="X4081" s="5">
        <f t="shared" si="621"/>
        <v>0.4919047619047619</v>
      </c>
      <c r="Z4081" s="2" t="s">
        <v>3227</v>
      </c>
      <c r="AA4081" s="2" t="s">
        <v>46</v>
      </c>
      <c r="AB4081" s="2" t="s">
        <v>47</v>
      </c>
      <c r="AC4081" s="2" t="s">
        <v>57</v>
      </c>
      <c r="AI4081" s="2"/>
      <c r="AK4081" s="2">
        <f t="shared" si="622"/>
        <v>10.33</v>
      </c>
      <c r="AL4081" s="5">
        <f t="shared" si="623"/>
        <v>0.4919047619047619</v>
      </c>
    </row>
    <row r="4082" spans="1:38" x14ac:dyDescent="0.2">
      <c r="A4082" s="8">
        <v>2026</v>
      </c>
      <c r="B4082" s="8">
        <v>6</v>
      </c>
      <c r="C4082" s="8" t="s">
        <v>3378</v>
      </c>
      <c r="D4082" s="2" t="s">
        <v>1355</v>
      </c>
      <c r="E4082" s="2" t="s">
        <v>752</v>
      </c>
      <c r="F4082" s="2" t="s">
        <v>39</v>
      </c>
      <c r="G4082" s="2">
        <v>518238334</v>
      </c>
      <c r="H4082" s="2" t="s">
        <v>41</v>
      </c>
      <c r="I4082" s="2" t="s">
        <v>762</v>
      </c>
      <c r="J4082" s="2" t="s">
        <v>1356</v>
      </c>
      <c r="L4082" s="2" t="s">
        <v>418</v>
      </c>
      <c r="M4082" s="2" t="s">
        <v>41</v>
      </c>
      <c r="P4082" s="2" t="s">
        <v>43</v>
      </c>
      <c r="Q4082" s="2" t="s">
        <v>158</v>
      </c>
      <c r="R4082" s="2" t="s">
        <v>159</v>
      </c>
      <c r="S4082" s="9">
        <v>1</v>
      </c>
      <c r="T4082" s="10">
        <v>21</v>
      </c>
      <c r="U4082" s="2">
        <f t="shared" si="619"/>
        <v>4.83</v>
      </c>
      <c r="V4082" s="10">
        <f t="shared" si="620"/>
        <v>25.83</v>
      </c>
      <c r="W4082" s="2">
        <f>9.3*S4082</f>
        <v>9.3000000000000007</v>
      </c>
      <c r="X4082" s="5">
        <f t="shared" si="621"/>
        <v>0.55714285714285716</v>
      </c>
      <c r="Z4082" s="2" t="s">
        <v>3227</v>
      </c>
      <c r="AA4082" s="2" t="s">
        <v>46</v>
      </c>
      <c r="AB4082" s="2" t="s">
        <v>47</v>
      </c>
      <c r="AC4082" s="2" t="s">
        <v>57</v>
      </c>
      <c r="AI4082" s="2"/>
      <c r="AK4082" s="2">
        <f t="shared" si="622"/>
        <v>11.7</v>
      </c>
      <c r="AL4082" s="5">
        <f t="shared" si="623"/>
        <v>0.55714285714285716</v>
      </c>
    </row>
    <row r="4083" spans="1:38" x14ac:dyDescent="0.2">
      <c r="A4083" s="8">
        <v>2026</v>
      </c>
      <c r="B4083" s="8">
        <v>6</v>
      </c>
      <c r="C4083" s="8" t="s">
        <v>3378</v>
      </c>
      <c r="D4083" s="2" t="s">
        <v>1355</v>
      </c>
      <c r="E4083" s="2" t="s">
        <v>752</v>
      </c>
      <c r="F4083" s="2" t="s">
        <v>39</v>
      </c>
      <c r="G4083" s="2">
        <v>518238334</v>
      </c>
      <c r="H4083" s="2" t="s">
        <v>41</v>
      </c>
      <c r="I4083" s="2" t="s">
        <v>762</v>
      </c>
      <c r="J4083" s="2" t="s">
        <v>1356</v>
      </c>
      <c r="L4083" s="2" t="s">
        <v>418</v>
      </c>
      <c r="M4083" s="2" t="s">
        <v>41</v>
      </c>
      <c r="P4083" s="2" t="s">
        <v>43</v>
      </c>
      <c r="Q4083" s="2" t="s">
        <v>160</v>
      </c>
      <c r="R4083" s="2" t="s">
        <v>161</v>
      </c>
      <c r="S4083" s="9">
        <v>1</v>
      </c>
      <c r="T4083" s="10">
        <v>9</v>
      </c>
      <c r="U4083" s="2">
        <f t="shared" si="619"/>
        <v>2.0700000000000003</v>
      </c>
      <c r="V4083" s="10">
        <f t="shared" si="620"/>
        <v>11.07</v>
      </c>
      <c r="W4083" s="2">
        <f>3.7358*S4083</f>
        <v>3.7357999999999998</v>
      </c>
      <c r="X4083" s="5">
        <f t="shared" si="621"/>
        <v>0.58491111111111116</v>
      </c>
      <c r="Z4083" s="2" t="s">
        <v>3227</v>
      </c>
      <c r="AA4083" s="2" t="s">
        <v>46</v>
      </c>
      <c r="AB4083" s="2" t="s">
        <v>47</v>
      </c>
      <c r="AC4083" s="2" t="s">
        <v>57</v>
      </c>
      <c r="AI4083" s="2"/>
      <c r="AK4083" s="2">
        <f t="shared" si="622"/>
        <v>5.2642000000000007</v>
      </c>
      <c r="AL4083" s="5">
        <f t="shared" si="623"/>
        <v>0.58491111111111116</v>
      </c>
    </row>
    <row r="4084" spans="1:38" x14ac:dyDescent="0.2">
      <c r="A4084" s="8">
        <v>2026</v>
      </c>
      <c r="B4084" s="8">
        <v>6</v>
      </c>
      <c r="C4084" s="8" t="s">
        <v>3378</v>
      </c>
      <c r="D4084" s="2" t="s">
        <v>1355</v>
      </c>
      <c r="E4084" s="2" t="s">
        <v>752</v>
      </c>
      <c r="F4084" s="2" t="s">
        <v>39</v>
      </c>
      <c r="G4084" s="2">
        <v>518238334</v>
      </c>
      <c r="H4084" s="2" t="s">
        <v>41</v>
      </c>
      <c r="I4084" s="2" t="s">
        <v>762</v>
      </c>
      <c r="J4084" s="2" t="s">
        <v>1356</v>
      </c>
      <c r="L4084" s="2" t="s">
        <v>418</v>
      </c>
      <c r="M4084" s="2" t="s">
        <v>41</v>
      </c>
      <c r="P4084" s="2" t="s">
        <v>43</v>
      </c>
      <c r="Q4084" s="2" t="s">
        <v>234</v>
      </c>
      <c r="R4084" s="2" t="s">
        <v>235</v>
      </c>
      <c r="S4084" s="9">
        <v>1</v>
      </c>
      <c r="T4084" s="10">
        <v>14.4</v>
      </c>
      <c r="U4084" s="2">
        <f t="shared" si="619"/>
        <v>3.3120000000000003</v>
      </c>
      <c r="V4084" s="10">
        <f t="shared" si="620"/>
        <v>17.712</v>
      </c>
      <c r="W4084" s="2">
        <v>7.2217000000000002</v>
      </c>
      <c r="X4084" s="5">
        <f t="shared" si="621"/>
        <v>0.49849305555555556</v>
      </c>
      <c r="Z4084" s="2" t="s">
        <v>3227</v>
      </c>
      <c r="AA4084" s="2" t="s">
        <v>46</v>
      </c>
      <c r="AB4084" s="2" t="s">
        <v>56</v>
      </c>
      <c r="AC4084" s="2" t="s">
        <v>57</v>
      </c>
      <c r="AI4084" s="2"/>
      <c r="AK4084" s="2">
        <f t="shared" si="622"/>
        <v>7.1783000000000001</v>
      </c>
      <c r="AL4084" s="5">
        <f t="shared" si="623"/>
        <v>0.49849305555555556</v>
      </c>
    </row>
    <row r="4085" spans="1:38" x14ac:dyDescent="0.2">
      <c r="A4085" s="8">
        <v>2026</v>
      </c>
      <c r="B4085" s="8">
        <v>6</v>
      </c>
      <c r="C4085" s="8" t="s">
        <v>3378</v>
      </c>
      <c r="D4085" s="2" t="s">
        <v>1355</v>
      </c>
      <c r="E4085" s="2" t="s">
        <v>752</v>
      </c>
      <c r="F4085" s="2" t="s">
        <v>39</v>
      </c>
      <c r="G4085" s="2">
        <v>518238334</v>
      </c>
      <c r="H4085" s="2" t="s">
        <v>41</v>
      </c>
      <c r="I4085" s="2" t="s">
        <v>762</v>
      </c>
      <c r="J4085" s="2" t="s">
        <v>1356</v>
      </c>
      <c r="L4085" s="2" t="s">
        <v>418</v>
      </c>
      <c r="M4085" s="2" t="s">
        <v>41</v>
      </c>
      <c r="P4085" s="2" t="s">
        <v>43</v>
      </c>
      <c r="Q4085" s="2" t="s">
        <v>236</v>
      </c>
      <c r="R4085" s="2" t="s">
        <v>237</v>
      </c>
      <c r="S4085" s="9">
        <v>1</v>
      </c>
      <c r="T4085" s="10">
        <v>17.399999999999999</v>
      </c>
      <c r="U4085" s="2">
        <f t="shared" si="619"/>
        <v>4.0019999999999998</v>
      </c>
      <c r="V4085" s="10">
        <f t="shared" si="620"/>
        <v>21.401999999999997</v>
      </c>
      <c r="W4085" s="2">
        <f>9.075*S4085</f>
        <v>9.0749999999999993</v>
      </c>
      <c r="X4085" s="5">
        <f t="shared" si="621"/>
        <v>0.47844827586206895</v>
      </c>
      <c r="Z4085" s="2" t="s">
        <v>3227</v>
      </c>
      <c r="AA4085" s="2" t="s">
        <v>46</v>
      </c>
      <c r="AB4085" s="2" t="s">
        <v>56</v>
      </c>
      <c r="AC4085" s="2" t="s">
        <v>57</v>
      </c>
      <c r="AI4085" s="2"/>
      <c r="AK4085" s="2">
        <f t="shared" si="622"/>
        <v>8.3249999999999993</v>
      </c>
      <c r="AL4085" s="5">
        <f t="shared" si="623"/>
        <v>0.47844827586206895</v>
      </c>
    </row>
    <row r="4086" spans="1:38" x14ac:dyDescent="0.2">
      <c r="A4086" s="8">
        <v>2026</v>
      </c>
      <c r="B4086" s="8">
        <v>6</v>
      </c>
      <c r="C4086" s="8" t="s">
        <v>3378</v>
      </c>
      <c r="D4086" s="2" t="s">
        <v>1355</v>
      </c>
      <c r="E4086" s="2" t="s">
        <v>752</v>
      </c>
      <c r="F4086" s="2" t="s">
        <v>39</v>
      </c>
      <c r="G4086" s="2">
        <v>518238334</v>
      </c>
      <c r="H4086" s="2" t="s">
        <v>41</v>
      </c>
      <c r="I4086" s="2" t="s">
        <v>762</v>
      </c>
      <c r="J4086" s="2" t="s">
        <v>1356</v>
      </c>
      <c r="L4086" s="2" t="s">
        <v>418</v>
      </c>
      <c r="M4086" s="2" t="s">
        <v>41</v>
      </c>
      <c r="P4086" s="2" t="s">
        <v>43</v>
      </c>
      <c r="Q4086" s="2" t="s">
        <v>238</v>
      </c>
      <c r="R4086" s="2" t="s">
        <v>239</v>
      </c>
      <c r="S4086" s="9">
        <v>1</v>
      </c>
      <c r="T4086" s="10">
        <v>21</v>
      </c>
      <c r="U4086" s="2">
        <f t="shared" si="619"/>
        <v>4.83</v>
      </c>
      <c r="V4086" s="10">
        <f t="shared" si="620"/>
        <v>25.83</v>
      </c>
      <c r="W4086" s="2">
        <f>11.045*S4086</f>
        <v>11.045</v>
      </c>
      <c r="X4086" s="5">
        <f t="shared" si="621"/>
        <v>0.47404761904761905</v>
      </c>
      <c r="Z4086" s="2" t="s">
        <v>3227</v>
      </c>
      <c r="AA4086" s="2" t="s">
        <v>46</v>
      </c>
      <c r="AB4086" s="2" t="s">
        <v>56</v>
      </c>
      <c r="AC4086" s="2" t="s">
        <v>57</v>
      </c>
      <c r="AI4086" s="2"/>
      <c r="AK4086" s="2">
        <f t="shared" si="622"/>
        <v>9.9550000000000001</v>
      </c>
      <c r="AL4086" s="5">
        <f t="shared" si="623"/>
        <v>0.47404761904761905</v>
      </c>
    </row>
    <row r="4087" spans="1:38" x14ac:dyDescent="0.2">
      <c r="A4087" s="8">
        <v>2026</v>
      </c>
      <c r="B4087" s="8">
        <v>6</v>
      </c>
      <c r="C4087" s="8" t="s">
        <v>3378</v>
      </c>
      <c r="D4087" s="2" t="s">
        <v>1355</v>
      </c>
      <c r="E4087" s="2" t="s">
        <v>752</v>
      </c>
      <c r="F4087" s="2" t="s">
        <v>39</v>
      </c>
      <c r="G4087" s="2">
        <v>518238334</v>
      </c>
      <c r="H4087" s="2" t="s">
        <v>41</v>
      </c>
      <c r="I4087" s="2" t="s">
        <v>762</v>
      </c>
      <c r="J4087" s="2" t="s">
        <v>1356</v>
      </c>
      <c r="L4087" s="2" t="s">
        <v>418</v>
      </c>
      <c r="M4087" s="2" t="s">
        <v>41</v>
      </c>
      <c r="P4087" s="2" t="s">
        <v>43</v>
      </c>
      <c r="Q4087" s="2" t="s">
        <v>240</v>
      </c>
      <c r="R4087" s="2" t="s">
        <v>241</v>
      </c>
      <c r="S4087" s="9">
        <v>1</v>
      </c>
      <c r="T4087" s="10">
        <v>25.2</v>
      </c>
      <c r="U4087" s="2">
        <f t="shared" si="619"/>
        <v>5.7960000000000003</v>
      </c>
      <c r="V4087" s="10">
        <f t="shared" si="620"/>
        <v>30.995999999999999</v>
      </c>
      <c r="W4087" s="2">
        <f>13.4067*S4087</f>
        <v>13.406700000000001</v>
      </c>
      <c r="X4087" s="5">
        <f t="shared" si="621"/>
        <v>0.4679880952380952</v>
      </c>
      <c r="Z4087" s="2" t="s">
        <v>3227</v>
      </c>
      <c r="AA4087" s="2" t="s">
        <v>46</v>
      </c>
      <c r="AB4087" s="2" t="s">
        <v>56</v>
      </c>
      <c r="AC4087" s="2" t="s">
        <v>57</v>
      </c>
      <c r="AI4087" s="2"/>
      <c r="AK4087" s="2">
        <f t="shared" si="622"/>
        <v>11.793299999999999</v>
      </c>
      <c r="AL4087" s="5">
        <f t="shared" si="623"/>
        <v>0.4679880952380952</v>
      </c>
    </row>
    <row r="4088" spans="1:38" x14ac:dyDescent="0.2">
      <c r="A4088" s="8">
        <v>2026</v>
      </c>
      <c r="B4088" s="8">
        <v>6</v>
      </c>
      <c r="C4088" s="8" t="s">
        <v>3378</v>
      </c>
      <c r="D4088" s="2" t="s">
        <v>1355</v>
      </c>
      <c r="E4088" s="2" t="s">
        <v>752</v>
      </c>
      <c r="F4088" s="2" t="s">
        <v>39</v>
      </c>
      <c r="G4088" s="2">
        <v>518238334</v>
      </c>
      <c r="H4088" s="2" t="s">
        <v>41</v>
      </c>
      <c r="I4088" s="2" t="s">
        <v>762</v>
      </c>
      <c r="J4088" s="2" t="s">
        <v>1356</v>
      </c>
      <c r="L4088" s="2" t="s">
        <v>418</v>
      </c>
      <c r="M4088" s="2" t="s">
        <v>41</v>
      </c>
      <c r="P4088" s="2" t="s">
        <v>43</v>
      </c>
      <c r="Q4088" s="2" t="s">
        <v>242</v>
      </c>
      <c r="R4088" s="2" t="s">
        <v>243</v>
      </c>
      <c r="S4088" s="9">
        <v>1</v>
      </c>
      <c r="T4088" s="10">
        <v>30</v>
      </c>
      <c r="U4088" s="2">
        <f t="shared" si="619"/>
        <v>6.9</v>
      </c>
      <c r="V4088" s="10">
        <f t="shared" si="620"/>
        <v>36.9</v>
      </c>
      <c r="W4088" s="2">
        <f>16.2249*S4088</f>
        <v>16.224900000000002</v>
      </c>
      <c r="X4088" s="5">
        <f t="shared" si="621"/>
        <v>0.45916999999999997</v>
      </c>
      <c r="Z4088" s="2" t="s">
        <v>3227</v>
      </c>
      <c r="AA4088" s="2" t="s">
        <v>46</v>
      </c>
      <c r="AB4088" s="2" t="s">
        <v>56</v>
      </c>
      <c r="AC4088" s="2" t="s">
        <v>57</v>
      </c>
      <c r="AI4088" s="2"/>
      <c r="AK4088" s="2">
        <f t="shared" si="622"/>
        <v>13.775099999999998</v>
      </c>
      <c r="AL4088" s="5">
        <f t="shared" si="623"/>
        <v>0.45916999999999997</v>
      </c>
    </row>
    <row r="4089" spans="1:38" x14ac:dyDescent="0.2">
      <c r="A4089" s="8">
        <v>2026</v>
      </c>
      <c r="B4089" s="8">
        <v>6</v>
      </c>
      <c r="C4089" s="8" t="s">
        <v>3378</v>
      </c>
      <c r="D4089" s="2" t="s">
        <v>1355</v>
      </c>
      <c r="E4089" s="2" t="s">
        <v>752</v>
      </c>
      <c r="F4089" s="2" t="s">
        <v>39</v>
      </c>
      <c r="G4089" s="2">
        <v>518238334</v>
      </c>
      <c r="H4089" s="2" t="s">
        <v>41</v>
      </c>
      <c r="I4089" s="2" t="s">
        <v>762</v>
      </c>
      <c r="J4089" s="2" t="s">
        <v>1356</v>
      </c>
      <c r="L4089" s="2" t="s">
        <v>418</v>
      </c>
      <c r="M4089" s="2" t="s">
        <v>41</v>
      </c>
      <c r="P4089" s="2" t="s">
        <v>43</v>
      </c>
      <c r="Q4089" s="2" t="s">
        <v>244</v>
      </c>
      <c r="R4089" s="2" t="s">
        <v>245</v>
      </c>
      <c r="S4089" s="9">
        <v>1</v>
      </c>
      <c r="T4089" s="10">
        <v>18</v>
      </c>
      <c r="U4089" s="2">
        <f t="shared" si="619"/>
        <v>4.1400000000000006</v>
      </c>
      <c r="V4089" s="10">
        <f t="shared" si="620"/>
        <v>22.14</v>
      </c>
      <c r="W4089" s="2">
        <f>9.2346*S4089</f>
        <v>9.2346000000000004</v>
      </c>
      <c r="X4089" s="5">
        <f t="shared" si="621"/>
        <v>0.48696666666666666</v>
      </c>
      <c r="Z4089" s="2" t="s">
        <v>3227</v>
      </c>
      <c r="AA4089" s="2" t="s">
        <v>46</v>
      </c>
      <c r="AB4089" s="2" t="s">
        <v>56</v>
      </c>
      <c r="AC4089" s="2" t="s">
        <v>57</v>
      </c>
      <c r="AI4089" s="2"/>
      <c r="AK4089" s="2">
        <f t="shared" si="622"/>
        <v>8.7653999999999996</v>
      </c>
      <c r="AL4089" s="5">
        <f t="shared" si="623"/>
        <v>0.48696666666666666</v>
      </c>
    </row>
    <row r="4090" spans="1:38" x14ac:dyDescent="0.2">
      <c r="A4090" s="8">
        <v>2026</v>
      </c>
      <c r="B4090" s="8">
        <v>6</v>
      </c>
      <c r="C4090" s="8" t="s">
        <v>3378</v>
      </c>
      <c r="D4090" s="2" t="s">
        <v>1355</v>
      </c>
      <c r="E4090" s="2" t="s">
        <v>752</v>
      </c>
      <c r="F4090" s="2" t="s">
        <v>39</v>
      </c>
      <c r="G4090" s="2">
        <v>518238334</v>
      </c>
      <c r="H4090" s="2" t="s">
        <v>41</v>
      </c>
      <c r="I4090" s="2" t="s">
        <v>762</v>
      </c>
      <c r="J4090" s="2" t="s">
        <v>1356</v>
      </c>
      <c r="L4090" s="2" t="s">
        <v>418</v>
      </c>
      <c r="M4090" s="2" t="s">
        <v>41</v>
      </c>
      <c r="P4090" s="2" t="s">
        <v>43</v>
      </c>
      <c r="Q4090" s="2" t="s">
        <v>246</v>
      </c>
      <c r="R4090" s="2" t="s">
        <v>247</v>
      </c>
      <c r="S4090" s="9">
        <v>1</v>
      </c>
      <c r="T4090" s="10">
        <v>19.8</v>
      </c>
      <c r="U4090" s="2">
        <f t="shared" si="619"/>
        <v>4.5540000000000003</v>
      </c>
      <c r="V4090" s="10">
        <f t="shared" si="620"/>
        <v>24.353999999999999</v>
      </c>
      <c r="W4090" s="2">
        <f>10.5267*S4090</f>
        <v>10.5267</v>
      </c>
      <c r="X4090" s="5">
        <f t="shared" si="621"/>
        <v>0.46834848484848485</v>
      </c>
      <c r="Z4090" s="2" t="s">
        <v>3227</v>
      </c>
      <c r="AA4090" s="2" t="s">
        <v>46</v>
      </c>
      <c r="AB4090" s="2" t="s">
        <v>56</v>
      </c>
      <c r="AC4090" s="2" t="s">
        <v>57</v>
      </c>
      <c r="AI4090" s="2"/>
      <c r="AK4090" s="2">
        <f t="shared" si="622"/>
        <v>9.2733000000000008</v>
      </c>
      <c r="AL4090" s="5">
        <f t="shared" si="623"/>
        <v>0.46834848484848485</v>
      </c>
    </row>
    <row r="4091" spans="1:38" x14ac:dyDescent="0.2">
      <c r="A4091" s="8">
        <v>2026</v>
      </c>
      <c r="B4091" s="8">
        <v>6</v>
      </c>
      <c r="C4091" s="8" t="s">
        <v>3378</v>
      </c>
      <c r="D4091" s="2" t="s">
        <v>1355</v>
      </c>
      <c r="E4091" s="2" t="s">
        <v>752</v>
      </c>
      <c r="F4091" s="2" t="s">
        <v>39</v>
      </c>
      <c r="G4091" s="2">
        <v>518238334</v>
      </c>
      <c r="H4091" s="2" t="s">
        <v>41</v>
      </c>
      <c r="I4091" s="2" t="s">
        <v>762</v>
      </c>
      <c r="J4091" s="2" t="s">
        <v>1356</v>
      </c>
      <c r="L4091" s="2" t="s">
        <v>418</v>
      </c>
      <c r="M4091" s="2" t="s">
        <v>41</v>
      </c>
      <c r="P4091" s="2" t="s">
        <v>43</v>
      </c>
      <c r="Q4091" s="2" t="s">
        <v>285</v>
      </c>
      <c r="R4091" s="2" t="s">
        <v>286</v>
      </c>
      <c r="S4091" s="9">
        <v>1</v>
      </c>
      <c r="T4091" s="10">
        <v>22.8</v>
      </c>
      <c r="U4091" s="2">
        <f t="shared" si="619"/>
        <v>5.2440000000000007</v>
      </c>
      <c r="V4091" s="10">
        <f t="shared" si="620"/>
        <v>28.044</v>
      </c>
      <c r="W4091" s="2">
        <f>12.2604*S4091</f>
        <v>12.260400000000001</v>
      </c>
      <c r="X4091" s="5">
        <f t="shared" si="621"/>
        <v>0.46226315789473682</v>
      </c>
      <c r="Z4091" s="2" t="s">
        <v>3227</v>
      </c>
      <c r="AA4091" s="2" t="s">
        <v>46</v>
      </c>
      <c r="AB4091" s="2" t="s">
        <v>56</v>
      </c>
      <c r="AC4091" s="2" t="s">
        <v>57</v>
      </c>
      <c r="AI4091" s="2"/>
      <c r="AK4091" s="2">
        <f t="shared" si="622"/>
        <v>10.5396</v>
      </c>
      <c r="AL4091" s="5">
        <f t="shared" si="623"/>
        <v>0.46226315789473682</v>
      </c>
    </row>
    <row r="4092" spans="1:38" x14ac:dyDescent="0.2">
      <c r="A4092" s="8">
        <v>2026</v>
      </c>
      <c r="B4092" s="8">
        <v>6</v>
      </c>
      <c r="C4092" s="8" t="s">
        <v>3378</v>
      </c>
      <c r="D4092" s="2" t="s">
        <v>1355</v>
      </c>
      <c r="E4092" s="2" t="s">
        <v>752</v>
      </c>
      <c r="F4092" s="2" t="s">
        <v>39</v>
      </c>
      <c r="G4092" s="2">
        <v>518238334</v>
      </c>
      <c r="H4092" s="2" t="s">
        <v>41</v>
      </c>
      <c r="I4092" s="2" t="s">
        <v>762</v>
      </c>
      <c r="J4092" s="2" t="s">
        <v>1356</v>
      </c>
      <c r="L4092" s="2" t="s">
        <v>418</v>
      </c>
      <c r="M4092" s="2" t="s">
        <v>41</v>
      </c>
      <c r="P4092" s="2" t="s">
        <v>43</v>
      </c>
      <c r="Q4092" s="2" t="s">
        <v>248</v>
      </c>
      <c r="R4092" s="2" t="s">
        <v>249</v>
      </c>
      <c r="S4092" s="9">
        <v>1</v>
      </c>
      <c r="T4092" s="10">
        <v>24</v>
      </c>
      <c r="U4092" s="2">
        <f t="shared" si="619"/>
        <v>5.5200000000000005</v>
      </c>
      <c r="V4092" s="10">
        <f t="shared" si="620"/>
        <v>29.52</v>
      </c>
      <c r="W4092" s="2">
        <f>12.71*S4092</f>
        <v>12.71</v>
      </c>
      <c r="X4092" s="5">
        <f t="shared" si="621"/>
        <v>0.47041666666666665</v>
      </c>
      <c r="Z4092" s="2" t="s">
        <v>3227</v>
      </c>
      <c r="AA4092" s="2" t="s">
        <v>46</v>
      </c>
      <c r="AB4092" s="2" t="s">
        <v>56</v>
      </c>
      <c r="AC4092" s="2" t="s">
        <v>57</v>
      </c>
      <c r="AI4092" s="2"/>
      <c r="AK4092" s="2">
        <f t="shared" si="622"/>
        <v>11.29</v>
      </c>
      <c r="AL4092" s="5">
        <f t="shared" si="623"/>
        <v>0.47041666666666665</v>
      </c>
    </row>
    <row r="4093" spans="1:38" x14ac:dyDescent="0.2">
      <c r="A4093" s="8">
        <v>2026</v>
      </c>
      <c r="B4093" s="8">
        <v>6</v>
      </c>
      <c r="C4093" s="8" t="s">
        <v>3378</v>
      </c>
      <c r="D4093" s="2" t="s">
        <v>1355</v>
      </c>
      <c r="E4093" s="2" t="s">
        <v>752</v>
      </c>
      <c r="F4093" s="2" t="s">
        <v>39</v>
      </c>
      <c r="G4093" s="2">
        <v>518238334</v>
      </c>
      <c r="H4093" s="2" t="s">
        <v>41</v>
      </c>
      <c r="I4093" s="2" t="s">
        <v>762</v>
      </c>
      <c r="J4093" s="2" t="s">
        <v>1356</v>
      </c>
      <c r="L4093" s="2" t="s">
        <v>418</v>
      </c>
      <c r="M4093" s="2" t="s">
        <v>41</v>
      </c>
      <c r="P4093" s="2" t="s">
        <v>43</v>
      </c>
      <c r="Q4093" s="2" t="s">
        <v>54</v>
      </c>
      <c r="R4093" s="2" t="s">
        <v>55</v>
      </c>
      <c r="S4093" s="9">
        <v>1</v>
      </c>
      <c r="T4093" s="10">
        <v>0</v>
      </c>
      <c r="U4093" s="2">
        <f t="shared" si="619"/>
        <v>0</v>
      </c>
      <c r="V4093" s="10">
        <f t="shared" si="620"/>
        <v>0</v>
      </c>
      <c r="W4093" s="2">
        <v>10.6</v>
      </c>
      <c r="X4093" s="5">
        <v>0</v>
      </c>
      <c r="Z4093" s="2" t="s">
        <v>3227</v>
      </c>
      <c r="AA4093" s="2" t="s">
        <v>46</v>
      </c>
      <c r="AB4093" s="2" t="s">
        <v>56</v>
      </c>
      <c r="AC4093" s="2" t="s">
        <v>57</v>
      </c>
      <c r="AI4093" s="2"/>
      <c r="AK4093" s="2">
        <f t="shared" ref="AK4093" si="624">T4093-W4093</f>
        <v>-10.6</v>
      </c>
    </row>
    <row r="4094" spans="1:38" x14ac:dyDescent="0.2">
      <c r="A4094" s="8">
        <v>2026</v>
      </c>
      <c r="B4094" s="8">
        <v>6</v>
      </c>
      <c r="C4094" s="8" t="s">
        <v>3378</v>
      </c>
      <c r="D4094" s="2" t="s">
        <v>1355</v>
      </c>
      <c r="E4094" s="2" t="s">
        <v>752</v>
      </c>
      <c r="F4094" s="2" t="s">
        <v>39</v>
      </c>
      <c r="G4094" s="2">
        <v>518238334</v>
      </c>
      <c r="H4094" s="2" t="s">
        <v>41</v>
      </c>
      <c r="I4094" s="2" t="s">
        <v>762</v>
      </c>
      <c r="J4094" s="2" t="s">
        <v>1356</v>
      </c>
      <c r="L4094" s="2" t="s">
        <v>418</v>
      </c>
      <c r="M4094" s="2" t="s">
        <v>41</v>
      </c>
      <c r="P4094" s="2" t="s">
        <v>43</v>
      </c>
      <c r="Q4094" s="2" t="s">
        <v>58</v>
      </c>
      <c r="R4094" s="2" t="s">
        <v>59</v>
      </c>
      <c r="S4094" s="2">
        <v>100</v>
      </c>
      <c r="T4094" s="10">
        <v>14</v>
      </c>
      <c r="U4094" s="2">
        <f t="shared" si="619"/>
        <v>3.22</v>
      </c>
      <c r="V4094" s="10">
        <f t="shared" si="620"/>
        <v>17.22</v>
      </c>
      <c r="W4094" s="2">
        <f>0.0914*S4094</f>
        <v>9.1399999999999988</v>
      </c>
      <c r="X4094" s="5">
        <f>(T4094-W4094)/T4094</f>
        <v>0.34714285714285725</v>
      </c>
      <c r="Z4094" s="2" t="s">
        <v>3227</v>
      </c>
      <c r="AA4094" s="2" t="s">
        <v>46</v>
      </c>
      <c r="AB4094" s="2" t="s">
        <v>60</v>
      </c>
      <c r="AC4094" s="2" t="s">
        <v>57</v>
      </c>
      <c r="AF4094" s="2">
        <f>AJ4094</f>
        <v>0</v>
      </c>
      <c r="AG4094" s="2">
        <v>9.14</v>
      </c>
      <c r="AH4094" s="2">
        <v>16</v>
      </c>
      <c r="AI4094" s="2"/>
      <c r="AK4094" s="2">
        <f>T4094-W4094</f>
        <v>4.8600000000000012</v>
      </c>
      <c r="AL4094" s="5">
        <f>(T4094-W4094)/T4094</f>
        <v>0.34714285714285725</v>
      </c>
    </row>
    <row r="4095" spans="1:38" x14ac:dyDescent="0.2">
      <c r="A4095" s="8">
        <v>2026</v>
      </c>
      <c r="B4095" s="8">
        <v>6</v>
      </c>
      <c r="C4095" s="8" t="s">
        <v>3378</v>
      </c>
      <c r="D4095" s="2" t="s">
        <v>1355</v>
      </c>
      <c r="E4095" s="2" t="s">
        <v>752</v>
      </c>
      <c r="F4095" s="2" t="s">
        <v>39</v>
      </c>
      <c r="G4095" s="2">
        <v>518238334</v>
      </c>
      <c r="H4095" s="2" t="s">
        <v>41</v>
      </c>
      <c r="I4095" s="2" t="s">
        <v>762</v>
      </c>
      <c r="J4095" s="2" t="s">
        <v>1356</v>
      </c>
      <c r="L4095" s="2" t="s">
        <v>418</v>
      </c>
      <c r="M4095" s="2" t="s">
        <v>41</v>
      </c>
      <c r="P4095" s="2" t="s">
        <v>43</v>
      </c>
      <c r="Q4095" s="2" t="s">
        <v>61</v>
      </c>
      <c r="R4095" s="2" t="s">
        <v>62</v>
      </c>
      <c r="S4095" s="9">
        <v>100</v>
      </c>
      <c r="T4095" s="10">
        <v>13</v>
      </c>
      <c r="U4095" s="2">
        <f t="shared" si="619"/>
        <v>2.99</v>
      </c>
      <c r="V4095" s="10">
        <f t="shared" si="620"/>
        <v>15.99</v>
      </c>
      <c r="W4095" s="2">
        <f>0.082*S4095</f>
        <v>8.2000000000000011</v>
      </c>
      <c r="X4095" s="5">
        <f>(T4095-W4095)/T4095</f>
        <v>0.36923076923076914</v>
      </c>
      <c r="Z4095" s="2" t="s">
        <v>3227</v>
      </c>
      <c r="AA4095" s="2" t="s">
        <v>46</v>
      </c>
      <c r="AB4095" s="2" t="s">
        <v>60</v>
      </c>
      <c r="AC4095" s="2" t="s">
        <v>57</v>
      </c>
      <c r="AI4095" s="2"/>
      <c r="AK4095" s="2">
        <f>T4095-W4095</f>
        <v>4.7999999999999989</v>
      </c>
      <c r="AL4095" s="5">
        <f>(T4095-W4095)/T4095</f>
        <v>0.36923076923076914</v>
      </c>
    </row>
    <row r="4096" spans="1:38" x14ac:dyDescent="0.2">
      <c r="A4096" s="8">
        <v>2026</v>
      </c>
      <c r="B4096" s="8">
        <v>6</v>
      </c>
      <c r="C4096" s="8" t="s">
        <v>3378</v>
      </c>
      <c r="D4096" s="2" t="s">
        <v>1355</v>
      </c>
      <c r="E4096" s="2" t="s">
        <v>752</v>
      </c>
      <c r="F4096" s="2" t="s">
        <v>39</v>
      </c>
      <c r="G4096" s="2">
        <v>518238334</v>
      </c>
      <c r="H4096" s="2" t="s">
        <v>41</v>
      </c>
      <c r="I4096" s="2" t="s">
        <v>762</v>
      </c>
      <c r="J4096" s="2" t="s">
        <v>1356</v>
      </c>
      <c r="L4096" s="2" t="s">
        <v>418</v>
      </c>
      <c r="M4096" s="2" t="s">
        <v>41</v>
      </c>
      <c r="P4096" s="2" t="s">
        <v>43</v>
      </c>
      <c r="Q4096" s="2" t="s">
        <v>254</v>
      </c>
      <c r="R4096" s="2" t="s">
        <v>255</v>
      </c>
      <c r="S4096" s="9">
        <v>100</v>
      </c>
      <c r="T4096" s="10">
        <v>14</v>
      </c>
      <c r="U4096" s="2">
        <f t="shared" si="619"/>
        <v>3.22</v>
      </c>
      <c r="V4096" s="10">
        <f t="shared" si="620"/>
        <v>17.22</v>
      </c>
      <c r="W4096" s="2">
        <f>0.0914*S4096</f>
        <v>9.1399999999999988</v>
      </c>
      <c r="X4096" s="5">
        <f>(T4096-W4096)/T4096</f>
        <v>0.34714285714285725</v>
      </c>
      <c r="Z4096" s="2" t="s">
        <v>3227</v>
      </c>
      <c r="AA4096" s="2" t="s">
        <v>46</v>
      </c>
      <c r="AB4096" s="2" t="s">
        <v>60</v>
      </c>
      <c r="AC4096" s="2" t="s">
        <v>57</v>
      </c>
      <c r="AI4096" s="2"/>
      <c r="AK4096" s="2">
        <f>T4096-W4096</f>
        <v>4.8600000000000012</v>
      </c>
      <c r="AL4096" s="5">
        <f>(T4096-W4096)/T4096</f>
        <v>0.34714285714285725</v>
      </c>
    </row>
    <row r="4097" spans="1:38" x14ac:dyDescent="0.2">
      <c r="A4097" s="8">
        <v>2026</v>
      </c>
      <c r="B4097" s="8">
        <v>6</v>
      </c>
      <c r="C4097" s="8" t="s">
        <v>3378</v>
      </c>
      <c r="D4097" s="2" t="s">
        <v>1355</v>
      </c>
      <c r="E4097" s="2" t="s">
        <v>752</v>
      </c>
      <c r="F4097" s="2" t="s">
        <v>39</v>
      </c>
      <c r="G4097" s="2">
        <v>518238334</v>
      </c>
      <c r="H4097" s="2" t="s">
        <v>41</v>
      </c>
      <c r="I4097" s="2" t="s">
        <v>762</v>
      </c>
      <c r="J4097" s="2" t="s">
        <v>1356</v>
      </c>
      <c r="L4097" s="2" t="s">
        <v>418</v>
      </c>
      <c r="M4097" s="2" t="s">
        <v>41</v>
      </c>
      <c r="P4097" s="2" t="s">
        <v>43</v>
      </c>
      <c r="Q4097" s="2" t="s">
        <v>2965</v>
      </c>
      <c r="R4097" s="2" t="s">
        <v>2966</v>
      </c>
      <c r="S4097" s="9">
        <v>1</v>
      </c>
      <c r="T4097" s="10">
        <v>0</v>
      </c>
      <c r="U4097" s="2">
        <f t="shared" si="619"/>
        <v>0</v>
      </c>
      <c r="V4097" s="10">
        <f t="shared" si="620"/>
        <v>0</v>
      </c>
      <c r="W4097" s="2">
        <v>19.68</v>
      </c>
      <c r="Z4097" s="2" t="s">
        <v>3227</v>
      </c>
      <c r="AA4097" s="2" t="s">
        <v>46</v>
      </c>
      <c r="AB4097" s="2" t="s">
        <v>90</v>
      </c>
      <c r="AC4097" s="2" t="s">
        <v>57</v>
      </c>
      <c r="AI4097" s="2"/>
      <c r="AK4097" s="2">
        <f>T4097-W4097</f>
        <v>-19.68</v>
      </c>
    </row>
    <row r="4098" spans="1:38" x14ac:dyDescent="0.2">
      <c r="A4098" s="8">
        <v>2026</v>
      </c>
      <c r="B4098" s="8">
        <v>6</v>
      </c>
      <c r="C4098" s="8" t="s">
        <v>3378</v>
      </c>
      <c r="D4098" s="2" t="s">
        <v>1355</v>
      </c>
      <c r="E4098" s="2" t="s">
        <v>752</v>
      </c>
      <c r="F4098" s="2" t="s">
        <v>39</v>
      </c>
      <c r="G4098" s="2">
        <v>518238334</v>
      </c>
      <c r="H4098" s="2" t="s">
        <v>41</v>
      </c>
      <c r="I4098" s="2" t="s">
        <v>762</v>
      </c>
      <c r="J4098" s="2" t="s">
        <v>1356</v>
      </c>
      <c r="L4098" s="2" t="s">
        <v>418</v>
      </c>
      <c r="M4098" s="2" t="s">
        <v>41</v>
      </c>
      <c r="P4098" s="2" t="s">
        <v>43</v>
      </c>
      <c r="Q4098" s="2" t="s">
        <v>2967</v>
      </c>
      <c r="R4098" s="2" t="s">
        <v>2968</v>
      </c>
      <c r="S4098" s="9">
        <v>2</v>
      </c>
      <c r="T4098" s="10">
        <v>40</v>
      </c>
      <c r="U4098" s="2">
        <f t="shared" si="619"/>
        <v>9.2000000000000011</v>
      </c>
      <c r="V4098" s="10">
        <f t="shared" si="620"/>
        <v>49.2</v>
      </c>
      <c r="W4098" s="2">
        <f>11.525*S4098</f>
        <v>23.05</v>
      </c>
      <c r="X4098" s="5">
        <f t="shared" ref="X4098:X4129" si="625">(T4098-W4098)/T4098</f>
        <v>0.42374999999999996</v>
      </c>
      <c r="Z4098" s="2" t="s">
        <v>3227</v>
      </c>
      <c r="AA4098" s="2" t="s">
        <v>46</v>
      </c>
      <c r="AB4098" s="2" t="s">
        <v>56</v>
      </c>
      <c r="AC4098" s="2" t="s">
        <v>57</v>
      </c>
      <c r="AI4098" s="2"/>
      <c r="AK4098" s="2">
        <f t="shared" ref="AK4098:AK4119" si="626">T4098-W4098</f>
        <v>16.95</v>
      </c>
      <c r="AL4098" s="5">
        <f t="shared" ref="AL4098:AL4119" si="627">(T4098-W4098)/T4098</f>
        <v>0.42374999999999996</v>
      </c>
    </row>
    <row r="4099" spans="1:38" x14ac:dyDescent="0.2">
      <c r="A4099" s="8">
        <v>2026</v>
      </c>
      <c r="B4099" s="8">
        <v>6</v>
      </c>
      <c r="C4099" s="8" t="s">
        <v>3378</v>
      </c>
      <c r="D4099" s="2" t="s">
        <v>1355</v>
      </c>
      <c r="E4099" s="2" t="s">
        <v>752</v>
      </c>
      <c r="F4099" s="2" t="s">
        <v>39</v>
      </c>
      <c r="G4099" s="2">
        <v>518238334</v>
      </c>
      <c r="H4099" s="2" t="s">
        <v>41</v>
      </c>
      <c r="I4099" s="2" t="s">
        <v>762</v>
      </c>
      <c r="J4099" s="2" t="s">
        <v>1356</v>
      </c>
      <c r="L4099" s="2" t="s">
        <v>418</v>
      </c>
      <c r="M4099" s="2" t="s">
        <v>41</v>
      </c>
      <c r="P4099" s="2" t="s">
        <v>43</v>
      </c>
      <c r="Q4099" s="2" t="s">
        <v>256</v>
      </c>
      <c r="R4099" s="2" t="s">
        <v>257</v>
      </c>
      <c r="S4099" s="9">
        <v>1</v>
      </c>
      <c r="T4099" s="10">
        <v>3</v>
      </c>
      <c r="U4099" s="2">
        <f t="shared" si="619"/>
        <v>0.69000000000000006</v>
      </c>
      <c r="V4099" s="10">
        <f t="shared" si="620"/>
        <v>3.69</v>
      </c>
      <c r="W4099" s="2">
        <f>0.98*S4099</f>
        <v>0.98</v>
      </c>
      <c r="X4099" s="5">
        <f t="shared" si="625"/>
        <v>0.67333333333333334</v>
      </c>
      <c r="Z4099" s="2" t="s">
        <v>3227</v>
      </c>
      <c r="AA4099" s="2" t="s">
        <v>46</v>
      </c>
      <c r="AB4099" s="2" t="s">
        <v>90</v>
      </c>
      <c r="AC4099" s="2" t="s">
        <v>57</v>
      </c>
      <c r="AI4099" s="2"/>
      <c r="AK4099" s="2">
        <f t="shared" si="626"/>
        <v>2.02</v>
      </c>
      <c r="AL4099" s="5">
        <f t="shared" si="627"/>
        <v>0.67333333333333334</v>
      </c>
    </row>
    <row r="4100" spans="1:38" x14ac:dyDescent="0.2">
      <c r="A4100" s="8">
        <v>2026</v>
      </c>
      <c r="B4100" s="8">
        <v>6</v>
      </c>
      <c r="C4100" s="8" t="s">
        <v>3378</v>
      </c>
      <c r="D4100" s="2" t="s">
        <v>1355</v>
      </c>
      <c r="E4100" s="2" t="s">
        <v>752</v>
      </c>
      <c r="F4100" s="2" t="s">
        <v>39</v>
      </c>
      <c r="G4100" s="2">
        <v>518238334</v>
      </c>
      <c r="H4100" s="2" t="s">
        <v>41</v>
      </c>
      <c r="I4100" s="2" t="s">
        <v>762</v>
      </c>
      <c r="J4100" s="2" t="s">
        <v>1356</v>
      </c>
      <c r="L4100" s="2" t="s">
        <v>418</v>
      </c>
      <c r="M4100" s="2" t="s">
        <v>41</v>
      </c>
      <c r="P4100" s="2" t="s">
        <v>43</v>
      </c>
      <c r="Q4100" s="2" t="s">
        <v>162</v>
      </c>
      <c r="R4100" s="2" t="s">
        <v>163</v>
      </c>
      <c r="S4100" s="9">
        <v>1</v>
      </c>
      <c r="T4100" s="10">
        <v>21</v>
      </c>
      <c r="U4100" s="2">
        <f t="shared" si="619"/>
        <v>4.83</v>
      </c>
      <c r="V4100" s="10">
        <f t="shared" si="620"/>
        <v>25.83</v>
      </c>
      <c r="W4100" s="2">
        <f>8*S4100</f>
        <v>8</v>
      </c>
      <c r="X4100" s="5">
        <f t="shared" si="625"/>
        <v>0.61904761904761907</v>
      </c>
      <c r="Z4100" s="2" t="s">
        <v>3227</v>
      </c>
      <c r="AA4100" s="2" t="s">
        <v>46</v>
      </c>
      <c r="AB4100" s="2" t="s">
        <v>47</v>
      </c>
      <c r="AC4100" s="2" t="s">
        <v>57</v>
      </c>
      <c r="AI4100" s="2"/>
      <c r="AK4100" s="2">
        <f t="shared" si="626"/>
        <v>13</v>
      </c>
      <c r="AL4100" s="5">
        <f t="shared" si="627"/>
        <v>0.61904761904761907</v>
      </c>
    </row>
    <row r="4101" spans="1:38" x14ac:dyDescent="0.2">
      <c r="A4101" s="8">
        <v>2026</v>
      </c>
      <c r="B4101" s="8">
        <v>6</v>
      </c>
      <c r="C4101" s="8" t="s">
        <v>3378</v>
      </c>
      <c r="D4101" s="2" t="s">
        <v>1355</v>
      </c>
      <c r="E4101" s="2" t="s">
        <v>752</v>
      </c>
      <c r="F4101" s="2" t="s">
        <v>39</v>
      </c>
      <c r="G4101" s="2">
        <v>518238334</v>
      </c>
      <c r="H4101" s="2" t="s">
        <v>41</v>
      </c>
      <c r="I4101" s="2" t="s">
        <v>762</v>
      </c>
      <c r="J4101" s="2" t="s">
        <v>1356</v>
      </c>
      <c r="L4101" s="2" t="s">
        <v>418</v>
      </c>
      <c r="M4101" s="2" t="s">
        <v>41</v>
      </c>
      <c r="P4101" s="2" t="s">
        <v>43</v>
      </c>
      <c r="Q4101" s="2" t="s">
        <v>63</v>
      </c>
      <c r="R4101" s="2" t="s">
        <v>64</v>
      </c>
      <c r="S4101" s="9">
        <v>8</v>
      </c>
      <c r="T4101" s="10">
        <v>14.4</v>
      </c>
      <c r="U4101" s="2">
        <f t="shared" si="619"/>
        <v>3.3120000000000003</v>
      </c>
      <c r="V4101" s="10">
        <f t="shared" si="620"/>
        <v>17.712</v>
      </c>
      <c r="W4101" s="2">
        <f>0.8561*S4101</f>
        <v>6.8487999999999998</v>
      </c>
      <c r="X4101" s="5">
        <f t="shared" si="625"/>
        <v>0.5243888888888889</v>
      </c>
      <c r="Z4101" s="2" t="s">
        <v>3227</v>
      </c>
      <c r="AA4101" s="2" t="s">
        <v>46</v>
      </c>
      <c r="AB4101" s="2" t="s">
        <v>60</v>
      </c>
      <c r="AC4101" s="2" t="s">
        <v>57</v>
      </c>
      <c r="AI4101" s="2"/>
      <c r="AK4101" s="2">
        <f t="shared" si="626"/>
        <v>7.5512000000000006</v>
      </c>
      <c r="AL4101" s="5">
        <f t="shared" si="627"/>
        <v>0.5243888888888889</v>
      </c>
    </row>
    <row r="4102" spans="1:38" x14ac:dyDescent="0.2">
      <c r="A4102" s="8">
        <v>2026</v>
      </c>
      <c r="B4102" s="8">
        <v>6</v>
      </c>
      <c r="C4102" s="8" t="s">
        <v>3378</v>
      </c>
      <c r="D4102" s="2" t="s">
        <v>1355</v>
      </c>
      <c r="E4102" s="2" t="s">
        <v>752</v>
      </c>
      <c r="F4102" s="2" t="s">
        <v>39</v>
      </c>
      <c r="G4102" s="2">
        <v>518238334</v>
      </c>
      <c r="H4102" s="2" t="s">
        <v>41</v>
      </c>
      <c r="I4102" s="2" t="s">
        <v>762</v>
      </c>
      <c r="J4102" s="2" t="s">
        <v>1356</v>
      </c>
      <c r="L4102" s="2" t="s">
        <v>418</v>
      </c>
      <c r="M4102" s="2" t="s">
        <v>41</v>
      </c>
      <c r="P4102" s="2" t="s">
        <v>43</v>
      </c>
      <c r="Q4102" s="2" t="s">
        <v>579</v>
      </c>
      <c r="R4102" s="2" t="s">
        <v>580</v>
      </c>
      <c r="S4102" s="9">
        <v>4</v>
      </c>
      <c r="T4102" s="10">
        <v>12</v>
      </c>
      <c r="U4102" s="2">
        <f t="shared" si="619"/>
        <v>2.7600000000000002</v>
      </c>
      <c r="V4102" s="10">
        <f t="shared" si="620"/>
        <v>14.76</v>
      </c>
      <c r="W4102" s="2">
        <f>1.4114*S4102</f>
        <v>5.6456</v>
      </c>
      <c r="X4102" s="5">
        <f t="shared" si="625"/>
        <v>0.5295333333333333</v>
      </c>
      <c r="Z4102" s="2" t="s">
        <v>3227</v>
      </c>
      <c r="AA4102" s="2" t="s">
        <v>46</v>
      </c>
      <c r="AB4102" s="2" t="s">
        <v>60</v>
      </c>
      <c r="AC4102" s="2" t="s">
        <v>57</v>
      </c>
      <c r="AI4102" s="2"/>
      <c r="AK4102" s="2">
        <f t="shared" si="626"/>
        <v>6.3544</v>
      </c>
      <c r="AL4102" s="5">
        <f t="shared" si="627"/>
        <v>0.5295333333333333</v>
      </c>
    </row>
    <row r="4103" spans="1:38" x14ac:dyDescent="0.2">
      <c r="A4103" s="8">
        <v>2026</v>
      </c>
      <c r="B4103" s="8">
        <v>6</v>
      </c>
      <c r="C4103" s="8" t="s">
        <v>3378</v>
      </c>
      <c r="D4103" s="2" t="s">
        <v>1355</v>
      </c>
      <c r="E4103" s="2" t="s">
        <v>752</v>
      </c>
      <c r="F4103" s="2" t="s">
        <v>39</v>
      </c>
      <c r="G4103" s="2">
        <v>518238334</v>
      </c>
      <c r="H4103" s="2" t="s">
        <v>41</v>
      </c>
      <c r="I4103" s="2" t="s">
        <v>762</v>
      </c>
      <c r="J4103" s="2" t="s">
        <v>1356</v>
      </c>
      <c r="L4103" s="2" t="s">
        <v>418</v>
      </c>
      <c r="M4103" s="2" t="s">
        <v>41</v>
      </c>
      <c r="P4103" s="2" t="s">
        <v>43</v>
      </c>
      <c r="Q4103" s="2" t="s">
        <v>505</v>
      </c>
      <c r="R4103" s="2" t="s">
        <v>506</v>
      </c>
      <c r="S4103" s="9">
        <v>10</v>
      </c>
      <c r="T4103" s="10">
        <v>12</v>
      </c>
      <c r="U4103" s="2">
        <f t="shared" si="619"/>
        <v>2.7600000000000002</v>
      </c>
      <c r="V4103" s="10">
        <f t="shared" si="620"/>
        <v>14.76</v>
      </c>
      <c r="W4103" s="2">
        <f>0.677*S4103</f>
        <v>6.7700000000000005</v>
      </c>
      <c r="X4103" s="5">
        <f t="shared" si="625"/>
        <v>0.43583333333333329</v>
      </c>
      <c r="Z4103" s="2" t="s">
        <v>3227</v>
      </c>
      <c r="AA4103" s="2" t="s">
        <v>46</v>
      </c>
      <c r="AB4103" s="2" t="s">
        <v>60</v>
      </c>
      <c r="AC4103" s="2" t="s">
        <v>57</v>
      </c>
      <c r="AI4103" s="2"/>
      <c r="AK4103" s="2">
        <f t="shared" si="626"/>
        <v>5.2299999999999995</v>
      </c>
      <c r="AL4103" s="5">
        <f t="shared" si="627"/>
        <v>0.43583333333333329</v>
      </c>
    </row>
    <row r="4104" spans="1:38" x14ac:dyDescent="0.2">
      <c r="A4104" s="8">
        <v>2026</v>
      </c>
      <c r="B4104" s="8">
        <v>6</v>
      </c>
      <c r="C4104" s="8" t="s">
        <v>3378</v>
      </c>
      <c r="D4104" s="2" t="s">
        <v>1355</v>
      </c>
      <c r="E4104" s="2" t="s">
        <v>752</v>
      </c>
      <c r="F4104" s="2" t="s">
        <v>39</v>
      </c>
      <c r="G4104" s="2">
        <v>518238334</v>
      </c>
      <c r="H4104" s="2" t="s">
        <v>41</v>
      </c>
      <c r="I4104" s="2" t="s">
        <v>762</v>
      </c>
      <c r="J4104" s="2" t="s">
        <v>1356</v>
      </c>
      <c r="L4104" s="2" t="s">
        <v>418</v>
      </c>
      <c r="M4104" s="2" t="s">
        <v>41</v>
      </c>
      <c r="P4104" s="2" t="s">
        <v>43</v>
      </c>
      <c r="Q4104" s="2" t="s">
        <v>65</v>
      </c>
      <c r="R4104" s="2" t="s">
        <v>66</v>
      </c>
      <c r="S4104" s="9">
        <v>1</v>
      </c>
      <c r="T4104" s="10">
        <v>23</v>
      </c>
      <c r="U4104" s="2">
        <f t="shared" si="619"/>
        <v>5.29</v>
      </c>
      <c r="V4104" s="10">
        <f t="shared" si="620"/>
        <v>28.29</v>
      </c>
      <c r="W4104" s="2">
        <f>15.0203*S4104</f>
        <v>15.020300000000001</v>
      </c>
      <c r="X4104" s="5">
        <f t="shared" si="625"/>
        <v>0.34694347826086952</v>
      </c>
      <c r="Z4104" s="2" t="s">
        <v>3227</v>
      </c>
      <c r="AA4104" s="2" t="s">
        <v>46</v>
      </c>
      <c r="AB4104" s="2" t="s">
        <v>67</v>
      </c>
      <c r="AC4104" s="2" t="s">
        <v>57</v>
      </c>
      <c r="AI4104" s="2"/>
      <c r="AK4104" s="2">
        <f t="shared" si="626"/>
        <v>7.9796999999999993</v>
      </c>
      <c r="AL4104" s="5">
        <f t="shared" si="627"/>
        <v>0.34694347826086952</v>
      </c>
    </row>
    <row r="4105" spans="1:38" x14ac:dyDescent="0.2">
      <c r="A4105" s="8">
        <v>2026</v>
      </c>
      <c r="B4105" s="8">
        <v>6</v>
      </c>
      <c r="C4105" s="8" t="s">
        <v>3378</v>
      </c>
      <c r="D4105" s="2" t="s">
        <v>1355</v>
      </c>
      <c r="E4105" s="2" t="s">
        <v>752</v>
      </c>
      <c r="F4105" s="2" t="s">
        <v>39</v>
      </c>
      <c r="G4105" s="2">
        <v>518238334</v>
      </c>
      <c r="H4105" s="2" t="s">
        <v>41</v>
      </c>
      <c r="I4105" s="2" t="s">
        <v>762</v>
      </c>
      <c r="J4105" s="2" t="s">
        <v>1356</v>
      </c>
      <c r="L4105" s="2" t="s">
        <v>418</v>
      </c>
      <c r="M4105" s="2" t="s">
        <v>41</v>
      </c>
      <c r="P4105" s="2" t="s">
        <v>43</v>
      </c>
      <c r="Q4105" s="2" t="s">
        <v>3040</v>
      </c>
      <c r="R4105" s="2" t="s">
        <v>3041</v>
      </c>
      <c r="S4105" s="9">
        <v>1</v>
      </c>
      <c r="T4105" s="10">
        <v>7.8</v>
      </c>
      <c r="U4105" s="2">
        <f t="shared" si="619"/>
        <v>1.794</v>
      </c>
      <c r="V4105" s="10">
        <f t="shared" si="620"/>
        <v>9.5939999999999994</v>
      </c>
      <c r="W4105" s="2">
        <v>5.43</v>
      </c>
      <c r="X4105" s="5">
        <f t="shared" si="625"/>
        <v>0.30384615384615388</v>
      </c>
      <c r="Z4105" s="2" t="s">
        <v>3227</v>
      </c>
      <c r="AA4105" s="2" t="s">
        <v>46</v>
      </c>
      <c r="AB4105" s="2" t="s">
        <v>90</v>
      </c>
      <c r="AC4105" s="2" t="s">
        <v>57</v>
      </c>
      <c r="AI4105" s="2"/>
      <c r="AK4105" s="2">
        <f t="shared" si="626"/>
        <v>2.37</v>
      </c>
      <c r="AL4105" s="5">
        <f t="shared" si="627"/>
        <v>0.30384615384615388</v>
      </c>
    </row>
    <row r="4106" spans="1:38" x14ac:dyDescent="0.2">
      <c r="A4106" s="8">
        <v>2026</v>
      </c>
      <c r="B4106" s="8">
        <v>6</v>
      </c>
      <c r="C4106" s="8" t="s">
        <v>3378</v>
      </c>
      <c r="D4106" s="2" t="s">
        <v>1355</v>
      </c>
      <c r="E4106" s="2" t="s">
        <v>752</v>
      </c>
      <c r="F4106" s="2" t="s">
        <v>39</v>
      </c>
      <c r="G4106" s="2">
        <v>518238334</v>
      </c>
      <c r="H4106" s="2" t="s">
        <v>41</v>
      </c>
      <c r="I4106" s="2" t="s">
        <v>762</v>
      </c>
      <c r="J4106" s="2" t="s">
        <v>1356</v>
      </c>
      <c r="L4106" s="2" t="s">
        <v>418</v>
      </c>
      <c r="M4106" s="2" t="s">
        <v>41</v>
      </c>
      <c r="P4106" s="2" t="s">
        <v>84</v>
      </c>
      <c r="Q4106" s="2" t="s">
        <v>1971</v>
      </c>
      <c r="R4106" s="2" t="s">
        <v>1972</v>
      </c>
      <c r="S4106" s="9">
        <v>1</v>
      </c>
      <c r="T4106" s="10">
        <v>12</v>
      </c>
      <c r="U4106" s="2">
        <f t="shared" si="619"/>
        <v>2.7600000000000002</v>
      </c>
      <c r="V4106" s="2">
        <f t="shared" si="620"/>
        <v>14.76</v>
      </c>
      <c r="X4106" s="5">
        <f t="shared" si="625"/>
        <v>1</v>
      </c>
      <c r="Z4106" s="2" t="s">
        <v>3227</v>
      </c>
      <c r="AA4106" s="2" t="s">
        <v>3379</v>
      </c>
      <c r="AI4106" s="2"/>
      <c r="AK4106" s="2">
        <f t="shared" si="626"/>
        <v>12</v>
      </c>
      <c r="AL4106" s="5">
        <f t="shared" si="627"/>
        <v>1</v>
      </c>
    </row>
    <row r="4107" spans="1:38" x14ac:dyDescent="0.2">
      <c r="A4107" s="8">
        <v>2026</v>
      </c>
      <c r="B4107" s="8">
        <v>6</v>
      </c>
      <c r="C4107" s="8" t="s">
        <v>3378</v>
      </c>
      <c r="D4107" s="2" t="s">
        <v>1355</v>
      </c>
      <c r="E4107" s="2" t="s">
        <v>752</v>
      </c>
      <c r="F4107" s="2" t="s">
        <v>39</v>
      </c>
      <c r="G4107" s="2">
        <v>518238334</v>
      </c>
      <c r="H4107" s="2" t="s">
        <v>41</v>
      </c>
      <c r="I4107" s="2" t="s">
        <v>762</v>
      </c>
      <c r="J4107" s="2" t="s">
        <v>1356</v>
      </c>
      <c r="L4107" s="2" t="s">
        <v>418</v>
      </c>
      <c r="M4107" s="2" t="s">
        <v>41</v>
      </c>
      <c r="P4107" s="2" t="s">
        <v>84</v>
      </c>
      <c r="Q4107" s="2" t="s">
        <v>270</v>
      </c>
      <c r="R4107" s="2" t="s">
        <v>271</v>
      </c>
      <c r="S4107" s="9">
        <v>1</v>
      </c>
      <c r="T4107" s="10">
        <v>12</v>
      </c>
      <c r="U4107" s="2">
        <f t="shared" si="619"/>
        <v>2.7600000000000002</v>
      </c>
      <c r="V4107" s="2">
        <f t="shared" si="620"/>
        <v>14.76</v>
      </c>
      <c r="W4107" s="2">
        <v>6.86</v>
      </c>
      <c r="X4107" s="5">
        <f t="shared" si="625"/>
        <v>0.42833333333333329</v>
      </c>
      <c r="Z4107" s="2" t="s">
        <v>3227</v>
      </c>
      <c r="AA4107" s="2" t="s">
        <v>3379</v>
      </c>
      <c r="AB4107" s="2" t="s">
        <v>90</v>
      </c>
      <c r="AC4107" s="2" t="s">
        <v>84</v>
      </c>
      <c r="AI4107" s="2"/>
      <c r="AK4107" s="2">
        <f t="shared" si="626"/>
        <v>5.14</v>
      </c>
      <c r="AL4107" s="5">
        <f t="shared" si="627"/>
        <v>0.42833333333333329</v>
      </c>
    </row>
    <row r="4108" spans="1:38" x14ac:dyDescent="0.2">
      <c r="A4108" s="8">
        <v>2026</v>
      </c>
      <c r="B4108" s="8">
        <v>6</v>
      </c>
      <c r="C4108" s="8" t="s">
        <v>3378</v>
      </c>
      <c r="D4108" s="2" t="s">
        <v>1355</v>
      </c>
      <c r="E4108" s="2" t="s">
        <v>752</v>
      </c>
      <c r="F4108" s="2" t="s">
        <v>39</v>
      </c>
      <c r="G4108" s="2">
        <v>518238334</v>
      </c>
      <c r="H4108" s="2" t="s">
        <v>41</v>
      </c>
      <c r="I4108" s="2" t="s">
        <v>762</v>
      </c>
      <c r="J4108" s="2" t="s">
        <v>1356</v>
      </c>
      <c r="L4108" s="2" t="s">
        <v>418</v>
      </c>
      <c r="M4108" s="2" t="s">
        <v>41</v>
      </c>
      <c r="P4108" s="2" t="s">
        <v>84</v>
      </c>
      <c r="Q4108" s="2" t="s">
        <v>3042</v>
      </c>
      <c r="R4108" s="2" t="s">
        <v>3043</v>
      </c>
      <c r="S4108" s="9">
        <v>1</v>
      </c>
      <c r="T4108" s="10">
        <v>3</v>
      </c>
      <c r="U4108" s="2">
        <f t="shared" si="619"/>
        <v>0.69000000000000006</v>
      </c>
      <c r="V4108" s="2">
        <f t="shared" si="620"/>
        <v>3.69</v>
      </c>
      <c r="X4108" s="5">
        <f t="shared" si="625"/>
        <v>1</v>
      </c>
      <c r="Z4108" s="2" t="s">
        <v>3227</v>
      </c>
      <c r="AA4108" s="2" t="s">
        <v>3379</v>
      </c>
      <c r="AI4108" s="2"/>
      <c r="AK4108" s="2">
        <f t="shared" si="626"/>
        <v>3</v>
      </c>
      <c r="AL4108" s="5">
        <f t="shared" si="627"/>
        <v>1</v>
      </c>
    </row>
    <row r="4109" spans="1:38" x14ac:dyDescent="0.2">
      <c r="A4109" s="8">
        <v>2026</v>
      </c>
      <c r="B4109" s="8">
        <v>6</v>
      </c>
      <c r="C4109" s="8"/>
      <c r="D4109" s="2" t="s">
        <v>2557</v>
      </c>
      <c r="P4109" s="2" t="s">
        <v>114</v>
      </c>
      <c r="Q4109" s="2" t="s">
        <v>3044</v>
      </c>
      <c r="R4109" s="2" t="s">
        <v>3045</v>
      </c>
      <c r="S4109" s="9">
        <v>1</v>
      </c>
      <c r="T4109" s="10">
        <v>140.37</v>
      </c>
      <c r="U4109" s="2">
        <f t="shared" ref="U4109:U4140" si="628">T4109*23%</f>
        <v>32.2851</v>
      </c>
      <c r="V4109" s="10">
        <f t="shared" ref="V4109:V4140" si="629">T4109+U4109</f>
        <v>172.6551</v>
      </c>
      <c r="X4109" s="5">
        <f t="shared" si="625"/>
        <v>1</v>
      </c>
      <c r="AI4109" s="2"/>
      <c r="AK4109" s="2">
        <f t="shared" si="626"/>
        <v>140.37</v>
      </c>
      <c r="AL4109" s="5">
        <f t="shared" si="627"/>
        <v>1</v>
      </c>
    </row>
    <row r="4110" spans="1:38" x14ac:dyDescent="0.2">
      <c r="A4110" s="8">
        <v>2026</v>
      </c>
      <c r="B4110" s="8">
        <v>6</v>
      </c>
      <c r="C4110" s="8"/>
      <c r="D4110" s="2" t="s">
        <v>2557</v>
      </c>
      <c r="M4110" s="2" t="s">
        <v>40</v>
      </c>
      <c r="P4110" s="2" t="s">
        <v>187</v>
      </c>
      <c r="Q4110" s="2" t="s">
        <v>188</v>
      </c>
      <c r="R4110" s="2" t="s">
        <v>189</v>
      </c>
      <c r="S4110" s="9">
        <v>1</v>
      </c>
      <c r="T4110" s="10">
        <v>333</v>
      </c>
      <c r="U4110" s="2">
        <f t="shared" si="628"/>
        <v>76.59</v>
      </c>
      <c r="V4110" s="2">
        <f t="shared" si="629"/>
        <v>409.59000000000003</v>
      </c>
      <c r="W4110" s="2">
        <f>T4110*40%</f>
        <v>133.20000000000002</v>
      </c>
      <c r="X4110" s="5">
        <f t="shared" si="625"/>
        <v>0.6</v>
      </c>
      <c r="Z4110" s="2" t="s">
        <v>117</v>
      </c>
      <c r="AA4110" s="2" t="s">
        <v>190</v>
      </c>
      <c r="AB4110" s="2" t="s">
        <v>189</v>
      </c>
      <c r="AC4110" s="2" t="s">
        <v>40</v>
      </c>
      <c r="AG4110" s="2">
        <f>W4110</f>
        <v>133.20000000000002</v>
      </c>
      <c r="AI4110" s="2"/>
      <c r="AJ4110" s="2">
        <f>AI4110*T4110</f>
        <v>0</v>
      </c>
      <c r="AK4110" s="2">
        <f t="shared" si="626"/>
        <v>199.79999999999998</v>
      </c>
      <c r="AL4110" s="5">
        <f t="shared" si="627"/>
        <v>0.6</v>
      </c>
    </row>
    <row r="4111" spans="1:38" x14ac:dyDescent="0.2">
      <c r="A4111" s="8">
        <v>2026</v>
      </c>
      <c r="B4111" s="8">
        <v>6</v>
      </c>
      <c r="C4111" s="8"/>
      <c r="D4111" s="2" t="s">
        <v>2557</v>
      </c>
      <c r="M4111" s="2" t="s">
        <v>40</v>
      </c>
      <c r="P4111" s="2" t="s">
        <v>187</v>
      </c>
      <c r="Q4111" s="2" t="s">
        <v>191</v>
      </c>
      <c r="R4111" s="2" t="s">
        <v>190</v>
      </c>
      <c r="S4111" s="9">
        <v>2</v>
      </c>
      <c r="T4111" s="10">
        <v>110</v>
      </c>
      <c r="U4111" s="2">
        <f t="shared" si="628"/>
        <v>25.3</v>
      </c>
      <c r="V4111" s="2">
        <f t="shared" si="629"/>
        <v>135.30000000000001</v>
      </c>
      <c r="W4111" s="2">
        <f>T4111*50%</f>
        <v>55</v>
      </c>
      <c r="X4111" s="5">
        <f t="shared" si="625"/>
        <v>0.5</v>
      </c>
      <c r="Z4111" s="2" t="s">
        <v>117</v>
      </c>
      <c r="AA4111" s="2" t="s">
        <v>190</v>
      </c>
      <c r="AB4111" s="2" t="s">
        <v>190</v>
      </c>
      <c r="AC4111" s="2" t="s">
        <v>40</v>
      </c>
      <c r="AF4111" s="2">
        <f>AJ4111</f>
        <v>0</v>
      </c>
      <c r="AG4111" s="2">
        <f>W4111</f>
        <v>55</v>
      </c>
      <c r="AI4111" s="2"/>
      <c r="AJ4111" s="2">
        <f>AI4111*T4111</f>
        <v>0</v>
      </c>
      <c r="AK4111" s="2">
        <f t="shared" si="626"/>
        <v>55</v>
      </c>
      <c r="AL4111" s="5">
        <f t="shared" si="627"/>
        <v>0.5</v>
      </c>
    </row>
    <row r="4112" spans="1:38" x14ac:dyDescent="0.2">
      <c r="A4112" s="8">
        <v>2026</v>
      </c>
      <c r="B4112" s="8">
        <v>6</v>
      </c>
      <c r="C4112" s="8"/>
      <c r="D4112" s="2" t="s">
        <v>749</v>
      </c>
      <c r="P4112" s="2" t="s">
        <v>114</v>
      </c>
      <c r="Q4112" s="2" t="s">
        <v>3046</v>
      </c>
      <c r="R4112" s="2" t="s">
        <v>3047</v>
      </c>
      <c r="S4112" s="9">
        <v>1</v>
      </c>
      <c r="T4112" s="10">
        <v>76.150000000000006</v>
      </c>
      <c r="U4112" s="2">
        <f t="shared" si="628"/>
        <v>17.514500000000002</v>
      </c>
      <c r="V4112" s="10">
        <f t="shared" si="629"/>
        <v>93.664500000000004</v>
      </c>
      <c r="X4112" s="5">
        <f t="shared" si="625"/>
        <v>1</v>
      </c>
      <c r="AI4112" s="2"/>
      <c r="AK4112" s="2">
        <f t="shared" si="626"/>
        <v>76.150000000000006</v>
      </c>
      <c r="AL4112" s="5">
        <f t="shared" si="627"/>
        <v>1</v>
      </c>
    </row>
    <row r="4113" spans="1:38" x14ac:dyDescent="0.2">
      <c r="A4113" s="8">
        <v>2026</v>
      </c>
      <c r="B4113" s="8">
        <v>6</v>
      </c>
      <c r="C4113" s="8"/>
      <c r="D4113" s="2" t="s">
        <v>749</v>
      </c>
      <c r="M4113" s="2" t="s">
        <v>40</v>
      </c>
      <c r="P4113" s="2" t="s">
        <v>114</v>
      </c>
      <c r="Q4113" s="2" t="s">
        <v>179</v>
      </c>
      <c r="R4113" s="2" t="s">
        <v>180</v>
      </c>
      <c r="S4113" s="9">
        <v>2</v>
      </c>
      <c r="T4113" s="10">
        <v>1198.8</v>
      </c>
      <c r="U4113" s="2">
        <f t="shared" si="628"/>
        <v>275.72399999999999</v>
      </c>
      <c r="V4113" s="10">
        <f t="shared" si="629"/>
        <v>1474.5239999999999</v>
      </c>
      <c r="W4113" s="2">
        <f>346.57*S4113</f>
        <v>693.14</v>
      </c>
      <c r="X4113" s="5">
        <f t="shared" si="625"/>
        <v>0.42180513847180512</v>
      </c>
      <c r="Z4113" s="2" t="s">
        <v>117</v>
      </c>
      <c r="AA4113" s="2" t="s">
        <v>181</v>
      </c>
      <c r="AB4113" s="2" t="s">
        <v>119</v>
      </c>
      <c r="AC4113" s="2" t="s">
        <v>114</v>
      </c>
      <c r="AI4113" s="2"/>
      <c r="AK4113" s="2">
        <f t="shared" si="626"/>
        <v>505.65999999999997</v>
      </c>
      <c r="AL4113" s="5">
        <f t="shared" si="627"/>
        <v>0.42180513847180512</v>
      </c>
    </row>
    <row r="4114" spans="1:38" x14ac:dyDescent="0.2">
      <c r="A4114" s="8">
        <v>2026</v>
      </c>
      <c r="B4114" s="8">
        <v>6</v>
      </c>
      <c r="C4114" s="8"/>
      <c r="D4114" s="2" t="s">
        <v>749</v>
      </c>
      <c r="P4114" s="2" t="s">
        <v>114</v>
      </c>
      <c r="Q4114" s="2" t="s">
        <v>467</v>
      </c>
      <c r="R4114" s="2" t="s">
        <v>468</v>
      </c>
      <c r="S4114" s="9">
        <v>1</v>
      </c>
      <c r="T4114" s="10">
        <v>418.99</v>
      </c>
      <c r="U4114" s="2">
        <f t="shared" si="628"/>
        <v>96.367699999999999</v>
      </c>
      <c r="V4114" s="10">
        <f t="shared" si="629"/>
        <v>515.35770000000002</v>
      </c>
      <c r="X4114" s="5">
        <f t="shared" si="625"/>
        <v>1</v>
      </c>
      <c r="AI4114" s="2"/>
      <c r="AK4114" s="2">
        <f t="shared" si="626"/>
        <v>418.99</v>
      </c>
      <c r="AL4114" s="5">
        <f t="shared" si="627"/>
        <v>1</v>
      </c>
    </row>
    <row r="4115" spans="1:38" x14ac:dyDescent="0.2">
      <c r="A4115" s="8">
        <v>2026</v>
      </c>
      <c r="B4115" s="8">
        <v>6</v>
      </c>
      <c r="C4115" s="8"/>
      <c r="D4115" s="2" t="s">
        <v>749</v>
      </c>
      <c r="P4115" s="2" t="s">
        <v>114</v>
      </c>
      <c r="Q4115" s="2" t="s">
        <v>2211</v>
      </c>
      <c r="R4115" s="2" t="s">
        <v>2212</v>
      </c>
      <c r="S4115" s="9">
        <v>1</v>
      </c>
      <c r="T4115" s="10">
        <v>131.16</v>
      </c>
      <c r="U4115" s="2">
        <f t="shared" si="628"/>
        <v>30.166800000000002</v>
      </c>
      <c r="V4115" s="10">
        <f t="shared" si="629"/>
        <v>161.32679999999999</v>
      </c>
      <c r="X4115" s="5">
        <f t="shared" si="625"/>
        <v>1</v>
      </c>
      <c r="AI4115" s="2"/>
      <c r="AK4115" s="2">
        <f t="shared" si="626"/>
        <v>131.16</v>
      </c>
      <c r="AL4115" s="5">
        <f t="shared" si="627"/>
        <v>1</v>
      </c>
    </row>
    <row r="4116" spans="1:38" x14ac:dyDescent="0.2">
      <c r="A4116" s="8">
        <v>2026</v>
      </c>
      <c r="B4116" s="8">
        <v>6</v>
      </c>
      <c r="C4116" s="8"/>
      <c r="D4116" s="2" t="s">
        <v>749</v>
      </c>
      <c r="M4116" s="2" t="s">
        <v>40</v>
      </c>
      <c r="P4116" s="2" t="s">
        <v>187</v>
      </c>
      <c r="Q4116" s="2" t="s">
        <v>188</v>
      </c>
      <c r="R4116" s="2" t="s">
        <v>189</v>
      </c>
      <c r="S4116" s="9">
        <v>1</v>
      </c>
      <c r="T4116" s="10">
        <v>238</v>
      </c>
      <c r="U4116" s="2">
        <f t="shared" si="628"/>
        <v>54.74</v>
      </c>
      <c r="V4116" s="2">
        <f t="shared" si="629"/>
        <v>292.74</v>
      </c>
      <c r="W4116" s="2">
        <f>T4116*40%</f>
        <v>95.2</v>
      </c>
      <c r="X4116" s="5">
        <f t="shared" si="625"/>
        <v>0.60000000000000009</v>
      </c>
      <c r="Z4116" s="2" t="s">
        <v>117</v>
      </c>
      <c r="AA4116" s="2" t="s">
        <v>190</v>
      </c>
      <c r="AB4116" s="2" t="s">
        <v>189</v>
      </c>
      <c r="AC4116" s="2" t="s">
        <v>40</v>
      </c>
      <c r="AG4116" s="2">
        <f>W4116</f>
        <v>95.2</v>
      </c>
      <c r="AI4116" s="2"/>
      <c r="AJ4116" s="2">
        <f>AI4116*T4116</f>
        <v>0</v>
      </c>
      <c r="AK4116" s="2">
        <f t="shared" si="626"/>
        <v>142.80000000000001</v>
      </c>
      <c r="AL4116" s="5">
        <f t="shared" si="627"/>
        <v>0.60000000000000009</v>
      </c>
    </row>
    <row r="4117" spans="1:38" x14ac:dyDescent="0.2">
      <c r="A4117" s="8">
        <v>2026</v>
      </c>
      <c r="B4117" s="8">
        <v>6</v>
      </c>
      <c r="C4117" s="8"/>
      <c r="D4117" s="2" t="s">
        <v>749</v>
      </c>
      <c r="M4117" s="2" t="s">
        <v>40</v>
      </c>
      <c r="P4117" s="2" t="s">
        <v>187</v>
      </c>
      <c r="Q4117" s="2" t="s">
        <v>191</v>
      </c>
      <c r="R4117" s="2" t="s">
        <v>190</v>
      </c>
      <c r="S4117" s="9">
        <v>1</v>
      </c>
      <c r="T4117" s="10">
        <v>55</v>
      </c>
      <c r="U4117" s="2">
        <f t="shared" si="628"/>
        <v>12.65</v>
      </c>
      <c r="V4117" s="2">
        <f t="shared" si="629"/>
        <v>67.650000000000006</v>
      </c>
      <c r="W4117" s="2">
        <f>T4117*50%</f>
        <v>27.5</v>
      </c>
      <c r="X4117" s="5">
        <f t="shared" si="625"/>
        <v>0.5</v>
      </c>
      <c r="Z4117" s="2" t="s">
        <v>117</v>
      </c>
      <c r="AA4117" s="2" t="s">
        <v>190</v>
      </c>
      <c r="AB4117" s="2" t="s">
        <v>190</v>
      </c>
      <c r="AC4117" s="2" t="s">
        <v>40</v>
      </c>
      <c r="AF4117" s="2">
        <f>AJ4117</f>
        <v>0</v>
      </c>
      <c r="AG4117" s="2">
        <f>W4117</f>
        <v>27.5</v>
      </c>
      <c r="AI4117" s="2"/>
      <c r="AJ4117" s="2">
        <f>AI4117*T4117</f>
        <v>0</v>
      </c>
      <c r="AK4117" s="2">
        <f t="shared" si="626"/>
        <v>27.5</v>
      </c>
      <c r="AL4117" s="5">
        <f t="shared" si="627"/>
        <v>0.5</v>
      </c>
    </row>
    <row r="4118" spans="1:38" x14ac:dyDescent="0.2">
      <c r="A4118" s="8">
        <v>2026</v>
      </c>
      <c r="B4118" s="8">
        <v>6</v>
      </c>
      <c r="C4118" s="8"/>
      <c r="D4118" s="2" t="s">
        <v>1524</v>
      </c>
      <c r="P4118" s="2" t="s">
        <v>282</v>
      </c>
      <c r="Q4118" s="2" t="s">
        <v>3048</v>
      </c>
      <c r="R4118" s="2" t="s">
        <v>3049</v>
      </c>
      <c r="S4118" s="9">
        <v>1</v>
      </c>
      <c r="T4118" s="10">
        <v>17.5</v>
      </c>
      <c r="U4118" s="2">
        <f t="shared" si="628"/>
        <v>4.0250000000000004</v>
      </c>
      <c r="V4118" s="10">
        <f t="shared" si="629"/>
        <v>21.524999999999999</v>
      </c>
      <c r="X4118" s="5">
        <f t="shared" si="625"/>
        <v>1</v>
      </c>
      <c r="AI4118" s="2"/>
      <c r="AK4118" s="2">
        <f t="shared" si="626"/>
        <v>17.5</v>
      </c>
      <c r="AL4118" s="5">
        <f t="shared" si="627"/>
        <v>1</v>
      </c>
    </row>
    <row r="4119" spans="1:38" x14ac:dyDescent="0.2">
      <c r="A4119" s="8">
        <v>2026</v>
      </c>
      <c r="B4119" s="8">
        <v>6</v>
      </c>
      <c r="C4119" s="8"/>
      <c r="D4119" s="2" t="s">
        <v>1524</v>
      </c>
      <c r="P4119" s="2" t="s">
        <v>169</v>
      </c>
      <c r="Q4119" s="2" t="s">
        <v>170</v>
      </c>
      <c r="R4119" s="2" t="s">
        <v>170</v>
      </c>
      <c r="S4119" s="9">
        <v>1</v>
      </c>
      <c r="T4119" s="10">
        <v>8</v>
      </c>
      <c r="U4119" s="2">
        <f t="shared" si="628"/>
        <v>1.84</v>
      </c>
      <c r="V4119" s="10">
        <f t="shared" si="629"/>
        <v>9.84</v>
      </c>
      <c r="W4119" s="2">
        <v>6</v>
      </c>
      <c r="X4119" s="5">
        <f t="shared" si="625"/>
        <v>0.25</v>
      </c>
      <c r="Z4119" s="2" t="s">
        <v>169</v>
      </c>
      <c r="AA4119" s="2" t="s">
        <v>169</v>
      </c>
      <c r="AI4119" s="2"/>
      <c r="AK4119" s="2">
        <f t="shared" si="626"/>
        <v>2</v>
      </c>
      <c r="AL4119" s="5">
        <f t="shared" si="627"/>
        <v>0.25</v>
      </c>
    </row>
    <row r="4120" spans="1:38" x14ac:dyDescent="0.2">
      <c r="A4120" s="8">
        <v>2026</v>
      </c>
      <c r="B4120" s="8">
        <v>6</v>
      </c>
      <c r="C4120" s="8"/>
      <c r="D4120" s="2" t="s">
        <v>2513</v>
      </c>
      <c r="Q4120" s="2" t="s">
        <v>2975</v>
      </c>
      <c r="R4120" s="2" t="s">
        <v>2976</v>
      </c>
      <c r="S4120" s="9">
        <v>1</v>
      </c>
      <c r="T4120" s="10">
        <v>2460</v>
      </c>
      <c r="U4120" s="2">
        <f t="shared" si="628"/>
        <v>565.80000000000007</v>
      </c>
      <c r="V4120" s="10">
        <f t="shared" si="629"/>
        <v>3025.8</v>
      </c>
      <c r="X4120" s="5">
        <f t="shared" si="625"/>
        <v>1</v>
      </c>
      <c r="Z4120" s="2" t="s">
        <v>104</v>
      </c>
      <c r="AI4120" s="2"/>
      <c r="AL4120" s="2"/>
    </row>
    <row r="4121" spans="1:38" x14ac:dyDescent="0.2">
      <c r="A4121" s="8">
        <v>2026</v>
      </c>
      <c r="B4121" s="8">
        <v>6</v>
      </c>
      <c r="C4121" s="8"/>
      <c r="D4121" s="2" t="s">
        <v>359</v>
      </c>
      <c r="E4121" s="2" t="s">
        <v>108</v>
      </c>
      <c r="F4121" s="2" t="s">
        <v>39</v>
      </c>
      <c r="G4121" s="2">
        <v>503413909</v>
      </c>
      <c r="H4121" s="2" t="s">
        <v>109</v>
      </c>
      <c r="I4121" s="2" t="s">
        <v>360</v>
      </c>
      <c r="J4121" s="2" t="s">
        <v>361</v>
      </c>
      <c r="L4121" s="2" t="s">
        <v>360</v>
      </c>
      <c r="P4121" s="2" t="s">
        <v>282</v>
      </c>
      <c r="Q4121" s="2" t="s">
        <v>3050</v>
      </c>
      <c r="R4121" s="2" t="s">
        <v>3051</v>
      </c>
      <c r="S4121" s="9">
        <v>2</v>
      </c>
      <c r="T4121" s="10">
        <v>17.8</v>
      </c>
      <c r="U4121" s="2">
        <f t="shared" si="628"/>
        <v>4.0940000000000003</v>
      </c>
      <c r="V4121" s="10">
        <f t="shared" si="629"/>
        <v>21.894000000000002</v>
      </c>
      <c r="W4121" s="2">
        <f>6.23*2</f>
        <v>12.46</v>
      </c>
      <c r="X4121" s="5">
        <f t="shared" si="625"/>
        <v>0.3</v>
      </c>
      <c r="Z4121" s="2" t="s">
        <v>3227</v>
      </c>
      <c r="AA4121" s="2" t="s">
        <v>155</v>
      </c>
      <c r="AB4121" s="2" t="s">
        <v>3403</v>
      </c>
      <c r="AC4121" s="2" t="s">
        <v>1327</v>
      </c>
      <c r="AI4121" s="2"/>
      <c r="AK4121" s="2">
        <f>T4121-W4121</f>
        <v>5.34</v>
      </c>
      <c r="AL4121" s="5">
        <f>(T4121-W4121)/T4121</f>
        <v>0.3</v>
      </c>
    </row>
    <row r="4122" spans="1:38" x14ac:dyDescent="0.2">
      <c r="A4122" s="8">
        <v>2026</v>
      </c>
      <c r="B4122" s="8">
        <v>6</v>
      </c>
      <c r="C4122" s="8"/>
      <c r="D4122" s="2" t="s">
        <v>359</v>
      </c>
      <c r="E4122" s="2" t="s">
        <v>108</v>
      </c>
      <c r="F4122" s="2" t="s">
        <v>39</v>
      </c>
      <c r="G4122" s="2">
        <v>503413909</v>
      </c>
      <c r="H4122" s="2" t="s">
        <v>109</v>
      </c>
      <c r="I4122" s="2" t="s">
        <v>360</v>
      </c>
      <c r="J4122" s="2" t="s">
        <v>361</v>
      </c>
      <c r="L4122" s="2" t="s">
        <v>360</v>
      </c>
      <c r="P4122" s="2" t="s">
        <v>282</v>
      </c>
      <c r="Q4122" s="2" t="s">
        <v>1779</v>
      </c>
      <c r="R4122" s="2" t="s">
        <v>1780</v>
      </c>
      <c r="S4122" s="9">
        <v>1</v>
      </c>
      <c r="T4122" s="10">
        <v>2150</v>
      </c>
      <c r="U4122" s="2">
        <f t="shared" si="628"/>
        <v>494.5</v>
      </c>
      <c r="V4122" s="10">
        <f t="shared" si="629"/>
        <v>2644.5</v>
      </c>
      <c r="X4122" s="5">
        <f t="shared" si="625"/>
        <v>1</v>
      </c>
      <c r="Z4122" s="2" t="s">
        <v>104</v>
      </c>
      <c r="AI4122" s="2"/>
      <c r="AL4122" s="2"/>
    </row>
    <row r="4123" spans="1:38" x14ac:dyDescent="0.2">
      <c r="A4123" s="8">
        <v>2026</v>
      </c>
      <c r="B4123" s="8">
        <v>6</v>
      </c>
      <c r="C4123" s="8"/>
      <c r="D4123" s="2" t="s">
        <v>359</v>
      </c>
      <c r="E4123" s="2" t="s">
        <v>108</v>
      </c>
      <c r="F4123" s="2" t="s">
        <v>39</v>
      </c>
      <c r="G4123" s="2">
        <v>503413909</v>
      </c>
      <c r="H4123" s="2" t="s">
        <v>109</v>
      </c>
      <c r="I4123" s="2" t="s">
        <v>360</v>
      </c>
      <c r="J4123" s="2" t="s">
        <v>361</v>
      </c>
      <c r="L4123" s="2" t="s">
        <v>360</v>
      </c>
      <c r="P4123" s="2" t="s">
        <v>282</v>
      </c>
      <c r="Q4123" s="2" t="s">
        <v>1328</v>
      </c>
      <c r="R4123" s="2" t="s">
        <v>1329</v>
      </c>
      <c r="S4123" s="9">
        <v>1</v>
      </c>
      <c r="T4123" s="10">
        <v>2190</v>
      </c>
      <c r="U4123" s="2">
        <f t="shared" si="628"/>
        <v>503.70000000000005</v>
      </c>
      <c r="V4123" s="10">
        <f t="shared" si="629"/>
        <v>2693.7</v>
      </c>
      <c r="W4123" s="2">
        <v>1578</v>
      </c>
      <c r="X4123" s="5">
        <f t="shared" si="625"/>
        <v>0.27945205479452057</v>
      </c>
      <c r="Z4123" s="2" t="s">
        <v>104</v>
      </c>
      <c r="AA4123" s="2" t="s">
        <v>387</v>
      </c>
      <c r="AB4123" s="2" t="s">
        <v>1330</v>
      </c>
      <c r="AC4123" s="2" t="s">
        <v>1327</v>
      </c>
      <c r="AI4123" s="2"/>
      <c r="AK4123" s="2">
        <f>T4123-W4123</f>
        <v>612</v>
      </c>
      <c r="AL4123" s="5">
        <f>(T4123-W4123)/T4123</f>
        <v>0.27945205479452057</v>
      </c>
    </row>
    <row r="4124" spans="1:38" x14ac:dyDescent="0.2">
      <c r="A4124" s="8">
        <v>2026</v>
      </c>
      <c r="B4124" s="8">
        <v>6</v>
      </c>
      <c r="C4124" s="8"/>
      <c r="D4124" s="2" t="s">
        <v>359</v>
      </c>
      <c r="E4124" s="2" t="s">
        <v>108</v>
      </c>
      <c r="F4124" s="2" t="s">
        <v>39</v>
      </c>
      <c r="G4124" s="2">
        <v>503413909</v>
      </c>
      <c r="H4124" s="2" t="s">
        <v>109</v>
      </c>
      <c r="I4124" s="2" t="s">
        <v>360</v>
      </c>
      <c r="J4124" s="2" t="s">
        <v>361</v>
      </c>
      <c r="L4124" s="2" t="s">
        <v>360</v>
      </c>
      <c r="P4124" s="2" t="s">
        <v>40</v>
      </c>
      <c r="Q4124" s="2" t="s">
        <v>363</v>
      </c>
      <c r="R4124" s="2" t="s">
        <v>364</v>
      </c>
      <c r="S4124" s="9">
        <v>4</v>
      </c>
      <c r="T4124" s="10">
        <v>701.35</v>
      </c>
      <c r="U4124" s="2">
        <f t="shared" si="628"/>
        <v>161.31050000000002</v>
      </c>
      <c r="V4124" s="10">
        <f t="shared" si="629"/>
        <v>862.66050000000007</v>
      </c>
      <c r="X4124" s="5">
        <f t="shared" si="625"/>
        <v>1</v>
      </c>
      <c r="Z4124" s="2" t="s">
        <v>119</v>
      </c>
      <c r="AA4124" s="2" t="s">
        <v>3380</v>
      </c>
      <c r="AI4124" s="2"/>
      <c r="AK4124" s="2">
        <f>T4124-W4124</f>
        <v>701.35</v>
      </c>
      <c r="AL4124" s="5">
        <f>(T4124-W4124)/T4124</f>
        <v>1</v>
      </c>
    </row>
    <row r="4125" spans="1:38" x14ac:dyDescent="0.2">
      <c r="A4125" s="8">
        <v>2026</v>
      </c>
      <c r="B4125" s="8">
        <v>6</v>
      </c>
      <c r="C4125" s="8" t="s">
        <v>3392</v>
      </c>
      <c r="D4125" s="2" t="s">
        <v>2944</v>
      </c>
      <c r="E4125" s="2" t="s">
        <v>752</v>
      </c>
      <c r="F4125" s="2" t="s">
        <v>39</v>
      </c>
      <c r="L4125" s="2" t="s">
        <v>480</v>
      </c>
      <c r="M4125" s="2" t="s">
        <v>80</v>
      </c>
      <c r="P4125" s="2" t="s">
        <v>72</v>
      </c>
      <c r="Q4125" s="2" t="s">
        <v>1134</v>
      </c>
      <c r="R4125" s="2" t="s">
        <v>534</v>
      </c>
      <c r="S4125" s="9">
        <v>1</v>
      </c>
      <c r="T4125" s="10">
        <v>230</v>
      </c>
      <c r="U4125" s="2">
        <f t="shared" si="628"/>
        <v>52.900000000000006</v>
      </c>
      <c r="V4125" s="10">
        <f t="shared" si="629"/>
        <v>282.89999999999998</v>
      </c>
      <c r="W4125" s="2">
        <v>122.25</v>
      </c>
      <c r="X4125" s="5">
        <f t="shared" si="625"/>
        <v>0.46847826086956523</v>
      </c>
      <c r="Z4125" s="2" t="s">
        <v>3227</v>
      </c>
      <c r="AA4125" s="2" t="s">
        <v>75</v>
      </c>
      <c r="AB4125" s="2" t="s">
        <v>76</v>
      </c>
      <c r="AC4125" s="2" t="s">
        <v>77</v>
      </c>
      <c r="AF4125" s="2">
        <f>AJ4125</f>
        <v>0</v>
      </c>
      <c r="AG4125" s="2">
        <v>125.51600000000001</v>
      </c>
      <c r="AH4125" s="2">
        <v>220</v>
      </c>
      <c r="AI4125" s="2"/>
      <c r="AJ4125" s="2">
        <f>AI4125*T4125</f>
        <v>0</v>
      </c>
      <c r="AK4125" s="2">
        <f>T4125-W4125</f>
        <v>107.75</v>
      </c>
      <c r="AL4125" s="5">
        <f>(T4125-W4125)/T4125</f>
        <v>0.46847826086956523</v>
      </c>
    </row>
    <row r="4126" spans="1:38" x14ac:dyDescent="0.2">
      <c r="A4126" s="8">
        <v>2026</v>
      </c>
      <c r="B4126" s="8">
        <v>6</v>
      </c>
      <c r="C4126" s="8" t="s">
        <v>3392</v>
      </c>
      <c r="D4126" s="2" t="s">
        <v>2944</v>
      </c>
      <c r="E4126" s="2" t="s">
        <v>752</v>
      </c>
      <c r="F4126" s="2" t="s">
        <v>39</v>
      </c>
      <c r="L4126" s="2" t="s">
        <v>480</v>
      </c>
      <c r="M4126" s="2" t="s">
        <v>80</v>
      </c>
      <c r="P4126" s="2" t="s">
        <v>93</v>
      </c>
      <c r="Q4126" s="2" t="s">
        <v>94</v>
      </c>
      <c r="R4126" s="2" t="s">
        <v>95</v>
      </c>
      <c r="S4126" s="9">
        <v>1</v>
      </c>
      <c r="T4126" s="10">
        <v>1.48</v>
      </c>
      <c r="U4126" s="2">
        <f t="shared" si="628"/>
        <v>0.34040000000000004</v>
      </c>
      <c r="V4126" s="10">
        <f t="shared" si="629"/>
        <v>1.8204</v>
      </c>
      <c r="W4126" s="2">
        <f>1.48*S4126</f>
        <v>1.48</v>
      </c>
      <c r="X4126" s="5">
        <f t="shared" si="625"/>
        <v>0</v>
      </c>
      <c r="Z4126" s="2" t="s">
        <v>3227</v>
      </c>
      <c r="AA4126" s="2" t="s">
        <v>96</v>
      </c>
      <c r="AB4126" s="2" t="s">
        <v>76</v>
      </c>
      <c r="AC4126" s="2" t="s">
        <v>93</v>
      </c>
      <c r="AF4126" s="2">
        <f>AJ4126</f>
        <v>0</v>
      </c>
      <c r="AG4126" s="2">
        <v>1.48</v>
      </c>
      <c r="AH4126" s="2">
        <v>1.48</v>
      </c>
      <c r="AI4126" s="2"/>
      <c r="AJ4126" s="2">
        <f>AI4126*T4126</f>
        <v>0</v>
      </c>
      <c r="AK4126" s="2">
        <f>T4126-W4126</f>
        <v>0</v>
      </c>
      <c r="AL4126" s="5">
        <f>(T4126-W4126)/T4126</f>
        <v>0</v>
      </c>
    </row>
    <row r="4127" spans="1:38" x14ac:dyDescent="0.2">
      <c r="A4127" s="8">
        <v>2026</v>
      </c>
      <c r="B4127" s="8">
        <v>6</v>
      </c>
      <c r="C4127" s="8"/>
      <c r="D4127" s="2" t="s">
        <v>3106</v>
      </c>
      <c r="P4127" s="2" t="s">
        <v>114</v>
      </c>
      <c r="Q4127" s="2" t="s">
        <v>955</v>
      </c>
      <c r="R4127" s="2" t="s">
        <v>956</v>
      </c>
      <c r="S4127" s="9">
        <v>1</v>
      </c>
      <c r="T4127" s="10">
        <v>8930</v>
      </c>
      <c r="U4127" s="2">
        <f t="shared" si="628"/>
        <v>2053.9</v>
      </c>
      <c r="V4127" s="10">
        <f t="shared" si="629"/>
        <v>10983.9</v>
      </c>
      <c r="X4127" s="5">
        <f t="shared" si="625"/>
        <v>1</v>
      </c>
      <c r="Z4127" s="2" t="s">
        <v>104</v>
      </c>
      <c r="AI4127" s="2"/>
      <c r="AL4127" s="2"/>
    </row>
    <row r="4128" spans="1:38" x14ac:dyDescent="0.2">
      <c r="A4128" s="8">
        <v>2026</v>
      </c>
      <c r="B4128" s="8">
        <v>6</v>
      </c>
      <c r="C4128" s="8"/>
      <c r="D4128" s="2" t="s">
        <v>3106</v>
      </c>
      <c r="P4128" s="2" t="s">
        <v>114</v>
      </c>
      <c r="Q4128" s="2" t="s">
        <v>1578</v>
      </c>
      <c r="R4128" s="2" t="s">
        <v>1579</v>
      </c>
      <c r="S4128" s="9">
        <v>1</v>
      </c>
      <c r="T4128" s="10">
        <v>7490</v>
      </c>
      <c r="U4128" s="2">
        <f t="shared" si="628"/>
        <v>1722.7</v>
      </c>
      <c r="V4128" s="10">
        <f t="shared" si="629"/>
        <v>9212.7000000000007</v>
      </c>
      <c r="X4128" s="5">
        <f t="shared" si="625"/>
        <v>1</v>
      </c>
      <c r="Z4128" s="2" t="s">
        <v>104</v>
      </c>
      <c r="AI4128" s="2"/>
      <c r="AL4128" s="2"/>
    </row>
    <row r="4129" spans="1:38" x14ac:dyDescent="0.2">
      <c r="A4129" s="8">
        <v>2026</v>
      </c>
      <c r="B4129" s="8">
        <v>6</v>
      </c>
      <c r="C4129" s="8"/>
      <c r="D4129" s="2" t="s">
        <v>382</v>
      </c>
      <c r="E4129" s="2" t="s">
        <v>38</v>
      </c>
      <c r="F4129" s="2" t="s">
        <v>39</v>
      </c>
      <c r="G4129" s="2">
        <v>212196260</v>
      </c>
      <c r="H4129" s="2" t="s">
        <v>109</v>
      </c>
      <c r="I4129" s="2" t="s">
        <v>383</v>
      </c>
      <c r="J4129" s="2" t="s">
        <v>384</v>
      </c>
      <c r="K4129" s="2">
        <v>926769894</v>
      </c>
      <c r="L4129" s="2" t="s">
        <v>112</v>
      </c>
      <c r="P4129" s="2" t="s">
        <v>3482</v>
      </c>
      <c r="Q4129" s="2" t="s">
        <v>3052</v>
      </c>
      <c r="R4129" s="2" t="s">
        <v>3053</v>
      </c>
      <c r="S4129" s="9">
        <v>1</v>
      </c>
      <c r="T4129" s="10">
        <v>10</v>
      </c>
      <c r="U4129" s="2">
        <f t="shared" si="628"/>
        <v>2.3000000000000003</v>
      </c>
      <c r="V4129" s="10">
        <f t="shared" si="629"/>
        <v>12.3</v>
      </c>
      <c r="X4129" s="5">
        <f t="shared" si="625"/>
        <v>1</v>
      </c>
      <c r="Z4129" s="2" t="s">
        <v>3227</v>
      </c>
      <c r="AA4129" s="2" t="s">
        <v>87</v>
      </c>
      <c r="AB4129" s="2" t="s">
        <v>90</v>
      </c>
      <c r="AC4129" s="2" t="s">
        <v>3482</v>
      </c>
      <c r="AI4129" s="2"/>
      <c r="AK4129" s="2">
        <f t="shared" ref="AK4129:AK4140" si="630">T4129-W4129</f>
        <v>10</v>
      </c>
      <c r="AL4129" s="5">
        <f t="shared" ref="AL4129:AL4140" si="631">(T4129-W4129)/T4129</f>
        <v>1</v>
      </c>
    </row>
    <row r="4130" spans="1:38" x14ac:dyDescent="0.2">
      <c r="A4130" s="8">
        <v>2026</v>
      </c>
      <c r="B4130" s="8">
        <v>6</v>
      </c>
      <c r="C4130" s="8"/>
      <c r="D4130" s="2" t="s">
        <v>382</v>
      </c>
      <c r="E4130" s="2" t="s">
        <v>38</v>
      </c>
      <c r="F4130" s="2" t="s">
        <v>39</v>
      </c>
      <c r="G4130" s="2">
        <v>212196260</v>
      </c>
      <c r="H4130" s="2" t="s">
        <v>109</v>
      </c>
      <c r="I4130" s="2" t="s">
        <v>383</v>
      </c>
      <c r="J4130" s="2" t="s">
        <v>384</v>
      </c>
      <c r="K4130" s="2">
        <v>926769894</v>
      </c>
      <c r="L4130" s="2" t="s">
        <v>112</v>
      </c>
      <c r="P4130" s="2" t="s">
        <v>166</v>
      </c>
      <c r="Q4130" s="2" t="s">
        <v>2181</v>
      </c>
      <c r="R4130" s="2" t="s">
        <v>2182</v>
      </c>
      <c r="S4130" s="9">
        <v>4</v>
      </c>
      <c r="T4130" s="10">
        <v>12</v>
      </c>
      <c r="U4130" s="2">
        <f t="shared" si="628"/>
        <v>2.7600000000000002</v>
      </c>
      <c r="V4130" s="10">
        <f t="shared" si="629"/>
        <v>14.76</v>
      </c>
      <c r="X4130" s="5">
        <f t="shared" ref="X4130:X4150" si="632">(T4130-W4130)/T4130</f>
        <v>1</v>
      </c>
      <c r="Z4130" s="2" t="s">
        <v>3227</v>
      </c>
      <c r="AA4130" s="2" t="s">
        <v>87</v>
      </c>
      <c r="AB4130" s="2" t="s">
        <v>119</v>
      </c>
      <c r="AC4130" s="2" t="s">
        <v>166</v>
      </c>
      <c r="AF4130" s="2">
        <f>AJ4130</f>
        <v>0</v>
      </c>
      <c r="AI4130" s="2"/>
      <c r="AJ4130" s="2">
        <f>AI4130*T4130</f>
        <v>0</v>
      </c>
      <c r="AK4130" s="2">
        <f t="shared" si="630"/>
        <v>12</v>
      </c>
      <c r="AL4130" s="5">
        <f t="shared" si="631"/>
        <v>1</v>
      </c>
    </row>
    <row r="4131" spans="1:38" x14ac:dyDescent="0.2">
      <c r="A4131" s="8">
        <v>2026</v>
      </c>
      <c r="B4131" s="8">
        <v>6</v>
      </c>
      <c r="C4131" s="8"/>
      <c r="D4131" s="2" t="s">
        <v>382</v>
      </c>
      <c r="E4131" s="2" t="s">
        <v>38</v>
      </c>
      <c r="F4131" s="2" t="s">
        <v>39</v>
      </c>
      <c r="G4131" s="2">
        <v>212196260</v>
      </c>
      <c r="H4131" s="2" t="s">
        <v>109</v>
      </c>
      <c r="I4131" s="2" t="s">
        <v>383</v>
      </c>
      <c r="J4131" s="2" t="s">
        <v>384</v>
      </c>
      <c r="K4131" s="2">
        <v>926769894</v>
      </c>
      <c r="L4131" s="2" t="s">
        <v>112</v>
      </c>
      <c r="P4131" s="2" t="s">
        <v>166</v>
      </c>
      <c r="Q4131" s="2" t="s">
        <v>3054</v>
      </c>
      <c r="R4131" s="2" t="s">
        <v>3055</v>
      </c>
      <c r="S4131" s="9">
        <v>2</v>
      </c>
      <c r="T4131" s="10">
        <v>4</v>
      </c>
      <c r="U4131" s="2">
        <f t="shared" si="628"/>
        <v>0.92</v>
      </c>
      <c r="V4131" s="10">
        <f t="shared" si="629"/>
        <v>4.92</v>
      </c>
      <c r="X4131" s="5">
        <f t="shared" si="632"/>
        <v>1</v>
      </c>
      <c r="Z4131" s="2" t="s">
        <v>3227</v>
      </c>
      <c r="AA4131" s="2" t="s">
        <v>87</v>
      </c>
      <c r="AB4131" s="2" t="s">
        <v>119</v>
      </c>
      <c r="AC4131" s="2" t="s">
        <v>166</v>
      </c>
      <c r="AF4131" s="2">
        <f>AJ4131</f>
        <v>0</v>
      </c>
      <c r="AI4131" s="2"/>
      <c r="AJ4131" s="2">
        <f>AI4131*T4131</f>
        <v>0</v>
      </c>
      <c r="AK4131" s="2">
        <f t="shared" si="630"/>
        <v>4</v>
      </c>
      <c r="AL4131" s="5">
        <f t="shared" si="631"/>
        <v>1</v>
      </c>
    </row>
    <row r="4132" spans="1:38" x14ac:dyDescent="0.2">
      <c r="A4132" s="8">
        <v>2026</v>
      </c>
      <c r="B4132" s="8">
        <v>6</v>
      </c>
      <c r="C4132" s="8"/>
      <c r="D4132" s="2" t="s">
        <v>382</v>
      </c>
      <c r="E4132" s="2" t="s">
        <v>38</v>
      </c>
      <c r="F4132" s="2" t="s">
        <v>39</v>
      </c>
      <c r="G4132" s="2">
        <v>212196260</v>
      </c>
      <c r="H4132" s="2" t="s">
        <v>109</v>
      </c>
      <c r="I4132" s="2" t="s">
        <v>383</v>
      </c>
      <c r="J4132" s="2" t="s">
        <v>384</v>
      </c>
      <c r="K4132" s="2">
        <v>926769894</v>
      </c>
      <c r="L4132" s="2" t="s">
        <v>112</v>
      </c>
      <c r="P4132" s="2" t="s">
        <v>169</v>
      </c>
      <c r="Q4132" s="2" t="s">
        <v>170</v>
      </c>
      <c r="R4132" s="2" t="s">
        <v>170</v>
      </c>
      <c r="S4132" s="9">
        <v>1</v>
      </c>
      <c r="T4132" s="10">
        <v>5</v>
      </c>
      <c r="U4132" s="2">
        <f t="shared" si="628"/>
        <v>1.1500000000000001</v>
      </c>
      <c r="V4132" s="10">
        <f t="shared" si="629"/>
        <v>6.15</v>
      </c>
      <c r="W4132" s="2">
        <v>6</v>
      </c>
      <c r="X4132" s="5">
        <f t="shared" si="632"/>
        <v>-0.2</v>
      </c>
      <c r="Z4132" s="2" t="s">
        <v>169</v>
      </c>
      <c r="AA4132" s="2" t="s">
        <v>169</v>
      </c>
      <c r="AI4132" s="2"/>
      <c r="AK4132" s="2">
        <f t="shared" si="630"/>
        <v>-1</v>
      </c>
      <c r="AL4132" s="5">
        <f t="shared" si="631"/>
        <v>-0.2</v>
      </c>
    </row>
    <row r="4133" spans="1:38" x14ac:dyDescent="0.2">
      <c r="A4133" s="8">
        <v>2026</v>
      </c>
      <c r="B4133" s="8">
        <v>6</v>
      </c>
      <c r="C4133" s="8"/>
      <c r="D4133" s="2" t="s">
        <v>382</v>
      </c>
      <c r="E4133" s="2" t="s">
        <v>38</v>
      </c>
      <c r="F4133" s="2" t="s">
        <v>39</v>
      </c>
      <c r="G4133" s="2">
        <v>212196260</v>
      </c>
      <c r="H4133" s="2" t="s">
        <v>109</v>
      </c>
      <c r="I4133" s="2" t="s">
        <v>383</v>
      </c>
      <c r="J4133" s="2" t="s">
        <v>384</v>
      </c>
      <c r="K4133" s="2">
        <v>926769894</v>
      </c>
      <c r="L4133" s="2" t="s">
        <v>112</v>
      </c>
      <c r="M4133" s="2" t="s">
        <v>40</v>
      </c>
      <c r="P4133" s="2" t="s">
        <v>187</v>
      </c>
      <c r="Q4133" s="2" t="s">
        <v>1308</v>
      </c>
      <c r="R4133" s="2" t="s">
        <v>1309</v>
      </c>
      <c r="S4133" s="9">
        <v>1</v>
      </c>
      <c r="T4133" s="10">
        <v>50.85</v>
      </c>
      <c r="U4133" s="2">
        <f t="shared" si="628"/>
        <v>11.695500000000001</v>
      </c>
      <c r="V4133" s="2">
        <f t="shared" si="629"/>
        <v>62.545500000000004</v>
      </c>
      <c r="X4133" s="5">
        <f t="shared" si="632"/>
        <v>1</v>
      </c>
      <c r="Z4133" s="2" t="s">
        <v>117</v>
      </c>
      <c r="AA4133" s="2" t="s">
        <v>1310</v>
      </c>
      <c r="AI4133" s="2"/>
      <c r="AK4133" s="2">
        <f t="shared" si="630"/>
        <v>50.85</v>
      </c>
      <c r="AL4133" s="5">
        <f t="shared" si="631"/>
        <v>1</v>
      </c>
    </row>
    <row r="4134" spans="1:38" x14ac:dyDescent="0.2">
      <c r="A4134" s="8">
        <v>2026</v>
      </c>
      <c r="B4134" s="8">
        <v>6</v>
      </c>
      <c r="C4134" s="8"/>
      <c r="D4134" s="2" t="s">
        <v>775</v>
      </c>
      <c r="P4134" s="2" t="s">
        <v>114</v>
      </c>
      <c r="Q4134" s="2" t="s">
        <v>1875</v>
      </c>
      <c r="R4134" s="2" t="s">
        <v>1876</v>
      </c>
      <c r="S4134" s="9">
        <v>1</v>
      </c>
      <c r="T4134" s="10">
        <v>219.45</v>
      </c>
      <c r="U4134" s="2">
        <f t="shared" si="628"/>
        <v>50.473500000000001</v>
      </c>
      <c r="V4134" s="10">
        <f t="shared" si="629"/>
        <v>269.92349999999999</v>
      </c>
      <c r="X4134" s="5">
        <f t="shared" si="632"/>
        <v>1</v>
      </c>
      <c r="AI4134" s="2"/>
      <c r="AK4134" s="2">
        <f t="shared" si="630"/>
        <v>219.45</v>
      </c>
      <c r="AL4134" s="5">
        <f t="shared" si="631"/>
        <v>1</v>
      </c>
    </row>
    <row r="4135" spans="1:38" x14ac:dyDescent="0.2">
      <c r="A4135" s="8">
        <v>2026</v>
      </c>
      <c r="B4135" s="8">
        <v>6</v>
      </c>
      <c r="C4135" s="8"/>
      <c r="D4135" s="2" t="s">
        <v>775</v>
      </c>
      <c r="M4135" s="2" t="s">
        <v>40</v>
      </c>
      <c r="P4135" s="2" t="s">
        <v>187</v>
      </c>
      <c r="Q4135" s="2" t="s">
        <v>188</v>
      </c>
      <c r="R4135" s="2" t="s">
        <v>189</v>
      </c>
      <c r="S4135" s="9">
        <v>1</v>
      </c>
      <c r="T4135" s="10">
        <v>60</v>
      </c>
      <c r="U4135" s="2">
        <f t="shared" si="628"/>
        <v>13.8</v>
      </c>
      <c r="V4135" s="2">
        <f t="shared" si="629"/>
        <v>73.8</v>
      </c>
      <c r="W4135" s="2">
        <f>T4135*40%</f>
        <v>24</v>
      </c>
      <c r="X4135" s="5">
        <f t="shared" si="632"/>
        <v>0.6</v>
      </c>
      <c r="Z4135" s="2" t="s">
        <v>117</v>
      </c>
      <c r="AA4135" s="2" t="s">
        <v>190</v>
      </c>
      <c r="AB4135" s="2" t="s">
        <v>189</v>
      </c>
      <c r="AC4135" s="2" t="s">
        <v>40</v>
      </c>
      <c r="AG4135" s="2">
        <f>W4135</f>
        <v>24</v>
      </c>
      <c r="AI4135" s="2"/>
      <c r="AJ4135" s="2">
        <f>AI4135*T4135</f>
        <v>0</v>
      </c>
      <c r="AK4135" s="2">
        <f t="shared" si="630"/>
        <v>36</v>
      </c>
      <c r="AL4135" s="5">
        <f t="shared" si="631"/>
        <v>0.6</v>
      </c>
    </row>
    <row r="4136" spans="1:38" x14ac:dyDescent="0.2">
      <c r="A4136" s="8">
        <v>2026</v>
      </c>
      <c r="B4136" s="8">
        <v>6</v>
      </c>
      <c r="C4136" s="8"/>
      <c r="D4136" s="2" t="s">
        <v>775</v>
      </c>
      <c r="M4136" s="2" t="s">
        <v>40</v>
      </c>
      <c r="P4136" s="2" t="s">
        <v>187</v>
      </c>
      <c r="Q4136" s="2" t="s">
        <v>191</v>
      </c>
      <c r="R4136" s="2" t="s">
        <v>190</v>
      </c>
      <c r="S4136" s="9">
        <v>1</v>
      </c>
      <c r="T4136" s="10">
        <v>55</v>
      </c>
      <c r="U4136" s="2">
        <f t="shared" si="628"/>
        <v>12.65</v>
      </c>
      <c r="V4136" s="2">
        <f t="shared" si="629"/>
        <v>67.650000000000006</v>
      </c>
      <c r="W4136" s="2">
        <f>T4136*50%</f>
        <v>27.5</v>
      </c>
      <c r="X4136" s="5">
        <f t="shared" si="632"/>
        <v>0.5</v>
      </c>
      <c r="Z4136" s="2" t="s">
        <v>117</v>
      </c>
      <c r="AA4136" s="2" t="s">
        <v>190</v>
      </c>
      <c r="AB4136" s="2" t="s">
        <v>190</v>
      </c>
      <c r="AC4136" s="2" t="s">
        <v>40</v>
      </c>
      <c r="AF4136" s="2">
        <f>AJ4136</f>
        <v>0</v>
      </c>
      <c r="AG4136" s="2">
        <f>W4136</f>
        <v>27.5</v>
      </c>
      <c r="AI4136" s="2"/>
      <c r="AJ4136" s="2">
        <f>AI4136*T4136</f>
        <v>0</v>
      </c>
      <c r="AK4136" s="2">
        <f t="shared" si="630"/>
        <v>27.5</v>
      </c>
      <c r="AL4136" s="5">
        <f t="shared" si="631"/>
        <v>0.5</v>
      </c>
    </row>
    <row r="4137" spans="1:38" x14ac:dyDescent="0.2">
      <c r="A4137" s="8">
        <v>2026</v>
      </c>
      <c r="B4137" s="8">
        <v>6</v>
      </c>
      <c r="C4137" s="8"/>
      <c r="D4137" s="2" t="s">
        <v>2578</v>
      </c>
      <c r="E4137" s="2" t="s">
        <v>183</v>
      </c>
      <c r="F4137" s="2" t="s">
        <v>2579</v>
      </c>
      <c r="G4137" s="2">
        <v>515259144</v>
      </c>
      <c r="H4137" s="2" t="s">
        <v>80</v>
      </c>
      <c r="I4137" s="2" t="s">
        <v>156</v>
      </c>
      <c r="J4137" s="2" t="s">
        <v>2580</v>
      </c>
      <c r="K4137" s="2">
        <v>968626165</v>
      </c>
      <c r="L4137" s="2" t="s">
        <v>99</v>
      </c>
      <c r="M4137" s="2" t="s">
        <v>80</v>
      </c>
      <c r="P4137" s="2" t="s">
        <v>1038</v>
      </c>
      <c r="Q4137" s="2" t="s">
        <v>2889</v>
      </c>
      <c r="R4137" s="2" t="s">
        <v>2890</v>
      </c>
      <c r="S4137" s="9">
        <v>1</v>
      </c>
      <c r="T4137" s="10">
        <v>223.1</v>
      </c>
      <c r="U4137" s="2">
        <f t="shared" si="628"/>
        <v>51.313000000000002</v>
      </c>
      <c r="V4137" s="2">
        <f t="shared" si="629"/>
        <v>274.41300000000001</v>
      </c>
      <c r="W4137" s="2">
        <v>141.18</v>
      </c>
      <c r="X4137" s="5">
        <f t="shared" si="632"/>
        <v>0.36718960107575072</v>
      </c>
      <c r="Z4137" s="2" t="s">
        <v>3227</v>
      </c>
      <c r="AA4137" s="2" t="s">
        <v>75</v>
      </c>
      <c r="AB4137" s="2" t="s">
        <v>76</v>
      </c>
      <c r="AC4137" s="2" t="s">
        <v>1038</v>
      </c>
      <c r="AF4137" s="2">
        <f>AJ4137</f>
        <v>0</v>
      </c>
      <c r="AI4137" s="2"/>
      <c r="AJ4137" s="2">
        <f>AI4137*T4137</f>
        <v>0</v>
      </c>
      <c r="AK4137" s="2">
        <f t="shared" si="630"/>
        <v>81.919999999999987</v>
      </c>
      <c r="AL4137" s="5">
        <f t="shared" si="631"/>
        <v>0.36718960107575072</v>
      </c>
    </row>
    <row r="4138" spans="1:38" x14ac:dyDescent="0.2">
      <c r="A4138" s="8">
        <v>2026</v>
      </c>
      <c r="B4138" s="8">
        <v>6</v>
      </c>
      <c r="C4138" s="8"/>
      <c r="D4138" s="2" t="s">
        <v>2578</v>
      </c>
      <c r="E4138" s="2" t="s">
        <v>183</v>
      </c>
      <c r="F4138" s="2" t="s">
        <v>2579</v>
      </c>
      <c r="G4138" s="2">
        <v>515259144</v>
      </c>
      <c r="H4138" s="2" t="s">
        <v>80</v>
      </c>
      <c r="I4138" s="2" t="s">
        <v>156</v>
      </c>
      <c r="J4138" s="2" t="s">
        <v>2580</v>
      </c>
      <c r="K4138" s="2">
        <v>968626165</v>
      </c>
      <c r="L4138" s="2" t="s">
        <v>99</v>
      </c>
      <c r="M4138" s="2" t="s">
        <v>80</v>
      </c>
      <c r="P4138" s="2" t="s">
        <v>93</v>
      </c>
      <c r="Q4138" s="2" t="s">
        <v>94</v>
      </c>
      <c r="R4138" s="2" t="s">
        <v>95</v>
      </c>
      <c r="S4138" s="9">
        <v>1</v>
      </c>
      <c r="T4138" s="10">
        <v>1.48</v>
      </c>
      <c r="U4138" s="2">
        <f t="shared" si="628"/>
        <v>0.34040000000000004</v>
      </c>
      <c r="V4138" s="10">
        <f t="shared" si="629"/>
        <v>1.8204</v>
      </c>
      <c r="W4138" s="2">
        <f>1.48*S4138</f>
        <v>1.48</v>
      </c>
      <c r="X4138" s="5">
        <f t="shared" si="632"/>
        <v>0</v>
      </c>
      <c r="Z4138" s="2" t="s">
        <v>3227</v>
      </c>
      <c r="AA4138" s="2" t="s">
        <v>96</v>
      </c>
      <c r="AB4138" s="2" t="s">
        <v>76</v>
      </c>
      <c r="AC4138" s="2" t="s">
        <v>93</v>
      </c>
      <c r="AF4138" s="2">
        <f>AJ4138</f>
        <v>0</v>
      </c>
      <c r="AG4138" s="2">
        <v>1.48</v>
      </c>
      <c r="AH4138" s="2">
        <v>1.48</v>
      </c>
      <c r="AI4138" s="2"/>
      <c r="AJ4138" s="2">
        <f>AI4138*T4138</f>
        <v>0</v>
      </c>
      <c r="AK4138" s="2">
        <f t="shared" si="630"/>
        <v>0</v>
      </c>
      <c r="AL4138" s="5">
        <f t="shared" si="631"/>
        <v>0</v>
      </c>
    </row>
    <row r="4139" spans="1:38" x14ac:dyDescent="0.2">
      <c r="A4139" s="8">
        <v>2026</v>
      </c>
      <c r="B4139" s="8">
        <v>6</v>
      </c>
      <c r="C4139" s="8"/>
      <c r="D4139" s="2" t="s">
        <v>781</v>
      </c>
      <c r="E4139" s="2" t="s">
        <v>38</v>
      </c>
      <c r="F4139" s="2" t="s">
        <v>39</v>
      </c>
      <c r="G4139" s="2">
        <v>510219675</v>
      </c>
      <c r="H4139" s="2" t="s">
        <v>40</v>
      </c>
      <c r="I4139" s="2" t="s">
        <v>782</v>
      </c>
      <c r="J4139" s="2" t="s">
        <v>783</v>
      </c>
      <c r="K4139" s="2">
        <v>917341136</v>
      </c>
      <c r="L4139" s="2" t="s">
        <v>99</v>
      </c>
      <c r="P4139" s="2" t="s">
        <v>43</v>
      </c>
      <c r="Q4139" s="2" t="s">
        <v>54</v>
      </c>
      <c r="R4139" s="2" t="s">
        <v>55</v>
      </c>
      <c r="S4139" s="9">
        <v>1</v>
      </c>
      <c r="T4139" s="10">
        <v>18</v>
      </c>
      <c r="U4139" s="2">
        <f t="shared" si="628"/>
        <v>4.1400000000000006</v>
      </c>
      <c r="V4139" s="10">
        <f t="shared" si="629"/>
        <v>22.14</v>
      </c>
      <c r="W4139" s="2">
        <v>10.6</v>
      </c>
      <c r="X4139" s="5">
        <f t="shared" si="632"/>
        <v>0.41111111111111115</v>
      </c>
      <c r="Z4139" s="2" t="s">
        <v>3227</v>
      </c>
      <c r="AA4139" s="2" t="s">
        <v>46</v>
      </c>
      <c r="AB4139" s="2" t="s">
        <v>56</v>
      </c>
      <c r="AC4139" s="2" t="s">
        <v>57</v>
      </c>
      <c r="AI4139" s="2"/>
      <c r="AK4139" s="2">
        <f t="shared" si="630"/>
        <v>7.4</v>
      </c>
      <c r="AL4139" s="5">
        <f t="shared" si="631"/>
        <v>0.41111111111111115</v>
      </c>
    </row>
    <row r="4140" spans="1:38" x14ac:dyDescent="0.2">
      <c r="A4140" s="8">
        <v>2026</v>
      </c>
      <c r="B4140" s="8">
        <v>6</v>
      </c>
      <c r="C4140" s="8"/>
      <c r="D4140" s="2" t="s">
        <v>784</v>
      </c>
      <c r="P4140" s="2" t="s">
        <v>43</v>
      </c>
      <c r="Q4140" s="2" t="s">
        <v>351</v>
      </c>
      <c r="R4140" s="2" t="s">
        <v>352</v>
      </c>
      <c r="S4140" s="9">
        <v>1</v>
      </c>
      <c r="T4140" s="10">
        <v>21</v>
      </c>
      <c r="U4140" s="2">
        <f t="shared" si="628"/>
        <v>4.83</v>
      </c>
      <c r="V4140" s="10">
        <f t="shared" si="629"/>
        <v>25.83</v>
      </c>
      <c r="W4140" s="2">
        <f>10.67*S4140</f>
        <v>10.67</v>
      </c>
      <c r="X4140" s="5">
        <f t="shared" si="632"/>
        <v>0.4919047619047619</v>
      </c>
      <c r="Z4140" s="2" t="s">
        <v>3227</v>
      </c>
      <c r="AA4140" s="2" t="s">
        <v>46</v>
      </c>
      <c r="AB4140" s="2" t="s">
        <v>47</v>
      </c>
      <c r="AC4140" s="2" t="s">
        <v>57</v>
      </c>
      <c r="AI4140" s="2"/>
      <c r="AK4140" s="2">
        <f t="shared" si="630"/>
        <v>10.33</v>
      </c>
      <c r="AL4140" s="5">
        <f t="shared" si="631"/>
        <v>0.4919047619047619</v>
      </c>
    </row>
    <row r="4141" spans="1:38" x14ac:dyDescent="0.2">
      <c r="A4141" s="8">
        <v>2026</v>
      </c>
      <c r="B4141" s="8">
        <v>6</v>
      </c>
      <c r="C4141" s="8"/>
      <c r="D4141" s="2" t="s">
        <v>2008</v>
      </c>
      <c r="E4141" s="2" t="s">
        <v>38</v>
      </c>
      <c r="F4141" s="2" t="s">
        <v>39</v>
      </c>
      <c r="L4141" s="2" t="s">
        <v>571</v>
      </c>
      <c r="M4141" s="2" t="s">
        <v>80</v>
      </c>
      <c r="P4141" s="2" t="s">
        <v>72</v>
      </c>
      <c r="Q4141" s="2" t="s">
        <v>912</v>
      </c>
      <c r="R4141" s="2" t="s">
        <v>74</v>
      </c>
      <c r="S4141" s="9">
        <v>1</v>
      </c>
      <c r="T4141" s="10">
        <v>230</v>
      </c>
      <c r="U4141" s="2">
        <f t="shared" ref="U4141:U4172" si="633">T4141*23%</f>
        <v>52.900000000000006</v>
      </c>
      <c r="V4141" s="10">
        <f t="shared" ref="V4141:V4172" si="634">T4141+U4141</f>
        <v>282.89999999999998</v>
      </c>
      <c r="W4141" s="2">
        <f>115.92+6.06</f>
        <v>121.98</v>
      </c>
      <c r="X4141" s="5">
        <f t="shared" si="632"/>
        <v>0.46965217391304348</v>
      </c>
      <c r="Z4141" s="2" t="s">
        <v>3227</v>
      </c>
      <c r="AA4141" s="2" t="s">
        <v>75</v>
      </c>
      <c r="AB4141" s="2" t="s">
        <v>76</v>
      </c>
      <c r="AC4141" s="2" t="s">
        <v>77</v>
      </c>
      <c r="AF4141" s="2">
        <f>AJ4141</f>
        <v>0</v>
      </c>
      <c r="AG4141" s="2">
        <v>125.51600000000001</v>
      </c>
      <c r="AH4141" s="2">
        <v>220</v>
      </c>
      <c r="AI4141" s="2"/>
      <c r="AJ4141" s="2">
        <f>AI4141*T4141</f>
        <v>0</v>
      </c>
      <c r="AK4141" s="2">
        <f t="shared" ref="AK4141:AK4150" si="635">T4141-W4141</f>
        <v>108.02</v>
      </c>
      <c r="AL4141" s="5">
        <f t="shared" ref="AL4141:AL4150" si="636">(T4141-W4141)/T4141</f>
        <v>0.46965217391304348</v>
      </c>
    </row>
    <row r="4142" spans="1:38" x14ac:dyDescent="0.2">
      <c r="A4142" s="8">
        <v>2026</v>
      </c>
      <c r="B4142" s="8">
        <v>6</v>
      </c>
      <c r="C4142" s="8"/>
      <c r="D4142" s="2" t="s">
        <v>2008</v>
      </c>
      <c r="E4142" s="2" t="s">
        <v>38</v>
      </c>
      <c r="F4142" s="2" t="s">
        <v>39</v>
      </c>
      <c r="L4142" s="2" t="s">
        <v>571</v>
      </c>
      <c r="M4142" s="2" t="s">
        <v>80</v>
      </c>
      <c r="P4142" s="2" t="s">
        <v>93</v>
      </c>
      <c r="Q4142" s="2" t="s">
        <v>94</v>
      </c>
      <c r="R4142" s="2" t="s">
        <v>95</v>
      </c>
      <c r="S4142" s="9">
        <v>1</v>
      </c>
      <c r="T4142" s="10">
        <v>1.48</v>
      </c>
      <c r="U4142" s="2">
        <f t="shared" si="633"/>
        <v>0.34040000000000004</v>
      </c>
      <c r="V4142" s="10">
        <f t="shared" si="634"/>
        <v>1.8204</v>
      </c>
      <c r="W4142" s="2">
        <f>1.48*S4142</f>
        <v>1.48</v>
      </c>
      <c r="X4142" s="5">
        <f t="shared" si="632"/>
        <v>0</v>
      </c>
      <c r="Z4142" s="2" t="s">
        <v>3227</v>
      </c>
      <c r="AA4142" s="2" t="s">
        <v>96</v>
      </c>
      <c r="AB4142" s="2" t="s">
        <v>76</v>
      </c>
      <c r="AC4142" s="2" t="s">
        <v>93</v>
      </c>
      <c r="AF4142" s="2">
        <f>AJ4142</f>
        <v>0</v>
      </c>
      <c r="AG4142" s="2">
        <v>1.48</v>
      </c>
      <c r="AH4142" s="2">
        <v>1.48</v>
      </c>
      <c r="AI4142" s="2"/>
      <c r="AJ4142" s="2">
        <f>AI4142*T4142</f>
        <v>0</v>
      </c>
      <c r="AK4142" s="2">
        <f t="shared" si="635"/>
        <v>0</v>
      </c>
      <c r="AL4142" s="5">
        <f t="shared" si="636"/>
        <v>0</v>
      </c>
    </row>
    <row r="4143" spans="1:38" x14ac:dyDescent="0.2">
      <c r="A4143" s="8">
        <v>2026</v>
      </c>
      <c r="B4143" s="8">
        <v>6</v>
      </c>
      <c r="C4143" s="8" t="s">
        <v>3323</v>
      </c>
      <c r="D4143" s="2" t="s">
        <v>1009</v>
      </c>
      <c r="E4143" s="2" t="s">
        <v>108</v>
      </c>
      <c r="F4143" s="2" t="s">
        <v>39</v>
      </c>
      <c r="J4143" s="2" t="s">
        <v>471</v>
      </c>
      <c r="L4143" s="2" t="s">
        <v>293</v>
      </c>
      <c r="M4143" s="2" t="s">
        <v>80</v>
      </c>
      <c r="P4143" s="2" t="s">
        <v>72</v>
      </c>
      <c r="Q4143" s="2" t="s">
        <v>3056</v>
      </c>
      <c r="R4143" s="2" t="s">
        <v>207</v>
      </c>
      <c r="S4143" s="9">
        <v>1</v>
      </c>
      <c r="T4143" s="10">
        <v>400</v>
      </c>
      <c r="U4143" s="2">
        <f t="shared" si="633"/>
        <v>92</v>
      </c>
      <c r="V4143" s="10">
        <f t="shared" si="634"/>
        <v>492</v>
      </c>
      <c r="W4143" s="2">
        <f>271.66+19.93</f>
        <v>291.59000000000003</v>
      </c>
      <c r="X4143" s="5">
        <f t="shared" si="632"/>
        <v>0.2710249999999999</v>
      </c>
      <c r="Z4143" s="2" t="s">
        <v>3227</v>
      </c>
      <c r="AA4143" s="2" t="s">
        <v>75</v>
      </c>
      <c r="AB4143" s="2" t="s">
        <v>76</v>
      </c>
      <c r="AC4143" s="2" t="s">
        <v>77</v>
      </c>
      <c r="AF4143" s="2">
        <f>AJ4143</f>
        <v>0</v>
      </c>
      <c r="AG4143" s="2">
        <v>125.51600000000001</v>
      </c>
      <c r="AH4143" s="2">
        <v>220</v>
      </c>
      <c r="AI4143" s="2"/>
      <c r="AJ4143" s="2">
        <f>AI4143*T4143</f>
        <v>0</v>
      </c>
      <c r="AK4143" s="2">
        <f t="shared" si="635"/>
        <v>108.40999999999997</v>
      </c>
      <c r="AL4143" s="5">
        <f t="shared" si="636"/>
        <v>0.2710249999999999</v>
      </c>
    </row>
    <row r="4144" spans="1:38" x14ac:dyDescent="0.2">
      <c r="A4144" s="8">
        <v>2026</v>
      </c>
      <c r="B4144" s="8">
        <v>6</v>
      </c>
      <c r="C4144" s="8" t="s">
        <v>3323</v>
      </c>
      <c r="D4144" s="2" t="s">
        <v>1009</v>
      </c>
      <c r="E4144" s="2" t="s">
        <v>108</v>
      </c>
      <c r="F4144" s="2" t="s">
        <v>39</v>
      </c>
      <c r="J4144" s="2" t="s">
        <v>471</v>
      </c>
      <c r="L4144" s="2" t="s">
        <v>293</v>
      </c>
      <c r="M4144" s="2" t="s">
        <v>80</v>
      </c>
      <c r="P4144" s="2" t="s">
        <v>93</v>
      </c>
      <c r="Q4144" s="2" t="s">
        <v>94</v>
      </c>
      <c r="R4144" s="2" t="s">
        <v>95</v>
      </c>
      <c r="S4144" s="9">
        <v>1</v>
      </c>
      <c r="T4144" s="10">
        <v>1.48</v>
      </c>
      <c r="U4144" s="2">
        <f t="shared" si="633"/>
        <v>0.34040000000000004</v>
      </c>
      <c r="V4144" s="10">
        <f t="shared" si="634"/>
        <v>1.8204</v>
      </c>
      <c r="W4144" s="2">
        <f>1.48*S4144</f>
        <v>1.48</v>
      </c>
      <c r="X4144" s="5">
        <f t="shared" si="632"/>
        <v>0</v>
      </c>
      <c r="Z4144" s="2" t="s">
        <v>3227</v>
      </c>
      <c r="AA4144" s="2" t="s">
        <v>96</v>
      </c>
      <c r="AB4144" s="2" t="s">
        <v>76</v>
      </c>
      <c r="AC4144" s="2" t="s">
        <v>93</v>
      </c>
      <c r="AF4144" s="2">
        <f>AJ4144</f>
        <v>0</v>
      </c>
      <c r="AG4144" s="2">
        <v>1.48</v>
      </c>
      <c r="AH4144" s="2">
        <v>1.48</v>
      </c>
      <c r="AI4144" s="2"/>
      <c r="AJ4144" s="2">
        <f>AI4144*T4144</f>
        <v>0</v>
      </c>
      <c r="AK4144" s="2">
        <f t="shared" si="635"/>
        <v>0</v>
      </c>
      <c r="AL4144" s="5">
        <f t="shared" si="636"/>
        <v>0</v>
      </c>
    </row>
    <row r="4145" spans="1:38" x14ac:dyDescent="0.2">
      <c r="A4145" s="8">
        <v>2026</v>
      </c>
      <c r="B4145" s="8">
        <v>6</v>
      </c>
      <c r="C4145" s="8"/>
      <c r="D4145" s="2" t="s">
        <v>394</v>
      </c>
      <c r="E4145" s="2" t="s">
        <v>108</v>
      </c>
      <c r="F4145" s="2" t="s">
        <v>395</v>
      </c>
      <c r="G4145" s="2">
        <v>501787160</v>
      </c>
      <c r="H4145" s="2" t="s">
        <v>41</v>
      </c>
      <c r="I4145" s="2" t="s">
        <v>396</v>
      </c>
      <c r="J4145" s="2" t="s">
        <v>397</v>
      </c>
      <c r="L4145" s="2" t="s">
        <v>398</v>
      </c>
      <c r="P4145" s="2" t="s">
        <v>282</v>
      </c>
      <c r="Q4145" s="2" t="s">
        <v>401</v>
      </c>
      <c r="R4145" s="2" t="s">
        <v>402</v>
      </c>
      <c r="S4145" s="9">
        <v>20</v>
      </c>
      <c r="T4145" s="10">
        <v>400</v>
      </c>
      <c r="U4145" s="2">
        <f t="shared" si="633"/>
        <v>92</v>
      </c>
      <c r="V4145" s="10">
        <f t="shared" si="634"/>
        <v>492</v>
      </c>
      <c r="W4145" s="2">
        <v>290</v>
      </c>
      <c r="X4145" s="5">
        <f t="shared" si="632"/>
        <v>0.27500000000000002</v>
      </c>
      <c r="Z4145" s="2" t="s">
        <v>3227</v>
      </c>
      <c r="AA4145" s="2" t="s">
        <v>46</v>
      </c>
      <c r="AB4145" s="2" t="s">
        <v>60</v>
      </c>
      <c r="AC4145" s="2" t="s">
        <v>3332</v>
      </c>
      <c r="AI4145" s="2"/>
      <c r="AK4145" s="2">
        <f t="shared" si="635"/>
        <v>110</v>
      </c>
      <c r="AL4145" s="5">
        <f t="shared" si="636"/>
        <v>0.27500000000000002</v>
      </c>
    </row>
    <row r="4146" spans="1:38" x14ac:dyDescent="0.2">
      <c r="A4146" s="8">
        <v>2026</v>
      </c>
      <c r="B4146" s="8">
        <v>6</v>
      </c>
      <c r="C4146" s="8" t="s">
        <v>3294</v>
      </c>
      <c r="D4146" s="2" t="s">
        <v>3329</v>
      </c>
      <c r="E4146" s="2" t="s">
        <v>38</v>
      </c>
      <c r="F4146" s="2" t="s">
        <v>39</v>
      </c>
      <c r="L4146" s="2" t="s">
        <v>99</v>
      </c>
      <c r="M4146" s="2" t="s">
        <v>41</v>
      </c>
      <c r="O4146" s="2" t="s">
        <v>3169</v>
      </c>
      <c r="P4146" s="2" t="s">
        <v>114</v>
      </c>
      <c r="Q4146" s="2" t="s">
        <v>287</v>
      </c>
      <c r="R4146" s="2" t="s">
        <v>288</v>
      </c>
      <c r="S4146" s="9">
        <v>1</v>
      </c>
      <c r="T4146" s="10">
        <v>5590</v>
      </c>
      <c r="U4146" s="2">
        <f t="shared" si="633"/>
        <v>1285.7</v>
      </c>
      <c r="V4146" s="10">
        <f t="shared" si="634"/>
        <v>6875.7</v>
      </c>
      <c r="W4146" s="2">
        <v>4275.9799999999996</v>
      </c>
      <c r="X4146" s="5">
        <f t="shared" si="632"/>
        <v>0.23506618962432924</v>
      </c>
      <c r="Z4146" s="2" t="s">
        <v>104</v>
      </c>
      <c r="AA4146" s="2" t="s">
        <v>616</v>
      </c>
      <c r="AB4146" s="2" t="s">
        <v>3173</v>
      </c>
      <c r="AC4146" s="2" t="s">
        <v>114</v>
      </c>
      <c r="AF4146" s="2">
        <f>AJ4146</f>
        <v>0</v>
      </c>
      <c r="AG4146" s="2">
        <f>4131.6+144.38</f>
        <v>4275.9800000000005</v>
      </c>
      <c r="AI4146" s="2"/>
      <c r="AJ4146" s="2">
        <f>AI4146*T4146</f>
        <v>0</v>
      </c>
      <c r="AK4146" s="2">
        <f t="shared" si="635"/>
        <v>1314.0200000000004</v>
      </c>
      <c r="AL4146" s="5">
        <f t="shared" si="636"/>
        <v>0.23506618962432924</v>
      </c>
    </row>
    <row r="4147" spans="1:38" x14ac:dyDescent="0.2">
      <c r="A4147" s="8">
        <v>2026</v>
      </c>
      <c r="B4147" s="8">
        <v>6</v>
      </c>
      <c r="C4147" s="8" t="s">
        <v>3294</v>
      </c>
      <c r="D4147" s="2" t="s">
        <v>3329</v>
      </c>
      <c r="E4147" s="2" t="s">
        <v>38</v>
      </c>
      <c r="F4147" s="2" t="s">
        <v>39</v>
      </c>
      <c r="L4147" s="2" t="s">
        <v>99</v>
      </c>
      <c r="M4147" s="2" t="s">
        <v>41</v>
      </c>
      <c r="O4147" s="2" t="s">
        <v>3169</v>
      </c>
      <c r="P4147" s="2" t="s">
        <v>114</v>
      </c>
      <c r="Q4147" s="2" t="s">
        <v>838</v>
      </c>
      <c r="R4147" s="2" t="s">
        <v>839</v>
      </c>
      <c r="S4147" s="9">
        <v>1</v>
      </c>
      <c r="T4147" s="10">
        <v>4440</v>
      </c>
      <c r="U4147" s="2">
        <f t="shared" si="633"/>
        <v>1021.2</v>
      </c>
      <c r="V4147" s="10">
        <f t="shared" si="634"/>
        <v>5461.2</v>
      </c>
      <c r="W4147" s="2">
        <v>3345.125</v>
      </c>
      <c r="X4147" s="5">
        <f t="shared" si="632"/>
        <v>0.24659346846846847</v>
      </c>
      <c r="Z4147" s="2" t="s">
        <v>104</v>
      </c>
      <c r="AA4147" s="2" t="s">
        <v>150</v>
      </c>
      <c r="AB4147" s="2" t="s">
        <v>151</v>
      </c>
      <c r="AC4147" s="2" t="s">
        <v>114</v>
      </c>
      <c r="AF4147" s="2">
        <f>AJ4147</f>
        <v>0</v>
      </c>
      <c r="AG4147" s="2">
        <v>3345.125</v>
      </c>
      <c r="AI4147" s="2"/>
      <c r="AJ4147" s="2">
        <f>AI4147*T4147</f>
        <v>0</v>
      </c>
      <c r="AK4147" s="2">
        <f t="shared" si="635"/>
        <v>1094.875</v>
      </c>
      <c r="AL4147" s="5">
        <f t="shared" si="636"/>
        <v>0.24659346846846847</v>
      </c>
    </row>
    <row r="4148" spans="1:38" x14ac:dyDescent="0.2">
      <c r="A4148" s="8">
        <v>2026</v>
      </c>
      <c r="B4148" s="8">
        <v>6</v>
      </c>
      <c r="C4148" s="8" t="s">
        <v>3294</v>
      </c>
      <c r="D4148" s="2" t="s">
        <v>3329</v>
      </c>
      <c r="E4148" s="2" t="s">
        <v>38</v>
      </c>
      <c r="F4148" s="2" t="s">
        <v>39</v>
      </c>
      <c r="L4148" s="2" t="s">
        <v>99</v>
      </c>
      <c r="M4148" s="2" t="s">
        <v>41</v>
      </c>
      <c r="O4148" s="2" t="s">
        <v>3169</v>
      </c>
      <c r="P4148" s="2" t="s">
        <v>1608</v>
      </c>
      <c r="Q4148" s="2" t="s">
        <v>3057</v>
      </c>
      <c r="R4148" s="2" t="s">
        <v>3058</v>
      </c>
      <c r="S4148" s="9">
        <v>2</v>
      </c>
      <c r="T4148" s="10">
        <v>10000</v>
      </c>
      <c r="U4148" s="2">
        <f t="shared" si="633"/>
        <v>2300</v>
      </c>
      <c r="V4148" s="10">
        <f t="shared" si="634"/>
        <v>12300</v>
      </c>
      <c r="W4148" s="2">
        <f>3681.98*2</f>
        <v>7363.96</v>
      </c>
      <c r="X4148" s="5">
        <f t="shared" si="632"/>
        <v>0.263604</v>
      </c>
      <c r="Z4148" s="2" t="s">
        <v>104</v>
      </c>
      <c r="AA4148" s="2" t="s">
        <v>264</v>
      </c>
      <c r="AB4148" s="2" t="s">
        <v>1095</v>
      </c>
      <c r="AC4148" s="2" t="s">
        <v>1608</v>
      </c>
      <c r="AF4148" s="2">
        <f>AJ4148</f>
        <v>0</v>
      </c>
      <c r="AG4148" s="2">
        <v>3681.98</v>
      </c>
      <c r="AI4148" s="2"/>
      <c r="AJ4148" s="2">
        <f>AI4148*T4148</f>
        <v>0</v>
      </c>
      <c r="AK4148" s="2">
        <f t="shared" si="635"/>
        <v>2636.04</v>
      </c>
      <c r="AL4148" s="5">
        <f t="shared" si="636"/>
        <v>0.263604</v>
      </c>
    </row>
    <row r="4149" spans="1:38" x14ac:dyDescent="0.2">
      <c r="A4149" s="8">
        <v>2026</v>
      </c>
      <c r="B4149" s="8">
        <v>6</v>
      </c>
      <c r="C4149" s="8" t="s">
        <v>3294</v>
      </c>
      <c r="D4149" s="2" t="s">
        <v>3329</v>
      </c>
      <c r="E4149" s="2" t="s">
        <v>38</v>
      </c>
      <c r="F4149" s="2" t="s">
        <v>39</v>
      </c>
      <c r="L4149" s="2" t="s">
        <v>99</v>
      </c>
      <c r="M4149" s="2" t="s">
        <v>41</v>
      </c>
      <c r="O4149" s="2" t="s">
        <v>3169</v>
      </c>
      <c r="P4149" s="2" t="s">
        <v>101</v>
      </c>
      <c r="Q4149" s="2" t="s">
        <v>1096</v>
      </c>
      <c r="R4149" s="2" t="s">
        <v>1097</v>
      </c>
      <c r="S4149" s="9">
        <v>1</v>
      </c>
      <c r="T4149" s="10">
        <v>2620</v>
      </c>
      <c r="U4149" s="2">
        <f t="shared" si="633"/>
        <v>602.6</v>
      </c>
      <c r="V4149" s="10">
        <f t="shared" si="634"/>
        <v>3222.6</v>
      </c>
      <c r="W4149" s="2">
        <v>1978.46</v>
      </c>
      <c r="X4149" s="5">
        <f t="shared" si="632"/>
        <v>0.24486259541984731</v>
      </c>
      <c r="Z4149" s="2" t="s">
        <v>104</v>
      </c>
      <c r="AA4149" s="2" t="s">
        <v>105</v>
      </c>
      <c r="AB4149" s="2" t="s">
        <v>106</v>
      </c>
      <c r="AC4149" s="2" t="s">
        <v>101</v>
      </c>
      <c r="AF4149" s="2">
        <f>AJ4149</f>
        <v>0</v>
      </c>
      <c r="AG4149" s="2">
        <v>1978.46</v>
      </c>
      <c r="AI4149" s="2"/>
      <c r="AJ4149" s="2">
        <f>AI4149*T4149</f>
        <v>0</v>
      </c>
      <c r="AK4149" s="2">
        <f t="shared" si="635"/>
        <v>641.54</v>
      </c>
      <c r="AL4149" s="5">
        <f t="shared" si="636"/>
        <v>0.24486259541984731</v>
      </c>
    </row>
    <row r="4150" spans="1:38" x14ac:dyDescent="0.2">
      <c r="A4150" s="8">
        <v>2026</v>
      </c>
      <c r="B4150" s="8">
        <v>6</v>
      </c>
      <c r="C4150" s="8"/>
      <c r="D4150" s="2" t="s">
        <v>797</v>
      </c>
      <c r="P4150" s="2" t="s">
        <v>282</v>
      </c>
      <c r="Q4150" s="2" t="s">
        <v>1547</v>
      </c>
      <c r="R4150" s="2" t="s">
        <v>1548</v>
      </c>
      <c r="S4150" s="9">
        <v>1</v>
      </c>
      <c r="T4150" s="10">
        <v>499</v>
      </c>
      <c r="U4150" s="2">
        <f t="shared" si="633"/>
        <v>114.77000000000001</v>
      </c>
      <c r="V4150" s="10">
        <f t="shared" si="634"/>
        <v>613.77</v>
      </c>
      <c r="W4150" s="2">
        <v>297</v>
      </c>
      <c r="X4150" s="5">
        <f t="shared" si="632"/>
        <v>0.40480961923847697</v>
      </c>
      <c r="Z4150" s="2" t="s">
        <v>104</v>
      </c>
      <c r="AA4150" s="2" t="s">
        <v>387</v>
      </c>
      <c r="AB4150" s="2" t="s">
        <v>388</v>
      </c>
      <c r="AC4150" s="2" t="s">
        <v>389</v>
      </c>
      <c r="AI4150" s="2"/>
      <c r="AK4150" s="2">
        <f t="shared" si="635"/>
        <v>202</v>
      </c>
      <c r="AL4150" s="5">
        <f t="shared" si="636"/>
        <v>0.40480961923847697</v>
      </c>
    </row>
    <row r="4151" spans="1:38" x14ac:dyDescent="0.2">
      <c r="A4151" s="8">
        <v>2026</v>
      </c>
      <c r="B4151" s="8">
        <v>6</v>
      </c>
      <c r="C4151" s="8"/>
      <c r="D4151" s="2" t="s">
        <v>797</v>
      </c>
      <c r="P4151" s="2" t="s">
        <v>282</v>
      </c>
      <c r="Q4151" s="2" t="s">
        <v>399</v>
      </c>
      <c r="R4151" s="2" t="s">
        <v>400</v>
      </c>
      <c r="S4151" s="9">
        <v>2</v>
      </c>
      <c r="T4151" s="10">
        <v>0</v>
      </c>
      <c r="U4151" s="2">
        <f t="shared" si="633"/>
        <v>0</v>
      </c>
      <c r="V4151" s="10">
        <f t="shared" si="634"/>
        <v>0</v>
      </c>
      <c r="W4151" s="2">
        <f>14.5099*S4151</f>
        <v>29.0198</v>
      </c>
      <c r="X4151" s="18">
        <v>-1</v>
      </c>
      <c r="Z4151" s="2" t="s">
        <v>3227</v>
      </c>
      <c r="AA4151" s="2" t="s">
        <v>46</v>
      </c>
      <c r="AB4151" s="2" t="s">
        <v>60</v>
      </c>
      <c r="AC4151" s="2" t="s">
        <v>3332</v>
      </c>
      <c r="AI4151" s="2"/>
      <c r="AK4151" s="2">
        <f>T4151+(W4151)</f>
        <v>29.0198</v>
      </c>
      <c r="AL4151" s="18">
        <v>-1</v>
      </c>
    </row>
    <row r="4152" spans="1:38" x14ac:dyDescent="0.2">
      <c r="A4152" s="8">
        <v>2026</v>
      </c>
      <c r="B4152" s="8">
        <v>6</v>
      </c>
      <c r="C4152" s="8"/>
      <c r="D4152" s="2" t="s">
        <v>797</v>
      </c>
      <c r="P4152" s="2" t="s">
        <v>282</v>
      </c>
      <c r="Q4152" s="2" t="s">
        <v>401</v>
      </c>
      <c r="R4152" s="2" t="s">
        <v>402</v>
      </c>
      <c r="S4152" s="9">
        <v>2</v>
      </c>
      <c r="T4152" s="10">
        <v>0</v>
      </c>
      <c r="U4152" s="2">
        <f t="shared" si="633"/>
        <v>0</v>
      </c>
      <c r="V4152" s="10">
        <f t="shared" si="634"/>
        <v>0</v>
      </c>
      <c r="W4152" s="2">
        <f>14.5099*S4152</f>
        <v>29.0198</v>
      </c>
      <c r="X4152" s="19">
        <v>-1</v>
      </c>
      <c r="Z4152" s="2" t="s">
        <v>3227</v>
      </c>
      <c r="AA4152" s="2" t="s">
        <v>46</v>
      </c>
      <c r="AB4152" s="2" t="s">
        <v>60</v>
      </c>
      <c r="AC4152" s="2" t="s">
        <v>3332</v>
      </c>
      <c r="AI4152" s="2"/>
      <c r="AK4152" s="2">
        <f>T4152-W4152</f>
        <v>-29.0198</v>
      </c>
      <c r="AL4152" s="19">
        <v>-1</v>
      </c>
    </row>
    <row r="4153" spans="1:38" x14ac:dyDescent="0.2">
      <c r="A4153" s="8">
        <v>2026</v>
      </c>
      <c r="B4153" s="8">
        <v>6</v>
      </c>
      <c r="C4153" s="8"/>
      <c r="D4153" s="2" t="s">
        <v>415</v>
      </c>
      <c r="E4153" s="2" t="s">
        <v>38</v>
      </c>
      <c r="F4153" s="2" t="s">
        <v>39</v>
      </c>
      <c r="G4153" s="2">
        <v>219908800</v>
      </c>
      <c r="H4153" s="2" t="s">
        <v>41</v>
      </c>
      <c r="I4153" s="2" t="s">
        <v>416</v>
      </c>
      <c r="J4153" s="2" t="s">
        <v>417</v>
      </c>
      <c r="L4153" s="2" t="s">
        <v>418</v>
      </c>
      <c r="P4153" s="2" t="s">
        <v>43</v>
      </c>
      <c r="Q4153" s="2" t="s">
        <v>54</v>
      </c>
      <c r="R4153" s="2" t="s">
        <v>55</v>
      </c>
      <c r="S4153" s="9">
        <v>2</v>
      </c>
      <c r="T4153" s="10">
        <v>36</v>
      </c>
      <c r="U4153" s="2">
        <f t="shared" si="633"/>
        <v>8.2800000000000011</v>
      </c>
      <c r="V4153" s="10">
        <f t="shared" si="634"/>
        <v>44.28</v>
      </c>
      <c r="W4153" s="2">
        <f>10.6*S4153</f>
        <v>21.2</v>
      </c>
      <c r="X4153" s="5">
        <f t="shared" ref="X4153:X4189" si="637">(T4153-W4153)/T4153</f>
        <v>0.41111111111111115</v>
      </c>
      <c r="Z4153" s="2" t="s">
        <v>3227</v>
      </c>
      <c r="AA4153" s="2" t="s">
        <v>46</v>
      </c>
      <c r="AB4153" s="2" t="s">
        <v>56</v>
      </c>
      <c r="AC4153" s="2" t="s">
        <v>57</v>
      </c>
      <c r="AI4153" s="2"/>
      <c r="AK4153" s="2">
        <f t="shared" ref="AK4153" si="638">T4153-W4153</f>
        <v>14.8</v>
      </c>
      <c r="AL4153" s="5">
        <f t="shared" ref="AL4153" si="639">(T4153-W4153)/T4153</f>
        <v>0.41111111111111115</v>
      </c>
    </row>
    <row r="4154" spans="1:38" x14ac:dyDescent="0.2">
      <c r="A4154" s="8">
        <v>2026</v>
      </c>
      <c r="B4154" s="8">
        <v>6</v>
      </c>
      <c r="C4154" s="8"/>
      <c r="D4154" s="2" t="s">
        <v>415</v>
      </c>
      <c r="E4154" s="2" t="s">
        <v>38</v>
      </c>
      <c r="F4154" s="2" t="s">
        <v>39</v>
      </c>
      <c r="G4154" s="2">
        <v>219908800</v>
      </c>
      <c r="H4154" s="2" t="s">
        <v>41</v>
      </c>
      <c r="I4154" s="2" t="s">
        <v>416</v>
      </c>
      <c r="J4154" s="2" t="s">
        <v>417</v>
      </c>
      <c r="L4154" s="2" t="s">
        <v>418</v>
      </c>
      <c r="P4154" s="2" t="s">
        <v>169</v>
      </c>
      <c r="Q4154" s="2" t="s">
        <v>170</v>
      </c>
      <c r="R4154" s="2" t="s">
        <v>170</v>
      </c>
      <c r="S4154" s="9">
        <v>1</v>
      </c>
      <c r="T4154" s="10">
        <v>8</v>
      </c>
      <c r="U4154" s="2">
        <f t="shared" si="633"/>
        <v>1.84</v>
      </c>
      <c r="V4154" s="10">
        <f t="shared" si="634"/>
        <v>9.84</v>
      </c>
      <c r="W4154" s="2">
        <v>6</v>
      </c>
      <c r="X4154" s="5">
        <f t="shared" si="637"/>
        <v>0.25</v>
      </c>
      <c r="Z4154" s="2" t="s">
        <v>169</v>
      </c>
      <c r="AA4154" s="2" t="s">
        <v>169</v>
      </c>
      <c r="AI4154" s="2"/>
      <c r="AL4154" s="2"/>
    </row>
    <row r="4155" spans="1:38" x14ac:dyDescent="0.2">
      <c r="A4155" s="8">
        <v>2026</v>
      </c>
      <c r="B4155" s="8">
        <v>6</v>
      </c>
      <c r="C4155" s="8"/>
      <c r="D4155" s="2" t="s">
        <v>1015</v>
      </c>
      <c r="E4155" s="2" t="s">
        <v>108</v>
      </c>
      <c r="F4155" s="2" t="s">
        <v>477</v>
      </c>
      <c r="G4155" s="2">
        <v>503815284</v>
      </c>
      <c r="H4155" s="2" t="s">
        <v>40</v>
      </c>
      <c r="I4155" s="2" t="s">
        <v>156</v>
      </c>
      <c r="J4155" s="2" t="s">
        <v>2538</v>
      </c>
      <c r="L4155" s="2" t="s">
        <v>99</v>
      </c>
      <c r="M4155" s="2" t="s">
        <v>80</v>
      </c>
      <c r="P4155" s="2" t="s">
        <v>43</v>
      </c>
      <c r="Q4155" s="2" t="s">
        <v>351</v>
      </c>
      <c r="R4155" s="2" t="s">
        <v>352</v>
      </c>
      <c r="S4155" s="9">
        <v>3</v>
      </c>
      <c r="T4155" s="10">
        <v>63</v>
      </c>
      <c r="U4155" s="2">
        <f t="shared" si="633"/>
        <v>14.49</v>
      </c>
      <c r="V4155" s="10">
        <f t="shared" si="634"/>
        <v>77.489999999999995</v>
      </c>
      <c r="W4155" s="2">
        <f>10.67*S4155</f>
        <v>32.01</v>
      </c>
      <c r="X4155" s="5">
        <f t="shared" si="637"/>
        <v>0.49190476190476196</v>
      </c>
      <c r="Z4155" s="2" t="s">
        <v>3227</v>
      </c>
      <c r="AA4155" s="2" t="s">
        <v>46</v>
      </c>
      <c r="AB4155" s="2" t="s">
        <v>47</v>
      </c>
      <c r="AC4155" s="2" t="s">
        <v>57</v>
      </c>
      <c r="AI4155" s="2"/>
      <c r="AK4155" s="2">
        <f t="shared" ref="AK4155:AK4172" si="640">T4155-W4155</f>
        <v>30.990000000000002</v>
      </c>
      <c r="AL4155" s="5">
        <f t="shared" ref="AL4155:AL4172" si="641">(T4155-W4155)/T4155</f>
        <v>0.49190476190476196</v>
      </c>
    </row>
    <row r="4156" spans="1:38" x14ac:dyDescent="0.2">
      <c r="A4156" s="8">
        <v>2026</v>
      </c>
      <c r="B4156" s="8">
        <v>6</v>
      </c>
      <c r="C4156" s="8"/>
      <c r="D4156" s="2" t="s">
        <v>1015</v>
      </c>
      <c r="E4156" s="2" t="s">
        <v>108</v>
      </c>
      <c r="F4156" s="2" t="s">
        <v>477</v>
      </c>
      <c r="G4156" s="2">
        <v>503815284</v>
      </c>
      <c r="H4156" s="2" t="s">
        <v>40</v>
      </c>
      <c r="I4156" s="2" t="s">
        <v>156</v>
      </c>
      <c r="J4156" s="2" t="s">
        <v>2538</v>
      </c>
      <c r="L4156" s="2" t="s">
        <v>99</v>
      </c>
      <c r="M4156" s="2" t="s">
        <v>80</v>
      </c>
      <c r="P4156" s="2" t="s">
        <v>43</v>
      </c>
      <c r="Q4156" s="2" t="s">
        <v>160</v>
      </c>
      <c r="R4156" s="2" t="s">
        <v>161</v>
      </c>
      <c r="S4156" s="9">
        <v>3</v>
      </c>
      <c r="T4156" s="10">
        <v>27</v>
      </c>
      <c r="U4156" s="2">
        <f t="shared" si="633"/>
        <v>6.21</v>
      </c>
      <c r="V4156" s="10">
        <f t="shared" si="634"/>
        <v>33.21</v>
      </c>
      <c r="W4156" s="2">
        <f>3.7358*S4156</f>
        <v>11.2074</v>
      </c>
      <c r="X4156" s="5">
        <f t="shared" si="637"/>
        <v>0.58491111111111116</v>
      </c>
      <c r="Z4156" s="2" t="s">
        <v>3227</v>
      </c>
      <c r="AA4156" s="2" t="s">
        <v>46</v>
      </c>
      <c r="AB4156" s="2" t="s">
        <v>47</v>
      </c>
      <c r="AC4156" s="2" t="s">
        <v>57</v>
      </c>
      <c r="AI4156" s="2"/>
      <c r="AK4156" s="2">
        <f t="shared" si="640"/>
        <v>15.7926</v>
      </c>
      <c r="AL4156" s="5">
        <f t="shared" si="641"/>
        <v>0.58491111111111116</v>
      </c>
    </row>
    <row r="4157" spans="1:38" x14ac:dyDescent="0.2">
      <c r="A4157" s="8">
        <v>2026</v>
      </c>
      <c r="B4157" s="8">
        <v>6</v>
      </c>
      <c r="C4157" s="8"/>
      <c r="D4157" s="2" t="s">
        <v>1373</v>
      </c>
      <c r="M4157" s="2" t="s">
        <v>40</v>
      </c>
      <c r="P4157" s="2" t="s">
        <v>114</v>
      </c>
      <c r="Q4157" s="2" t="s">
        <v>373</v>
      </c>
      <c r="R4157" s="2" t="s">
        <v>374</v>
      </c>
      <c r="S4157" s="9">
        <v>1</v>
      </c>
      <c r="T4157" s="10">
        <v>41.96</v>
      </c>
      <c r="U4157" s="2">
        <f t="shared" si="633"/>
        <v>9.6508000000000003</v>
      </c>
      <c r="V4157" s="10">
        <f t="shared" si="634"/>
        <v>51.610799999999998</v>
      </c>
      <c r="W4157" s="2">
        <f>23.042*S4157</f>
        <v>23.042000000000002</v>
      </c>
      <c r="X4157" s="5">
        <f t="shared" si="637"/>
        <v>0.45085795996186839</v>
      </c>
      <c r="Z4157" s="2" t="s">
        <v>117</v>
      </c>
      <c r="AA4157" s="2" t="s">
        <v>118</v>
      </c>
      <c r="AB4157" s="2" t="s">
        <v>119</v>
      </c>
      <c r="AC4157" s="2" t="s">
        <v>114</v>
      </c>
      <c r="AI4157" s="2"/>
      <c r="AK4157" s="2">
        <f t="shared" si="640"/>
        <v>18.917999999999999</v>
      </c>
      <c r="AL4157" s="5">
        <f t="shared" si="641"/>
        <v>0.45085795996186839</v>
      </c>
    </row>
    <row r="4158" spans="1:38" x14ac:dyDescent="0.2">
      <c r="A4158" s="8">
        <v>2026</v>
      </c>
      <c r="B4158" s="8">
        <v>6</v>
      </c>
      <c r="C4158" s="8"/>
      <c r="D4158" s="2" t="s">
        <v>1553</v>
      </c>
      <c r="E4158" s="2" t="s">
        <v>108</v>
      </c>
      <c r="F4158" s="2" t="s">
        <v>717</v>
      </c>
      <c r="G4158" s="2">
        <v>500975914</v>
      </c>
      <c r="H4158" s="2" t="s">
        <v>41</v>
      </c>
      <c r="I4158" s="2" t="s">
        <v>1554</v>
      </c>
      <c r="J4158" s="2" t="s">
        <v>1555</v>
      </c>
      <c r="L4158" s="2" t="s">
        <v>177</v>
      </c>
      <c r="M4158" s="2" t="s">
        <v>41</v>
      </c>
      <c r="P4158" s="2" t="s">
        <v>282</v>
      </c>
      <c r="Q4158" s="2" t="s">
        <v>399</v>
      </c>
      <c r="R4158" s="2" t="s">
        <v>400</v>
      </c>
      <c r="S4158" s="9">
        <v>20</v>
      </c>
      <c r="T4158" s="10">
        <v>400</v>
      </c>
      <c r="U4158" s="2">
        <f t="shared" si="633"/>
        <v>92</v>
      </c>
      <c r="V4158" s="10">
        <f t="shared" si="634"/>
        <v>492</v>
      </c>
      <c r="W4158" s="2">
        <f>14.5099*S4158</f>
        <v>290.19799999999998</v>
      </c>
      <c r="X4158" s="5">
        <f t="shared" si="637"/>
        <v>0.27450500000000005</v>
      </c>
      <c r="Z4158" s="2" t="s">
        <v>3227</v>
      </c>
      <c r="AA4158" s="2" t="s">
        <v>46</v>
      </c>
      <c r="AB4158" s="2" t="s">
        <v>60</v>
      </c>
      <c r="AC4158" s="2" t="s">
        <v>3332</v>
      </c>
      <c r="AI4158" s="2"/>
      <c r="AK4158" s="2">
        <f t="shared" si="640"/>
        <v>109.80200000000002</v>
      </c>
      <c r="AL4158" s="5">
        <f t="shared" si="641"/>
        <v>0.27450500000000005</v>
      </c>
    </row>
    <row r="4159" spans="1:38" x14ac:dyDescent="0.2">
      <c r="A4159" s="8">
        <v>2026</v>
      </c>
      <c r="B4159" s="8">
        <v>6</v>
      </c>
      <c r="C4159" s="8"/>
      <c r="D4159" s="2" t="s">
        <v>1553</v>
      </c>
      <c r="E4159" s="2" t="s">
        <v>108</v>
      </c>
      <c r="F4159" s="2" t="s">
        <v>717</v>
      </c>
      <c r="G4159" s="2">
        <v>500975914</v>
      </c>
      <c r="H4159" s="2" t="s">
        <v>41</v>
      </c>
      <c r="I4159" s="2" t="s">
        <v>1554</v>
      </c>
      <c r="J4159" s="2" t="s">
        <v>1555</v>
      </c>
      <c r="L4159" s="2" t="s">
        <v>177</v>
      </c>
      <c r="M4159" s="2" t="s">
        <v>41</v>
      </c>
      <c r="P4159" s="2" t="s">
        <v>282</v>
      </c>
      <c r="Q4159" s="2" t="s">
        <v>401</v>
      </c>
      <c r="R4159" s="2" t="s">
        <v>402</v>
      </c>
      <c r="S4159" s="9">
        <v>20</v>
      </c>
      <c r="T4159" s="10">
        <v>400</v>
      </c>
      <c r="U4159" s="2">
        <f t="shared" si="633"/>
        <v>92</v>
      </c>
      <c r="V4159" s="10">
        <f t="shared" si="634"/>
        <v>492</v>
      </c>
      <c r="W4159" s="2">
        <f>14.5099*S4159</f>
        <v>290.19799999999998</v>
      </c>
      <c r="X4159" s="5">
        <f t="shared" si="637"/>
        <v>0.27450500000000005</v>
      </c>
      <c r="Z4159" s="2" t="s">
        <v>3227</v>
      </c>
      <c r="AA4159" s="2" t="s">
        <v>46</v>
      </c>
      <c r="AB4159" s="2" t="s">
        <v>60</v>
      </c>
      <c r="AC4159" s="2" t="s">
        <v>3332</v>
      </c>
      <c r="AI4159" s="2"/>
      <c r="AK4159" s="2">
        <f t="shared" si="640"/>
        <v>109.80200000000002</v>
      </c>
      <c r="AL4159" s="5">
        <f t="shared" si="641"/>
        <v>0.27450500000000005</v>
      </c>
    </row>
    <row r="4160" spans="1:38" x14ac:dyDescent="0.2">
      <c r="A4160" s="8">
        <v>2026</v>
      </c>
      <c r="B4160" s="8">
        <v>6</v>
      </c>
      <c r="C4160" s="8"/>
      <c r="D4160" s="2" t="s">
        <v>1376</v>
      </c>
      <c r="E4160" s="2" t="s">
        <v>183</v>
      </c>
      <c r="F4160" s="2" t="s">
        <v>366</v>
      </c>
      <c r="L4160" s="2" t="s">
        <v>571</v>
      </c>
      <c r="M4160" s="2" t="s">
        <v>80</v>
      </c>
      <c r="O4160" s="2" t="s">
        <v>3195</v>
      </c>
      <c r="P4160" s="2" t="s">
        <v>72</v>
      </c>
      <c r="Q4160" s="2" t="s">
        <v>533</v>
      </c>
      <c r="R4160" s="2" t="s">
        <v>534</v>
      </c>
      <c r="S4160" s="9">
        <v>1</v>
      </c>
      <c r="T4160" s="10">
        <v>200</v>
      </c>
      <c r="U4160" s="2">
        <f t="shared" si="633"/>
        <v>46</v>
      </c>
      <c r="V4160" s="10">
        <f t="shared" si="634"/>
        <v>246</v>
      </c>
      <c r="W4160" s="2">
        <f>110.125+11.77</f>
        <v>121.895</v>
      </c>
      <c r="X4160" s="5">
        <f t="shared" si="637"/>
        <v>0.39052500000000001</v>
      </c>
      <c r="Z4160" s="2" t="s">
        <v>3227</v>
      </c>
      <c r="AA4160" s="2" t="s">
        <v>75</v>
      </c>
      <c r="AB4160" s="2" t="s">
        <v>76</v>
      </c>
      <c r="AC4160" s="2" t="s">
        <v>77</v>
      </c>
      <c r="AF4160" s="2">
        <f>AJ4160</f>
        <v>0</v>
      </c>
      <c r="AG4160" s="2">
        <f>110.125+11.77</f>
        <v>121.895</v>
      </c>
      <c r="AH4160" s="2">
        <v>220</v>
      </c>
      <c r="AI4160" s="2"/>
      <c r="AJ4160" s="2">
        <f t="shared" ref="AJ4160:AJ4165" si="642">AI4160*T4160</f>
        <v>0</v>
      </c>
      <c r="AK4160" s="2">
        <f t="shared" si="640"/>
        <v>78.105000000000004</v>
      </c>
      <c r="AL4160" s="5">
        <f t="shared" si="641"/>
        <v>0.39052500000000001</v>
      </c>
    </row>
    <row r="4161" spans="1:38" x14ac:dyDescent="0.2">
      <c r="A4161" s="8">
        <v>2026</v>
      </c>
      <c r="B4161" s="8">
        <v>6</v>
      </c>
      <c r="C4161" s="8"/>
      <c r="D4161" s="2" t="s">
        <v>1376</v>
      </c>
      <c r="E4161" s="2" t="s">
        <v>183</v>
      </c>
      <c r="F4161" s="2" t="s">
        <v>366</v>
      </c>
      <c r="L4161" s="2" t="s">
        <v>571</v>
      </c>
      <c r="M4161" s="2" t="s">
        <v>80</v>
      </c>
      <c r="P4161" s="2" t="s">
        <v>93</v>
      </c>
      <c r="Q4161" s="2" t="s">
        <v>94</v>
      </c>
      <c r="R4161" s="2" t="s">
        <v>95</v>
      </c>
      <c r="S4161" s="9">
        <v>1</v>
      </c>
      <c r="T4161" s="10">
        <v>1.48</v>
      </c>
      <c r="U4161" s="2">
        <f t="shared" si="633"/>
        <v>0.34040000000000004</v>
      </c>
      <c r="V4161" s="10">
        <f t="shared" si="634"/>
        <v>1.8204</v>
      </c>
      <c r="W4161" s="2">
        <f>1.48*S4161</f>
        <v>1.48</v>
      </c>
      <c r="X4161" s="5">
        <f t="shared" si="637"/>
        <v>0</v>
      </c>
      <c r="Z4161" s="2" t="s">
        <v>3227</v>
      </c>
      <c r="AA4161" s="2" t="s">
        <v>96</v>
      </c>
      <c r="AB4161" s="2" t="s">
        <v>76</v>
      </c>
      <c r="AC4161" s="2" t="s">
        <v>93</v>
      </c>
      <c r="AF4161" s="2">
        <f>AJ4161</f>
        <v>0</v>
      </c>
      <c r="AG4161" s="2">
        <v>1.48</v>
      </c>
      <c r="AH4161" s="2">
        <v>1.48</v>
      </c>
      <c r="AI4161" s="2"/>
      <c r="AJ4161" s="2">
        <f t="shared" si="642"/>
        <v>0</v>
      </c>
      <c r="AK4161" s="2">
        <f t="shared" si="640"/>
        <v>0</v>
      </c>
      <c r="AL4161" s="5">
        <f t="shared" si="641"/>
        <v>0</v>
      </c>
    </row>
    <row r="4162" spans="1:38" x14ac:dyDescent="0.2">
      <c r="A4162" s="8">
        <v>2026</v>
      </c>
      <c r="B4162" s="8">
        <v>6</v>
      </c>
      <c r="C4162" s="8"/>
      <c r="D4162" s="2" t="s">
        <v>3102</v>
      </c>
      <c r="M4162" s="2" t="s">
        <v>40</v>
      </c>
      <c r="P4162" s="2" t="s">
        <v>187</v>
      </c>
      <c r="Q4162" s="2" t="s">
        <v>188</v>
      </c>
      <c r="R4162" s="2" t="s">
        <v>189</v>
      </c>
      <c r="S4162" s="9">
        <v>1</v>
      </c>
      <c r="T4162" s="10">
        <v>137</v>
      </c>
      <c r="U4162" s="2">
        <f t="shared" si="633"/>
        <v>31.51</v>
      </c>
      <c r="V4162" s="2">
        <f t="shared" si="634"/>
        <v>168.51</v>
      </c>
      <c r="W4162" s="2">
        <f>T4162*40%</f>
        <v>54.800000000000004</v>
      </c>
      <c r="X4162" s="5">
        <f t="shared" si="637"/>
        <v>0.59999999999999987</v>
      </c>
      <c r="Z4162" s="2" t="s">
        <v>117</v>
      </c>
      <c r="AA4162" s="2" t="s">
        <v>190</v>
      </c>
      <c r="AB4162" s="2" t="s">
        <v>189</v>
      </c>
      <c r="AC4162" s="2" t="s">
        <v>40</v>
      </c>
      <c r="AG4162" s="2">
        <f>W4162</f>
        <v>54.800000000000004</v>
      </c>
      <c r="AI4162" s="2"/>
      <c r="AJ4162" s="2">
        <f t="shared" si="642"/>
        <v>0</v>
      </c>
      <c r="AK4162" s="2">
        <f t="shared" si="640"/>
        <v>82.199999999999989</v>
      </c>
      <c r="AL4162" s="5">
        <f t="shared" si="641"/>
        <v>0.59999999999999987</v>
      </c>
    </row>
    <row r="4163" spans="1:38" x14ac:dyDescent="0.2">
      <c r="A4163" s="8">
        <v>2026</v>
      </c>
      <c r="B4163" s="8">
        <v>6</v>
      </c>
      <c r="C4163" s="8"/>
      <c r="D4163" s="2" t="s">
        <v>3102</v>
      </c>
      <c r="M4163" s="2" t="s">
        <v>40</v>
      </c>
      <c r="P4163" s="2" t="s">
        <v>187</v>
      </c>
      <c r="Q4163" s="2" t="s">
        <v>191</v>
      </c>
      <c r="R4163" s="2" t="s">
        <v>190</v>
      </c>
      <c r="S4163" s="9">
        <v>1.5</v>
      </c>
      <c r="T4163" s="10">
        <v>82.5</v>
      </c>
      <c r="U4163" s="2">
        <f t="shared" si="633"/>
        <v>18.975000000000001</v>
      </c>
      <c r="V4163" s="2">
        <f t="shared" si="634"/>
        <v>101.47499999999999</v>
      </c>
      <c r="W4163" s="2">
        <f>T4163*50%</f>
        <v>41.25</v>
      </c>
      <c r="X4163" s="5">
        <f t="shared" si="637"/>
        <v>0.5</v>
      </c>
      <c r="Z4163" s="2" t="s">
        <v>117</v>
      </c>
      <c r="AA4163" s="2" t="s">
        <v>190</v>
      </c>
      <c r="AB4163" s="2" t="s">
        <v>190</v>
      </c>
      <c r="AC4163" s="2" t="s">
        <v>40</v>
      </c>
      <c r="AF4163" s="2">
        <f>AJ4163</f>
        <v>0</v>
      </c>
      <c r="AG4163" s="2">
        <f>W4163</f>
        <v>41.25</v>
      </c>
      <c r="AI4163" s="2"/>
      <c r="AJ4163" s="2">
        <f t="shared" si="642"/>
        <v>0</v>
      </c>
      <c r="AK4163" s="2">
        <f t="shared" si="640"/>
        <v>41.25</v>
      </c>
      <c r="AL4163" s="5">
        <f t="shared" si="641"/>
        <v>0.5</v>
      </c>
    </row>
    <row r="4164" spans="1:38" x14ac:dyDescent="0.2">
      <c r="A4164" s="8">
        <v>2026</v>
      </c>
      <c r="B4164" s="8">
        <v>6</v>
      </c>
      <c r="C4164" s="8"/>
      <c r="D4164" s="2" t="s">
        <v>1242</v>
      </c>
      <c r="P4164" s="2" t="s">
        <v>72</v>
      </c>
      <c r="Q4164" s="2" t="s">
        <v>380</v>
      </c>
      <c r="R4164" s="2" t="s">
        <v>381</v>
      </c>
      <c r="S4164" s="9">
        <v>1</v>
      </c>
      <c r="T4164" s="10">
        <v>270</v>
      </c>
      <c r="U4164" s="2">
        <f t="shared" si="633"/>
        <v>62.1</v>
      </c>
      <c r="V4164" s="10">
        <f t="shared" si="634"/>
        <v>332.1</v>
      </c>
      <c r="W4164" s="2">
        <v>139.46</v>
      </c>
      <c r="X4164" s="5">
        <f t="shared" si="637"/>
        <v>0.48348148148148146</v>
      </c>
      <c r="Z4164" s="2" t="s">
        <v>3227</v>
      </c>
      <c r="AA4164" s="2" t="s">
        <v>75</v>
      </c>
      <c r="AB4164" s="2" t="s">
        <v>76</v>
      </c>
      <c r="AC4164" s="2" t="s">
        <v>77</v>
      </c>
      <c r="AF4164" s="2">
        <f>AJ4164</f>
        <v>0</v>
      </c>
      <c r="AG4164" s="2">
        <v>125.51600000000001</v>
      </c>
      <c r="AH4164" s="2">
        <v>220</v>
      </c>
      <c r="AI4164" s="2"/>
      <c r="AJ4164" s="2">
        <f t="shared" si="642"/>
        <v>0</v>
      </c>
      <c r="AK4164" s="2">
        <f t="shared" si="640"/>
        <v>130.54</v>
      </c>
      <c r="AL4164" s="5">
        <f t="shared" si="641"/>
        <v>0.48348148148148146</v>
      </c>
    </row>
    <row r="4165" spans="1:38" x14ac:dyDescent="0.2">
      <c r="A4165" s="8">
        <v>2026</v>
      </c>
      <c r="B4165" s="8">
        <v>6</v>
      </c>
      <c r="C4165" s="8"/>
      <c r="D4165" s="2" t="s">
        <v>1242</v>
      </c>
      <c r="P4165" s="2" t="s">
        <v>93</v>
      </c>
      <c r="Q4165" s="2" t="s">
        <v>94</v>
      </c>
      <c r="R4165" s="2" t="s">
        <v>95</v>
      </c>
      <c r="S4165" s="9">
        <v>1</v>
      </c>
      <c r="T4165" s="10">
        <v>1.48</v>
      </c>
      <c r="U4165" s="2">
        <f t="shared" si="633"/>
        <v>0.34040000000000004</v>
      </c>
      <c r="V4165" s="10">
        <f t="shared" si="634"/>
        <v>1.8204</v>
      </c>
      <c r="W4165" s="2">
        <f>1.48*S4165</f>
        <v>1.48</v>
      </c>
      <c r="X4165" s="5">
        <f t="shared" si="637"/>
        <v>0</v>
      </c>
      <c r="Z4165" s="2" t="s">
        <v>3227</v>
      </c>
      <c r="AA4165" s="2" t="s">
        <v>96</v>
      </c>
      <c r="AB4165" s="2" t="s">
        <v>76</v>
      </c>
      <c r="AC4165" s="2" t="s">
        <v>93</v>
      </c>
      <c r="AF4165" s="2">
        <f>AJ4165</f>
        <v>0</v>
      </c>
      <c r="AG4165" s="2">
        <v>1.48</v>
      </c>
      <c r="AH4165" s="2">
        <v>1.48</v>
      </c>
      <c r="AI4165" s="2"/>
      <c r="AJ4165" s="2">
        <f t="shared" si="642"/>
        <v>0</v>
      </c>
      <c r="AK4165" s="2">
        <f t="shared" si="640"/>
        <v>0</v>
      </c>
      <c r="AL4165" s="5">
        <f t="shared" si="641"/>
        <v>0</v>
      </c>
    </row>
    <row r="4166" spans="1:38" x14ac:dyDescent="0.2">
      <c r="A4166" s="8">
        <v>2026</v>
      </c>
      <c r="B4166" s="8">
        <v>6</v>
      </c>
      <c r="C4166" s="8"/>
      <c r="D4166" s="2" t="s">
        <v>451</v>
      </c>
      <c r="E4166" s="2" t="s">
        <v>108</v>
      </c>
      <c r="F4166" s="2" t="s">
        <v>39</v>
      </c>
      <c r="G4166" s="2">
        <v>506085686</v>
      </c>
      <c r="H4166" s="2" t="s">
        <v>40</v>
      </c>
      <c r="I4166" s="2" t="s">
        <v>452</v>
      </c>
      <c r="J4166" s="2" t="s">
        <v>453</v>
      </c>
      <c r="K4166" s="2">
        <v>917241919</v>
      </c>
      <c r="L4166" s="2" t="s">
        <v>398</v>
      </c>
      <c r="M4166" s="2" t="s">
        <v>40</v>
      </c>
      <c r="P4166" s="2" t="s">
        <v>114</v>
      </c>
      <c r="Q4166" s="2" t="s">
        <v>779</v>
      </c>
      <c r="R4166" s="2" t="s">
        <v>780</v>
      </c>
      <c r="S4166" s="9">
        <v>2</v>
      </c>
      <c r="T4166" s="10">
        <v>134.72</v>
      </c>
      <c r="U4166" s="2">
        <f t="shared" si="633"/>
        <v>30.985600000000002</v>
      </c>
      <c r="V4166" s="10">
        <f t="shared" si="634"/>
        <v>165.7056</v>
      </c>
      <c r="X4166" s="5">
        <f t="shared" si="637"/>
        <v>1</v>
      </c>
      <c r="AI4166" s="2"/>
      <c r="AK4166" s="2">
        <f t="shared" si="640"/>
        <v>134.72</v>
      </c>
      <c r="AL4166" s="5">
        <f t="shared" si="641"/>
        <v>1</v>
      </c>
    </row>
    <row r="4167" spans="1:38" x14ac:dyDescent="0.2">
      <c r="A4167" s="8">
        <v>2026</v>
      </c>
      <c r="B4167" s="8">
        <v>6</v>
      </c>
      <c r="C4167" s="8"/>
      <c r="D4167" s="2" t="s">
        <v>451</v>
      </c>
      <c r="E4167" s="2" t="s">
        <v>108</v>
      </c>
      <c r="F4167" s="2" t="s">
        <v>39</v>
      </c>
      <c r="G4167" s="2">
        <v>506085686</v>
      </c>
      <c r="H4167" s="2" t="s">
        <v>40</v>
      </c>
      <c r="I4167" s="2" t="s">
        <v>452</v>
      </c>
      <c r="J4167" s="2" t="s">
        <v>453</v>
      </c>
      <c r="K4167" s="2">
        <v>917241919</v>
      </c>
      <c r="L4167" s="2" t="s">
        <v>398</v>
      </c>
      <c r="M4167" s="2" t="s">
        <v>40</v>
      </c>
      <c r="P4167" s="2" t="s">
        <v>187</v>
      </c>
      <c r="Q4167" s="2" t="s">
        <v>188</v>
      </c>
      <c r="R4167" s="2" t="s">
        <v>189</v>
      </c>
      <c r="S4167" s="9">
        <v>4</v>
      </c>
      <c r="T4167" s="10">
        <v>601.5</v>
      </c>
      <c r="U4167" s="2">
        <f t="shared" si="633"/>
        <v>138.345</v>
      </c>
      <c r="V4167" s="2">
        <f t="shared" si="634"/>
        <v>739.84500000000003</v>
      </c>
      <c r="W4167" s="2">
        <f>T4167*40%</f>
        <v>240.60000000000002</v>
      </c>
      <c r="X4167" s="5">
        <f t="shared" si="637"/>
        <v>0.6</v>
      </c>
      <c r="Z4167" s="2" t="s">
        <v>117</v>
      </c>
      <c r="AA4167" s="2" t="s">
        <v>190</v>
      </c>
      <c r="AB4167" s="2" t="s">
        <v>189</v>
      </c>
      <c r="AC4167" s="2" t="s">
        <v>40</v>
      </c>
      <c r="AG4167" s="2">
        <f>W4167</f>
        <v>240.60000000000002</v>
      </c>
      <c r="AI4167" s="2"/>
      <c r="AJ4167" s="2">
        <f>AI4167*T4167</f>
        <v>0</v>
      </c>
      <c r="AK4167" s="2">
        <f t="shared" si="640"/>
        <v>360.9</v>
      </c>
      <c r="AL4167" s="5">
        <f t="shared" si="641"/>
        <v>0.6</v>
      </c>
    </row>
    <row r="4168" spans="1:38" x14ac:dyDescent="0.2">
      <c r="A4168" s="8">
        <v>2026</v>
      </c>
      <c r="B4168" s="8">
        <v>6</v>
      </c>
      <c r="C4168" s="8"/>
      <c r="D4168" s="2" t="s">
        <v>451</v>
      </c>
      <c r="E4168" s="2" t="s">
        <v>108</v>
      </c>
      <c r="F4168" s="2" t="s">
        <v>39</v>
      </c>
      <c r="G4168" s="2">
        <v>506085686</v>
      </c>
      <c r="H4168" s="2" t="s">
        <v>40</v>
      </c>
      <c r="I4168" s="2" t="s">
        <v>452</v>
      </c>
      <c r="J4168" s="2" t="s">
        <v>453</v>
      </c>
      <c r="K4168" s="2">
        <v>917241919</v>
      </c>
      <c r="L4168" s="2" t="s">
        <v>398</v>
      </c>
      <c r="M4168" s="2" t="s">
        <v>40</v>
      </c>
      <c r="P4168" s="2" t="s">
        <v>187</v>
      </c>
      <c r="Q4168" s="2" t="s">
        <v>191</v>
      </c>
      <c r="R4168" s="2" t="s">
        <v>190</v>
      </c>
      <c r="S4168" s="9">
        <v>7.5</v>
      </c>
      <c r="T4168" s="10">
        <v>371.25</v>
      </c>
      <c r="U4168" s="2">
        <f t="shared" si="633"/>
        <v>85.387500000000003</v>
      </c>
      <c r="V4168" s="2">
        <f t="shared" si="634"/>
        <v>456.63749999999999</v>
      </c>
      <c r="W4168" s="2">
        <f>T4168*50%</f>
        <v>185.625</v>
      </c>
      <c r="X4168" s="5">
        <f t="shared" si="637"/>
        <v>0.5</v>
      </c>
      <c r="Z4168" s="2" t="s">
        <v>117</v>
      </c>
      <c r="AA4168" s="2" t="s">
        <v>190</v>
      </c>
      <c r="AB4168" s="2" t="s">
        <v>190</v>
      </c>
      <c r="AC4168" s="2" t="s">
        <v>40</v>
      </c>
      <c r="AF4168" s="2">
        <f>AJ4168</f>
        <v>0</v>
      </c>
      <c r="AG4168" s="2">
        <f>W4168</f>
        <v>185.625</v>
      </c>
      <c r="AI4168" s="2"/>
      <c r="AJ4168" s="2">
        <f>AI4168*T4168</f>
        <v>0</v>
      </c>
      <c r="AK4168" s="2">
        <f t="shared" si="640"/>
        <v>185.625</v>
      </c>
      <c r="AL4168" s="5">
        <f t="shared" si="641"/>
        <v>0.5</v>
      </c>
    </row>
    <row r="4169" spans="1:38" x14ac:dyDescent="0.2">
      <c r="A4169" s="8">
        <v>2026</v>
      </c>
      <c r="B4169" s="8">
        <v>6</v>
      </c>
      <c r="C4169" s="8"/>
      <c r="D4169" s="2" t="s">
        <v>451</v>
      </c>
      <c r="E4169" s="2" t="s">
        <v>108</v>
      </c>
      <c r="F4169" s="2" t="s">
        <v>39</v>
      </c>
      <c r="G4169" s="2">
        <v>506085686</v>
      </c>
      <c r="H4169" s="2" t="s">
        <v>40</v>
      </c>
      <c r="I4169" s="2" t="s">
        <v>452</v>
      </c>
      <c r="J4169" s="2" t="s">
        <v>453</v>
      </c>
      <c r="K4169" s="2">
        <v>917241919</v>
      </c>
      <c r="L4169" s="2" t="s">
        <v>398</v>
      </c>
      <c r="M4169" s="2" t="s">
        <v>40</v>
      </c>
      <c r="P4169" s="2" t="s">
        <v>40</v>
      </c>
      <c r="Q4169" s="2" t="s">
        <v>363</v>
      </c>
      <c r="R4169" s="2" t="s">
        <v>364</v>
      </c>
      <c r="S4169" s="9">
        <v>1</v>
      </c>
      <c r="T4169" s="10">
        <v>27</v>
      </c>
      <c r="U4169" s="2">
        <f t="shared" si="633"/>
        <v>6.21</v>
      </c>
      <c r="V4169" s="10">
        <f t="shared" si="634"/>
        <v>33.21</v>
      </c>
      <c r="X4169" s="5">
        <f t="shared" si="637"/>
        <v>1</v>
      </c>
      <c r="Z4169" s="2" t="s">
        <v>119</v>
      </c>
      <c r="AA4169" s="2" t="s">
        <v>3380</v>
      </c>
      <c r="AI4169" s="2"/>
      <c r="AK4169" s="2">
        <f t="shared" si="640"/>
        <v>27</v>
      </c>
      <c r="AL4169" s="5">
        <f t="shared" si="641"/>
        <v>1</v>
      </c>
    </row>
    <row r="4170" spans="1:38" x14ac:dyDescent="0.2">
      <c r="A4170" s="8">
        <v>2026</v>
      </c>
      <c r="B4170" s="8">
        <v>6</v>
      </c>
      <c r="C4170" s="8"/>
      <c r="D4170" s="2" t="s">
        <v>458</v>
      </c>
      <c r="E4170" s="2" t="s">
        <v>108</v>
      </c>
      <c r="F4170" s="2" t="s">
        <v>477</v>
      </c>
      <c r="L4170" s="2" t="s">
        <v>461</v>
      </c>
      <c r="M4170" s="2" t="s">
        <v>41</v>
      </c>
      <c r="P4170" s="2" t="s">
        <v>282</v>
      </c>
      <c r="Q4170" s="2" t="s">
        <v>401</v>
      </c>
      <c r="R4170" s="2" t="s">
        <v>402</v>
      </c>
      <c r="S4170" s="9">
        <v>8</v>
      </c>
      <c r="T4170" s="10">
        <v>192</v>
      </c>
      <c r="U4170" s="2">
        <f t="shared" si="633"/>
        <v>44.160000000000004</v>
      </c>
      <c r="V4170" s="10">
        <f t="shared" si="634"/>
        <v>236.16</v>
      </c>
      <c r="W4170" s="2">
        <f>14.5099*S4170</f>
        <v>116.0792</v>
      </c>
      <c r="X4170" s="5">
        <f t="shared" si="637"/>
        <v>0.39542083333333333</v>
      </c>
      <c r="Z4170" s="2" t="s">
        <v>3227</v>
      </c>
      <c r="AA4170" s="2" t="s">
        <v>46</v>
      </c>
      <c r="AB4170" s="2" t="s">
        <v>60</v>
      </c>
      <c r="AC4170" s="2" t="s">
        <v>3332</v>
      </c>
      <c r="AI4170" s="2"/>
      <c r="AK4170" s="2">
        <f t="shared" si="640"/>
        <v>75.9208</v>
      </c>
      <c r="AL4170" s="5">
        <f t="shared" si="641"/>
        <v>0.39542083333333333</v>
      </c>
    </row>
    <row r="4171" spans="1:38" x14ac:dyDescent="0.2">
      <c r="A4171" s="8">
        <v>2026</v>
      </c>
      <c r="B4171" s="8">
        <v>6</v>
      </c>
      <c r="C4171" s="8"/>
      <c r="D4171" s="2" t="s">
        <v>458</v>
      </c>
      <c r="E4171" s="2" t="s">
        <v>108</v>
      </c>
      <c r="F4171" s="2" t="s">
        <v>477</v>
      </c>
      <c r="G4171" s="2">
        <v>507016173</v>
      </c>
      <c r="H4171" s="2" t="s">
        <v>109</v>
      </c>
      <c r="I4171" s="2" t="s">
        <v>459</v>
      </c>
      <c r="J4171" s="2" t="s">
        <v>460</v>
      </c>
      <c r="L4171" s="2" t="s">
        <v>461</v>
      </c>
      <c r="M4171" s="2" t="s">
        <v>41</v>
      </c>
      <c r="P4171" s="2" t="s">
        <v>43</v>
      </c>
      <c r="Q4171" s="2" t="s">
        <v>254</v>
      </c>
      <c r="R4171" s="2" t="s">
        <v>255</v>
      </c>
      <c r="S4171" s="9">
        <v>500</v>
      </c>
      <c r="T4171" s="10">
        <v>70</v>
      </c>
      <c r="U4171" s="2">
        <f t="shared" si="633"/>
        <v>16.100000000000001</v>
      </c>
      <c r="V4171" s="10">
        <f t="shared" si="634"/>
        <v>86.1</v>
      </c>
      <c r="W4171" s="2">
        <f>0.0914*S4171</f>
        <v>45.699999999999996</v>
      </c>
      <c r="X4171" s="5">
        <f t="shared" si="637"/>
        <v>0.3471428571428572</v>
      </c>
      <c r="Z4171" s="2" t="s">
        <v>3227</v>
      </c>
      <c r="AA4171" s="2" t="s">
        <v>46</v>
      </c>
      <c r="AB4171" s="2" t="s">
        <v>60</v>
      </c>
      <c r="AC4171" s="2" t="s">
        <v>57</v>
      </c>
      <c r="AI4171" s="2"/>
      <c r="AK4171" s="2">
        <f t="shared" si="640"/>
        <v>24.300000000000004</v>
      </c>
      <c r="AL4171" s="5">
        <f t="shared" si="641"/>
        <v>0.3471428571428572</v>
      </c>
    </row>
    <row r="4172" spans="1:38" x14ac:dyDescent="0.2">
      <c r="A4172" s="8">
        <v>2026</v>
      </c>
      <c r="B4172" s="8">
        <v>6</v>
      </c>
      <c r="C4172" s="8"/>
      <c r="D4172" s="2" t="s">
        <v>2143</v>
      </c>
      <c r="I4172" s="2" t="s">
        <v>315</v>
      </c>
      <c r="L4172" s="2" t="s">
        <v>99</v>
      </c>
      <c r="M4172" s="2" t="s">
        <v>80</v>
      </c>
      <c r="P4172" s="2" t="s">
        <v>72</v>
      </c>
      <c r="Q4172" s="2" t="s">
        <v>832</v>
      </c>
      <c r="R4172" s="2" t="s">
        <v>74</v>
      </c>
      <c r="S4172" s="9">
        <v>1</v>
      </c>
      <c r="T4172" s="10">
        <v>200</v>
      </c>
      <c r="U4172" s="2">
        <f t="shared" si="633"/>
        <v>46</v>
      </c>
      <c r="V4172" s="10">
        <f t="shared" si="634"/>
        <v>246</v>
      </c>
      <c r="W4172" s="2">
        <v>120.636</v>
      </c>
      <c r="X4172" s="5">
        <f t="shared" si="637"/>
        <v>0.39682000000000001</v>
      </c>
      <c r="Z4172" s="2" t="s">
        <v>3227</v>
      </c>
      <c r="AA4172" s="2" t="s">
        <v>75</v>
      </c>
      <c r="AB4172" s="2" t="s">
        <v>76</v>
      </c>
      <c r="AC4172" s="2" t="s">
        <v>77</v>
      </c>
      <c r="AF4172" s="2">
        <f>AJ4172</f>
        <v>0</v>
      </c>
      <c r="AG4172" s="2">
        <v>125.51600000000001</v>
      </c>
      <c r="AH4172" s="2">
        <v>220</v>
      </c>
      <c r="AI4172" s="2"/>
      <c r="AJ4172" s="2">
        <f>AI4172*T4172</f>
        <v>0</v>
      </c>
      <c r="AK4172" s="2">
        <f t="shared" si="640"/>
        <v>79.364000000000004</v>
      </c>
      <c r="AL4172" s="5">
        <f t="shared" si="641"/>
        <v>0.39682000000000001</v>
      </c>
    </row>
    <row r="4173" spans="1:38" x14ac:dyDescent="0.2">
      <c r="A4173" s="8">
        <v>2026</v>
      </c>
      <c r="B4173" s="8">
        <v>6</v>
      </c>
      <c r="C4173" s="8"/>
      <c r="D4173" s="2" t="s">
        <v>2143</v>
      </c>
      <c r="I4173" s="2" t="s">
        <v>315</v>
      </c>
      <c r="L4173" s="2" t="s">
        <v>99</v>
      </c>
      <c r="M4173" s="2" t="s">
        <v>80</v>
      </c>
      <c r="P4173" s="2" t="s">
        <v>169</v>
      </c>
      <c r="Q4173" s="2" t="s">
        <v>170</v>
      </c>
      <c r="R4173" s="2" t="s">
        <v>170</v>
      </c>
      <c r="S4173" s="9">
        <v>1</v>
      </c>
      <c r="T4173" s="10">
        <v>30</v>
      </c>
      <c r="U4173" s="2">
        <f t="shared" ref="U4173:U4204" si="643">T4173*23%</f>
        <v>6.9</v>
      </c>
      <c r="V4173" s="10">
        <f t="shared" ref="V4173:V4174" si="644">T4173+U4173</f>
        <v>36.9</v>
      </c>
      <c r="W4173" s="2">
        <v>28</v>
      </c>
      <c r="X4173" s="5">
        <f t="shared" si="637"/>
        <v>6.6666666666666666E-2</v>
      </c>
      <c r="Z4173" s="2" t="s">
        <v>169</v>
      </c>
      <c r="AA4173" s="2" t="s">
        <v>169</v>
      </c>
      <c r="AI4173" s="2"/>
      <c r="AL4173" s="2"/>
    </row>
    <row r="4174" spans="1:38" x14ac:dyDescent="0.2">
      <c r="A4174" s="8">
        <v>2026</v>
      </c>
      <c r="B4174" s="8">
        <v>6</v>
      </c>
      <c r="C4174" s="8"/>
      <c r="D4174" s="2" t="s">
        <v>2143</v>
      </c>
      <c r="I4174" s="2" t="s">
        <v>315</v>
      </c>
      <c r="L4174" s="2" t="s">
        <v>99</v>
      </c>
      <c r="M4174" s="2" t="s">
        <v>80</v>
      </c>
      <c r="P4174" s="2" t="s">
        <v>93</v>
      </c>
      <c r="Q4174" s="2" t="s">
        <v>94</v>
      </c>
      <c r="R4174" s="2" t="s">
        <v>95</v>
      </c>
      <c r="S4174" s="9">
        <v>1</v>
      </c>
      <c r="T4174" s="10">
        <v>1.48</v>
      </c>
      <c r="U4174" s="2">
        <f t="shared" si="643"/>
        <v>0.34040000000000004</v>
      </c>
      <c r="V4174" s="10">
        <f t="shared" si="644"/>
        <v>1.8204</v>
      </c>
      <c r="W4174" s="2">
        <f>1.48*S4174</f>
        <v>1.48</v>
      </c>
      <c r="X4174" s="5">
        <f t="shared" si="637"/>
        <v>0</v>
      </c>
      <c r="Z4174" s="2" t="s">
        <v>3227</v>
      </c>
      <c r="AA4174" s="2" t="s">
        <v>96</v>
      </c>
      <c r="AB4174" s="2" t="s">
        <v>76</v>
      </c>
      <c r="AC4174" s="2" t="s">
        <v>93</v>
      </c>
      <c r="AF4174" s="2">
        <f>AJ4174</f>
        <v>0</v>
      </c>
      <c r="AG4174" s="2">
        <v>1.48</v>
      </c>
      <c r="AH4174" s="2">
        <v>1.48</v>
      </c>
      <c r="AI4174" s="2"/>
      <c r="AJ4174" s="2">
        <f>AI4174*T4174</f>
        <v>0</v>
      </c>
      <c r="AK4174" s="2">
        <f t="shared" ref="AK4174:AK4193" si="645">T4174-W4174</f>
        <v>0</v>
      </c>
      <c r="AL4174" s="5">
        <f t="shared" ref="AL4174:AL4191" si="646">(T4174-W4174)/T4174</f>
        <v>0</v>
      </c>
    </row>
    <row r="4175" spans="1:38" x14ac:dyDescent="0.2">
      <c r="A4175" s="8">
        <v>2026</v>
      </c>
      <c r="B4175" s="8">
        <v>6</v>
      </c>
      <c r="C4175" s="8" t="s">
        <v>3294</v>
      </c>
      <c r="D4175" s="2" t="s">
        <v>3398</v>
      </c>
      <c r="E4175" s="2" t="s">
        <v>752</v>
      </c>
      <c r="F4175" s="2" t="s">
        <v>39</v>
      </c>
      <c r="L4175" s="2" t="s">
        <v>133</v>
      </c>
      <c r="M4175" s="2" t="s">
        <v>109</v>
      </c>
      <c r="O4175" s="2" t="s">
        <v>3229</v>
      </c>
      <c r="P4175" s="2" t="s">
        <v>1194</v>
      </c>
      <c r="Q4175" s="2" t="s">
        <v>3059</v>
      </c>
      <c r="R4175" s="2" t="s">
        <v>3060</v>
      </c>
      <c r="S4175" s="9">
        <v>1</v>
      </c>
      <c r="T4175" s="10">
        <v>5990</v>
      </c>
      <c r="U4175" s="2">
        <f t="shared" si="643"/>
        <v>1377.7</v>
      </c>
      <c r="V4175" s="10">
        <f>U4175+T4175</f>
        <v>7367.7</v>
      </c>
      <c r="W4175" s="2">
        <v>4214</v>
      </c>
      <c r="X4175" s="5">
        <f t="shared" si="637"/>
        <v>0.29649415692821368</v>
      </c>
      <c r="Z4175" s="2" t="s">
        <v>104</v>
      </c>
      <c r="AA4175" s="2" t="s">
        <v>2746</v>
      </c>
      <c r="AB4175" s="2" t="s">
        <v>3397</v>
      </c>
      <c r="AC4175" s="2" t="s">
        <v>1194</v>
      </c>
      <c r="AI4175" s="2"/>
      <c r="AK4175" s="2">
        <f t="shared" si="645"/>
        <v>1776</v>
      </c>
      <c r="AL4175" s="5">
        <f t="shared" si="646"/>
        <v>0.29649415692821368</v>
      </c>
    </row>
    <row r="4176" spans="1:38" x14ac:dyDescent="0.2">
      <c r="A4176" s="8">
        <v>2026</v>
      </c>
      <c r="B4176" s="8">
        <v>6</v>
      </c>
      <c r="C4176" s="8"/>
      <c r="D4176" s="2" t="s">
        <v>840</v>
      </c>
      <c r="E4176" s="2" t="s">
        <v>108</v>
      </c>
      <c r="F4176" s="2" t="s">
        <v>531</v>
      </c>
      <c r="G4176" s="2">
        <v>504981285</v>
      </c>
      <c r="H4176" s="2" t="s">
        <v>290</v>
      </c>
      <c r="I4176" s="2" t="s">
        <v>841</v>
      </c>
      <c r="J4176" s="2" t="s">
        <v>842</v>
      </c>
      <c r="K4176" s="2">
        <v>932209225</v>
      </c>
      <c r="L4176" s="2" t="s">
        <v>339</v>
      </c>
      <c r="M4176" s="2" t="s">
        <v>40</v>
      </c>
      <c r="P4176" s="2" t="s">
        <v>187</v>
      </c>
      <c r="Q4176" s="2" t="s">
        <v>188</v>
      </c>
      <c r="R4176" s="2" t="s">
        <v>189</v>
      </c>
      <c r="S4176" s="9">
        <v>1</v>
      </c>
      <c r="T4176" s="10">
        <v>60</v>
      </c>
      <c r="U4176" s="2">
        <f t="shared" si="643"/>
        <v>13.8</v>
      </c>
      <c r="V4176" s="2">
        <f t="shared" ref="V4176:V4207" si="647">T4176+U4176</f>
        <v>73.8</v>
      </c>
      <c r="W4176" s="2">
        <f>T4176*40%</f>
        <v>24</v>
      </c>
      <c r="X4176" s="5">
        <f t="shared" si="637"/>
        <v>0.6</v>
      </c>
      <c r="Z4176" s="2" t="s">
        <v>117</v>
      </c>
      <c r="AA4176" s="2" t="s">
        <v>190</v>
      </c>
      <c r="AB4176" s="2" t="s">
        <v>189</v>
      </c>
      <c r="AC4176" s="2" t="s">
        <v>40</v>
      </c>
      <c r="AG4176" s="2">
        <f>W4176</f>
        <v>24</v>
      </c>
      <c r="AI4176" s="2"/>
      <c r="AJ4176" s="2">
        <f>AI4176*T4176</f>
        <v>0</v>
      </c>
      <c r="AK4176" s="2">
        <f t="shared" si="645"/>
        <v>36</v>
      </c>
      <c r="AL4176" s="5">
        <f t="shared" si="646"/>
        <v>0.6</v>
      </c>
    </row>
    <row r="4177" spans="1:38" x14ac:dyDescent="0.2">
      <c r="A4177" s="8">
        <v>2026</v>
      </c>
      <c r="B4177" s="8">
        <v>6</v>
      </c>
      <c r="C4177" s="8"/>
      <c r="D4177" s="2" t="s">
        <v>840</v>
      </c>
      <c r="E4177" s="2" t="s">
        <v>108</v>
      </c>
      <c r="F4177" s="2" t="s">
        <v>531</v>
      </c>
      <c r="G4177" s="2">
        <v>504981285</v>
      </c>
      <c r="H4177" s="2" t="s">
        <v>290</v>
      </c>
      <c r="I4177" s="2" t="s">
        <v>841</v>
      </c>
      <c r="J4177" s="2" t="s">
        <v>842</v>
      </c>
      <c r="K4177" s="2">
        <v>932209225</v>
      </c>
      <c r="L4177" s="2" t="s">
        <v>339</v>
      </c>
      <c r="M4177" s="2" t="s">
        <v>40</v>
      </c>
      <c r="P4177" s="2" t="s">
        <v>187</v>
      </c>
      <c r="Q4177" s="2" t="s">
        <v>191</v>
      </c>
      <c r="R4177" s="2" t="s">
        <v>190</v>
      </c>
      <c r="S4177" s="9">
        <v>2</v>
      </c>
      <c r="T4177" s="10">
        <v>110</v>
      </c>
      <c r="U4177" s="2">
        <f t="shared" si="643"/>
        <v>25.3</v>
      </c>
      <c r="V4177" s="2">
        <f t="shared" si="647"/>
        <v>135.30000000000001</v>
      </c>
      <c r="W4177" s="2">
        <f>T4177*50%</f>
        <v>55</v>
      </c>
      <c r="X4177" s="5">
        <f t="shared" si="637"/>
        <v>0.5</v>
      </c>
      <c r="Z4177" s="2" t="s">
        <v>117</v>
      </c>
      <c r="AA4177" s="2" t="s">
        <v>190</v>
      </c>
      <c r="AB4177" s="2" t="s">
        <v>190</v>
      </c>
      <c r="AC4177" s="2" t="s">
        <v>40</v>
      </c>
      <c r="AF4177" s="2">
        <f>AJ4177</f>
        <v>0</v>
      </c>
      <c r="AG4177" s="2">
        <f>W4177</f>
        <v>55</v>
      </c>
      <c r="AI4177" s="2"/>
      <c r="AJ4177" s="2">
        <f>AI4177*T4177</f>
        <v>0</v>
      </c>
      <c r="AK4177" s="2">
        <f t="shared" si="645"/>
        <v>55</v>
      </c>
      <c r="AL4177" s="5">
        <f t="shared" si="646"/>
        <v>0.5</v>
      </c>
    </row>
    <row r="4178" spans="1:38" x14ac:dyDescent="0.2">
      <c r="A4178" s="8">
        <v>2026</v>
      </c>
      <c r="B4178" s="8">
        <v>6</v>
      </c>
      <c r="C4178" s="8"/>
      <c r="D4178" s="2" t="s">
        <v>3112</v>
      </c>
      <c r="M4178" s="2" t="s">
        <v>40</v>
      </c>
      <c r="P4178" s="2" t="s">
        <v>187</v>
      </c>
      <c r="Q4178" s="2" t="s">
        <v>188</v>
      </c>
      <c r="R4178" s="2" t="s">
        <v>189</v>
      </c>
      <c r="S4178" s="9">
        <v>2</v>
      </c>
      <c r="T4178" s="10">
        <v>92</v>
      </c>
      <c r="U4178" s="2">
        <f t="shared" si="643"/>
        <v>21.16</v>
      </c>
      <c r="V4178" s="2">
        <f t="shared" si="647"/>
        <v>113.16</v>
      </c>
      <c r="W4178" s="2">
        <f>T4178*40%</f>
        <v>36.800000000000004</v>
      </c>
      <c r="X4178" s="5">
        <f t="shared" si="637"/>
        <v>0.6</v>
      </c>
      <c r="Z4178" s="2" t="s">
        <v>117</v>
      </c>
      <c r="AA4178" s="2" t="s">
        <v>190</v>
      </c>
      <c r="AB4178" s="2" t="s">
        <v>189</v>
      </c>
      <c r="AC4178" s="2" t="s">
        <v>40</v>
      </c>
      <c r="AG4178" s="2">
        <f>W4178</f>
        <v>36.800000000000004</v>
      </c>
      <c r="AI4178" s="2"/>
      <c r="AJ4178" s="2">
        <f>AI4178*T4178</f>
        <v>0</v>
      </c>
      <c r="AK4178" s="2">
        <f t="shared" si="645"/>
        <v>55.199999999999996</v>
      </c>
      <c r="AL4178" s="5">
        <f t="shared" si="646"/>
        <v>0.6</v>
      </c>
    </row>
    <row r="4179" spans="1:38" x14ac:dyDescent="0.2">
      <c r="A4179" s="8">
        <v>2026</v>
      </c>
      <c r="B4179" s="8">
        <v>6</v>
      </c>
      <c r="C4179" s="8"/>
      <c r="D4179" s="2" t="s">
        <v>3112</v>
      </c>
      <c r="M4179" s="2" t="s">
        <v>40</v>
      </c>
      <c r="P4179" s="2" t="s">
        <v>187</v>
      </c>
      <c r="Q4179" s="2" t="s">
        <v>191</v>
      </c>
      <c r="R4179" s="2" t="s">
        <v>190</v>
      </c>
      <c r="S4179" s="9">
        <v>2</v>
      </c>
      <c r="T4179" s="10">
        <v>55</v>
      </c>
      <c r="U4179" s="2">
        <f t="shared" si="643"/>
        <v>12.65</v>
      </c>
      <c r="V4179" s="2">
        <f t="shared" si="647"/>
        <v>67.650000000000006</v>
      </c>
      <c r="W4179" s="2">
        <f>T4179*50%</f>
        <v>27.5</v>
      </c>
      <c r="X4179" s="5">
        <f t="shared" si="637"/>
        <v>0.5</v>
      </c>
      <c r="Z4179" s="2" t="s">
        <v>117</v>
      </c>
      <c r="AA4179" s="2" t="s">
        <v>190</v>
      </c>
      <c r="AB4179" s="2" t="s">
        <v>190</v>
      </c>
      <c r="AC4179" s="2" t="s">
        <v>40</v>
      </c>
      <c r="AF4179" s="2">
        <f>AJ4179</f>
        <v>0</v>
      </c>
      <c r="AG4179" s="2">
        <f>W4179</f>
        <v>27.5</v>
      </c>
      <c r="AI4179" s="2"/>
      <c r="AJ4179" s="2">
        <f>AI4179*T4179</f>
        <v>0</v>
      </c>
      <c r="AK4179" s="2">
        <f t="shared" si="645"/>
        <v>27.5</v>
      </c>
      <c r="AL4179" s="5">
        <f t="shared" si="646"/>
        <v>0.5</v>
      </c>
    </row>
    <row r="4180" spans="1:38" x14ac:dyDescent="0.2">
      <c r="A4180" s="8">
        <v>2026</v>
      </c>
      <c r="B4180" s="8">
        <v>6</v>
      </c>
      <c r="C4180" s="8"/>
      <c r="D4180" s="2" t="s">
        <v>3112</v>
      </c>
      <c r="P4180" s="2" t="s">
        <v>40</v>
      </c>
      <c r="Q4180" s="2" t="s">
        <v>363</v>
      </c>
      <c r="R4180" s="2" t="s">
        <v>364</v>
      </c>
      <c r="S4180" s="9">
        <v>1</v>
      </c>
      <c r="T4180" s="10">
        <v>99.93</v>
      </c>
      <c r="U4180" s="2">
        <f t="shared" si="643"/>
        <v>22.983900000000002</v>
      </c>
      <c r="V4180" s="10">
        <f t="shared" si="647"/>
        <v>122.91390000000001</v>
      </c>
      <c r="X4180" s="5">
        <f t="shared" si="637"/>
        <v>1</v>
      </c>
      <c r="AI4180" s="2"/>
      <c r="AK4180" s="2">
        <f t="shared" si="645"/>
        <v>99.93</v>
      </c>
      <c r="AL4180" s="5">
        <f t="shared" si="646"/>
        <v>1</v>
      </c>
    </row>
    <row r="4181" spans="1:38" x14ac:dyDescent="0.2">
      <c r="A4181" s="8">
        <v>2026</v>
      </c>
      <c r="B4181" s="8">
        <v>6</v>
      </c>
      <c r="C4181" s="8"/>
      <c r="D4181" s="2" t="s">
        <v>1907</v>
      </c>
      <c r="P4181" s="2" t="s">
        <v>282</v>
      </c>
      <c r="Q4181" s="2" t="s">
        <v>399</v>
      </c>
      <c r="R4181" s="2" t="s">
        <v>400</v>
      </c>
      <c r="S4181" s="9">
        <v>4</v>
      </c>
      <c r="T4181" s="10">
        <v>100</v>
      </c>
      <c r="U4181" s="2">
        <f t="shared" si="643"/>
        <v>23</v>
      </c>
      <c r="V4181" s="10">
        <f t="shared" si="647"/>
        <v>123</v>
      </c>
      <c r="W4181" s="2">
        <f>14.5099*S4181</f>
        <v>58.0396</v>
      </c>
      <c r="X4181" s="5">
        <f t="shared" si="637"/>
        <v>0.41960399999999998</v>
      </c>
      <c r="Z4181" s="2" t="s">
        <v>3227</v>
      </c>
      <c r="AA4181" s="2" t="s">
        <v>46</v>
      </c>
      <c r="AB4181" s="2" t="s">
        <v>60</v>
      </c>
      <c r="AC4181" s="2" t="s">
        <v>3332</v>
      </c>
      <c r="AI4181" s="2"/>
      <c r="AK4181" s="2">
        <f t="shared" si="645"/>
        <v>41.9604</v>
      </c>
      <c r="AL4181" s="5">
        <f t="shared" si="646"/>
        <v>0.41960399999999998</v>
      </c>
    </row>
    <row r="4182" spans="1:38" x14ac:dyDescent="0.2">
      <c r="A4182" s="8">
        <v>2026</v>
      </c>
      <c r="B4182" s="8">
        <v>6</v>
      </c>
      <c r="C4182" s="8"/>
      <c r="D4182" s="2" t="s">
        <v>1907</v>
      </c>
      <c r="P4182" s="2" t="s">
        <v>282</v>
      </c>
      <c r="Q4182" s="2" t="s">
        <v>401</v>
      </c>
      <c r="R4182" s="2" t="s">
        <v>402</v>
      </c>
      <c r="S4182" s="9">
        <v>4</v>
      </c>
      <c r="T4182" s="10">
        <v>100</v>
      </c>
      <c r="U4182" s="2">
        <f t="shared" si="643"/>
        <v>23</v>
      </c>
      <c r="V4182" s="10">
        <f t="shared" si="647"/>
        <v>123</v>
      </c>
      <c r="W4182" s="2">
        <f>14.5099*S4182</f>
        <v>58.0396</v>
      </c>
      <c r="X4182" s="5">
        <f t="shared" si="637"/>
        <v>0.41960399999999998</v>
      </c>
      <c r="Z4182" s="2" t="s">
        <v>3227</v>
      </c>
      <c r="AA4182" s="2" t="s">
        <v>46</v>
      </c>
      <c r="AB4182" s="2" t="s">
        <v>60</v>
      </c>
      <c r="AC4182" s="2" t="s">
        <v>3332</v>
      </c>
      <c r="AI4182" s="2"/>
      <c r="AK4182" s="2">
        <f t="shared" si="645"/>
        <v>41.9604</v>
      </c>
      <c r="AL4182" s="5">
        <f t="shared" si="646"/>
        <v>0.41960399999999998</v>
      </c>
    </row>
    <row r="4183" spans="1:38" x14ac:dyDescent="0.2">
      <c r="A4183" s="8">
        <v>2026</v>
      </c>
      <c r="B4183" s="8">
        <v>6</v>
      </c>
      <c r="C4183" s="8"/>
      <c r="D4183" s="2" t="s">
        <v>488</v>
      </c>
      <c r="E4183" s="2" t="s">
        <v>38</v>
      </c>
      <c r="F4183" s="2" t="s">
        <v>39</v>
      </c>
      <c r="G4183" s="2">
        <v>507380312</v>
      </c>
      <c r="H4183" s="2" t="s">
        <v>40</v>
      </c>
      <c r="I4183" s="2" t="s">
        <v>489</v>
      </c>
      <c r="J4183" s="2" t="s">
        <v>490</v>
      </c>
      <c r="K4183" s="2">
        <v>912293443</v>
      </c>
      <c r="L4183" s="2" t="s">
        <v>99</v>
      </c>
      <c r="M4183" s="2" t="s">
        <v>40</v>
      </c>
      <c r="P4183" s="2" t="s">
        <v>40</v>
      </c>
      <c r="Q4183" s="2" t="s">
        <v>491</v>
      </c>
      <c r="R4183" s="2" t="s">
        <v>492</v>
      </c>
      <c r="S4183" s="9">
        <v>1</v>
      </c>
      <c r="T4183" s="10">
        <v>678.91</v>
      </c>
      <c r="U4183" s="2">
        <f t="shared" si="643"/>
        <v>156.14930000000001</v>
      </c>
      <c r="V4183" s="10">
        <f t="shared" si="647"/>
        <v>835.05930000000001</v>
      </c>
      <c r="X4183" s="5">
        <f t="shared" si="637"/>
        <v>1</v>
      </c>
      <c r="Z4183" s="2" t="s">
        <v>119</v>
      </c>
      <c r="AA4183" s="2" t="s">
        <v>492</v>
      </c>
      <c r="AI4183" s="2"/>
      <c r="AK4183" s="2">
        <f t="shared" si="645"/>
        <v>678.91</v>
      </c>
      <c r="AL4183" s="5">
        <f t="shared" si="646"/>
        <v>1</v>
      </c>
    </row>
    <row r="4184" spans="1:38" x14ac:dyDescent="0.2">
      <c r="A4184" s="8">
        <v>2026</v>
      </c>
      <c r="B4184" s="8">
        <v>6</v>
      </c>
      <c r="C4184" s="8"/>
      <c r="D4184" s="2" t="s">
        <v>3113</v>
      </c>
      <c r="M4184" s="2" t="s">
        <v>40</v>
      </c>
      <c r="P4184" s="2" t="s">
        <v>187</v>
      </c>
      <c r="Q4184" s="2" t="s">
        <v>188</v>
      </c>
      <c r="R4184" s="2" t="s">
        <v>189</v>
      </c>
      <c r="S4184" s="9">
        <v>1</v>
      </c>
      <c r="T4184" s="10">
        <v>60</v>
      </c>
      <c r="U4184" s="2">
        <f t="shared" si="643"/>
        <v>13.8</v>
      </c>
      <c r="V4184" s="2">
        <f t="shared" si="647"/>
        <v>73.8</v>
      </c>
      <c r="W4184" s="2">
        <f>T4184*40%</f>
        <v>24</v>
      </c>
      <c r="X4184" s="5">
        <f t="shared" si="637"/>
        <v>0.6</v>
      </c>
      <c r="Z4184" s="2" t="s">
        <v>117</v>
      </c>
      <c r="AA4184" s="2" t="s">
        <v>190</v>
      </c>
      <c r="AB4184" s="2" t="s">
        <v>189</v>
      </c>
      <c r="AC4184" s="2" t="s">
        <v>40</v>
      </c>
      <c r="AG4184" s="2">
        <f>W4184</f>
        <v>24</v>
      </c>
      <c r="AI4184" s="2"/>
      <c r="AJ4184" s="2">
        <f>AI4184*T4184</f>
        <v>0</v>
      </c>
      <c r="AK4184" s="2">
        <f t="shared" si="645"/>
        <v>36</v>
      </c>
      <c r="AL4184" s="5">
        <f t="shared" si="646"/>
        <v>0.6</v>
      </c>
    </row>
    <row r="4185" spans="1:38" x14ac:dyDescent="0.2">
      <c r="A4185" s="8">
        <v>2026</v>
      </c>
      <c r="B4185" s="8">
        <v>6</v>
      </c>
      <c r="C4185" s="8"/>
      <c r="D4185" s="2" t="s">
        <v>3113</v>
      </c>
      <c r="M4185" s="2" t="s">
        <v>40</v>
      </c>
      <c r="P4185" s="2" t="s">
        <v>187</v>
      </c>
      <c r="Q4185" s="2" t="s">
        <v>191</v>
      </c>
      <c r="R4185" s="2" t="s">
        <v>190</v>
      </c>
      <c r="S4185" s="9">
        <v>4</v>
      </c>
      <c r="T4185" s="10">
        <v>220</v>
      </c>
      <c r="U4185" s="2">
        <f t="shared" si="643"/>
        <v>50.6</v>
      </c>
      <c r="V4185" s="2">
        <f t="shared" si="647"/>
        <v>270.60000000000002</v>
      </c>
      <c r="W4185" s="2">
        <f>T4185*50%</f>
        <v>110</v>
      </c>
      <c r="X4185" s="5">
        <f t="shared" si="637"/>
        <v>0.5</v>
      </c>
      <c r="Z4185" s="2" t="s">
        <v>117</v>
      </c>
      <c r="AA4185" s="2" t="s">
        <v>190</v>
      </c>
      <c r="AB4185" s="2" t="s">
        <v>190</v>
      </c>
      <c r="AC4185" s="2" t="s">
        <v>40</v>
      </c>
      <c r="AF4185" s="2">
        <f>AJ4185</f>
        <v>0</v>
      </c>
      <c r="AG4185" s="2">
        <f>W4185</f>
        <v>110</v>
      </c>
      <c r="AI4185" s="2"/>
      <c r="AJ4185" s="2">
        <f>AI4185*T4185</f>
        <v>0</v>
      </c>
      <c r="AK4185" s="2">
        <f t="shared" si="645"/>
        <v>110</v>
      </c>
      <c r="AL4185" s="5">
        <f t="shared" si="646"/>
        <v>0.5</v>
      </c>
    </row>
    <row r="4186" spans="1:38" x14ac:dyDescent="0.2">
      <c r="A4186" s="8">
        <v>2026</v>
      </c>
      <c r="B4186" s="8">
        <v>6</v>
      </c>
      <c r="C4186" s="8"/>
      <c r="D4186" s="2" t="s">
        <v>1397</v>
      </c>
      <c r="E4186" s="2" t="s">
        <v>38</v>
      </c>
      <c r="F4186" s="2" t="s">
        <v>39</v>
      </c>
      <c r="G4186" s="2">
        <v>509014313</v>
      </c>
      <c r="H4186" s="2" t="s">
        <v>40</v>
      </c>
      <c r="I4186" s="2" t="s">
        <v>3217</v>
      </c>
      <c r="J4186" s="2" t="s">
        <v>3216</v>
      </c>
      <c r="K4186" s="2">
        <v>913814877</v>
      </c>
      <c r="L4186" s="2" t="s">
        <v>201</v>
      </c>
      <c r="M4186" s="2" t="s">
        <v>80</v>
      </c>
      <c r="O4186" s="2" t="s">
        <v>3215</v>
      </c>
      <c r="P4186" s="2" t="s">
        <v>43</v>
      </c>
      <c r="Q4186" s="2" t="s">
        <v>54</v>
      </c>
      <c r="R4186" s="2" t="s">
        <v>55</v>
      </c>
      <c r="S4186" s="9">
        <v>3</v>
      </c>
      <c r="T4186" s="10">
        <v>54</v>
      </c>
      <c r="U4186" s="2">
        <f t="shared" si="643"/>
        <v>12.42</v>
      </c>
      <c r="V4186" s="10">
        <f t="shared" si="647"/>
        <v>66.42</v>
      </c>
      <c r="W4186" s="2">
        <f>10.6*S4186</f>
        <v>31.799999999999997</v>
      </c>
      <c r="X4186" s="5">
        <f t="shared" si="637"/>
        <v>0.41111111111111115</v>
      </c>
      <c r="Z4186" s="2" t="s">
        <v>3227</v>
      </c>
      <c r="AA4186" s="2" t="s">
        <v>46</v>
      </c>
      <c r="AB4186" s="2" t="s">
        <v>56</v>
      </c>
      <c r="AC4186" s="2" t="s">
        <v>57</v>
      </c>
      <c r="AF4186" s="2">
        <f>AJ4186</f>
        <v>0</v>
      </c>
      <c r="AG4186" s="2">
        <v>10.6</v>
      </c>
      <c r="AI4186" s="2"/>
      <c r="AJ4186" s="2">
        <f>AI4186*T4186</f>
        <v>0</v>
      </c>
      <c r="AK4186" s="2">
        <f t="shared" si="645"/>
        <v>22.200000000000003</v>
      </c>
      <c r="AL4186" s="5">
        <f t="shared" si="646"/>
        <v>0.41111111111111115</v>
      </c>
    </row>
    <row r="4187" spans="1:38" x14ac:dyDescent="0.2">
      <c r="A4187" s="8">
        <v>2026</v>
      </c>
      <c r="B4187" s="8">
        <v>6</v>
      </c>
      <c r="C4187" s="8"/>
      <c r="D4187" s="2" t="s">
        <v>1397</v>
      </c>
      <c r="E4187" s="2" t="s">
        <v>38</v>
      </c>
      <c r="F4187" s="2" t="s">
        <v>39</v>
      </c>
      <c r="G4187" s="2">
        <v>509014313</v>
      </c>
      <c r="H4187" s="2" t="s">
        <v>40</v>
      </c>
      <c r="I4187" s="2" t="s">
        <v>3217</v>
      </c>
      <c r="J4187" s="2" t="s">
        <v>3216</v>
      </c>
      <c r="K4187" s="2">
        <v>913814877</v>
      </c>
      <c r="L4187" s="2" t="s">
        <v>201</v>
      </c>
      <c r="M4187" s="2" t="s">
        <v>80</v>
      </c>
      <c r="O4187" s="2" t="s">
        <v>3215</v>
      </c>
      <c r="P4187" s="2" t="s">
        <v>169</v>
      </c>
      <c r="Q4187" s="2" t="s">
        <v>170</v>
      </c>
      <c r="R4187" s="2" t="s">
        <v>170</v>
      </c>
      <c r="S4187" s="9">
        <v>1</v>
      </c>
      <c r="T4187" s="10">
        <v>8</v>
      </c>
      <c r="U4187" s="2">
        <f t="shared" si="643"/>
        <v>1.84</v>
      </c>
      <c r="V4187" s="10">
        <f t="shared" si="647"/>
        <v>9.84</v>
      </c>
      <c r="W4187" s="2">
        <v>6</v>
      </c>
      <c r="X4187" s="5">
        <f t="shared" si="637"/>
        <v>0.25</v>
      </c>
      <c r="Z4187" s="2" t="s">
        <v>169</v>
      </c>
      <c r="AA4187" s="2" t="s">
        <v>169</v>
      </c>
      <c r="AI4187" s="2"/>
      <c r="AK4187" s="2">
        <f t="shared" si="645"/>
        <v>2</v>
      </c>
      <c r="AL4187" s="5">
        <f t="shared" si="646"/>
        <v>0.25</v>
      </c>
    </row>
    <row r="4188" spans="1:38" x14ac:dyDescent="0.2">
      <c r="A4188" s="8">
        <v>2026</v>
      </c>
      <c r="B4188" s="8">
        <v>6</v>
      </c>
      <c r="C4188" s="8"/>
      <c r="D4188" s="2" t="s">
        <v>2432</v>
      </c>
      <c r="P4188" s="2" t="s">
        <v>43</v>
      </c>
      <c r="Q4188" s="2" t="s">
        <v>2869</v>
      </c>
      <c r="R4188" s="2" t="s">
        <v>2870</v>
      </c>
      <c r="S4188" s="9">
        <v>2</v>
      </c>
      <c r="T4188" s="10">
        <v>100</v>
      </c>
      <c r="U4188" s="2">
        <f t="shared" si="643"/>
        <v>23</v>
      </c>
      <c r="V4188" s="10">
        <f t="shared" si="647"/>
        <v>123</v>
      </c>
      <c r="W4188" s="2">
        <f>W3923*S4188</f>
        <v>71.56</v>
      </c>
      <c r="X4188" s="5">
        <f t="shared" si="637"/>
        <v>0.28439999999999999</v>
      </c>
      <c r="Z4188" s="2" t="s">
        <v>3227</v>
      </c>
      <c r="AA4188" s="2" t="s">
        <v>46</v>
      </c>
      <c r="AB4188" s="2" t="s">
        <v>90</v>
      </c>
      <c r="AC4188" s="2" t="s">
        <v>57</v>
      </c>
      <c r="AI4188" s="2"/>
      <c r="AK4188" s="2">
        <f t="shared" si="645"/>
        <v>28.439999999999998</v>
      </c>
      <c r="AL4188" s="5">
        <f t="shared" si="646"/>
        <v>0.28439999999999999</v>
      </c>
    </row>
    <row r="4189" spans="1:38" x14ac:dyDescent="0.2">
      <c r="A4189" s="8">
        <v>2026</v>
      </c>
      <c r="B4189" s="8">
        <v>6</v>
      </c>
      <c r="C4189" s="8"/>
      <c r="D4189" s="2" t="s">
        <v>2432</v>
      </c>
      <c r="P4189" s="2" t="s">
        <v>169</v>
      </c>
      <c r="Q4189" s="2" t="s">
        <v>170</v>
      </c>
      <c r="R4189" s="2" t="s">
        <v>170</v>
      </c>
      <c r="S4189" s="9">
        <v>1</v>
      </c>
      <c r="T4189" s="10">
        <v>8</v>
      </c>
      <c r="U4189" s="2">
        <f t="shared" si="643"/>
        <v>1.84</v>
      </c>
      <c r="V4189" s="10">
        <f t="shared" si="647"/>
        <v>9.84</v>
      </c>
      <c r="W4189" s="2">
        <v>6</v>
      </c>
      <c r="X4189" s="5">
        <f t="shared" si="637"/>
        <v>0.25</v>
      </c>
      <c r="Z4189" s="2" t="s">
        <v>169</v>
      </c>
      <c r="AA4189" s="2" t="s">
        <v>169</v>
      </c>
      <c r="AI4189" s="2"/>
      <c r="AK4189" s="2">
        <f t="shared" si="645"/>
        <v>2</v>
      </c>
      <c r="AL4189" s="5">
        <f t="shared" si="646"/>
        <v>0.25</v>
      </c>
    </row>
    <row r="4190" spans="1:38" x14ac:dyDescent="0.2">
      <c r="A4190" s="8">
        <v>2026</v>
      </c>
      <c r="B4190" s="8">
        <v>6</v>
      </c>
      <c r="C4190" s="8"/>
      <c r="D4190" s="2" t="s">
        <v>2982</v>
      </c>
      <c r="E4190" s="2" t="s">
        <v>108</v>
      </c>
      <c r="F4190" s="2" t="s">
        <v>39</v>
      </c>
      <c r="G4190" s="2">
        <v>510594778</v>
      </c>
      <c r="H4190" s="2" t="s">
        <v>41</v>
      </c>
      <c r="I4190" s="2" t="s">
        <v>2983</v>
      </c>
      <c r="J4190" s="2" t="s">
        <v>1102</v>
      </c>
      <c r="K4190" s="2">
        <v>934645042</v>
      </c>
      <c r="L4190" s="2" t="s">
        <v>99</v>
      </c>
      <c r="P4190" s="2" t="s">
        <v>114</v>
      </c>
      <c r="Q4190" s="2" t="s">
        <v>791</v>
      </c>
      <c r="R4190" s="2" t="s">
        <v>792</v>
      </c>
      <c r="S4190" s="9">
        <v>-1</v>
      </c>
      <c r="T4190" s="10">
        <v>-187.92</v>
      </c>
      <c r="U4190" s="2">
        <f t="shared" si="643"/>
        <v>-43.221600000000002</v>
      </c>
      <c r="V4190" s="10">
        <f t="shared" si="647"/>
        <v>-231.14159999999998</v>
      </c>
      <c r="AI4190" s="2"/>
      <c r="AK4190" s="2">
        <f t="shared" si="645"/>
        <v>-187.92</v>
      </c>
      <c r="AL4190" s="5">
        <f t="shared" si="646"/>
        <v>1</v>
      </c>
    </row>
    <row r="4191" spans="1:38" x14ac:dyDescent="0.2">
      <c r="A4191" s="8">
        <v>2026</v>
      </c>
      <c r="B4191" s="8">
        <v>6</v>
      </c>
      <c r="C4191" s="8"/>
      <c r="D4191" s="2" t="s">
        <v>2982</v>
      </c>
      <c r="E4191" s="2" t="s">
        <v>108</v>
      </c>
      <c r="F4191" s="2" t="s">
        <v>39</v>
      </c>
      <c r="G4191" s="2">
        <v>510594778</v>
      </c>
      <c r="H4191" s="2" t="s">
        <v>41</v>
      </c>
      <c r="I4191" s="2" t="s">
        <v>2983</v>
      </c>
      <c r="J4191" s="2" t="s">
        <v>1102</v>
      </c>
      <c r="K4191" s="2">
        <v>934645042</v>
      </c>
      <c r="L4191" s="2" t="s">
        <v>99</v>
      </c>
      <c r="P4191" s="2" t="s">
        <v>114</v>
      </c>
      <c r="Q4191" s="2" t="s">
        <v>795</v>
      </c>
      <c r="R4191" s="2" t="s">
        <v>2985</v>
      </c>
      <c r="S4191" s="9">
        <v>-1</v>
      </c>
      <c r="T4191" s="10">
        <v>-28.38</v>
      </c>
      <c r="U4191" s="2">
        <f t="shared" si="643"/>
        <v>-6.5274000000000001</v>
      </c>
      <c r="V4191" s="10">
        <f t="shared" si="647"/>
        <v>-34.907399999999996</v>
      </c>
      <c r="X4191" s="5">
        <f>(T4191-W4191)/T4191</f>
        <v>1</v>
      </c>
      <c r="AI4191" s="2"/>
      <c r="AK4191" s="2">
        <f t="shared" si="645"/>
        <v>-28.38</v>
      </c>
      <c r="AL4191" s="5">
        <f t="shared" si="646"/>
        <v>1</v>
      </c>
    </row>
    <row r="4192" spans="1:38" x14ac:dyDescent="0.2">
      <c r="A4192" s="8">
        <v>2026</v>
      </c>
      <c r="B4192" s="8">
        <v>6</v>
      </c>
      <c r="C4192" s="8"/>
      <c r="D4192" s="2" t="s">
        <v>2982</v>
      </c>
      <c r="E4192" s="2" t="s">
        <v>108</v>
      </c>
      <c r="F4192" s="2" t="s">
        <v>39</v>
      </c>
      <c r="G4192" s="2">
        <v>510594778</v>
      </c>
      <c r="H4192" s="2" t="s">
        <v>41</v>
      </c>
      <c r="I4192" s="2" t="s">
        <v>2983</v>
      </c>
      <c r="J4192" s="2" t="s">
        <v>1102</v>
      </c>
      <c r="K4192" s="2">
        <v>934645042</v>
      </c>
      <c r="L4192" s="2" t="s">
        <v>99</v>
      </c>
      <c r="M4192" s="2" t="s">
        <v>40</v>
      </c>
      <c r="P4192" s="2" t="s">
        <v>187</v>
      </c>
      <c r="Q4192" s="2" t="s">
        <v>188</v>
      </c>
      <c r="R4192" s="2" t="s">
        <v>189</v>
      </c>
      <c r="S4192" s="9">
        <v>-1</v>
      </c>
      <c r="T4192" s="10">
        <v>-94</v>
      </c>
      <c r="U4192" s="2">
        <f t="shared" si="643"/>
        <v>-21.62</v>
      </c>
      <c r="V4192" s="2">
        <f t="shared" si="647"/>
        <v>-115.62</v>
      </c>
      <c r="W4192" s="2">
        <f>T4192*40%</f>
        <v>-37.6</v>
      </c>
      <c r="Z4192" s="2" t="s">
        <v>117</v>
      </c>
      <c r="AA4192" s="2" t="s">
        <v>190</v>
      </c>
      <c r="AB4192" s="2" t="s">
        <v>189</v>
      </c>
      <c r="AC4192" s="2" t="s">
        <v>40</v>
      </c>
      <c r="AG4192" s="2">
        <f>W4192</f>
        <v>-37.6</v>
      </c>
      <c r="AI4192" s="2"/>
      <c r="AJ4192" s="2">
        <f>AI4192*T4192</f>
        <v>0</v>
      </c>
      <c r="AK4192" s="2">
        <f t="shared" si="645"/>
        <v>-56.4</v>
      </c>
    </row>
    <row r="4193" spans="1:38" x14ac:dyDescent="0.2">
      <c r="A4193" s="8">
        <v>2026</v>
      </c>
      <c r="B4193" s="8">
        <v>6</v>
      </c>
      <c r="C4193" s="8"/>
      <c r="D4193" s="2" t="s">
        <v>2982</v>
      </c>
      <c r="E4193" s="2" t="s">
        <v>108</v>
      </c>
      <c r="F4193" s="2" t="s">
        <v>39</v>
      </c>
      <c r="G4193" s="2">
        <v>510594778</v>
      </c>
      <c r="H4193" s="2" t="s">
        <v>41</v>
      </c>
      <c r="I4193" s="2" t="s">
        <v>2983</v>
      </c>
      <c r="J4193" s="2" t="s">
        <v>1102</v>
      </c>
      <c r="K4193" s="2">
        <v>934645042</v>
      </c>
      <c r="L4193" s="2" t="s">
        <v>99</v>
      </c>
      <c r="M4193" s="2" t="s">
        <v>40</v>
      </c>
      <c r="P4193" s="2" t="s">
        <v>187</v>
      </c>
      <c r="Q4193" s="2" t="s">
        <v>191</v>
      </c>
      <c r="R4193" s="2" t="s">
        <v>190</v>
      </c>
      <c r="S4193" s="9">
        <v>-1</v>
      </c>
      <c r="T4193" s="10">
        <v>-55</v>
      </c>
      <c r="U4193" s="2">
        <f t="shared" si="643"/>
        <v>-12.65</v>
      </c>
      <c r="V4193" s="2">
        <f t="shared" si="647"/>
        <v>-67.650000000000006</v>
      </c>
      <c r="Z4193" s="2" t="s">
        <v>117</v>
      </c>
      <c r="AA4193" s="2" t="s">
        <v>190</v>
      </c>
      <c r="AB4193" s="2" t="s">
        <v>190</v>
      </c>
      <c r="AC4193" s="2" t="s">
        <v>40</v>
      </c>
      <c r="AF4193" s="2">
        <f>AJ4193</f>
        <v>0</v>
      </c>
      <c r="AG4193" s="2">
        <f>W4193</f>
        <v>0</v>
      </c>
      <c r="AI4193" s="2"/>
      <c r="AJ4193" s="2">
        <f>AI4193*T4193</f>
        <v>0</v>
      </c>
      <c r="AK4193" s="2">
        <f t="shared" si="645"/>
        <v>-55</v>
      </c>
    </row>
    <row r="4194" spans="1:38" x14ac:dyDescent="0.2">
      <c r="A4194" s="8">
        <v>2026</v>
      </c>
      <c r="B4194" s="8">
        <v>6</v>
      </c>
      <c r="C4194" s="8"/>
      <c r="D4194" s="2" t="s">
        <v>2982</v>
      </c>
      <c r="E4194" s="2" t="s">
        <v>108</v>
      </c>
      <c r="F4194" s="2" t="s">
        <v>39</v>
      </c>
      <c r="G4194" s="2">
        <v>510594778</v>
      </c>
      <c r="H4194" s="2" t="s">
        <v>41</v>
      </c>
      <c r="I4194" s="2" t="s">
        <v>2983</v>
      </c>
      <c r="J4194" s="2" t="s">
        <v>1102</v>
      </c>
      <c r="K4194" s="2">
        <v>934645042</v>
      </c>
      <c r="L4194" s="2" t="s">
        <v>99</v>
      </c>
      <c r="P4194" s="2" t="s">
        <v>40</v>
      </c>
      <c r="Q4194" s="2" t="s">
        <v>363</v>
      </c>
      <c r="R4194" s="2" t="s">
        <v>364</v>
      </c>
      <c r="S4194" s="9">
        <v>-1</v>
      </c>
      <c r="T4194" s="10">
        <v>-87.5</v>
      </c>
      <c r="U4194" s="2">
        <f t="shared" si="643"/>
        <v>-20.125</v>
      </c>
      <c r="V4194" s="10">
        <f t="shared" si="647"/>
        <v>-107.625</v>
      </c>
      <c r="X4194" s="2"/>
      <c r="AI4194" s="2"/>
      <c r="AL4194" s="2"/>
    </row>
    <row r="4195" spans="1:38" x14ac:dyDescent="0.2">
      <c r="A4195" s="8">
        <v>2026</v>
      </c>
      <c r="B4195" s="8">
        <v>6</v>
      </c>
      <c r="C4195" s="8"/>
      <c r="D4195" s="2" t="s">
        <v>853</v>
      </c>
      <c r="E4195" s="2" t="s">
        <v>108</v>
      </c>
      <c r="F4195" s="2" t="s">
        <v>39</v>
      </c>
      <c r="G4195" s="2">
        <v>505128128</v>
      </c>
      <c r="H4195" s="2" t="s">
        <v>41</v>
      </c>
      <c r="I4195" s="2" t="s">
        <v>854</v>
      </c>
      <c r="J4195" s="2" t="s">
        <v>855</v>
      </c>
      <c r="K4195" s="2">
        <v>917665950</v>
      </c>
      <c r="L4195" s="2" t="s">
        <v>99</v>
      </c>
      <c r="P4195" s="2" t="s">
        <v>43</v>
      </c>
      <c r="Q4195" s="2" t="s">
        <v>48</v>
      </c>
      <c r="R4195" s="2" t="s">
        <v>49</v>
      </c>
      <c r="S4195" s="9">
        <v>4</v>
      </c>
      <c r="T4195" s="10">
        <v>48</v>
      </c>
      <c r="U4195" s="2">
        <f t="shared" si="643"/>
        <v>11.040000000000001</v>
      </c>
      <c r="V4195" s="10">
        <f t="shared" si="647"/>
        <v>59.04</v>
      </c>
      <c r="W4195" s="2">
        <f>6.6267*S4195</f>
        <v>26.506799999999998</v>
      </c>
      <c r="X4195" s="5">
        <f>(T4195-W4195)/T4195</f>
        <v>0.44777500000000003</v>
      </c>
      <c r="Z4195" s="2" t="s">
        <v>3227</v>
      </c>
      <c r="AA4195" s="2" t="s">
        <v>46</v>
      </c>
      <c r="AB4195" s="2" t="s">
        <v>47</v>
      </c>
      <c r="AC4195" s="2" t="s">
        <v>57</v>
      </c>
      <c r="AF4195" s="2">
        <f>AJ4195</f>
        <v>0</v>
      </c>
      <c r="AG4195" s="2">
        <v>6.6266999999999996</v>
      </c>
      <c r="AH4195" s="2">
        <v>12</v>
      </c>
      <c r="AI4195" s="2"/>
      <c r="AJ4195" s="2">
        <f>AI4195*T4195</f>
        <v>0</v>
      </c>
      <c r="AK4195" s="2">
        <f>T4195-W4195</f>
        <v>21.493200000000002</v>
      </c>
      <c r="AL4195" s="5">
        <f>(T4195-W4195)/T4195</f>
        <v>0.44777500000000003</v>
      </c>
    </row>
    <row r="4196" spans="1:38" x14ac:dyDescent="0.2">
      <c r="A4196" s="8">
        <v>2026</v>
      </c>
      <c r="B4196" s="8">
        <v>6</v>
      </c>
      <c r="C4196" s="8"/>
      <c r="D4196" s="2" t="s">
        <v>1053</v>
      </c>
      <c r="E4196" s="2" t="s">
        <v>183</v>
      </c>
      <c r="F4196" s="2" t="s">
        <v>1054</v>
      </c>
      <c r="G4196" s="2">
        <v>500199523</v>
      </c>
      <c r="H4196" s="2" t="s">
        <v>290</v>
      </c>
      <c r="I4196" s="2" t="s">
        <v>293</v>
      </c>
      <c r="J4196" s="2" t="s">
        <v>1055</v>
      </c>
      <c r="L4196" s="2" t="s">
        <v>293</v>
      </c>
      <c r="M4196" s="2" t="s">
        <v>80</v>
      </c>
      <c r="P4196" s="2" t="s">
        <v>72</v>
      </c>
      <c r="Q4196" s="2" t="s">
        <v>325</v>
      </c>
      <c r="R4196" s="2" t="s">
        <v>79</v>
      </c>
      <c r="S4196" s="9">
        <v>1</v>
      </c>
      <c r="T4196" s="10">
        <v>220</v>
      </c>
      <c r="U4196" s="2">
        <f t="shared" si="643"/>
        <v>50.6</v>
      </c>
      <c r="V4196" s="10">
        <f t="shared" si="647"/>
        <v>270.60000000000002</v>
      </c>
      <c r="W4196" s="2">
        <f>110.68*S4196</f>
        <v>110.68</v>
      </c>
      <c r="X4196" s="5">
        <f>(T4196-W4196)/T4196</f>
        <v>0.49690909090909086</v>
      </c>
      <c r="Z4196" s="2" t="s">
        <v>3227</v>
      </c>
      <c r="AA4196" s="2" t="s">
        <v>75</v>
      </c>
      <c r="AB4196" s="2" t="s">
        <v>76</v>
      </c>
      <c r="AC4196" s="2" t="s">
        <v>77</v>
      </c>
      <c r="AF4196" s="2">
        <f>AJ4196</f>
        <v>0</v>
      </c>
      <c r="AG4196" s="2">
        <v>110.68</v>
      </c>
      <c r="AH4196" s="2">
        <v>210</v>
      </c>
      <c r="AI4196" s="2"/>
      <c r="AJ4196" s="2">
        <f>AI4196*T4196</f>
        <v>0</v>
      </c>
      <c r="AK4196" s="2">
        <f>T4196-W4196</f>
        <v>109.32</v>
      </c>
      <c r="AL4196" s="5">
        <f>(T4196-W4196)/T4196</f>
        <v>0.49690909090909086</v>
      </c>
    </row>
    <row r="4197" spans="1:38" x14ac:dyDescent="0.2">
      <c r="A4197" s="8">
        <v>2026</v>
      </c>
      <c r="B4197" s="8">
        <v>6</v>
      </c>
      <c r="C4197" s="8"/>
      <c r="D4197" s="2" t="s">
        <v>1053</v>
      </c>
      <c r="E4197" s="2" t="s">
        <v>183</v>
      </c>
      <c r="F4197" s="2" t="s">
        <v>1054</v>
      </c>
      <c r="G4197" s="2">
        <v>500199523</v>
      </c>
      <c r="H4197" s="2" t="s">
        <v>290</v>
      </c>
      <c r="I4197" s="2" t="s">
        <v>293</v>
      </c>
      <c r="J4197" s="2" t="s">
        <v>1055</v>
      </c>
      <c r="L4197" s="2" t="s">
        <v>293</v>
      </c>
      <c r="M4197" s="2" t="s">
        <v>80</v>
      </c>
      <c r="P4197" s="2" t="s">
        <v>93</v>
      </c>
      <c r="Q4197" s="2" t="s">
        <v>94</v>
      </c>
      <c r="R4197" s="2" t="s">
        <v>95</v>
      </c>
      <c r="S4197" s="9">
        <v>1</v>
      </c>
      <c r="T4197" s="10">
        <v>1.48</v>
      </c>
      <c r="U4197" s="2">
        <f t="shared" si="643"/>
        <v>0.34040000000000004</v>
      </c>
      <c r="V4197" s="10">
        <f t="shared" si="647"/>
        <v>1.8204</v>
      </c>
      <c r="W4197" s="2">
        <f>1.48*S4197</f>
        <v>1.48</v>
      </c>
      <c r="X4197" s="5">
        <f>(T4197-W4197)/T4197</f>
        <v>0</v>
      </c>
      <c r="Z4197" s="2" t="s">
        <v>3227</v>
      </c>
      <c r="AA4197" s="2" t="s">
        <v>96</v>
      </c>
      <c r="AB4197" s="2" t="s">
        <v>76</v>
      </c>
      <c r="AC4197" s="2" t="s">
        <v>93</v>
      </c>
      <c r="AF4197" s="2">
        <f>AJ4197</f>
        <v>0</v>
      </c>
      <c r="AG4197" s="2">
        <v>1.48</v>
      </c>
      <c r="AH4197" s="2">
        <v>1.48</v>
      </c>
      <c r="AI4197" s="2"/>
      <c r="AJ4197" s="2">
        <f>AI4197*T4197</f>
        <v>0</v>
      </c>
      <c r="AK4197" s="2">
        <f>T4197-W4197</f>
        <v>0</v>
      </c>
      <c r="AL4197" s="5">
        <f>(T4197-W4197)/T4197</f>
        <v>0</v>
      </c>
    </row>
    <row r="4198" spans="1:38" x14ac:dyDescent="0.2">
      <c r="A4198" s="8">
        <v>2026</v>
      </c>
      <c r="B4198" s="8">
        <v>6</v>
      </c>
      <c r="C4198" s="8" t="s">
        <v>3331</v>
      </c>
      <c r="D4198" s="2" t="s">
        <v>500</v>
      </c>
      <c r="E4198" s="2" t="s">
        <v>38</v>
      </c>
      <c r="F4198" s="2" t="s">
        <v>39</v>
      </c>
      <c r="G4198" s="2">
        <v>513244468</v>
      </c>
      <c r="H4198" s="2" t="s">
        <v>41</v>
      </c>
      <c r="I4198" s="2" t="s">
        <v>501</v>
      </c>
      <c r="J4198" s="2" t="s">
        <v>502</v>
      </c>
      <c r="K4198" s="2">
        <v>918010109</v>
      </c>
      <c r="L4198" s="2" t="s">
        <v>99</v>
      </c>
      <c r="M4198" s="2" t="s">
        <v>40</v>
      </c>
      <c r="P4198" s="2" t="s">
        <v>40</v>
      </c>
      <c r="Q4198" s="2" t="s">
        <v>140</v>
      </c>
      <c r="R4198" s="2" t="s">
        <v>141</v>
      </c>
      <c r="S4198" s="9">
        <v>-2</v>
      </c>
      <c r="T4198" s="10">
        <v>-318.08999999999997</v>
      </c>
      <c r="U4198" s="2">
        <f t="shared" si="643"/>
        <v>-73.160699999999991</v>
      </c>
      <c r="V4198" s="10">
        <f t="shared" si="647"/>
        <v>-391.25069999999994</v>
      </c>
      <c r="Z4198" s="2" t="s">
        <v>119</v>
      </c>
      <c r="AA4198" s="2" t="s">
        <v>142</v>
      </c>
      <c r="AI4198" s="2"/>
    </row>
    <row r="4199" spans="1:38" x14ac:dyDescent="0.2">
      <c r="A4199" s="8">
        <v>2026</v>
      </c>
      <c r="B4199" s="8">
        <v>6</v>
      </c>
      <c r="C4199" s="8" t="s">
        <v>3331</v>
      </c>
      <c r="D4199" s="2" t="s">
        <v>500</v>
      </c>
      <c r="E4199" s="2" t="s">
        <v>38</v>
      </c>
      <c r="F4199" s="2" t="s">
        <v>39</v>
      </c>
      <c r="G4199" s="2">
        <v>513244468</v>
      </c>
      <c r="H4199" s="2" t="s">
        <v>41</v>
      </c>
      <c r="I4199" s="2" t="s">
        <v>501</v>
      </c>
      <c r="J4199" s="2" t="s">
        <v>502</v>
      </c>
      <c r="K4199" s="2">
        <v>918010109</v>
      </c>
      <c r="L4199" s="2" t="s">
        <v>99</v>
      </c>
      <c r="P4199" s="2" t="s">
        <v>40</v>
      </c>
      <c r="Q4199" s="2" t="s">
        <v>363</v>
      </c>
      <c r="R4199" s="2" t="s">
        <v>364</v>
      </c>
      <c r="S4199" s="9">
        <v>1</v>
      </c>
      <c r="T4199" s="10">
        <v>65.3</v>
      </c>
      <c r="U4199" s="2">
        <f t="shared" si="643"/>
        <v>15.019</v>
      </c>
      <c r="V4199" s="10">
        <f t="shared" si="647"/>
        <v>80.319000000000003</v>
      </c>
      <c r="X4199" s="5">
        <f t="shared" ref="X4199:X4204" si="648">(T4199-W4199)/T4199</f>
        <v>1</v>
      </c>
      <c r="Z4199" s="2" t="s">
        <v>119</v>
      </c>
      <c r="AA4199" s="2" t="s">
        <v>3380</v>
      </c>
      <c r="AI4199" s="2"/>
      <c r="AK4199" s="2">
        <f>T4199-W4199</f>
        <v>65.3</v>
      </c>
      <c r="AL4199" s="5">
        <f>(T4199-W4199)/T4199</f>
        <v>1</v>
      </c>
    </row>
    <row r="4200" spans="1:38" x14ac:dyDescent="0.2">
      <c r="A4200" s="8">
        <v>2026</v>
      </c>
      <c r="B4200" s="8">
        <v>6</v>
      </c>
      <c r="C4200" s="8"/>
      <c r="D4200" s="2" t="s">
        <v>3110</v>
      </c>
      <c r="P4200" s="2" t="s">
        <v>40</v>
      </c>
      <c r="Q4200" s="2" t="s">
        <v>3061</v>
      </c>
      <c r="R4200" s="2" t="s">
        <v>3062</v>
      </c>
      <c r="S4200" s="9">
        <v>11601</v>
      </c>
      <c r="T4200" s="10">
        <v>2098.09</v>
      </c>
      <c r="U4200" s="2">
        <f t="shared" si="643"/>
        <v>482.56070000000005</v>
      </c>
      <c r="V4200" s="10">
        <f t="shared" si="647"/>
        <v>2580.6507000000001</v>
      </c>
      <c r="X4200" s="5">
        <f t="shared" si="648"/>
        <v>1</v>
      </c>
      <c r="Z4200" s="2" t="s">
        <v>119</v>
      </c>
      <c r="AA4200" s="2" t="s">
        <v>3292</v>
      </c>
      <c r="AI4200" s="2"/>
      <c r="AK4200" s="2">
        <f>T4200-W4200</f>
        <v>2098.09</v>
      </c>
      <c r="AL4200" s="5">
        <f>(T4200-W4200)/T4200</f>
        <v>1</v>
      </c>
    </row>
    <row r="4201" spans="1:38" x14ac:dyDescent="0.2">
      <c r="A4201" s="8">
        <v>2026</v>
      </c>
      <c r="B4201" s="8">
        <v>6</v>
      </c>
      <c r="C4201" s="8"/>
      <c r="D4201" s="2" t="s">
        <v>507</v>
      </c>
      <c r="E4201" s="2" t="s">
        <v>38</v>
      </c>
      <c r="F4201" s="2" t="s">
        <v>39</v>
      </c>
      <c r="G4201" s="2">
        <v>514446170</v>
      </c>
      <c r="H4201" s="2" t="s">
        <v>41</v>
      </c>
      <c r="I4201" s="2" t="s">
        <v>177</v>
      </c>
      <c r="J4201" s="2" t="s">
        <v>3134</v>
      </c>
      <c r="L4201" s="2" t="s">
        <v>177</v>
      </c>
      <c r="M4201" s="2" t="s">
        <v>41</v>
      </c>
      <c r="O4201" s="2" t="s">
        <v>3144</v>
      </c>
      <c r="P4201" s="2" t="s">
        <v>114</v>
      </c>
      <c r="Q4201" s="2" t="s">
        <v>1099</v>
      </c>
      <c r="R4201" s="2" t="s">
        <v>1100</v>
      </c>
      <c r="S4201" s="9">
        <v>1</v>
      </c>
      <c r="T4201" s="10">
        <v>184.34</v>
      </c>
      <c r="U4201" s="2">
        <f t="shared" si="643"/>
        <v>42.398200000000003</v>
      </c>
      <c r="V4201" s="10">
        <f t="shared" si="647"/>
        <v>226.73820000000001</v>
      </c>
      <c r="W4201" s="2">
        <v>69.67</v>
      </c>
      <c r="X4201" s="5">
        <f t="shared" si="648"/>
        <v>0.6220570684604535</v>
      </c>
      <c r="Z4201" s="2" t="s">
        <v>117</v>
      </c>
      <c r="AA4201" s="2" t="s">
        <v>118</v>
      </c>
      <c r="AB4201" s="2" t="s">
        <v>119</v>
      </c>
      <c r="AC4201" s="2" t="s">
        <v>114</v>
      </c>
      <c r="AI4201" s="2"/>
      <c r="AL4201" s="2"/>
    </row>
    <row r="4202" spans="1:38" x14ac:dyDescent="0.2">
      <c r="A4202" s="8">
        <v>2026</v>
      </c>
      <c r="B4202" s="8">
        <v>6</v>
      </c>
      <c r="C4202" s="8"/>
      <c r="D4202" s="2" t="s">
        <v>507</v>
      </c>
      <c r="E4202" s="2" t="s">
        <v>38</v>
      </c>
      <c r="F4202" s="2" t="s">
        <v>39</v>
      </c>
      <c r="G4202" s="2">
        <v>514446170</v>
      </c>
      <c r="H4202" s="2" t="s">
        <v>41</v>
      </c>
      <c r="I4202" s="2" t="s">
        <v>177</v>
      </c>
      <c r="J4202" s="2" t="s">
        <v>3134</v>
      </c>
      <c r="L4202" s="2" t="s">
        <v>177</v>
      </c>
      <c r="M4202" s="2" t="s">
        <v>41</v>
      </c>
      <c r="O4202" s="2" t="s">
        <v>3145</v>
      </c>
      <c r="P4202" s="2" t="s">
        <v>43</v>
      </c>
      <c r="Q4202" s="2" t="s">
        <v>48</v>
      </c>
      <c r="R4202" s="2" t="s">
        <v>49</v>
      </c>
      <c r="S4202" s="9">
        <v>2</v>
      </c>
      <c r="T4202" s="10">
        <v>26</v>
      </c>
      <c r="U4202" s="2">
        <f t="shared" si="643"/>
        <v>5.98</v>
      </c>
      <c r="V4202" s="10">
        <f t="shared" si="647"/>
        <v>31.98</v>
      </c>
      <c r="W4202" s="2">
        <f>6.6267*S4202</f>
        <v>13.253399999999999</v>
      </c>
      <c r="X4202" s="5">
        <f t="shared" si="648"/>
        <v>0.49025384615384621</v>
      </c>
      <c r="Z4202" s="2" t="s">
        <v>3227</v>
      </c>
      <c r="AA4202" s="2" t="s">
        <v>46</v>
      </c>
      <c r="AB4202" s="2" t="s">
        <v>47</v>
      </c>
      <c r="AC4202" s="2" t="s">
        <v>57</v>
      </c>
      <c r="AF4202" s="2">
        <f>AJ4202</f>
        <v>0</v>
      </c>
      <c r="AG4202" s="2">
        <v>6.6266999999999996</v>
      </c>
      <c r="AH4202" s="2">
        <v>12</v>
      </c>
      <c r="AI4202" s="2"/>
      <c r="AJ4202" s="2">
        <f t="shared" ref="AJ4202:AJ4208" si="649">AI4202*T4202</f>
        <v>0</v>
      </c>
      <c r="AK4202" s="2">
        <f t="shared" ref="AK4202:AK4228" si="650">T4202-W4202</f>
        <v>12.746600000000001</v>
      </c>
      <c r="AL4202" s="5">
        <f>(T4202-W4202)/T4202</f>
        <v>0.49025384615384621</v>
      </c>
    </row>
    <row r="4203" spans="1:38" x14ac:dyDescent="0.2">
      <c r="A4203" s="8">
        <v>2026</v>
      </c>
      <c r="B4203" s="8">
        <v>6</v>
      </c>
      <c r="C4203" s="8"/>
      <c r="D4203" s="2" t="s">
        <v>507</v>
      </c>
      <c r="E4203" s="2" t="s">
        <v>38</v>
      </c>
      <c r="F4203" s="2" t="s">
        <v>39</v>
      </c>
      <c r="G4203" s="2">
        <v>514446170</v>
      </c>
      <c r="H4203" s="2" t="s">
        <v>41</v>
      </c>
      <c r="I4203" s="2" t="s">
        <v>177</v>
      </c>
      <c r="J4203" s="2" t="s">
        <v>3134</v>
      </c>
      <c r="L4203" s="2" t="s">
        <v>177</v>
      </c>
      <c r="M4203" s="2" t="s">
        <v>41</v>
      </c>
      <c r="O4203" s="2" t="s">
        <v>3143</v>
      </c>
      <c r="P4203" s="2" t="s">
        <v>166</v>
      </c>
      <c r="Q4203" s="2" t="s">
        <v>3063</v>
      </c>
      <c r="R4203" s="2" t="s">
        <v>3064</v>
      </c>
      <c r="S4203" s="9">
        <v>6</v>
      </c>
      <c r="T4203" s="10">
        <v>8.82</v>
      </c>
      <c r="U4203" s="2">
        <f t="shared" si="643"/>
        <v>2.0286</v>
      </c>
      <c r="V4203" s="10">
        <f t="shared" si="647"/>
        <v>10.848600000000001</v>
      </c>
      <c r="W4203" s="2">
        <f>1.32*S4203</f>
        <v>7.92</v>
      </c>
      <c r="X4203" s="5">
        <f t="shared" si="648"/>
        <v>0.10204081632653066</v>
      </c>
      <c r="Z4203" s="2" t="s">
        <v>3227</v>
      </c>
      <c r="AA4203" s="2" t="s">
        <v>87</v>
      </c>
      <c r="AB4203" s="2" t="s">
        <v>119</v>
      </c>
      <c r="AC4203" s="2" t="s">
        <v>166</v>
      </c>
      <c r="AF4203" s="2">
        <f>AJ4203</f>
        <v>0</v>
      </c>
      <c r="AI4203" s="2"/>
      <c r="AJ4203" s="2">
        <f t="shared" si="649"/>
        <v>0</v>
      </c>
      <c r="AK4203" s="2">
        <f t="shared" si="650"/>
        <v>0.90000000000000036</v>
      </c>
      <c r="AL4203" s="5">
        <f>(T4203-W4203)/T4203</f>
        <v>0.10204081632653066</v>
      </c>
    </row>
    <row r="4204" spans="1:38" x14ac:dyDescent="0.2">
      <c r="A4204" s="8">
        <v>2026</v>
      </c>
      <c r="B4204" s="8">
        <v>6</v>
      </c>
      <c r="C4204" s="8"/>
      <c r="D4204" s="2" t="s">
        <v>507</v>
      </c>
      <c r="E4204" s="2" t="s">
        <v>38</v>
      </c>
      <c r="F4204" s="2" t="s">
        <v>39</v>
      </c>
      <c r="G4204" s="2">
        <v>514446170</v>
      </c>
      <c r="H4204" s="2" t="s">
        <v>41</v>
      </c>
      <c r="I4204" s="2" t="s">
        <v>177</v>
      </c>
      <c r="J4204" s="2" t="s">
        <v>3134</v>
      </c>
      <c r="L4204" s="2" t="s">
        <v>177</v>
      </c>
      <c r="M4204" s="2" t="s">
        <v>41</v>
      </c>
      <c r="O4204" s="2" t="s">
        <v>3143</v>
      </c>
      <c r="P4204" s="2" t="s">
        <v>166</v>
      </c>
      <c r="Q4204" s="2" t="s">
        <v>1046</v>
      </c>
      <c r="R4204" s="2" t="s">
        <v>1047</v>
      </c>
      <c r="S4204" s="9">
        <v>6</v>
      </c>
      <c r="T4204" s="10">
        <v>14.7</v>
      </c>
      <c r="U4204" s="2">
        <f t="shared" si="643"/>
        <v>3.3809999999999998</v>
      </c>
      <c r="V4204" s="10">
        <f t="shared" si="647"/>
        <v>18.081</v>
      </c>
      <c r="W4204" s="2">
        <f>1.7*S4204</f>
        <v>10.199999999999999</v>
      </c>
      <c r="X4204" s="5">
        <f t="shared" si="648"/>
        <v>0.30612244897959184</v>
      </c>
      <c r="Z4204" s="2" t="s">
        <v>3227</v>
      </c>
      <c r="AA4204" s="2" t="s">
        <v>87</v>
      </c>
      <c r="AB4204" s="2" t="s">
        <v>119</v>
      </c>
      <c r="AC4204" s="2" t="s">
        <v>166</v>
      </c>
      <c r="AF4204" s="2">
        <f>AJ4204</f>
        <v>0</v>
      </c>
      <c r="AI4204" s="2"/>
      <c r="AJ4204" s="2">
        <f t="shared" si="649"/>
        <v>0</v>
      </c>
      <c r="AK4204" s="2">
        <f t="shared" si="650"/>
        <v>4.5</v>
      </c>
      <c r="AL4204" s="5">
        <f>(T4204-W4204)/T4204</f>
        <v>0.30612244897959184</v>
      </c>
    </row>
    <row r="4205" spans="1:38" x14ac:dyDescent="0.2">
      <c r="A4205" s="8">
        <v>2026</v>
      </c>
      <c r="B4205" s="8">
        <v>6</v>
      </c>
      <c r="C4205" s="8"/>
      <c r="D4205" s="2" t="s">
        <v>507</v>
      </c>
      <c r="E4205" s="2" t="s">
        <v>38</v>
      </c>
      <c r="F4205" s="2" t="s">
        <v>39</v>
      </c>
      <c r="G4205" s="2">
        <v>514446170</v>
      </c>
      <c r="H4205" s="2" t="s">
        <v>41</v>
      </c>
      <c r="I4205" s="2" t="s">
        <v>177</v>
      </c>
      <c r="J4205" s="2" t="s">
        <v>3134</v>
      </c>
      <c r="L4205" s="2" t="s">
        <v>177</v>
      </c>
      <c r="M4205" s="2" t="s">
        <v>40</v>
      </c>
      <c r="O4205" s="2" t="s">
        <v>3144</v>
      </c>
      <c r="P4205" s="2" t="s">
        <v>187</v>
      </c>
      <c r="Q4205" s="2" t="s">
        <v>188</v>
      </c>
      <c r="R4205" s="2" t="s">
        <v>189</v>
      </c>
      <c r="S4205" s="9">
        <v>1</v>
      </c>
      <c r="T4205" s="10">
        <v>0</v>
      </c>
      <c r="U4205" s="2">
        <f t="shared" ref="U4205:U4235" si="651">T4205*23%</f>
        <v>0</v>
      </c>
      <c r="V4205" s="2">
        <f t="shared" si="647"/>
        <v>0</v>
      </c>
      <c r="W4205" s="2">
        <f>T4205*40%</f>
        <v>0</v>
      </c>
      <c r="X4205" s="5">
        <v>0</v>
      </c>
      <c r="Z4205" s="2" t="s">
        <v>117</v>
      </c>
      <c r="AA4205" s="2" t="s">
        <v>190</v>
      </c>
      <c r="AB4205" s="2" t="s">
        <v>189</v>
      </c>
      <c r="AC4205" s="2" t="s">
        <v>40</v>
      </c>
      <c r="AG4205" s="2">
        <f>W4205</f>
        <v>0</v>
      </c>
      <c r="AI4205" s="2"/>
      <c r="AJ4205" s="2">
        <f t="shared" si="649"/>
        <v>0</v>
      </c>
      <c r="AK4205" s="2">
        <f t="shared" si="650"/>
        <v>0</v>
      </c>
      <c r="AL4205" s="5">
        <v>0</v>
      </c>
    </row>
    <row r="4206" spans="1:38" x14ac:dyDescent="0.2">
      <c r="A4206" s="8">
        <v>2026</v>
      </c>
      <c r="B4206" s="8">
        <v>6</v>
      </c>
      <c r="C4206" s="8"/>
      <c r="D4206" s="2" t="s">
        <v>507</v>
      </c>
      <c r="E4206" s="2" t="s">
        <v>38</v>
      </c>
      <c r="F4206" s="2" t="s">
        <v>39</v>
      </c>
      <c r="G4206" s="2">
        <v>514446170</v>
      </c>
      <c r="H4206" s="2" t="s">
        <v>41</v>
      </c>
      <c r="I4206" s="2" t="s">
        <v>177</v>
      </c>
      <c r="J4206" s="2" t="s">
        <v>3134</v>
      </c>
      <c r="L4206" s="2" t="s">
        <v>177</v>
      </c>
      <c r="M4206" s="2" t="s">
        <v>40</v>
      </c>
      <c r="O4206" s="2" t="s">
        <v>3144</v>
      </c>
      <c r="P4206" s="2" t="s">
        <v>187</v>
      </c>
      <c r="Q4206" s="2" t="s">
        <v>191</v>
      </c>
      <c r="R4206" s="2" t="s">
        <v>190</v>
      </c>
      <c r="S4206" s="9">
        <v>1</v>
      </c>
      <c r="T4206" s="10">
        <v>55</v>
      </c>
      <c r="U4206" s="2">
        <f t="shared" si="651"/>
        <v>12.65</v>
      </c>
      <c r="V4206" s="2">
        <f t="shared" si="647"/>
        <v>67.650000000000006</v>
      </c>
      <c r="W4206" s="2">
        <f>T4206*50%</f>
        <v>27.5</v>
      </c>
      <c r="X4206" s="5">
        <f t="shared" ref="X4206:X4228" si="652">(T4206-W4206)/T4206</f>
        <v>0.5</v>
      </c>
      <c r="Z4206" s="2" t="s">
        <v>117</v>
      </c>
      <c r="AA4206" s="2" t="s">
        <v>190</v>
      </c>
      <c r="AB4206" s="2" t="s">
        <v>190</v>
      </c>
      <c r="AC4206" s="2" t="s">
        <v>40</v>
      </c>
      <c r="AF4206" s="2">
        <f>AJ4206</f>
        <v>0</v>
      </c>
      <c r="AG4206" s="2">
        <f>W4206</f>
        <v>27.5</v>
      </c>
      <c r="AI4206" s="2"/>
      <c r="AJ4206" s="2">
        <f t="shared" si="649"/>
        <v>0</v>
      </c>
      <c r="AK4206" s="2">
        <f t="shared" si="650"/>
        <v>27.5</v>
      </c>
      <c r="AL4206" s="5">
        <f t="shared" ref="AL4206:AL4228" si="653">(T4206-W4206)/T4206</f>
        <v>0.5</v>
      </c>
    </row>
    <row r="4207" spans="1:38" x14ac:dyDescent="0.2">
      <c r="A4207" s="8">
        <v>2026</v>
      </c>
      <c r="B4207" s="8">
        <v>6</v>
      </c>
      <c r="C4207" s="8"/>
      <c r="D4207" s="2" t="s">
        <v>3111</v>
      </c>
      <c r="M4207" s="2" t="s">
        <v>40</v>
      </c>
      <c r="P4207" s="2" t="s">
        <v>187</v>
      </c>
      <c r="Q4207" s="2" t="s">
        <v>188</v>
      </c>
      <c r="R4207" s="2" t="s">
        <v>189</v>
      </c>
      <c r="S4207" s="9">
        <v>1</v>
      </c>
      <c r="T4207" s="10">
        <v>125</v>
      </c>
      <c r="U4207" s="2">
        <f t="shared" si="651"/>
        <v>28.75</v>
      </c>
      <c r="V4207" s="2">
        <f t="shared" si="647"/>
        <v>153.75</v>
      </c>
      <c r="W4207" s="2">
        <f>T4207*40%</f>
        <v>50</v>
      </c>
      <c r="X4207" s="5">
        <f t="shared" si="652"/>
        <v>0.6</v>
      </c>
      <c r="Z4207" s="2" t="s">
        <v>117</v>
      </c>
      <c r="AA4207" s="2" t="s">
        <v>190</v>
      </c>
      <c r="AB4207" s="2" t="s">
        <v>189</v>
      </c>
      <c r="AC4207" s="2" t="s">
        <v>40</v>
      </c>
      <c r="AG4207" s="2">
        <f>W4207</f>
        <v>50</v>
      </c>
      <c r="AI4207" s="2"/>
      <c r="AJ4207" s="2">
        <f t="shared" si="649"/>
        <v>0</v>
      </c>
      <c r="AK4207" s="2">
        <f t="shared" si="650"/>
        <v>75</v>
      </c>
      <c r="AL4207" s="5">
        <f t="shared" si="653"/>
        <v>0.6</v>
      </c>
    </row>
    <row r="4208" spans="1:38" x14ac:dyDescent="0.2">
      <c r="A4208" s="8">
        <v>2026</v>
      </c>
      <c r="B4208" s="8">
        <v>6</v>
      </c>
      <c r="C4208" s="8"/>
      <c r="D4208" s="2" t="s">
        <v>3111</v>
      </c>
      <c r="M4208" s="2" t="s">
        <v>40</v>
      </c>
      <c r="P4208" s="2" t="s">
        <v>187</v>
      </c>
      <c r="Q4208" s="2" t="s">
        <v>191</v>
      </c>
      <c r="R4208" s="2" t="s">
        <v>190</v>
      </c>
      <c r="S4208" s="9">
        <v>1</v>
      </c>
      <c r="T4208" s="10">
        <v>55</v>
      </c>
      <c r="U4208" s="2">
        <f t="shared" si="651"/>
        <v>12.65</v>
      </c>
      <c r="V4208" s="2">
        <f t="shared" ref="V4208:V4235" si="654">T4208+U4208</f>
        <v>67.650000000000006</v>
      </c>
      <c r="W4208" s="2">
        <f>T4208*50%</f>
        <v>27.5</v>
      </c>
      <c r="X4208" s="5">
        <f t="shared" si="652"/>
        <v>0.5</v>
      </c>
      <c r="Z4208" s="2" t="s">
        <v>117</v>
      </c>
      <c r="AA4208" s="2" t="s">
        <v>190</v>
      </c>
      <c r="AB4208" s="2" t="s">
        <v>190</v>
      </c>
      <c r="AC4208" s="2" t="s">
        <v>40</v>
      </c>
      <c r="AF4208" s="2">
        <f>AJ4208</f>
        <v>0</v>
      </c>
      <c r="AG4208" s="2">
        <f>W4208</f>
        <v>27.5</v>
      </c>
      <c r="AI4208" s="2"/>
      <c r="AJ4208" s="2">
        <f t="shared" si="649"/>
        <v>0</v>
      </c>
      <c r="AK4208" s="2">
        <f t="shared" si="650"/>
        <v>27.5</v>
      </c>
      <c r="AL4208" s="5">
        <f t="shared" si="653"/>
        <v>0.5</v>
      </c>
    </row>
    <row r="4209" spans="1:38" x14ac:dyDescent="0.2">
      <c r="A4209" s="8">
        <v>2026</v>
      </c>
      <c r="B4209" s="8">
        <v>6</v>
      </c>
      <c r="C4209" s="8" t="s">
        <v>3392</v>
      </c>
      <c r="D4209" s="2" t="s">
        <v>1718</v>
      </c>
      <c r="E4209" s="2" t="s">
        <v>752</v>
      </c>
      <c r="F4209" s="2" t="s">
        <v>39</v>
      </c>
      <c r="L4209" s="2" t="s">
        <v>398</v>
      </c>
      <c r="M4209" s="2" t="s">
        <v>109</v>
      </c>
      <c r="P4209" s="2" t="s">
        <v>282</v>
      </c>
      <c r="Q4209" s="2" t="s">
        <v>1436</v>
      </c>
      <c r="R4209" s="2" t="s">
        <v>1437</v>
      </c>
      <c r="S4209" s="9">
        <v>1</v>
      </c>
      <c r="T4209" s="10">
        <v>6.9</v>
      </c>
      <c r="U4209" s="2">
        <f t="shared" si="651"/>
        <v>1.5870000000000002</v>
      </c>
      <c r="V4209" s="2">
        <f t="shared" si="654"/>
        <v>8.4870000000000001</v>
      </c>
      <c r="W4209" s="2">
        <f>5.135*S4209</f>
        <v>5.1349999999999998</v>
      </c>
      <c r="X4209" s="5">
        <f t="shared" si="652"/>
        <v>0.25579710144927542</v>
      </c>
      <c r="Z4209" s="2" t="s">
        <v>3227</v>
      </c>
      <c r="AA4209" s="2" t="s">
        <v>71</v>
      </c>
      <c r="AB4209" s="2" t="s">
        <v>119</v>
      </c>
      <c r="AC4209" s="2" t="s">
        <v>119</v>
      </c>
      <c r="AI4209" s="2"/>
      <c r="AK4209" s="2">
        <f t="shared" si="650"/>
        <v>1.7650000000000006</v>
      </c>
      <c r="AL4209" s="5">
        <f t="shared" si="653"/>
        <v>0.25579710144927542</v>
      </c>
    </row>
    <row r="4210" spans="1:38" x14ac:dyDescent="0.2">
      <c r="A4210" s="8">
        <v>2026</v>
      </c>
      <c r="B4210" s="8">
        <v>6</v>
      </c>
      <c r="C4210" s="8" t="s">
        <v>3392</v>
      </c>
      <c r="D4210" s="2" t="s">
        <v>1718</v>
      </c>
      <c r="E4210" s="2" t="s">
        <v>752</v>
      </c>
      <c r="F4210" s="2" t="s">
        <v>39</v>
      </c>
      <c r="L4210" s="2" t="s">
        <v>398</v>
      </c>
      <c r="M4210" s="2" t="s">
        <v>109</v>
      </c>
      <c r="P4210" s="2" t="s">
        <v>2897</v>
      </c>
      <c r="Q4210" s="2" t="s">
        <v>3065</v>
      </c>
      <c r="R4210" s="2" t="s">
        <v>3066</v>
      </c>
      <c r="S4210" s="9">
        <v>1</v>
      </c>
      <c r="T4210" s="10">
        <v>7.24</v>
      </c>
      <c r="U4210" s="2">
        <f t="shared" si="651"/>
        <v>1.6652</v>
      </c>
      <c r="V4210" s="2">
        <f t="shared" si="654"/>
        <v>8.9052000000000007</v>
      </c>
      <c r="W4210" s="2">
        <v>5.07</v>
      </c>
      <c r="X4210" s="5">
        <f t="shared" si="652"/>
        <v>0.29972375690607733</v>
      </c>
      <c r="Z4210" s="2" t="s">
        <v>3227</v>
      </c>
      <c r="AA4210" s="2" t="s">
        <v>71</v>
      </c>
      <c r="AB4210" s="2" t="s">
        <v>2897</v>
      </c>
      <c r="AC4210" s="2" t="s">
        <v>2897</v>
      </c>
      <c r="AI4210" s="2"/>
      <c r="AK4210" s="2">
        <f t="shared" si="650"/>
        <v>2.17</v>
      </c>
      <c r="AL4210" s="5">
        <f t="shared" si="653"/>
        <v>0.29972375690607733</v>
      </c>
    </row>
    <row r="4211" spans="1:38" x14ac:dyDescent="0.2">
      <c r="A4211" s="8">
        <v>2026</v>
      </c>
      <c r="B4211" s="8">
        <v>6</v>
      </c>
      <c r="C4211" s="8" t="s">
        <v>3392</v>
      </c>
      <c r="D4211" s="2" t="s">
        <v>1718</v>
      </c>
      <c r="E4211" s="2" t="s">
        <v>752</v>
      </c>
      <c r="F4211" s="2" t="s">
        <v>39</v>
      </c>
      <c r="L4211" s="2" t="s">
        <v>398</v>
      </c>
      <c r="M4211" s="2" t="s">
        <v>109</v>
      </c>
      <c r="P4211" s="2" t="s">
        <v>2897</v>
      </c>
      <c r="Q4211" s="2" t="s">
        <v>3067</v>
      </c>
      <c r="R4211" s="2" t="s">
        <v>3068</v>
      </c>
      <c r="S4211" s="9">
        <v>1</v>
      </c>
      <c r="T4211" s="10">
        <v>7.24</v>
      </c>
      <c r="U4211" s="2">
        <f t="shared" si="651"/>
        <v>1.6652</v>
      </c>
      <c r="V4211" s="2">
        <f t="shared" si="654"/>
        <v>8.9052000000000007</v>
      </c>
      <c r="W4211" s="2">
        <v>5.07</v>
      </c>
      <c r="X4211" s="5">
        <f t="shared" si="652"/>
        <v>0.29972375690607733</v>
      </c>
      <c r="Z4211" s="2" t="s">
        <v>3227</v>
      </c>
      <c r="AA4211" s="2" t="s">
        <v>71</v>
      </c>
      <c r="AB4211" s="2" t="s">
        <v>2897</v>
      </c>
      <c r="AC4211" s="2" t="s">
        <v>2897</v>
      </c>
      <c r="AI4211" s="2"/>
      <c r="AK4211" s="2">
        <f t="shared" si="650"/>
        <v>2.17</v>
      </c>
      <c r="AL4211" s="5">
        <f t="shared" si="653"/>
        <v>0.29972375690607733</v>
      </c>
    </row>
    <row r="4212" spans="1:38" x14ac:dyDescent="0.2">
      <c r="A4212" s="8">
        <v>2026</v>
      </c>
      <c r="B4212" s="8">
        <v>6</v>
      </c>
      <c r="C4212" s="8" t="s">
        <v>3392</v>
      </c>
      <c r="D4212" s="2" t="s">
        <v>1718</v>
      </c>
      <c r="E4212" s="2" t="s">
        <v>752</v>
      </c>
      <c r="F4212" s="2" t="s">
        <v>39</v>
      </c>
      <c r="L4212" s="2" t="s">
        <v>398</v>
      </c>
      <c r="M4212" s="2" t="s">
        <v>109</v>
      </c>
      <c r="P4212" s="2" t="s">
        <v>2897</v>
      </c>
      <c r="Q4212" s="2" t="s">
        <v>3069</v>
      </c>
      <c r="R4212" s="2" t="s">
        <v>3070</v>
      </c>
      <c r="S4212" s="9">
        <v>1</v>
      </c>
      <c r="T4212" s="10">
        <v>7.24</v>
      </c>
      <c r="U4212" s="2">
        <f t="shared" si="651"/>
        <v>1.6652</v>
      </c>
      <c r="V4212" s="2">
        <f t="shared" si="654"/>
        <v>8.9052000000000007</v>
      </c>
      <c r="W4212" s="2">
        <f>5.07</f>
        <v>5.07</v>
      </c>
      <c r="X4212" s="5">
        <f t="shared" si="652"/>
        <v>0.29972375690607733</v>
      </c>
      <c r="Z4212" s="2" t="s">
        <v>3227</v>
      </c>
      <c r="AA4212" s="2" t="s">
        <v>71</v>
      </c>
      <c r="AB4212" s="2" t="s">
        <v>2897</v>
      </c>
      <c r="AC4212" s="2" t="s">
        <v>2897</v>
      </c>
      <c r="AI4212" s="2"/>
      <c r="AK4212" s="2">
        <f t="shared" si="650"/>
        <v>2.17</v>
      </c>
      <c r="AL4212" s="5">
        <f t="shared" si="653"/>
        <v>0.29972375690607733</v>
      </c>
    </row>
    <row r="4213" spans="1:38" x14ac:dyDescent="0.2">
      <c r="A4213" s="8">
        <v>2026</v>
      </c>
      <c r="B4213" s="8">
        <v>6</v>
      </c>
      <c r="C4213" s="8" t="s">
        <v>3392</v>
      </c>
      <c r="D4213" s="2" t="s">
        <v>1718</v>
      </c>
      <c r="E4213" s="2" t="s">
        <v>752</v>
      </c>
      <c r="F4213" s="2" t="s">
        <v>39</v>
      </c>
      <c r="L4213" s="2" t="s">
        <v>398</v>
      </c>
      <c r="M4213" s="2" t="s">
        <v>109</v>
      </c>
      <c r="P4213" s="2" t="s">
        <v>2897</v>
      </c>
      <c r="Q4213" s="2" t="s">
        <v>3071</v>
      </c>
      <c r="R4213" s="2" t="s">
        <v>3072</v>
      </c>
      <c r="S4213" s="9">
        <v>1</v>
      </c>
      <c r="T4213" s="10">
        <v>16.899999999999999</v>
      </c>
      <c r="U4213" s="2">
        <f t="shared" si="651"/>
        <v>3.887</v>
      </c>
      <c r="V4213" s="2">
        <f t="shared" si="654"/>
        <v>20.786999999999999</v>
      </c>
      <c r="W4213" s="2">
        <f>12.68</f>
        <v>12.68</v>
      </c>
      <c r="X4213" s="5">
        <f t="shared" si="652"/>
        <v>0.24970414201183427</v>
      </c>
      <c r="Z4213" s="2" t="s">
        <v>3227</v>
      </c>
      <c r="AA4213" s="2" t="s">
        <v>71</v>
      </c>
      <c r="AB4213" s="2" t="s">
        <v>2897</v>
      </c>
      <c r="AC4213" s="2" t="s">
        <v>2897</v>
      </c>
      <c r="AI4213" s="2"/>
      <c r="AK4213" s="2">
        <f t="shared" si="650"/>
        <v>4.2199999999999989</v>
      </c>
      <c r="AL4213" s="5">
        <f t="shared" si="653"/>
        <v>0.24970414201183427</v>
      </c>
    </row>
    <row r="4214" spans="1:38" x14ac:dyDescent="0.2">
      <c r="A4214" s="8">
        <v>2026</v>
      </c>
      <c r="B4214" s="8">
        <v>6</v>
      </c>
      <c r="C4214" s="8" t="s">
        <v>3392</v>
      </c>
      <c r="D4214" s="2" t="s">
        <v>1718</v>
      </c>
      <c r="E4214" s="2" t="s">
        <v>752</v>
      </c>
      <c r="F4214" s="2" t="s">
        <v>39</v>
      </c>
      <c r="L4214" s="2" t="s">
        <v>398</v>
      </c>
      <c r="M4214" s="2" t="s">
        <v>109</v>
      </c>
      <c r="P4214" s="2" t="s">
        <v>2897</v>
      </c>
      <c r="Q4214" s="2" t="s">
        <v>3073</v>
      </c>
      <c r="R4214" s="2" t="s">
        <v>3074</v>
      </c>
      <c r="S4214" s="9">
        <v>1</v>
      </c>
      <c r="T4214" s="10">
        <v>19</v>
      </c>
      <c r="U4214" s="2">
        <f t="shared" si="651"/>
        <v>4.37</v>
      </c>
      <c r="V4214" s="2">
        <f t="shared" si="654"/>
        <v>23.37</v>
      </c>
      <c r="W4214" s="2">
        <f>14.25</f>
        <v>14.25</v>
      </c>
      <c r="X4214" s="5">
        <f t="shared" si="652"/>
        <v>0.25</v>
      </c>
      <c r="Z4214" s="2" t="s">
        <v>3227</v>
      </c>
      <c r="AA4214" s="2" t="s">
        <v>71</v>
      </c>
      <c r="AB4214" s="2" t="s">
        <v>2897</v>
      </c>
      <c r="AC4214" s="2" t="s">
        <v>2897</v>
      </c>
      <c r="AI4214" s="2"/>
      <c r="AK4214" s="2">
        <f t="shared" si="650"/>
        <v>4.75</v>
      </c>
      <c r="AL4214" s="5">
        <f t="shared" si="653"/>
        <v>0.25</v>
      </c>
    </row>
    <row r="4215" spans="1:38" x14ac:dyDescent="0.2">
      <c r="A4215" s="8">
        <v>2026</v>
      </c>
      <c r="B4215" s="8">
        <v>6</v>
      </c>
      <c r="C4215" s="8" t="s">
        <v>3392</v>
      </c>
      <c r="D4215" s="2" t="s">
        <v>1718</v>
      </c>
      <c r="E4215" s="2" t="s">
        <v>752</v>
      </c>
      <c r="F4215" s="2" t="s">
        <v>39</v>
      </c>
      <c r="L4215" s="2" t="s">
        <v>398</v>
      </c>
      <c r="M4215" s="2" t="s">
        <v>109</v>
      </c>
      <c r="P4215" s="2" t="s">
        <v>2897</v>
      </c>
      <c r="Q4215" s="2" t="s">
        <v>3075</v>
      </c>
      <c r="R4215" s="2" t="s">
        <v>3076</v>
      </c>
      <c r="S4215" s="9">
        <v>1</v>
      </c>
      <c r="T4215" s="10">
        <v>43.5</v>
      </c>
      <c r="U4215" s="2">
        <f t="shared" si="651"/>
        <v>10.005000000000001</v>
      </c>
      <c r="V4215" s="2">
        <f t="shared" si="654"/>
        <v>53.505000000000003</v>
      </c>
      <c r="W4215" s="2">
        <f>32.63</f>
        <v>32.630000000000003</v>
      </c>
      <c r="X4215" s="5">
        <f t="shared" si="652"/>
        <v>0.2498850574712643</v>
      </c>
      <c r="Z4215" s="2" t="s">
        <v>3227</v>
      </c>
      <c r="AA4215" s="2" t="s">
        <v>71</v>
      </c>
      <c r="AB4215" s="2" t="s">
        <v>2897</v>
      </c>
      <c r="AC4215" s="2" t="s">
        <v>2897</v>
      </c>
      <c r="AI4215" s="2"/>
      <c r="AK4215" s="2">
        <f t="shared" si="650"/>
        <v>10.869999999999997</v>
      </c>
      <c r="AL4215" s="5">
        <f t="shared" si="653"/>
        <v>0.2498850574712643</v>
      </c>
    </row>
    <row r="4216" spans="1:38" x14ac:dyDescent="0.2">
      <c r="A4216" s="8">
        <v>2026</v>
      </c>
      <c r="B4216" s="8">
        <v>6</v>
      </c>
      <c r="C4216" s="8" t="s">
        <v>3392</v>
      </c>
      <c r="D4216" s="2" t="s">
        <v>1718</v>
      </c>
      <c r="E4216" s="2" t="s">
        <v>752</v>
      </c>
      <c r="F4216" s="2" t="s">
        <v>39</v>
      </c>
      <c r="L4216" s="2" t="s">
        <v>398</v>
      </c>
      <c r="M4216" s="2" t="s">
        <v>109</v>
      </c>
      <c r="P4216" s="2" t="s">
        <v>2897</v>
      </c>
      <c r="Q4216" s="2" t="s">
        <v>3077</v>
      </c>
      <c r="R4216" s="2" t="s">
        <v>3078</v>
      </c>
      <c r="S4216" s="9">
        <v>1</v>
      </c>
      <c r="T4216" s="10">
        <v>13.6</v>
      </c>
      <c r="U4216" s="2">
        <f t="shared" si="651"/>
        <v>3.1280000000000001</v>
      </c>
      <c r="V4216" s="2">
        <f t="shared" si="654"/>
        <v>16.728000000000002</v>
      </c>
      <c r="W4216" s="2">
        <f>10.2</f>
        <v>10.199999999999999</v>
      </c>
      <c r="X4216" s="5">
        <f t="shared" si="652"/>
        <v>0.25000000000000006</v>
      </c>
      <c r="Z4216" s="2" t="s">
        <v>3227</v>
      </c>
      <c r="AA4216" s="2" t="s">
        <v>71</v>
      </c>
      <c r="AB4216" s="2" t="s">
        <v>2897</v>
      </c>
      <c r="AC4216" s="2" t="s">
        <v>2897</v>
      </c>
      <c r="AI4216" s="2"/>
      <c r="AK4216" s="2">
        <f t="shared" si="650"/>
        <v>3.4000000000000004</v>
      </c>
      <c r="AL4216" s="5">
        <f t="shared" si="653"/>
        <v>0.25000000000000006</v>
      </c>
    </row>
    <row r="4217" spans="1:38" x14ac:dyDescent="0.2">
      <c r="A4217" s="8">
        <v>2026</v>
      </c>
      <c r="B4217" s="8">
        <v>6</v>
      </c>
      <c r="C4217" s="8" t="s">
        <v>3294</v>
      </c>
      <c r="D4217" s="2" t="s">
        <v>3109</v>
      </c>
      <c r="E4217" s="2" t="s">
        <v>38</v>
      </c>
      <c r="F4217" s="2" t="s">
        <v>39</v>
      </c>
      <c r="L4217" s="2" t="s">
        <v>99</v>
      </c>
      <c r="M4217" s="2" t="s">
        <v>40</v>
      </c>
      <c r="P4217" s="2" t="s">
        <v>68</v>
      </c>
      <c r="Q4217" s="2" t="s">
        <v>3079</v>
      </c>
      <c r="R4217" s="2" t="s">
        <v>3080</v>
      </c>
      <c r="S4217" s="9">
        <v>1</v>
      </c>
      <c r="T4217" s="10">
        <v>43</v>
      </c>
      <c r="U4217" s="2">
        <f t="shared" si="651"/>
        <v>9.89</v>
      </c>
      <c r="V4217" s="2">
        <f t="shared" si="654"/>
        <v>52.89</v>
      </c>
      <c r="W4217" s="2">
        <v>35.49</v>
      </c>
      <c r="X4217" s="5">
        <f t="shared" si="652"/>
        <v>0.17465116279069762</v>
      </c>
      <c r="Z4217" s="2" t="s">
        <v>3227</v>
      </c>
      <c r="AA4217" s="2" t="s">
        <v>71</v>
      </c>
      <c r="AB4217" s="2" t="s">
        <v>68</v>
      </c>
      <c r="AC4217" s="2" t="s">
        <v>3436</v>
      </c>
      <c r="AI4217" s="2"/>
      <c r="AK4217" s="2">
        <f t="shared" si="650"/>
        <v>7.509999999999998</v>
      </c>
      <c r="AL4217" s="5">
        <f t="shared" si="653"/>
        <v>0.17465116279069762</v>
      </c>
    </row>
    <row r="4218" spans="1:38" x14ac:dyDescent="0.2">
      <c r="A4218" s="8">
        <v>2026</v>
      </c>
      <c r="B4218" s="8">
        <v>6</v>
      </c>
      <c r="C4218" s="8" t="s">
        <v>3294</v>
      </c>
      <c r="D4218" s="2" t="s">
        <v>3109</v>
      </c>
      <c r="E4218" s="2" t="s">
        <v>38</v>
      </c>
      <c r="F4218" s="2" t="s">
        <v>39</v>
      </c>
      <c r="L4218" s="2" t="s">
        <v>99</v>
      </c>
      <c r="M4218" s="2" t="s">
        <v>40</v>
      </c>
      <c r="P4218" s="2" t="s">
        <v>2897</v>
      </c>
      <c r="Q4218" s="2" t="s">
        <v>3081</v>
      </c>
      <c r="R4218" s="2" t="s">
        <v>3082</v>
      </c>
      <c r="S4218" s="9">
        <v>1</v>
      </c>
      <c r="T4218" s="10">
        <v>198</v>
      </c>
      <c r="U4218" s="2">
        <f t="shared" si="651"/>
        <v>45.54</v>
      </c>
      <c r="V4218" s="2">
        <f t="shared" si="654"/>
        <v>243.54</v>
      </c>
      <c r="W4218" s="2">
        <v>148.5</v>
      </c>
      <c r="X4218" s="5">
        <f t="shared" si="652"/>
        <v>0.25</v>
      </c>
      <c r="Z4218" s="2" t="s">
        <v>3227</v>
      </c>
      <c r="AA4218" s="2" t="s">
        <v>71</v>
      </c>
      <c r="AB4218" s="2" t="s">
        <v>2897</v>
      </c>
      <c r="AC4218" s="2" t="s">
        <v>2897</v>
      </c>
      <c r="AI4218" s="2"/>
      <c r="AK4218" s="2">
        <f t="shared" si="650"/>
        <v>49.5</v>
      </c>
      <c r="AL4218" s="5">
        <f t="shared" si="653"/>
        <v>0.25</v>
      </c>
    </row>
    <row r="4219" spans="1:38" x14ac:dyDescent="0.2">
      <c r="A4219" s="8">
        <v>2026</v>
      </c>
      <c r="B4219" s="8">
        <v>6</v>
      </c>
      <c r="C4219" s="8" t="s">
        <v>3294</v>
      </c>
      <c r="D4219" s="2" t="s">
        <v>3109</v>
      </c>
      <c r="E4219" s="2" t="s">
        <v>38</v>
      </c>
      <c r="F4219" s="2" t="s">
        <v>39</v>
      </c>
      <c r="L4219" s="2" t="s">
        <v>99</v>
      </c>
      <c r="M4219" s="2" t="s">
        <v>40</v>
      </c>
      <c r="P4219" s="2" t="s">
        <v>40</v>
      </c>
      <c r="Q4219" s="2" t="s">
        <v>3083</v>
      </c>
      <c r="R4219" s="2" t="s">
        <v>3084</v>
      </c>
      <c r="S4219" s="9">
        <v>1</v>
      </c>
      <c r="T4219" s="10">
        <v>3000</v>
      </c>
      <c r="U4219" s="2">
        <f t="shared" si="651"/>
        <v>690</v>
      </c>
      <c r="V4219" s="10">
        <f t="shared" si="654"/>
        <v>3690</v>
      </c>
      <c r="W4219" s="2">
        <f>T4219*75%</f>
        <v>2250</v>
      </c>
      <c r="X4219" s="5">
        <f t="shared" si="652"/>
        <v>0.25</v>
      </c>
      <c r="Z4219" s="2" t="s">
        <v>104</v>
      </c>
      <c r="AA4219" s="2" t="s">
        <v>414</v>
      </c>
      <c r="AB4219" s="2" t="s">
        <v>475</v>
      </c>
      <c r="AC4219" s="2" t="s">
        <v>114</v>
      </c>
      <c r="AI4219" s="2"/>
      <c r="AK4219" s="2">
        <f t="shared" si="650"/>
        <v>750</v>
      </c>
      <c r="AL4219" s="5">
        <f t="shared" si="653"/>
        <v>0.25</v>
      </c>
    </row>
    <row r="4220" spans="1:38" x14ac:dyDescent="0.2">
      <c r="A4220" s="8">
        <v>2026</v>
      </c>
      <c r="B4220" s="8">
        <v>6</v>
      </c>
      <c r="C4220" s="8"/>
      <c r="D4220" s="2" t="s">
        <v>2047</v>
      </c>
      <c r="P4220" s="2" t="s">
        <v>1038</v>
      </c>
      <c r="Q4220" s="2" t="s">
        <v>3085</v>
      </c>
      <c r="R4220" s="2" t="s">
        <v>3086</v>
      </c>
      <c r="S4220" s="9">
        <v>1</v>
      </c>
      <c r="T4220" s="10">
        <v>240</v>
      </c>
      <c r="U4220" s="2">
        <f t="shared" si="651"/>
        <v>55.2</v>
      </c>
      <c r="V4220" s="2">
        <f t="shared" si="654"/>
        <v>295.2</v>
      </c>
      <c r="W4220" s="2">
        <v>128.99</v>
      </c>
      <c r="X4220" s="5">
        <f t="shared" si="652"/>
        <v>0.46254166666666663</v>
      </c>
      <c r="Z4220" s="2" t="s">
        <v>3227</v>
      </c>
      <c r="AA4220" s="2" t="s">
        <v>75</v>
      </c>
      <c r="AB4220" s="2" t="s">
        <v>76</v>
      </c>
      <c r="AC4220" s="2" t="s">
        <v>1038</v>
      </c>
      <c r="AF4220" s="2">
        <f>AJ4220</f>
        <v>0</v>
      </c>
      <c r="AI4220" s="2"/>
      <c r="AJ4220" s="2">
        <f>AI4220*T4220</f>
        <v>0</v>
      </c>
      <c r="AK4220" s="2">
        <f t="shared" si="650"/>
        <v>111.00999999999999</v>
      </c>
      <c r="AL4220" s="5">
        <f t="shared" si="653"/>
        <v>0.46254166666666663</v>
      </c>
    </row>
    <row r="4221" spans="1:38" x14ac:dyDescent="0.2">
      <c r="A4221" s="8">
        <v>2026</v>
      </c>
      <c r="B4221" s="8">
        <v>6</v>
      </c>
      <c r="C4221" s="8"/>
      <c r="D4221" s="2" t="s">
        <v>2047</v>
      </c>
      <c r="P4221" s="2" t="s">
        <v>169</v>
      </c>
      <c r="Q4221" s="2" t="s">
        <v>170</v>
      </c>
      <c r="R4221" s="2" t="s">
        <v>170</v>
      </c>
      <c r="S4221" s="9">
        <v>1</v>
      </c>
      <c r="T4221" s="10">
        <v>30</v>
      </c>
      <c r="U4221" s="2">
        <f t="shared" si="651"/>
        <v>6.9</v>
      </c>
      <c r="V4221" s="10">
        <f t="shared" si="654"/>
        <v>36.9</v>
      </c>
      <c r="W4221" s="2">
        <v>28</v>
      </c>
      <c r="X4221" s="5">
        <f t="shared" si="652"/>
        <v>6.6666666666666666E-2</v>
      </c>
      <c r="Z4221" s="2" t="s">
        <v>169</v>
      </c>
      <c r="AA4221" s="2" t="s">
        <v>169</v>
      </c>
      <c r="AI4221" s="2"/>
      <c r="AK4221" s="2">
        <f t="shared" si="650"/>
        <v>2</v>
      </c>
      <c r="AL4221" s="5">
        <f t="shared" si="653"/>
        <v>6.6666666666666666E-2</v>
      </c>
    </row>
    <row r="4222" spans="1:38" x14ac:dyDescent="0.2">
      <c r="A4222" s="8">
        <v>2026</v>
      </c>
      <c r="B4222" s="8">
        <v>6</v>
      </c>
      <c r="C4222" s="8"/>
      <c r="D4222" s="2" t="s">
        <v>2047</v>
      </c>
      <c r="P4222" s="2" t="s">
        <v>93</v>
      </c>
      <c r="Q4222" s="2" t="s">
        <v>94</v>
      </c>
      <c r="R4222" s="2" t="s">
        <v>95</v>
      </c>
      <c r="S4222" s="9">
        <v>1</v>
      </c>
      <c r="T4222" s="10">
        <v>1.48</v>
      </c>
      <c r="U4222" s="2">
        <f t="shared" si="651"/>
        <v>0.34040000000000004</v>
      </c>
      <c r="V4222" s="10">
        <f t="shared" si="654"/>
        <v>1.8204</v>
      </c>
      <c r="W4222" s="2">
        <f>1.48*S4222</f>
        <v>1.48</v>
      </c>
      <c r="X4222" s="5">
        <f t="shared" si="652"/>
        <v>0</v>
      </c>
      <c r="Z4222" s="2" t="s">
        <v>3227</v>
      </c>
      <c r="AA4222" s="2" t="s">
        <v>96</v>
      </c>
      <c r="AB4222" s="2" t="s">
        <v>76</v>
      </c>
      <c r="AC4222" s="2" t="s">
        <v>93</v>
      </c>
      <c r="AF4222" s="2">
        <f>AJ4222</f>
        <v>0</v>
      </c>
      <c r="AG4222" s="2">
        <v>1.48</v>
      </c>
      <c r="AH4222" s="2">
        <v>1.48</v>
      </c>
      <c r="AI4222" s="2"/>
      <c r="AJ4222" s="2">
        <f>AI4222*T4222</f>
        <v>0</v>
      </c>
      <c r="AK4222" s="2">
        <f t="shared" si="650"/>
        <v>0</v>
      </c>
      <c r="AL4222" s="5">
        <f t="shared" si="653"/>
        <v>0</v>
      </c>
    </row>
    <row r="4223" spans="1:38" x14ac:dyDescent="0.2">
      <c r="A4223" s="8">
        <v>2026</v>
      </c>
      <c r="B4223" s="8">
        <v>6</v>
      </c>
      <c r="C4223" s="8"/>
      <c r="D4223" s="2" t="s">
        <v>2049</v>
      </c>
      <c r="P4223" s="2" t="s">
        <v>114</v>
      </c>
      <c r="Q4223" s="2" t="s">
        <v>2281</v>
      </c>
      <c r="R4223" s="2" t="s">
        <v>2282</v>
      </c>
      <c r="S4223" s="9">
        <v>1</v>
      </c>
      <c r="T4223" s="10">
        <v>278.67</v>
      </c>
      <c r="U4223" s="2">
        <f t="shared" si="651"/>
        <v>64.094100000000012</v>
      </c>
      <c r="V4223" s="2">
        <f t="shared" si="654"/>
        <v>342.76410000000004</v>
      </c>
      <c r="W4223" s="2">
        <f>134.41</f>
        <v>134.41</v>
      </c>
      <c r="X4223" s="5">
        <f t="shared" si="652"/>
        <v>0.51767323357376116</v>
      </c>
      <c r="Z4223" s="2" t="s">
        <v>117</v>
      </c>
      <c r="AA4223" s="2" t="s">
        <v>118</v>
      </c>
      <c r="AB4223" s="2" t="s">
        <v>119</v>
      </c>
      <c r="AC4223" s="2" t="s">
        <v>114</v>
      </c>
      <c r="AI4223" s="2"/>
      <c r="AK4223" s="2">
        <f t="shared" si="650"/>
        <v>144.26000000000002</v>
      </c>
      <c r="AL4223" s="2">
        <f t="shared" si="653"/>
        <v>0.51767323357376116</v>
      </c>
    </row>
    <row r="4224" spans="1:38" x14ac:dyDescent="0.2">
      <c r="A4224" s="8">
        <v>2026</v>
      </c>
      <c r="B4224" s="8">
        <v>6</v>
      </c>
      <c r="C4224" s="8"/>
      <c r="D4224" s="2" t="s">
        <v>2049</v>
      </c>
      <c r="M4224" s="2" t="s">
        <v>40</v>
      </c>
      <c r="P4224" s="2" t="s">
        <v>187</v>
      </c>
      <c r="Q4224" s="2" t="s">
        <v>188</v>
      </c>
      <c r="R4224" s="2" t="s">
        <v>189</v>
      </c>
      <c r="S4224" s="9">
        <v>1</v>
      </c>
      <c r="T4224" s="10">
        <v>147</v>
      </c>
      <c r="U4224" s="2">
        <f t="shared" si="651"/>
        <v>33.81</v>
      </c>
      <c r="V4224" s="2">
        <f t="shared" si="654"/>
        <v>180.81</v>
      </c>
      <c r="W4224" s="2">
        <f>T4224*40%</f>
        <v>58.800000000000004</v>
      </c>
      <c r="X4224" s="5">
        <f t="shared" si="652"/>
        <v>0.6</v>
      </c>
      <c r="Z4224" s="2" t="s">
        <v>117</v>
      </c>
      <c r="AA4224" s="2" t="s">
        <v>190</v>
      </c>
      <c r="AB4224" s="2" t="s">
        <v>189</v>
      </c>
      <c r="AC4224" s="2" t="s">
        <v>40</v>
      </c>
      <c r="AG4224" s="2">
        <f>W4224</f>
        <v>58.800000000000004</v>
      </c>
      <c r="AI4224" s="2"/>
      <c r="AJ4224" s="2">
        <f>AI4224*T4224</f>
        <v>0</v>
      </c>
      <c r="AK4224" s="2">
        <f t="shared" si="650"/>
        <v>88.199999999999989</v>
      </c>
      <c r="AL4224" s="5">
        <f t="shared" si="653"/>
        <v>0.6</v>
      </c>
    </row>
    <row r="4225" spans="1:38" x14ac:dyDescent="0.2">
      <c r="A4225" s="8">
        <v>2026</v>
      </c>
      <c r="B4225" s="8">
        <v>6</v>
      </c>
      <c r="C4225" s="8"/>
      <c r="D4225" s="2" t="s">
        <v>2049</v>
      </c>
      <c r="M4225" s="2" t="s">
        <v>40</v>
      </c>
      <c r="P4225" s="2" t="s">
        <v>187</v>
      </c>
      <c r="Q4225" s="2" t="s">
        <v>191</v>
      </c>
      <c r="R4225" s="2" t="s">
        <v>190</v>
      </c>
      <c r="S4225" s="9">
        <v>2</v>
      </c>
      <c r="T4225" s="10">
        <v>110</v>
      </c>
      <c r="U4225" s="2">
        <f t="shared" si="651"/>
        <v>25.3</v>
      </c>
      <c r="V4225" s="2">
        <f t="shared" si="654"/>
        <v>135.30000000000001</v>
      </c>
      <c r="W4225" s="2">
        <f>T4225*50%</f>
        <v>55</v>
      </c>
      <c r="X4225" s="5">
        <f t="shared" si="652"/>
        <v>0.5</v>
      </c>
      <c r="Z4225" s="2" t="s">
        <v>117</v>
      </c>
      <c r="AA4225" s="2" t="s">
        <v>190</v>
      </c>
      <c r="AB4225" s="2" t="s">
        <v>190</v>
      </c>
      <c r="AC4225" s="2" t="s">
        <v>40</v>
      </c>
      <c r="AF4225" s="2">
        <f>AJ4225</f>
        <v>0</v>
      </c>
      <c r="AG4225" s="2">
        <f>W4225</f>
        <v>55</v>
      </c>
      <c r="AI4225" s="2"/>
      <c r="AJ4225" s="2">
        <f>AI4225*T4225</f>
        <v>0</v>
      </c>
      <c r="AK4225" s="2">
        <f t="shared" si="650"/>
        <v>55</v>
      </c>
      <c r="AL4225" s="5">
        <f t="shared" si="653"/>
        <v>0.5</v>
      </c>
    </row>
    <row r="4226" spans="1:38" x14ac:dyDescent="0.2">
      <c r="A4226" s="8">
        <v>2026</v>
      </c>
      <c r="B4226" s="8">
        <v>6</v>
      </c>
      <c r="C4226" s="8" t="s">
        <v>3447</v>
      </c>
      <c r="D4226" s="2" t="s">
        <v>2904</v>
      </c>
      <c r="F4226" s="2" t="s">
        <v>3445</v>
      </c>
      <c r="L4226" s="2" t="s">
        <v>99</v>
      </c>
      <c r="M4226" s="2" t="s">
        <v>80</v>
      </c>
      <c r="P4226" s="2" t="s">
        <v>282</v>
      </c>
      <c r="Q4226" s="2" t="s">
        <v>401</v>
      </c>
      <c r="R4226" s="2" t="s">
        <v>402</v>
      </c>
      <c r="S4226" s="9">
        <v>2</v>
      </c>
      <c r="T4226" s="10">
        <v>58</v>
      </c>
      <c r="U4226" s="2">
        <f t="shared" si="651"/>
        <v>13.34</v>
      </c>
      <c r="V4226" s="2">
        <f t="shared" si="654"/>
        <v>71.34</v>
      </c>
      <c r="W4226" s="2">
        <f>14.5099*S4226</f>
        <v>29.0198</v>
      </c>
      <c r="X4226" s="5">
        <f t="shared" si="652"/>
        <v>0.49965862068965516</v>
      </c>
      <c r="Z4226" s="2" t="s">
        <v>3227</v>
      </c>
      <c r="AA4226" s="2" t="s">
        <v>46</v>
      </c>
      <c r="AB4226" s="2" t="s">
        <v>60</v>
      </c>
      <c r="AC4226" s="2" t="s">
        <v>3332</v>
      </c>
      <c r="AI4226" s="2"/>
      <c r="AK4226" s="2">
        <f t="shared" si="650"/>
        <v>28.9802</v>
      </c>
      <c r="AL4226" s="5">
        <f t="shared" si="653"/>
        <v>0.49965862068965516</v>
      </c>
    </row>
    <row r="4227" spans="1:38" x14ac:dyDescent="0.2">
      <c r="A4227" s="8">
        <v>2026</v>
      </c>
      <c r="B4227" s="8">
        <v>6</v>
      </c>
      <c r="C4227" s="8"/>
      <c r="D4227" s="2" t="s">
        <v>530</v>
      </c>
      <c r="E4227" s="2" t="s">
        <v>108</v>
      </c>
      <c r="F4227" s="2" t="s">
        <v>531</v>
      </c>
      <c r="G4227" s="2">
        <v>502139552</v>
      </c>
      <c r="H4227" s="2" t="s">
        <v>40</v>
      </c>
      <c r="I4227" s="2" t="s">
        <v>339</v>
      </c>
      <c r="J4227" s="2" t="s">
        <v>532</v>
      </c>
      <c r="L4227" s="2" t="s">
        <v>339</v>
      </c>
      <c r="M4227" s="2" t="s">
        <v>80</v>
      </c>
      <c r="P4227" s="2" t="s">
        <v>72</v>
      </c>
      <c r="Q4227" s="2" t="s">
        <v>73</v>
      </c>
      <c r="R4227" s="2" t="s">
        <v>74</v>
      </c>
      <c r="S4227" s="9">
        <v>1</v>
      </c>
      <c r="T4227" s="10">
        <v>219.88</v>
      </c>
      <c r="U4227" s="2">
        <f t="shared" si="651"/>
        <v>50.572400000000002</v>
      </c>
      <c r="V4227" s="10">
        <f t="shared" si="654"/>
        <v>270.45240000000001</v>
      </c>
      <c r="W4227" s="2">
        <v>125.51600000000001</v>
      </c>
      <c r="X4227" s="5">
        <f t="shared" si="652"/>
        <v>0.429161360742223</v>
      </c>
      <c r="Z4227" s="2" t="s">
        <v>3227</v>
      </c>
      <c r="AA4227" s="2" t="s">
        <v>75</v>
      </c>
      <c r="AB4227" s="2" t="s">
        <v>76</v>
      </c>
      <c r="AC4227" s="2" t="s">
        <v>77</v>
      </c>
      <c r="AF4227" s="2">
        <f>AJ4227</f>
        <v>0</v>
      </c>
      <c r="AG4227" s="2">
        <v>125.51600000000001</v>
      </c>
      <c r="AH4227" s="2">
        <v>220</v>
      </c>
      <c r="AI4227" s="2"/>
      <c r="AJ4227" s="2">
        <f>AI4227*T4227</f>
        <v>0</v>
      </c>
      <c r="AK4227" s="2">
        <f t="shared" si="650"/>
        <v>94.36399999999999</v>
      </c>
      <c r="AL4227" s="5">
        <f t="shared" si="653"/>
        <v>0.429161360742223</v>
      </c>
    </row>
    <row r="4228" spans="1:38" x14ac:dyDescent="0.2">
      <c r="A4228" s="8">
        <v>2026</v>
      </c>
      <c r="B4228" s="8">
        <v>6</v>
      </c>
      <c r="C4228" s="8"/>
      <c r="D4228" s="2" t="s">
        <v>530</v>
      </c>
      <c r="E4228" s="2" t="s">
        <v>108</v>
      </c>
      <c r="F4228" s="2" t="s">
        <v>531</v>
      </c>
      <c r="G4228" s="2">
        <v>502139552</v>
      </c>
      <c r="H4228" s="2" t="s">
        <v>40</v>
      </c>
      <c r="I4228" s="2" t="s">
        <v>339</v>
      </c>
      <c r="J4228" s="2" t="s">
        <v>532</v>
      </c>
      <c r="L4228" s="2" t="s">
        <v>339</v>
      </c>
      <c r="M4228" s="2" t="s">
        <v>80</v>
      </c>
      <c r="O4228" s="2" t="s">
        <v>3156</v>
      </c>
      <c r="P4228" s="2" t="s">
        <v>1038</v>
      </c>
      <c r="Q4228" s="2" t="s">
        <v>1833</v>
      </c>
      <c r="R4228" s="2" t="s">
        <v>1834</v>
      </c>
      <c r="S4228" s="9">
        <v>1</v>
      </c>
      <c r="T4228" s="10">
        <v>269.56</v>
      </c>
      <c r="U4228" s="2">
        <f t="shared" si="651"/>
        <v>61.998800000000003</v>
      </c>
      <c r="V4228" s="2">
        <f t="shared" si="654"/>
        <v>331.55880000000002</v>
      </c>
      <c r="W4228" s="2">
        <v>157.85</v>
      </c>
      <c r="X4228" s="5">
        <f t="shared" si="652"/>
        <v>0.4144160854726221</v>
      </c>
      <c r="Z4228" s="2" t="s">
        <v>3227</v>
      </c>
      <c r="AA4228" s="2" t="s">
        <v>75</v>
      </c>
      <c r="AB4228" s="2" t="s">
        <v>76</v>
      </c>
      <c r="AC4228" s="2" t="s">
        <v>1038</v>
      </c>
      <c r="AF4228" s="2">
        <f>AJ4228</f>
        <v>0</v>
      </c>
      <c r="AG4228" s="2">
        <v>157.85</v>
      </c>
      <c r="AI4228" s="2"/>
      <c r="AJ4228" s="2">
        <f>AI4228*T4228</f>
        <v>0</v>
      </c>
      <c r="AK4228" s="2">
        <f t="shared" si="650"/>
        <v>111.71000000000001</v>
      </c>
      <c r="AL4228" s="5">
        <f t="shared" si="653"/>
        <v>0.4144160854726221</v>
      </c>
    </row>
    <row r="4229" spans="1:38" x14ac:dyDescent="0.2">
      <c r="A4229" s="8">
        <v>2026</v>
      </c>
      <c r="B4229" s="8">
        <v>6</v>
      </c>
      <c r="C4229" s="8"/>
      <c r="D4229" s="2" t="s">
        <v>530</v>
      </c>
      <c r="E4229" s="2" t="s">
        <v>108</v>
      </c>
      <c r="F4229" s="2" t="s">
        <v>531</v>
      </c>
      <c r="G4229" s="2">
        <v>502139552</v>
      </c>
      <c r="H4229" s="2" t="s">
        <v>40</v>
      </c>
      <c r="I4229" s="2" t="s">
        <v>339</v>
      </c>
      <c r="J4229" s="2" t="s">
        <v>532</v>
      </c>
      <c r="L4229" s="2" t="s">
        <v>339</v>
      </c>
      <c r="M4229" s="2" t="s">
        <v>40</v>
      </c>
      <c r="P4229" s="2" t="s">
        <v>40</v>
      </c>
      <c r="Q4229" s="2" t="s">
        <v>140</v>
      </c>
      <c r="R4229" s="2" t="s">
        <v>141</v>
      </c>
      <c r="S4229" s="9">
        <v>-1</v>
      </c>
      <c r="T4229" s="10">
        <v>-20.65</v>
      </c>
      <c r="U4229" s="2">
        <f t="shared" si="651"/>
        <v>-4.7495000000000003</v>
      </c>
      <c r="V4229" s="10">
        <f t="shared" si="654"/>
        <v>-25.3995</v>
      </c>
      <c r="Z4229" s="2" t="s">
        <v>119</v>
      </c>
      <c r="AA4229" s="2" t="s">
        <v>142</v>
      </c>
      <c r="AI4229" s="2"/>
    </row>
    <row r="4230" spans="1:38" x14ac:dyDescent="0.2">
      <c r="A4230" s="8">
        <v>2026</v>
      </c>
      <c r="B4230" s="8">
        <v>6</v>
      </c>
      <c r="C4230" s="8"/>
      <c r="D4230" s="2" t="s">
        <v>530</v>
      </c>
      <c r="E4230" s="2" t="s">
        <v>108</v>
      </c>
      <c r="F4230" s="2" t="s">
        <v>531</v>
      </c>
      <c r="G4230" s="2">
        <v>502139552</v>
      </c>
      <c r="H4230" s="2" t="s">
        <v>40</v>
      </c>
      <c r="I4230" s="2" t="s">
        <v>339</v>
      </c>
      <c r="J4230" s="2" t="s">
        <v>532</v>
      </c>
      <c r="L4230" s="2" t="s">
        <v>339</v>
      </c>
      <c r="M4230" s="2" t="s">
        <v>80</v>
      </c>
      <c r="P4230" s="2" t="s">
        <v>93</v>
      </c>
      <c r="Q4230" s="2" t="s">
        <v>94</v>
      </c>
      <c r="R4230" s="2" t="s">
        <v>95</v>
      </c>
      <c r="S4230" s="9">
        <v>2</v>
      </c>
      <c r="T4230" s="10">
        <v>2.96</v>
      </c>
      <c r="U4230" s="2">
        <f t="shared" si="651"/>
        <v>0.68080000000000007</v>
      </c>
      <c r="V4230" s="10">
        <f t="shared" si="654"/>
        <v>3.6408</v>
      </c>
      <c r="W4230" s="2">
        <f>1.48*S4230</f>
        <v>2.96</v>
      </c>
      <c r="X4230" s="5">
        <f t="shared" ref="X4230:X4235" si="655">(T4230-W4230)/T4230</f>
        <v>0</v>
      </c>
      <c r="Z4230" s="2" t="s">
        <v>3227</v>
      </c>
      <c r="AA4230" s="2" t="s">
        <v>96</v>
      </c>
      <c r="AB4230" s="2" t="s">
        <v>76</v>
      </c>
      <c r="AC4230" s="2" t="s">
        <v>93</v>
      </c>
      <c r="AF4230" s="2">
        <f>AJ4230</f>
        <v>0</v>
      </c>
      <c r="AG4230" s="2">
        <v>1.48</v>
      </c>
      <c r="AH4230" s="2">
        <v>1.48</v>
      </c>
      <c r="AI4230" s="2"/>
      <c r="AJ4230" s="2">
        <f>AI4230*T4230</f>
        <v>0</v>
      </c>
      <c r="AK4230" s="2">
        <f>T4230-W4230</f>
        <v>0</v>
      </c>
      <c r="AL4230" s="5">
        <f>(T4230-W4230)/T4230</f>
        <v>0</v>
      </c>
    </row>
    <row r="4231" spans="1:38" x14ac:dyDescent="0.2">
      <c r="A4231" s="8">
        <v>2026</v>
      </c>
      <c r="B4231" s="8">
        <v>6</v>
      </c>
      <c r="C4231" s="8"/>
      <c r="D4231" s="2" t="s">
        <v>2526</v>
      </c>
      <c r="P4231" s="2" t="s">
        <v>43</v>
      </c>
      <c r="Q4231" s="2" t="s">
        <v>218</v>
      </c>
      <c r="R4231" s="2" t="s">
        <v>219</v>
      </c>
      <c r="S4231" s="9">
        <v>1</v>
      </c>
      <c r="T4231" s="10">
        <v>23.4</v>
      </c>
      <c r="U4231" s="2">
        <f t="shared" si="651"/>
        <v>5.3819999999999997</v>
      </c>
      <c r="V4231" s="10">
        <f t="shared" si="654"/>
        <v>28.781999999999996</v>
      </c>
      <c r="W4231" s="2">
        <v>12.4434</v>
      </c>
      <c r="X4231" s="5">
        <f t="shared" si="655"/>
        <v>0.46823076923076917</v>
      </c>
      <c r="Z4231" s="2" t="s">
        <v>3227</v>
      </c>
      <c r="AA4231" s="2" t="s">
        <v>46</v>
      </c>
      <c r="AB4231" s="2" t="s">
        <v>56</v>
      </c>
      <c r="AC4231" s="2" t="s">
        <v>57</v>
      </c>
      <c r="AI4231" s="2"/>
      <c r="AK4231" s="2">
        <f>T4231-W4231</f>
        <v>10.956599999999998</v>
      </c>
      <c r="AL4231" s="5">
        <f>(T4231-W4231)/T4231</f>
        <v>0.46823076923076917</v>
      </c>
    </row>
    <row r="4232" spans="1:38" x14ac:dyDescent="0.2">
      <c r="A4232" s="8">
        <v>2026</v>
      </c>
      <c r="B4232" s="8">
        <v>6</v>
      </c>
      <c r="C4232" s="8"/>
      <c r="D4232" s="2" t="s">
        <v>2526</v>
      </c>
      <c r="P4232" s="2" t="s">
        <v>43</v>
      </c>
      <c r="Q4232" s="2" t="s">
        <v>222</v>
      </c>
      <c r="R4232" s="2" t="s">
        <v>223</v>
      </c>
      <c r="S4232" s="9">
        <v>1</v>
      </c>
      <c r="T4232" s="10">
        <v>30</v>
      </c>
      <c r="U4232" s="2">
        <f t="shared" si="651"/>
        <v>6.9</v>
      </c>
      <c r="V4232" s="10">
        <f t="shared" si="654"/>
        <v>36.9</v>
      </c>
      <c r="W4232" s="2">
        <f>16*S4232</f>
        <v>16</v>
      </c>
      <c r="X4232" s="5">
        <f t="shared" si="655"/>
        <v>0.46666666666666667</v>
      </c>
      <c r="Z4232" s="2" t="s">
        <v>3227</v>
      </c>
      <c r="AA4232" s="2" t="s">
        <v>46</v>
      </c>
      <c r="AB4232" s="2" t="s">
        <v>56</v>
      </c>
      <c r="AC4232" s="2" t="s">
        <v>57</v>
      </c>
      <c r="AI4232" s="2"/>
      <c r="AK4232" s="2">
        <f t="shared" ref="AK4232:AK4233" si="656">T4232-W4232</f>
        <v>14</v>
      </c>
      <c r="AL4232" s="5">
        <f t="shared" ref="AL4232:AL4233" si="657">(T4232-W4232)/T4232</f>
        <v>0.46666666666666667</v>
      </c>
    </row>
    <row r="4233" spans="1:38" x14ac:dyDescent="0.2">
      <c r="A4233" s="8">
        <v>2026</v>
      </c>
      <c r="B4233" s="8">
        <v>6</v>
      </c>
      <c r="C4233" s="8"/>
      <c r="D4233" s="2" t="s">
        <v>2526</v>
      </c>
      <c r="P4233" s="2" t="s">
        <v>43</v>
      </c>
      <c r="Q4233" s="2" t="s">
        <v>238</v>
      </c>
      <c r="R4233" s="2" t="s">
        <v>239</v>
      </c>
      <c r="S4233" s="9">
        <v>1</v>
      </c>
      <c r="T4233" s="10">
        <v>21</v>
      </c>
      <c r="U4233" s="2">
        <f t="shared" si="651"/>
        <v>4.83</v>
      </c>
      <c r="V4233" s="10">
        <f t="shared" si="654"/>
        <v>25.83</v>
      </c>
      <c r="W4233" s="2">
        <f>11.045*S4233</f>
        <v>11.045</v>
      </c>
      <c r="X4233" s="5">
        <f t="shared" si="655"/>
        <v>0.47404761904761905</v>
      </c>
      <c r="Z4233" s="2" t="s">
        <v>3227</v>
      </c>
      <c r="AA4233" s="2" t="s">
        <v>46</v>
      </c>
      <c r="AB4233" s="2" t="s">
        <v>56</v>
      </c>
      <c r="AC4233" s="2" t="s">
        <v>57</v>
      </c>
      <c r="AI4233" s="2"/>
      <c r="AK4233" s="2">
        <f t="shared" si="656"/>
        <v>9.9550000000000001</v>
      </c>
      <c r="AL4233" s="5">
        <f t="shared" si="657"/>
        <v>0.47404761904761905</v>
      </c>
    </row>
    <row r="4234" spans="1:38" x14ac:dyDescent="0.2">
      <c r="A4234" s="8">
        <v>2026</v>
      </c>
      <c r="B4234" s="8">
        <v>6</v>
      </c>
      <c r="C4234" s="8"/>
      <c r="D4234" s="2" t="s">
        <v>2526</v>
      </c>
      <c r="P4234" s="2" t="s">
        <v>43</v>
      </c>
      <c r="Q4234" s="2" t="s">
        <v>61</v>
      </c>
      <c r="R4234" s="2" t="s">
        <v>62</v>
      </c>
      <c r="S4234" s="9">
        <v>300</v>
      </c>
      <c r="T4234" s="10">
        <v>39</v>
      </c>
      <c r="U4234" s="2">
        <f t="shared" si="651"/>
        <v>8.9700000000000006</v>
      </c>
      <c r="V4234" s="10">
        <f t="shared" si="654"/>
        <v>47.97</v>
      </c>
      <c r="W4234" s="2">
        <f>0.082*S4234</f>
        <v>24.6</v>
      </c>
      <c r="X4234" s="5">
        <f t="shared" si="655"/>
        <v>0.3692307692307692</v>
      </c>
      <c r="Z4234" s="2" t="s">
        <v>3227</v>
      </c>
      <c r="AA4234" s="2" t="s">
        <v>46</v>
      </c>
      <c r="AB4234" s="2" t="s">
        <v>60</v>
      </c>
      <c r="AC4234" s="2" t="s">
        <v>57</v>
      </c>
      <c r="AI4234" s="2"/>
      <c r="AK4234" s="2">
        <f>T4234-W4234</f>
        <v>14.399999999999999</v>
      </c>
      <c r="AL4234" s="5">
        <f>(T4234-W4234)/T4234</f>
        <v>0.3692307692307692</v>
      </c>
    </row>
    <row r="4235" spans="1:38" x14ac:dyDescent="0.2">
      <c r="A4235" s="8">
        <v>2026</v>
      </c>
      <c r="B4235" s="8">
        <v>6</v>
      </c>
      <c r="C4235" s="8"/>
      <c r="D4235" s="2" t="s">
        <v>2526</v>
      </c>
      <c r="P4235" s="2" t="s">
        <v>43</v>
      </c>
      <c r="Q4235" s="2" t="s">
        <v>2967</v>
      </c>
      <c r="R4235" s="2" t="s">
        <v>2968</v>
      </c>
      <c r="S4235" s="9">
        <v>2</v>
      </c>
      <c r="T4235" s="10">
        <v>36</v>
      </c>
      <c r="U4235" s="2">
        <f t="shared" si="651"/>
        <v>8.2800000000000011</v>
      </c>
      <c r="V4235" s="10">
        <f t="shared" si="654"/>
        <v>44.28</v>
      </c>
      <c r="W4235" s="2">
        <f>11.525*S4235</f>
        <v>23.05</v>
      </c>
      <c r="X4235" s="5">
        <f t="shared" si="655"/>
        <v>0.35972222222222222</v>
      </c>
      <c r="Z4235" s="2" t="s">
        <v>3227</v>
      </c>
      <c r="AA4235" s="2" t="s">
        <v>46</v>
      </c>
      <c r="AB4235" s="2" t="s">
        <v>56</v>
      </c>
      <c r="AC4235" s="2" t="s">
        <v>57</v>
      </c>
      <c r="AI4235" s="2"/>
      <c r="AK4235" s="2">
        <f>T4235-W4235</f>
        <v>12.95</v>
      </c>
      <c r="AL4235" s="5">
        <f>(T4235-W4235)/T4235</f>
        <v>0.35972222222222222</v>
      </c>
    </row>
    <row r="4236" spans="1:38" x14ac:dyDescent="0.2">
      <c r="A4236" s="8">
        <v>2026</v>
      </c>
      <c r="B4236" s="8">
        <v>6</v>
      </c>
      <c r="C4236" s="8"/>
      <c r="D4236" s="2" t="s">
        <v>2526</v>
      </c>
      <c r="P4236" s="2" t="s">
        <v>40</v>
      </c>
      <c r="Q4236" s="2" t="s">
        <v>1308</v>
      </c>
      <c r="R4236" s="2" t="s">
        <v>1309</v>
      </c>
      <c r="S4236" s="9">
        <v>1</v>
      </c>
      <c r="T4236" s="10">
        <v>0</v>
      </c>
      <c r="U4236" s="2">
        <v>0</v>
      </c>
      <c r="V4236" s="2">
        <v>0</v>
      </c>
      <c r="X4236" s="2"/>
      <c r="Z4236" s="2" t="s">
        <v>117</v>
      </c>
      <c r="AI4236" s="2"/>
      <c r="AL4236" s="2"/>
    </row>
    <row r="4237" spans="1:38" x14ac:dyDescent="0.2">
      <c r="A4237" s="8">
        <v>2026</v>
      </c>
      <c r="B4237" s="8">
        <v>6</v>
      </c>
      <c r="C4237" s="8"/>
      <c r="D4237" s="2" t="s">
        <v>1271</v>
      </c>
      <c r="E4237" s="2" t="s">
        <v>108</v>
      </c>
      <c r="F4237" s="2" t="s">
        <v>39</v>
      </c>
      <c r="G4237" s="2">
        <v>502618540</v>
      </c>
      <c r="H4237" s="2" t="s">
        <v>41</v>
      </c>
      <c r="I4237" s="2" t="s">
        <v>1272</v>
      </c>
      <c r="J4237" s="2" t="s">
        <v>1273</v>
      </c>
      <c r="L4237" s="2" t="s">
        <v>177</v>
      </c>
      <c r="M4237" s="2" t="s">
        <v>41</v>
      </c>
      <c r="O4237" s="2" t="s">
        <v>3160</v>
      </c>
      <c r="P4237" s="2" t="s">
        <v>1038</v>
      </c>
      <c r="Q4237" s="2" t="s">
        <v>3087</v>
      </c>
      <c r="R4237" s="2" t="s">
        <v>3088</v>
      </c>
      <c r="S4237" s="9">
        <v>1</v>
      </c>
      <c r="T4237" s="10">
        <v>270</v>
      </c>
      <c r="U4237" s="2">
        <f t="shared" ref="U4237:U4258" si="658">T4237*23%</f>
        <v>62.1</v>
      </c>
      <c r="V4237" s="2">
        <f t="shared" ref="V4237:V4258" si="659">T4237+U4237</f>
        <v>332.1</v>
      </c>
      <c r="W4237" s="2">
        <v>141.16</v>
      </c>
      <c r="X4237" s="5">
        <f t="shared" ref="X4237:X4274" si="660">(T4237-W4237)/T4237</f>
        <v>0.47718518518518521</v>
      </c>
      <c r="Z4237" s="2" t="s">
        <v>3227</v>
      </c>
      <c r="AA4237" s="2" t="s">
        <v>75</v>
      </c>
      <c r="AB4237" s="2" t="s">
        <v>76</v>
      </c>
      <c r="AC4237" s="2" t="s">
        <v>1038</v>
      </c>
      <c r="AF4237" s="2">
        <f>AJ4237</f>
        <v>0</v>
      </c>
      <c r="AG4237" s="2">
        <v>141.16</v>
      </c>
      <c r="AI4237" s="2"/>
      <c r="AJ4237" s="2">
        <f>AI4237*T4237</f>
        <v>0</v>
      </c>
      <c r="AK4237" s="2">
        <f>T4237-W4237</f>
        <v>128.84</v>
      </c>
      <c r="AL4237" s="5">
        <f>(T4237-W4237)/T4237</f>
        <v>0.47718518518518521</v>
      </c>
    </row>
    <row r="4238" spans="1:38" x14ac:dyDescent="0.2">
      <c r="A4238" s="8">
        <v>2026</v>
      </c>
      <c r="B4238" s="8">
        <v>6</v>
      </c>
      <c r="C4238" s="8"/>
      <c r="D4238" s="2" t="s">
        <v>1271</v>
      </c>
      <c r="E4238" s="2" t="s">
        <v>108</v>
      </c>
      <c r="F4238" s="2" t="s">
        <v>39</v>
      </c>
      <c r="G4238" s="2">
        <v>502618540</v>
      </c>
      <c r="H4238" s="2" t="s">
        <v>41</v>
      </c>
      <c r="I4238" s="2" t="s">
        <v>1272</v>
      </c>
      <c r="J4238" s="2" t="s">
        <v>1273</v>
      </c>
      <c r="L4238" s="2" t="s">
        <v>177</v>
      </c>
      <c r="M4238" s="2" t="s">
        <v>41</v>
      </c>
      <c r="P4238" s="2" t="s">
        <v>93</v>
      </c>
      <c r="Q4238" s="2" t="s">
        <v>94</v>
      </c>
      <c r="R4238" s="2" t="s">
        <v>95</v>
      </c>
      <c r="S4238" s="9">
        <v>1</v>
      </c>
      <c r="T4238" s="10">
        <v>1.48</v>
      </c>
      <c r="U4238" s="2">
        <f t="shared" si="658"/>
        <v>0.34040000000000004</v>
      </c>
      <c r="V4238" s="10">
        <f t="shared" si="659"/>
        <v>1.8204</v>
      </c>
      <c r="W4238" s="2">
        <f>1.48*S4238</f>
        <v>1.48</v>
      </c>
      <c r="X4238" s="5">
        <f t="shared" si="660"/>
        <v>0</v>
      </c>
      <c r="Z4238" s="2" t="s">
        <v>3227</v>
      </c>
      <c r="AA4238" s="2" t="s">
        <v>96</v>
      </c>
      <c r="AB4238" s="2" t="s">
        <v>76</v>
      </c>
      <c r="AC4238" s="2" t="s">
        <v>93</v>
      </c>
      <c r="AF4238" s="2">
        <f>AJ4238</f>
        <v>0</v>
      </c>
      <c r="AG4238" s="2">
        <v>1.48</v>
      </c>
      <c r="AH4238" s="2">
        <v>1.48</v>
      </c>
      <c r="AI4238" s="2"/>
      <c r="AJ4238" s="2">
        <f>AI4238*T4238</f>
        <v>0</v>
      </c>
      <c r="AK4238" s="2">
        <f>T4238-W4238</f>
        <v>0</v>
      </c>
      <c r="AL4238" s="5">
        <f>(T4238-W4238)/T4238</f>
        <v>0</v>
      </c>
    </row>
    <row r="4239" spans="1:38" x14ac:dyDescent="0.2">
      <c r="A4239" s="8">
        <v>2026</v>
      </c>
      <c r="B4239" s="8">
        <v>6</v>
      </c>
      <c r="C4239" s="8"/>
      <c r="D4239" s="2" t="s">
        <v>3108</v>
      </c>
      <c r="P4239" s="2" t="s">
        <v>282</v>
      </c>
      <c r="Q4239" s="2" t="s">
        <v>3089</v>
      </c>
      <c r="R4239" s="2" t="s">
        <v>3090</v>
      </c>
      <c r="S4239" s="9">
        <v>1</v>
      </c>
      <c r="T4239" s="10">
        <v>2490</v>
      </c>
      <c r="U4239" s="2">
        <f t="shared" si="658"/>
        <v>572.70000000000005</v>
      </c>
      <c r="V4239" s="10">
        <f t="shared" si="659"/>
        <v>3062.7</v>
      </c>
      <c r="W4239" s="2">
        <f>1970.05+49</f>
        <v>2019.05</v>
      </c>
      <c r="X4239" s="5">
        <f t="shared" si="660"/>
        <v>0.18913654618473896</v>
      </c>
      <c r="Z4239" s="2" t="s">
        <v>104</v>
      </c>
      <c r="AA4239" s="2" t="s">
        <v>387</v>
      </c>
      <c r="AB4239" s="2" t="s">
        <v>1330</v>
      </c>
      <c r="AC4239" s="2" t="s">
        <v>1327</v>
      </c>
      <c r="AI4239" s="2"/>
      <c r="AL4239" s="2"/>
    </row>
    <row r="4240" spans="1:38" x14ac:dyDescent="0.2">
      <c r="A4240" s="8">
        <v>2026</v>
      </c>
      <c r="B4240" s="8">
        <v>6</v>
      </c>
      <c r="C4240" s="8"/>
      <c r="D4240" s="2" t="s">
        <v>3108</v>
      </c>
      <c r="P4240" s="2" t="s">
        <v>282</v>
      </c>
      <c r="Q4240" s="2" t="s">
        <v>3091</v>
      </c>
      <c r="R4240" s="2" t="s">
        <v>3092</v>
      </c>
      <c r="S4240" s="9">
        <v>1</v>
      </c>
      <c r="T4240" s="10">
        <v>2490</v>
      </c>
      <c r="U4240" s="2">
        <f t="shared" si="658"/>
        <v>572.70000000000005</v>
      </c>
      <c r="V4240" s="10">
        <f t="shared" si="659"/>
        <v>3062.7</v>
      </c>
      <c r="W4240" s="2">
        <f>1995.2+43.97</f>
        <v>2039.17</v>
      </c>
      <c r="X4240" s="5">
        <f t="shared" si="660"/>
        <v>0.18105622489959836</v>
      </c>
      <c r="Z4240" s="2" t="s">
        <v>104</v>
      </c>
      <c r="AA4240" s="2" t="s">
        <v>387</v>
      </c>
      <c r="AB4240" s="2" t="s">
        <v>1330</v>
      </c>
      <c r="AC4240" s="2" t="s">
        <v>1327</v>
      </c>
      <c r="AI4240" s="2"/>
      <c r="AL4240" s="2"/>
    </row>
    <row r="4241" spans="1:38" x14ac:dyDescent="0.2">
      <c r="A4241" s="8">
        <v>2026</v>
      </c>
      <c r="B4241" s="8">
        <v>6</v>
      </c>
      <c r="C4241" s="8"/>
      <c r="D4241" s="2" t="s">
        <v>2908</v>
      </c>
      <c r="P4241" s="2" t="s">
        <v>114</v>
      </c>
      <c r="Q4241" s="2" t="s">
        <v>779</v>
      </c>
      <c r="R4241" s="2" t="s">
        <v>780</v>
      </c>
      <c r="S4241" s="9">
        <v>2</v>
      </c>
      <c r="T4241" s="10">
        <v>157.18</v>
      </c>
      <c r="U4241" s="2">
        <f t="shared" si="658"/>
        <v>36.151400000000002</v>
      </c>
      <c r="V4241" s="10">
        <f t="shared" si="659"/>
        <v>193.3314</v>
      </c>
      <c r="X4241" s="5">
        <f t="shared" si="660"/>
        <v>1</v>
      </c>
      <c r="Z4241" s="2" t="s">
        <v>117</v>
      </c>
      <c r="AI4241" s="2"/>
      <c r="AL4241" s="2"/>
    </row>
    <row r="4242" spans="1:38" x14ac:dyDescent="0.2">
      <c r="A4242" s="8">
        <v>2026</v>
      </c>
      <c r="B4242" s="8">
        <v>6</v>
      </c>
      <c r="C4242" s="8"/>
      <c r="D4242" s="2" t="s">
        <v>2908</v>
      </c>
      <c r="P4242" s="2" t="s">
        <v>114</v>
      </c>
      <c r="Q4242" s="2" t="s">
        <v>561</v>
      </c>
      <c r="R4242" s="2" t="s">
        <v>562</v>
      </c>
      <c r="S4242" s="9">
        <v>2</v>
      </c>
      <c r="T4242" s="10">
        <v>28.57</v>
      </c>
      <c r="U4242" s="2">
        <f t="shared" si="658"/>
        <v>6.5711000000000004</v>
      </c>
      <c r="V4242" s="10">
        <f t="shared" si="659"/>
        <v>35.141100000000002</v>
      </c>
      <c r="X4242" s="5">
        <f t="shared" si="660"/>
        <v>1</v>
      </c>
      <c r="Z4242" s="2" t="s">
        <v>117</v>
      </c>
      <c r="AI4242" s="2"/>
      <c r="AL4242" s="2"/>
    </row>
    <row r="4243" spans="1:38" x14ac:dyDescent="0.2">
      <c r="A4243" s="8">
        <v>2026</v>
      </c>
      <c r="B4243" s="8">
        <v>6</v>
      </c>
      <c r="C4243" s="8"/>
      <c r="D4243" s="2" t="s">
        <v>574</v>
      </c>
      <c r="E4243" s="2" t="s">
        <v>38</v>
      </c>
      <c r="F4243" s="2" t="s">
        <v>39</v>
      </c>
      <c r="G4243" s="2">
        <v>504811029</v>
      </c>
      <c r="H4243" s="2" t="s">
        <v>41</v>
      </c>
      <c r="I4243" s="2" t="s">
        <v>177</v>
      </c>
      <c r="J4243" s="2" t="s">
        <v>575</v>
      </c>
      <c r="L4243" s="2" t="s">
        <v>177</v>
      </c>
      <c r="M4243" s="2" t="s">
        <v>41</v>
      </c>
      <c r="P4243" s="2" t="s">
        <v>43</v>
      </c>
      <c r="Q4243" s="2" t="s">
        <v>61</v>
      </c>
      <c r="R4243" s="2" t="s">
        <v>62</v>
      </c>
      <c r="S4243" s="9">
        <v>1000</v>
      </c>
      <c r="T4243" s="10">
        <v>110</v>
      </c>
      <c r="U4243" s="2">
        <f t="shared" si="658"/>
        <v>25.3</v>
      </c>
      <c r="V4243" s="10">
        <f t="shared" si="659"/>
        <v>135.30000000000001</v>
      </c>
      <c r="W4243" s="2">
        <f>0.082*S4243</f>
        <v>82</v>
      </c>
      <c r="X4243" s="5">
        <f t="shared" si="660"/>
        <v>0.25454545454545452</v>
      </c>
      <c r="Z4243" s="2" t="s">
        <v>3227</v>
      </c>
      <c r="AA4243" s="2" t="s">
        <v>46</v>
      </c>
      <c r="AB4243" s="2" t="s">
        <v>60</v>
      </c>
      <c r="AC4243" s="2" t="s">
        <v>57</v>
      </c>
      <c r="AI4243" s="2"/>
      <c r="AK4243" s="2">
        <f>T4243-W4243</f>
        <v>28</v>
      </c>
      <c r="AL4243" s="5">
        <f>(T4243-W4243)/T4243</f>
        <v>0.25454545454545452</v>
      </c>
    </row>
    <row r="4244" spans="1:38" x14ac:dyDescent="0.2">
      <c r="A4244" s="8">
        <v>2026</v>
      </c>
      <c r="B4244" s="8">
        <v>6</v>
      </c>
      <c r="C4244" s="8"/>
      <c r="D4244" s="2" t="s">
        <v>581</v>
      </c>
      <c r="P4244" s="2" t="s">
        <v>114</v>
      </c>
      <c r="Q4244" s="2" t="s">
        <v>791</v>
      </c>
      <c r="R4244" s="2" t="s">
        <v>792</v>
      </c>
      <c r="S4244" s="9">
        <v>1</v>
      </c>
      <c r="T4244" s="10">
        <v>187.92</v>
      </c>
      <c r="U4244" s="2">
        <f t="shared" si="658"/>
        <v>43.221600000000002</v>
      </c>
      <c r="V4244" s="2">
        <f t="shared" si="659"/>
        <v>231.14159999999998</v>
      </c>
      <c r="X4244" s="5">
        <f t="shared" si="660"/>
        <v>1</v>
      </c>
      <c r="Z4244" s="2" t="s">
        <v>117</v>
      </c>
      <c r="AI4244" s="2"/>
      <c r="AL4244" s="2"/>
    </row>
    <row r="4245" spans="1:38" x14ac:dyDescent="0.2">
      <c r="A4245" s="8">
        <v>2026</v>
      </c>
      <c r="B4245" s="8">
        <v>6</v>
      </c>
      <c r="C4245" s="8"/>
      <c r="D4245" s="2" t="s">
        <v>581</v>
      </c>
      <c r="P4245" s="2" t="s">
        <v>114</v>
      </c>
      <c r="Q4245" s="2" t="s">
        <v>795</v>
      </c>
      <c r="R4245" s="2" t="s">
        <v>2985</v>
      </c>
      <c r="S4245" s="9">
        <v>1</v>
      </c>
      <c r="T4245" s="10">
        <v>28.38</v>
      </c>
      <c r="U4245" s="2">
        <f t="shared" si="658"/>
        <v>6.5274000000000001</v>
      </c>
      <c r="V4245" s="2">
        <f t="shared" si="659"/>
        <v>34.907399999999996</v>
      </c>
      <c r="X4245" s="5">
        <f t="shared" si="660"/>
        <v>1</v>
      </c>
      <c r="Z4245" s="2" t="s">
        <v>117</v>
      </c>
      <c r="AI4245" s="2"/>
      <c r="AL4245" s="2"/>
    </row>
    <row r="4246" spans="1:38" x14ac:dyDescent="0.2">
      <c r="A4246" s="8">
        <v>2026</v>
      </c>
      <c r="B4246" s="8">
        <v>6</v>
      </c>
      <c r="C4246" s="8"/>
      <c r="D4246" s="2" t="s">
        <v>581</v>
      </c>
      <c r="M4246" s="2" t="s">
        <v>40</v>
      </c>
      <c r="P4246" s="2" t="s">
        <v>187</v>
      </c>
      <c r="Q4246" s="2" t="s">
        <v>188</v>
      </c>
      <c r="R4246" s="2" t="s">
        <v>189</v>
      </c>
      <c r="S4246" s="9">
        <v>1</v>
      </c>
      <c r="T4246" s="10">
        <v>94</v>
      </c>
      <c r="U4246" s="2">
        <f t="shared" si="658"/>
        <v>21.62</v>
      </c>
      <c r="V4246" s="2">
        <f t="shared" si="659"/>
        <v>115.62</v>
      </c>
      <c r="W4246" s="2">
        <f>T4246*40%</f>
        <v>37.6</v>
      </c>
      <c r="X4246" s="5">
        <f t="shared" si="660"/>
        <v>0.6</v>
      </c>
      <c r="Z4246" s="2" t="s">
        <v>117</v>
      </c>
      <c r="AA4246" s="2" t="s">
        <v>190</v>
      </c>
      <c r="AB4246" s="2" t="s">
        <v>189</v>
      </c>
      <c r="AC4246" s="2" t="s">
        <v>40</v>
      </c>
      <c r="AG4246" s="2">
        <f>W4246</f>
        <v>37.6</v>
      </c>
      <c r="AI4246" s="2"/>
      <c r="AJ4246" s="2">
        <f>AI4246*T4246</f>
        <v>0</v>
      </c>
      <c r="AK4246" s="2">
        <f>T4246-W4246</f>
        <v>56.4</v>
      </c>
      <c r="AL4246" s="5">
        <f>(T4246-W4246)/T4246</f>
        <v>0.6</v>
      </c>
    </row>
    <row r="4247" spans="1:38" x14ac:dyDescent="0.2">
      <c r="A4247" s="8">
        <v>2026</v>
      </c>
      <c r="B4247" s="8">
        <v>6</v>
      </c>
      <c r="C4247" s="8"/>
      <c r="D4247" s="2" t="s">
        <v>581</v>
      </c>
      <c r="M4247" s="2" t="s">
        <v>40</v>
      </c>
      <c r="P4247" s="2" t="s">
        <v>187</v>
      </c>
      <c r="Q4247" s="2" t="s">
        <v>191</v>
      </c>
      <c r="R4247" s="2" t="s">
        <v>190</v>
      </c>
      <c r="S4247" s="9">
        <v>1</v>
      </c>
      <c r="T4247" s="10">
        <v>55</v>
      </c>
      <c r="U4247" s="2">
        <f t="shared" si="658"/>
        <v>12.65</v>
      </c>
      <c r="V4247" s="2">
        <f t="shared" si="659"/>
        <v>67.650000000000006</v>
      </c>
      <c r="W4247" s="2">
        <f>T4247*50%</f>
        <v>27.5</v>
      </c>
      <c r="X4247" s="5">
        <f t="shared" si="660"/>
        <v>0.5</v>
      </c>
      <c r="Z4247" s="2" t="s">
        <v>117</v>
      </c>
      <c r="AA4247" s="2" t="s">
        <v>190</v>
      </c>
      <c r="AB4247" s="2" t="s">
        <v>190</v>
      </c>
      <c r="AC4247" s="2" t="s">
        <v>40</v>
      </c>
      <c r="AF4247" s="2">
        <f>AJ4247</f>
        <v>0</v>
      </c>
      <c r="AG4247" s="2">
        <f>W4247</f>
        <v>27.5</v>
      </c>
      <c r="AI4247" s="2"/>
      <c r="AJ4247" s="2">
        <f>AI4247*T4247</f>
        <v>0</v>
      </c>
      <c r="AK4247" s="2">
        <f>T4247-W4247</f>
        <v>27.5</v>
      </c>
      <c r="AL4247" s="5">
        <f>(T4247-W4247)/T4247</f>
        <v>0.5</v>
      </c>
    </row>
    <row r="4248" spans="1:38" x14ac:dyDescent="0.2">
      <c r="A4248" s="8">
        <v>2026</v>
      </c>
      <c r="B4248" s="8">
        <v>6</v>
      </c>
      <c r="C4248" s="8"/>
      <c r="D4248" s="2" t="s">
        <v>581</v>
      </c>
      <c r="P4248" s="2" t="s">
        <v>40</v>
      </c>
      <c r="Q4248" s="2" t="s">
        <v>363</v>
      </c>
      <c r="R4248" s="2" t="s">
        <v>364</v>
      </c>
      <c r="S4248" s="9">
        <v>1</v>
      </c>
      <c r="T4248" s="10">
        <v>87.5</v>
      </c>
      <c r="U4248" s="2">
        <f t="shared" si="658"/>
        <v>20.125</v>
      </c>
      <c r="V4248" s="10">
        <f t="shared" si="659"/>
        <v>107.625</v>
      </c>
      <c r="X4248" s="5">
        <f t="shared" si="660"/>
        <v>1</v>
      </c>
      <c r="Z4248" s="2" t="s">
        <v>119</v>
      </c>
      <c r="AA4248" s="2" t="s">
        <v>3380</v>
      </c>
      <c r="AI4248" s="2"/>
      <c r="AL4248" s="2"/>
    </row>
    <row r="4249" spans="1:38" x14ac:dyDescent="0.2">
      <c r="A4249" s="8">
        <v>2026</v>
      </c>
      <c r="B4249" s="8">
        <v>6</v>
      </c>
      <c r="C4249" s="8"/>
      <c r="D4249" s="2" t="s">
        <v>582</v>
      </c>
      <c r="E4249" s="2" t="s">
        <v>108</v>
      </c>
      <c r="G4249" s="2">
        <v>503850276</v>
      </c>
      <c r="H4249" s="2" t="s">
        <v>40</v>
      </c>
      <c r="I4249" s="2" t="s">
        <v>583</v>
      </c>
      <c r="J4249" s="2" t="s">
        <v>584</v>
      </c>
      <c r="L4249" s="2" t="s">
        <v>201</v>
      </c>
      <c r="M4249" s="2" t="s">
        <v>80</v>
      </c>
      <c r="P4249" s="2" t="s">
        <v>72</v>
      </c>
      <c r="Q4249" s="2" t="s">
        <v>1072</v>
      </c>
      <c r="R4249" s="2" t="s">
        <v>381</v>
      </c>
      <c r="S4249" s="9">
        <v>1</v>
      </c>
      <c r="T4249" s="10">
        <v>257.60000000000002</v>
      </c>
      <c r="U4249" s="2">
        <f t="shared" si="658"/>
        <v>59.248000000000005</v>
      </c>
      <c r="V4249" s="10">
        <f t="shared" si="659"/>
        <v>316.84800000000001</v>
      </c>
      <c r="W4249" s="2">
        <f>130.03+6.8</f>
        <v>136.83000000000001</v>
      </c>
      <c r="X4249" s="5">
        <f t="shared" si="660"/>
        <v>0.46882763975155278</v>
      </c>
      <c r="Z4249" s="2" t="s">
        <v>3227</v>
      </c>
      <c r="AA4249" s="2" t="s">
        <v>75</v>
      </c>
      <c r="AB4249" s="2" t="s">
        <v>76</v>
      </c>
      <c r="AC4249" s="2" t="s">
        <v>77</v>
      </c>
      <c r="AF4249" s="2">
        <f>AJ4249</f>
        <v>0</v>
      </c>
      <c r="AG4249" s="2">
        <v>125.51600000000001</v>
      </c>
      <c r="AH4249" s="2">
        <v>220</v>
      </c>
      <c r="AI4249" s="2"/>
      <c r="AJ4249" s="2">
        <f>AI4249*T4249</f>
        <v>0</v>
      </c>
      <c r="AK4249" s="2">
        <f t="shared" ref="AK4249:AK4260" si="661">T4249-W4249</f>
        <v>120.77000000000001</v>
      </c>
      <c r="AL4249" s="5">
        <f t="shared" ref="AL4249:AL4260" si="662">(T4249-W4249)/T4249</f>
        <v>0.46882763975155278</v>
      </c>
    </row>
    <row r="4250" spans="1:38" x14ac:dyDescent="0.2">
      <c r="A4250" s="8">
        <v>2026</v>
      </c>
      <c r="B4250" s="8">
        <v>6</v>
      </c>
      <c r="C4250" s="8"/>
      <c r="D4250" s="2" t="s">
        <v>582</v>
      </c>
      <c r="E4250" s="2" t="s">
        <v>108</v>
      </c>
      <c r="G4250" s="2">
        <v>503850276</v>
      </c>
      <c r="H4250" s="2" t="s">
        <v>40</v>
      </c>
      <c r="I4250" s="2" t="s">
        <v>583</v>
      </c>
      <c r="J4250" s="2" t="s">
        <v>584</v>
      </c>
      <c r="L4250" s="2" t="s">
        <v>201</v>
      </c>
      <c r="M4250" s="2" t="s">
        <v>80</v>
      </c>
      <c r="O4250" s="2" t="s">
        <v>3162</v>
      </c>
      <c r="P4250" s="2" t="s">
        <v>1038</v>
      </c>
      <c r="Q4250" s="2" t="s">
        <v>2742</v>
      </c>
      <c r="R4250" s="2" t="s">
        <v>2743</v>
      </c>
      <c r="S4250" s="9">
        <v>1</v>
      </c>
      <c r="T4250" s="10">
        <v>414</v>
      </c>
      <c r="U4250" s="2">
        <f t="shared" si="658"/>
        <v>95.22</v>
      </c>
      <c r="V4250" s="2">
        <f t="shared" si="659"/>
        <v>509.22</v>
      </c>
      <c r="W4250" s="2">
        <v>270.60000000000002</v>
      </c>
      <c r="X4250" s="5">
        <f t="shared" si="660"/>
        <v>0.34637681159420286</v>
      </c>
      <c r="Z4250" s="2" t="s">
        <v>3227</v>
      </c>
      <c r="AA4250" s="2" t="s">
        <v>75</v>
      </c>
      <c r="AB4250" s="2" t="s">
        <v>76</v>
      </c>
      <c r="AC4250" s="2" t="s">
        <v>1038</v>
      </c>
      <c r="AF4250" s="2">
        <f>AJ4250</f>
        <v>0</v>
      </c>
      <c r="AG4250" s="2">
        <v>270.60000000000002</v>
      </c>
      <c r="AI4250" s="2"/>
      <c r="AJ4250" s="2">
        <f>AI4250*T4250</f>
        <v>0</v>
      </c>
      <c r="AK4250" s="2">
        <f t="shared" si="661"/>
        <v>143.39999999999998</v>
      </c>
      <c r="AL4250" s="5">
        <f t="shared" si="662"/>
        <v>0.34637681159420286</v>
      </c>
    </row>
    <row r="4251" spans="1:38" x14ac:dyDescent="0.2">
      <c r="A4251" s="8">
        <v>2026</v>
      </c>
      <c r="B4251" s="8">
        <v>6</v>
      </c>
      <c r="C4251" s="8"/>
      <c r="D4251" s="2" t="s">
        <v>582</v>
      </c>
      <c r="E4251" s="2" t="s">
        <v>108</v>
      </c>
      <c r="G4251" s="2">
        <v>503850276</v>
      </c>
      <c r="H4251" s="2" t="s">
        <v>40</v>
      </c>
      <c r="I4251" s="2" t="s">
        <v>583</v>
      </c>
      <c r="J4251" s="2" t="s">
        <v>584</v>
      </c>
      <c r="L4251" s="2" t="s">
        <v>201</v>
      </c>
      <c r="M4251" s="2" t="s">
        <v>80</v>
      </c>
      <c r="P4251" s="2" t="s">
        <v>93</v>
      </c>
      <c r="Q4251" s="2" t="s">
        <v>94</v>
      </c>
      <c r="R4251" s="2" t="s">
        <v>95</v>
      </c>
      <c r="S4251" s="9">
        <v>2</v>
      </c>
      <c r="T4251" s="10">
        <v>2.96</v>
      </c>
      <c r="U4251" s="2">
        <f t="shared" si="658"/>
        <v>0.68080000000000007</v>
      </c>
      <c r="V4251" s="10">
        <f t="shared" si="659"/>
        <v>3.6408</v>
      </c>
      <c r="W4251" s="2">
        <f>1.48*S4251</f>
        <v>2.96</v>
      </c>
      <c r="X4251" s="5">
        <f t="shared" si="660"/>
        <v>0</v>
      </c>
      <c r="Z4251" s="2" t="s">
        <v>3227</v>
      </c>
      <c r="AA4251" s="2" t="s">
        <v>96</v>
      </c>
      <c r="AB4251" s="2" t="s">
        <v>76</v>
      </c>
      <c r="AC4251" s="2" t="s">
        <v>93</v>
      </c>
      <c r="AF4251" s="2">
        <f>AJ4251</f>
        <v>0</v>
      </c>
      <c r="AG4251" s="2">
        <v>1.48</v>
      </c>
      <c r="AH4251" s="2">
        <v>1.48</v>
      </c>
      <c r="AI4251" s="2"/>
      <c r="AJ4251" s="2">
        <f>AI4251*T4251</f>
        <v>0</v>
      </c>
      <c r="AK4251" s="2">
        <f t="shared" si="661"/>
        <v>0</v>
      </c>
      <c r="AL4251" s="5">
        <f t="shared" si="662"/>
        <v>0</v>
      </c>
    </row>
    <row r="4252" spans="1:38" x14ac:dyDescent="0.2">
      <c r="A4252" s="8">
        <v>2026</v>
      </c>
      <c r="B4252" s="8">
        <v>6</v>
      </c>
      <c r="C4252" s="8"/>
      <c r="D4252" s="2" t="s">
        <v>588</v>
      </c>
      <c r="E4252" s="2" t="s">
        <v>38</v>
      </c>
      <c r="F4252" s="2" t="s">
        <v>39</v>
      </c>
      <c r="G4252" s="2">
        <v>510339298</v>
      </c>
      <c r="H4252" s="2" t="s">
        <v>41</v>
      </c>
      <c r="I4252" s="2" t="s">
        <v>177</v>
      </c>
      <c r="J4252" s="2" t="s">
        <v>589</v>
      </c>
      <c r="L4252" s="2" t="s">
        <v>177</v>
      </c>
      <c r="P4252" s="2" t="s">
        <v>43</v>
      </c>
      <c r="Q4252" s="2" t="s">
        <v>160</v>
      </c>
      <c r="R4252" s="2" t="s">
        <v>161</v>
      </c>
      <c r="S4252" s="9">
        <v>1</v>
      </c>
      <c r="T4252" s="10">
        <v>9</v>
      </c>
      <c r="U4252" s="2">
        <f t="shared" si="658"/>
        <v>2.0700000000000003</v>
      </c>
      <c r="V4252" s="10">
        <f t="shared" si="659"/>
        <v>11.07</v>
      </c>
      <c r="W4252" s="2">
        <f>3.7358*S4252</f>
        <v>3.7357999999999998</v>
      </c>
      <c r="X4252" s="5">
        <f t="shared" si="660"/>
        <v>0.58491111111111116</v>
      </c>
      <c r="Z4252" s="2" t="s">
        <v>3227</v>
      </c>
      <c r="AA4252" s="2" t="s">
        <v>46</v>
      </c>
      <c r="AB4252" s="2" t="s">
        <v>47</v>
      </c>
      <c r="AC4252" s="2" t="s">
        <v>57</v>
      </c>
      <c r="AI4252" s="2"/>
      <c r="AK4252" s="2">
        <f t="shared" si="661"/>
        <v>5.2642000000000007</v>
      </c>
      <c r="AL4252" s="5">
        <f t="shared" si="662"/>
        <v>0.58491111111111116</v>
      </c>
    </row>
    <row r="4253" spans="1:38" x14ac:dyDescent="0.2">
      <c r="A4253" s="8">
        <v>2026</v>
      </c>
      <c r="B4253" s="8">
        <v>6</v>
      </c>
      <c r="C4253" s="8"/>
      <c r="D4253" s="2" t="s">
        <v>606</v>
      </c>
      <c r="E4253" s="2" t="s">
        <v>108</v>
      </c>
      <c r="F4253" s="2" t="s">
        <v>39</v>
      </c>
      <c r="G4253" s="2">
        <v>504822187</v>
      </c>
      <c r="H4253" s="2" t="s">
        <v>109</v>
      </c>
      <c r="I4253" s="2" t="s">
        <v>607</v>
      </c>
      <c r="J4253" s="2" t="s">
        <v>608</v>
      </c>
      <c r="K4253" s="2">
        <v>966216853</v>
      </c>
      <c r="L4253" s="2" t="s">
        <v>461</v>
      </c>
      <c r="P4253" s="2" t="s">
        <v>72</v>
      </c>
      <c r="Q4253" s="2" t="s">
        <v>912</v>
      </c>
      <c r="R4253" s="2" t="s">
        <v>74</v>
      </c>
      <c r="S4253" s="9">
        <v>1</v>
      </c>
      <c r="T4253" s="10">
        <v>211.6</v>
      </c>
      <c r="U4253" s="2">
        <f t="shared" si="658"/>
        <v>48.667999999999999</v>
      </c>
      <c r="V4253" s="10">
        <f t="shared" si="659"/>
        <v>260.26799999999997</v>
      </c>
      <c r="W4253" s="2">
        <f>115.92+6.06</f>
        <v>121.98</v>
      </c>
      <c r="X4253" s="5">
        <f t="shared" si="660"/>
        <v>0.42353497164461246</v>
      </c>
      <c r="Z4253" s="2" t="s">
        <v>3227</v>
      </c>
      <c r="AA4253" s="2" t="s">
        <v>75</v>
      </c>
      <c r="AB4253" s="2" t="s">
        <v>76</v>
      </c>
      <c r="AC4253" s="2" t="s">
        <v>77</v>
      </c>
      <c r="AF4253" s="2">
        <f>AJ4253</f>
        <v>0</v>
      </c>
      <c r="AG4253" s="2">
        <v>125.51600000000001</v>
      </c>
      <c r="AH4253" s="2">
        <v>220</v>
      </c>
      <c r="AI4253" s="2"/>
      <c r="AJ4253" s="2">
        <f>AI4253*T4253</f>
        <v>0</v>
      </c>
      <c r="AK4253" s="2">
        <f t="shared" si="661"/>
        <v>89.61999999999999</v>
      </c>
      <c r="AL4253" s="5">
        <f t="shared" si="662"/>
        <v>0.42353497164461246</v>
      </c>
    </row>
    <row r="4254" spans="1:38" x14ac:dyDescent="0.2">
      <c r="A4254" s="8">
        <v>2026</v>
      </c>
      <c r="B4254" s="8">
        <v>6</v>
      </c>
      <c r="C4254" s="8"/>
      <c r="D4254" s="2" t="s">
        <v>606</v>
      </c>
      <c r="E4254" s="2" t="s">
        <v>108</v>
      </c>
      <c r="F4254" s="2" t="s">
        <v>39</v>
      </c>
      <c r="G4254" s="2">
        <v>504822187</v>
      </c>
      <c r="H4254" s="2" t="s">
        <v>109</v>
      </c>
      <c r="I4254" s="2" t="s">
        <v>607</v>
      </c>
      <c r="J4254" s="2" t="s">
        <v>608</v>
      </c>
      <c r="K4254" s="2">
        <v>966216853</v>
      </c>
      <c r="L4254" s="2" t="s">
        <v>461</v>
      </c>
      <c r="P4254" s="2" t="s">
        <v>93</v>
      </c>
      <c r="Q4254" s="2" t="s">
        <v>94</v>
      </c>
      <c r="R4254" s="2" t="s">
        <v>95</v>
      </c>
      <c r="S4254" s="9">
        <v>1</v>
      </c>
      <c r="T4254" s="10">
        <v>1.48</v>
      </c>
      <c r="U4254" s="2">
        <f t="shared" si="658"/>
        <v>0.34040000000000004</v>
      </c>
      <c r="V4254" s="10">
        <f t="shared" si="659"/>
        <v>1.8204</v>
      </c>
      <c r="W4254" s="2">
        <f>1.48*S4254</f>
        <v>1.48</v>
      </c>
      <c r="X4254" s="5">
        <f t="shared" si="660"/>
        <v>0</v>
      </c>
      <c r="Z4254" s="2" t="s">
        <v>3227</v>
      </c>
      <c r="AA4254" s="2" t="s">
        <v>96</v>
      </c>
      <c r="AB4254" s="2" t="s">
        <v>76</v>
      </c>
      <c r="AC4254" s="2" t="s">
        <v>93</v>
      </c>
      <c r="AF4254" s="2">
        <f>AJ4254</f>
        <v>0</v>
      </c>
      <c r="AG4254" s="2">
        <v>1.48</v>
      </c>
      <c r="AH4254" s="2">
        <v>1.48</v>
      </c>
      <c r="AI4254" s="2"/>
      <c r="AJ4254" s="2">
        <f>AI4254*T4254</f>
        <v>0</v>
      </c>
      <c r="AK4254" s="2">
        <f t="shared" si="661"/>
        <v>0</v>
      </c>
      <c r="AL4254" s="5">
        <f t="shared" si="662"/>
        <v>0</v>
      </c>
    </row>
    <row r="4255" spans="1:38" x14ac:dyDescent="0.2">
      <c r="A4255" s="8">
        <v>2026</v>
      </c>
      <c r="B4255" s="8">
        <v>6</v>
      </c>
      <c r="C4255" s="8"/>
      <c r="D4255" s="2" t="s">
        <v>609</v>
      </c>
      <c r="P4255" s="2" t="s">
        <v>43</v>
      </c>
      <c r="Q4255" s="2" t="s">
        <v>61</v>
      </c>
      <c r="R4255" s="2" t="s">
        <v>62</v>
      </c>
      <c r="S4255" s="9">
        <v>100</v>
      </c>
      <c r="T4255" s="10">
        <v>13</v>
      </c>
      <c r="U4255" s="2">
        <f t="shared" si="658"/>
        <v>2.99</v>
      </c>
      <c r="V4255" s="10">
        <f t="shared" si="659"/>
        <v>15.99</v>
      </c>
      <c r="W4255" s="2">
        <f>0.082*S4255</f>
        <v>8.2000000000000011</v>
      </c>
      <c r="X4255" s="5">
        <f t="shared" si="660"/>
        <v>0.36923076923076914</v>
      </c>
      <c r="Z4255" s="2" t="s">
        <v>3227</v>
      </c>
      <c r="AA4255" s="2" t="s">
        <v>46</v>
      </c>
      <c r="AB4255" s="2" t="s">
        <v>60</v>
      </c>
      <c r="AC4255" s="2" t="s">
        <v>57</v>
      </c>
      <c r="AI4255" s="2"/>
      <c r="AK4255" s="2">
        <f t="shared" si="661"/>
        <v>4.7999999999999989</v>
      </c>
      <c r="AL4255" s="5">
        <f t="shared" si="662"/>
        <v>0.36923076923076914</v>
      </c>
    </row>
    <row r="4256" spans="1:38" x14ac:dyDescent="0.2">
      <c r="A4256" s="8">
        <v>2026</v>
      </c>
      <c r="B4256" s="8">
        <v>6</v>
      </c>
      <c r="C4256" s="8"/>
      <c r="D4256" s="2" t="s">
        <v>613</v>
      </c>
      <c r="P4256" s="2" t="s">
        <v>43</v>
      </c>
      <c r="Q4256" s="2" t="s">
        <v>58</v>
      </c>
      <c r="R4256" s="2" t="s">
        <v>59</v>
      </c>
      <c r="S4256" s="2">
        <v>1000</v>
      </c>
      <c r="T4256" s="10">
        <v>130</v>
      </c>
      <c r="U4256" s="2">
        <f t="shared" si="658"/>
        <v>29.900000000000002</v>
      </c>
      <c r="V4256" s="10">
        <f t="shared" si="659"/>
        <v>159.9</v>
      </c>
      <c r="W4256" s="2">
        <f>0.0914*S4256</f>
        <v>91.399999999999991</v>
      </c>
      <c r="X4256" s="5">
        <f t="shared" si="660"/>
        <v>0.29692307692307701</v>
      </c>
      <c r="Z4256" s="2" t="s">
        <v>3227</v>
      </c>
      <c r="AA4256" s="2" t="s">
        <v>46</v>
      </c>
      <c r="AB4256" s="2" t="s">
        <v>60</v>
      </c>
      <c r="AC4256" s="2" t="s">
        <v>57</v>
      </c>
      <c r="AF4256" s="2">
        <f>AJ4256</f>
        <v>0</v>
      </c>
      <c r="AG4256" s="2">
        <v>9.14</v>
      </c>
      <c r="AH4256" s="2">
        <v>16</v>
      </c>
      <c r="AI4256" s="2"/>
      <c r="AK4256" s="2">
        <f t="shared" si="661"/>
        <v>38.600000000000009</v>
      </c>
      <c r="AL4256" s="5">
        <f t="shared" si="662"/>
        <v>0.29692307692307701</v>
      </c>
    </row>
    <row r="4257" spans="1:38" x14ac:dyDescent="0.2">
      <c r="A4257" s="8">
        <v>2026</v>
      </c>
      <c r="B4257" s="8">
        <v>6</v>
      </c>
      <c r="C4257" s="8"/>
      <c r="D4257" s="2" t="s">
        <v>1295</v>
      </c>
      <c r="E4257" s="2" t="s">
        <v>183</v>
      </c>
      <c r="F4257" s="2" t="s">
        <v>366</v>
      </c>
      <c r="G4257" s="2">
        <v>500625654</v>
      </c>
      <c r="H4257" s="2" t="s">
        <v>290</v>
      </c>
      <c r="I4257" s="2" t="s">
        <v>339</v>
      </c>
      <c r="J4257" s="2" t="s">
        <v>1296</v>
      </c>
      <c r="L4257" s="2" t="s">
        <v>339</v>
      </c>
      <c r="M4257" s="2" t="s">
        <v>80</v>
      </c>
      <c r="O4257" s="2" t="s">
        <v>3196</v>
      </c>
      <c r="P4257" s="2" t="s">
        <v>72</v>
      </c>
      <c r="Q4257" s="2" t="s">
        <v>533</v>
      </c>
      <c r="R4257" s="2" t="s">
        <v>534</v>
      </c>
      <c r="S4257" s="9">
        <v>1</v>
      </c>
      <c r="T4257" s="10">
        <v>203.7</v>
      </c>
      <c r="U4257" s="2">
        <f t="shared" si="658"/>
        <v>46.850999999999999</v>
      </c>
      <c r="V4257" s="10">
        <f t="shared" si="659"/>
        <v>250.55099999999999</v>
      </c>
      <c r="W4257" s="2">
        <f>110.125+11.77</f>
        <v>121.895</v>
      </c>
      <c r="X4257" s="5">
        <f t="shared" si="660"/>
        <v>0.4015954835542464</v>
      </c>
      <c r="Z4257" s="2" t="s">
        <v>3227</v>
      </c>
      <c r="AA4257" s="2" t="s">
        <v>75</v>
      </c>
      <c r="AB4257" s="2" t="s">
        <v>76</v>
      </c>
      <c r="AC4257" s="2" t="s">
        <v>77</v>
      </c>
      <c r="AF4257" s="2">
        <f>AJ4257</f>
        <v>0</v>
      </c>
      <c r="AG4257" s="2">
        <f>110.125+11.77</f>
        <v>121.895</v>
      </c>
      <c r="AH4257" s="2">
        <v>220</v>
      </c>
      <c r="AI4257" s="2"/>
      <c r="AJ4257" s="2">
        <f>AI4257*T4257</f>
        <v>0</v>
      </c>
      <c r="AK4257" s="2">
        <f t="shared" si="661"/>
        <v>81.804999999999993</v>
      </c>
      <c r="AL4257" s="5">
        <f t="shared" si="662"/>
        <v>0.4015954835542464</v>
      </c>
    </row>
    <row r="4258" spans="1:38" x14ac:dyDescent="0.2">
      <c r="A4258" s="8">
        <v>2026</v>
      </c>
      <c r="B4258" s="8">
        <v>6</v>
      </c>
      <c r="C4258" s="8"/>
      <c r="D4258" s="2" t="s">
        <v>1295</v>
      </c>
      <c r="E4258" s="2" t="s">
        <v>183</v>
      </c>
      <c r="F4258" s="2" t="s">
        <v>366</v>
      </c>
      <c r="G4258" s="2">
        <v>500625654</v>
      </c>
      <c r="H4258" s="2" t="s">
        <v>290</v>
      </c>
      <c r="I4258" s="2" t="s">
        <v>339</v>
      </c>
      <c r="J4258" s="2" t="s">
        <v>1296</v>
      </c>
      <c r="L4258" s="2" t="s">
        <v>339</v>
      </c>
      <c r="M4258" s="2" t="s">
        <v>80</v>
      </c>
      <c r="P4258" s="2" t="s">
        <v>93</v>
      </c>
      <c r="Q4258" s="2" t="s">
        <v>94</v>
      </c>
      <c r="R4258" s="2" t="s">
        <v>95</v>
      </c>
      <c r="S4258" s="9">
        <v>1</v>
      </c>
      <c r="T4258" s="10">
        <v>1.48</v>
      </c>
      <c r="U4258" s="2">
        <f t="shared" si="658"/>
        <v>0.34040000000000004</v>
      </c>
      <c r="V4258" s="10">
        <f t="shared" si="659"/>
        <v>1.8204</v>
      </c>
      <c r="W4258" s="2">
        <f>1.48*S4258</f>
        <v>1.48</v>
      </c>
      <c r="X4258" s="5">
        <f t="shared" si="660"/>
        <v>0</v>
      </c>
      <c r="Z4258" s="2" t="s">
        <v>3227</v>
      </c>
      <c r="AA4258" s="2" t="s">
        <v>96</v>
      </c>
      <c r="AB4258" s="2" t="s">
        <v>76</v>
      </c>
      <c r="AC4258" s="2" t="s">
        <v>93</v>
      </c>
      <c r="AF4258" s="2">
        <f>AJ4258</f>
        <v>0</v>
      </c>
      <c r="AG4258" s="2">
        <v>1.48</v>
      </c>
      <c r="AH4258" s="2">
        <v>1.48</v>
      </c>
      <c r="AI4258" s="2"/>
      <c r="AJ4258" s="2">
        <f>AI4258*T4258</f>
        <v>0</v>
      </c>
      <c r="AK4258" s="2">
        <f t="shared" si="661"/>
        <v>0</v>
      </c>
      <c r="AL4258" s="5">
        <f t="shared" si="662"/>
        <v>0</v>
      </c>
    </row>
    <row r="4259" spans="1:38" x14ac:dyDescent="0.2">
      <c r="A4259" s="8">
        <v>2026</v>
      </c>
      <c r="B4259" s="8">
        <v>6</v>
      </c>
      <c r="C4259" s="8" t="s">
        <v>3392</v>
      </c>
      <c r="D4259" s="2" t="s">
        <v>624</v>
      </c>
      <c r="E4259" s="2" t="s">
        <v>38</v>
      </c>
      <c r="F4259" s="2" t="s">
        <v>39</v>
      </c>
      <c r="G4259" s="2" t="s">
        <v>625</v>
      </c>
      <c r="H4259" s="2" t="s">
        <v>40</v>
      </c>
      <c r="I4259" s="2" t="s">
        <v>626</v>
      </c>
      <c r="J4259" s="2" t="s">
        <v>627</v>
      </c>
      <c r="L4259" s="2" t="s">
        <v>626</v>
      </c>
      <c r="M4259" s="2" t="s">
        <v>40</v>
      </c>
      <c r="P4259" s="2" t="s">
        <v>114</v>
      </c>
      <c r="Q4259" s="2" t="s">
        <v>904</v>
      </c>
      <c r="R4259" s="2" t="s">
        <v>905</v>
      </c>
      <c r="S4259" s="9">
        <v>1</v>
      </c>
      <c r="T4259" s="10">
        <v>465.7</v>
      </c>
      <c r="V4259" s="2">
        <f>T4259</f>
        <v>465.7</v>
      </c>
      <c r="W4259" s="2">
        <v>345.20339999999999</v>
      </c>
      <c r="X4259" s="5">
        <f t="shared" si="660"/>
        <v>0.25874296757569254</v>
      </c>
      <c r="Z4259" s="2" t="s">
        <v>117</v>
      </c>
      <c r="AA4259" s="2" t="s">
        <v>181</v>
      </c>
      <c r="AB4259" s="2" t="s">
        <v>119</v>
      </c>
      <c r="AC4259" s="2" t="s">
        <v>114</v>
      </c>
      <c r="AI4259" s="2"/>
      <c r="AK4259" s="2">
        <f t="shared" si="661"/>
        <v>120.4966</v>
      </c>
      <c r="AL4259" s="5">
        <f t="shared" si="662"/>
        <v>0.25874296757569254</v>
      </c>
    </row>
    <row r="4260" spans="1:38" x14ac:dyDescent="0.2">
      <c r="A4260" s="8">
        <v>2026</v>
      </c>
      <c r="B4260" s="8">
        <v>6</v>
      </c>
      <c r="C4260" s="8" t="s">
        <v>3378</v>
      </c>
      <c r="D4260" s="2" t="s">
        <v>1657</v>
      </c>
      <c r="E4260" s="2" t="s">
        <v>38</v>
      </c>
      <c r="F4260" s="2" t="s">
        <v>39</v>
      </c>
      <c r="L4260" s="2" t="s">
        <v>177</v>
      </c>
      <c r="M4260" s="2" t="s">
        <v>41</v>
      </c>
      <c r="P4260" s="2" t="s">
        <v>114</v>
      </c>
      <c r="Q4260" s="2" t="s">
        <v>1904</v>
      </c>
      <c r="R4260" s="2" t="s">
        <v>1905</v>
      </c>
      <c r="S4260" s="9">
        <v>1</v>
      </c>
      <c r="T4260" s="10">
        <v>23850</v>
      </c>
      <c r="U4260" s="2">
        <f t="shared" ref="U4260:U4277" si="663">T4260*23%</f>
        <v>5485.5</v>
      </c>
      <c r="V4260" s="2">
        <f t="shared" ref="V4260:V4276" si="664">T4260+U4260</f>
        <v>29335.5</v>
      </c>
      <c r="W4260" s="2">
        <f>16602.97+398</f>
        <v>17000.97</v>
      </c>
      <c r="X4260" s="5">
        <f t="shared" si="660"/>
        <v>0.28717106918238988</v>
      </c>
      <c r="Z4260" s="2" t="s">
        <v>104</v>
      </c>
      <c r="AA4260" s="2" t="s">
        <v>414</v>
      </c>
      <c r="AB4260" s="2" t="s">
        <v>151</v>
      </c>
      <c r="AC4260" s="2" t="s">
        <v>114</v>
      </c>
      <c r="AI4260" s="2"/>
      <c r="AK4260" s="2">
        <f t="shared" si="661"/>
        <v>6849.0299999999988</v>
      </c>
      <c r="AL4260" s="5">
        <f t="shared" si="662"/>
        <v>0.28717106918238988</v>
      </c>
    </row>
    <row r="4261" spans="1:38" x14ac:dyDescent="0.2">
      <c r="A4261" s="8">
        <v>2026</v>
      </c>
      <c r="B4261" s="8">
        <v>6</v>
      </c>
      <c r="C4261" s="8"/>
      <c r="D4261" s="2" t="s">
        <v>3107</v>
      </c>
      <c r="P4261" s="2" t="s">
        <v>114</v>
      </c>
      <c r="Q4261" s="2" t="s">
        <v>3093</v>
      </c>
      <c r="R4261" s="2" t="s">
        <v>3094</v>
      </c>
      <c r="S4261" s="9">
        <v>1</v>
      </c>
      <c r="T4261" s="10">
        <v>750.56</v>
      </c>
      <c r="U4261" s="2">
        <f t="shared" si="663"/>
        <v>172.62879999999998</v>
      </c>
      <c r="V4261" s="2">
        <f t="shared" si="664"/>
        <v>923.1887999999999</v>
      </c>
      <c r="W4261" s="2">
        <f>376.4</f>
        <v>376.4</v>
      </c>
      <c r="X4261" s="5">
        <f t="shared" si="660"/>
        <v>0.49850778085696013</v>
      </c>
      <c r="Z4261" s="2" t="s">
        <v>117</v>
      </c>
      <c r="AA4261" s="2" t="s">
        <v>118</v>
      </c>
      <c r="AB4261" s="2" t="s">
        <v>119</v>
      </c>
      <c r="AC4261" s="2" t="s">
        <v>114</v>
      </c>
      <c r="AI4261" s="2"/>
      <c r="AL4261" s="2"/>
    </row>
    <row r="4262" spans="1:38" x14ac:dyDescent="0.2">
      <c r="A4262" s="8">
        <v>2026</v>
      </c>
      <c r="B4262" s="8">
        <v>6</v>
      </c>
      <c r="C4262" s="8"/>
      <c r="D4262" s="2" t="s">
        <v>3107</v>
      </c>
      <c r="M4262" s="2" t="s">
        <v>40</v>
      </c>
      <c r="P4262" s="2" t="s">
        <v>187</v>
      </c>
      <c r="Q4262" s="2" t="s">
        <v>188</v>
      </c>
      <c r="R4262" s="2" t="s">
        <v>189</v>
      </c>
      <c r="S4262" s="9">
        <v>1</v>
      </c>
      <c r="T4262" s="10">
        <v>55</v>
      </c>
      <c r="U4262" s="2">
        <f t="shared" si="663"/>
        <v>12.65</v>
      </c>
      <c r="V4262" s="2">
        <f t="shared" si="664"/>
        <v>67.650000000000006</v>
      </c>
      <c r="W4262" s="2">
        <f>T4262*40%</f>
        <v>22</v>
      </c>
      <c r="X4262" s="5">
        <f t="shared" si="660"/>
        <v>0.6</v>
      </c>
      <c r="Z4262" s="2" t="s">
        <v>117</v>
      </c>
      <c r="AA4262" s="2" t="s">
        <v>190</v>
      </c>
      <c r="AB4262" s="2" t="s">
        <v>189</v>
      </c>
      <c r="AC4262" s="2" t="s">
        <v>40</v>
      </c>
      <c r="AG4262" s="2">
        <f>W4262</f>
        <v>22</v>
      </c>
      <c r="AI4262" s="2"/>
      <c r="AJ4262" s="2">
        <f>AI4262*T4262</f>
        <v>0</v>
      </c>
      <c r="AK4262" s="2">
        <f t="shared" ref="AK4262:AK4274" si="665">T4262-W4262</f>
        <v>33</v>
      </c>
      <c r="AL4262" s="5">
        <f t="shared" ref="AL4262:AL4274" si="666">(T4262-W4262)/T4262</f>
        <v>0.6</v>
      </c>
    </row>
    <row r="4263" spans="1:38" x14ac:dyDescent="0.2">
      <c r="A4263" s="8">
        <v>2026</v>
      </c>
      <c r="B4263" s="8">
        <v>6</v>
      </c>
      <c r="C4263" s="8"/>
      <c r="D4263" s="2" t="s">
        <v>3107</v>
      </c>
      <c r="M4263" s="2" t="s">
        <v>40</v>
      </c>
      <c r="P4263" s="2" t="s">
        <v>187</v>
      </c>
      <c r="Q4263" s="2" t="s">
        <v>191</v>
      </c>
      <c r="R4263" s="2" t="s">
        <v>190</v>
      </c>
      <c r="S4263" s="9">
        <v>1</v>
      </c>
      <c r="T4263" s="10">
        <v>55</v>
      </c>
      <c r="U4263" s="2">
        <f t="shared" si="663"/>
        <v>12.65</v>
      </c>
      <c r="V4263" s="2">
        <f t="shared" si="664"/>
        <v>67.650000000000006</v>
      </c>
      <c r="W4263" s="2">
        <f>T4263*50%</f>
        <v>27.5</v>
      </c>
      <c r="X4263" s="5">
        <f t="shared" si="660"/>
        <v>0.5</v>
      </c>
      <c r="Z4263" s="2" t="s">
        <v>117</v>
      </c>
      <c r="AA4263" s="2" t="s">
        <v>190</v>
      </c>
      <c r="AB4263" s="2" t="s">
        <v>190</v>
      </c>
      <c r="AC4263" s="2" t="s">
        <v>40</v>
      </c>
      <c r="AF4263" s="2">
        <f>AJ4263</f>
        <v>0</v>
      </c>
      <c r="AG4263" s="2">
        <f>W4263</f>
        <v>27.5</v>
      </c>
      <c r="AI4263" s="2"/>
      <c r="AJ4263" s="2">
        <f>AI4263*T4263</f>
        <v>0</v>
      </c>
      <c r="AK4263" s="2">
        <f t="shared" si="665"/>
        <v>27.5</v>
      </c>
      <c r="AL4263" s="5">
        <f t="shared" si="666"/>
        <v>0.5</v>
      </c>
    </row>
    <row r="4264" spans="1:38" x14ac:dyDescent="0.2">
      <c r="A4264" s="8">
        <v>2026</v>
      </c>
      <c r="B4264" s="8">
        <v>6</v>
      </c>
      <c r="C4264" s="8" t="s">
        <v>3323</v>
      </c>
      <c r="D4264" s="2" t="s">
        <v>909</v>
      </c>
      <c r="E4264" s="2" t="s">
        <v>38</v>
      </c>
      <c r="F4264" s="2" t="s">
        <v>39</v>
      </c>
      <c r="H4264" s="2" t="s">
        <v>109</v>
      </c>
      <c r="I4264" s="2" t="s">
        <v>133</v>
      </c>
      <c r="L4264" s="2" t="s">
        <v>133</v>
      </c>
      <c r="M4264" s="2" t="s">
        <v>40</v>
      </c>
      <c r="P4264" s="2" t="s">
        <v>187</v>
      </c>
      <c r="Q4264" s="2" t="s">
        <v>188</v>
      </c>
      <c r="R4264" s="2" t="s">
        <v>189</v>
      </c>
      <c r="S4264" s="9">
        <v>1</v>
      </c>
      <c r="T4264" s="10">
        <v>114</v>
      </c>
      <c r="U4264" s="2">
        <f t="shared" si="663"/>
        <v>26.220000000000002</v>
      </c>
      <c r="V4264" s="2">
        <f t="shared" si="664"/>
        <v>140.22</v>
      </c>
      <c r="W4264" s="2">
        <f>T4264*40%</f>
        <v>45.6</v>
      </c>
      <c r="X4264" s="5">
        <f t="shared" si="660"/>
        <v>0.60000000000000009</v>
      </c>
      <c r="Z4264" s="2" t="s">
        <v>117</v>
      </c>
      <c r="AA4264" s="2" t="s">
        <v>190</v>
      </c>
      <c r="AB4264" s="2" t="s">
        <v>189</v>
      </c>
      <c r="AC4264" s="2" t="s">
        <v>40</v>
      </c>
      <c r="AG4264" s="2">
        <f>W4264</f>
        <v>45.6</v>
      </c>
      <c r="AI4264" s="2"/>
      <c r="AJ4264" s="2">
        <f>AI4264*T4264</f>
        <v>0</v>
      </c>
      <c r="AK4264" s="2">
        <f t="shared" si="665"/>
        <v>68.400000000000006</v>
      </c>
      <c r="AL4264" s="5">
        <f t="shared" si="666"/>
        <v>0.60000000000000009</v>
      </c>
    </row>
    <row r="4265" spans="1:38" x14ac:dyDescent="0.2">
      <c r="A4265" s="8">
        <v>2026</v>
      </c>
      <c r="B4265" s="8">
        <v>6</v>
      </c>
      <c r="C4265" s="8" t="s">
        <v>3323</v>
      </c>
      <c r="D4265" s="2" t="s">
        <v>909</v>
      </c>
      <c r="E4265" s="2" t="s">
        <v>38</v>
      </c>
      <c r="F4265" s="2" t="s">
        <v>39</v>
      </c>
      <c r="H4265" s="2" t="s">
        <v>109</v>
      </c>
      <c r="I4265" s="2" t="s">
        <v>133</v>
      </c>
      <c r="L4265" s="2" t="s">
        <v>133</v>
      </c>
      <c r="M4265" s="2" t="s">
        <v>40</v>
      </c>
      <c r="P4265" s="2" t="s">
        <v>187</v>
      </c>
      <c r="Q4265" s="2" t="s">
        <v>191</v>
      </c>
      <c r="R4265" s="2" t="s">
        <v>190</v>
      </c>
      <c r="S4265" s="9">
        <v>1</v>
      </c>
      <c r="T4265" s="10">
        <v>49.5</v>
      </c>
      <c r="U4265" s="2">
        <f t="shared" si="663"/>
        <v>11.385</v>
      </c>
      <c r="V4265" s="2">
        <f t="shared" si="664"/>
        <v>60.884999999999998</v>
      </c>
      <c r="W4265" s="2">
        <f>T4265*50%</f>
        <v>24.75</v>
      </c>
      <c r="X4265" s="5">
        <f t="shared" si="660"/>
        <v>0.5</v>
      </c>
      <c r="Z4265" s="2" t="s">
        <v>117</v>
      </c>
      <c r="AA4265" s="2" t="s">
        <v>190</v>
      </c>
      <c r="AB4265" s="2" t="s">
        <v>190</v>
      </c>
      <c r="AC4265" s="2" t="s">
        <v>40</v>
      </c>
      <c r="AF4265" s="2">
        <f>AJ4265</f>
        <v>0</v>
      </c>
      <c r="AG4265" s="2">
        <f>W4265</f>
        <v>24.75</v>
      </c>
      <c r="AI4265" s="2"/>
      <c r="AJ4265" s="2">
        <f>AI4265*T4265</f>
        <v>0</v>
      </c>
      <c r="AK4265" s="2">
        <f t="shared" si="665"/>
        <v>24.75</v>
      </c>
      <c r="AL4265" s="5">
        <f t="shared" si="666"/>
        <v>0.5</v>
      </c>
    </row>
    <row r="4266" spans="1:38" x14ac:dyDescent="0.2">
      <c r="A4266" s="8">
        <v>2026</v>
      </c>
      <c r="B4266" s="8">
        <v>6</v>
      </c>
      <c r="C4266" s="8" t="s">
        <v>3323</v>
      </c>
      <c r="D4266" s="2" t="s">
        <v>634</v>
      </c>
      <c r="E4266" s="2" t="s">
        <v>108</v>
      </c>
      <c r="F4266" s="2" t="s">
        <v>395</v>
      </c>
      <c r="G4266" s="2">
        <v>502967056</v>
      </c>
      <c r="H4266" s="2" t="s">
        <v>109</v>
      </c>
      <c r="I4266" s="2" t="s">
        <v>635</v>
      </c>
      <c r="J4266" s="2" t="s">
        <v>636</v>
      </c>
      <c r="L4266" s="2" t="s">
        <v>112</v>
      </c>
      <c r="M4266" s="2" t="s">
        <v>40</v>
      </c>
      <c r="P4266" s="2" t="s">
        <v>114</v>
      </c>
      <c r="Q4266" s="2" t="s">
        <v>179</v>
      </c>
      <c r="R4266" s="2" t="s">
        <v>180</v>
      </c>
      <c r="S4266" s="9">
        <v>1</v>
      </c>
      <c r="T4266" s="10">
        <v>599.4</v>
      </c>
      <c r="U4266" s="2">
        <f t="shared" si="663"/>
        <v>137.86199999999999</v>
      </c>
      <c r="V4266" s="2">
        <f t="shared" si="664"/>
        <v>737.26199999999994</v>
      </c>
      <c r="W4266" s="2">
        <v>346.57</v>
      </c>
      <c r="X4266" s="5">
        <f t="shared" si="660"/>
        <v>0.42180513847180512</v>
      </c>
      <c r="Z4266" s="2" t="s">
        <v>117</v>
      </c>
      <c r="AA4266" s="2" t="s">
        <v>181</v>
      </c>
      <c r="AB4266" s="2" t="s">
        <v>119</v>
      </c>
      <c r="AC4266" s="2" t="s">
        <v>114</v>
      </c>
      <c r="AI4266" s="2"/>
      <c r="AK4266" s="2">
        <f t="shared" si="665"/>
        <v>252.82999999999998</v>
      </c>
      <c r="AL4266" s="5">
        <f t="shared" si="666"/>
        <v>0.42180513847180512</v>
      </c>
    </row>
    <row r="4267" spans="1:38" x14ac:dyDescent="0.2">
      <c r="A4267" s="8">
        <v>2026</v>
      </c>
      <c r="B4267" s="8">
        <v>6</v>
      </c>
      <c r="C4267" s="8" t="s">
        <v>3323</v>
      </c>
      <c r="D4267" s="2" t="s">
        <v>634</v>
      </c>
      <c r="E4267" s="2" t="s">
        <v>108</v>
      </c>
      <c r="F4267" s="2" t="s">
        <v>395</v>
      </c>
      <c r="G4267" s="2">
        <v>502967056</v>
      </c>
      <c r="H4267" s="2" t="s">
        <v>109</v>
      </c>
      <c r="I4267" s="2" t="s">
        <v>635</v>
      </c>
      <c r="J4267" s="2" t="s">
        <v>636</v>
      </c>
      <c r="L4267" s="2" t="s">
        <v>112</v>
      </c>
      <c r="M4267" s="2" t="s">
        <v>109</v>
      </c>
      <c r="P4267" s="2" t="s">
        <v>114</v>
      </c>
      <c r="Q4267" s="2" t="s">
        <v>1578</v>
      </c>
      <c r="R4267" s="2" t="s">
        <v>1579</v>
      </c>
      <c r="S4267" s="9">
        <v>1</v>
      </c>
      <c r="T4267" s="10">
        <v>6990</v>
      </c>
      <c r="U4267" s="2">
        <f t="shared" si="663"/>
        <v>1607.7</v>
      </c>
      <c r="V4267" s="2">
        <f t="shared" si="664"/>
        <v>8597.7000000000007</v>
      </c>
      <c r="W4267" s="2">
        <f>4893.23+171</f>
        <v>5064.2299999999996</v>
      </c>
      <c r="X4267" s="5">
        <f t="shared" si="660"/>
        <v>0.27550357653791135</v>
      </c>
      <c r="Z4267" s="2" t="s">
        <v>104</v>
      </c>
      <c r="AA4267" s="2" t="s">
        <v>150</v>
      </c>
      <c r="AB4267" s="2" t="s">
        <v>151</v>
      </c>
      <c r="AC4267" s="2" t="s">
        <v>114</v>
      </c>
      <c r="AI4267" s="2"/>
      <c r="AK4267" s="2">
        <f t="shared" si="665"/>
        <v>1925.7700000000004</v>
      </c>
      <c r="AL4267" s="5">
        <f t="shared" si="666"/>
        <v>0.27550357653791135</v>
      </c>
    </row>
    <row r="4268" spans="1:38" x14ac:dyDescent="0.2">
      <c r="A4268" s="8">
        <v>2026</v>
      </c>
      <c r="B4268" s="8">
        <v>6</v>
      </c>
      <c r="C4268" s="8" t="s">
        <v>3323</v>
      </c>
      <c r="D4268" s="2" t="s">
        <v>3104</v>
      </c>
      <c r="E4268" s="2" t="s">
        <v>108</v>
      </c>
      <c r="F4268" s="2" t="s">
        <v>39</v>
      </c>
      <c r="H4268" s="2" t="s">
        <v>109</v>
      </c>
      <c r="L4268" s="2" t="s">
        <v>133</v>
      </c>
      <c r="M4268" s="2" t="s">
        <v>40</v>
      </c>
      <c r="P4268" s="2" t="s">
        <v>114</v>
      </c>
      <c r="Q4268" s="2" t="s">
        <v>904</v>
      </c>
      <c r="R4268" s="2" t="s">
        <v>905</v>
      </c>
      <c r="S4268" s="9">
        <v>1</v>
      </c>
      <c r="T4268" s="10">
        <v>699.3</v>
      </c>
      <c r="U4268" s="2">
        <f t="shared" si="663"/>
        <v>160.839</v>
      </c>
      <c r="V4268" s="2">
        <f t="shared" si="664"/>
        <v>860.1389999999999</v>
      </c>
      <c r="W4268" s="2">
        <v>345.20339999999999</v>
      </c>
      <c r="X4268" s="5">
        <f t="shared" si="660"/>
        <v>0.50635864435864431</v>
      </c>
      <c r="Z4268" s="2" t="s">
        <v>117</v>
      </c>
      <c r="AA4268" s="2" t="s">
        <v>181</v>
      </c>
      <c r="AB4268" s="2" t="s">
        <v>119</v>
      </c>
      <c r="AC4268" s="2" t="s">
        <v>114</v>
      </c>
      <c r="AI4268" s="2"/>
      <c r="AK4268" s="2">
        <f t="shared" si="665"/>
        <v>354.09659999999997</v>
      </c>
      <c r="AL4268" s="5">
        <f t="shared" si="666"/>
        <v>0.50635864435864431</v>
      </c>
    </row>
    <row r="4269" spans="1:38" x14ac:dyDescent="0.2">
      <c r="A4269" s="8">
        <v>2026</v>
      </c>
      <c r="B4269" s="8">
        <v>6</v>
      </c>
      <c r="C4269" s="8" t="s">
        <v>3323</v>
      </c>
      <c r="D4269" s="2" t="s">
        <v>3104</v>
      </c>
      <c r="E4269" s="2" t="s">
        <v>108</v>
      </c>
      <c r="F4269" s="2" t="s">
        <v>39</v>
      </c>
      <c r="H4269" s="2" t="s">
        <v>109</v>
      </c>
      <c r="L4269" s="2" t="s">
        <v>133</v>
      </c>
      <c r="M4269" s="2" t="s">
        <v>40</v>
      </c>
      <c r="P4269" s="2" t="s">
        <v>187</v>
      </c>
      <c r="Q4269" s="2" t="s">
        <v>188</v>
      </c>
      <c r="R4269" s="2" t="s">
        <v>189</v>
      </c>
      <c r="S4269" s="9">
        <v>1</v>
      </c>
      <c r="T4269" s="10">
        <v>152</v>
      </c>
      <c r="U4269" s="2">
        <f t="shared" si="663"/>
        <v>34.96</v>
      </c>
      <c r="V4269" s="2">
        <f t="shared" si="664"/>
        <v>186.96</v>
      </c>
      <c r="W4269" s="2">
        <f>T4269*40%</f>
        <v>60.800000000000004</v>
      </c>
      <c r="X4269" s="5">
        <f t="shared" si="660"/>
        <v>0.6</v>
      </c>
      <c r="Z4269" s="2" t="s">
        <v>117</v>
      </c>
      <c r="AA4269" s="2" t="s">
        <v>190</v>
      </c>
      <c r="AB4269" s="2" t="s">
        <v>189</v>
      </c>
      <c r="AC4269" s="2" t="s">
        <v>40</v>
      </c>
      <c r="AG4269" s="2">
        <f>W4269</f>
        <v>60.800000000000004</v>
      </c>
      <c r="AI4269" s="2"/>
      <c r="AJ4269" s="2">
        <f>AI4269*T4269</f>
        <v>0</v>
      </c>
      <c r="AK4269" s="2">
        <f t="shared" si="665"/>
        <v>91.199999999999989</v>
      </c>
      <c r="AL4269" s="5">
        <f t="shared" si="666"/>
        <v>0.6</v>
      </c>
    </row>
    <row r="4270" spans="1:38" x14ac:dyDescent="0.2">
      <c r="A4270" s="8">
        <v>2026</v>
      </c>
      <c r="B4270" s="8">
        <v>6</v>
      </c>
      <c r="C4270" s="8" t="s">
        <v>3323</v>
      </c>
      <c r="D4270" s="2" t="s">
        <v>3104</v>
      </c>
      <c r="E4270" s="2" t="s">
        <v>108</v>
      </c>
      <c r="F4270" s="2" t="s">
        <v>39</v>
      </c>
      <c r="H4270" s="2" t="s">
        <v>109</v>
      </c>
      <c r="L4270" s="2" t="s">
        <v>133</v>
      </c>
      <c r="M4270" s="2" t="s">
        <v>40</v>
      </c>
      <c r="P4270" s="2" t="s">
        <v>187</v>
      </c>
      <c r="Q4270" s="2" t="s">
        <v>191</v>
      </c>
      <c r="R4270" s="2" t="s">
        <v>190</v>
      </c>
      <c r="S4270" s="9">
        <v>1</v>
      </c>
      <c r="T4270" s="10">
        <v>55</v>
      </c>
      <c r="U4270" s="2">
        <f t="shared" si="663"/>
        <v>12.65</v>
      </c>
      <c r="V4270" s="2">
        <f t="shared" si="664"/>
        <v>67.650000000000006</v>
      </c>
      <c r="W4270" s="2">
        <f>T4270*50%</f>
        <v>27.5</v>
      </c>
      <c r="X4270" s="5">
        <f t="shared" si="660"/>
        <v>0.5</v>
      </c>
      <c r="Z4270" s="2" t="s">
        <v>117</v>
      </c>
      <c r="AA4270" s="2" t="s">
        <v>190</v>
      </c>
      <c r="AB4270" s="2" t="s">
        <v>190</v>
      </c>
      <c r="AC4270" s="2" t="s">
        <v>40</v>
      </c>
      <c r="AF4270" s="2">
        <f>AJ4270</f>
        <v>0</v>
      </c>
      <c r="AG4270" s="2">
        <f>W4270</f>
        <v>27.5</v>
      </c>
      <c r="AI4270" s="2"/>
      <c r="AJ4270" s="2">
        <f>AI4270*T4270</f>
        <v>0</v>
      </c>
      <c r="AK4270" s="2">
        <f t="shared" si="665"/>
        <v>27.5</v>
      </c>
      <c r="AL4270" s="5">
        <f t="shared" si="666"/>
        <v>0.5</v>
      </c>
    </row>
    <row r="4271" spans="1:38" x14ac:dyDescent="0.2">
      <c r="A4271" s="8">
        <v>2026</v>
      </c>
      <c r="B4271" s="8">
        <v>6</v>
      </c>
      <c r="C4271" s="8"/>
      <c r="D4271" s="2" t="s">
        <v>2188</v>
      </c>
      <c r="P4271" s="2" t="s">
        <v>282</v>
      </c>
      <c r="Q4271" s="2" t="s">
        <v>1779</v>
      </c>
      <c r="R4271" s="2" t="s">
        <v>1780</v>
      </c>
      <c r="S4271" s="9">
        <v>1</v>
      </c>
      <c r="T4271" s="10">
        <v>1990</v>
      </c>
      <c r="U4271" s="2">
        <f t="shared" si="663"/>
        <v>457.70000000000005</v>
      </c>
      <c r="V4271" s="10">
        <f t="shared" si="664"/>
        <v>2447.6999999999998</v>
      </c>
      <c r="W4271" s="2">
        <v>1492.7</v>
      </c>
      <c r="X4271" s="5">
        <f t="shared" si="660"/>
        <v>0.24989949748743717</v>
      </c>
      <c r="Z4271" s="2" t="s">
        <v>104</v>
      </c>
      <c r="AA4271" s="2" t="s">
        <v>387</v>
      </c>
      <c r="AB4271" s="2" t="s">
        <v>1330</v>
      </c>
      <c r="AC4271" s="2" t="s">
        <v>1327</v>
      </c>
      <c r="AI4271" s="2"/>
      <c r="AK4271" s="2">
        <f t="shared" si="665"/>
        <v>497.29999999999995</v>
      </c>
      <c r="AL4271" s="5">
        <f t="shared" si="666"/>
        <v>0.24989949748743717</v>
      </c>
    </row>
    <row r="4272" spans="1:38" x14ac:dyDescent="0.2">
      <c r="A4272" s="8">
        <v>2026</v>
      </c>
      <c r="B4272" s="8">
        <v>6</v>
      </c>
      <c r="C4272" s="8"/>
      <c r="D4272" s="2" t="s">
        <v>2188</v>
      </c>
      <c r="P4272" s="2" t="s">
        <v>282</v>
      </c>
      <c r="Q4272" s="2" t="s">
        <v>1328</v>
      </c>
      <c r="R4272" s="2" t="s">
        <v>1329</v>
      </c>
      <c r="S4272" s="9">
        <v>1</v>
      </c>
      <c r="T4272" s="10">
        <v>1990</v>
      </c>
      <c r="U4272" s="2">
        <f t="shared" si="663"/>
        <v>457.70000000000005</v>
      </c>
      <c r="V4272" s="10">
        <f t="shared" si="664"/>
        <v>2447.6999999999998</v>
      </c>
      <c r="W4272" s="2">
        <v>1578</v>
      </c>
      <c r="X4272" s="5">
        <f t="shared" si="660"/>
        <v>0.20703517587939699</v>
      </c>
      <c r="Z4272" s="2" t="s">
        <v>104</v>
      </c>
      <c r="AA4272" s="2" t="s">
        <v>387</v>
      </c>
      <c r="AB4272" s="2" t="s">
        <v>1330</v>
      </c>
      <c r="AC4272" s="2" t="s">
        <v>1327</v>
      </c>
      <c r="AI4272" s="2"/>
      <c r="AK4272" s="2">
        <f t="shared" si="665"/>
        <v>412</v>
      </c>
      <c r="AL4272" s="5">
        <f t="shared" si="666"/>
        <v>0.20703517587939699</v>
      </c>
    </row>
    <row r="4273" spans="1:38" x14ac:dyDescent="0.2">
      <c r="A4273" s="8">
        <v>2026</v>
      </c>
      <c r="B4273" s="8">
        <v>6</v>
      </c>
      <c r="C4273" s="8"/>
      <c r="D4273" s="2" t="s">
        <v>2642</v>
      </c>
      <c r="P4273" s="2" t="s">
        <v>282</v>
      </c>
      <c r="Q4273" s="2" t="s">
        <v>1235</v>
      </c>
      <c r="R4273" s="2" t="s">
        <v>1236</v>
      </c>
      <c r="S4273" s="9">
        <v>1</v>
      </c>
      <c r="T4273" s="10">
        <v>4200</v>
      </c>
      <c r="U4273" s="2">
        <f t="shared" si="663"/>
        <v>966</v>
      </c>
      <c r="V4273" s="10">
        <f t="shared" si="664"/>
        <v>5166</v>
      </c>
      <c r="W4273" s="2">
        <f>3203.85+43</f>
        <v>3246.85</v>
      </c>
      <c r="X4273" s="5">
        <f t="shared" si="660"/>
        <v>0.22694047619047622</v>
      </c>
      <c r="Z4273" s="2" t="s">
        <v>104</v>
      </c>
      <c r="AA4273" s="2" t="s">
        <v>1574</v>
      </c>
      <c r="AB4273" s="2" t="s">
        <v>388</v>
      </c>
      <c r="AC4273" s="2" t="s">
        <v>1327</v>
      </c>
      <c r="AI4273" s="2"/>
      <c r="AK4273" s="2">
        <f t="shared" si="665"/>
        <v>953.15000000000009</v>
      </c>
      <c r="AL4273" s="5">
        <f t="shared" si="666"/>
        <v>0.22694047619047622</v>
      </c>
    </row>
    <row r="4274" spans="1:38" x14ac:dyDescent="0.2">
      <c r="A4274" s="8">
        <v>2026</v>
      </c>
      <c r="B4274" s="8">
        <v>6</v>
      </c>
      <c r="C4274" s="8"/>
      <c r="D4274" s="2" t="s">
        <v>3103</v>
      </c>
      <c r="P4274" s="2" t="s">
        <v>282</v>
      </c>
      <c r="Q4274" s="2" t="s">
        <v>1328</v>
      </c>
      <c r="R4274" s="2" t="s">
        <v>1329</v>
      </c>
      <c r="S4274" s="9">
        <v>1</v>
      </c>
      <c r="T4274" s="10">
        <v>2150</v>
      </c>
      <c r="U4274" s="2">
        <f t="shared" si="663"/>
        <v>494.5</v>
      </c>
      <c r="V4274" s="10">
        <f t="shared" si="664"/>
        <v>2644.5</v>
      </c>
      <c r="W4274" s="2">
        <v>1578</v>
      </c>
      <c r="X4274" s="5">
        <f t="shared" si="660"/>
        <v>0.26604651162790699</v>
      </c>
      <c r="Z4274" s="2" t="s">
        <v>104</v>
      </c>
      <c r="AA4274" s="2" t="s">
        <v>387</v>
      </c>
      <c r="AB4274" s="2" t="s">
        <v>1330</v>
      </c>
      <c r="AC4274" s="2" t="s">
        <v>1327</v>
      </c>
      <c r="AI4274" s="2"/>
      <c r="AK4274" s="2">
        <f t="shared" si="665"/>
        <v>572</v>
      </c>
      <c r="AL4274" s="5">
        <f t="shared" si="666"/>
        <v>0.26604651162790699</v>
      </c>
    </row>
    <row r="4275" spans="1:38" x14ac:dyDescent="0.2">
      <c r="A4275" s="8">
        <v>2026</v>
      </c>
      <c r="B4275" s="8">
        <v>6</v>
      </c>
      <c r="C4275" s="8"/>
      <c r="D4275" s="2" t="s">
        <v>677</v>
      </c>
      <c r="P4275" s="2" t="s">
        <v>2691</v>
      </c>
      <c r="Q4275" s="2" t="s">
        <v>3095</v>
      </c>
      <c r="R4275" s="2" t="s">
        <v>3096</v>
      </c>
      <c r="S4275" s="9">
        <v>-4</v>
      </c>
      <c r="T4275" s="10">
        <v>-800</v>
      </c>
      <c r="U4275" s="2">
        <f t="shared" si="663"/>
        <v>-184</v>
      </c>
      <c r="V4275" s="10">
        <f t="shared" si="664"/>
        <v>-984</v>
      </c>
      <c r="W4275" s="2">
        <f>124*4</f>
        <v>496</v>
      </c>
      <c r="X4275" s="18">
        <f>SIGN(T4275)*((ABS(T4275)-W4275)/ABS(T4275))</f>
        <v>-0.38</v>
      </c>
      <c r="Z4275" s="2" t="s">
        <v>3227</v>
      </c>
      <c r="AA4275" s="2" t="s">
        <v>3383</v>
      </c>
      <c r="AB4275" s="2" t="s">
        <v>3389</v>
      </c>
      <c r="AC4275" s="2" t="s">
        <v>3390</v>
      </c>
      <c r="AI4275" s="2"/>
      <c r="AK4275" s="2">
        <f>T4275+(W4275)</f>
        <v>-304</v>
      </c>
      <c r="AL4275" s="18">
        <f>SIGN(T4275)*((ABS(T4275)-W4275)/ABS(T4275))</f>
        <v>-0.38</v>
      </c>
    </row>
    <row r="4276" spans="1:38" x14ac:dyDescent="0.2">
      <c r="A4276" s="8">
        <v>2026</v>
      </c>
      <c r="B4276" s="8">
        <v>6</v>
      </c>
      <c r="C4276" s="8"/>
      <c r="D4276" s="2" t="s">
        <v>677</v>
      </c>
      <c r="P4276" s="2" t="s">
        <v>2691</v>
      </c>
      <c r="Q4276" s="2" t="s">
        <v>3097</v>
      </c>
      <c r="R4276" s="2" t="s">
        <v>3098</v>
      </c>
      <c r="S4276" s="9">
        <v>-4</v>
      </c>
      <c r="T4276" s="10">
        <v>-714.4</v>
      </c>
      <c r="U4276" s="2">
        <f t="shared" si="663"/>
        <v>-164.31200000000001</v>
      </c>
      <c r="V4276" s="10">
        <f t="shared" si="664"/>
        <v>-878.71199999999999</v>
      </c>
      <c r="W4276" s="2">
        <f>125*4</f>
        <v>500</v>
      </c>
      <c r="X4276" s="18">
        <f>SIGN(T4276)*((ABS(T4276)-W4276)/ABS(T4276))</f>
        <v>-0.30011198208286671</v>
      </c>
      <c r="Z4276" s="2" t="s">
        <v>3227</v>
      </c>
      <c r="AA4276" s="2" t="s">
        <v>3383</v>
      </c>
      <c r="AB4276" s="2" t="s">
        <v>3389</v>
      </c>
      <c r="AC4276" s="2" t="s">
        <v>3390</v>
      </c>
      <c r="AI4276" s="2"/>
      <c r="AK4276" s="2">
        <f>T4276+(W4276)</f>
        <v>-214.39999999999998</v>
      </c>
      <c r="AL4276" s="18">
        <f>SIGN(T4276)*((ABS(T4276)-W4276)/ABS(T4276))</f>
        <v>-0.30011198208286671</v>
      </c>
    </row>
    <row r="4277" spans="1:38" x14ac:dyDescent="0.2">
      <c r="A4277" s="8">
        <v>2026</v>
      </c>
      <c r="B4277" s="8">
        <v>6</v>
      </c>
      <c r="C4277" s="8" t="s">
        <v>3294</v>
      </c>
      <c r="D4277" s="2" t="s">
        <v>3398</v>
      </c>
      <c r="E4277" s="2" t="s">
        <v>752</v>
      </c>
      <c r="F4277" s="2" t="s">
        <v>39</v>
      </c>
      <c r="G4277" s="2">
        <v>513626930</v>
      </c>
      <c r="H4277" s="2" t="s">
        <v>40</v>
      </c>
      <c r="I4277" s="2" t="s">
        <v>339</v>
      </c>
      <c r="J4277" s="2" t="s">
        <v>471</v>
      </c>
      <c r="L4277" s="2" t="s">
        <v>133</v>
      </c>
      <c r="M4277" s="2" t="s">
        <v>109</v>
      </c>
      <c r="O4277" s="2" t="s">
        <v>3229</v>
      </c>
      <c r="P4277" s="2" t="s">
        <v>282</v>
      </c>
      <c r="Q4277" s="6" t="s">
        <v>3228</v>
      </c>
      <c r="R4277" s="2" t="s">
        <v>1155</v>
      </c>
      <c r="S4277" s="8">
        <v>1</v>
      </c>
      <c r="T4277" s="2">
        <v>2900</v>
      </c>
      <c r="U4277" s="2">
        <f t="shared" si="663"/>
        <v>667</v>
      </c>
      <c r="V4277" s="10">
        <f>U4277+T4277</f>
        <v>3567</v>
      </c>
      <c r="W4277" s="2">
        <v>2190</v>
      </c>
      <c r="X4277" s="5">
        <f>(T4277-W4277)/T4277</f>
        <v>0.24482758620689654</v>
      </c>
      <c r="Z4277" s="2" t="s">
        <v>104</v>
      </c>
      <c r="AA4277" s="2" t="s">
        <v>1574</v>
      </c>
      <c r="AB4277" s="2" t="s">
        <v>388</v>
      </c>
      <c r="AC4277" s="2" t="s">
        <v>1327</v>
      </c>
      <c r="AK4277" s="2">
        <f t="shared" ref="AK4277:AK4340" si="667">T4277-W4277</f>
        <v>710</v>
      </c>
      <c r="AL4277" s="5">
        <f>(T4277-W4277)/T4277</f>
        <v>0.24482758620689654</v>
      </c>
    </row>
    <row r="4278" spans="1:38" x14ac:dyDescent="0.2">
      <c r="A4278" s="8">
        <v>2026</v>
      </c>
      <c r="B4278" s="8">
        <v>6</v>
      </c>
      <c r="C4278" s="8" t="s">
        <v>3294</v>
      </c>
      <c r="D4278" s="2" t="s">
        <v>3398</v>
      </c>
      <c r="E4278" s="2" t="s">
        <v>752</v>
      </c>
      <c r="F4278" s="2" t="s">
        <v>39</v>
      </c>
      <c r="G4278" s="2">
        <v>513626930</v>
      </c>
      <c r="H4278" s="2" t="s">
        <v>40</v>
      </c>
      <c r="I4278" s="2" t="s">
        <v>339</v>
      </c>
      <c r="J4278" s="2" t="s">
        <v>471</v>
      </c>
      <c r="L4278" s="2" t="s">
        <v>133</v>
      </c>
      <c r="M4278" s="2" t="s">
        <v>109</v>
      </c>
      <c r="O4278" s="2" t="s">
        <v>3229</v>
      </c>
      <c r="P4278" s="2" t="s">
        <v>282</v>
      </c>
      <c r="Q4278" s="6" t="s">
        <v>1158</v>
      </c>
      <c r="R4278" s="2" t="s">
        <v>1159</v>
      </c>
      <c r="S4278" s="8">
        <v>1</v>
      </c>
      <c r="T4278" s="2">
        <v>0</v>
      </c>
      <c r="U4278" s="2">
        <v>0</v>
      </c>
      <c r="V4278" s="2">
        <v>0</v>
      </c>
      <c r="W4278" s="2">
        <v>0</v>
      </c>
      <c r="X4278" s="18">
        <v>-1</v>
      </c>
      <c r="Z4278" s="2" t="s">
        <v>104</v>
      </c>
      <c r="AA4278" s="2" t="s">
        <v>1574</v>
      </c>
      <c r="AB4278" s="2" t="s">
        <v>388</v>
      </c>
      <c r="AC4278" s="2" t="s">
        <v>1327</v>
      </c>
      <c r="AK4278" s="2">
        <f t="shared" si="667"/>
        <v>0</v>
      </c>
      <c r="AL4278" s="18">
        <v>-1</v>
      </c>
    </row>
    <row r="4279" spans="1:38" x14ac:dyDescent="0.2">
      <c r="A4279" s="2">
        <v>2026</v>
      </c>
      <c r="B4279" s="2">
        <v>7</v>
      </c>
      <c r="C4279" s="2" t="s">
        <v>3295</v>
      </c>
      <c r="D4279" s="2" t="s">
        <v>37</v>
      </c>
      <c r="E4279" s="2" t="s">
        <v>38</v>
      </c>
      <c r="F4279" s="2" t="s">
        <v>39</v>
      </c>
      <c r="H4279" s="2" t="s">
        <v>40</v>
      </c>
      <c r="L4279" s="2" t="s">
        <v>3270</v>
      </c>
      <c r="M4279" s="2" t="s">
        <v>41</v>
      </c>
      <c r="O4279" s="2" t="s">
        <v>3267</v>
      </c>
      <c r="P4279" s="2" t="s">
        <v>43</v>
      </c>
      <c r="Q4279" s="2" t="s">
        <v>44</v>
      </c>
      <c r="R4279" s="2" t="s">
        <v>45</v>
      </c>
      <c r="S4279" s="13">
        <v>1</v>
      </c>
      <c r="T4279" s="14">
        <v>25.2</v>
      </c>
      <c r="U4279" s="2">
        <f t="shared" ref="U4279:U4310" si="668">T4279*23%</f>
        <v>5.7960000000000003</v>
      </c>
      <c r="V4279" s="12">
        <f t="shared" ref="V4279:V4310" si="669">T4279+U4279</f>
        <v>30.995999999999999</v>
      </c>
      <c r="W4279" s="2">
        <v>14.535</v>
      </c>
      <c r="X4279" s="5">
        <f t="shared" ref="X4279:X4310" si="670">(T4279-W4279)/T4279</f>
        <v>0.42321428571428571</v>
      </c>
      <c r="Z4279" s="2" t="s">
        <v>3227</v>
      </c>
      <c r="AA4279" s="2" t="s">
        <v>46</v>
      </c>
      <c r="AB4279" s="2" t="s">
        <v>47</v>
      </c>
      <c r="AC4279" s="2" t="s">
        <v>57</v>
      </c>
      <c r="AK4279" s="2">
        <f t="shared" si="667"/>
        <v>10.664999999999999</v>
      </c>
      <c r="AL4279" s="5">
        <f t="shared" ref="AL4279:AL4310" si="671">(T4279-W4279)/T4279</f>
        <v>0.42321428571428571</v>
      </c>
    </row>
    <row r="4280" spans="1:38" x14ac:dyDescent="0.2">
      <c r="A4280" s="2">
        <v>2026</v>
      </c>
      <c r="B4280" s="2">
        <v>7</v>
      </c>
      <c r="C4280" s="2" t="s">
        <v>3295</v>
      </c>
      <c r="D4280" s="2" t="s">
        <v>37</v>
      </c>
      <c r="E4280" s="2" t="s">
        <v>38</v>
      </c>
      <c r="F4280" s="2" t="s">
        <v>39</v>
      </c>
      <c r="H4280" s="2" t="s">
        <v>40</v>
      </c>
      <c r="L4280" s="2" t="s">
        <v>3270</v>
      </c>
      <c r="M4280" s="2" t="s">
        <v>41</v>
      </c>
      <c r="O4280" s="2" t="s">
        <v>3267</v>
      </c>
      <c r="P4280" s="2" t="s">
        <v>43</v>
      </c>
      <c r="Q4280" s="2" t="s">
        <v>158</v>
      </c>
      <c r="R4280" s="2" t="s">
        <v>159</v>
      </c>
      <c r="S4280" s="13">
        <v>1</v>
      </c>
      <c r="T4280" s="14">
        <v>21</v>
      </c>
      <c r="U4280" s="2">
        <f t="shared" si="668"/>
        <v>4.83</v>
      </c>
      <c r="V4280" s="12">
        <f t="shared" si="669"/>
        <v>25.83</v>
      </c>
      <c r="W4280" s="2">
        <f>9.3*S4280</f>
        <v>9.3000000000000007</v>
      </c>
      <c r="X4280" s="5">
        <f t="shared" si="670"/>
        <v>0.55714285714285716</v>
      </c>
      <c r="Z4280" s="2" t="s">
        <v>3227</v>
      </c>
      <c r="AA4280" s="2" t="s">
        <v>46</v>
      </c>
      <c r="AB4280" s="2" t="s">
        <v>47</v>
      </c>
      <c r="AC4280" s="2" t="s">
        <v>57</v>
      </c>
      <c r="AK4280" s="2">
        <f t="shared" si="667"/>
        <v>11.7</v>
      </c>
      <c r="AL4280" s="5">
        <f t="shared" si="671"/>
        <v>0.55714285714285716</v>
      </c>
    </row>
    <row r="4281" spans="1:38" x14ac:dyDescent="0.2">
      <c r="A4281" s="2">
        <v>2026</v>
      </c>
      <c r="B4281" s="2">
        <v>7</v>
      </c>
      <c r="C4281" s="2" t="s">
        <v>3295</v>
      </c>
      <c r="D4281" s="2" t="s">
        <v>37</v>
      </c>
      <c r="E4281" s="2" t="s">
        <v>38</v>
      </c>
      <c r="F4281" s="2" t="s">
        <v>39</v>
      </c>
      <c r="H4281" s="2" t="s">
        <v>40</v>
      </c>
      <c r="L4281" s="2" t="s">
        <v>3270</v>
      </c>
      <c r="M4281" s="2" t="s">
        <v>41</v>
      </c>
      <c r="O4281" s="2" t="s">
        <v>3267</v>
      </c>
      <c r="P4281" s="2" t="s">
        <v>43</v>
      </c>
      <c r="Q4281" s="2" t="s">
        <v>48</v>
      </c>
      <c r="R4281" s="2" t="s">
        <v>49</v>
      </c>
      <c r="S4281" s="13">
        <v>1</v>
      </c>
      <c r="T4281" s="14">
        <v>13</v>
      </c>
      <c r="U4281" s="2">
        <f t="shared" si="668"/>
        <v>2.99</v>
      </c>
      <c r="V4281" s="12">
        <f t="shared" si="669"/>
        <v>15.99</v>
      </c>
      <c r="W4281" s="2">
        <f>6.6267*S4281</f>
        <v>6.6266999999999996</v>
      </c>
      <c r="X4281" s="5">
        <f t="shared" si="670"/>
        <v>0.49025384615384621</v>
      </c>
      <c r="Z4281" s="2" t="s">
        <v>3227</v>
      </c>
      <c r="AA4281" s="2" t="s">
        <v>46</v>
      </c>
      <c r="AB4281" s="2" t="s">
        <v>47</v>
      </c>
      <c r="AC4281" s="2" t="s">
        <v>57</v>
      </c>
      <c r="AK4281" s="2">
        <f t="shared" si="667"/>
        <v>6.3733000000000004</v>
      </c>
      <c r="AL4281" s="5">
        <f t="shared" si="671"/>
        <v>0.49025384615384621</v>
      </c>
    </row>
    <row r="4282" spans="1:38" x14ac:dyDescent="0.2">
      <c r="A4282" s="2">
        <v>2026</v>
      </c>
      <c r="B4282" s="2">
        <v>7</v>
      </c>
      <c r="C4282" s="2" t="s">
        <v>3295</v>
      </c>
      <c r="D4282" s="2" t="s">
        <v>37</v>
      </c>
      <c r="E4282" s="2" t="s">
        <v>38</v>
      </c>
      <c r="F4282" s="2" t="s">
        <v>39</v>
      </c>
      <c r="H4282" s="2" t="s">
        <v>40</v>
      </c>
      <c r="L4282" s="2" t="s">
        <v>3270</v>
      </c>
      <c r="M4282" s="2" t="s">
        <v>80</v>
      </c>
      <c r="O4282" s="2" t="s">
        <v>3268</v>
      </c>
      <c r="P4282" s="2" t="s">
        <v>43</v>
      </c>
      <c r="Q4282" s="2" t="s">
        <v>50</v>
      </c>
      <c r="R4282" s="2" t="s">
        <v>51</v>
      </c>
      <c r="S4282" s="13">
        <v>1</v>
      </c>
      <c r="T4282" s="14">
        <v>18</v>
      </c>
      <c r="U4282" s="2">
        <f t="shared" si="668"/>
        <v>4.1400000000000006</v>
      </c>
      <c r="V4282" s="12">
        <f t="shared" si="669"/>
        <v>22.14</v>
      </c>
      <c r="W4282" s="2">
        <f>14.4*S4282</f>
        <v>14.4</v>
      </c>
      <c r="X4282" s="5">
        <f t="shared" si="670"/>
        <v>0.19999999999999998</v>
      </c>
      <c r="Z4282" s="2" t="s">
        <v>3227</v>
      </c>
      <c r="AA4282" s="2" t="s">
        <v>46</v>
      </c>
      <c r="AB4282" s="2" t="s">
        <v>47</v>
      </c>
      <c r="AC4282" s="2" t="s">
        <v>57</v>
      </c>
      <c r="AK4282" s="2">
        <f t="shared" si="667"/>
        <v>3.5999999999999996</v>
      </c>
      <c r="AL4282" s="5">
        <f t="shared" si="671"/>
        <v>0.19999999999999998</v>
      </c>
    </row>
    <row r="4283" spans="1:38" x14ac:dyDescent="0.2">
      <c r="A4283" s="2">
        <v>2026</v>
      </c>
      <c r="B4283" s="2">
        <v>7</v>
      </c>
      <c r="C4283" s="2" t="s">
        <v>3295</v>
      </c>
      <c r="D4283" s="2" t="s">
        <v>37</v>
      </c>
      <c r="E4283" s="2" t="s">
        <v>38</v>
      </c>
      <c r="F4283" s="2" t="s">
        <v>39</v>
      </c>
      <c r="H4283" s="2" t="s">
        <v>40</v>
      </c>
      <c r="L4283" s="2" t="s">
        <v>3270</v>
      </c>
      <c r="M4283" s="2" t="s">
        <v>80</v>
      </c>
      <c r="O4283" s="2" t="s">
        <v>3268</v>
      </c>
      <c r="P4283" s="2" t="s">
        <v>43</v>
      </c>
      <c r="Q4283" s="2" t="s">
        <v>54</v>
      </c>
      <c r="R4283" s="2" t="s">
        <v>55</v>
      </c>
      <c r="S4283" s="13">
        <v>2</v>
      </c>
      <c r="T4283" s="14">
        <v>30</v>
      </c>
      <c r="U4283" s="2">
        <f t="shared" si="668"/>
        <v>6.9</v>
      </c>
      <c r="V4283" s="12">
        <f t="shared" si="669"/>
        <v>36.9</v>
      </c>
      <c r="W4283" s="2">
        <f>10.6*S4283</f>
        <v>21.2</v>
      </c>
      <c r="X4283" s="5">
        <f t="shared" si="670"/>
        <v>0.29333333333333333</v>
      </c>
      <c r="Z4283" s="2" t="s">
        <v>3227</v>
      </c>
      <c r="AA4283" s="2" t="s">
        <v>46</v>
      </c>
      <c r="AB4283" s="2" t="s">
        <v>56</v>
      </c>
      <c r="AC4283" s="2" t="s">
        <v>57</v>
      </c>
      <c r="AK4283" s="2">
        <f t="shared" si="667"/>
        <v>8.8000000000000007</v>
      </c>
      <c r="AL4283" s="5">
        <f t="shared" si="671"/>
        <v>0.29333333333333333</v>
      </c>
    </row>
    <row r="4284" spans="1:38" x14ac:dyDescent="0.2">
      <c r="A4284" s="2">
        <v>2026</v>
      </c>
      <c r="B4284" s="2">
        <v>7</v>
      </c>
      <c r="C4284" s="2" t="s">
        <v>3295</v>
      </c>
      <c r="D4284" s="2" t="s">
        <v>37</v>
      </c>
      <c r="E4284" s="2" t="s">
        <v>38</v>
      </c>
      <c r="F4284" s="2" t="s">
        <v>39</v>
      </c>
      <c r="H4284" s="2" t="s">
        <v>40</v>
      </c>
      <c r="L4284" s="2" t="s">
        <v>3270</v>
      </c>
      <c r="M4284" s="2" t="s">
        <v>80</v>
      </c>
      <c r="O4284" s="2" t="s">
        <v>3268</v>
      </c>
      <c r="P4284" s="2" t="s">
        <v>43</v>
      </c>
      <c r="Q4284" s="2" t="s">
        <v>162</v>
      </c>
      <c r="R4284" s="2" t="s">
        <v>163</v>
      </c>
      <c r="S4284" s="13">
        <v>2</v>
      </c>
      <c r="T4284" s="14">
        <v>24</v>
      </c>
      <c r="U4284" s="2">
        <f t="shared" si="668"/>
        <v>5.5200000000000005</v>
      </c>
      <c r="V4284" s="12">
        <f t="shared" si="669"/>
        <v>29.52</v>
      </c>
      <c r="W4284" s="2">
        <f>8*S4284</f>
        <v>16</v>
      </c>
      <c r="X4284" s="5">
        <f t="shared" si="670"/>
        <v>0.33333333333333331</v>
      </c>
      <c r="Z4284" s="2" t="s">
        <v>3227</v>
      </c>
      <c r="AA4284" s="2" t="s">
        <v>46</v>
      </c>
      <c r="AB4284" s="2" t="s">
        <v>47</v>
      </c>
      <c r="AC4284" s="2" t="s">
        <v>57</v>
      </c>
      <c r="AK4284" s="2">
        <f t="shared" si="667"/>
        <v>8</v>
      </c>
      <c r="AL4284" s="5">
        <f t="shared" si="671"/>
        <v>0.33333333333333331</v>
      </c>
    </row>
    <row r="4285" spans="1:38" x14ac:dyDescent="0.2">
      <c r="A4285" s="2">
        <v>2026</v>
      </c>
      <c r="B4285" s="2">
        <v>7</v>
      </c>
      <c r="C4285" s="2" t="s">
        <v>3295</v>
      </c>
      <c r="D4285" s="2" t="s">
        <v>37</v>
      </c>
      <c r="E4285" s="2" t="s">
        <v>38</v>
      </c>
      <c r="F4285" s="2" t="s">
        <v>39</v>
      </c>
      <c r="H4285" s="2" t="s">
        <v>40</v>
      </c>
      <c r="L4285" s="2" t="s">
        <v>3270</v>
      </c>
      <c r="M4285" s="2" t="s">
        <v>80</v>
      </c>
      <c r="O4285" s="2" t="s">
        <v>3269</v>
      </c>
      <c r="P4285" s="2" t="s">
        <v>1038</v>
      </c>
      <c r="Q4285" s="2" t="s">
        <v>3265</v>
      </c>
      <c r="R4285" s="2" t="s">
        <v>3266</v>
      </c>
      <c r="S4285" s="13">
        <v>1</v>
      </c>
      <c r="T4285" s="14">
        <v>187</v>
      </c>
      <c r="U4285" s="2">
        <f t="shared" si="668"/>
        <v>43.010000000000005</v>
      </c>
      <c r="V4285" s="12">
        <f t="shared" si="669"/>
        <v>230.01</v>
      </c>
      <c r="W4285" s="2">
        <v>141.16</v>
      </c>
      <c r="X4285" s="5">
        <f t="shared" si="670"/>
        <v>0.24513368983957221</v>
      </c>
      <c r="Z4285" s="2" t="s">
        <v>3227</v>
      </c>
      <c r="AA4285" s="2" t="s">
        <v>75</v>
      </c>
      <c r="AB4285" s="2" t="s">
        <v>76</v>
      </c>
      <c r="AC4285" s="2" t="s">
        <v>1038</v>
      </c>
      <c r="AK4285" s="2">
        <f t="shared" si="667"/>
        <v>45.84</v>
      </c>
      <c r="AL4285" s="5">
        <f t="shared" si="671"/>
        <v>0.24513368983957221</v>
      </c>
    </row>
    <row r="4286" spans="1:38" x14ac:dyDescent="0.2">
      <c r="A4286" s="2">
        <v>2026</v>
      </c>
      <c r="B4286" s="2">
        <v>7</v>
      </c>
      <c r="C4286" s="2" t="s">
        <v>3295</v>
      </c>
      <c r="D4286" s="2" t="s">
        <v>37</v>
      </c>
      <c r="E4286" s="2" t="s">
        <v>38</v>
      </c>
      <c r="F4286" s="2" t="s">
        <v>39</v>
      </c>
      <c r="H4286" s="2" t="s">
        <v>40</v>
      </c>
      <c r="L4286" s="2" t="s">
        <v>3270</v>
      </c>
      <c r="M4286" s="2" t="s">
        <v>80</v>
      </c>
      <c r="O4286" s="2" t="s">
        <v>3269</v>
      </c>
      <c r="P4286" s="2" t="s">
        <v>93</v>
      </c>
      <c r="Q4286" s="2" t="s">
        <v>94</v>
      </c>
      <c r="R4286" s="2" t="s">
        <v>95</v>
      </c>
      <c r="S4286" s="13">
        <v>1</v>
      </c>
      <c r="T4286" s="14">
        <v>1.48</v>
      </c>
      <c r="U4286" s="2">
        <f t="shared" si="668"/>
        <v>0.34040000000000004</v>
      </c>
      <c r="V4286" s="12">
        <f t="shared" si="669"/>
        <v>1.8204</v>
      </c>
      <c r="W4286" s="2">
        <v>1.48</v>
      </c>
      <c r="X4286" s="5">
        <f t="shared" si="670"/>
        <v>0</v>
      </c>
      <c r="Z4286" s="2" t="s">
        <v>3227</v>
      </c>
      <c r="AA4286" s="2" t="s">
        <v>96</v>
      </c>
      <c r="AB4286" s="2" t="s">
        <v>76</v>
      </c>
      <c r="AC4286" s="2" t="s">
        <v>93</v>
      </c>
      <c r="AK4286" s="2">
        <f t="shared" si="667"/>
        <v>0</v>
      </c>
      <c r="AL4286" s="5">
        <f t="shared" si="671"/>
        <v>0</v>
      </c>
    </row>
    <row r="4287" spans="1:38" x14ac:dyDescent="0.2">
      <c r="A4287" s="2">
        <v>2026</v>
      </c>
      <c r="B4287" s="2">
        <v>7</v>
      </c>
      <c r="C4287" s="2" t="s">
        <v>3295</v>
      </c>
      <c r="D4287" s="2" t="s">
        <v>1467</v>
      </c>
      <c r="E4287" s="2" t="s">
        <v>38</v>
      </c>
      <c r="F4287" s="2" t="s">
        <v>39</v>
      </c>
      <c r="H4287" s="2" t="s">
        <v>109</v>
      </c>
      <c r="I4287" s="2" t="s">
        <v>1468</v>
      </c>
      <c r="L4287" s="2" t="s">
        <v>360</v>
      </c>
      <c r="M4287" s="2" t="s">
        <v>80</v>
      </c>
      <c r="O4287" s="2" t="s">
        <v>3279</v>
      </c>
      <c r="P4287" s="2" t="s">
        <v>72</v>
      </c>
      <c r="Q4287" s="2" t="s">
        <v>3028</v>
      </c>
      <c r="R4287" s="2" t="s">
        <v>331</v>
      </c>
      <c r="S4287" s="13">
        <v>1</v>
      </c>
      <c r="T4287" s="14">
        <v>220</v>
      </c>
      <c r="U4287" s="2">
        <f t="shared" si="668"/>
        <v>50.6</v>
      </c>
      <c r="V4287" s="12">
        <f t="shared" si="669"/>
        <v>270.60000000000002</v>
      </c>
      <c r="W4287" s="2">
        <v>113.4</v>
      </c>
      <c r="X4287" s="5">
        <f t="shared" si="670"/>
        <v>0.4845454545454545</v>
      </c>
      <c r="Z4287" s="2" t="s">
        <v>3227</v>
      </c>
      <c r="AA4287" s="2" t="s">
        <v>75</v>
      </c>
      <c r="AB4287" s="2" t="s">
        <v>76</v>
      </c>
      <c r="AC4287" s="2" t="s">
        <v>77</v>
      </c>
      <c r="AK4287" s="2">
        <f t="shared" si="667"/>
        <v>106.6</v>
      </c>
      <c r="AL4287" s="5">
        <f t="shared" si="671"/>
        <v>0.4845454545454545</v>
      </c>
    </row>
    <row r="4288" spans="1:38" x14ac:dyDescent="0.2">
      <c r="A4288" s="2">
        <v>2026</v>
      </c>
      <c r="B4288" s="2">
        <v>7</v>
      </c>
      <c r="C4288" s="2" t="s">
        <v>3295</v>
      </c>
      <c r="D4288" s="2" t="s">
        <v>1467</v>
      </c>
      <c r="E4288" s="2" t="s">
        <v>38</v>
      </c>
      <c r="F4288" s="2" t="s">
        <v>39</v>
      </c>
      <c r="H4288" s="2" t="s">
        <v>109</v>
      </c>
      <c r="I4288" s="2" t="s">
        <v>1468</v>
      </c>
      <c r="L4288" s="2" t="s">
        <v>360</v>
      </c>
      <c r="M4288" s="2" t="s">
        <v>80</v>
      </c>
      <c r="O4288" s="2" t="s">
        <v>3279</v>
      </c>
      <c r="P4288" s="2" t="s">
        <v>93</v>
      </c>
      <c r="Q4288" s="2" t="s">
        <v>94</v>
      </c>
      <c r="R4288" s="2" t="s">
        <v>95</v>
      </c>
      <c r="S4288" s="13">
        <v>1</v>
      </c>
      <c r="T4288" s="14">
        <v>1.48</v>
      </c>
      <c r="U4288" s="2">
        <f t="shared" si="668"/>
        <v>0.34040000000000004</v>
      </c>
      <c r="V4288" s="12">
        <f t="shared" si="669"/>
        <v>1.8204</v>
      </c>
      <c r="W4288" s="2">
        <v>1.48</v>
      </c>
      <c r="X4288" s="5">
        <f t="shared" si="670"/>
        <v>0</v>
      </c>
      <c r="Z4288" s="2" t="s">
        <v>3227</v>
      </c>
      <c r="AA4288" s="2" t="s">
        <v>96</v>
      </c>
      <c r="AB4288" s="2" t="s">
        <v>76</v>
      </c>
      <c r="AC4288" s="2" t="s">
        <v>93</v>
      </c>
      <c r="AK4288" s="2">
        <f t="shared" si="667"/>
        <v>0</v>
      </c>
      <c r="AL4288" s="5">
        <f t="shared" si="671"/>
        <v>0</v>
      </c>
    </row>
    <row r="4289" spans="1:38" x14ac:dyDescent="0.2">
      <c r="A4289" s="2">
        <v>2026</v>
      </c>
      <c r="B4289" s="2">
        <v>7</v>
      </c>
      <c r="D4289" s="2" t="s">
        <v>1153</v>
      </c>
      <c r="E4289" s="2" t="s">
        <v>108</v>
      </c>
      <c r="F4289" s="2" t="s">
        <v>531</v>
      </c>
      <c r="H4289" s="2" t="s">
        <v>40</v>
      </c>
      <c r="I4289" s="2" t="s">
        <v>3285</v>
      </c>
      <c r="L4289" s="2" t="s">
        <v>339</v>
      </c>
      <c r="M4289" s="2" t="s">
        <v>40</v>
      </c>
      <c r="O4289" s="2" t="s">
        <v>3286</v>
      </c>
      <c r="P4289" s="2" t="s">
        <v>282</v>
      </c>
      <c r="Q4289" s="2" t="s">
        <v>2997</v>
      </c>
      <c r="R4289" s="2" t="s">
        <v>2998</v>
      </c>
      <c r="S4289" s="13">
        <v>1</v>
      </c>
      <c r="T4289" s="14">
        <v>1190</v>
      </c>
      <c r="U4289" s="2">
        <f t="shared" si="668"/>
        <v>273.7</v>
      </c>
      <c r="V4289" s="12">
        <f t="shared" si="669"/>
        <v>1463.7</v>
      </c>
      <c r="W4289" s="2">
        <v>773.5</v>
      </c>
      <c r="X4289" s="5">
        <f t="shared" si="670"/>
        <v>0.35</v>
      </c>
      <c r="Z4289" s="2" t="s">
        <v>117</v>
      </c>
      <c r="AA4289" s="2" t="s">
        <v>181</v>
      </c>
      <c r="AB4289" s="2" t="s">
        <v>3381</v>
      </c>
      <c r="AC4289" s="2" t="s">
        <v>1327</v>
      </c>
      <c r="AK4289" s="2">
        <f t="shared" si="667"/>
        <v>416.5</v>
      </c>
      <c r="AL4289" s="5">
        <f t="shared" si="671"/>
        <v>0.35</v>
      </c>
    </row>
    <row r="4290" spans="1:38" x14ac:dyDescent="0.2">
      <c r="A4290" s="2">
        <v>2026</v>
      </c>
      <c r="B4290" s="2">
        <v>7</v>
      </c>
      <c r="C4290" s="2" t="s">
        <v>3295</v>
      </c>
      <c r="D4290" s="2" t="s">
        <v>3271</v>
      </c>
      <c r="E4290" s="2" t="s">
        <v>38</v>
      </c>
      <c r="F4290" s="2" t="s">
        <v>39</v>
      </c>
      <c r="H4290" s="2" t="s">
        <v>290</v>
      </c>
      <c r="I4290" s="2" t="s">
        <v>3281</v>
      </c>
      <c r="L4290" s="2" t="s">
        <v>339</v>
      </c>
      <c r="M4290" s="2" t="s">
        <v>80</v>
      </c>
      <c r="O4290" s="2" t="s">
        <v>3280</v>
      </c>
      <c r="P4290" s="2" t="s">
        <v>72</v>
      </c>
      <c r="Q4290" s="2" t="s">
        <v>912</v>
      </c>
      <c r="R4290" s="2" t="s">
        <v>74</v>
      </c>
      <c r="S4290" s="13">
        <v>1</v>
      </c>
      <c r="T4290" s="14">
        <v>230.23</v>
      </c>
      <c r="U4290" s="2">
        <f t="shared" si="668"/>
        <v>52.9529</v>
      </c>
      <c r="V4290" s="12">
        <f t="shared" si="669"/>
        <v>283.18290000000002</v>
      </c>
      <c r="W4290" s="2">
        <f>115.92+6.06</f>
        <v>121.98</v>
      </c>
      <c r="X4290" s="5">
        <f t="shared" si="670"/>
        <v>0.47018199192112231</v>
      </c>
      <c r="Z4290" s="2" t="s">
        <v>3227</v>
      </c>
      <c r="AA4290" s="2" t="s">
        <v>75</v>
      </c>
      <c r="AB4290" s="2" t="s">
        <v>76</v>
      </c>
      <c r="AC4290" s="2" t="s">
        <v>77</v>
      </c>
      <c r="AK4290" s="2">
        <f t="shared" si="667"/>
        <v>108.24999999999999</v>
      </c>
      <c r="AL4290" s="5">
        <f t="shared" si="671"/>
        <v>0.47018199192112231</v>
      </c>
    </row>
    <row r="4291" spans="1:38" x14ac:dyDescent="0.2">
      <c r="A4291" s="2">
        <v>2026</v>
      </c>
      <c r="B4291" s="2">
        <v>7</v>
      </c>
      <c r="C4291" s="2" t="s">
        <v>3295</v>
      </c>
      <c r="D4291" s="2" t="s">
        <v>3271</v>
      </c>
      <c r="E4291" s="2" t="s">
        <v>38</v>
      </c>
      <c r="F4291" s="2" t="s">
        <v>39</v>
      </c>
      <c r="H4291" s="2" t="s">
        <v>290</v>
      </c>
      <c r="I4291" s="2" t="s">
        <v>3281</v>
      </c>
      <c r="L4291" s="2" t="s">
        <v>339</v>
      </c>
      <c r="M4291" s="2" t="s">
        <v>80</v>
      </c>
      <c r="O4291" s="2" t="s">
        <v>3280</v>
      </c>
      <c r="P4291" s="2" t="s">
        <v>93</v>
      </c>
      <c r="Q4291" s="2" t="s">
        <v>94</v>
      </c>
      <c r="R4291" s="2" t="s">
        <v>95</v>
      </c>
      <c r="S4291" s="13">
        <v>1</v>
      </c>
      <c r="T4291" s="14">
        <v>1.48</v>
      </c>
      <c r="U4291" s="2">
        <f t="shared" si="668"/>
        <v>0.34040000000000004</v>
      </c>
      <c r="V4291" s="12">
        <f t="shared" si="669"/>
        <v>1.8204</v>
      </c>
      <c r="W4291" s="2">
        <v>1.48</v>
      </c>
      <c r="X4291" s="5">
        <f t="shared" si="670"/>
        <v>0</v>
      </c>
      <c r="Z4291" s="2" t="s">
        <v>3227</v>
      </c>
      <c r="AA4291" s="2" t="s">
        <v>96</v>
      </c>
      <c r="AB4291" s="2" t="s">
        <v>76</v>
      </c>
      <c r="AC4291" s="2" t="s">
        <v>93</v>
      </c>
      <c r="AK4291" s="2">
        <f t="shared" si="667"/>
        <v>0</v>
      </c>
      <c r="AL4291" s="5">
        <f t="shared" si="671"/>
        <v>0</v>
      </c>
    </row>
    <row r="4292" spans="1:38" x14ac:dyDescent="0.2">
      <c r="A4292" s="2">
        <v>2026</v>
      </c>
      <c r="B4292" s="2">
        <v>7</v>
      </c>
      <c r="D4292" s="2" t="s">
        <v>3272</v>
      </c>
      <c r="E4292" s="2" t="s">
        <v>752</v>
      </c>
      <c r="F4292" s="2" t="s">
        <v>918</v>
      </c>
      <c r="H4292" s="2" t="s">
        <v>40</v>
      </c>
      <c r="I4292" s="2" t="s">
        <v>3287</v>
      </c>
      <c r="L4292" s="2" t="s">
        <v>99</v>
      </c>
      <c r="M4292" s="2" t="s">
        <v>40</v>
      </c>
      <c r="O4292" s="2" t="s">
        <v>3288</v>
      </c>
      <c r="P4292" s="2" t="s">
        <v>114</v>
      </c>
      <c r="Q4292" s="2" t="s">
        <v>904</v>
      </c>
      <c r="R4292" s="2" t="s">
        <v>905</v>
      </c>
      <c r="S4292" s="13">
        <v>1</v>
      </c>
      <c r="T4292" s="14">
        <v>699.3</v>
      </c>
      <c r="U4292" s="2">
        <f t="shared" si="668"/>
        <v>160.839</v>
      </c>
      <c r="V4292" s="12">
        <f t="shared" si="669"/>
        <v>860.1389999999999</v>
      </c>
      <c r="W4292" s="2">
        <v>345.20339999999999</v>
      </c>
      <c r="X4292" s="5">
        <f t="shared" si="670"/>
        <v>0.50635864435864431</v>
      </c>
      <c r="Z4292" s="2" t="s">
        <v>117</v>
      </c>
      <c r="AA4292" s="2" t="s">
        <v>181</v>
      </c>
      <c r="AB4292" s="2" t="s">
        <v>119</v>
      </c>
      <c r="AC4292" s="2" t="s">
        <v>114</v>
      </c>
      <c r="AK4292" s="2">
        <f t="shared" si="667"/>
        <v>354.09659999999997</v>
      </c>
      <c r="AL4292" s="5">
        <f t="shared" si="671"/>
        <v>0.50635864435864431</v>
      </c>
    </row>
    <row r="4293" spans="1:38" x14ac:dyDescent="0.2">
      <c r="A4293" s="2">
        <v>2026</v>
      </c>
      <c r="B4293" s="2">
        <v>7</v>
      </c>
      <c r="D4293" s="2" t="s">
        <v>3272</v>
      </c>
      <c r="E4293" s="2" t="s">
        <v>752</v>
      </c>
      <c r="F4293" s="2" t="s">
        <v>918</v>
      </c>
      <c r="H4293" s="2" t="s">
        <v>40</v>
      </c>
      <c r="I4293" s="2" t="s">
        <v>3287</v>
      </c>
      <c r="L4293" s="2" t="s">
        <v>99</v>
      </c>
      <c r="M4293" s="2" t="s">
        <v>40</v>
      </c>
      <c r="O4293" s="2" t="s">
        <v>3288</v>
      </c>
      <c r="P4293" s="2" t="s">
        <v>187</v>
      </c>
      <c r="Q4293" s="2" t="s">
        <v>188</v>
      </c>
      <c r="R4293" s="2" t="s">
        <v>189</v>
      </c>
      <c r="S4293" s="13">
        <v>1</v>
      </c>
      <c r="T4293" s="14">
        <v>55</v>
      </c>
      <c r="U4293" s="2">
        <f t="shared" si="668"/>
        <v>12.65</v>
      </c>
      <c r="V4293" s="12">
        <f t="shared" si="669"/>
        <v>67.650000000000006</v>
      </c>
      <c r="W4293" s="2">
        <f>T4293*40%</f>
        <v>22</v>
      </c>
      <c r="X4293" s="5">
        <f t="shared" si="670"/>
        <v>0.6</v>
      </c>
      <c r="Z4293" s="2" t="s">
        <v>117</v>
      </c>
      <c r="AA4293" s="2" t="s">
        <v>190</v>
      </c>
      <c r="AB4293" s="2" t="s">
        <v>189</v>
      </c>
      <c r="AC4293" s="2" t="s">
        <v>40</v>
      </c>
      <c r="AK4293" s="2">
        <f t="shared" si="667"/>
        <v>33</v>
      </c>
      <c r="AL4293" s="5">
        <f t="shared" si="671"/>
        <v>0.6</v>
      </c>
    </row>
    <row r="4294" spans="1:38" x14ac:dyDescent="0.2">
      <c r="A4294" s="2">
        <v>2026</v>
      </c>
      <c r="B4294" s="2">
        <v>7</v>
      </c>
      <c r="D4294" s="2" t="s">
        <v>3272</v>
      </c>
      <c r="E4294" s="2" t="s">
        <v>752</v>
      </c>
      <c r="F4294" s="2" t="s">
        <v>918</v>
      </c>
      <c r="H4294" s="2" t="s">
        <v>40</v>
      </c>
      <c r="I4294" s="2" t="s">
        <v>3287</v>
      </c>
      <c r="L4294" s="2" t="s">
        <v>99</v>
      </c>
      <c r="M4294" s="2" t="s">
        <v>40</v>
      </c>
      <c r="O4294" s="2" t="s">
        <v>3288</v>
      </c>
      <c r="P4294" s="2" t="s">
        <v>187</v>
      </c>
      <c r="Q4294" s="2" t="s">
        <v>191</v>
      </c>
      <c r="R4294" s="2" t="s">
        <v>190</v>
      </c>
      <c r="S4294" s="13">
        <v>0.5</v>
      </c>
      <c r="T4294" s="14">
        <v>27.5</v>
      </c>
      <c r="U4294" s="2">
        <f t="shared" si="668"/>
        <v>6.3250000000000002</v>
      </c>
      <c r="V4294" s="12">
        <f t="shared" si="669"/>
        <v>33.825000000000003</v>
      </c>
      <c r="W4294" s="2">
        <f>T4294*50%</f>
        <v>13.75</v>
      </c>
      <c r="X4294" s="5">
        <f t="shared" si="670"/>
        <v>0.5</v>
      </c>
      <c r="Z4294" s="2" t="s">
        <v>117</v>
      </c>
      <c r="AA4294" s="2" t="s">
        <v>190</v>
      </c>
      <c r="AB4294" s="2" t="s">
        <v>190</v>
      </c>
      <c r="AC4294" s="2" t="s">
        <v>40</v>
      </c>
      <c r="AK4294" s="2">
        <f t="shared" si="667"/>
        <v>13.75</v>
      </c>
      <c r="AL4294" s="5">
        <f t="shared" si="671"/>
        <v>0.5</v>
      </c>
    </row>
    <row r="4295" spans="1:38" x14ac:dyDescent="0.2">
      <c r="A4295" s="2">
        <v>2026</v>
      </c>
      <c r="B4295" s="2">
        <v>7</v>
      </c>
      <c r="C4295" s="2" t="s">
        <v>3295</v>
      </c>
      <c r="D4295" s="2" t="s">
        <v>3273</v>
      </c>
      <c r="E4295" s="2" t="s">
        <v>108</v>
      </c>
      <c r="F4295" s="2" t="s">
        <v>477</v>
      </c>
      <c r="H4295" s="2" t="s">
        <v>290</v>
      </c>
      <c r="I4295" s="2" t="s">
        <v>3289</v>
      </c>
      <c r="L4295" s="2" t="s">
        <v>293</v>
      </c>
      <c r="M4295" s="2" t="s">
        <v>80</v>
      </c>
      <c r="O4295" s="2" t="s">
        <v>3290</v>
      </c>
      <c r="P4295" s="2" t="s">
        <v>72</v>
      </c>
      <c r="Q4295" s="2" t="s">
        <v>3274</v>
      </c>
      <c r="R4295" s="2" t="s">
        <v>307</v>
      </c>
      <c r="S4295" s="13">
        <v>1</v>
      </c>
      <c r="T4295" s="14">
        <v>220</v>
      </c>
      <c r="U4295" s="2">
        <f t="shared" si="668"/>
        <v>50.6</v>
      </c>
      <c r="V4295" s="12">
        <f t="shared" si="669"/>
        <v>270.60000000000002</v>
      </c>
      <c r="W4295" s="2">
        <v>119.95</v>
      </c>
      <c r="X4295" s="5">
        <f t="shared" si="670"/>
        <v>0.45477272727272727</v>
      </c>
      <c r="Z4295" s="2" t="s">
        <v>3227</v>
      </c>
      <c r="AA4295" s="2" t="s">
        <v>75</v>
      </c>
      <c r="AB4295" s="2" t="s">
        <v>76</v>
      </c>
      <c r="AC4295" s="2" t="s">
        <v>77</v>
      </c>
      <c r="AG4295" s="2">
        <v>119.95</v>
      </c>
      <c r="AK4295" s="2">
        <f t="shared" si="667"/>
        <v>100.05</v>
      </c>
      <c r="AL4295" s="5">
        <f t="shared" si="671"/>
        <v>0.45477272727272727</v>
      </c>
    </row>
    <row r="4296" spans="1:38" x14ac:dyDescent="0.2">
      <c r="A4296" s="2">
        <v>2026</v>
      </c>
      <c r="B4296" s="2">
        <v>7</v>
      </c>
      <c r="C4296" s="2" t="s">
        <v>3295</v>
      </c>
      <c r="D4296" s="2" t="s">
        <v>3273</v>
      </c>
      <c r="E4296" s="2" t="s">
        <v>108</v>
      </c>
      <c r="F4296" s="2" t="s">
        <v>477</v>
      </c>
      <c r="H4296" s="2" t="s">
        <v>290</v>
      </c>
      <c r="I4296" s="2" t="s">
        <v>3289</v>
      </c>
      <c r="L4296" s="2" t="s">
        <v>293</v>
      </c>
      <c r="M4296" s="2" t="s">
        <v>80</v>
      </c>
      <c r="O4296" s="2" t="s">
        <v>3290</v>
      </c>
      <c r="P4296" s="2" t="s">
        <v>93</v>
      </c>
      <c r="Q4296" s="2" t="s">
        <v>94</v>
      </c>
      <c r="R4296" s="2" t="s">
        <v>95</v>
      </c>
      <c r="S4296" s="13">
        <v>1</v>
      </c>
      <c r="T4296" s="14">
        <v>1.48</v>
      </c>
      <c r="U4296" s="2">
        <f t="shared" si="668"/>
        <v>0.34040000000000004</v>
      </c>
      <c r="V4296" s="12">
        <f t="shared" si="669"/>
        <v>1.8204</v>
      </c>
      <c r="W4296" s="2">
        <v>1.48</v>
      </c>
      <c r="X4296" s="5">
        <f t="shared" si="670"/>
        <v>0</v>
      </c>
      <c r="Z4296" s="2" t="s">
        <v>3227</v>
      </c>
      <c r="AA4296" s="2" t="s">
        <v>96</v>
      </c>
      <c r="AB4296" s="2" t="s">
        <v>76</v>
      </c>
      <c r="AC4296" s="2" t="s">
        <v>93</v>
      </c>
      <c r="AG4296" s="2">
        <v>1.48</v>
      </c>
      <c r="AK4296" s="2">
        <f t="shared" si="667"/>
        <v>0</v>
      </c>
      <c r="AL4296" s="5">
        <f t="shared" si="671"/>
        <v>0</v>
      </c>
    </row>
    <row r="4297" spans="1:38" x14ac:dyDescent="0.2">
      <c r="A4297" s="2">
        <v>2026</v>
      </c>
      <c r="B4297" s="2">
        <v>7</v>
      </c>
      <c r="C4297" s="2" t="s">
        <v>3296</v>
      </c>
      <c r="D4297" s="2" t="s">
        <v>3100</v>
      </c>
      <c r="E4297" s="2" t="s">
        <v>38</v>
      </c>
      <c r="F4297" s="2" t="s">
        <v>39</v>
      </c>
      <c r="H4297" s="2" t="s">
        <v>109</v>
      </c>
      <c r="I4297" s="2" t="s">
        <v>3284</v>
      </c>
      <c r="L4297" s="2" t="s">
        <v>133</v>
      </c>
      <c r="M4297" s="2" t="s">
        <v>109</v>
      </c>
      <c r="O4297" s="2" t="s">
        <v>3283</v>
      </c>
      <c r="P4297" s="2" t="s">
        <v>101</v>
      </c>
      <c r="Q4297" s="2" t="s">
        <v>262</v>
      </c>
      <c r="R4297" s="2" t="s">
        <v>263</v>
      </c>
      <c r="S4297" s="13">
        <v>1</v>
      </c>
      <c r="T4297" s="14">
        <v>13000</v>
      </c>
      <c r="U4297" s="2">
        <f t="shared" si="668"/>
        <v>2990</v>
      </c>
      <c r="V4297" s="12">
        <f t="shared" si="669"/>
        <v>15990</v>
      </c>
      <c r="W4297" s="2">
        <v>8765.42</v>
      </c>
      <c r="X4297" s="5">
        <f t="shared" si="670"/>
        <v>0.32573692307692309</v>
      </c>
      <c r="Z4297" s="2" t="s">
        <v>104</v>
      </c>
      <c r="AA4297" s="2" t="s">
        <v>264</v>
      </c>
      <c r="AB4297" s="2" t="s">
        <v>265</v>
      </c>
      <c r="AC4297" s="2" t="s">
        <v>101</v>
      </c>
      <c r="AG4297" s="2">
        <v>8765.42</v>
      </c>
      <c r="AK4297" s="2">
        <f t="shared" si="667"/>
        <v>4234.58</v>
      </c>
      <c r="AL4297" s="5">
        <f t="shared" si="671"/>
        <v>0.32573692307692309</v>
      </c>
    </row>
    <row r="4298" spans="1:38" x14ac:dyDescent="0.2">
      <c r="A4298" s="2">
        <v>2026</v>
      </c>
      <c r="B4298" s="2">
        <v>7</v>
      </c>
      <c r="C4298" s="2" t="s">
        <v>3296</v>
      </c>
      <c r="D4298" s="2" t="s">
        <v>3100</v>
      </c>
      <c r="E4298" s="2" t="s">
        <v>38</v>
      </c>
      <c r="F4298" s="2" t="s">
        <v>39</v>
      </c>
      <c r="H4298" s="2" t="s">
        <v>109</v>
      </c>
      <c r="I4298" s="2" t="s">
        <v>3284</v>
      </c>
      <c r="L4298" s="2" t="s">
        <v>133</v>
      </c>
      <c r="M4298" s="2" t="s">
        <v>109</v>
      </c>
      <c r="O4298" s="2" t="s">
        <v>3283</v>
      </c>
      <c r="P4298" s="2" t="s">
        <v>101</v>
      </c>
      <c r="Q4298" s="2" t="s">
        <v>3275</v>
      </c>
      <c r="R4298" s="2" t="s">
        <v>3276</v>
      </c>
      <c r="S4298" s="13">
        <v>1</v>
      </c>
      <c r="T4298" s="14">
        <v>6000</v>
      </c>
      <c r="U4298" s="2">
        <f t="shared" si="668"/>
        <v>1380</v>
      </c>
      <c r="V4298" s="12">
        <f t="shared" si="669"/>
        <v>7380</v>
      </c>
      <c r="W4298" s="2">
        <v>4221.5600000000004</v>
      </c>
      <c r="X4298" s="5">
        <f t="shared" si="670"/>
        <v>0.2964066666666666</v>
      </c>
      <c r="Z4298" s="2" t="s">
        <v>104</v>
      </c>
      <c r="AA4298" s="2" t="s">
        <v>105</v>
      </c>
      <c r="AB4298" s="2" t="s">
        <v>2027</v>
      </c>
      <c r="AC4298" s="2" t="s">
        <v>101</v>
      </c>
      <c r="AG4298" s="2">
        <v>4221.5600000000004</v>
      </c>
      <c r="AK4298" s="2">
        <f t="shared" si="667"/>
        <v>1778.4399999999996</v>
      </c>
      <c r="AL4298" s="5">
        <f t="shared" si="671"/>
        <v>0.2964066666666666</v>
      </c>
    </row>
    <row r="4299" spans="1:38" x14ac:dyDescent="0.2">
      <c r="A4299" s="2">
        <v>2026</v>
      </c>
      <c r="B4299" s="2">
        <v>7</v>
      </c>
      <c r="C4299" s="2" t="s">
        <v>3296</v>
      </c>
      <c r="D4299" s="2" t="s">
        <v>3100</v>
      </c>
      <c r="E4299" s="2" t="s">
        <v>38</v>
      </c>
      <c r="F4299" s="2" t="s">
        <v>39</v>
      </c>
      <c r="H4299" s="2" t="s">
        <v>109</v>
      </c>
      <c r="I4299" s="2" t="s">
        <v>3284</v>
      </c>
      <c r="L4299" s="2" t="s">
        <v>133</v>
      </c>
      <c r="M4299" s="2" t="s">
        <v>109</v>
      </c>
      <c r="O4299" s="2" t="s">
        <v>3283</v>
      </c>
      <c r="P4299" s="2" t="s">
        <v>101</v>
      </c>
      <c r="Q4299" s="2" t="s">
        <v>3277</v>
      </c>
      <c r="R4299" s="2" t="s">
        <v>3278</v>
      </c>
      <c r="S4299" s="13">
        <v>1</v>
      </c>
      <c r="T4299" s="14">
        <v>1000</v>
      </c>
      <c r="U4299" s="2">
        <f t="shared" si="668"/>
        <v>230</v>
      </c>
      <c r="V4299" s="12">
        <f t="shared" si="669"/>
        <v>1230</v>
      </c>
      <c r="W4299" s="2">
        <v>802.73</v>
      </c>
      <c r="X4299" s="5">
        <f t="shared" si="670"/>
        <v>0.19726999999999997</v>
      </c>
      <c r="Z4299" s="2" t="s">
        <v>104</v>
      </c>
      <c r="AA4299" s="2" t="s">
        <v>1111</v>
      </c>
      <c r="AB4299" s="2" t="s">
        <v>3282</v>
      </c>
      <c r="AC4299" s="2" t="s">
        <v>101</v>
      </c>
      <c r="AG4299" s="2">
        <v>802.73</v>
      </c>
      <c r="AK4299" s="2">
        <f t="shared" si="667"/>
        <v>197.26999999999998</v>
      </c>
      <c r="AL4299" s="5">
        <f t="shared" si="671"/>
        <v>0.19726999999999997</v>
      </c>
    </row>
    <row r="4300" spans="1:38" x14ac:dyDescent="0.2">
      <c r="A4300" s="2">
        <v>2026</v>
      </c>
      <c r="B4300" s="2">
        <v>7</v>
      </c>
      <c r="C4300" s="2" t="s">
        <v>3295</v>
      </c>
      <c r="D4300" s="2" t="s">
        <v>1993</v>
      </c>
      <c r="E4300" s="2" t="s">
        <v>108</v>
      </c>
      <c r="F4300" s="2" t="s">
        <v>39</v>
      </c>
      <c r="H4300" s="2" t="s">
        <v>290</v>
      </c>
      <c r="I4300" s="2" t="s">
        <v>3281</v>
      </c>
      <c r="L4300" s="2" t="s">
        <v>339</v>
      </c>
      <c r="M4300" s="2" t="s">
        <v>40</v>
      </c>
      <c r="O4300" s="2" t="s">
        <v>3291</v>
      </c>
      <c r="P4300" s="2" t="s">
        <v>187</v>
      </c>
      <c r="Q4300" s="2" t="s">
        <v>188</v>
      </c>
      <c r="R4300" s="2" t="s">
        <v>189</v>
      </c>
      <c r="S4300" s="13">
        <v>1</v>
      </c>
      <c r="T4300" s="14">
        <v>60</v>
      </c>
      <c r="U4300" s="2">
        <f t="shared" si="668"/>
        <v>13.8</v>
      </c>
      <c r="V4300" s="12">
        <f t="shared" si="669"/>
        <v>73.8</v>
      </c>
      <c r="W4300" s="2">
        <f>T4300*40%</f>
        <v>24</v>
      </c>
      <c r="X4300" s="5">
        <f t="shared" si="670"/>
        <v>0.6</v>
      </c>
      <c r="Z4300" s="2" t="s">
        <v>117</v>
      </c>
      <c r="AA4300" s="2" t="s">
        <v>190</v>
      </c>
      <c r="AB4300" s="2" t="s">
        <v>189</v>
      </c>
      <c r="AC4300" s="2" t="s">
        <v>40</v>
      </c>
      <c r="AK4300" s="2">
        <f t="shared" si="667"/>
        <v>36</v>
      </c>
      <c r="AL4300" s="5">
        <f t="shared" si="671"/>
        <v>0.6</v>
      </c>
    </row>
    <row r="4301" spans="1:38" x14ac:dyDescent="0.2">
      <c r="A4301" s="2">
        <v>2026</v>
      </c>
      <c r="B4301" s="2">
        <v>7</v>
      </c>
      <c r="C4301" s="2" t="s">
        <v>3439</v>
      </c>
      <c r="D4301" s="2" t="s">
        <v>1993</v>
      </c>
      <c r="E4301" s="2" t="s">
        <v>108</v>
      </c>
      <c r="F4301" s="2" t="s">
        <v>39</v>
      </c>
      <c r="H4301" s="2" t="s">
        <v>290</v>
      </c>
      <c r="I4301" s="2" t="s">
        <v>3281</v>
      </c>
      <c r="L4301" s="2" t="s">
        <v>339</v>
      </c>
      <c r="M4301" s="2" t="s">
        <v>40</v>
      </c>
      <c r="O4301" s="2" t="s">
        <v>3291</v>
      </c>
      <c r="P4301" s="2" t="s">
        <v>187</v>
      </c>
      <c r="Q4301" s="2" t="s">
        <v>191</v>
      </c>
      <c r="R4301" s="2" t="s">
        <v>190</v>
      </c>
      <c r="S4301" s="13">
        <v>1</v>
      </c>
      <c r="T4301" s="14">
        <v>55</v>
      </c>
      <c r="U4301" s="2">
        <f t="shared" si="668"/>
        <v>12.65</v>
      </c>
      <c r="V4301" s="12">
        <f t="shared" si="669"/>
        <v>67.650000000000006</v>
      </c>
      <c r="W4301" s="2">
        <f>T4301*50%</f>
        <v>27.5</v>
      </c>
      <c r="X4301" s="5">
        <f t="shared" si="670"/>
        <v>0.5</v>
      </c>
      <c r="Z4301" s="2" t="s">
        <v>117</v>
      </c>
      <c r="AA4301" s="2" t="s">
        <v>190</v>
      </c>
      <c r="AB4301" s="2" t="s">
        <v>190</v>
      </c>
      <c r="AC4301" s="2" t="s">
        <v>40</v>
      </c>
      <c r="AK4301" s="2">
        <f t="shared" si="667"/>
        <v>27.5</v>
      </c>
      <c r="AL4301" s="5">
        <f t="shared" si="671"/>
        <v>0.5</v>
      </c>
    </row>
    <row r="4302" spans="1:38" x14ac:dyDescent="0.2">
      <c r="A4302" s="2">
        <v>2026</v>
      </c>
      <c r="B4302" s="2">
        <v>7</v>
      </c>
      <c r="C4302" s="2" t="s">
        <v>3295</v>
      </c>
      <c r="D4302" s="2" t="s">
        <v>1484</v>
      </c>
      <c r="E4302" s="2" t="s">
        <v>108</v>
      </c>
      <c r="F4302" s="2" t="s">
        <v>39</v>
      </c>
      <c r="L4302" s="2" t="s">
        <v>398</v>
      </c>
      <c r="M4302" s="2" t="s">
        <v>40</v>
      </c>
      <c r="P4302" s="2" t="s">
        <v>114</v>
      </c>
      <c r="Q4302" s="2" t="s">
        <v>904</v>
      </c>
      <c r="R4302" s="2" t="s">
        <v>905</v>
      </c>
      <c r="S4302" s="13">
        <v>1</v>
      </c>
      <c r="T4302" s="14">
        <v>699.3</v>
      </c>
      <c r="U4302" s="2">
        <f t="shared" si="668"/>
        <v>160.839</v>
      </c>
      <c r="V4302" s="2">
        <f t="shared" si="669"/>
        <v>860.1389999999999</v>
      </c>
      <c r="W4302" s="2">
        <v>345.20339999999999</v>
      </c>
      <c r="X4302" s="5">
        <f t="shared" si="670"/>
        <v>0.50635864435864431</v>
      </c>
      <c r="Z4302" s="2" t="s">
        <v>117</v>
      </c>
      <c r="AA4302" s="2" t="s">
        <v>181</v>
      </c>
      <c r="AB4302" s="2" t="s">
        <v>119</v>
      </c>
      <c r="AC4302" s="2" t="s">
        <v>114</v>
      </c>
      <c r="AK4302" s="2">
        <f t="shared" si="667"/>
        <v>354.09659999999997</v>
      </c>
      <c r="AL4302" s="5">
        <f t="shared" si="671"/>
        <v>0.50635864435864431</v>
      </c>
    </row>
    <row r="4303" spans="1:38" x14ac:dyDescent="0.2">
      <c r="A4303" s="2">
        <v>2026</v>
      </c>
      <c r="B4303" s="2">
        <v>7</v>
      </c>
      <c r="C4303" s="2" t="s">
        <v>3295</v>
      </c>
      <c r="D4303" s="2" t="s">
        <v>1484</v>
      </c>
      <c r="E4303" s="2" t="s">
        <v>108</v>
      </c>
      <c r="F4303" s="2" t="s">
        <v>39</v>
      </c>
      <c r="L4303" s="2" t="s">
        <v>398</v>
      </c>
      <c r="M4303" s="2" t="s">
        <v>40</v>
      </c>
      <c r="P4303" s="2" t="s">
        <v>187</v>
      </c>
      <c r="Q4303" s="2" t="s">
        <v>188</v>
      </c>
      <c r="R4303" s="2" t="s">
        <v>189</v>
      </c>
      <c r="S4303" s="13">
        <v>1</v>
      </c>
      <c r="T4303" s="14">
        <v>314</v>
      </c>
      <c r="U4303" s="2">
        <f t="shared" si="668"/>
        <v>72.22</v>
      </c>
      <c r="V4303" s="2">
        <f t="shared" si="669"/>
        <v>386.22</v>
      </c>
      <c r="W4303" s="2">
        <f>T4303*40%</f>
        <v>125.60000000000001</v>
      </c>
      <c r="X4303" s="5">
        <f t="shared" si="670"/>
        <v>0.6</v>
      </c>
      <c r="Z4303" s="2" t="s">
        <v>117</v>
      </c>
      <c r="AA4303" s="2" t="s">
        <v>190</v>
      </c>
      <c r="AB4303" s="2" t="s">
        <v>189</v>
      </c>
      <c r="AC4303" s="2" t="s">
        <v>40</v>
      </c>
      <c r="AK4303" s="2">
        <f t="shared" si="667"/>
        <v>188.39999999999998</v>
      </c>
      <c r="AL4303" s="5">
        <f t="shared" si="671"/>
        <v>0.6</v>
      </c>
    </row>
    <row r="4304" spans="1:38" x14ac:dyDescent="0.2">
      <c r="A4304" s="2">
        <v>2026</v>
      </c>
      <c r="B4304" s="2">
        <v>7</v>
      </c>
      <c r="C4304" s="2" t="s">
        <v>3295</v>
      </c>
      <c r="D4304" s="2" t="s">
        <v>1484</v>
      </c>
      <c r="E4304" s="2" t="s">
        <v>108</v>
      </c>
      <c r="F4304" s="2" t="s">
        <v>39</v>
      </c>
      <c r="L4304" s="2" t="s">
        <v>398</v>
      </c>
      <c r="M4304" s="2" t="s">
        <v>40</v>
      </c>
      <c r="P4304" s="2" t="s">
        <v>187</v>
      </c>
      <c r="Q4304" s="2" t="s">
        <v>191</v>
      </c>
      <c r="R4304" s="2" t="s">
        <v>190</v>
      </c>
      <c r="S4304" s="13">
        <v>1</v>
      </c>
      <c r="T4304" s="14">
        <v>55</v>
      </c>
      <c r="U4304" s="2">
        <f t="shared" si="668"/>
        <v>12.65</v>
      </c>
      <c r="V4304" s="2">
        <f t="shared" si="669"/>
        <v>67.650000000000006</v>
      </c>
      <c r="W4304" s="2">
        <f>T4304*50%</f>
        <v>27.5</v>
      </c>
      <c r="X4304" s="5">
        <f t="shared" si="670"/>
        <v>0.5</v>
      </c>
      <c r="Z4304" s="2" t="s">
        <v>117</v>
      </c>
      <c r="AA4304" s="2" t="s">
        <v>190</v>
      </c>
      <c r="AB4304" s="2" t="s">
        <v>190</v>
      </c>
      <c r="AC4304" s="2" t="s">
        <v>40</v>
      </c>
      <c r="AK4304" s="2">
        <f t="shared" si="667"/>
        <v>27.5</v>
      </c>
      <c r="AL4304" s="5">
        <f t="shared" si="671"/>
        <v>0.5</v>
      </c>
    </row>
    <row r="4305" spans="1:38" x14ac:dyDescent="0.2">
      <c r="A4305" s="2">
        <v>2026</v>
      </c>
      <c r="B4305" s="2">
        <v>7</v>
      </c>
      <c r="C4305" s="2" t="s">
        <v>3296</v>
      </c>
      <c r="D4305" s="2" t="s">
        <v>3333</v>
      </c>
      <c r="E4305" s="2" t="s">
        <v>108</v>
      </c>
      <c r="F4305" s="2" t="s">
        <v>39</v>
      </c>
      <c r="L4305" s="2" t="s">
        <v>339</v>
      </c>
      <c r="M4305" s="2" t="s">
        <v>40</v>
      </c>
      <c r="P4305" s="2" t="s">
        <v>187</v>
      </c>
      <c r="Q4305" s="2" t="s">
        <v>188</v>
      </c>
      <c r="R4305" s="2" t="s">
        <v>189</v>
      </c>
      <c r="S4305" s="13">
        <v>1</v>
      </c>
      <c r="T4305" s="14">
        <v>60</v>
      </c>
      <c r="U4305" s="2">
        <f t="shared" si="668"/>
        <v>13.8</v>
      </c>
      <c r="V4305" s="2">
        <f t="shared" si="669"/>
        <v>73.8</v>
      </c>
      <c r="W4305" s="2">
        <f>T4305*40%</f>
        <v>24</v>
      </c>
      <c r="X4305" s="5">
        <f t="shared" si="670"/>
        <v>0.6</v>
      </c>
      <c r="Z4305" s="2" t="s">
        <v>117</v>
      </c>
      <c r="AA4305" s="2" t="s">
        <v>190</v>
      </c>
      <c r="AB4305" s="2" t="s">
        <v>189</v>
      </c>
      <c r="AC4305" s="2" t="s">
        <v>40</v>
      </c>
      <c r="AK4305" s="2">
        <f t="shared" si="667"/>
        <v>36</v>
      </c>
      <c r="AL4305" s="5">
        <f t="shared" si="671"/>
        <v>0.6</v>
      </c>
    </row>
    <row r="4306" spans="1:38" x14ac:dyDescent="0.2">
      <c r="A4306" s="2">
        <v>2026</v>
      </c>
      <c r="B4306" s="2">
        <v>7</v>
      </c>
      <c r="C4306" s="2" t="s">
        <v>3296</v>
      </c>
      <c r="D4306" s="2" t="s">
        <v>3333</v>
      </c>
      <c r="E4306" s="2" t="s">
        <v>108</v>
      </c>
      <c r="F4306" s="2" t="s">
        <v>39</v>
      </c>
      <c r="L4306" s="2" t="s">
        <v>339</v>
      </c>
      <c r="M4306" s="2" t="s">
        <v>40</v>
      </c>
      <c r="P4306" s="2" t="s">
        <v>187</v>
      </c>
      <c r="Q4306" s="2" t="s">
        <v>191</v>
      </c>
      <c r="R4306" s="2" t="s">
        <v>190</v>
      </c>
      <c r="S4306" s="13">
        <v>1</v>
      </c>
      <c r="T4306" s="14">
        <v>55</v>
      </c>
      <c r="U4306" s="2">
        <f t="shared" si="668"/>
        <v>12.65</v>
      </c>
      <c r="V4306" s="2">
        <f t="shared" si="669"/>
        <v>67.650000000000006</v>
      </c>
      <c r="W4306" s="2">
        <f>T4306*50%</f>
        <v>27.5</v>
      </c>
      <c r="X4306" s="5">
        <f t="shared" si="670"/>
        <v>0.5</v>
      </c>
      <c r="Z4306" s="2" t="s">
        <v>117</v>
      </c>
      <c r="AA4306" s="2" t="s">
        <v>190</v>
      </c>
      <c r="AB4306" s="2" t="s">
        <v>190</v>
      </c>
      <c r="AC4306" s="2" t="s">
        <v>40</v>
      </c>
      <c r="AK4306" s="2">
        <f t="shared" si="667"/>
        <v>27.5</v>
      </c>
      <c r="AL4306" s="5">
        <f t="shared" si="671"/>
        <v>0.5</v>
      </c>
    </row>
    <row r="4307" spans="1:38" x14ac:dyDescent="0.2">
      <c r="A4307" s="2">
        <v>2026</v>
      </c>
      <c r="B4307" s="2">
        <v>7</v>
      </c>
      <c r="C4307" s="2" t="s">
        <v>3295</v>
      </c>
      <c r="D4307" s="2" t="s">
        <v>3334</v>
      </c>
      <c r="E4307" s="2" t="s">
        <v>38</v>
      </c>
      <c r="F4307" s="2" t="s">
        <v>39</v>
      </c>
      <c r="H4307" s="2" t="s">
        <v>109</v>
      </c>
      <c r="L4307" s="2" t="s">
        <v>461</v>
      </c>
      <c r="M4307" s="2" t="s">
        <v>80</v>
      </c>
      <c r="P4307" s="2" t="s">
        <v>72</v>
      </c>
      <c r="Q4307" s="2" t="s">
        <v>664</v>
      </c>
      <c r="R4307" s="2" t="s">
        <v>79</v>
      </c>
      <c r="S4307" s="13">
        <v>1</v>
      </c>
      <c r="T4307" s="14">
        <v>220</v>
      </c>
      <c r="U4307" s="2">
        <f t="shared" si="668"/>
        <v>50.6</v>
      </c>
      <c r="V4307" s="2">
        <f t="shared" si="669"/>
        <v>270.60000000000002</v>
      </c>
      <c r="W4307" s="2">
        <f>113.905+11.25</f>
        <v>125.155</v>
      </c>
      <c r="X4307" s="5">
        <f t="shared" si="670"/>
        <v>0.43111363636363637</v>
      </c>
      <c r="Z4307" s="2" t="s">
        <v>3227</v>
      </c>
      <c r="AA4307" s="2" t="s">
        <v>75</v>
      </c>
      <c r="AB4307" s="2" t="s">
        <v>76</v>
      </c>
      <c r="AC4307" s="2" t="s">
        <v>77</v>
      </c>
      <c r="AK4307" s="2">
        <f t="shared" si="667"/>
        <v>94.844999999999999</v>
      </c>
      <c r="AL4307" s="5">
        <f t="shared" si="671"/>
        <v>0.43111363636363637</v>
      </c>
    </row>
    <row r="4308" spans="1:38" x14ac:dyDescent="0.2">
      <c r="A4308" s="2">
        <v>2026</v>
      </c>
      <c r="B4308" s="2">
        <v>7</v>
      </c>
      <c r="C4308" s="2" t="s">
        <v>3295</v>
      </c>
      <c r="D4308" s="2" t="s">
        <v>3334</v>
      </c>
      <c r="E4308" s="2" t="s">
        <v>38</v>
      </c>
      <c r="F4308" s="2" t="s">
        <v>39</v>
      </c>
      <c r="H4308" s="2" t="s">
        <v>109</v>
      </c>
      <c r="L4308" s="2" t="s">
        <v>461</v>
      </c>
      <c r="M4308" s="2" t="s">
        <v>80</v>
      </c>
      <c r="P4308" s="2" t="s">
        <v>93</v>
      </c>
      <c r="Q4308" s="2" t="s">
        <v>94</v>
      </c>
      <c r="R4308" s="2" t="s">
        <v>95</v>
      </c>
      <c r="S4308" s="13">
        <v>1</v>
      </c>
      <c r="T4308" s="14">
        <v>1.48</v>
      </c>
      <c r="U4308" s="2">
        <f t="shared" si="668"/>
        <v>0.34040000000000004</v>
      </c>
      <c r="V4308" s="2">
        <f t="shared" si="669"/>
        <v>1.8204</v>
      </c>
      <c r="W4308" s="2">
        <v>1.48</v>
      </c>
      <c r="X4308" s="5">
        <f t="shared" si="670"/>
        <v>0</v>
      </c>
      <c r="Z4308" s="2" t="s">
        <v>3227</v>
      </c>
      <c r="AA4308" s="2" t="s">
        <v>96</v>
      </c>
      <c r="AB4308" s="2" t="s">
        <v>76</v>
      </c>
      <c r="AC4308" s="2" t="s">
        <v>93</v>
      </c>
      <c r="AK4308" s="2">
        <f t="shared" si="667"/>
        <v>0</v>
      </c>
      <c r="AL4308" s="5">
        <f t="shared" si="671"/>
        <v>0</v>
      </c>
    </row>
    <row r="4309" spans="1:38" x14ac:dyDescent="0.2">
      <c r="A4309" s="2">
        <v>2026</v>
      </c>
      <c r="B4309" s="2">
        <v>7</v>
      </c>
      <c r="C4309" s="2" t="s">
        <v>3296</v>
      </c>
      <c r="D4309" s="15" t="s">
        <v>715</v>
      </c>
      <c r="E4309" s="2" t="s">
        <v>108</v>
      </c>
      <c r="F4309" s="2" t="s">
        <v>39</v>
      </c>
      <c r="L4309" s="2" t="s">
        <v>344</v>
      </c>
      <c r="M4309" s="2" t="s">
        <v>40</v>
      </c>
      <c r="P4309" s="2" t="s">
        <v>187</v>
      </c>
      <c r="Q4309" s="2" t="s">
        <v>188</v>
      </c>
      <c r="R4309" s="2" t="s">
        <v>189</v>
      </c>
      <c r="S4309" s="9">
        <v>2</v>
      </c>
      <c r="T4309" s="14">
        <v>634</v>
      </c>
      <c r="U4309" s="2">
        <f t="shared" si="668"/>
        <v>145.82</v>
      </c>
      <c r="V4309" s="2">
        <f t="shared" si="669"/>
        <v>779.81999999999994</v>
      </c>
      <c r="W4309" s="2">
        <f>T4309*40%</f>
        <v>253.60000000000002</v>
      </c>
      <c r="X4309" s="5">
        <f t="shared" si="670"/>
        <v>0.6</v>
      </c>
      <c r="Z4309" s="2" t="s">
        <v>117</v>
      </c>
      <c r="AA4309" s="2" t="s">
        <v>190</v>
      </c>
      <c r="AB4309" s="2" t="s">
        <v>189</v>
      </c>
      <c r="AC4309" s="2" t="s">
        <v>40</v>
      </c>
      <c r="AK4309" s="2">
        <f t="shared" si="667"/>
        <v>380.4</v>
      </c>
      <c r="AL4309" s="5">
        <f t="shared" si="671"/>
        <v>0.6</v>
      </c>
    </row>
    <row r="4310" spans="1:38" x14ac:dyDescent="0.2">
      <c r="A4310" s="2">
        <v>2026</v>
      </c>
      <c r="B4310" s="2">
        <v>7</v>
      </c>
      <c r="C4310" s="2" t="s">
        <v>3296</v>
      </c>
      <c r="D4310" s="15" t="s">
        <v>715</v>
      </c>
      <c r="E4310" s="2" t="s">
        <v>108</v>
      </c>
      <c r="F4310" s="2" t="s">
        <v>39</v>
      </c>
      <c r="L4310" s="2" t="s">
        <v>344</v>
      </c>
      <c r="M4310" s="2" t="s">
        <v>40</v>
      </c>
      <c r="P4310" s="2" t="s">
        <v>187</v>
      </c>
      <c r="Q4310" s="2" t="s">
        <v>191</v>
      </c>
      <c r="R4310" s="2" t="s">
        <v>190</v>
      </c>
      <c r="S4310" s="9">
        <v>3.5</v>
      </c>
      <c r="T4310" s="14">
        <v>192.5</v>
      </c>
      <c r="U4310" s="2">
        <f t="shared" si="668"/>
        <v>44.274999999999999</v>
      </c>
      <c r="V4310" s="2">
        <f t="shared" si="669"/>
        <v>236.77500000000001</v>
      </c>
      <c r="W4310" s="2">
        <f>T4310*50%</f>
        <v>96.25</v>
      </c>
      <c r="X4310" s="5">
        <f t="shared" si="670"/>
        <v>0.5</v>
      </c>
      <c r="Z4310" s="2" t="s">
        <v>117</v>
      </c>
      <c r="AA4310" s="2" t="s">
        <v>190</v>
      </c>
      <c r="AB4310" s="2" t="s">
        <v>190</v>
      </c>
      <c r="AC4310" s="2" t="s">
        <v>40</v>
      </c>
      <c r="AK4310" s="2">
        <f t="shared" si="667"/>
        <v>96.25</v>
      </c>
      <c r="AL4310" s="5">
        <f t="shared" si="671"/>
        <v>0.5</v>
      </c>
    </row>
    <row r="4311" spans="1:38" x14ac:dyDescent="0.2">
      <c r="A4311" s="2">
        <v>2026</v>
      </c>
      <c r="B4311" s="2">
        <v>7</v>
      </c>
      <c r="C4311" s="2" t="s">
        <v>3295</v>
      </c>
      <c r="D4311" s="15" t="s">
        <v>973</v>
      </c>
      <c r="E4311" s="2" t="s">
        <v>108</v>
      </c>
      <c r="F4311" s="2" t="s">
        <v>39</v>
      </c>
      <c r="L4311" s="2" t="s">
        <v>339</v>
      </c>
      <c r="M4311" s="2" t="s">
        <v>40</v>
      </c>
      <c r="P4311" s="2" t="s">
        <v>187</v>
      </c>
      <c r="Q4311" s="16" t="s">
        <v>188</v>
      </c>
      <c r="R4311" s="15" t="s">
        <v>189</v>
      </c>
      <c r="S4311" s="9">
        <v>1</v>
      </c>
      <c r="T4311" s="14">
        <v>60</v>
      </c>
      <c r="U4311" s="2">
        <f t="shared" ref="U4311:U4342" si="672">T4311*23%</f>
        <v>13.8</v>
      </c>
      <c r="V4311" s="2">
        <f t="shared" ref="V4311:V4342" si="673">T4311+U4311</f>
        <v>73.8</v>
      </c>
      <c r="W4311" s="2">
        <f>T4311*40%</f>
        <v>24</v>
      </c>
      <c r="X4311" s="5">
        <f t="shared" ref="X4311:X4329" si="674">(T4311-W4311)/T4311</f>
        <v>0.6</v>
      </c>
      <c r="Z4311" s="2" t="s">
        <v>117</v>
      </c>
      <c r="AA4311" s="2" t="s">
        <v>190</v>
      </c>
      <c r="AB4311" s="2" t="s">
        <v>189</v>
      </c>
      <c r="AC4311" s="2" t="s">
        <v>40</v>
      </c>
      <c r="AK4311" s="2">
        <f t="shared" si="667"/>
        <v>36</v>
      </c>
      <c r="AL4311" s="5">
        <f t="shared" ref="AL4311:AL4329" si="675">(T4311-W4311)/T4311</f>
        <v>0.6</v>
      </c>
    </row>
    <row r="4312" spans="1:38" x14ac:dyDescent="0.2">
      <c r="A4312" s="2">
        <v>2026</v>
      </c>
      <c r="B4312" s="2">
        <v>7</v>
      </c>
      <c r="C4312" s="2" t="s">
        <v>3295</v>
      </c>
      <c r="D4312" s="15" t="s">
        <v>973</v>
      </c>
      <c r="E4312" s="2" t="s">
        <v>108</v>
      </c>
      <c r="F4312" s="2" t="s">
        <v>39</v>
      </c>
      <c r="L4312" s="2" t="s">
        <v>339</v>
      </c>
      <c r="M4312" s="2" t="s">
        <v>40</v>
      </c>
      <c r="P4312" s="2" t="s">
        <v>187</v>
      </c>
      <c r="Q4312" s="16" t="s">
        <v>191</v>
      </c>
      <c r="R4312" s="15" t="s">
        <v>190</v>
      </c>
      <c r="S4312" s="9">
        <v>1.5</v>
      </c>
      <c r="T4312" s="14">
        <v>82.5</v>
      </c>
      <c r="U4312" s="2">
        <f t="shared" si="672"/>
        <v>18.975000000000001</v>
      </c>
      <c r="V4312" s="2">
        <f t="shared" si="673"/>
        <v>101.47499999999999</v>
      </c>
      <c r="W4312" s="2">
        <f>T4312*50%</f>
        <v>41.25</v>
      </c>
      <c r="X4312" s="5">
        <f t="shared" si="674"/>
        <v>0.5</v>
      </c>
      <c r="Z4312" s="2" t="s">
        <v>117</v>
      </c>
      <c r="AA4312" s="2" t="s">
        <v>190</v>
      </c>
      <c r="AB4312" s="2" t="s">
        <v>190</v>
      </c>
      <c r="AC4312" s="2" t="s">
        <v>40</v>
      </c>
      <c r="AK4312" s="2">
        <f t="shared" si="667"/>
        <v>41.25</v>
      </c>
      <c r="AL4312" s="5">
        <f t="shared" si="675"/>
        <v>0.5</v>
      </c>
    </row>
    <row r="4313" spans="1:38" x14ac:dyDescent="0.2">
      <c r="A4313" s="2">
        <v>2026</v>
      </c>
      <c r="B4313" s="2">
        <v>7</v>
      </c>
      <c r="C4313" s="2" t="s">
        <v>3295</v>
      </c>
      <c r="D4313" s="15" t="s">
        <v>332</v>
      </c>
      <c r="E4313" s="2" t="s">
        <v>108</v>
      </c>
      <c r="F4313" s="2" t="s">
        <v>39</v>
      </c>
      <c r="G4313" s="2">
        <v>513493557</v>
      </c>
      <c r="H4313" s="2" t="s">
        <v>41</v>
      </c>
      <c r="I4313" s="2" t="s">
        <v>279</v>
      </c>
      <c r="J4313" s="2" t="s">
        <v>333</v>
      </c>
      <c r="L4313" s="2" t="s">
        <v>177</v>
      </c>
      <c r="M4313" s="2" t="s">
        <v>40</v>
      </c>
      <c r="P4313" s="2" t="s">
        <v>114</v>
      </c>
      <c r="Q4313" s="16" t="s">
        <v>576</v>
      </c>
      <c r="R4313" s="15" t="s">
        <v>577</v>
      </c>
      <c r="S4313" s="13">
        <v>1</v>
      </c>
      <c r="T4313" s="14">
        <v>79.47</v>
      </c>
      <c r="U4313" s="2">
        <f t="shared" si="672"/>
        <v>18.278100000000002</v>
      </c>
      <c r="V4313" s="2">
        <f t="shared" si="673"/>
        <v>97.748099999999994</v>
      </c>
      <c r="W4313" s="2">
        <v>25.2</v>
      </c>
      <c r="X4313" s="5">
        <f t="shared" si="674"/>
        <v>0.68289920724801811</v>
      </c>
      <c r="Z4313" s="2" t="s">
        <v>117</v>
      </c>
      <c r="AA4313" s="2" t="s">
        <v>578</v>
      </c>
      <c r="AB4313" s="2" t="s">
        <v>119</v>
      </c>
      <c r="AC4313" s="2" t="s">
        <v>114</v>
      </c>
      <c r="AK4313" s="2">
        <f t="shared" si="667"/>
        <v>54.269999999999996</v>
      </c>
      <c r="AL4313" s="5">
        <f t="shared" si="675"/>
        <v>0.68289920724801811</v>
      </c>
    </row>
    <row r="4314" spans="1:38" x14ac:dyDescent="0.2">
      <c r="A4314" s="2">
        <v>2026</v>
      </c>
      <c r="B4314" s="2">
        <v>7</v>
      </c>
      <c r="C4314" s="2" t="s">
        <v>3295</v>
      </c>
      <c r="D4314" s="15" t="s">
        <v>981</v>
      </c>
      <c r="E4314" s="2" t="s">
        <v>108</v>
      </c>
      <c r="F4314" s="2" t="s">
        <v>717</v>
      </c>
      <c r="L4314" s="2" t="s">
        <v>293</v>
      </c>
      <c r="M4314" s="2" t="s">
        <v>80</v>
      </c>
      <c r="P4314" s="2" t="s">
        <v>1038</v>
      </c>
      <c r="Q4314" s="16" t="s">
        <v>3345</v>
      </c>
      <c r="R4314" s="15" t="s">
        <v>3346</v>
      </c>
      <c r="S4314" s="13">
        <v>1</v>
      </c>
      <c r="T4314" s="14">
        <v>280</v>
      </c>
      <c r="U4314" s="2">
        <f t="shared" si="672"/>
        <v>64.400000000000006</v>
      </c>
      <c r="V4314" s="2">
        <f t="shared" si="673"/>
        <v>344.4</v>
      </c>
      <c r="W4314" s="2">
        <f>144.32+16.82</f>
        <v>161.13999999999999</v>
      </c>
      <c r="X4314" s="5">
        <f t="shared" si="674"/>
        <v>0.42450000000000004</v>
      </c>
      <c r="Z4314" s="2" t="s">
        <v>3227</v>
      </c>
      <c r="AA4314" s="2" t="s">
        <v>75</v>
      </c>
      <c r="AB4314" s="2" t="s">
        <v>76</v>
      </c>
      <c r="AC4314" s="2" t="s">
        <v>1038</v>
      </c>
      <c r="AK4314" s="2">
        <f t="shared" si="667"/>
        <v>118.86000000000001</v>
      </c>
      <c r="AL4314" s="5">
        <f t="shared" si="675"/>
        <v>0.42450000000000004</v>
      </c>
    </row>
    <row r="4315" spans="1:38" x14ac:dyDescent="0.2">
      <c r="A4315" s="2">
        <v>2026</v>
      </c>
      <c r="B4315" s="2">
        <v>7</v>
      </c>
      <c r="C4315" s="2" t="s">
        <v>3295</v>
      </c>
      <c r="D4315" s="15" t="s">
        <v>981</v>
      </c>
      <c r="E4315" s="2" t="s">
        <v>108</v>
      </c>
      <c r="F4315" s="2" t="s">
        <v>717</v>
      </c>
      <c r="L4315" s="2" t="s">
        <v>293</v>
      </c>
      <c r="M4315" s="2" t="s">
        <v>80</v>
      </c>
      <c r="P4315" s="2" t="s">
        <v>93</v>
      </c>
      <c r="Q4315" s="16" t="s">
        <v>94</v>
      </c>
      <c r="R4315" s="15" t="s">
        <v>95</v>
      </c>
      <c r="S4315" s="13">
        <v>1</v>
      </c>
      <c r="T4315" s="14">
        <v>1.48</v>
      </c>
      <c r="U4315" s="2">
        <f t="shared" si="672"/>
        <v>0.34040000000000004</v>
      </c>
      <c r="V4315" s="2">
        <f t="shared" si="673"/>
        <v>1.8204</v>
      </c>
      <c r="W4315" s="2">
        <v>1.48</v>
      </c>
      <c r="X4315" s="5">
        <f t="shared" si="674"/>
        <v>0</v>
      </c>
      <c r="Z4315" s="2" t="s">
        <v>3227</v>
      </c>
      <c r="AA4315" s="2" t="s">
        <v>96</v>
      </c>
      <c r="AB4315" s="2" t="s">
        <v>76</v>
      </c>
      <c r="AC4315" s="2" t="s">
        <v>93</v>
      </c>
      <c r="AK4315" s="2">
        <f t="shared" si="667"/>
        <v>0</v>
      </c>
      <c r="AL4315" s="5">
        <f t="shared" si="675"/>
        <v>0</v>
      </c>
    </row>
    <row r="4316" spans="1:38" x14ac:dyDescent="0.2">
      <c r="A4316" s="2">
        <v>2026</v>
      </c>
      <c r="B4316" s="2">
        <v>7</v>
      </c>
      <c r="C4316" s="2" t="s">
        <v>3294</v>
      </c>
      <c r="D4316" s="15" t="s">
        <v>1355</v>
      </c>
      <c r="E4316" s="2" t="s">
        <v>752</v>
      </c>
      <c r="F4316" s="2" t="s">
        <v>39</v>
      </c>
      <c r="G4316" s="2">
        <v>518238334</v>
      </c>
      <c r="H4316" s="2" t="s">
        <v>41</v>
      </c>
      <c r="I4316" s="2" t="s">
        <v>762</v>
      </c>
      <c r="J4316" s="2" t="s">
        <v>1356</v>
      </c>
      <c r="L4316" s="2" t="s">
        <v>418</v>
      </c>
      <c r="M4316" s="2" t="s">
        <v>40</v>
      </c>
      <c r="P4316" s="2" t="s">
        <v>282</v>
      </c>
      <c r="Q4316" s="16" t="s">
        <v>2997</v>
      </c>
      <c r="R4316" s="15" t="s">
        <v>2998</v>
      </c>
      <c r="S4316" s="13">
        <v>1</v>
      </c>
      <c r="T4316" s="14">
        <v>1190</v>
      </c>
      <c r="U4316" s="2">
        <f t="shared" si="672"/>
        <v>273.7</v>
      </c>
      <c r="V4316" s="2">
        <f t="shared" si="673"/>
        <v>1463.7</v>
      </c>
      <c r="W4316" s="2">
        <v>773.5</v>
      </c>
      <c r="X4316" s="5">
        <f t="shared" si="674"/>
        <v>0.35</v>
      </c>
      <c r="Z4316" s="2" t="s">
        <v>117</v>
      </c>
      <c r="AA4316" s="2" t="s">
        <v>181</v>
      </c>
      <c r="AB4316" s="2" t="s">
        <v>3381</v>
      </c>
      <c r="AC4316" s="2" t="s">
        <v>1327</v>
      </c>
      <c r="AK4316" s="2">
        <f t="shared" si="667"/>
        <v>416.5</v>
      </c>
      <c r="AL4316" s="5">
        <f t="shared" si="675"/>
        <v>0.35</v>
      </c>
    </row>
    <row r="4317" spans="1:38" x14ac:dyDescent="0.2">
      <c r="A4317" s="2">
        <v>2026</v>
      </c>
      <c r="B4317" s="2">
        <v>7</v>
      </c>
      <c r="C4317" s="2" t="s">
        <v>3295</v>
      </c>
      <c r="D4317" s="15" t="s">
        <v>1355</v>
      </c>
      <c r="E4317" s="2" t="s">
        <v>752</v>
      </c>
      <c r="F4317" s="2" t="s">
        <v>39</v>
      </c>
      <c r="G4317" s="2">
        <v>518238334</v>
      </c>
      <c r="H4317" s="2" t="s">
        <v>41</v>
      </c>
      <c r="I4317" s="2" t="s">
        <v>762</v>
      </c>
      <c r="J4317" s="2" t="s">
        <v>1356</v>
      </c>
      <c r="L4317" s="2" t="s">
        <v>418</v>
      </c>
      <c r="M4317" s="2" t="s">
        <v>41</v>
      </c>
      <c r="P4317" s="2" t="s">
        <v>72</v>
      </c>
      <c r="Q4317" s="16" t="s">
        <v>73</v>
      </c>
      <c r="R4317" s="15" t="s">
        <v>74</v>
      </c>
      <c r="S4317" s="13">
        <v>1</v>
      </c>
      <c r="T4317" s="14">
        <v>180</v>
      </c>
      <c r="U4317" s="2">
        <f t="shared" si="672"/>
        <v>41.4</v>
      </c>
      <c r="V4317" s="2">
        <f t="shared" si="673"/>
        <v>221.4</v>
      </c>
      <c r="W4317" s="2">
        <v>125.51600000000001</v>
      </c>
      <c r="X4317" s="5">
        <f t="shared" si="674"/>
        <v>0.30268888888888884</v>
      </c>
      <c r="Z4317" s="2" t="s">
        <v>3227</v>
      </c>
      <c r="AA4317" s="2" t="s">
        <v>75</v>
      </c>
      <c r="AB4317" s="2" t="s">
        <v>76</v>
      </c>
      <c r="AC4317" s="2" t="s">
        <v>77</v>
      </c>
      <c r="AK4317" s="2">
        <f t="shared" si="667"/>
        <v>54.483999999999995</v>
      </c>
      <c r="AL4317" s="5">
        <f t="shared" si="675"/>
        <v>0.30268888888888884</v>
      </c>
    </row>
    <row r="4318" spans="1:38" x14ac:dyDescent="0.2">
      <c r="A4318" s="2">
        <v>2026</v>
      </c>
      <c r="B4318" s="2">
        <v>7</v>
      </c>
      <c r="C4318" s="2" t="s">
        <v>3295</v>
      </c>
      <c r="D4318" s="15" t="s">
        <v>1355</v>
      </c>
      <c r="E4318" s="2" t="s">
        <v>752</v>
      </c>
      <c r="F4318" s="2" t="s">
        <v>39</v>
      </c>
      <c r="G4318" s="2">
        <v>518238334</v>
      </c>
      <c r="H4318" s="2" t="s">
        <v>41</v>
      </c>
      <c r="I4318" s="2" t="s">
        <v>762</v>
      </c>
      <c r="J4318" s="2" t="s">
        <v>1356</v>
      </c>
      <c r="L4318" s="2" t="s">
        <v>418</v>
      </c>
      <c r="M4318" s="2" t="s">
        <v>41</v>
      </c>
      <c r="P4318" s="2" t="s">
        <v>93</v>
      </c>
      <c r="Q4318" s="16" t="s">
        <v>94</v>
      </c>
      <c r="R4318" s="15" t="s">
        <v>95</v>
      </c>
      <c r="S4318" s="13">
        <v>1</v>
      </c>
      <c r="T4318" s="14">
        <v>1.48</v>
      </c>
      <c r="U4318" s="2">
        <f t="shared" si="672"/>
        <v>0.34040000000000004</v>
      </c>
      <c r="V4318" s="2">
        <f t="shared" si="673"/>
        <v>1.8204</v>
      </c>
      <c r="W4318" s="2">
        <v>1.48</v>
      </c>
      <c r="X4318" s="5">
        <f t="shared" si="674"/>
        <v>0</v>
      </c>
      <c r="Z4318" s="2" t="s">
        <v>3227</v>
      </c>
      <c r="AA4318" s="2" t="s">
        <v>96</v>
      </c>
      <c r="AB4318" s="2" t="s">
        <v>76</v>
      </c>
      <c r="AC4318" s="2" t="s">
        <v>93</v>
      </c>
      <c r="AK4318" s="2">
        <f t="shared" si="667"/>
        <v>0</v>
      </c>
      <c r="AL4318" s="5">
        <f t="shared" si="675"/>
        <v>0</v>
      </c>
    </row>
    <row r="4319" spans="1:38" x14ac:dyDescent="0.2">
      <c r="A4319" s="2">
        <v>2026</v>
      </c>
      <c r="B4319" s="2">
        <v>7</v>
      </c>
      <c r="C4319" s="2" t="s">
        <v>3295</v>
      </c>
      <c r="D4319" s="15" t="s">
        <v>2557</v>
      </c>
      <c r="E4319" s="2" t="s">
        <v>108</v>
      </c>
      <c r="F4319" s="2" t="s">
        <v>717</v>
      </c>
      <c r="L4319" s="2" t="s">
        <v>398</v>
      </c>
      <c r="M4319" s="2" t="s">
        <v>80</v>
      </c>
      <c r="P4319" s="2" t="s">
        <v>72</v>
      </c>
      <c r="Q4319" s="16" t="s">
        <v>301</v>
      </c>
      <c r="R4319" s="15" t="s">
        <v>74</v>
      </c>
      <c r="S4319" s="13">
        <v>1</v>
      </c>
      <c r="T4319" s="14">
        <v>230</v>
      </c>
      <c r="U4319" s="2">
        <f t="shared" si="672"/>
        <v>52.900000000000006</v>
      </c>
      <c r="V4319" s="2">
        <f t="shared" si="673"/>
        <v>282.89999999999998</v>
      </c>
      <c r="W4319" s="2">
        <v>135.68</v>
      </c>
      <c r="X4319" s="5">
        <f t="shared" si="674"/>
        <v>0.4100869565217391</v>
      </c>
      <c r="Z4319" s="2" t="s">
        <v>3227</v>
      </c>
      <c r="AA4319" s="2" t="s">
        <v>75</v>
      </c>
      <c r="AB4319" s="2" t="s">
        <v>76</v>
      </c>
      <c r="AC4319" s="2" t="s">
        <v>77</v>
      </c>
      <c r="AK4319" s="2">
        <f t="shared" si="667"/>
        <v>94.32</v>
      </c>
      <c r="AL4319" s="5">
        <f t="shared" si="675"/>
        <v>0.4100869565217391</v>
      </c>
    </row>
    <row r="4320" spans="1:38" x14ac:dyDescent="0.2">
      <c r="A4320" s="2">
        <v>2026</v>
      </c>
      <c r="B4320" s="2">
        <v>7</v>
      </c>
      <c r="C4320" s="2" t="s">
        <v>3295</v>
      </c>
      <c r="D4320" s="15" t="s">
        <v>2557</v>
      </c>
      <c r="E4320" s="2" t="s">
        <v>108</v>
      </c>
      <c r="F4320" s="2" t="s">
        <v>717</v>
      </c>
      <c r="L4320" s="2" t="s">
        <v>398</v>
      </c>
      <c r="M4320" s="2" t="s">
        <v>80</v>
      </c>
      <c r="P4320" s="2" t="s">
        <v>93</v>
      </c>
      <c r="Q4320" s="16" t="s">
        <v>94</v>
      </c>
      <c r="R4320" s="15" t="s">
        <v>95</v>
      </c>
      <c r="S4320" s="13">
        <v>1</v>
      </c>
      <c r="T4320" s="14">
        <v>1.48</v>
      </c>
      <c r="U4320" s="2">
        <f t="shared" si="672"/>
        <v>0.34040000000000004</v>
      </c>
      <c r="V4320" s="2">
        <f t="shared" si="673"/>
        <v>1.8204</v>
      </c>
      <c r="X4320" s="5">
        <f t="shared" si="674"/>
        <v>1</v>
      </c>
      <c r="Z4320" s="2" t="s">
        <v>3227</v>
      </c>
      <c r="AA4320" s="2" t="s">
        <v>96</v>
      </c>
      <c r="AB4320" s="2" t="s">
        <v>76</v>
      </c>
      <c r="AC4320" s="2" t="s">
        <v>93</v>
      </c>
      <c r="AK4320" s="2">
        <f t="shared" si="667"/>
        <v>1.48</v>
      </c>
      <c r="AL4320" s="5">
        <f t="shared" si="675"/>
        <v>1</v>
      </c>
    </row>
    <row r="4321" spans="1:38" x14ac:dyDescent="0.2">
      <c r="A4321" s="2">
        <v>2026</v>
      </c>
      <c r="B4321" s="2">
        <v>7</v>
      </c>
      <c r="C4321" s="2" t="s">
        <v>3294</v>
      </c>
      <c r="D4321" s="15" t="s">
        <v>744</v>
      </c>
      <c r="E4321" s="2" t="s">
        <v>108</v>
      </c>
      <c r="F4321" s="2" t="s">
        <v>39</v>
      </c>
      <c r="G4321" s="2">
        <v>509181163</v>
      </c>
      <c r="H4321" s="2" t="s">
        <v>40</v>
      </c>
      <c r="I4321" s="2" t="s">
        <v>745</v>
      </c>
      <c r="J4321" s="2" t="s">
        <v>746</v>
      </c>
      <c r="K4321" s="2">
        <v>962372760</v>
      </c>
      <c r="L4321" s="2" t="s">
        <v>201</v>
      </c>
      <c r="M4321" s="2" t="s">
        <v>40</v>
      </c>
      <c r="P4321" s="2" t="s">
        <v>114</v>
      </c>
      <c r="Q4321" s="16" t="s">
        <v>3347</v>
      </c>
      <c r="R4321" s="15" t="s">
        <v>3348</v>
      </c>
      <c r="S4321" s="13">
        <v>1</v>
      </c>
      <c r="T4321" s="14">
        <v>37.6</v>
      </c>
      <c r="U4321" s="2">
        <f t="shared" si="672"/>
        <v>8.6480000000000015</v>
      </c>
      <c r="V4321" s="2">
        <f t="shared" si="673"/>
        <v>46.248000000000005</v>
      </c>
      <c r="W4321" s="2">
        <v>21.71</v>
      </c>
      <c r="X4321" s="5">
        <f t="shared" si="674"/>
        <v>0.42260638297872338</v>
      </c>
      <c r="Z4321" s="2" t="s">
        <v>117</v>
      </c>
      <c r="AA4321" s="2" t="s">
        <v>118</v>
      </c>
      <c r="AB4321" s="2" t="s">
        <v>119</v>
      </c>
      <c r="AC4321" s="2" t="s">
        <v>114</v>
      </c>
      <c r="AK4321" s="2">
        <f t="shared" si="667"/>
        <v>15.89</v>
      </c>
      <c r="AL4321" s="5">
        <f t="shared" si="675"/>
        <v>0.42260638297872338</v>
      </c>
    </row>
    <row r="4322" spans="1:38" x14ac:dyDescent="0.2">
      <c r="A4322" s="2">
        <v>2026</v>
      </c>
      <c r="B4322" s="2">
        <v>7</v>
      </c>
      <c r="C4322" s="2" t="s">
        <v>3295</v>
      </c>
      <c r="D4322" s="15" t="s">
        <v>744</v>
      </c>
      <c r="E4322" s="2" t="s">
        <v>108</v>
      </c>
      <c r="F4322" s="2" t="s">
        <v>39</v>
      </c>
      <c r="G4322" s="2">
        <v>509181163</v>
      </c>
      <c r="H4322" s="2" t="s">
        <v>40</v>
      </c>
      <c r="I4322" s="2" t="s">
        <v>745</v>
      </c>
      <c r="J4322" s="2" t="s">
        <v>746</v>
      </c>
      <c r="K4322" s="2">
        <v>962372760</v>
      </c>
      <c r="L4322" s="2" t="s">
        <v>201</v>
      </c>
      <c r="M4322" s="2" t="s">
        <v>40</v>
      </c>
      <c r="P4322" s="2" t="s">
        <v>187</v>
      </c>
      <c r="Q4322" s="16" t="s">
        <v>188</v>
      </c>
      <c r="R4322" s="15" t="s">
        <v>189</v>
      </c>
      <c r="S4322" s="13">
        <v>1</v>
      </c>
      <c r="T4322" s="14">
        <v>60</v>
      </c>
      <c r="U4322" s="2">
        <f t="shared" si="672"/>
        <v>13.8</v>
      </c>
      <c r="V4322" s="2">
        <f t="shared" si="673"/>
        <v>73.8</v>
      </c>
      <c r="W4322" s="2">
        <f>T4322*40%</f>
        <v>24</v>
      </c>
      <c r="X4322" s="5">
        <f t="shared" si="674"/>
        <v>0.6</v>
      </c>
      <c r="Z4322" s="2" t="s">
        <v>117</v>
      </c>
      <c r="AA4322" s="2" t="s">
        <v>190</v>
      </c>
      <c r="AB4322" s="2" t="s">
        <v>189</v>
      </c>
      <c r="AC4322" s="2" t="s">
        <v>40</v>
      </c>
      <c r="AK4322" s="2">
        <f t="shared" si="667"/>
        <v>36</v>
      </c>
      <c r="AL4322" s="5">
        <f t="shared" si="675"/>
        <v>0.6</v>
      </c>
    </row>
    <row r="4323" spans="1:38" x14ac:dyDescent="0.2">
      <c r="A4323" s="2">
        <v>2026</v>
      </c>
      <c r="B4323" s="2">
        <v>7</v>
      </c>
      <c r="C4323" s="2" t="s">
        <v>3295</v>
      </c>
      <c r="D4323" s="15" t="s">
        <v>744</v>
      </c>
      <c r="E4323" s="2" t="s">
        <v>108</v>
      </c>
      <c r="F4323" s="2" t="s">
        <v>39</v>
      </c>
      <c r="G4323" s="2">
        <v>509181163</v>
      </c>
      <c r="H4323" s="2" t="s">
        <v>40</v>
      </c>
      <c r="I4323" s="2" t="s">
        <v>745</v>
      </c>
      <c r="J4323" s="2" t="s">
        <v>746</v>
      </c>
      <c r="K4323" s="2">
        <v>962372760</v>
      </c>
      <c r="L4323" s="2" t="s">
        <v>201</v>
      </c>
      <c r="M4323" s="2" t="s">
        <v>40</v>
      </c>
      <c r="P4323" s="2" t="s">
        <v>187</v>
      </c>
      <c r="Q4323" s="16" t="s">
        <v>191</v>
      </c>
      <c r="R4323" s="15" t="s">
        <v>190</v>
      </c>
      <c r="S4323" s="13">
        <v>1</v>
      </c>
      <c r="T4323" s="14">
        <v>55</v>
      </c>
      <c r="U4323" s="2">
        <f t="shared" si="672"/>
        <v>12.65</v>
      </c>
      <c r="V4323" s="2">
        <f t="shared" si="673"/>
        <v>67.650000000000006</v>
      </c>
      <c r="W4323" s="2">
        <f>T4323*50%</f>
        <v>27.5</v>
      </c>
      <c r="X4323" s="5">
        <f t="shared" si="674"/>
        <v>0.5</v>
      </c>
      <c r="Z4323" s="2" t="s">
        <v>117</v>
      </c>
      <c r="AA4323" s="2" t="s">
        <v>190</v>
      </c>
      <c r="AB4323" s="2" t="s">
        <v>190</v>
      </c>
      <c r="AC4323" s="2" t="s">
        <v>40</v>
      </c>
      <c r="AK4323" s="2">
        <f t="shared" si="667"/>
        <v>27.5</v>
      </c>
      <c r="AL4323" s="5">
        <f t="shared" si="675"/>
        <v>0.5</v>
      </c>
    </row>
    <row r="4324" spans="1:38" x14ac:dyDescent="0.2">
      <c r="A4324" s="2">
        <v>2026</v>
      </c>
      <c r="B4324" s="2">
        <v>7</v>
      </c>
      <c r="C4324" s="2" t="s">
        <v>3294</v>
      </c>
      <c r="D4324" s="15" t="s">
        <v>744</v>
      </c>
      <c r="E4324" s="2" t="s">
        <v>108</v>
      </c>
      <c r="F4324" s="2" t="s">
        <v>39</v>
      </c>
      <c r="G4324" s="2">
        <v>509181163</v>
      </c>
      <c r="H4324" s="2" t="s">
        <v>40</v>
      </c>
      <c r="I4324" s="2" t="s">
        <v>745</v>
      </c>
      <c r="J4324" s="2" t="s">
        <v>746</v>
      </c>
      <c r="K4324" s="2">
        <v>962372760</v>
      </c>
      <c r="L4324" s="2" t="s">
        <v>201</v>
      </c>
      <c r="M4324" s="2" t="s">
        <v>40</v>
      </c>
      <c r="P4324" s="2" t="s">
        <v>169</v>
      </c>
      <c r="Q4324" s="16" t="s">
        <v>170</v>
      </c>
      <c r="R4324" s="15" t="s">
        <v>170</v>
      </c>
      <c r="S4324" s="13">
        <v>1</v>
      </c>
      <c r="T4324" s="14">
        <v>8</v>
      </c>
      <c r="U4324" s="2">
        <f t="shared" si="672"/>
        <v>1.84</v>
      </c>
      <c r="V4324" s="2">
        <f t="shared" si="673"/>
        <v>9.84</v>
      </c>
      <c r="W4324" s="2">
        <v>6</v>
      </c>
      <c r="X4324" s="5">
        <f t="shared" si="674"/>
        <v>0.25</v>
      </c>
      <c r="Z4324" s="2" t="s">
        <v>169</v>
      </c>
      <c r="AA4324" s="2" t="s">
        <v>169</v>
      </c>
      <c r="AK4324" s="2">
        <f t="shared" si="667"/>
        <v>2</v>
      </c>
      <c r="AL4324" s="5">
        <f t="shared" si="675"/>
        <v>0.25</v>
      </c>
    </row>
    <row r="4325" spans="1:38" x14ac:dyDescent="0.2">
      <c r="A4325" s="2">
        <v>2026</v>
      </c>
      <c r="B4325" s="2">
        <v>7</v>
      </c>
      <c r="C4325" s="2" t="s">
        <v>3295</v>
      </c>
      <c r="D4325" s="15" t="s">
        <v>1994</v>
      </c>
      <c r="E4325" s="2" t="s">
        <v>38</v>
      </c>
      <c r="F4325" s="2" t="s">
        <v>39</v>
      </c>
      <c r="L4325" s="2" t="s">
        <v>571</v>
      </c>
      <c r="M4325" s="2" t="s">
        <v>80</v>
      </c>
      <c r="P4325" s="2" t="s">
        <v>72</v>
      </c>
      <c r="Q4325" s="16" t="s">
        <v>3274</v>
      </c>
      <c r="R4325" s="15" t="s">
        <v>307</v>
      </c>
      <c r="S4325" s="13">
        <v>1</v>
      </c>
      <c r="T4325" s="14">
        <v>240</v>
      </c>
      <c r="U4325" s="2">
        <f t="shared" si="672"/>
        <v>55.2</v>
      </c>
      <c r="V4325" s="2">
        <f t="shared" si="673"/>
        <v>295.2</v>
      </c>
      <c r="W4325" s="2">
        <v>119.95</v>
      </c>
      <c r="X4325" s="5">
        <f t="shared" si="674"/>
        <v>0.50020833333333337</v>
      </c>
      <c r="Z4325" s="2" t="s">
        <v>3227</v>
      </c>
      <c r="AA4325" s="2" t="s">
        <v>75</v>
      </c>
      <c r="AB4325" s="2" t="s">
        <v>76</v>
      </c>
      <c r="AC4325" s="2" t="s">
        <v>77</v>
      </c>
      <c r="AK4325" s="2">
        <f t="shared" si="667"/>
        <v>120.05</v>
      </c>
      <c r="AL4325" s="5">
        <f t="shared" si="675"/>
        <v>0.50020833333333337</v>
      </c>
    </row>
    <row r="4326" spans="1:38" x14ac:dyDescent="0.2">
      <c r="A4326" s="2">
        <v>2026</v>
      </c>
      <c r="B4326" s="2">
        <v>7</v>
      </c>
      <c r="C4326" s="2" t="s">
        <v>3295</v>
      </c>
      <c r="D4326" s="15" t="s">
        <v>1994</v>
      </c>
      <c r="E4326" s="2" t="s">
        <v>38</v>
      </c>
      <c r="F4326" s="2" t="s">
        <v>39</v>
      </c>
      <c r="L4326" s="2" t="s">
        <v>571</v>
      </c>
      <c r="M4326" s="2" t="s">
        <v>80</v>
      </c>
      <c r="P4326" s="2" t="s">
        <v>93</v>
      </c>
      <c r="Q4326" s="16" t="s">
        <v>94</v>
      </c>
      <c r="R4326" s="15" t="s">
        <v>95</v>
      </c>
      <c r="S4326" s="13">
        <v>1</v>
      </c>
      <c r="T4326" s="14">
        <v>1.48</v>
      </c>
      <c r="U4326" s="2">
        <f t="shared" si="672"/>
        <v>0.34040000000000004</v>
      </c>
      <c r="V4326" s="2">
        <f t="shared" si="673"/>
        <v>1.8204</v>
      </c>
      <c r="W4326" s="2">
        <v>1.48</v>
      </c>
      <c r="X4326" s="5">
        <f t="shared" si="674"/>
        <v>0</v>
      </c>
      <c r="Z4326" s="2" t="s">
        <v>3227</v>
      </c>
      <c r="AA4326" s="2" t="s">
        <v>96</v>
      </c>
      <c r="AB4326" s="2" t="s">
        <v>76</v>
      </c>
      <c r="AC4326" s="2" t="s">
        <v>93</v>
      </c>
      <c r="AK4326" s="2">
        <f t="shared" si="667"/>
        <v>0</v>
      </c>
      <c r="AL4326" s="5">
        <f t="shared" si="675"/>
        <v>0</v>
      </c>
    </row>
    <row r="4327" spans="1:38" x14ac:dyDescent="0.2">
      <c r="A4327" s="2">
        <v>2026</v>
      </c>
      <c r="B4327" s="2">
        <v>7</v>
      </c>
      <c r="C4327" s="2" t="s">
        <v>3295</v>
      </c>
      <c r="D4327" s="15" t="s">
        <v>359</v>
      </c>
      <c r="E4327" s="2" t="s">
        <v>108</v>
      </c>
      <c r="F4327" s="2" t="s">
        <v>39</v>
      </c>
      <c r="L4327" s="2" t="s">
        <v>360</v>
      </c>
      <c r="M4327" s="2" t="s">
        <v>80</v>
      </c>
      <c r="P4327" s="2" t="s">
        <v>72</v>
      </c>
      <c r="Q4327" s="16" t="s">
        <v>330</v>
      </c>
      <c r="R4327" s="15" t="s">
        <v>331</v>
      </c>
      <c r="S4327" s="13">
        <v>1</v>
      </c>
      <c r="T4327" s="14">
        <v>200</v>
      </c>
      <c r="U4327" s="2">
        <f t="shared" si="672"/>
        <v>46</v>
      </c>
      <c r="V4327" s="2">
        <f t="shared" si="673"/>
        <v>246</v>
      </c>
      <c r="W4327" s="2">
        <v>124.6</v>
      </c>
      <c r="X4327" s="5">
        <f t="shared" si="674"/>
        <v>0.377</v>
      </c>
      <c r="Z4327" s="2" t="s">
        <v>3227</v>
      </c>
      <c r="AA4327" s="2" t="s">
        <v>75</v>
      </c>
      <c r="AB4327" s="2" t="s">
        <v>76</v>
      </c>
      <c r="AC4327" s="2" t="s">
        <v>77</v>
      </c>
      <c r="AK4327" s="2">
        <f t="shared" si="667"/>
        <v>75.400000000000006</v>
      </c>
      <c r="AL4327" s="5">
        <f t="shared" si="675"/>
        <v>0.377</v>
      </c>
    </row>
    <row r="4328" spans="1:38" x14ac:dyDescent="0.2">
      <c r="A4328" s="2">
        <v>2026</v>
      </c>
      <c r="B4328" s="2">
        <v>7</v>
      </c>
      <c r="C4328" s="2" t="s">
        <v>3295</v>
      </c>
      <c r="D4328" s="15" t="s">
        <v>359</v>
      </c>
      <c r="E4328" s="2" t="s">
        <v>108</v>
      </c>
      <c r="F4328" s="2" t="s">
        <v>39</v>
      </c>
      <c r="L4328" s="2" t="s">
        <v>360</v>
      </c>
      <c r="M4328" s="2" t="s">
        <v>80</v>
      </c>
      <c r="P4328" s="2" t="s">
        <v>93</v>
      </c>
      <c r="Q4328" s="16" t="s">
        <v>94</v>
      </c>
      <c r="R4328" s="15" t="s">
        <v>95</v>
      </c>
      <c r="S4328" s="13">
        <v>1</v>
      </c>
      <c r="T4328" s="14">
        <v>1.48</v>
      </c>
      <c r="U4328" s="2">
        <f t="shared" si="672"/>
        <v>0.34040000000000004</v>
      </c>
      <c r="V4328" s="2">
        <f t="shared" si="673"/>
        <v>1.8204</v>
      </c>
      <c r="X4328" s="5">
        <f t="shared" si="674"/>
        <v>1</v>
      </c>
      <c r="Z4328" s="2" t="s">
        <v>3227</v>
      </c>
      <c r="AA4328" s="2" t="s">
        <v>96</v>
      </c>
      <c r="AB4328" s="2" t="s">
        <v>76</v>
      </c>
      <c r="AC4328" s="2" t="s">
        <v>93</v>
      </c>
      <c r="AK4328" s="2">
        <f t="shared" si="667"/>
        <v>1.48</v>
      </c>
      <c r="AL4328" s="5">
        <f t="shared" si="675"/>
        <v>1</v>
      </c>
    </row>
    <row r="4329" spans="1:38" x14ac:dyDescent="0.2">
      <c r="A4329" s="2">
        <v>2026</v>
      </c>
      <c r="B4329" s="2">
        <v>7</v>
      </c>
      <c r="C4329" s="2" t="s">
        <v>3295</v>
      </c>
      <c r="D4329" s="15" t="s">
        <v>3335</v>
      </c>
      <c r="E4329" s="2" t="s">
        <v>3377</v>
      </c>
      <c r="F4329" s="2" t="s">
        <v>39</v>
      </c>
      <c r="H4329" s="2" t="s">
        <v>41</v>
      </c>
      <c r="L4329" s="2" t="s">
        <v>177</v>
      </c>
      <c r="M4329" s="2" t="s">
        <v>40</v>
      </c>
      <c r="P4329" s="2" t="s">
        <v>282</v>
      </c>
      <c r="Q4329" s="16" t="s">
        <v>1286</v>
      </c>
      <c r="R4329" s="15" t="s">
        <v>1287</v>
      </c>
      <c r="S4329" s="13">
        <v>1</v>
      </c>
      <c r="T4329" s="14">
        <v>2000</v>
      </c>
      <c r="U4329" s="2">
        <f t="shared" si="672"/>
        <v>460</v>
      </c>
      <c r="V4329" s="2">
        <f t="shared" si="673"/>
        <v>2460</v>
      </c>
      <c r="W4329" s="2">
        <v>1150</v>
      </c>
      <c r="X4329" s="5">
        <f t="shared" si="674"/>
        <v>0.42499999999999999</v>
      </c>
      <c r="Z4329" s="2" t="s">
        <v>104</v>
      </c>
      <c r="AA4329" s="2" t="s">
        <v>1574</v>
      </c>
      <c r="AB4329" s="2" t="s">
        <v>388</v>
      </c>
      <c r="AC4329" s="2" t="s">
        <v>1327</v>
      </c>
      <c r="AK4329" s="2">
        <f t="shared" si="667"/>
        <v>850</v>
      </c>
      <c r="AL4329" s="5">
        <f t="shared" si="675"/>
        <v>0.42499999999999999</v>
      </c>
    </row>
    <row r="4330" spans="1:38" x14ac:dyDescent="0.2">
      <c r="A4330" s="2">
        <v>2026</v>
      </c>
      <c r="B4330" s="2">
        <v>7</v>
      </c>
      <c r="C4330" s="2" t="s">
        <v>3295</v>
      </c>
      <c r="D4330" s="15" t="s">
        <v>3335</v>
      </c>
      <c r="E4330" s="2" t="s">
        <v>3377</v>
      </c>
      <c r="F4330" s="2" t="s">
        <v>39</v>
      </c>
      <c r="H4330" s="2" t="s">
        <v>41</v>
      </c>
      <c r="L4330" s="2" t="s">
        <v>177</v>
      </c>
      <c r="M4330" s="2" t="s">
        <v>40</v>
      </c>
      <c r="P4330" s="2" t="s">
        <v>282</v>
      </c>
      <c r="Q4330" s="16" t="s">
        <v>1158</v>
      </c>
      <c r="R4330" s="15" t="s">
        <v>1159</v>
      </c>
      <c r="S4330" s="13">
        <v>1</v>
      </c>
      <c r="T4330" s="14">
        <v>0</v>
      </c>
      <c r="U4330" s="2">
        <f t="shared" si="672"/>
        <v>0</v>
      </c>
      <c r="V4330" s="2">
        <f t="shared" si="673"/>
        <v>0</v>
      </c>
      <c r="W4330" s="2">
        <v>0</v>
      </c>
      <c r="X4330" s="5">
        <v>0</v>
      </c>
      <c r="Z4330" s="2" t="s">
        <v>104</v>
      </c>
      <c r="AA4330" s="2" t="s">
        <v>1574</v>
      </c>
      <c r="AB4330" s="2" t="s">
        <v>388</v>
      </c>
      <c r="AC4330" s="2" t="s">
        <v>1327</v>
      </c>
      <c r="AK4330" s="2">
        <f t="shared" si="667"/>
        <v>0</v>
      </c>
      <c r="AL4330" s="5">
        <v>0</v>
      </c>
    </row>
    <row r="4331" spans="1:38" ht="10.5" customHeight="1" x14ac:dyDescent="0.2">
      <c r="A4331" s="2">
        <v>2026</v>
      </c>
      <c r="B4331" s="2">
        <v>7</v>
      </c>
      <c r="C4331" s="2" t="s">
        <v>3295</v>
      </c>
      <c r="D4331" s="15" t="s">
        <v>3335</v>
      </c>
      <c r="E4331" s="2" t="s">
        <v>3377</v>
      </c>
      <c r="F4331" s="2" t="s">
        <v>39</v>
      </c>
      <c r="H4331" s="2" t="s">
        <v>41</v>
      </c>
      <c r="L4331" s="2" t="s">
        <v>177</v>
      </c>
      <c r="M4331" s="2" t="s">
        <v>40</v>
      </c>
      <c r="P4331" s="2" t="s">
        <v>282</v>
      </c>
      <c r="Q4331" s="16" t="s">
        <v>1288</v>
      </c>
      <c r="R4331" s="15" t="s">
        <v>1289</v>
      </c>
      <c r="S4331" s="13">
        <v>1</v>
      </c>
      <c r="T4331" s="14">
        <v>0</v>
      </c>
      <c r="U4331" s="2">
        <f t="shared" si="672"/>
        <v>0</v>
      </c>
      <c r="V4331" s="2">
        <f t="shared" si="673"/>
        <v>0</v>
      </c>
      <c r="W4331" s="2">
        <v>0</v>
      </c>
      <c r="X4331" s="5">
        <v>0</v>
      </c>
      <c r="Z4331" s="2" t="s">
        <v>104</v>
      </c>
      <c r="AA4331" s="2" t="s">
        <v>1574</v>
      </c>
      <c r="AB4331" s="2" t="s">
        <v>388</v>
      </c>
      <c r="AC4331" s="2" t="s">
        <v>1327</v>
      </c>
      <c r="AK4331" s="2">
        <f t="shared" si="667"/>
        <v>0</v>
      </c>
      <c r="AL4331" s="5">
        <v>0</v>
      </c>
    </row>
    <row r="4332" spans="1:38" x14ac:dyDescent="0.2">
      <c r="A4332" s="2">
        <v>2026</v>
      </c>
      <c r="B4332" s="2">
        <v>7</v>
      </c>
      <c r="C4332" s="2" t="s">
        <v>3295</v>
      </c>
      <c r="D4332" s="15" t="s">
        <v>2944</v>
      </c>
      <c r="E4332" s="2" t="s">
        <v>752</v>
      </c>
      <c r="F4332" s="2" t="s">
        <v>39</v>
      </c>
      <c r="L4332" s="2" t="s">
        <v>480</v>
      </c>
      <c r="M4332" s="2" t="s">
        <v>80</v>
      </c>
      <c r="P4332" s="2" t="s">
        <v>72</v>
      </c>
      <c r="Q4332" s="16" t="s">
        <v>3349</v>
      </c>
      <c r="R4332" s="15" t="s">
        <v>74</v>
      </c>
      <c r="S4332" s="13">
        <v>1</v>
      </c>
      <c r="T4332" s="14">
        <v>270</v>
      </c>
      <c r="U4332" s="2">
        <f t="shared" si="672"/>
        <v>62.1</v>
      </c>
      <c r="V4332" s="2">
        <f t="shared" si="673"/>
        <v>332.1</v>
      </c>
      <c r="W4332" s="2">
        <f>118.44+11.7</f>
        <v>130.13999999999999</v>
      </c>
      <c r="X4332" s="5">
        <f t="shared" ref="X4332:X4356" si="676">(T4332-W4332)/T4332</f>
        <v>0.51800000000000002</v>
      </c>
      <c r="Z4332" s="2" t="s">
        <v>3227</v>
      </c>
      <c r="AA4332" s="2" t="s">
        <v>75</v>
      </c>
      <c r="AB4332" s="2" t="s">
        <v>76</v>
      </c>
      <c r="AC4332" s="2" t="s">
        <v>77</v>
      </c>
      <c r="AK4332" s="2">
        <f t="shared" si="667"/>
        <v>139.86000000000001</v>
      </c>
      <c r="AL4332" s="5">
        <f t="shared" ref="AL4332:AL4356" si="677">(T4332-W4332)/T4332</f>
        <v>0.51800000000000002</v>
      </c>
    </row>
    <row r="4333" spans="1:38" x14ac:dyDescent="0.2">
      <c r="A4333" s="2">
        <v>2026</v>
      </c>
      <c r="B4333" s="2">
        <v>7</v>
      </c>
      <c r="C4333" s="2" t="s">
        <v>3295</v>
      </c>
      <c r="D4333" s="15" t="s">
        <v>2944</v>
      </c>
      <c r="E4333" s="2" t="s">
        <v>752</v>
      </c>
      <c r="F4333" s="2" t="s">
        <v>39</v>
      </c>
      <c r="L4333" s="2" t="s">
        <v>480</v>
      </c>
      <c r="M4333" s="2" t="s">
        <v>80</v>
      </c>
      <c r="P4333" s="2" t="s">
        <v>93</v>
      </c>
      <c r="Q4333" s="16" t="s">
        <v>94</v>
      </c>
      <c r="R4333" s="15" t="s">
        <v>95</v>
      </c>
      <c r="S4333" s="13">
        <v>1</v>
      </c>
      <c r="T4333" s="14">
        <v>1.48</v>
      </c>
      <c r="U4333" s="2">
        <f t="shared" si="672"/>
        <v>0.34040000000000004</v>
      </c>
      <c r="V4333" s="2">
        <f t="shared" si="673"/>
        <v>1.8204</v>
      </c>
      <c r="W4333" s="2">
        <v>1.48</v>
      </c>
      <c r="X4333" s="5">
        <f t="shared" si="676"/>
        <v>0</v>
      </c>
      <c r="Z4333" s="2" t="s">
        <v>3227</v>
      </c>
      <c r="AA4333" s="2" t="s">
        <v>96</v>
      </c>
      <c r="AB4333" s="2" t="s">
        <v>76</v>
      </c>
      <c r="AC4333" s="2" t="s">
        <v>93</v>
      </c>
      <c r="AK4333" s="2">
        <f t="shared" si="667"/>
        <v>0</v>
      </c>
      <c r="AL4333" s="5">
        <f t="shared" si="677"/>
        <v>0</v>
      </c>
    </row>
    <row r="4334" spans="1:38" x14ac:dyDescent="0.2">
      <c r="A4334" s="2">
        <v>2026</v>
      </c>
      <c r="B4334" s="2">
        <v>7</v>
      </c>
      <c r="C4334" s="2" t="s">
        <v>3295</v>
      </c>
      <c r="D4334" s="15" t="s">
        <v>1228</v>
      </c>
      <c r="E4334" s="2" t="s">
        <v>38</v>
      </c>
      <c r="F4334" s="2" t="s">
        <v>39</v>
      </c>
      <c r="L4334" s="2" t="s">
        <v>201</v>
      </c>
      <c r="M4334" s="2" t="s">
        <v>40</v>
      </c>
      <c r="P4334" s="2" t="s">
        <v>187</v>
      </c>
      <c r="Q4334" s="16" t="s">
        <v>188</v>
      </c>
      <c r="R4334" s="15" t="s">
        <v>189</v>
      </c>
      <c r="S4334" s="13">
        <v>1</v>
      </c>
      <c r="T4334" s="14">
        <v>73</v>
      </c>
      <c r="U4334" s="2">
        <f t="shared" si="672"/>
        <v>16.79</v>
      </c>
      <c r="V4334" s="2">
        <f t="shared" si="673"/>
        <v>89.789999999999992</v>
      </c>
      <c r="W4334" s="2">
        <f>T4334*40%</f>
        <v>29.200000000000003</v>
      </c>
      <c r="X4334" s="5">
        <f t="shared" si="676"/>
        <v>0.6</v>
      </c>
      <c r="Z4334" s="2" t="s">
        <v>117</v>
      </c>
      <c r="AA4334" s="2" t="s">
        <v>190</v>
      </c>
      <c r="AB4334" s="2" t="s">
        <v>189</v>
      </c>
      <c r="AC4334" s="2" t="s">
        <v>40</v>
      </c>
      <c r="AK4334" s="2">
        <f t="shared" si="667"/>
        <v>43.8</v>
      </c>
      <c r="AL4334" s="5">
        <f t="shared" si="677"/>
        <v>0.6</v>
      </c>
    </row>
    <row r="4335" spans="1:38" x14ac:dyDescent="0.2">
      <c r="A4335" s="2">
        <v>2026</v>
      </c>
      <c r="B4335" s="2">
        <v>7</v>
      </c>
      <c r="C4335" s="2" t="s">
        <v>3295</v>
      </c>
      <c r="D4335" s="15" t="s">
        <v>1228</v>
      </c>
      <c r="E4335" s="2" t="s">
        <v>38</v>
      </c>
      <c r="F4335" s="2" t="s">
        <v>39</v>
      </c>
      <c r="L4335" s="2" t="s">
        <v>201</v>
      </c>
      <c r="M4335" s="2" t="s">
        <v>40</v>
      </c>
      <c r="P4335" s="2" t="s">
        <v>187</v>
      </c>
      <c r="Q4335" s="16" t="s">
        <v>191</v>
      </c>
      <c r="R4335" s="15" t="s">
        <v>190</v>
      </c>
      <c r="S4335" s="13">
        <v>1</v>
      </c>
      <c r="T4335" s="14">
        <v>55</v>
      </c>
      <c r="U4335" s="2">
        <f t="shared" si="672"/>
        <v>12.65</v>
      </c>
      <c r="V4335" s="2">
        <f t="shared" si="673"/>
        <v>67.650000000000006</v>
      </c>
      <c r="W4335" s="2">
        <f>T4335*50%</f>
        <v>27.5</v>
      </c>
      <c r="X4335" s="5">
        <f t="shared" si="676"/>
        <v>0.5</v>
      </c>
      <c r="Z4335" s="2" t="s">
        <v>117</v>
      </c>
      <c r="AA4335" s="2" t="s">
        <v>190</v>
      </c>
      <c r="AB4335" s="2" t="s">
        <v>190</v>
      </c>
      <c r="AC4335" s="2" t="s">
        <v>40</v>
      </c>
      <c r="AK4335" s="2">
        <f t="shared" si="667"/>
        <v>27.5</v>
      </c>
      <c r="AL4335" s="5">
        <f t="shared" si="677"/>
        <v>0.5</v>
      </c>
    </row>
    <row r="4336" spans="1:38" x14ac:dyDescent="0.2">
      <c r="A4336" s="2">
        <v>2026</v>
      </c>
      <c r="B4336" s="2">
        <v>7</v>
      </c>
      <c r="C4336" s="2" t="s">
        <v>3295</v>
      </c>
      <c r="D4336" s="15" t="s">
        <v>1553</v>
      </c>
      <c r="E4336" s="2" t="s">
        <v>108</v>
      </c>
      <c r="F4336" s="2" t="s">
        <v>717</v>
      </c>
      <c r="L4336" s="2" t="s">
        <v>177</v>
      </c>
      <c r="M4336" s="2" t="s">
        <v>41</v>
      </c>
      <c r="P4336" s="2" t="s">
        <v>72</v>
      </c>
      <c r="Q4336" s="16" t="s">
        <v>3349</v>
      </c>
      <c r="R4336" s="15" t="s">
        <v>74</v>
      </c>
      <c r="S4336" s="13">
        <v>1</v>
      </c>
      <c r="T4336" s="14">
        <v>220</v>
      </c>
      <c r="U4336" s="2">
        <f t="shared" si="672"/>
        <v>50.6</v>
      </c>
      <c r="V4336" s="2">
        <f t="shared" si="673"/>
        <v>270.60000000000002</v>
      </c>
      <c r="W4336" s="2">
        <f>118.44+11.7</f>
        <v>130.13999999999999</v>
      </c>
      <c r="X4336" s="5">
        <f t="shared" si="676"/>
        <v>0.40845454545454551</v>
      </c>
      <c r="Z4336" s="2" t="s">
        <v>3227</v>
      </c>
      <c r="AA4336" s="2" t="s">
        <v>75</v>
      </c>
      <c r="AB4336" s="2" t="s">
        <v>76</v>
      </c>
      <c r="AC4336" s="2" t="s">
        <v>77</v>
      </c>
      <c r="AK4336" s="2">
        <f t="shared" si="667"/>
        <v>89.860000000000014</v>
      </c>
      <c r="AL4336" s="5">
        <f t="shared" si="677"/>
        <v>0.40845454545454551</v>
      </c>
    </row>
    <row r="4337" spans="1:38" x14ac:dyDescent="0.2">
      <c r="A4337" s="2">
        <v>2026</v>
      </c>
      <c r="B4337" s="2">
        <v>7</v>
      </c>
      <c r="C4337" s="2" t="s">
        <v>3295</v>
      </c>
      <c r="D4337" s="15" t="s">
        <v>1553</v>
      </c>
      <c r="E4337" s="2" t="s">
        <v>108</v>
      </c>
      <c r="F4337" s="2" t="s">
        <v>717</v>
      </c>
      <c r="L4337" s="2" t="s">
        <v>177</v>
      </c>
      <c r="M4337" s="2" t="s">
        <v>41</v>
      </c>
      <c r="P4337" s="2" t="s">
        <v>93</v>
      </c>
      <c r="Q4337" s="16" t="s">
        <v>94</v>
      </c>
      <c r="R4337" s="15" t="s">
        <v>95</v>
      </c>
      <c r="S4337" s="13">
        <v>1</v>
      </c>
      <c r="T4337" s="14">
        <v>1.48</v>
      </c>
      <c r="U4337" s="2">
        <f t="shared" si="672"/>
        <v>0.34040000000000004</v>
      </c>
      <c r="V4337" s="2">
        <f t="shared" si="673"/>
        <v>1.8204</v>
      </c>
      <c r="W4337" s="2">
        <v>1.48</v>
      </c>
      <c r="X4337" s="5">
        <f t="shared" si="676"/>
        <v>0</v>
      </c>
      <c r="Z4337" s="2" t="s">
        <v>3227</v>
      </c>
      <c r="AA4337" s="2" t="s">
        <v>96</v>
      </c>
      <c r="AB4337" s="2" t="s">
        <v>76</v>
      </c>
      <c r="AC4337" s="2" t="s">
        <v>93</v>
      </c>
      <c r="AK4337" s="2">
        <f t="shared" si="667"/>
        <v>0</v>
      </c>
      <c r="AL4337" s="5">
        <f t="shared" si="677"/>
        <v>0</v>
      </c>
    </row>
    <row r="4338" spans="1:38" x14ac:dyDescent="0.2">
      <c r="A4338" s="2">
        <v>2026</v>
      </c>
      <c r="B4338" s="2">
        <v>7</v>
      </c>
      <c r="C4338" s="2" t="s">
        <v>3295</v>
      </c>
      <c r="D4338" s="15" t="s">
        <v>803</v>
      </c>
      <c r="E4338" s="2" t="s">
        <v>38</v>
      </c>
      <c r="F4338" s="2" t="s">
        <v>39</v>
      </c>
      <c r="L4338" s="2" t="s">
        <v>99</v>
      </c>
      <c r="M4338" s="2" t="s">
        <v>40</v>
      </c>
      <c r="P4338" s="2" t="s">
        <v>114</v>
      </c>
      <c r="Q4338" s="16" t="s">
        <v>3350</v>
      </c>
      <c r="R4338" s="15" t="s">
        <v>3351</v>
      </c>
      <c r="S4338" s="13">
        <v>1</v>
      </c>
      <c r="T4338" s="14">
        <v>59.17</v>
      </c>
      <c r="U4338" s="2">
        <f t="shared" si="672"/>
        <v>13.609100000000002</v>
      </c>
      <c r="V4338" s="2">
        <f t="shared" si="673"/>
        <v>72.7791</v>
      </c>
      <c r="W4338" s="2">
        <v>28.25</v>
      </c>
      <c r="X4338" s="5">
        <f t="shared" si="676"/>
        <v>0.52256210917694779</v>
      </c>
      <c r="Z4338" s="2" t="s">
        <v>117</v>
      </c>
      <c r="AA4338" s="2" t="s">
        <v>118</v>
      </c>
      <c r="AB4338" s="2" t="s">
        <v>119</v>
      </c>
      <c r="AC4338" s="2" t="s">
        <v>114</v>
      </c>
      <c r="AK4338" s="2">
        <f t="shared" si="667"/>
        <v>30.92</v>
      </c>
      <c r="AL4338" s="5">
        <f t="shared" si="677"/>
        <v>0.52256210917694779</v>
      </c>
    </row>
    <row r="4339" spans="1:38" x14ac:dyDescent="0.2">
      <c r="A4339" s="2">
        <v>2026</v>
      </c>
      <c r="B4339" s="2">
        <v>7</v>
      </c>
      <c r="C4339" s="2" t="s">
        <v>3295</v>
      </c>
      <c r="D4339" s="15" t="s">
        <v>803</v>
      </c>
      <c r="E4339" s="2" t="s">
        <v>38</v>
      </c>
      <c r="F4339" s="2" t="s">
        <v>39</v>
      </c>
      <c r="L4339" s="2" t="s">
        <v>99</v>
      </c>
      <c r="M4339" s="2" t="s">
        <v>40</v>
      </c>
      <c r="P4339" s="2" t="s">
        <v>187</v>
      </c>
      <c r="Q4339" s="16" t="s">
        <v>188</v>
      </c>
      <c r="R4339" s="15" t="s">
        <v>189</v>
      </c>
      <c r="S4339" s="13">
        <v>1</v>
      </c>
      <c r="T4339" s="14">
        <v>60</v>
      </c>
      <c r="U4339" s="2">
        <f t="shared" si="672"/>
        <v>13.8</v>
      </c>
      <c r="V4339" s="2">
        <f t="shared" si="673"/>
        <v>73.8</v>
      </c>
      <c r="W4339" s="2">
        <f>T4339*40%</f>
        <v>24</v>
      </c>
      <c r="X4339" s="5">
        <f t="shared" si="676"/>
        <v>0.6</v>
      </c>
      <c r="Z4339" s="2" t="s">
        <v>117</v>
      </c>
      <c r="AA4339" s="2" t="s">
        <v>190</v>
      </c>
      <c r="AB4339" s="2" t="s">
        <v>189</v>
      </c>
      <c r="AC4339" s="2" t="s">
        <v>40</v>
      </c>
      <c r="AK4339" s="2">
        <f t="shared" si="667"/>
        <v>36</v>
      </c>
      <c r="AL4339" s="5">
        <f t="shared" si="677"/>
        <v>0.6</v>
      </c>
    </row>
    <row r="4340" spans="1:38" x14ac:dyDescent="0.2">
      <c r="A4340" s="2">
        <v>2026</v>
      </c>
      <c r="B4340" s="2">
        <v>7</v>
      </c>
      <c r="C4340" s="2" t="s">
        <v>3439</v>
      </c>
      <c r="D4340" s="15" t="s">
        <v>803</v>
      </c>
      <c r="E4340" s="2" t="s">
        <v>38</v>
      </c>
      <c r="F4340" s="2" t="s">
        <v>39</v>
      </c>
      <c r="L4340" s="2" t="s">
        <v>99</v>
      </c>
      <c r="M4340" s="2" t="s">
        <v>40</v>
      </c>
      <c r="P4340" s="2" t="s">
        <v>114</v>
      </c>
      <c r="Q4340" s="16" t="s">
        <v>191</v>
      </c>
      <c r="R4340" s="15" t="s">
        <v>190</v>
      </c>
      <c r="S4340" s="13">
        <v>1</v>
      </c>
      <c r="T4340" s="14">
        <v>55</v>
      </c>
      <c r="U4340" s="2">
        <f t="shared" si="672"/>
        <v>12.65</v>
      </c>
      <c r="V4340" s="2">
        <f t="shared" si="673"/>
        <v>67.650000000000006</v>
      </c>
      <c r="W4340" s="2">
        <f>T4340*50%</f>
        <v>27.5</v>
      </c>
      <c r="X4340" s="5">
        <f t="shared" si="676"/>
        <v>0.5</v>
      </c>
      <c r="Z4340" s="2" t="s">
        <v>117</v>
      </c>
      <c r="AA4340" s="2" t="s">
        <v>190</v>
      </c>
      <c r="AB4340" s="2" t="s">
        <v>190</v>
      </c>
      <c r="AC4340" s="2" t="s">
        <v>40</v>
      </c>
      <c r="AK4340" s="2">
        <f t="shared" si="667"/>
        <v>27.5</v>
      </c>
      <c r="AL4340" s="5">
        <f t="shared" si="677"/>
        <v>0.5</v>
      </c>
    </row>
    <row r="4341" spans="1:38" x14ac:dyDescent="0.2">
      <c r="A4341" s="2">
        <v>2026</v>
      </c>
      <c r="B4341" s="2">
        <v>7</v>
      </c>
      <c r="C4341" s="2" t="s">
        <v>3439</v>
      </c>
      <c r="D4341" s="15" t="s">
        <v>1376</v>
      </c>
      <c r="E4341" s="2" t="s">
        <v>183</v>
      </c>
      <c r="F4341" s="2" t="s">
        <v>366</v>
      </c>
      <c r="L4341" s="2" t="s">
        <v>571</v>
      </c>
      <c r="M4341" s="2" t="s">
        <v>80</v>
      </c>
      <c r="P4341" s="2" t="s">
        <v>72</v>
      </c>
      <c r="Q4341" s="16" t="s">
        <v>73</v>
      </c>
      <c r="R4341" s="15" t="s">
        <v>74</v>
      </c>
      <c r="S4341" s="13">
        <v>1</v>
      </c>
      <c r="T4341" s="14">
        <v>220</v>
      </c>
      <c r="U4341" s="2">
        <f t="shared" si="672"/>
        <v>50.6</v>
      </c>
      <c r="V4341" s="2">
        <f t="shared" si="673"/>
        <v>270.60000000000002</v>
      </c>
      <c r="W4341" s="2">
        <v>125.51600000000001</v>
      </c>
      <c r="X4341" s="5">
        <f t="shared" si="676"/>
        <v>0.42947272727272723</v>
      </c>
      <c r="Z4341" s="2" t="s">
        <v>3227</v>
      </c>
      <c r="AA4341" s="2" t="s">
        <v>75</v>
      </c>
      <c r="AB4341" s="2" t="s">
        <v>76</v>
      </c>
      <c r="AC4341" s="2" t="s">
        <v>77</v>
      </c>
      <c r="AK4341" s="2">
        <f t="shared" ref="AK4341:AK4404" si="678">T4341-W4341</f>
        <v>94.483999999999995</v>
      </c>
      <c r="AL4341" s="5">
        <f t="shared" si="677"/>
        <v>0.42947272727272723</v>
      </c>
    </row>
    <row r="4342" spans="1:38" x14ac:dyDescent="0.2">
      <c r="A4342" s="2">
        <v>2026</v>
      </c>
      <c r="B4342" s="2">
        <v>7</v>
      </c>
      <c r="C4342" s="2" t="s">
        <v>3439</v>
      </c>
      <c r="D4342" s="15" t="s">
        <v>1376</v>
      </c>
      <c r="E4342" s="2" t="s">
        <v>183</v>
      </c>
      <c r="F4342" s="2" t="s">
        <v>366</v>
      </c>
      <c r="L4342" s="2" t="s">
        <v>571</v>
      </c>
      <c r="M4342" s="2" t="s">
        <v>80</v>
      </c>
      <c r="P4342" s="2" t="s">
        <v>93</v>
      </c>
      <c r="Q4342" s="16" t="s">
        <v>94</v>
      </c>
      <c r="R4342" s="15" t="s">
        <v>95</v>
      </c>
      <c r="S4342" s="13">
        <v>1</v>
      </c>
      <c r="T4342" s="14">
        <v>1.48</v>
      </c>
      <c r="U4342" s="2">
        <f t="shared" si="672"/>
        <v>0.34040000000000004</v>
      </c>
      <c r="V4342" s="2">
        <f t="shared" si="673"/>
        <v>1.8204</v>
      </c>
      <c r="W4342" s="2">
        <v>1.48</v>
      </c>
      <c r="X4342" s="5">
        <f t="shared" si="676"/>
        <v>0</v>
      </c>
      <c r="Z4342" s="2" t="s">
        <v>3227</v>
      </c>
      <c r="AA4342" s="2" t="s">
        <v>96</v>
      </c>
      <c r="AB4342" s="2" t="s">
        <v>76</v>
      </c>
      <c r="AC4342" s="2" t="s">
        <v>93</v>
      </c>
      <c r="AK4342" s="2">
        <f t="shared" si="678"/>
        <v>0</v>
      </c>
      <c r="AL4342" s="5">
        <f t="shared" si="677"/>
        <v>0</v>
      </c>
    </row>
    <row r="4343" spans="1:38" x14ac:dyDescent="0.2">
      <c r="A4343" s="2">
        <v>2026</v>
      </c>
      <c r="B4343" s="2">
        <v>7</v>
      </c>
      <c r="C4343" s="2" t="s">
        <v>3439</v>
      </c>
      <c r="D4343" s="15" t="s">
        <v>436</v>
      </c>
      <c r="E4343" s="2" t="s">
        <v>108</v>
      </c>
      <c r="F4343" s="2" t="s">
        <v>376</v>
      </c>
      <c r="L4343" s="2" t="s">
        <v>339</v>
      </c>
      <c r="M4343" s="2" t="s">
        <v>80</v>
      </c>
      <c r="P4343" s="2" t="s">
        <v>72</v>
      </c>
      <c r="Q4343" s="16" t="s">
        <v>73</v>
      </c>
      <c r="R4343" s="15" t="s">
        <v>74</v>
      </c>
      <c r="S4343" s="13">
        <v>1</v>
      </c>
      <c r="T4343" s="14">
        <v>220</v>
      </c>
      <c r="U4343" s="2">
        <f t="shared" ref="U4343:U4374" si="679">T4343*23%</f>
        <v>50.6</v>
      </c>
      <c r="V4343" s="2">
        <f t="shared" ref="V4343:V4374" si="680">T4343+U4343</f>
        <v>270.60000000000002</v>
      </c>
      <c r="W4343" s="2">
        <v>125.51600000000001</v>
      </c>
      <c r="X4343" s="5">
        <f t="shared" si="676"/>
        <v>0.42947272727272723</v>
      </c>
      <c r="Z4343" s="2" t="s">
        <v>3227</v>
      </c>
      <c r="AA4343" s="2" t="s">
        <v>75</v>
      </c>
      <c r="AB4343" s="2" t="s">
        <v>76</v>
      </c>
      <c r="AC4343" s="2" t="s">
        <v>77</v>
      </c>
      <c r="AK4343" s="2">
        <f t="shared" si="678"/>
        <v>94.483999999999995</v>
      </c>
      <c r="AL4343" s="5">
        <f t="shared" si="677"/>
        <v>0.42947272727272723</v>
      </c>
    </row>
    <row r="4344" spans="1:38" x14ac:dyDescent="0.2">
      <c r="A4344" s="2">
        <v>2026</v>
      </c>
      <c r="B4344" s="2">
        <v>7</v>
      </c>
      <c r="C4344" s="2" t="s">
        <v>3439</v>
      </c>
      <c r="D4344" s="15" t="s">
        <v>436</v>
      </c>
      <c r="E4344" s="2" t="s">
        <v>108</v>
      </c>
      <c r="F4344" s="2" t="s">
        <v>376</v>
      </c>
      <c r="L4344" s="2" t="s">
        <v>339</v>
      </c>
      <c r="M4344" s="2" t="s">
        <v>80</v>
      </c>
      <c r="P4344" s="2" t="s">
        <v>93</v>
      </c>
      <c r="Q4344" s="16" t="s">
        <v>94</v>
      </c>
      <c r="R4344" s="15" t="s">
        <v>95</v>
      </c>
      <c r="S4344" s="13">
        <v>1</v>
      </c>
      <c r="T4344" s="14">
        <v>1.48</v>
      </c>
      <c r="U4344" s="2">
        <f t="shared" si="679"/>
        <v>0.34040000000000004</v>
      </c>
      <c r="V4344" s="2">
        <f t="shared" si="680"/>
        <v>1.8204</v>
      </c>
      <c r="W4344" s="2">
        <v>1.48</v>
      </c>
      <c r="X4344" s="5">
        <f t="shared" si="676"/>
        <v>0</v>
      </c>
      <c r="Z4344" s="2" t="s">
        <v>3227</v>
      </c>
      <c r="AA4344" s="2" t="s">
        <v>96</v>
      </c>
      <c r="AB4344" s="2" t="s">
        <v>76</v>
      </c>
      <c r="AC4344" s="2" t="s">
        <v>93</v>
      </c>
      <c r="AK4344" s="2">
        <f t="shared" si="678"/>
        <v>0</v>
      </c>
      <c r="AL4344" s="5">
        <f t="shared" si="677"/>
        <v>0</v>
      </c>
    </row>
    <row r="4345" spans="1:38" x14ac:dyDescent="0.2">
      <c r="A4345" s="2">
        <v>2026</v>
      </c>
      <c r="B4345" s="2">
        <v>7</v>
      </c>
      <c r="C4345" s="2" t="s">
        <v>3294</v>
      </c>
      <c r="D4345" s="15" t="s">
        <v>816</v>
      </c>
      <c r="E4345" s="2" t="s">
        <v>38</v>
      </c>
      <c r="F4345" s="2" t="s">
        <v>39</v>
      </c>
      <c r="L4345" s="2" t="s">
        <v>480</v>
      </c>
      <c r="M4345" s="2" t="s">
        <v>40</v>
      </c>
      <c r="P4345" s="2" t="s">
        <v>114</v>
      </c>
      <c r="Q4345" s="16" t="s">
        <v>1386</v>
      </c>
      <c r="R4345" s="15" t="s">
        <v>1387</v>
      </c>
      <c r="S4345" s="13">
        <v>1</v>
      </c>
      <c r="T4345" s="14">
        <v>508.68</v>
      </c>
      <c r="U4345" s="2">
        <f t="shared" si="679"/>
        <v>116.99640000000001</v>
      </c>
      <c r="V4345" s="2">
        <f t="shared" si="680"/>
        <v>625.67640000000006</v>
      </c>
      <c r="W4345" s="2">
        <v>178.3383</v>
      </c>
      <c r="X4345" s="5">
        <f t="shared" si="676"/>
        <v>0.64940964850200522</v>
      </c>
      <c r="Z4345" s="2" t="s">
        <v>117</v>
      </c>
      <c r="AA4345" s="2" t="s">
        <v>118</v>
      </c>
      <c r="AB4345" s="2" t="s">
        <v>119</v>
      </c>
      <c r="AC4345" s="2" t="s">
        <v>114</v>
      </c>
      <c r="AK4345" s="2">
        <f t="shared" si="678"/>
        <v>330.3417</v>
      </c>
      <c r="AL4345" s="5">
        <f t="shared" si="677"/>
        <v>0.64940964850200522</v>
      </c>
    </row>
    <row r="4346" spans="1:38" x14ac:dyDescent="0.2">
      <c r="A4346" s="2">
        <v>2026</v>
      </c>
      <c r="B4346" s="2">
        <v>7</v>
      </c>
      <c r="C4346" s="2" t="s">
        <v>3294</v>
      </c>
      <c r="D4346" s="15" t="s">
        <v>816</v>
      </c>
      <c r="E4346" s="2" t="s">
        <v>38</v>
      </c>
      <c r="F4346" s="2" t="s">
        <v>39</v>
      </c>
      <c r="L4346" s="2" t="s">
        <v>480</v>
      </c>
      <c r="M4346" s="2" t="s">
        <v>40</v>
      </c>
      <c r="P4346" s="2" t="s">
        <v>114</v>
      </c>
      <c r="Q4346" s="16" t="s">
        <v>646</v>
      </c>
      <c r="R4346" s="15" t="s">
        <v>647</v>
      </c>
      <c r="S4346" s="13">
        <v>1</v>
      </c>
      <c r="T4346" s="14">
        <v>90.66</v>
      </c>
      <c r="U4346" s="2">
        <f t="shared" si="679"/>
        <v>20.851800000000001</v>
      </c>
      <c r="V4346" s="2">
        <f t="shared" si="680"/>
        <v>111.51179999999999</v>
      </c>
      <c r="W4346" s="2">
        <v>30.61</v>
      </c>
      <c r="X4346" s="5">
        <f t="shared" si="676"/>
        <v>0.66236487977057135</v>
      </c>
      <c r="Z4346" s="2" t="s">
        <v>117</v>
      </c>
      <c r="AA4346" s="2" t="s">
        <v>118</v>
      </c>
      <c r="AB4346" s="2" t="s">
        <v>119</v>
      </c>
      <c r="AC4346" s="2" t="s">
        <v>114</v>
      </c>
      <c r="AK4346" s="2">
        <f t="shared" si="678"/>
        <v>60.05</v>
      </c>
      <c r="AL4346" s="5">
        <f t="shared" si="677"/>
        <v>0.66236487977057135</v>
      </c>
    </row>
    <row r="4347" spans="1:38" x14ac:dyDescent="0.2">
      <c r="A4347" s="2">
        <v>2026</v>
      </c>
      <c r="B4347" s="2">
        <v>7</v>
      </c>
      <c r="C4347" s="2" t="s">
        <v>3294</v>
      </c>
      <c r="D4347" s="15" t="s">
        <v>816</v>
      </c>
      <c r="E4347" s="2" t="s">
        <v>38</v>
      </c>
      <c r="F4347" s="2" t="s">
        <v>39</v>
      </c>
      <c r="L4347" s="2" t="s">
        <v>480</v>
      </c>
      <c r="M4347" s="2" t="s">
        <v>40</v>
      </c>
      <c r="P4347" s="2" t="s">
        <v>187</v>
      </c>
      <c r="Q4347" s="16" t="s">
        <v>188</v>
      </c>
      <c r="R4347" s="15" t="s">
        <v>189</v>
      </c>
      <c r="S4347" s="13">
        <v>2</v>
      </c>
      <c r="T4347" s="14">
        <v>368</v>
      </c>
      <c r="U4347" s="2">
        <f t="shared" si="679"/>
        <v>84.64</v>
      </c>
      <c r="V4347" s="2">
        <f t="shared" si="680"/>
        <v>452.64</v>
      </c>
      <c r="W4347" s="2">
        <f>T4347*40%</f>
        <v>147.20000000000002</v>
      </c>
      <c r="X4347" s="5">
        <f t="shared" si="676"/>
        <v>0.6</v>
      </c>
      <c r="Z4347" s="2" t="s">
        <v>117</v>
      </c>
      <c r="AA4347" s="2" t="s">
        <v>190</v>
      </c>
      <c r="AB4347" s="2" t="s">
        <v>189</v>
      </c>
      <c r="AC4347" s="2" t="s">
        <v>40</v>
      </c>
      <c r="AK4347" s="2">
        <f t="shared" si="678"/>
        <v>220.79999999999998</v>
      </c>
      <c r="AL4347" s="5">
        <f t="shared" si="677"/>
        <v>0.6</v>
      </c>
    </row>
    <row r="4348" spans="1:38" x14ac:dyDescent="0.2">
      <c r="A4348" s="2">
        <v>2026</v>
      </c>
      <c r="B4348" s="2">
        <v>7</v>
      </c>
      <c r="C4348" s="2" t="s">
        <v>3294</v>
      </c>
      <c r="D4348" s="15" t="s">
        <v>816</v>
      </c>
      <c r="E4348" s="2" t="s">
        <v>38</v>
      </c>
      <c r="F4348" s="2" t="s">
        <v>39</v>
      </c>
      <c r="L4348" s="2" t="s">
        <v>480</v>
      </c>
      <c r="M4348" s="2" t="s">
        <v>40</v>
      </c>
      <c r="P4348" s="2" t="s">
        <v>187</v>
      </c>
      <c r="Q4348" s="16" t="s">
        <v>191</v>
      </c>
      <c r="R4348" s="15" t="s">
        <v>190</v>
      </c>
      <c r="S4348" s="13">
        <v>4</v>
      </c>
      <c r="T4348" s="14">
        <v>220</v>
      </c>
      <c r="U4348" s="2">
        <f t="shared" si="679"/>
        <v>50.6</v>
      </c>
      <c r="V4348" s="2">
        <f t="shared" si="680"/>
        <v>270.60000000000002</v>
      </c>
      <c r="W4348" s="2">
        <f>T4348*50%</f>
        <v>110</v>
      </c>
      <c r="X4348" s="5">
        <f t="shared" si="676"/>
        <v>0.5</v>
      </c>
      <c r="Z4348" s="2" t="s">
        <v>117</v>
      </c>
      <c r="AA4348" s="2" t="s">
        <v>190</v>
      </c>
      <c r="AB4348" s="2" t="s">
        <v>190</v>
      </c>
      <c r="AC4348" s="2" t="s">
        <v>40</v>
      </c>
      <c r="AK4348" s="2">
        <f t="shared" si="678"/>
        <v>110</v>
      </c>
      <c r="AL4348" s="5">
        <f t="shared" si="677"/>
        <v>0.5</v>
      </c>
    </row>
    <row r="4349" spans="1:38" x14ac:dyDescent="0.2">
      <c r="A4349" s="2">
        <v>2026</v>
      </c>
      <c r="B4349" s="2">
        <v>7</v>
      </c>
      <c r="C4349" s="2" t="s">
        <v>3439</v>
      </c>
      <c r="D4349" s="15" t="s">
        <v>2017</v>
      </c>
      <c r="E4349" s="2" t="s">
        <v>108</v>
      </c>
      <c r="F4349" s="2" t="s">
        <v>39</v>
      </c>
      <c r="L4349" s="2" t="s">
        <v>177</v>
      </c>
      <c r="M4349" s="2" t="s">
        <v>40</v>
      </c>
      <c r="P4349" s="2" t="s">
        <v>187</v>
      </c>
      <c r="Q4349" s="16" t="s">
        <v>188</v>
      </c>
      <c r="R4349" s="15" t="s">
        <v>189</v>
      </c>
      <c r="S4349" s="13">
        <v>1</v>
      </c>
      <c r="T4349" s="14">
        <v>75</v>
      </c>
      <c r="U4349" s="2">
        <f t="shared" si="679"/>
        <v>17.25</v>
      </c>
      <c r="V4349" s="2">
        <f t="shared" si="680"/>
        <v>92.25</v>
      </c>
      <c r="W4349" s="2">
        <f>T4349*40%</f>
        <v>30</v>
      </c>
      <c r="X4349" s="5">
        <f t="shared" si="676"/>
        <v>0.6</v>
      </c>
      <c r="Z4349" s="2" t="s">
        <v>117</v>
      </c>
      <c r="AA4349" s="2" t="s">
        <v>190</v>
      </c>
      <c r="AB4349" s="2" t="s">
        <v>189</v>
      </c>
      <c r="AC4349" s="2" t="s">
        <v>40</v>
      </c>
      <c r="AK4349" s="2">
        <f t="shared" si="678"/>
        <v>45</v>
      </c>
      <c r="AL4349" s="5">
        <f t="shared" si="677"/>
        <v>0.6</v>
      </c>
    </row>
    <row r="4350" spans="1:38" x14ac:dyDescent="0.2">
      <c r="A4350" s="2">
        <v>2026</v>
      </c>
      <c r="B4350" s="2">
        <v>7</v>
      </c>
      <c r="C4350" s="2" t="s">
        <v>3439</v>
      </c>
      <c r="D4350" s="15" t="s">
        <v>2017</v>
      </c>
      <c r="E4350" s="2" t="s">
        <v>108</v>
      </c>
      <c r="F4350" s="2" t="s">
        <v>39</v>
      </c>
      <c r="L4350" s="2" t="s">
        <v>177</v>
      </c>
      <c r="M4350" s="2" t="s">
        <v>40</v>
      </c>
      <c r="P4350" s="2" t="s">
        <v>187</v>
      </c>
      <c r="Q4350" s="16" t="s">
        <v>191</v>
      </c>
      <c r="R4350" s="15" t="s">
        <v>190</v>
      </c>
      <c r="S4350" s="13">
        <v>1.75</v>
      </c>
      <c r="T4350" s="14">
        <v>96.25</v>
      </c>
      <c r="U4350" s="2">
        <f t="shared" si="679"/>
        <v>22.137499999999999</v>
      </c>
      <c r="V4350" s="2">
        <f t="shared" si="680"/>
        <v>118.3875</v>
      </c>
      <c r="W4350" s="2">
        <f>T4350*50%</f>
        <v>48.125</v>
      </c>
      <c r="X4350" s="5">
        <f t="shared" si="676"/>
        <v>0.5</v>
      </c>
      <c r="Z4350" s="2" t="s">
        <v>117</v>
      </c>
      <c r="AA4350" s="2" t="s">
        <v>190</v>
      </c>
      <c r="AB4350" s="2" t="s">
        <v>190</v>
      </c>
      <c r="AC4350" s="2" t="s">
        <v>40</v>
      </c>
      <c r="AK4350" s="2">
        <f t="shared" si="678"/>
        <v>48.125</v>
      </c>
      <c r="AL4350" s="5">
        <f t="shared" si="677"/>
        <v>0.5</v>
      </c>
    </row>
    <row r="4351" spans="1:38" x14ac:dyDescent="0.2">
      <c r="A4351" s="2">
        <v>2026</v>
      </c>
      <c r="B4351" s="2">
        <v>7</v>
      </c>
      <c r="C4351" s="2" t="s">
        <v>3439</v>
      </c>
      <c r="D4351" s="15" t="s">
        <v>2017</v>
      </c>
      <c r="E4351" s="2" t="s">
        <v>108</v>
      </c>
      <c r="F4351" s="2" t="s">
        <v>39</v>
      </c>
      <c r="L4351" s="2" t="s">
        <v>177</v>
      </c>
      <c r="M4351" s="2" t="s">
        <v>40</v>
      </c>
      <c r="P4351" s="2" t="s">
        <v>40</v>
      </c>
      <c r="Q4351" s="16" t="s">
        <v>363</v>
      </c>
      <c r="R4351" s="15" t="s">
        <v>364</v>
      </c>
      <c r="S4351" s="13">
        <v>1</v>
      </c>
      <c r="T4351" s="14">
        <v>297.5</v>
      </c>
      <c r="U4351" s="2">
        <f t="shared" si="679"/>
        <v>68.424999999999997</v>
      </c>
      <c r="V4351" s="2">
        <f t="shared" si="680"/>
        <v>365.92500000000001</v>
      </c>
      <c r="X4351" s="5">
        <f t="shared" si="676"/>
        <v>1</v>
      </c>
      <c r="Z4351" s="2" t="s">
        <v>119</v>
      </c>
      <c r="AA4351" s="2" t="s">
        <v>3380</v>
      </c>
      <c r="AK4351" s="2">
        <f t="shared" si="678"/>
        <v>297.5</v>
      </c>
      <c r="AL4351" s="5">
        <f t="shared" si="677"/>
        <v>1</v>
      </c>
    </row>
    <row r="4352" spans="1:38" x14ac:dyDescent="0.2">
      <c r="A4352" s="2">
        <v>2026</v>
      </c>
      <c r="B4352" s="2">
        <v>7</v>
      </c>
      <c r="C4352" s="2" t="s">
        <v>3296</v>
      </c>
      <c r="D4352" s="15" t="s">
        <v>3336</v>
      </c>
      <c r="E4352" s="2" t="s">
        <v>108</v>
      </c>
      <c r="F4352" s="2" t="s">
        <v>39</v>
      </c>
      <c r="L4352" s="2" t="s">
        <v>398</v>
      </c>
      <c r="M4352" s="2" t="s">
        <v>109</v>
      </c>
      <c r="P4352" s="2" t="s">
        <v>40</v>
      </c>
      <c r="Q4352" s="16" t="s">
        <v>363</v>
      </c>
      <c r="R4352" s="15" t="s">
        <v>364</v>
      </c>
      <c r="S4352" s="13">
        <v>1</v>
      </c>
      <c r="T4352" s="14">
        <v>500</v>
      </c>
      <c r="U4352" s="2">
        <f t="shared" si="679"/>
        <v>115</v>
      </c>
      <c r="V4352" s="2">
        <f t="shared" si="680"/>
        <v>615</v>
      </c>
      <c r="X4352" s="5">
        <f t="shared" si="676"/>
        <v>1</v>
      </c>
      <c r="Z4352" s="2" t="s">
        <v>104</v>
      </c>
      <c r="AA4352" s="2" t="s">
        <v>414</v>
      </c>
      <c r="AB4352" s="2" t="s">
        <v>475</v>
      </c>
      <c r="AC4352" s="2" t="s">
        <v>475</v>
      </c>
      <c r="AK4352" s="2">
        <f t="shared" si="678"/>
        <v>500</v>
      </c>
      <c r="AL4352" s="5">
        <f t="shared" si="677"/>
        <v>1</v>
      </c>
    </row>
    <row r="4353" spans="1:38" x14ac:dyDescent="0.2">
      <c r="A4353" s="2">
        <v>2026</v>
      </c>
      <c r="B4353" s="2">
        <v>7</v>
      </c>
      <c r="C4353" s="2" t="s">
        <v>3294</v>
      </c>
      <c r="D4353" s="15" t="s">
        <v>458</v>
      </c>
      <c r="E4353" s="2" t="s">
        <v>108</v>
      </c>
      <c r="F4353" s="2" t="s">
        <v>477</v>
      </c>
      <c r="L4353" s="2" t="s">
        <v>461</v>
      </c>
      <c r="M4353" s="2" t="s">
        <v>80</v>
      </c>
      <c r="P4353" s="2" t="s">
        <v>282</v>
      </c>
      <c r="Q4353" s="16" t="s">
        <v>399</v>
      </c>
      <c r="R4353" s="15" t="s">
        <v>400</v>
      </c>
      <c r="S4353" s="13">
        <v>2</v>
      </c>
      <c r="T4353" s="14">
        <v>58</v>
      </c>
      <c r="U4353" s="2">
        <f t="shared" si="679"/>
        <v>13.34</v>
      </c>
      <c r="V4353" s="2">
        <f t="shared" si="680"/>
        <v>71.34</v>
      </c>
      <c r="W4353" s="2">
        <f>14.5099*S4353</f>
        <v>29.0198</v>
      </c>
      <c r="X4353" s="5">
        <f t="shared" si="676"/>
        <v>0.49965862068965516</v>
      </c>
      <c r="Z4353" s="2" t="s">
        <v>3227</v>
      </c>
      <c r="AA4353" s="2" t="s">
        <v>46</v>
      </c>
      <c r="AB4353" s="2" t="s">
        <v>60</v>
      </c>
      <c r="AC4353" s="2" t="s">
        <v>3332</v>
      </c>
      <c r="AK4353" s="2">
        <f t="shared" si="678"/>
        <v>28.9802</v>
      </c>
      <c r="AL4353" s="5">
        <f t="shared" si="677"/>
        <v>0.49965862068965516</v>
      </c>
    </row>
    <row r="4354" spans="1:38" x14ac:dyDescent="0.2">
      <c r="A4354" s="2">
        <v>2026</v>
      </c>
      <c r="B4354" s="2">
        <v>7</v>
      </c>
      <c r="C4354" s="2" t="s">
        <v>3294</v>
      </c>
      <c r="D4354" s="15" t="s">
        <v>458</v>
      </c>
      <c r="E4354" s="2" t="s">
        <v>108</v>
      </c>
      <c r="F4354" s="2" t="s">
        <v>477</v>
      </c>
      <c r="L4354" s="2" t="s">
        <v>461</v>
      </c>
      <c r="M4354" s="2" t="s">
        <v>80</v>
      </c>
      <c r="P4354" s="2" t="s">
        <v>282</v>
      </c>
      <c r="Q4354" s="16" t="s">
        <v>401</v>
      </c>
      <c r="R4354" s="15" t="s">
        <v>402</v>
      </c>
      <c r="S4354" s="13">
        <v>4</v>
      </c>
      <c r="T4354" s="14">
        <v>96</v>
      </c>
      <c r="U4354" s="2">
        <f t="shared" si="679"/>
        <v>22.080000000000002</v>
      </c>
      <c r="V4354" s="2">
        <f t="shared" si="680"/>
        <v>118.08</v>
      </c>
      <c r="W4354" s="2">
        <f>14.5099*S4354</f>
        <v>58.0396</v>
      </c>
      <c r="X4354" s="5">
        <f t="shared" si="676"/>
        <v>0.39542083333333333</v>
      </c>
      <c r="Z4354" s="2" t="s">
        <v>3227</v>
      </c>
      <c r="AA4354" s="2" t="s">
        <v>46</v>
      </c>
      <c r="AB4354" s="2" t="s">
        <v>60</v>
      </c>
      <c r="AC4354" s="2" t="s">
        <v>3332</v>
      </c>
      <c r="AK4354" s="2">
        <f t="shared" si="678"/>
        <v>37.9604</v>
      </c>
      <c r="AL4354" s="5">
        <f t="shared" si="677"/>
        <v>0.39542083333333333</v>
      </c>
    </row>
    <row r="4355" spans="1:38" x14ac:dyDescent="0.2">
      <c r="A4355" s="2">
        <v>2026</v>
      </c>
      <c r="B4355" s="2">
        <v>7</v>
      </c>
      <c r="C4355" s="2" t="s">
        <v>3295</v>
      </c>
      <c r="D4355" s="15" t="s">
        <v>458</v>
      </c>
      <c r="E4355" s="2" t="s">
        <v>108</v>
      </c>
      <c r="F4355" s="2" t="s">
        <v>477</v>
      </c>
      <c r="L4355" s="2" t="s">
        <v>461</v>
      </c>
      <c r="M4355" s="2" t="s">
        <v>40</v>
      </c>
      <c r="P4355" s="2" t="s">
        <v>187</v>
      </c>
      <c r="Q4355" s="16" t="s">
        <v>188</v>
      </c>
      <c r="R4355" s="15" t="s">
        <v>189</v>
      </c>
      <c r="S4355" s="13">
        <v>1</v>
      </c>
      <c r="T4355" s="14">
        <v>177</v>
      </c>
      <c r="U4355" s="2">
        <f t="shared" si="679"/>
        <v>40.71</v>
      </c>
      <c r="V4355" s="2">
        <f t="shared" si="680"/>
        <v>217.71</v>
      </c>
      <c r="W4355" s="2">
        <f>T4355*40%</f>
        <v>70.8</v>
      </c>
      <c r="X4355" s="5">
        <f t="shared" si="676"/>
        <v>0.6</v>
      </c>
      <c r="Z4355" s="2" t="s">
        <v>117</v>
      </c>
      <c r="AA4355" s="2" t="s">
        <v>190</v>
      </c>
      <c r="AB4355" s="2" t="s">
        <v>189</v>
      </c>
      <c r="AC4355" s="2" t="s">
        <v>40</v>
      </c>
      <c r="AK4355" s="2">
        <f t="shared" si="678"/>
        <v>106.2</v>
      </c>
      <c r="AL4355" s="5">
        <f t="shared" si="677"/>
        <v>0.6</v>
      </c>
    </row>
    <row r="4356" spans="1:38" x14ac:dyDescent="0.2">
      <c r="A4356" s="2">
        <v>2026</v>
      </c>
      <c r="B4356" s="2">
        <v>7</v>
      </c>
      <c r="C4356" s="2" t="s">
        <v>3295</v>
      </c>
      <c r="D4356" s="15" t="s">
        <v>458</v>
      </c>
      <c r="E4356" s="2" t="s">
        <v>108</v>
      </c>
      <c r="F4356" s="2" t="s">
        <v>477</v>
      </c>
      <c r="L4356" s="2" t="s">
        <v>461</v>
      </c>
      <c r="M4356" s="2" t="s">
        <v>40</v>
      </c>
      <c r="P4356" s="2" t="s">
        <v>187</v>
      </c>
      <c r="Q4356" s="16" t="s">
        <v>191</v>
      </c>
      <c r="R4356" s="15" t="s">
        <v>190</v>
      </c>
      <c r="S4356" s="13">
        <v>1</v>
      </c>
      <c r="T4356" s="14">
        <v>55</v>
      </c>
      <c r="U4356" s="2">
        <f t="shared" si="679"/>
        <v>12.65</v>
      </c>
      <c r="V4356" s="2">
        <f t="shared" si="680"/>
        <v>67.650000000000006</v>
      </c>
      <c r="W4356" s="2">
        <f>T4356*50%</f>
        <v>27.5</v>
      </c>
      <c r="X4356" s="5">
        <f t="shared" si="676"/>
        <v>0.5</v>
      </c>
      <c r="Z4356" s="2" t="s">
        <v>117</v>
      </c>
      <c r="AA4356" s="2" t="s">
        <v>190</v>
      </c>
      <c r="AB4356" s="2" t="s">
        <v>190</v>
      </c>
      <c r="AC4356" s="2" t="s">
        <v>40</v>
      </c>
      <c r="AK4356" s="2">
        <f t="shared" si="678"/>
        <v>27.5</v>
      </c>
      <c r="AL4356" s="5">
        <f t="shared" si="677"/>
        <v>0.5</v>
      </c>
    </row>
    <row r="4357" spans="1:38" x14ac:dyDescent="0.2">
      <c r="A4357" s="2">
        <v>2026</v>
      </c>
      <c r="B4357" s="2">
        <v>7</v>
      </c>
      <c r="C4357" s="2" t="s">
        <v>3295</v>
      </c>
      <c r="D4357" s="15" t="s">
        <v>1573</v>
      </c>
      <c r="E4357" s="2" t="s">
        <v>752</v>
      </c>
      <c r="F4357" s="2" t="s">
        <v>39</v>
      </c>
      <c r="L4357" s="2" t="s">
        <v>461</v>
      </c>
      <c r="M4357" s="2" t="s">
        <v>109</v>
      </c>
      <c r="P4357" s="2" t="s">
        <v>282</v>
      </c>
      <c r="Q4357" s="16" t="s">
        <v>2647</v>
      </c>
      <c r="R4357" s="15" t="s">
        <v>2648</v>
      </c>
      <c r="S4357" s="13">
        <v>1</v>
      </c>
      <c r="T4357" s="14">
        <v>0</v>
      </c>
      <c r="U4357" s="2">
        <f t="shared" si="679"/>
        <v>0</v>
      </c>
      <c r="V4357" s="2">
        <f t="shared" si="680"/>
        <v>0</v>
      </c>
      <c r="W4357" s="2">
        <v>0</v>
      </c>
      <c r="X4357" s="5">
        <v>0</v>
      </c>
      <c r="Z4357" s="2" t="s">
        <v>104</v>
      </c>
      <c r="AA4357" s="2" t="s">
        <v>1574</v>
      </c>
      <c r="AB4357" s="2" t="s">
        <v>388</v>
      </c>
      <c r="AC4357" s="2" t="s">
        <v>1327</v>
      </c>
      <c r="AK4357" s="2">
        <f t="shared" si="678"/>
        <v>0</v>
      </c>
      <c r="AL4357" s="5">
        <v>0</v>
      </c>
    </row>
    <row r="4358" spans="1:38" x14ac:dyDescent="0.2">
      <c r="A4358" s="2">
        <v>2026</v>
      </c>
      <c r="B4358" s="2">
        <v>7</v>
      </c>
      <c r="C4358" s="2" t="s">
        <v>3295</v>
      </c>
      <c r="D4358" s="15" t="s">
        <v>1573</v>
      </c>
      <c r="E4358" s="2" t="s">
        <v>752</v>
      </c>
      <c r="F4358" s="2" t="s">
        <v>39</v>
      </c>
      <c r="L4358" s="2" t="s">
        <v>461</v>
      </c>
      <c r="M4358" s="2" t="s">
        <v>109</v>
      </c>
      <c r="P4358" s="2" t="s">
        <v>282</v>
      </c>
      <c r="Q4358" s="16" t="s">
        <v>2651</v>
      </c>
      <c r="R4358" s="15" t="s">
        <v>2652</v>
      </c>
      <c r="S4358" s="13">
        <v>1</v>
      </c>
      <c r="T4358" s="14">
        <v>0</v>
      </c>
      <c r="U4358" s="2">
        <f t="shared" si="679"/>
        <v>0</v>
      </c>
      <c r="V4358" s="2">
        <f t="shared" si="680"/>
        <v>0</v>
      </c>
      <c r="W4358" s="2">
        <v>0</v>
      </c>
      <c r="X4358" s="5">
        <v>0</v>
      </c>
      <c r="Z4358" s="2" t="s">
        <v>104</v>
      </c>
      <c r="AA4358" s="2" t="s">
        <v>1574</v>
      </c>
      <c r="AB4358" s="2" t="s">
        <v>388</v>
      </c>
      <c r="AC4358" s="2" t="s">
        <v>1327</v>
      </c>
      <c r="AK4358" s="2">
        <f t="shared" si="678"/>
        <v>0</v>
      </c>
      <c r="AL4358" s="5">
        <v>0</v>
      </c>
    </row>
    <row r="4359" spans="1:38" x14ac:dyDescent="0.2">
      <c r="A4359" s="2">
        <v>2026</v>
      </c>
      <c r="B4359" s="2">
        <v>7</v>
      </c>
      <c r="C4359" s="2" t="s">
        <v>3295</v>
      </c>
      <c r="D4359" s="15" t="s">
        <v>1573</v>
      </c>
      <c r="E4359" s="2" t="s">
        <v>752</v>
      </c>
      <c r="F4359" s="2" t="s">
        <v>39</v>
      </c>
      <c r="L4359" s="2" t="s">
        <v>461</v>
      </c>
      <c r="M4359" s="2" t="s">
        <v>109</v>
      </c>
      <c r="P4359" s="2" t="s">
        <v>282</v>
      </c>
      <c r="Q4359" s="16" t="s">
        <v>3352</v>
      </c>
      <c r="R4359" s="15" t="s">
        <v>3353</v>
      </c>
      <c r="S4359" s="13">
        <v>1</v>
      </c>
      <c r="T4359" s="14">
        <v>12000</v>
      </c>
      <c r="U4359" s="2">
        <f t="shared" si="679"/>
        <v>2760</v>
      </c>
      <c r="V4359" s="2">
        <f t="shared" si="680"/>
        <v>14760</v>
      </c>
      <c r="W4359" s="2">
        <f>10440+150</f>
        <v>10590</v>
      </c>
      <c r="X4359" s="5">
        <f t="shared" ref="X4359:X4390" si="681">(T4359-W4359)/T4359</f>
        <v>0.11749999999999999</v>
      </c>
      <c r="Z4359" s="2" t="s">
        <v>104</v>
      </c>
      <c r="AA4359" s="2" t="s">
        <v>1574</v>
      </c>
      <c r="AB4359" s="2" t="s">
        <v>388</v>
      </c>
      <c r="AC4359" s="2" t="s">
        <v>1327</v>
      </c>
      <c r="AK4359" s="2">
        <f t="shared" si="678"/>
        <v>1410</v>
      </c>
      <c r="AL4359" s="5">
        <f t="shared" ref="AL4359:AL4390" si="682">(T4359-W4359)/T4359</f>
        <v>0.11749999999999999</v>
      </c>
    </row>
    <row r="4360" spans="1:38" x14ac:dyDescent="0.2">
      <c r="A4360" s="2">
        <v>2026</v>
      </c>
      <c r="B4360" s="2">
        <v>7</v>
      </c>
      <c r="C4360" s="2" t="s">
        <v>3295</v>
      </c>
      <c r="D4360" s="15" t="s">
        <v>3337</v>
      </c>
      <c r="E4360" s="2" t="s">
        <v>108</v>
      </c>
      <c r="F4360" s="2" t="s">
        <v>39</v>
      </c>
      <c r="L4360" s="2" t="s">
        <v>461</v>
      </c>
      <c r="M4360" s="2" t="s">
        <v>80</v>
      </c>
      <c r="P4360" s="2" t="s">
        <v>72</v>
      </c>
      <c r="Q4360" s="16" t="s">
        <v>73</v>
      </c>
      <c r="R4360" s="15" t="s">
        <v>74</v>
      </c>
      <c r="S4360" s="13">
        <v>1</v>
      </c>
      <c r="T4360" s="14">
        <v>190</v>
      </c>
      <c r="U4360" s="2">
        <f t="shared" si="679"/>
        <v>43.7</v>
      </c>
      <c r="V4360" s="2">
        <f t="shared" si="680"/>
        <v>233.7</v>
      </c>
      <c r="W4360" s="2">
        <v>125.51600000000001</v>
      </c>
      <c r="X4360" s="5">
        <f t="shared" si="681"/>
        <v>0.33938947368421052</v>
      </c>
      <c r="Z4360" s="2" t="s">
        <v>3227</v>
      </c>
      <c r="AA4360" s="2" t="s">
        <v>75</v>
      </c>
      <c r="AB4360" s="2" t="s">
        <v>76</v>
      </c>
      <c r="AC4360" s="2" t="s">
        <v>77</v>
      </c>
      <c r="AK4360" s="2">
        <f t="shared" si="678"/>
        <v>64.483999999999995</v>
      </c>
      <c r="AL4360" s="5">
        <f t="shared" si="682"/>
        <v>0.33938947368421052</v>
      </c>
    </row>
    <row r="4361" spans="1:38" x14ac:dyDescent="0.2">
      <c r="A4361" s="2">
        <v>2026</v>
      </c>
      <c r="B4361" s="2">
        <v>7</v>
      </c>
      <c r="C4361" s="2" t="s">
        <v>3295</v>
      </c>
      <c r="D4361" s="15" t="s">
        <v>3337</v>
      </c>
      <c r="E4361" s="2" t="s">
        <v>108</v>
      </c>
      <c r="F4361" s="2" t="s">
        <v>39</v>
      </c>
      <c r="L4361" s="2" t="s">
        <v>461</v>
      </c>
      <c r="M4361" s="2" t="s">
        <v>80</v>
      </c>
      <c r="P4361" s="2" t="s">
        <v>93</v>
      </c>
      <c r="Q4361" s="16" t="s">
        <v>94</v>
      </c>
      <c r="R4361" s="15" t="s">
        <v>95</v>
      </c>
      <c r="S4361" s="13">
        <v>1</v>
      </c>
      <c r="T4361" s="14">
        <v>1.48</v>
      </c>
      <c r="U4361" s="2">
        <f t="shared" si="679"/>
        <v>0.34040000000000004</v>
      </c>
      <c r="V4361" s="2">
        <f t="shared" si="680"/>
        <v>1.8204</v>
      </c>
      <c r="W4361" s="2">
        <v>1.48</v>
      </c>
      <c r="X4361" s="5">
        <f t="shared" si="681"/>
        <v>0</v>
      </c>
      <c r="Z4361" s="2" t="s">
        <v>3227</v>
      </c>
      <c r="AA4361" s="2" t="s">
        <v>96</v>
      </c>
      <c r="AB4361" s="2" t="s">
        <v>76</v>
      </c>
      <c r="AC4361" s="2" t="s">
        <v>93</v>
      </c>
      <c r="AK4361" s="2">
        <f t="shared" si="678"/>
        <v>0</v>
      </c>
      <c r="AL4361" s="5">
        <f t="shared" si="682"/>
        <v>0</v>
      </c>
    </row>
    <row r="4362" spans="1:38" x14ac:dyDescent="0.2">
      <c r="A4362" s="2">
        <v>2026</v>
      </c>
      <c r="B4362" s="2">
        <v>7</v>
      </c>
      <c r="C4362" s="2" t="s">
        <v>3295</v>
      </c>
      <c r="D4362" s="15" t="s">
        <v>462</v>
      </c>
      <c r="E4362" s="2" t="s">
        <v>108</v>
      </c>
      <c r="F4362" s="2" t="s">
        <v>39</v>
      </c>
      <c r="L4362" s="2" t="s">
        <v>112</v>
      </c>
      <c r="M4362" s="2" t="s">
        <v>40</v>
      </c>
      <c r="P4362" s="2" t="s">
        <v>114</v>
      </c>
      <c r="Q4362" s="16" t="s">
        <v>779</v>
      </c>
      <c r="R4362" s="15" t="s">
        <v>780</v>
      </c>
      <c r="S4362" s="13">
        <v>1</v>
      </c>
      <c r="T4362" s="14">
        <v>78.59</v>
      </c>
      <c r="U4362" s="2">
        <f t="shared" si="679"/>
        <v>18.075700000000001</v>
      </c>
      <c r="V4362" s="2">
        <f t="shared" si="680"/>
        <v>96.665700000000001</v>
      </c>
      <c r="W4362" s="2">
        <f>36.2258</f>
        <v>36.2258</v>
      </c>
      <c r="X4362" s="5">
        <f t="shared" si="681"/>
        <v>0.53905331467107775</v>
      </c>
      <c r="Z4362" s="2" t="s">
        <v>117</v>
      </c>
      <c r="AA4362" s="2" t="s">
        <v>118</v>
      </c>
      <c r="AB4362" s="2" t="s">
        <v>119</v>
      </c>
      <c r="AC4362" s="2" t="s">
        <v>114</v>
      </c>
      <c r="AK4362" s="2">
        <f t="shared" si="678"/>
        <v>42.364200000000004</v>
      </c>
      <c r="AL4362" s="5">
        <f t="shared" si="682"/>
        <v>0.53905331467107775</v>
      </c>
    </row>
    <row r="4363" spans="1:38" x14ac:dyDescent="0.2">
      <c r="A4363" s="2">
        <v>2026</v>
      </c>
      <c r="B4363" s="2">
        <v>7</v>
      </c>
      <c r="C4363" s="2" t="s">
        <v>3295</v>
      </c>
      <c r="D4363" s="15" t="s">
        <v>462</v>
      </c>
      <c r="E4363" s="2" t="s">
        <v>108</v>
      </c>
      <c r="F4363" s="2" t="s">
        <v>39</v>
      </c>
      <c r="L4363" s="2" t="s">
        <v>112</v>
      </c>
      <c r="M4363" s="2" t="s">
        <v>40</v>
      </c>
      <c r="P4363" s="2" t="s">
        <v>169</v>
      </c>
      <c r="Q4363" s="16" t="s">
        <v>170</v>
      </c>
      <c r="R4363" s="15" t="s">
        <v>170</v>
      </c>
      <c r="S4363" s="13">
        <v>1</v>
      </c>
      <c r="T4363" s="14">
        <v>7</v>
      </c>
      <c r="U4363" s="2">
        <f t="shared" si="679"/>
        <v>1.61</v>
      </c>
      <c r="V4363" s="2">
        <f t="shared" si="680"/>
        <v>8.61</v>
      </c>
      <c r="W4363" s="2">
        <v>6</v>
      </c>
      <c r="X4363" s="5">
        <f t="shared" si="681"/>
        <v>0.14285714285714285</v>
      </c>
      <c r="Z4363" s="2" t="s">
        <v>169</v>
      </c>
      <c r="AA4363" s="2" t="s">
        <v>169</v>
      </c>
      <c r="AK4363" s="2">
        <f t="shared" si="678"/>
        <v>1</v>
      </c>
      <c r="AL4363" s="5">
        <f t="shared" si="682"/>
        <v>0.14285714285714285</v>
      </c>
    </row>
    <row r="4364" spans="1:38" x14ac:dyDescent="0.2">
      <c r="A4364" s="2">
        <v>2026</v>
      </c>
      <c r="B4364" s="2">
        <v>7</v>
      </c>
      <c r="C4364" s="2" t="s">
        <v>3295</v>
      </c>
      <c r="D4364" s="15" t="s">
        <v>3415</v>
      </c>
      <c r="E4364" s="2" t="s">
        <v>108</v>
      </c>
      <c r="F4364" s="2" t="s">
        <v>39</v>
      </c>
      <c r="L4364" s="2" t="s">
        <v>133</v>
      </c>
      <c r="M4364" s="2" t="s">
        <v>109</v>
      </c>
      <c r="P4364" s="2" t="s">
        <v>114</v>
      </c>
      <c r="Q4364" s="16" t="s">
        <v>709</v>
      </c>
      <c r="R4364" s="15" t="s">
        <v>710</v>
      </c>
      <c r="S4364" s="13">
        <v>1</v>
      </c>
      <c r="T4364" s="14">
        <v>1600</v>
      </c>
      <c r="U4364" s="2">
        <f t="shared" si="679"/>
        <v>368</v>
      </c>
      <c r="V4364" s="2">
        <f t="shared" si="680"/>
        <v>1968</v>
      </c>
      <c r="W4364" s="2">
        <v>1244.2445</v>
      </c>
      <c r="X4364" s="5">
        <f t="shared" si="681"/>
        <v>0.22234718749999999</v>
      </c>
      <c r="Z4364" s="2" t="s">
        <v>104</v>
      </c>
      <c r="AA4364" s="2" t="s">
        <v>578</v>
      </c>
      <c r="AB4364" s="2" t="s">
        <v>701</v>
      </c>
      <c r="AC4364" s="2" t="s">
        <v>114</v>
      </c>
      <c r="AK4364" s="2">
        <f t="shared" si="678"/>
        <v>355.75549999999998</v>
      </c>
      <c r="AL4364" s="5">
        <f t="shared" si="682"/>
        <v>0.22234718749999999</v>
      </c>
    </row>
    <row r="4365" spans="1:38" x14ac:dyDescent="0.2">
      <c r="A4365" s="2">
        <v>2026</v>
      </c>
      <c r="B4365" s="2">
        <v>7</v>
      </c>
      <c r="C4365" s="2" t="s">
        <v>3295</v>
      </c>
      <c r="D4365" s="15" t="s">
        <v>3415</v>
      </c>
      <c r="E4365" s="2" t="s">
        <v>108</v>
      </c>
      <c r="F4365" s="2" t="s">
        <v>39</v>
      </c>
      <c r="L4365" s="2" t="s">
        <v>133</v>
      </c>
      <c r="M4365" s="2" t="s">
        <v>109</v>
      </c>
      <c r="P4365" s="2" t="s">
        <v>114</v>
      </c>
      <c r="Q4365" s="16" t="s">
        <v>838</v>
      </c>
      <c r="R4365" s="15" t="s">
        <v>839</v>
      </c>
      <c r="S4365" s="13">
        <v>1</v>
      </c>
      <c r="T4365" s="14">
        <v>4400</v>
      </c>
      <c r="U4365" s="2">
        <f t="shared" si="679"/>
        <v>1012</v>
      </c>
      <c r="V4365" s="2">
        <f t="shared" si="680"/>
        <v>5412</v>
      </c>
      <c r="W4365" s="2">
        <f>3229.76+112.87</f>
        <v>3342.63</v>
      </c>
      <c r="X4365" s="5">
        <f t="shared" si="681"/>
        <v>0.2403113636363636</v>
      </c>
      <c r="Z4365" s="2" t="s">
        <v>104</v>
      </c>
      <c r="AA4365" s="2" t="s">
        <v>150</v>
      </c>
      <c r="AB4365" s="2" t="s">
        <v>151</v>
      </c>
      <c r="AC4365" s="2" t="s">
        <v>114</v>
      </c>
      <c r="AK4365" s="2">
        <f t="shared" si="678"/>
        <v>1057.3699999999999</v>
      </c>
      <c r="AL4365" s="5">
        <f t="shared" si="682"/>
        <v>0.2403113636363636</v>
      </c>
    </row>
    <row r="4366" spans="1:38" x14ac:dyDescent="0.2">
      <c r="A4366" s="2">
        <v>2026</v>
      </c>
      <c r="B4366" s="2">
        <v>7</v>
      </c>
      <c r="C4366" s="2" t="s">
        <v>3296</v>
      </c>
      <c r="D4366" s="15" t="s">
        <v>840</v>
      </c>
      <c r="E4366" s="2" t="s">
        <v>108</v>
      </c>
      <c r="F4366" s="2" t="s">
        <v>531</v>
      </c>
      <c r="G4366" s="2">
        <v>504981285</v>
      </c>
      <c r="H4366" s="2" t="s">
        <v>290</v>
      </c>
      <c r="I4366" s="2" t="s">
        <v>841</v>
      </c>
      <c r="J4366" s="2" t="s">
        <v>842</v>
      </c>
      <c r="K4366" s="2">
        <v>932209225</v>
      </c>
      <c r="L4366" s="2" t="s">
        <v>339</v>
      </c>
      <c r="M4366" s="2" t="s">
        <v>40</v>
      </c>
      <c r="P4366" s="2" t="s">
        <v>114</v>
      </c>
      <c r="Q4366" s="16" t="s">
        <v>1374</v>
      </c>
      <c r="R4366" s="15" t="s">
        <v>1375</v>
      </c>
      <c r="S4366" s="13">
        <v>1</v>
      </c>
      <c r="T4366" s="14">
        <v>58.74</v>
      </c>
      <c r="U4366" s="2">
        <f t="shared" si="679"/>
        <v>13.510200000000001</v>
      </c>
      <c r="V4366" s="2">
        <f t="shared" si="680"/>
        <v>72.250200000000007</v>
      </c>
      <c r="W4366" s="2">
        <v>27.86</v>
      </c>
      <c r="X4366" s="5">
        <f t="shared" si="681"/>
        <v>0.52570650323459311</v>
      </c>
      <c r="Z4366" s="2" t="s">
        <v>117</v>
      </c>
      <c r="AA4366" s="2" t="s">
        <v>118</v>
      </c>
      <c r="AB4366" s="2" t="s">
        <v>119</v>
      </c>
      <c r="AC4366" s="2" t="s">
        <v>114</v>
      </c>
      <c r="AK4366" s="2">
        <f t="shared" si="678"/>
        <v>30.880000000000003</v>
      </c>
      <c r="AL4366" s="5">
        <f t="shared" si="682"/>
        <v>0.52570650323459311</v>
      </c>
    </row>
    <row r="4367" spans="1:38" x14ac:dyDescent="0.2">
      <c r="A4367" s="2">
        <v>2026</v>
      </c>
      <c r="B4367" s="2">
        <v>7</v>
      </c>
      <c r="C4367" s="2" t="s">
        <v>3296</v>
      </c>
      <c r="D4367" s="15" t="s">
        <v>840</v>
      </c>
      <c r="E4367" s="2" t="s">
        <v>108</v>
      </c>
      <c r="F4367" s="2" t="s">
        <v>531</v>
      </c>
      <c r="G4367" s="2">
        <v>504981285</v>
      </c>
      <c r="H4367" s="2" t="s">
        <v>290</v>
      </c>
      <c r="I4367" s="2" t="s">
        <v>841</v>
      </c>
      <c r="J4367" s="2" t="s">
        <v>842</v>
      </c>
      <c r="K4367" s="2">
        <v>932209225</v>
      </c>
      <c r="L4367" s="2" t="s">
        <v>339</v>
      </c>
      <c r="M4367" s="2" t="s">
        <v>40</v>
      </c>
      <c r="P4367" s="2" t="s">
        <v>187</v>
      </c>
      <c r="Q4367" s="16" t="s">
        <v>188</v>
      </c>
      <c r="R4367" s="15" t="s">
        <v>189</v>
      </c>
      <c r="S4367" s="13">
        <v>1</v>
      </c>
      <c r="T4367" s="14">
        <v>55</v>
      </c>
      <c r="U4367" s="2">
        <f t="shared" si="679"/>
        <v>12.65</v>
      </c>
      <c r="V4367" s="2">
        <f t="shared" si="680"/>
        <v>67.650000000000006</v>
      </c>
      <c r="W4367" s="2">
        <f>T4367*40%</f>
        <v>22</v>
      </c>
      <c r="X4367" s="5">
        <f t="shared" si="681"/>
        <v>0.6</v>
      </c>
      <c r="Z4367" s="2" t="s">
        <v>117</v>
      </c>
      <c r="AA4367" s="2" t="s">
        <v>190</v>
      </c>
      <c r="AB4367" s="2" t="s">
        <v>189</v>
      </c>
      <c r="AC4367" s="2" t="s">
        <v>40</v>
      </c>
      <c r="AK4367" s="2">
        <f t="shared" si="678"/>
        <v>33</v>
      </c>
      <c r="AL4367" s="5">
        <f t="shared" si="682"/>
        <v>0.6</v>
      </c>
    </row>
    <row r="4368" spans="1:38" x14ac:dyDescent="0.2">
      <c r="A4368" s="2">
        <v>2026</v>
      </c>
      <c r="B4368" s="2">
        <v>7</v>
      </c>
      <c r="C4368" s="2" t="s">
        <v>3296</v>
      </c>
      <c r="D4368" s="15" t="s">
        <v>840</v>
      </c>
      <c r="E4368" s="2" t="s">
        <v>108</v>
      </c>
      <c r="F4368" s="2" t="s">
        <v>531</v>
      </c>
      <c r="G4368" s="2">
        <v>504981285</v>
      </c>
      <c r="H4368" s="2" t="s">
        <v>290</v>
      </c>
      <c r="I4368" s="2" t="s">
        <v>841</v>
      </c>
      <c r="J4368" s="2" t="s">
        <v>842</v>
      </c>
      <c r="K4368" s="2">
        <v>932209225</v>
      </c>
      <c r="L4368" s="2" t="s">
        <v>339</v>
      </c>
      <c r="M4368" s="2" t="s">
        <v>40</v>
      </c>
      <c r="P4368" s="2" t="s">
        <v>187</v>
      </c>
      <c r="Q4368" s="16" t="s">
        <v>191</v>
      </c>
      <c r="R4368" s="15" t="s">
        <v>190</v>
      </c>
      <c r="S4368" s="13">
        <v>1.5</v>
      </c>
      <c r="T4368" s="14">
        <v>82.5</v>
      </c>
      <c r="U4368" s="2">
        <f t="shared" si="679"/>
        <v>18.975000000000001</v>
      </c>
      <c r="V4368" s="2">
        <f t="shared" si="680"/>
        <v>101.47499999999999</v>
      </c>
      <c r="W4368" s="2">
        <f>T4368*50%</f>
        <v>41.25</v>
      </c>
      <c r="X4368" s="5">
        <f t="shared" si="681"/>
        <v>0.5</v>
      </c>
      <c r="Z4368" s="2" t="s">
        <v>117</v>
      </c>
      <c r="AA4368" s="2" t="s">
        <v>190</v>
      </c>
      <c r="AB4368" s="2" t="s">
        <v>190</v>
      </c>
      <c r="AC4368" s="2" t="s">
        <v>40</v>
      </c>
      <c r="AK4368" s="2">
        <f t="shared" si="678"/>
        <v>41.25</v>
      </c>
      <c r="AL4368" s="5">
        <f t="shared" si="682"/>
        <v>0.5</v>
      </c>
    </row>
    <row r="4369" spans="1:38" x14ac:dyDescent="0.2">
      <c r="A4369" s="2">
        <v>2026</v>
      </c>
      <c r="B4369" s="2">
        <v>7</v>
      </c>
      <c r="C4369" s="2" t="s">
        <v>3296</v>
      </c>
      <c r="D4369" s="15" t="s">
        <v>840</v>
      </c>
      <c r="E4369" s="2" t="s">
        <v>108</v>
      </c>
      <c r="F4369" s="2" t="s">
        <v>531</v>
      </c>
      <c r="G4369" s="2">
        <v>504981285</v>
      </c>
      <c r="H4369" s="2" t="s">
        <v>290</v>
      </c>
      <c r="I4369" s="2" t="s">
        <v>841</v>
      </c>
      <c r="J4369" s="2" t="s">
        <v>842</v>
      </c>
      <c r="K4369" s="2">
        <v>932209225</v>
      </c>
      <c r="L4369" s="2" t="s">
        <v>339</v>
      </c>
      <c r="M4369" s="2" t="s">
        <v>40</v>
      </c>
      <c r="P4369" s="2" t="s">
        <v>40</v>
      </c>
      <c r="Q4369" s="16" t="s">
        <v>363</v>
      </c>
      <c r="R4369" s="15" t="s">
        <v>364</v>
      </c>
      <c r="S4369" s="13">
        <v>1.7</v>
      </c>
      <c r="T4369" s="14">
        <v>9.34</v>
      </c>
      <c r="U4369" s="2">
        <f t="shared" si="679"/>
        <v>2.1482000000000001</v>
      </c>
      <c r="V4369" s="2">
        <f t="shared" si="680"/>
        <v>11.488199999999999</v>
      </c>
      <c r="X4369" s="5">
        <f t="shared" si="681"/>
        <v>1</v>
      </c>
      <c r="Z4369" s="2" t="s">
        <v>119</v>
      </c>
      <c r="AA4369" s="2" t="s">
        <v>3380</v>
      </c>
      <c r="AK4369" s="2">
        <f t="shared" si="678"/>
        <v>9.34</v>
      </c>
      <c r="AL4369" s="5">
        <f t="shared" si="682"/>
        <v>1</v>
      </c>
    </row>
    <row r="4370" spans="1:38" x14ac:dyDescent="0.2">
      <c r="A4370" s="2">
        <v>2026</v>
      </c>
      <c r="B4370" s="2">
        <v>7</v>
      </c>
      <c r="C4370" s="2" t="s">
        <v>3296</v>
      </c>
      <c r="D4370" s="15" t="s">
        <v>3338</v>
      </c>
      <c r="E4370" s="2" t="s">
        <v>38</v>
      </c>
      <c r="F4370" s="2" t="s">
        <v>39</v>
      </c>
      <c r="L4370" s="2" t="s">
        <v>133</v>
      </c>
      <c r="M4370" s="2" t="s">
        <v>40</v>
      </c>
      <c r="P4370" s="2" t="s">
        <v>114</v>
      </c>
      <c r="Q4370" s="16" t="s">
        <v>179</v>
      </c>
      <c r="R4370" s="15" t="s">
        <v>180</v>
      </c>
      <c r="S4370" s="13">
        <v>1</v>
      </c>
      <c r="T4370" s="14">
        <v>699.3</v>
      </c>
      <c r="U4370" s="2">
        <f t="shared" si="679"/>
        <v>160.839</v>
      </c>
      <c r="V4370" s="2">
        <f t="shared" si="680"/>
        <v>860.1389999999999</v>
      </c>
      <c r="W4370" s="2">
        <v>343.38580000000002</v>
      </c>
      <c r="X4370" s="5">
        <f t="shared" si="681"/>
        <v>0.50895781495781489</v>
      </c>
      <c r="Z4370" s="2" t="s">
        <v>117</v>
      </c>
      <c r="AA4370" s="2" t="s">
        <v>181</v>
      </c>
      <c r="AB4370" s="2" t="s">
        <v>119</v>
      </c>
      <c r="AC4370" s="2" t="s">
        <v>114</v>
      </c>
      <c r="AK4370" s="2">
        <f t="shared" si="678"/>
        <v>355.91419999999994</v>
      </c>
      <c r="AL4370" s="5">
        <f t="shared" si="682"/>
        <v>0.50895781495781489</v>
      </c>
    </row>
    <row r="4371" spans="1:38" x14ac:dyDescent="0.2">
      <c r="A4371" s="2">
        <v>2026</v>
      </c>
      <c r="B4371" s="2">
        <v>7</v>
      </c>
      <c r="C4371" s="2" t="s">
        <v>3296</v>
      </c>
      <c r="D4371" s="15" t="s">
        <v>3338</v>
      </c>
      <c r="E4371" s="2" t="s">
        <v>38</v>
      </c>
      <c r="F4371" s="2" t="s">
        <v>39</v>
      </c>
      <c r="L4371" s="2" t="s">
        <v>133</v>
      </c>
      <c r="M4371" s="2" t="s">
        <v>40</v>
      </c>
      <c r="P4371" s="2" t="s">
        <v>187</v>
      </c>
      <c r="Q4371" s="16" t="s">
        <v>188</v>
      </c>
      <c r="R4371" s="15" t="s">
        <v>189</v>
      </c>
      <c r="S4371" s="13">
        <v>1</v>
      </c>
      <c r="T4371" s="14">
        <v>175</v>
      </c>
      <c r="U4371" s="2">
        <f t="shared" si="679"/>
        <v>40.25</v>
      </c>
      <c r="V4371" s="2">
        <f t="shared" si="680"/>
        <v>215.25</v>
      </c>
      <c r="W4371" s="2">
        <f>T4371*40%</f>
        <v>70</v>
      </c>
      <c r="X4371" s="5">
        <f t="shared" si="681"/>
        <v>0.6</v>
      </c>
      <c r="Z4371" s="2" t="s">
        <v>117</v>
      </c>
      <c r="AA4371" s="2" t="s">
        <v>190</v>
      </c>
      <c r="AB4371" s="2" t="s">
        <v>189</v>
      </c>
      <c r="AC4371" s="2" t="s">
        <v>40</v>
      </c>
      <c r="AK4371" s="2">
        <f t="shared" si="678"/>
        <v>105</v>
      </c>
      <c r="AL4371" s="5">
        <f t="shared" si="682"/>
        <v>0.6</v>
      </c>
    </row>
    <row r="4372" spans="1:38" x14ac:dyDescent="0.2">
      <c r="A4372" s="2">
        <v>2026</v>
      </c>
      <c r="B4372" s="2">
        <v>7</v>
      </c>
      <c r="C4372" s="2" t="s">
        <v>3296</v>
      </c>
      <c r="D4372" s="15" t="s">
        <v>3338</v>
      </c>
      <c r="E4372" s="2" t="s">
        <v>38</v>
      </c>
      <c r="F4372" s="2" t="s">
        <v>39</v>
      </c>
      <c r="L4372" s="2" t="s">
        <v>133</v>
      </c>
      <c r="M4372" s="2" t="s">
        <v>40</v>
      </c>
      <c r="P4372" s="2" t="s">
        <v>187</v>
      </c>
      <c r="Q4372" s="16" t="s">
        <v>191</v>
      </c>
      <c r="R4372" s="15" t="s">
        <v>190</v>
      </c>
      <c r="S4372" s="13">
        <v>1</v>
      </c>
      <c r="T4372" s="14">
        <v>55</v>
      </c>
      <c r="U4372" s="2">
        <f t="shared" si="679"/>
        <v>12.65</v>
      </c>
      <c r="V4372" s="2">
        <f t="shared" si="680"/>
        <v>67.650000000000006</v>
      </c>
      <c r="W4372" s="2">
        <f>T4372*50%</f>
        <v>27.5</v>
      </c>
      <c r="X4372" s="5">
        <f t="shared" si="681"/>
        <v>0.5</v>
      </c>
      <c r="Z4372" s="2" t="s">
        <v>117</v>
      </c>
      <c r="AA4372" s="2" t="s">
        <v>190</v>
      </c>
      <c r="AB4372" s="2" t="s">
        <v>190</v>
      </c>
      <c r="AC4372" s="2" t="s">
        <v>40</v>
      </c>
      <c r="AK4372" s="2">
        <f t="shared" si="678"/>
        <v>27.5</v>
      </c>
      <c r="AL4372" s="5">
        <f t="shared" si="682"/>
        <v>0.5</v>
      </c>
    </row>
    <row r="4373" spans="1:38" x14ac:dyDescent="0.2">
      <c r="A4373" s="2">
        <v>2026</v>
      </c>
      <c r="B4373" s="2">
        <v>7</v>
      </c>
      <c r="C4373" s="8" t="s">
        <v>3295</v>
      </c>
      <c r="D4373" s="15" t="s">
        <v>843</v>
      </c>
      <c r="E4373" s="2" t="s">
        <v>38</v>
      </c>
      <c r="F4373" s="2" t="s">
        <v>39</v>
      </c>
      <c r="G4373" s="2">
        <v>161685080</v>
      </c>
      <c r="H4373" s="2" t="s">
        <v>41</v>
      </c>
      <c r="I4373" s="2" t="s">
        <v>418</v>
      </c>
      <c r="K4373" s="2" t="s">
        <v>844</v>
      </c>
      <c r="L4373" s="2" t="s">
        <v>418</v>
      </c>
      <c r="M4373" s="2" t="s">
        <v>41</v>
      </c>
      <c r="P4373" s="2" t="s">
        <v>43</v>
      </c>
      <c r="Q4373" s="16" t="s">
        <v>48</v>
      </c>
      <c r="R4373" s="15" t="s">
        <v>49</v>
      </c>
      <c r="S4373" s="13">
        <v>1</v>
      </c>
      <c r="T4373" s="14">
        <v>13</v>
      </c>
      <c r="U4373" s="2">
        <f t="shared" si="679"/>
        <v>2.99</v>
      </c>
      <c r="V4373" s="2">
        <f t="shared" si="680"/>
        <v>15.99</v>
      </c>
      <c r="W4373" s="2">
        <f>6.6267*S4373</f>
        <v>6.6266999999999996</v>
      </c>
      <c r="X4373" s="5">
        <f t="shared" si="681"/>
        <v>0.49025384615384621</v>
      </c>
      <c r="Z4373" s="2" t="s">
        <v>3227</v>
      </c>
      <c r="AA4373" s="2" t="s">
        <v>46</v>
      </c>
      <c r="AB4373" s="2" t="s">
        <v>47</v>
      </c>
      <c r="AC4373" s="2" t="s">
        <v>57</v>
      </c>
      <c r="AK4373" s="2">
        <f t="shared" si="678"/>
        <v>6.3733000000000004</v>
      </c>
      <c r="AL4373" s="5">
        <f t="shared" si="682"/>
        <v>0.49025384615384621</v>
      </c>
    </row>
    <row r="4374" spans="1:38" x14ac:dyDescent="0.2">
      <c r="A4374" s="2">
        <v>2026</v>
      </c>
      <c r="B4374" s="2">
        <v>7</v>
      </c>
      <c r="C4374" s="8" t="s">
        <v>3295</v>
      </c>
      <c r="D4374" s="15" t="s">
        <v>843</v>
      </c>
      <c r="E4374" s="2" t="s">
        <v>38</v>
      </c>
      <c r="F4374" s="2" t="s">
        <v>39</v>
      </c>
      <c r="G4374" s="2">
        <v>161685080</v>
      </c>
      <c r="H4374" s="2" t="s">
        <v>41</v>
      </c>
      <c r="I4374" s="2" t="s">
        <v>418</v>
      </c>
      <c r="K4374" s="2" t="s">
        <v>844</v>
      </c>
      <c r="L4374" s="2" t="s">
        <v>418</v>
      </c>
      <c r="M4374" s="2" t="s">
        <v>41</v>
      </c>
      <c r="P4374" s="2" t="s">
        <v>43</v>
      </c>
      <c r="Q4374" s="16" t="s">
        <v>54</v>
      </c>
      <c r="R4374" s="15" t="s">
        <v>55</v>
      </c>
      <c r="S4374" s="13">
        <v>2</v>
      </c>
      <c r="T4374" s="14">
        <v>36</v>
      </c>
      <c r="U4374" s="2">
        <f t="shared" si="679"/>
        <v>8.2800000000000011</v>
      </c>
      <c r="V4374" s="2">
        <f t="shared" si="680"/>
        <v>44.28</v>
      </c>
      <c r="W4374" s="2">
        <f>10.6*S4374</f>
        <v>21.2</v>
      </c>
      <c r="X4374" s="5">
        <f t="shared" si="681"/>
        <v>0.41111111111111115</v>
      </c>
      <c r="Z4374" s="2" t="s">
        <v>3227</v>
      </c>
      <c r="AA4374" s="2" t="s">
        <v>46</v>
      </c>
      <c r="AB4374" s="2" t="s">
        <v>56</v>
      </c>
      <c r="AC4374" s="2" t="s">
        <v>57</v>
      </c>
      <c r="AK4374" s="2">
        <f t="shared" si="678"/>
        <v>14.8</v>
      </c>
      <c r="AL4374" s="5">
        <f t="shared" si="682"/>
        <v>0.41111111111111115</v>
      </c>
    </row>
    <row r="4375" spans="1:38" x14ac:dyDescent="0.2">
      <c r="A4375" s="2">
        <v>2026</v>
      </c>
      <c r="B4375" s="2">
        <v>7</v>
      </c>
      <c r="C4375" s="8" t="s">
        <v>3295</v>
      </c>
      <c r="D4375" s="15" t="s">
        <v>843</v>
      </c>
      <c r="E4375" s="2" t="s">
        <v>38</v>
      </c>
      <c r="F4375" s="2" t="s">
        <v>39</v>
      </c>
      <c r="G4375" s="2">
        <v>161685080</v>
      </c>
      <c r="H4375" s="2" t="s">
        <v>41</v>
      </c>
      <c r="I4375" s="2" t="s">
        <v>418</v>
      </c>
      <c r="K4375" s="2" t="s">
        <v>844</v>
      </c>
      <c r="L4375" s="2" t="s">
        <v>418</v>
      </c>
      <c r="M4375" s="2" t="s">
        <v>41</v>
      </c>
      <c r="P4375" s="2" t="s">
        <v>43</v>
      </c>
      <c r="Q4375" s="16" t="s">
        <v>58</v>
      </c>
      <c r="R4375" s="15" t="s">
        <v>59</v>
      </c>
      <c r="S4375" s="2">
        <v>100</v>
      </c>
      <c r="T4375" s="14">
        <v>13</v>
      </c>
      <c r="U4375" s="2">
        <f t="shared" ref="U4375:U4406" si="683">T4375*23%</f>
        <v>2.99</v>
      </c>
      <c r="V4375" s="2">
        <f t="shared" ref="V4375:V4406" si="684">T4375+U4375</f>
        <v>15.99</v>
      </c>
      <c r="W4375" s="2">
        <f>0.0914*S4375</f>
        <v>9.1399999999999988</v>
      </c>
      <c r="X4375" s="5">
        <f t="shared" si="681"/>
        <v>0.29692307692307701</v>
      </c>
      <c r="Z4375" s="2" t="s">
        <v>3227</v>
      </c>
      <c r="AA4375" s="2" t="s">
        <v>46</v>
      </c>
      <c r="AB4375" s="2" t="s">
        <v>60</v>
      </c>
      <c r="AC4375" s="2" t="s">
        <v>57</v>
      </c>
      <c r="AK4375" s="2">
        <f t="shared" si="678"/>
        <v>3.8600000000000012</v>
      </c>
      <c r="AL4375" s="5">
        <f t="shared" si="682"/>
        <v>0.29692307692307701</v>
      </c>
    </row>
    <row r="4376" spans="1:38" x14ac:dyDescent="0.2">
      <c r="A4376" s="2">
        <v>2026</v>
      </c>
      <c r="B4376" s="2">
        <v>7</v>
      </c>
      <c r="C4376" s="8" t="s">
        <v>3295</v>
      </c>
      <c r="D4376" s="15" t="s">
        <v>843</v>
      </c>
      <c r="E4376" s="2" t="s">
        <v>38</v>
      </c>
      <c r="F4376" s="2" t="s">
        <v>39</v>
      </c>
      <c r="G4376" s="2">
        <v>161685080</v>
      </c>
      <c r="H4376" s="2" t="s">
        <v>41</v>
      </c>
      <c r="I4376" s="2" t="s">
        <v>418</v>
      </c>
      <c r="K4376" s="2" t="s">
        <v>844</v>
      </c>
      <c r="L4376" s="2" t="s">
        <v>418</v>
      </c>
      <c r="M4376" s="2" t="s">
        <v>41</v>
      </c>
      <c r="P4376" s="2" t="s">
        <v>169</v>
      </c>
      <c r="Q4376" s="16" t="s">
        <v>170</v>
      </c>
      <c r="R4376" s="15" t="s">
        <v>170</v>
      </c>
      <c r="S4376" s="13">
        <v>1</v>
      </c>
      <c r="T4376" s="14">
        <v>8</v>
      </c>
      <c r="U4376" s="2">
        <f t="shared" si="683"/>
        <v>1.84</v>
      </c>
      <c r="V4376" s="2">
        <f t="shared" si="684"/>
        <v>9.84</v>
      </c>
      <c r="W4376" s="2">
        <v>6</v>
      </c>
      <c r="X4376" s="5">
        <f t="shared" si="681"/>
        <v>0.25</v>
      </c>
      <c r="Z4376" s="2" t="s">
        <v>169</v>
      </c>
      <c r="AA4376" s="2" t="s">
        <v>169</v>
      </c>
      <c r="AK4376" s="2">
        <f t="shared" si="678"/>
        <v>2</v>
      </c>
      <c r="AL4376" s="5">
        <f t="shared" si="682"/>
        <v>0.25</v>
      </c>
    </row>
    <row r="4377" spans="1:38" x14ac:dyDescent="0.2">
      <c r="A4377" s="2">
        <v>2026</v>
      </c>
      <c r="B4377" s="2">
        <v>7</v>
      </c>
      <c r="C4377" s="2" t="s">
        <v>3294</v>
      </c>
      <c r="D4377" s="15" t="s">
        <v>3339</v>
      </c>
      <c r="E4377" s="2" t="s">
        <v>108</v>
      </c>
      <c r="F4377" s="2" t="s">
        <v>39</v>
      </c>
      <c r="L4377" s="2" t="s">
        <v>99</v>
      </c>
      <c r="M4377" s="2" t="s">
        <v>80</v>
      </c>
      <c r="P4377" s="2" t="s">
        <v>43</v>
      </c>
      <c r="Q4377" s="16" t="s">
        <v>50</v>
      </c>
      <c r="R4377" s="15" t="s">
        <v>51</v>
      </c>
      <c r="S4377" s="13">
        <v>2</v>
      </c>
      <c r="T4377" s="14">
        <v>42</v>
      </c>
      <c r="U4377" s="2">
        <f t="shared" si="683"/>
        <v>9.66</v>
      </c>
      <c r="V4377" s="2">
        <f t="shared" si="684"/>
        <v>51.66</v>
      </c>
      <c r="W4377" s="2">
        <f>14.4*S4377</f>
        <v>28.8</v>
      </c>
      <c r="X4377" s="5">
        <f t="shared" si="681"/>
        <v>0.31428571428571428</v>
      </c>
      <c r="Z4377" s="2" t="s">
        <v>3227</v>
      </c>
      <c r="AA4377" s="2" t="s">
        <v>46</v>
      </c>
      <c r="AB4377" s="2" t="s">
        <v>47</v>
      </c>
      <c r="AC4377" s="2" t="s">
        <v>57</v>
      </c>
      <c r="AK4377" s="2">
        <f t="shared" si="678"/>
        <v>13.2</v>
      </c>
      <c r="AL4377" s="5">
        <f t="shared" si="682"/>
        <v>0.31428571428571428</v>
      </c>
    </row>
    <row r="4378" spans="1:38" x14ac:dyDescent="0.2">
      <c r="A4378" s="2">
        <v>2026</v>
      </c>
      <c r="B4378" s="2">
        <v>7</v>
      </c>
      <c r="C4378" s="2" t="s">
        <v>3294</v>
      </c>
      <c r="D4378" s="15" t="s">
        <v>3339</v>
      </c>
      <c r="E4378" s="2" t="s">
        <v>108</v>
      </c>
      <c r="F4378" s="2" t="s">
        <v>39</v>
      </c>
      <c r="L4378" s="2" t="s">
        <v>99</v>
      </c>
      <c r="M4378" s="2" t="s">
        <v>80</v>
      </c>
      <c r="P4378" s="2" t="s">
        <v>43</v>
      </c>
      <c r="Q4378" s="16" t="s">
        <v>54</v>
      </c>
      <c r="R4378" s="15" t="s">
        <v>55</v>
      </c>
      <c r="S4378" s="13">
        <v>5</v>
      </c>
      <c r="T4378" s="14">
        <v>85</v>
      </c>
      <c r="U4378" s="2">
        <f t="shared" si="683"/>
        <v>19.55</v>
      </c>
      <c r="V4378" s="2">
        <f t="shared" si="684"/>
        <v>104.55</v>
      </c>
      <c r="W4378" s="2">
        <f>10.6*S4378</f>
        <v>53</v>
      </c>
      <c r="X4378" s="5">
        <f t="shared" si="681"/>
        <v>0.37647058823529411</v>
      </c>
      <c r="Z4378" s="2" t="s">
        <v>3227</v>
      </c>
      <c r="AA4378" s="2" t="s">
        <v>46</v>
      </c>
      <c r="AB4378" s="2" t="s">
        <v>56</v>
      </c>
      <c r="AC4378" s="2" t="s">
        <v>57</v>
      </c>
      <c r="AK4378" s="2">
        <f t="shared" si="678"/>
        <v>32</v>
      </c>
      <c r="AL4378" s="5">
        <f t="shared" si="682"/>
        <v>0.37647058823529411</v>
      </c>
    </row>
    <row r="4379" spans="1:38" x14ac:dyDescent="0.2">
      <c r="A4379" s="2">
        <v>2026</v>
      </c>
      <c r="B4379" s="2">
        <v>7</v>
      </c>
      <c r="C4379" s="2" t="s">
        <v>3294</v>
      </c>
      <c r="D4379" s="15" t="s">
        <v>3339</v>
      </c>
      <c r="E4379" s="2" t="s">
        <v>108</v>
      </c>
      <c r="F4379" s="2" t="s">
        <v>39</v>
      </c>
      <c r="L4379" s="2" t="s">
        <v>99</v>
      </c>
      <c r="M4379" s="2" t="s">
        <v>80</v>
      </c>
      <c r="P4379" s="2" t="s">
        <v>43</v>
      </c>
      <c r="Q4379" s="16" t="s">
        <v>61</v>
      </c>
      <c r="R4379" s="15" t="s">
        <v>62</v>
      </c>
      <c r="S4379" s="13">
        <v>400</v>
      </c>
      <c r="T4379" s="14">
        <v>46</v>
      </c>
      <c r="U4379" s="2">
        <f t="shared" si="683"/>
        <v>10.58</v>
      </c>
      <c r="V4379" s="2">
        <f t="shared" si="684"/>
        <v>56.58</v>
      </c>
      <c r="W4379" s="2">
        <f>0.082*S4379</f>
        <v>32.800000000000004</v>
      </c>
      <c r="X4379" s="5">
        <f t="shared" si="681"/>
        <v>0.28695652173913033</v>
      </c>
      <c r="Z4379" s="2" t="s">
        <v>3227</v>
      </c>
      <c r="AA4379" s="2" t="s">
        <v>46</v>
      </c>
      <c r="AB4379" s="2" t="s">
        <v>60</v>
      </c>
      <c r="AC4379" s="2" t="s">
        <v>57</v>
      </c>
      <c r="AK4379" s="2">
        <f t="shared" si="678"/>
        <v>13.199999999999996</v>
      </c>
      <c r="AL4379" s="5">
        <f t="shared" si="682"/>
        <v>0.28695652173913033</v>
      </c>
    </row>
    <row r="4380" spans="1:38" x14ac:dyDescent="0.2">
      <c r="A4380" s="2">
        <v>2026</v>
      </c>
      <c r="B4380" s="2">
        <v>7</v>
      </c>
      <c r="D4380" s="15" t="s">
        <v>488</v>
      </c>
      <c r="E4380" s="2" t="s">
        <v>38</v>
      </c>
      <c r="F4380" s="2" t="s">
        <v>39</v>
      </c>
      <c r="G4380" s="2">
        <v>507380312</v>
      </c>
      <c r="H4380" s="2" t="s">
        <v>40</v>
      </c>
      <c r="I4380" s="2" t="s">
        <v>489</v>
      </c>
      <c r="J4380" s="2" t="s">
        <v>490</v>
      </c>
      <c r="K4380" s="2">
        <v>912293443</v>
      </c>
      <c r="L4380" s="2" t="s">
        <v>99</v>
      </c>
      <c r="M4380" s="2" t="s">
        <v>40</v>
      </c>
      <c r="P4380" s="2" t="s">
        <v>40</v>
      </c>
      <c r="Q4380" s="16" t="s">
        <v>491</v>
      </c>
      <c r="R4380" s="15" t="s">
        <v>492</v>
      </c>
      <c r="S4380" s="13">
        <v>1</v>
      </c>
      <c r="T4380" s="14">
        <v>678.91</v>
      </c>
      <c r="U4380" s="2">
        <f t="shared" si="683"/>
        <v>156.14930000000001</v>
      </c>
      <c r="V4380" s="2">
        <f t="shared" si="684"/>
        <v>835.05930000000001</v>
      </c>
      <c r="X4380" s="5">
        <f t="shared" si="681"/>
        <v>1</v>
      </c>
      <c r="Z4380" s="2" t="s">
        <v>119</v>
      </c>
      <c r="AA4380" s="2" t="s">
        <v>492</v>
      </c>
      <c r="AK4380" s="2">
        <f t="shared" si="678"/>
        <v>678.91</v>
      </c>
      <c r="AL4380" s="5">
        <f t="shared" si="682"/>
        <v>1</v>
      </c>
    </row>
    <row r="4381" spans="1:38" x14ac:dyDescent="0.2">
      <c r="A4381" s="2">
        <v>2026</v>
      </c>
      <c r="B4381" s="2">
        <v>7</v>
      </c>
      <c r="C4381" s="2" t="s">
        <v>3296</v>
      </c>
      <c r="D4381" s="15" t="s">
        <v>3340</v>
      </c>
      <c r="E4381" s="2" t="s">
        <v>38</v>
      </c>
      <c r="F4381" s="2" t="s">
        <v>39</v>
      </c>
      <c r="L4381" s="2" t="s">
        <v>339</v>
      </c>
      <c r="M4381" s="2" t="s">
        <v>40</v>
      </c>
      <c r="P4381" s="2" t="s">
        <v>114</v>
      </c>
      <c r="Q4381" s="16" t="s">
        <v>179</v>
      </c>
      <c r="R4381" s="15" t="s">
        <v>180</v>
      </c>
      <c r="S4381" s="13">
        <v>1</v>
      </c>
      <c r="T4381" s="14">
        <v>699.3</v>
      </c>
      <c r="U4381" s="2">
        <f t="shared" si="683"/>
        <v>160.839</v>
      </c>
      <c r="V4381" s="2">
        <f t="shared" si="684"/>
        <v>860.1389999999999</v>
      </c>
      <c r="W4381" s="2">
        <v>343.38580000000002</v>
      </c>
      <c r="X4381" s="5">
        <f t="shared" si="681"/>
        <v>0.50895781495781489</v>
      </c>
      <c r="Z4381" s="2" t="s">
        <v>117</v>
      </c>
      <c r="AA4381" s="2" t="s">
        <v>181</v>
      </c>
      <c r="AB4381" s="2" t="s">
        <v>119</v>
      </c>
      <c r="AC4381" s="2" t="s">
        <v>114</v>
      </c>
      <c r="AK4381" s="2">
        <f t="shared" si="678"/>
        <v>355.91419999999994</v>
      </c>
      <c r="AL4381" s="5">
        <f t="shared" si="682"/>
        <v>0.50895781495781489</v>
      </c>
    </row>
    <row r="4382" spans="1:38" x14ac:dyDescent="0.2">
      <c r="A4382" s="2">
        <v>2026</v>
      </c>
      <c r="B4382" s="2">
        <v>7</v>
      </c>
      <c r="C4382" s="2" t="s">
        <v>3296</v>
      </c>
      <c r="D4382" s="15" t="s">
        <v>3340</v>
      </c>
      <c r="E4382" s="2" t="s">
        <v>38</v>
      </c>
      <c r="F4382" s="2" t="s">
        <v>39</v>
      </c>
      <c r="L4382" s="2" t="s">
        <v>339</v>
      </c>
      <c r="M4382" s="2" t="s">
        <v>40</v>
      </c>
      <c r="P4382" s="2" t="s">
        <v>187</v>
      </c>
      <c r="Q4382" s="16" t="s">
        <v>188</v>
      </c>
      <c r="R4382" s="15" t="s">
        <v>189</v>
      </c>
      <c r="S4382" s="13">
        <v>1</v>
      </c>
      <c r="T4382" s="14">
        <v>60</v>
      </c>
      <c r="U4382" s="2">
        <f t="shared" si="683"/>
        <v>13.8</v>
      </c>
      <c r="V4382" s="2">
        <f t="shared" si="684"/>
        <v>73.8</v>
      </c>
      <c r="W4382" s="2">
        <f>T4382*40%</f>
        <v>24</v>
      </c>
      <c r="X4382" s="5">
        <f t="shared" si="681"/>
        <v>0.6</v>
      </c>
      <c r="Z4382" s="2" t="s">
        <v>117</v>
      </c>
      <c r="AA4382" s="2" t="s">
        <v>190</v>
      </c>
      <c r="AB4382" s="2" t="s">
        <v>189</v>
      </c>
      <c r="AC4382" s="2" t="s">
        <v>40</v>
      </c>
      <c r="AK4382" s="2">
        <f t="shared" si="678"/>
        <v>36</v>
      </c>
      <c r="AL4382" s="5">
        <f t="shared" si="682"/>
        <v>0.6</v>
      </c>
    </row>
    <row r="4383" spans="1:38" x14ac:dyDescent="0.2">
      <c r="A4383" s="2">
        <v>2026</v>
      </c>
      <c r="B4383" s="2">
        <v>7</v>
      </c>
      <c r="C4383" s="2" t="s">
        <v>3296</v>
      </c>
      <c r="D4383" s="15" t="s">
        <v>3340</v>
      </c>
      <c r="E4383" s="2" t="s">
        <v>38</v>
      </c>
      <c r="F4383" s="2" t="s">
        <v>39</v>
      </c>
      <c r="L4383" s="2" t="s">
        <v>339</v>
      </c>
      <c r="M4383" s="2" t="s">
        <v>40</v>
      </c>
      <c r="P4383" s="2" t="s">
        <v>187</v>
      </c>
      <c r="Q4383" s="16" t="s">
        <v>191</v>
      </c>
      <c r="R4383" s="15" t="s">
        <v>190</v>
      </c>
      <c r="S4383" s="13">
        <v>1</v>
      </c>
      <c r="T4383" s="14">
        <v>55</v>
      </c>
      <c r="U4383" s="2">
        <f t="shared" si="683"/>
        <v>12.65</v>
      </c>
      <c r="V4383" s="2">
        <f t="shared" si="684"/>
        <v>67.650000000000006</v>
      </c>
      <c r="W4383" s="2">
        <f>T4383*50%</f>
        <v>27.5</v>
      </c>
      <c r="X4383" s="5">
        <f t="shared" si="681"/>
        <v>0.5</v>
      </c>
      <c r="Z4383" s="2" t="s">
        <v>117</v>
      </c>
      <c r="AA4383" s="2" t="s">
        <v>190</v>
      </c>
      <c r="AB4383" s="2" t="s">
        <v>190</v>
      </c>
      <c r="AC4383" s="2" t="s">
        <v>40</v>
      </c>
      <c r="AK4383" s="2">
        <f t="shared" si="678"/>
        <v>27.5</v>
      </c>
      <c r="AL4383" s="5">
        <f t="shared" si="682"/>
        <v>0.5</v>
      </c>
    </row>
    <row r="4384" spans="1:38" x14ac:dyDescent="0.2">
      <c r="A4384" s="2">
        <v>2026</v>
      </c>
      <c r="B4384" s="2">
        <v>7</v>
      </c>
      <c r="C4384" s="8" t="s">
        <v>3295</v>
      </c>
      <c r="D4384" s="15" t="s">
        <v>2153</v>
      </c>
      <c r="E4384" s="2" t="s">
        <v>38</v>
      </c>
      <c r="F4384" s="2" t="s">
        <v>39</v>
      </c>
      <c r="L4384" s="2" t="s">
        <v>344</v>
      </c>
      <c r="M4384" s="2" t="s">
        <v>40</v>
      </c>
      <c r="P4384" s="2" t="s">
        <v>187</v>
      </c>
      <c r="Q4384" s="16" t="s">
        <v>188</v>
      </c>
      <c r="R4384" s="15" t="s">
        <v>189</v>
      </c>
      <c r="S4384" s="13">
        <v>1</v>
      </c>
      <c r="T4384" s="14">
        <v>403</v>
      </c>
      <c r="U4384" s="2">
        <f t="shared" si="683"/>
        <v>92.69</v>
      </c>
      <c r="V4384" s="2">
        <f t="shared" si="684"/>
        <v>495.69</v>
      </c>
      <c r="W4384" s="2">
        <f>T4384*40%</f>
        <v>161.20000000000002</v>
      </c>
      <c r="X4384" s="5">
        <f t="shared" si="681"/>
        <v>0.6</v>
      </c>
      <c r="Z4384" s="2" t="s">
        <v>117</v>
      </c>
      <c r="AA4384" s="2" t="s">
        <v>190</v>
      </c>
      <c r="AB4384" s="2" t="s">
        <v>189</v>
      </c>
      <c r="AC4384" s="2" t="s">
        <v>40</v>
      </c>
      <c r="AK4384" s="2">
        <f t="shared" si="678"/>
        <v>241.79999999999998</v>
      </c>
      <c r="AL4384" s="5">
        <f t="shared" si="682"/>
        <v>0.6</v>
      </c>
    </row>
    <row r="4385" spans="1:38" x14ac:dyDescent="0.2">
      <c r="A4385" s="2">
        <v>2026</v>
      </c>
      <c r="B4385" s="2">
        <v>7</v>
      </c>
      <c r="C4385" s="8" t="s">
        <v>3295</v>
      </c>
      <c r="D4385" s="15" t="s">
        <v>2153</v>
      </c>
      <c r="E4385" s="2" t="s">
        <v>38</v>
      </c>
      <c r="F4385" s="2" t="s">
        <v>39</v>
      </c>
      <c r="L4385" s="2" t="s">
        <v>344</v>
      </c>
      <c r="M4385" s="2" t="s">
        <v>40</v>
      </c>
      <c r="P4385" s="2" t="s">
        <v>187</v>
      </c>
      <c r="Q4385" s="16" t="s">
        <v>191</v>
      </c>
      <c r="R4385" s="15" t="s">
        <v>190</v>
      </c>
      <c r="S4385" s="13">
        <v>1</v>
      </c>
      <c r="T4385" s="14">
        <v>55</v>
      </c>
      <c r="U4385" s="2">
        <f t="shared" si="683"/>
        <v>12.65</v>
      </c>
      <c r="V4385" s="2">
        <f t="shared" si="684"/>
        <v>67.650000000000006</v>
      </c>
      <c r="W4385" s="2">
        <f>T4385*50%</f>
        <v>27.5</v>
      </c>
      <c r="X4385" s="5">
        <f t="shared" si="681"/>
        <v>0.5</v>
      </c>
      <c r="Z4385" s="2" t="s">
        <v>117</v>
      </c>
      <c r="AA4385" s="2" t="s">
        <v>190</v>
      </c>
      <c r="AB4385" s="2" t="s">
        <v>190</v>
      </c>
      <c r="AC4385" s="2" t="s">
        <v>40</v>
      </c>
      <c r="AK4385" s="2">
        <f t="shared" si="678"/>
        <v>27.5</v>
      </c>
      <c r="AL4385" s="5">
        <f t="shared" si="682"/>
        <v>0.5</v>
      </c>
    </row>
    <row r="4386" spans="1:38" x14ac:dyDescent="0.2">
      <c r="A4386" s="2">
        <v>2026</v>
      </c>
      <c r="B4386" s="2">
        <v>7</v>
      </c>
      <c r="C4386" s="8" t="s">
        <v>3295</v>
      </c>
      <c r="D4386" s="15" t="s">
        <v>3109</v>
      </c>
      <c r="E4386" s="2" t="s">
        <v>38</v>
      </c>
      <c r="F4386" s="2" t="s">
        <v>39</v>
      </c>
      <c r="L4386" s="2" t="s">
        <v>99</v>
      </c>
      <c r="M4386" s="2" t="s">
        <v>40</v>
      </c>
      <c r="P4386" s="2" t="s">
        <v>114</v>
      </c>
      <c r="Q4386" s="16" t="s">
        <v>3354</v>
      </c>
      <c r="R4386" s="15" t="s">
        <v>3355</v>
      </c>
      <c r="S4386" s="13">
        <v>2</v>
      </c>
      <c r="T4386" s="14">
        <v>32.549999999999997</v>
      </c>
      <c r="U4386" s="2">
        <f t="shared" si="683"/>
        <v>7.4864999999999995</v>
      </c>
      <c r="V4386" s="2">
        <f t="shared" si="684"/>
        <v>40.036499999999997</v>
      </c>
      <c r="W4386" s="2">
        <f>(7.38+0.13)*S4386</f>
        <v>15.02</v>
      </c>
      <c r="X4386" s="5">
        <f t="shared" si="681"/>
        <v>0.53855606758832564</v>
      </c>
      <c r="Z4386" s="2" t="s">
        <v>117</v>
      </c>
      <c r="AA4386" s="2" t="s">
        <v>118</v>
      </c>
      <c r="AB4386" s="2" t="s">
        <v>119</v>
      </c>
      <c r="AC4386" s="2" t="s">
        <v>114</v>
      </c>
      <c r="AK4386" s="2">
        <f t="shared" si="678"/>
        <v>17.529999999999998</v>
      </c>
      <c r="AL4386" s="5">
        <f t="shared" si="682"/>
        <v>0.53855606758832564</v>
      </c>
    </row>
    <row r="4387" spans="1:38" x14ac:dyDescent="0.2">
      <c r="A4387" s="2">
        <v>2026</v>
      </c>
      <c r="B4387" s="2">
        <v>7</v>
      </c>
      <c r="C4387" s="2" t="s">
        <v>3296</v>
      </c>
      <c r="D4387" s="15" t="s">
        <v>2904</v>
      </c>
      <c r="E4387" s="2" t="s">
        <v>38</v>
      </c>
      <c r="F4387" s="2" t="s">
        <v>3445</v>
      </c>
      <c r="L4387" s="2" t="s">
        <v>99</v>
      </c>
      <c r="M4387" s="2" t="s">
        <v>80</v>
      </c>
      <c r="P4387" s="2" t="s">
        <v>282</v>
      </c>
      <c r="Q4387" s="16" t="s">
        <v>399</v>
      </c>
      <c r="R4387" s="15" t="s">
        <v>400</v>
      </c>
      <c r="S4387" s="13">
        <v>1</v>
      </c>
      <c r="T4387" s="14">
        <v>29</v>
      </c>
      <c r="U4387" s="2">
        <f t="shared" si="683"/>
        <v>6.67</v>
      </c>
      <c r="V4387" s="2">
        <f t="shared" si="684"/>
        <v>35.67</v>
      </c>
      <c r="W4387" s="2">
        <f>14.5099*S4387</f>
        <v>14.5099</v>
      </c>
      <c r="X4387" s="5">
        <f t="shared" si="681"/>
        <v>0.49965862068965516</v>
      </c>
      <c r="Z4387" s="2" t="s">
        <v>3227</v>
      </c>
      <c r="AA4387" s="2" t="s">
        <v>46</v>
      </c>
      <c r="AB4387" s="2" t="s">
        <v>60</v>
      </c>
      <c r="AC4387" s="2" t="s">
        <v>3332</v>
      </c>
      <c r="AK4387" s="2">
        <f t="shared" si="678"/>
        <v>14.4901</v>
      </c>
      <c r="AL4387" s="5">
        <f t="shared" si="682"/>
        <v>0.49965862068965516</v>
      </c>
    </row>
    <row r="4388" spans="1:38" x14ac:dyDescent="0.2">
      <c r="A4388" s="2">
        <v>2026</v>
      </c>
      <c r="B4388" s="2">
        <v>7</v>
      </c>
      <c r="C4388" s="8" t="s">
        <v>3295</v>
      </c>
      <c r="D4388" s="15" t="s">
        <v>1073</v>
      </c>
      <c r="E4388" s="2" t="s">
        <v>108</v>
      </c>
      <c r="F4388" s="2" t="s">
        <v>39</v>
      </c>
      <c r="L4388" s="2" t="s">
        <v>461</v>
      </c>
      <c r="M4388" s="2" t="s">
        <v>41</v>
      </c>
      <c r="P4388" s="2" t="s">
        <v>72</v>
      </c>
      <c r="Q4388" s="16" t="s">
        <v>3356</v>
      </c>
      <c r="R4388" s="15" t="s">
        <v>79</v>
      </c>
      <c r="S4388" s="13">
        <v>1</v>
      </c>
      <c r="T4388" s="14">
        <v>220</v>
      </c>
      <c r="U4388" s="2">
        <f t="shared" si="683"/>
        <v>50.6</v>
      </c>
      <c r="V4388" s="2">
        <f t="shared" si="684"/>
        <v>270.60000000000002</v>
      </c>
      <c r="W4388" s="2">
        <v>125.15</v>
      </c>
      <c r="X4388" s="5">
        <f t="shared" si="681"/>
        <v>0.4311363636363636</v>
      </c>
      <c r="Z4388" s="2" t="s">
        <v>3227</v>
      </c>
      <c r="AA4388" s="2" t="s">
        <v>75</v>
      </c>
      <c r="AB4388" s="2" t="s">
        <v>76</v>
      </c>
      <c r="AC4388" s="2" t="s">
        <v>77</v>
      </c>
      <c r="AK4388" s="2">
        <f t="shared" si="678"/>
        <v>94.85</v>
      </c>
      <c r="AL4388" s="5">
        <f t="shared" si="682"/>
        <v>0.4311363636363636</v>
      </c>
    </row>
    <row r="4389" spans="1:38" x14ac:dyDescent="0.2">
      <c r="A4389" s="2">
        <v>2026</v>
      </c>
      <c r="B4389" s="2">
        <v>7</v>
      </c>
      <c r="C4389" s="8" t="s">
        <v>3295</v>
      </c>
      <c r="D4389" s="15" t="s">
        <v>1073</v>
      </c>
      <c r="E4389" s="2" t="s">
        <v>108</v>
      </c>
      <c r="F4389" s="2" t="s">
        <v>39</v>
      </c>
      <c r="L4389" s="2" t="s">
        <v>461</v>
      </c>
      <c r="M4389" s="2" t="s">
        <v>41</v>
      </c>
      <c r="P4389" s="2" t="s">
        <v>93</v>
      </c>
      <c r="Q4389" s="16" t="s">
        <v>94</v>
      </c>
      <c r="R4389" s="15" t="s">
        <v>95</v>
      </c>
      <c r="S4389" s="13">
        <v>1</v>
      </c>
      <c r="T4389" s="14">
        <v>1.48</v>
      </c>
      <c r="U4389" s="2">
        <f t="shared" si="683"/>
        <v>0.34040000000000004</v>
      </c>
      <c r="V4389" s="2">
        <f t="shared" si="684"/>
        <v>1.8204</v>
      </c>
      <c r="X4389" s="5">
        <f t="shared" si="681"/>
        <v>1</v>
      </c>
      <c r="Z4389" s="2" t="s">
        <v>3227</v>
      </c>
      <c r="AA4389" s="2" t="s">
        <v>96</v>
      </c>
      <c r="AB4389" s="2" t="s">
        <v>76</v>
      </c>
      <c r="AC4389" s="2" t="s">
        <v>93</v>
      </c>
      <c r="AK4389" s="2">
        <f t="shared" si="678"/>
        <v>1.48</v>
      </c>
      <c r="AL4389" s="5">
        <f t="shared" si="682"/>
        <v>1</v>
      </c>
    </row>
    <row r="4390" spans="1:38" x14ac:dyDescent="0.2">
      <c r="A4390" s="2">
        <v>2026</v>
      </c>
      <c r="B4390" s="2">
        <v>7</v>
      </c>
      <c r="C4390" s="8" t="s">
        <v>3295</v>
      </c>
      <c r="D4390" s="15" t="s">
        <v>3341</v>
      </c>
      <c r="E4390" s="2" t="s">
        <v>38</v>
      </c>
      <c r="F4390" s="2" t="s">
        <v>39</v>
      </c>
      <c r="L4390" s="2" t="s">
        <v>360</v>
      </c>
      <c r="M4390" s="2" t="s">
        <v>40</v>
      </c>
      <c r="P4390" s="2" t="s">
        <v>187</v>
      </c>
      <c r="Q4390" s="16" t="s">
        <v>188</v>
      </c>
      <c r="R4390" s="15" t="s">
        <v>189</v>
      </c>
      <c r="S4390" s="13">
        <v>1</v>
      </c>
      <c r="T4390" s="14">
        <v>296</v>
      </c>
      <c r="U4390" s="2">
        <f t="shared" si="683"/>
        <v>68.08</v>
      </c>
      <c r="V4390" s="2">
        <f t="shared" si="684"/>
        <v>364.08</v>
      </c>
      <c r="W4390" s="2">
        <f>T4390*40%</f>
        <v>118.4</v>
      </c>
      <c r="X4390" s="5">
        <f t="shared" si="681"/>
        <v>0.6</v>
      </c>
      <c r="Z4390" s="2" t="s">
        <v>117</v>
      </c>
      <c r="AA4390" s="2" t="s">
        <v>190</v>
      </c>
      <c r="AB4390" s="2" t="s">
        <v>189</v>
      </c>
      <c r="AC4390" s="2" t="s">
        <v>40</v>
      </c>
      <c r="AK4390" s="2">
        <f t="shared" si="678"/>
        <v>177.6</v>
      </c>
      <c r="AL4390" s="5">
        <f t="shared" si="682"/>
        <v>0.6</v>
      </c>
    </row>
    <row r="4391" spans="1:38" x14ac:dyDescent="0.2">
      <c r="A4391" s="2">
        <v>2026</v>
      </c>
      <c r="B4391" s="2">
        <v>7</v>
      </c>
      <c r="C4391" s="8" t="s">
        <v>3295</v>
      </c>
      <c r="D4391" s="15" t="s">
        <v>3341</v>
      </c>
      <c r="E4391" s="2" t="s">
        <v>38</v>
      </c>
      <c r="F4391" s="2" t="s">
        <v>39</v>
      </c>
      <c r="L4391" s="2" t="s">
        <v>360</v>
      </c>
      <c r="M4391" s="2" t="s">
        <v>40</v>
      </c>
      <c r="P4391" s="2" t="s">
        <v>187</v>
      </c>
      <c r="Q4391" s="16" t="s">
        <v>191</v>
      </c>
      <c r="R4391" s="15" t="s">
        <v>190</v>
      </c>
      <c r="S4391" s="13">
        <v>1</v>
      </c>
      <c r="T4391" s="14">
        <v>55</v>
      </c>
      <c r="U4391" s="2">
        <f t="shared" si="683"/>
        <v>12.65</v>
      </c>
      <c r="V4391" s="2">
        <f t="shared" si="684"/>
        <v>67.650000000000006</v>
      </c>
      <c r="W4391" s="2">
        <f>T4391*50%</f>
        <v>27.5</v>
      </c>
      <c r="X4391" s="5">
        <f t="shared" ref="X4391:X4422" si="685">(T4391-W4391)/T4391</f>
        <v>0.5</v>
      </c>
      <c r="Z4391" s="2" t="s">
        <v>117</v>
      </c>
      <c r="AA4391" s="2" t="s">
        <v>190</v>
      </c>
      <c r="AB4391" s="2" t="s">
        <v>190</v>
      </c>
      <c r="AC4391" s="2" t="s">
        <v>40</v>
      </c>
      <c r="AK4391" s="2">
        <f t="shared" si="678"/>
        <v>27.5</v>
      </c>
      <c r="AL4391" s="5">
        <f t="shared" ref="AL4391:AL4422" si="686">(T4391-W4391)/T4391</f>
        <v>0.5</v>
      </c>
    </row>
    <row r="4392" spans="1:38" x14ac:dyDescent="0.2">
      <c r="A4392" s="2">
        <v>2026</v>
      </c>
      <c r="B4392" s="2">
        <v>7</v>
      </c>
      <c r="C4392" s="2" t="s">
        <v>3296</v>
      </c>
      <c r="D4392" s="15" t="s">
        <v>2521</v>
      </c>
      <c r="E4392" s="2" t="s">
        <v>38</v>
      </c>
      <c r="F4392" s="2" t="s">
        <v>39</v>
      </c>
      <c r="L4392" s="2" t="s">
        <v>461</v>
      </c>
      <c r="M4392" s="2" t="s">
        <v>80</v>
      </c>
      <c r="P4392" s="2" t="s">
        <v>72</v>
      </c>
      <c r="Q4392" s="16" t="s">
        <v>73</v>
      </c>
      <c r="R4392" s="15" t="s">
        <v>74</v>
      </c>
      <c r="S4392" s="13">
        <v>1</v>
      </c>
      <c r="T4392" s="14">
        <v>225</v>
      </c>
      <c r="U4392" s="2">
        <f t="shared" si="683"/>
        <v>51.75</v>
      </c>
      <c r="V4392" s="2">
        <f t="shared" si="684"/>
        <v>276.75</v>
      </c>
      <c r="W4392" s="2">
        <v>125.51600000000001</v>
      </c>
      <c r="X4392" s="5">
        <f t="shared" si="685"/>
        <v>0.44215111111111111</v>
      </c>
      <c r="Z4392" s="2" t="s">
        <v>3227</v>
      </c>
      <c r="AA4392" s="2" t="s">
        <v>75</v>
      </c>
      <c r="AB4392" s="2" t="s">
        <v>76</v>
      </c>
      <c r="AC4392" s="2" t="s">
        <v>77</v>
      </c>
      <c r="AK4392" s="2">
        <f t="shared" si="678"/>
        <v>99.483999999999995</v>
      </c>
      <c r="AL4392" s="5">
        <f t="shared" si="686"/>
        <v>0.44215111111111111</v>
      </c>
    </row>
    <row r="4393" spans="1:38" x14ac:dyDescent="0.2">
      <c r="A4393" s="2">
        <v>2026</v>
      </c>
      <c r="B4393" s="2">
        <v>7</v>
      </c>
      <c r="C4393" s="2" t="s">
        <v>3296</v>
      </c>
      <c r="D4393" s="15" t="s">
        <v>2521</v>
      </c>
      <c r="E4393" s="2" t="s">
        <v>38</v>
      </c>
      <c r="F4393" s="2" t="s">
        <v>39</v>
      </c>
      <c r="L4393" s="2" t="s">
        <v>461</v>
      </c>
      <c r="M4393" s="2" t="s">
        <v>80</v>
      </c>
      <c r="P4393" s="2" t="s">
        <v>93</v>
      </c>
      <c r="Q4393" s="16" t="s">
        <v>94</v>
      </c>
      <c r="R4393" s="15" t="s">
        <v>95</v>
      </c>
      <c r="S4393" s="13">
        <v>1</v>
      </c>
      <c r="T4393" s="14">
        <v>1.48</v>
      </c>
      <c r="U4393" s="2">
        <f t="shared" si="683"/>
        <v>0.34040000000000004</v>
      </c>
      <c r="V4393" s="2">
        <f t="shared" si="684"/>
        <v>1.8204</v>
      </c>
      <c r="W4393" s="2">
        <v>1.48</v>
      </c>
      <c r="X4393" s="5">
        <f t="shared" si="685"/>
        <v>0</v>
      </c>
      <c r="Z4393" s="2" t="s">
        <v>3227</v>
      </c>
      <c r="AA4393" s="2" t="s">
        <v>96</v>
      </c>
      <c r="AB4393" s="2" t="s">
        <v>76</v>
      </c>
      <c r="AC4393" s="2" t="s">
        <v>93</v>
      </c>
      <c r="AK4393" s="2">
        <f t="shared" si="678"/>
        <v>0</v>
      </c>
      <c r="AL4393" s="5">
        <f t="shared" si="686"/>
        <v>0</v>
      </c>
    </row>
    <row r="4394" spans="1:38" x14ac:dyDescent="0.2">
      <c r="A4394" s="2">
        <v>2026</v>
      </c>
      <c r="B4394" s="2">
        <v>7</v>
      </c>
      <c r="C4394" s="8" t="s">
        <v>3295</v>
      </c>
      <c r="D4394" s="15" t="s">
        <v>3342</v>
      </c>
      <c r="E4394" s="2" t="s">
        <v>38</v>
      </c>
      <c r="F4394" s="2" t="s">
        <v>39</v>
      </c>
      <c r="L4394" s="2" t="s">
        <v>99</v>
      </c>
      <c r="M4394" s="2" t="s">
        <v>80</v>
      </c>
      <c r="P4394" s="2" t="s">
        <v>72</v>
      </c>
      <c r="Q4394" s="16" t="s">
        <v>3357</v>
      </c>
      <c r="R4394" s="15" t="s">
        <v>197</v>
      </c>
      <c r="S4394" s="13">
        <v>1</v>
      </c>
      <c r="T4394" s="14">
        <v>375</v>
      </c>
      <c r="U4394" s="2">
        <f t="shared" si="683"/>
        <v>86.25</v>
      </c>
      <c r="V4394" s="2">
        <f t="shared" si="684"/>
        <v>461.25</v>
      </c>
      <c r="W4394" s="2">
        <v>227.14</v>
      </c>
      <c r="X4394" s="5">
        <f t="shared" si="685"/>
        <v>0.39429333333333338</v>
      </c>
      <c r="Z4394" s="2" t="s">
        <v>3227</v>
      </c>
      <c r="AA4394" s="2" t="s">
        <v>75</v>
      </c>
      <c r="AB4394" s="2" t="s">
        <v>76</v>
      </c>
      <c r="AC4394" s="2" t="s">
        <v>77</v>
      </c>
      <c r="AK4394" s="2">
        <f t="shared" si="678"/>
        <v>147.86000000000001</v>
      </c>
      <c r="AL4394" s="5">
        <f t="shared" si="686"/>
        <v>0.39429333333333338</v>
      </c>
    </row>
    <row r="4395" spans="1:38" x14ac:dyDescent="0.2">
      <c r="A4395" s="2">
        <v>2026</v>
      </c>
      <c r="B4395" s="2">
        <v>7</v>
      </c>
      <c r="C4395" s="8" t="s">
        <v>3295</v>
      </c>
      <c r="D4395" s="15" t="s">
        <v>3342</v>
      </c>
      <c r="E4395" s="2" t="s">
        <v>38</v>
      </c>
      <c r="F4395" s="2" t="s">
        <v>39</v>
      </c>
      <c r="L4395" s="2" t="s">
        <v>99</v>
      </c>
      <c r="M4395" s="2" t="s">
        <v>80</v>
      </c>
      <c r="P4395" s="2" t="s">
        <v>93</v>
      </c>
      <c r="Q4395" s="16" t="s">
        <v>94</v>
      </c>
      <c r="R4395" s="15" t="s">
        <v>95</v>
      </c>
      <c r="S4395" s="13">
        <v>1</v>
      </c>
      <c r="T4395" s="14">
        <v>1.48</v>
      </c>
      <c r="U4395" s="2">
        <f t="shared" si="683"/>
        <v>0.34040000000000004</v>
      </c>
      <c r="V4395" s="2">
        <f t="shared" si="684"/>
        <v>1.8204</v>
      </c>
      <c r="W4395" s="2">
        <v>1.48</v>
      </c>
      <c r="X4395" s="5">
        <f t="shared" si="685"/>
        <v>0</v>
      </c>
      <c r="Z4395" s="2" t="s">
        <v>3227</v>
      </c>
      <c r="AA4395" s="2" t="s">
        <v>96</v>
      </c>
      <c r="AB4395" s="2" t="s">
        <v>76</v>
      </c>
      <c r="AC4395" s="2" t="s">
        <v>93</v>
      </c>
      <c r="AK4395" s="2">
        <f t="shared" si="678"/>
        <v>0</v>
      </c>
      <c r="AL4395" s="5">
        <f t="shared" si="686"/>
        <v>0</v>
      </c>
    </row>
    <row r="4396" spans="1:38" x14ac:dyDescent="0.2">
      <c r="A4396" s="2">
        <v>2026</v>
      </c>
      <c r="B4396" s="2">
        <v>7</v>
      </c>
      <c r="C4396" s="2" t="s">
        <v>3296</v>
      </c>
      <c r="D4396" s="15" t="s">
        <v>2559</v>
      </c>
      <c r="E4396" s="2" t="s">
        <v>108</v>
      </c>
      <c r="F4396" s="2" t="s">
        <v>39</v>
      </c>
      <c r="L4396" s="2" t="s">
        <v>99</v>
      </c>
      <c r="M4396" s="2" t="s">
        <v>80</v>
      </c>
      <c r="P4396" s="2" t="s">
        <v>72</v>
      </c>
      <c r="Q4396" s="16" t="s">
        <v>832</v>
      </c>
      <c r="R4396" s="15" t="s">
        <v>74</v>
      </c>
      <c r="S4396" s="13">
        <v>1</v>
      </c>
      <c r="T4396" s="14">
        <v>225</v>
      </c>
      <c r="U4396" s="2">
        <f t="shared" si="683"/>
        <v>51.75</v>
      </c>
      <c r="V4396" s="2">
        <f t="shared" si="684"/>
        <v>276.75</v>
      </c>
      <c r="W4396" s="2">
        <v>132.35499999999999</v>
      </c>
      <c r="X4396" s="5">
        <f t="shared" si="685"/>
        <v>0.4117555555555556</v>
      </c>
      <c r="Z4396" s="2" t="s">
        <v>3227</v>
      </c>
      <c r="AA4396" s="2" t="s">
        <v>75</v>
      </c>
      <c r="AB4396" s="2" t="s">
        <v>76</v>
      </c>
      <c r="AC4396" s="2" t="s">
        <v>77</v>
      </c>
      <c r="AK4396" s="2">
        <f t="shared" si="678"/>
        <v>92.64500000000001</v>
      </c>
      <c r="AL4396" s="5">
        <f t="shared" si="686"/>
        <v>0.4117555555555556</v>
      </c>
    </row>
    <row r="4397" spans="1:38" x14ac:dyDescent="0.2">
      <c r="A4397" s="2">
        <v>2026</v>
      </c>
      <c r="B4397" s="2">
        <v>7</v>
      </c>
      <c r="C4397" s="2" t="s">
        <v>3296</v>
      </c>
      <c r="D4397" s="15" t="s">
        <v>2559</v>
      </c>
      <c r="E4397" s="2" t="s">
        <v>108</v>
      </c>
      <c r="F4397" s="2" t="s">
        <v>39</v>
      </c>
      <c r="L4397" s="2" t="s">
        <v>99</v>
      </c>
      <c r="M4397" s="2" t="s">
        <v>80</v>
      </c>
      <c r="P4397" s="2" t="s">
        <v>93</v>
      </c>
      <c r="Q4397" s="16" t="s">
        <v>94</v>
      </c>
      <c r="R4397" s="15" t="s">
        <v>95</v>
      </c>
      <c r="S4397" s="13">
        <v>1</v>
      </c>
      <c r="T4397" s="14">
        <v>1.48</v>
      </c>
      <c r="U4397" s="2">
        <f t="shared" si="683"/>
        <v>0.34040000000000004</v>
      </c>
      <c r="V4397" s="2">
        <f t="shared" si="684"/>
        <v>1.8204</v>
      </c>
      <c r="W4397" s="2">
        <v>1.48</v>
      </c>
      <c r="X4397" s="5">
        <f t="shared" si="685"/>
        <v>0</v>
      </c>
      <c r="Z4397" s="2" t="s">
        <v>3227</v>
      </c>
      <c r="AA4397" s="2" t="s">
        <v>96</v>
      </c>
      <c r="AB4397" s="2" t="s">
        <v>76</v>
      </c>
      <c r="AC4397" s="2" t="s">
        <v>93</v>
      </c>
      <c r="AK4397" s="2">
        <f t="shared" si="678"/>
        <v>0</v>
      </c>
      <c r="AL4397" s="5">
        <f t="shared" si="686"/>
        <v>0</v>
      </c>
    </row>
    <row r="4398" spans="1:38" x14ac:dyDescent="0.2">
      <c r="A4398" s="2">
        <v>2026</v>
      </c>
      <c r="B4398" s="2">
        <v>7</v>
      </c>
      <c r="C4398" s="2" t="s">
        <v>3296</v>
      </c>
      <c r="D4398" s="15" t="s">
        <v>574</v>
      </c>
      <c r="E4398" s="2" t="s">
        <v>38</v>
      </c>
      <c r="F4398" s="2" t="s">
        <v>39</v>
      </c>
      <c r="G4398" s="2">
        <v>504811029</v>
      </c>
      <c r="H4398" s="2" t="s">
        <v>41</v>
      </c>
      <c r="I4398" s="2" t="s">
        <v>177</v>
      </c>
      <c r="J4398" s="2" t="s">
        <v>575</v>
      </c>
      <c r="L4398" s="2" t="s">
        <v>177</v>
      </c>
      <c r="M4398" s="2" t="s">
        <v>41</v>
      </c>
      <c r="P4398" s="2" t="s">
        <v>43</v>
      </c>
      <c r="Q4398" s="16" t="s">
        <v>63</v>
      </c>
      <c r="R4398" s="15" t="s">
        <v>64</v>
      </c>
      <c r="S4398" s="13">
        <v>20</v>
      </c>
      <c r="T4398" s="14">
        <v>36</v>
      </c>
      <c r="U4398" s="2">
        <f t="shared" si="683"/>
        <v>8.2800000000000011</v>
      </c>
      <c r="V4398" s="2">
        <f t="shared" si="684"/>
        <v>44.28</v>
      </c>
      <c r="W4398" s="2">
        <f>0.8561*S4398</f>
        <v>17.122</v>
      </c>
      <c r="X4398" s="5">
        <f t="shared" si="685"/>
        <v>0.5243888888888889</v>
      </c>
      <c r="Z4398" s="2" t="s">
        <v>3227</v>
      </c>
      <c r="AA4398" s="2" t="s">
        <v>46</v>
      </c>
      <c r="AB4398" s="2" t="s">
        <v>60</v>
      </c>
      <c r="AC4398" s="2" t="s">
        <v>57</v>
      </c>
      <c r="AK4398" s="2">
        <f t="shared" si="678"/>
        <v>18.878</v>
      </c>
      <c r="AL4398" s="5">
        <f t="shared" si="686"/>
        <v>0.5243888888888889</v>
      </c>
    </row>
    <row r="4399" spans="1:38" x14ac:dyDescent="0.2">
      <c r="A4399" s="2">
        <v>2026</v>
      </c>
      <c r="B4399" s="2">
        <v>7</v>
      </c>
      <c r="C4399" s="2" t="s">
        <v>3296</v>
      </c>
      <c r="D4399" s="15" t="s">
        <v>574</v>
      </c>
      <c r="E4399" s="2" t="s">
        <v>38</v>
      </c>
      <c r="F4399" s="2" t="s">
        <v>39</v>
      </c>
      <c r="G4399" s="2">
        <v>504811029</v>
      </c>
      <c r="H4399" s="2" t="s">
        <v>41</v>
      </c>
      <c r="I4399" s="2" t="s">
        <v>177</v>
      </c>
      <c r="J4399" s="2" t="s">
        <v>575</v>
      </c>
      <c r="L4399" s="2" t="s">
        <v>177</v>
      </c>
      <c r="M4399" s="2" t="s">
        <v>41</v>
      </c>
      <c r="P4399" s="2" t="s">
        <v>43</v>
      </c>
      <c r="Q4399" s="16" t="s">
        <v>579</v>
      </c>
      <c r="R4399" s="15" t="s">
        <v>580</v>
      </c>
      <c r="S4399" s="13">
        <v>20</v>
      </c>
      <c r="T4399" s="14">
        <v>60</v>
      </c>
      <c r="U4399" s="2">
        <f t="shared" si="683"/>
        <v>13.8</v>
      </c>
      <c r="V4399" s="2">
        <f t="shared" si="684"/>
        <v>73.8</v>
      </c>
      <c r="W4399" s="2">
        <f>1.4114*S4399</f>
        <v>28.228000000000002</v>
      </c>
      <c r="X4399" s="5">
        <f t="shared" si="685"/>
        <v>0.5295333333333333</v>
      </c>
      <c r="Z4399" s="2" t="s">
        <v>3227</v>
      </c>
      <c r="AA4399" s="2" t="s">
        <v>46</v>
      </c>
      <c r="AB4399" s="2" t="s">
        <v>60</v>
      </c>
      <c r="AC4399" s="2" t="s">
        <v>57</v>
      </c>
      <c r="AK4399" s="2">
        <f t="shared" si="678"/>
        <v>31.771999999999998</v>
      </c>
      <c r="AL4399" s="5">
        <f t="shared" si="686"/>
        <v>0.5295333333333333</v>
      </c>
    </row>
    <row r="4400" spans="1:38" x14ac:dyDescent="0.2">
      <c r="A4400" s="2">
        <v>2026</v>
      </c>
      <c r="B4400" s="2">
        <v>7</v>
      </c>
      <c r="C4400" s="2" t="s">
        <v>3295</v>
      </c>
      <c r="D4400" s="15" t="s">
        <v>2276</v>
      </c>
      <c r="E4400" s="2" t="s">
        <v>38</v>
      </c>
      <c r="F4400" s="2" t="s">
        <v>39</v>
      </c>
      <c r="L4400" s="2" t="s">
        <v>461</v>
      </c>
      <c r="M4400" s="2" t="s">
        <v>40</v>
      </c>
      <c r="P4400" s="2" t="s">
        <v>114</v>
      </c>
      <c r="Q4400" s="16" t="s">
        <v>3358</v>
      </c>
      <c r="R4400" s="15" t="s">
        <v>1100</v>
      </c>
      <c r="S4400" s="13">
        <v>1</v>
      </c>
      <c r="T4400" s="14">
        <v>187.92</v>
      </c>
      <c r="U4400" s="2">
        <f t="shared" si="683"/>
        <v>43.221600000000002</v>
      </c>
      <c r="V4400" s="2">
        <f t="shared" si="684"/>
        <v>231.14159999999998</v>
      </c>
      <c r="W4400" s="2">
        <v>49.96</v>
      </c>
      <c r="X4400" s="5">
        <f t="shared" si="685"/>
        <v>0.73414218816517662</v>
      </c>
      <c r="Z4400" s="2" t="s">
        <v>117</v>
      </c>
      <c r="AA4400" s="2" t="s">
        <v>118</v>
      </c>
      <c r="AB4400" s="2" t="s">
        <v>119</v>
      </c>
      <c r="AC4400" s="2" t="s">
        <v>114</v>
      </c>
      <c r="AK4400" s="2">
        <f t="shared" si="678"/>
        <v>137.95999999999998</v>
      </c>
      <c r="AL4400" s="5">
        <f t="shared" si="686"/>
        <v>0.73414218816517662</v>
      </c>
    </row>
    <row r="4401" spans="1:38" x14ac:dyDescent="0.2">
      <c r="A4401" s="2">
        <v>2026</v>
      </c>
      <c r="B4401" s="2">
        <v>7</v>
      </c>
      <c r="C4401" s="2" t="s">
        <v>3295</v>
      </c>
      <c r="D4401" s="15" t="s">
        <v>2276</v>
      </c>
      <c r="E4401" s="2" t="s">
        <v>38</v>
      </c>
      <c r="F4401" s="2" t="s">
        <v>39</v>
      </c>
      <c r="L4401" s="2" t="s">
        <v>461</v>
      </c>
      <c r="M4401" s="2" t="s">
        <v>40</v>
      </c>
      <c r="P4401" s="2" t="s">
        <v>114</v>
      </c>
      <c r="Q4401" s="16" t="s">
        <v>793</v>
      </c>
      <c r="R4401" s="15" t="s">
        <v>794</v>
      </c>
      <c r="S4401" s="13">
        <v>1</v>
      </c>
      <c r="T4401" s="14">
        <v>539.16999999999996</v>
      </c>
      <c r="U4401" s="2">
        <f t="shared" si="683"/>
        <v>124.00909999999999</v>
      </c>
      <c r="V4401" s="2">
        <f t="shared" si="684"/>
        <v>663.17909999999995</v>
      </c>
      <c r="W4401" s="2">
        <v>257.3</v>
      </c>
      <c r="X4401" s="5">
        <f t="shared" si="685"/>
        <v>0.52278502142181493</v>
      </c>
      <c r="Z4401" s="2" t="s">
        <v>117</v>
      </c>
      <c r="AA4401" s="2" t="s">
        <v>118</v>
      </c>
      <c r="AB4401" s="2" t="s">
        <v>119</v>
      </c>
      <c r="AC4401" s="2" t="s">
        <v>114</v>
      </c>
      <c r="AK4401" s="2">
        <f t="shared" si="678"/>
        <v>281.86999999999995</v>
      </c>
      <c r="AL4401" s="5">
        <f t="shared" si="686"/>
        <v>0.52278502142181493</v>
      </c>
    </row>
    <row r="4402" spans="1:38" x14ac:dyDescent="0.2">
      <c r="A4402" s="2">
        <v>2026</v>
      </c>
      <c r="B4402" s="2">
        <v>7</v>
      </c>
      <c r="C4402" s="2" t="s">
        <v>3295</v>
      </c>
      <c r="D4402" s="15" t="s">
        <v>2276</v>
      </c>
      <c r="E4402" s="2" t="s">
        <v>38</v>
      </c>
      <c r="F4402" s="2" t="s">
        <v>39</v>
      </c>
      <c r="L4402" s="2" t="s">
        <v>461</v>
      </c>
      <c r="M4402" s="2" t="s">
        <v>40</v>
      </c>
      <c r="P4402" s="2" t="s">
        <v>187</v>
      </c>
      <c r="Q4402" s="16" t="s">
        <v>188</v>
      </c>
      <c r="R4402" s="15" t="s">
        <v>189</v>
      </c>
      <c r="S4402" s="13">
        <v>1</v>
      </c>
      <c r="T4402" s="14">
        <v>149</v>
      </c>
      <c r="U4402" s="2">
        <f t="shared" si="683"/>
        <v>34.270000000000003</v>
      </c>
      <c r="V4402" s="2">
        <f t="shared" si="684"/>
        <v>183.27</v>
      </c>
      <c r="W4402" s="2">
        <f>T4402*40%</f>
        <v>59.6</v>
      </c>
      <c r="X4402" s="5">
        <f t="shared" si="685"/>
        <v>0.60000000000000009</v>
      </c>
      <c r="Z4402" s="2" t="s">
        <v>117</v>
      </c>
      <c r="AA4402" s="2" t="s">
        <v>190</v>
      </c>
      <c r="AB4402" s="2" t="s">
        <v>189</v>
      </c>
      <c r="AC4402" s="2" t="s">
        <v>40</v>
      </c>
      <c r="AK4402" s="2">
        <f t="shared" si="678"/>
        <v>89.4</v>
      </c>
      <c r="AL4402" s="5">
        <f t="shared" si="686"/>
        <v>0.60000000000000009</v>
      </c>
    </row>
    <row r="4403" spans="1:38" x14ac:dyDescent="0.2">
      <c r="A4403" s="2">
        <v>2026</v>
      </c>
      <c r="B4403" s="2">
        <v>7</v>
      </c>
      <c r="C4403" s="2" t="s">
        <v>3295</v>
      </c>
      <c r="D4403" s="15" t="s">
        <v>2276</v>
      </c>
      <c r="E4403" s="2" t="s">
        <v>38</v>
      </c>
      <c r="F4403" s="2" t="s">
        <v>39</v>
      </c>
      <c r="L4403" s="2" t="s">
        <v>461</v>
      </c>
      <c r="M4403" s="2" t="s">
        <v>40</v>
      </c>
      <c r="P4403" s="2" t="s">
        <v>187</v>
      </c>
      <c r="Q4403" s="16" t="s">
        <v>191</v>
      </c>
      <c r="R4403" s="15" t="s">
        <v>190</v>
      </c>
      <c r="S4403" s="13">
        <v>2</v>
      </c>
      <c r="T4403" s="14">
        <v>110</v>
      </c>
      <c r="U4403" s="2">
        <f t="shared" si="683"/>
        <v>25.3</v>
      </c>
      <c r="V4403" s="2">
        <f t="shared" si="684"/>
        <v>135.30000000000001</v>
      </c>
      <c r="W4403" s="2">
        <f>T4403*50%</f>
        <v>55</v>
      </c>
      <c r="X4403" s="5">
        <f t="shared" si="685"/>
        <v>0.5</v>
      </c>
      <c r="Z4403" s="2" t="s">
        <v>117</v>
      </c>
      <c r="AA4403" s="2" t="s">
        <v>190</v>
      </c>
      <c r="AB4403" s="2" t="s">
        <v>190</v>
      </c>
      <c r="AC4403" s="2" t="s">
        <v>40</v>
      </c>
      <c r="AK4403" s="2">
        <f t="shared" si="678"/>
        <v>55</v>
      </c>
      <c r="AL4403" s="5">
        <f t="shared" si="686"/>
        <v>0.5</v>
      </c>
    </row>
    <row r="4404" spans="1:38" x14ac:dyDescent="0.2">
      <c r="A4404" s="2">
        <v>2026</v>
      </c>
      <c r="B4404" s="2">
        <v>7</v>
      </c>
      <c r="C4404" s="2" t="s">
        <v>3296</v>
      </c>
      <c r="D4404" s="15" t="s">
        <v>582</v>
      </c>
      <c r="E4404" s="2" t="s">
        <v>108</v>
      </c>
      <c r="F4404" s="2" t="s">
        <v>39</v>
      </c>
      <c r="G4404" s="2">
        <v>503850276</v>
      </c>
      <c r="H4404" s="2" t="s">
        <v>40</v>
      </c>
      <c r="I4404" s="2" t="s">
        <v>583</v>
      </c>
      <c r="J4404" s="2" t="s">
        <v>584</v>
      </c>
      <c r="L4404" s="2" t="s">
        <v>201</v>
      </c>
      <c r="M4404" s="2" t="s">
        <v>40</v>
      </c>
      <c r="P4404" s="2" t="s">
        <v>698</v>
      </c>
      <c r="Q4404" s="16" t="s">
        <v>3359</v>
      </c>
      <c r="R4404" s="15" t="s">
        <v>3360</v>
      </c>
      <c r="S4404" s="13">
        <v>8</v>
      </c>
      <c r="T4404" s="14">
        <v>100.8</v>
      </c>
      <c r="U4404" s="2">
        <f t="shared" si="683"/>
        <v>23.184000000000001</v>
      </c>
      <c r="V4404" s="2">
        <f t="shared" si="684"/>
        <v>123.98399999999999</v>
      </c>
      <c r="W4404" s="2">
        <f>3*S4404</f>
        <v>24</v>
      </c>
      <c r="X4404" s="5">
        <f t="shared" si="685"/>
        <v>0.76190476190476186</v>
      </c>
      <c r="Z4404" s="2" t="s">
        <v>117</v>
      </c>
      <c r="AA4404" s="2" t="s">
        <v>118</v>
      </c>
      <c r="AB4404" s="2" t="s">
        <v>119</v>
      </c>
      <c r="AC4404" s="2" t="s">
        <v>698</v>
      </c>
      <c r="AK4404" s="2">
        <f t="shared" si="678"/>
        <v>76.8</v>
      </c>
      <c r="AL4404" s="5">
        <f t="shared" si="686"/>
        <v>0.76190476190476186</v>
      </c>
    </row>
    <row r="4405" spans="1:38" x14ac:dyDescent="0.2">
      <c r="A4405" s="2">
        <v>2026</v>
      </c>
      <c r="B4405" s="2">
        <v>7</v>
      </c>
      <c r="C4405" s="2" t="s">
        <v>3296</v>
      </c>
      <c r="D4405" s="15" t="s">
        <v>588</v>
      </c>
      <c r="E4405" s="2" t="s">
        <v>38</v>
      </c>
      <c r="F4405" s="2" t="s">
        <v>39</v>
      </c>
      <c r="L4405" s="2" t="s">
        <v>177</v>
      </c>
      <c r="M4405" s="2" t="s">
        <v>40</v>
      </c>
      <c r="P4405" s="2" t="s">
        <v>114</v>
      </c>
      <c r="Q4405" s="16" t="s">
        <v>373</v>
      </c>
      <c r="R4405" s="15" t="s">
        <v>374</v>
      </c>
      <c r="S4405" s="13">
        <v>1</v>
      </c>
      <c r="T4405" s="14">
        <v>48.95</v>
      </c>
      <c r="U4405" s="2">
        <f t="shared" si="683"/>
        <v>11.258500000000002</v>
      </c>
      <c r="V4405" s="2">
        <f t="shared" si="684"/>
        <v>60.208500000000001</v>
      </c>
      <c r="W4405" s="2">
        <f>23.042*S4405</f>
        <v>23.042000000000002</v>
      </c>
      <c r="X4405" s="5">
        <f t="shared" si="685"/>
        <v>0.52927477017364655</v>
      </c>
      <c r="Z4405" s="2" t="s">
        <v>117</v>
      </c>
      <c r="AA4405" s="2" t="s">
        <v>118</v>
      </c>
      <c r="AB4405" s="2" t="s">
        <v>119</v>
      </c>
      <c r="AC4405" s="2" t="s">
        <v>114</v>
      </c>
      <c r="AK4405" s="2">
        <f t="shared" ref="AK4405:AK4468" si="687">T4405-W4405</f>
        <v>25.908000000000001</v>
      </c>
      <c r="AL4405" s="5">
        <f t="shared" si="686"/>
        <v>0.52927477017364655</v>
      </c>
    </row>
    <row r="4406" spans="1:38" x14ac:dyDescent="0.2">
      <c r="A4406" s="2">
        <v>2026</v>
      </c>
      <c r="B4406" s="2">
        <v>7</v>
      </c>
      <c r="C4406" s="2" t="s">
        <v>3296</v>
      </c>
      <c r="D4406" s="15" t="s">
        <v>588</v>
      </c>
      <c r="E4406" s="2" t="s">
        <v>38</v>
      </c>
      <c r="F4406" s="2" t="s">
        <v>39</v>
      </c>
      <c r="L4406" s="2" t="s">
        <v>177</v>
      </c>
      <c r="M4406" s="2" t="s">
        <v>41</v>
      </c>
      <c r="P4406" s="2" t="s">
        <v>43</v>
      </c>
      <c r="Q4406" s="16" t="s">
        <v>48</v>
      </c>
      <c r="R4406" s="15" t="s">
        <v>49</v>
      </c>
      <c r="S4406" s="13">
        <v>3</v>
      </c>
      <c r="T4406" s="14">
        <v>39</v>
      </c>
      <c r="U4406" s="2">
        <f t="shared" si="683"/>
        <v>8.9700000000000006</v>
      </c>
      <c r="V4406" s="2">
        <f t="shared" si="684"/>
        <v>47.97</v>
      </c>
      <c r="W4406" s="2">
        <f>6.6267*S4406</f>
        <v>19.880099999999999</v>
      </c>
      <c r="X4406" s="5">
        <f t="shared" si="685"/>
        <v>0.49025384615384621</v>
      </c>
      <c r="Z4406" s="2" t="s">
        <v>3227</v>
      </c>
      <c r="AA4406" s="2" t="s">
        <v>46</v>
      </c>
      <c r="AB4406" s="2" t="s">
        <v>47</v>
      </c>
      <c r="AC4406" s="2" t="s">
        <v>57</v>
      </c>
      <c r="AK4406" s="2">
        <f t="shared" si="687"/>
        <v>19.119900000000001</v>
      </c>
      <c r="AL4406" s="5">
        <f t="shared" si="686"/>
        <v>0.49025384615384621</v>
      </c>
    </row>
    <row r="4407" spans="1:38" x14ac:dyDescent="0.2">
      <c r="A4407" s="2">
        <v>2026</v>
      </c>
      <c r="B4407" s="2">
        <v>7</v>
      </c>
      <c r="C4407" s="2" t="s">
        <v>3296</v>
      </c>
      <c r="D4407" s="15" t="s">
        <v>588</v>
      </c>
      <c r="E4407" s="2" t="s">
        <v>38</v>
      </c>
      <c r="F4407" s="2" t="s">
        <v>39</v>
      </c>
      <c r="L4407" s="2" t="s">
        <v>177</v>
      </c>
      <c r="M4407" s="2" t="s">
        <v>41</v>
      </c>
      <c r="P4407" s="2" t="s">
        <v>43</v>
      </c>
      <c r="Q4407" s="16" t="s">
        <v>54</v>
      </c>
      <c r="R4407" s="15" t="s">
        <v>55</v>
      </c>
      <c r="S4407" s="13">
        <v>10</v>
      </c>
      <c r="T4407" s="14">
        <v>150</v>
      </c>
      <c r="U4407" s="2">
        <f t="shared" ref="U4407:U4414" si="688">T4407*23%</f>
        <v>34.5</v>
      </c>
      <c r="V4407" s="2">
        <f t="shared" ref="V4407:V4414" si="689">T4407+U4407</f>
        <v>184.5</v>
      </c>
      <c r="W4407" s="2">
        <f>10.6*S4407</f>
        <v>106</v>
      </c>
      <c r="X4407" s="5">
        <f t="shared" si="685"/>
        <v>0.29333333333333333</v>
      </c>
      <c r="Z4407" s="2" t="s">
        <v>3227</v>
      </c>
      <c r="AA4407" s="2" t="s">
        <v>46</v>
      </c>
      <c r="AB4407" s="2" t="s">
        <v>56</v>
      </c>
      <c r="AC4407" s="2" t="s">
        <v>57</v>
      </c>
      <c r="AK4407" s="2">
        <f t="shared" si="687"/>
        <v>44</v>
      </c>
      <c r="AL4407" s="5">
        <f t="shared" si="686"/>
        <v>0.29333333333333333</v>
      </c>
    </row>
    <row r="4408" spans="1:38" x14ac:dyDescent="0.2">
      <c r="A4408" s="2">
        <v>2026</v>
      </c>
      <c r="B4408" s="2">
        <v>7</v>
      </c>
      <c r="C4408" s="2" t="s">
        <v>3296</v>
      </c>
      <c r="D4408" s="15" t="s">
        <v>588</v>
      </c>
      <c r="E4408" s="2" t="s">
        <v>38</v>
      </c>
      <c r="F4408" s="2" t="s">
        <v>39</v>
      </c>
      <c r="L4408" s="2" t="s">
        <v>177</v>
      </c>
      <c r="M4408" s="2" t="s">
        <v>41</v>
      </c>
      <c r="P4408" s="2" t="s">
        <v>43</v>
      </c>
      <c r="Q4408" s="16" t="s">
        <v>58</v>
      </c>
      <c r="R4408" s="15" t="s">
        <v>59</v>
      </c>
      <c r="S4408" s="2">
        <v>100</v>
      </c>
      <c r="T4408" s="14">
        <v>14</v>
      </c>
      <c r="U4408" s="2">
        <f t="shared" si="688"/>
        <v>3.22</v>
      </c>
      <c r="V4408" s="2">
        <f t="shared" si="689"/>
        <v>17.22</v>
      </c>
      <c r="W4408" s="2">
        <f>0.0914*S4408</f>
        <v>9.1399999999999988</v>
      </c>
      <c r="X4408" s="5">
        <f t="shared" si="685"/>
        <v>0.34714285714285725</v>
      </c>
      <c r="Z4408" s="2" t="s">
        <v>3227</v>
      </c>
      <c r="AA4408" s="2" t="s">
        <v>46</v>
      </c>
      <c r="AB4408" s="2" t="s">
        <v>60</v>
      </c>
      <c r="AC4408" s="2" t="s">
        <v>57</v>
      </c>
      <c r="AK4408" s="2">
        <f t="shared" si="687"/>
        <v>4.8600000000000012</v>
      </c>
      <c r="AL4408" s="5">
        <f t="shared" si="686"/>
        <v>0.34714285714285725</v>
      </c>
    </row>
    <row r="4409" spans="1:38" x14ac:dyDescent="0.2">
      <c r="A4409" s="2">
        <v>2026</v>
      </c>
      <c r="B4409" s="2">
        <v>7</v>
      </c>
      <c r="C4409" s="2" t="s">
        <v>3296</v>
      </c>
      <c r="D4409" s="15" t="s">
        <v>588</v>
      </c>
      <c r="E4409" s="2" t="s">
        <v>38</v>
      </c>
      <c r="F4409" s="2" t="s">
        <v>39</v>
      </c>
      <c r="L4409" s="2" t="s">
        <v>177</v>
      </c>
      <c r="M4409" s="2" t="s">
        <v>40</v>
      </c>
      <c r="P4409" s="2" t="s">
        <v>187</v>
      </c>
      <c r="Q4409" s="16" t="s">
        <v>188</v>
      </c>
      <c r="R4409" s="15" t="s">
        <v>189</v>
      </c>
      <c r="S4409" s="13">
        <v>1</v>
      </c>
      <c r="T4409" s="14">
        <v>76</v>
      </c>
      <c r="U4409" s="2">
        <f t="shared" si="688"/>
        <v>17.48</v>
      </c>
      <c r="V4409" s="2">
        <f t="shared" si="689"/>
        <v>93.48</v>
      </c>
      <c r="W4409" s="2">
        <f>T4409*40%</f>
        <v>30.400000000000002</v>
      </c>
      <c r="X4409" s="5">
        <f t="shared" si="685"/>
        <v>0.6</v>
      </c>
      <c r="Z4409" s="2" t="s">
        <v>117</v>
      </c>
      <c r="AA4409" s="2" t="s">
        <v>190</v>
      </c>
      <c r="AB4409" s="2" t="s">
        <v>189</v>
      </c>
      <c r="AC4409" s="2" t="s">
        <v>40</v>
      </c>
      <c r="AK4409" s="2">
        <f t="shared" si="687"/>
        <v>45.599999999999994</v>
      </c>
      <c r="AL4409" s="5">
        <f t="shared" si="686"/>
        <v>0.6</v>
      </c>
    </row>
    <row r="4410" spans="1:38" x14ac:dyDescent="0.2">
      <c r="A4410" s="2">
        <v>2026</v>
      </c>
      <c r="B4410" s="2">
        <v>7</v>
      </c>
      <c r="C4410" s="2" t="s">
        <v>3296</v>
      </c>
      <c r="D4410" s="15" t="s">
        <v>588</v>
      </c>
      <c r="E4410" s="2" t="s">
        <v>38</v>
      </c>
      <c r="F4410" s="2" t="s">
        <v>39</v>
      </c>
      <c r="L4410" s="2" t="s">
        <v>177</v>
      </c>
      <c r="M4410" s="2" t="s">
        <v>40</v>
      </c>
      <c r="P4410" s="2" t="s">
        <v>187</v>
      </c>
      <c r="Q4410" s="16" t="s">
        <v>191</v>
      </c>
      <c r="R4410" s="15" t="s">
        <v>190</v>
      </c>
      <c r="S4410" s="13">
        <v>1</v>
      </c>
      <c r="T4410" s="14">
        <v>55</v>
      </c>
      <c r="U4410" s="2">
        <f t="shared" si="688"/>
        <v>12.65</v>
      </c>
      <c r="V4410" s="2">
        <f t="shared" si="689"/>
        <v>67.650000000000006</v>
      </c>
      <c r="W4410" s="2">
        <f>T4410*50%</f>
        <v>27.5</v>
      </c>
      <c r="X4410" s="5">
        <f t="shared" si="685"/>
        <v>0.5</v>
      </c>
      <c r="Z4410" s="2" t="s">
        <v>117</v>
      </c>
      <c r="AA4410" s="2" t="s">
        <v>190</v>
      </c>
      <c r="AB4410" s="2" t="s">
        <v>190</v>
      </c>
      <c r="AC4410" s="2" t="s">
        <v>40</v>
      </c>
      <c r="AK4410" s="2">
        <f t="shared" si="687"/>
        <v>27.5</v>
      </c>
      <c r="AL4410" s="5">
        <f t="shared" si="686"/>
        <v>0.5</v>
      </c>
    </row>
    <row r="4411" spans="1:38" x14ac:dyDescent="0.2">
      <c r="A4411" s="2">
        <v>2026</v>
      </c>
      <c r="B4411" s="2">
        <v>7</v>
      </c>
      <c r="C4411" s="2" t="s">
        <v>3296</v>
      </c>
      <c r="D4411" s="15" t="s">
        <v>606</v>
      </c>
      <c r="E4411" s="2" t="s">
        <v>108</v>
      </c>
      <c r="F4411" s="2" t="s">
        <v>39</v>
      </c>
      <c r="L4411" s="2" t="s">
        <v>461</v>
      </c>
      <c r="M4411" s="2" t="s">
        <v>40</v>
      </c>
      <c r="P4411" s="2" t="s">
        <v>114</v>
      </c>
      <c r="Q4411" s="16" t="s">
        <v>735</v>
      </c>
      <c r="R4411" s="15" t="s">
        <v>736</v>
      </c>
      <c r="S4411" s="13">
        <v>2</v>
      </c>
      <c r="T4411" s="14">
        <v>44.1</v>
      </c>
      <c r="U4411" s="2">
        <f t="shared" si="688"/>
        <v>10.143000000000001</v>
      </c>
      <c r="V4411" s="2">
        <f t="shared" si="689"/>
        <v>54.243000000000002</v>
      </c>
      <c r="W4411" s="2">
        <f>11.098*S4411</f>
        <v>22.196000000000002</v>
      </c>
      <c r="X4411" s="5">
        <f t="shared" si="685"/>
        <v>0.49668934240362811</v>
      </c>
      <c r="Z4411" s="2" t="s">
        <v>117</v>
      </c>
      <c r="AA4411" s="2" t="s">
        <v>118</v>
      </c>
      <c r="AB4411" s="2" t="s">
        <v>119</v>
      </c>
      <c r="AC4411" s="2" t="s">
        <v>114</v>
      </c>
      <c r="AK4411" s="2">
        <f t="shared" si="687"/>
        <v>21.904</v>
      </c>
      <c r="AL4411" s="5">
        <f t="shared" si="686"/>
        <v>0.49668934240362811</v>
      </c>
    </row>
    <row r="4412" spans="1:38" x14ac:dyDescent="0.2">
      <c r="A4412" s="2">
        <v>2026</v>
      </c>
      <c r="B4412" s="2">
        <v>7</v>
      </c>
      <c r="C4412" s="2" t="s">
        <v>3296</v>
      </c>
      <c r="D4412" s="15" t="s">
        <v>606</v>
      </c>
      <c r="E4412" s="2" t="s">
        <v>108</v>
      </c>
      <c r="F4412" s="2" t="s">
        <v>39</v>
      </c>
      <c r="L4412" s="2" t="s">
        <v>461</v>
      </c>
      <c r="M4412" s="2" t="s">
        <v>40</v>
      </c>
      <c r="P4412" s="2" t="s">
        <v>169</v>
      </c>
      <c r="Q4412" s="16" t="s">
        <v>170</v>
      </c>
      <c r="R4412" s="15" t="s">
        <v>170</v>
      </c>
      <c r="S4412" s="13">
        <v>1</v>
      </c>
      <c r="T4412" s="14">
        <v>8</v>
      </c>
      <c r="U4412" s="2">
        <f t="shared" si="688"/>
        <v>1.84</v>
      </c>
      <c r="V4412" s="2">
        <f t="shared" si="689"/>
        <v>9.84</v>
      </c>
      <c r="W4412" s="2">
        <v>6</v>
      </c>
      <c r="X4412" s="5">
        <f t="shared" si="685"/>
        <v>0.25</v>
      </c>
      <c r="Z4412" s="2" t="s">
        <v>169</v>
      </c>
      <c r="AA4412" s="2" t="s">
        <v>169</v>
      </c>
      <c r="AK4412" s="2">
        <f t="shared" si="687"/>
        <v>2</v>
      </c>
      <c r="AL4412" s="5">
        <f t="shared" si="686"/>
        <v>0.25</v>
      </c>
    </row>
    <row r="4413" spans="1:38" x14ac:dyDescent="0.2">
      <c r="A4413" s="2">
        <v>2026</v>
      </c>
      <c r="B4413" s="2">
        <v>7</v>
      </c>
      <c r="C4413" s="2" t="s">
        <v>3296</v>
      </c>
      <c r="D4413" s="15" t="s">
        <v>2781</v>
      </c>
      <c r="E4413" s="2" t="s">
        <v>108</v>
      </c>
      <c r="F4413" s="2" t="s">
        <v>39</v>
      </c>
      <c r="L4413" s="2" t="s">
        <v>99</v>
      </c>
      <c r="M4413" s="2" t="s">
        <v>40</v>
      </c>
      <c r="P4413" s="2" t="s">
        <v>114</v>
      </c>
      <c r="Q4413" s="16" t="s">
        <v>561</v>
      </c>
      <c r="R4413" s="15" t="s">
        <v>562</v>
      </c>
      <c r="S4413" s="13">
        <v>4</v>
      </c>
      <c r="T4413" s="14">
        <v>57.15</v>
      </c>
      <c r="U4413" s="2">
        <f t="shared" si="688"/>
        <v>13.144500000000001</v>
      </c>
      <c r="V4413" s="2">
        <f t="shared" si="689"/>
        <v>70.294499999999999</v>
      </c>
      <c r="W4413" s="2">
        <f>5.3525*S4413</f>
        <v>21.41</v>
      </c>
      <c r="X4413" s="5">
        <f t="shared" si="685"/>
        <v>0.62537182852143469</v>
      </c>
      <c r="Z4413" s="2" t="s">
        <v>117</v>
      </c>
      <c r="AA4413" s="2" t="s">
        <v>118</v>
      </c>
      <c r="AB4413" s="2" t="s">
        <v>119</v>
      </c>
      <c r="AC4413" s="2" t="s">
        <v>114</v>
      </c>
      <c r="AK4413" s="2">
        <f t="shared" si="687"/>
        <v>35.739999999999995</v>
      </c>
      <c r="AL4413" s="5">
        <f t="shared" si="686"/>
        <v>0.62537182852143469</v>
      </c>
    </row>
    <row r="4414" spans="1:38" x14ac:dyDescent="0.2">
      <c r="A4414" s="2">
        <v>2026</v>
      </c>
      <c r="B4414" s="2">
        <v>7</v>
      </c>
      <c r="C4414" s="2" t="s">
        <v>3296</v>
      </c>
      <c r="D4414" s="15" t="s">
        <v>2781</v>
      </c>
      <c r="E4414" s="2" t="s">
        <v>108</v>
      </c>
      <c r="F4414" s="2" t="s">
        <v>39</v>
      </c>
      <c r="L4414" s="2" t="s">
        <v>99</v>
      </c>
      <c r="M4414" s="2" t="s">
        <v>40</v>
      </c>
      <c r="P4414" s="2" t="s">
        <v>169</v>
      </c>
      <c r="Q4414" s="16" t="s">
        <v>170</v>
      </c>
      <c r="R4414" s="15" t="s">
        <v>170</v>
      </c>
      <c r="S4414" s="13">
        <v>1</v>
      </c>
      <c r="T4414" s="14">
        <v>8</v>
      </c>
      <c r="U4414" s="2">
        <f t="shared" si="688"/>
        <v>1.84</v>
      </c>
      <c r="V4414" s="2">
        <f t="shared" si="689"/>
        <v>9.84</v>
      </c>
      <c r="W4414" s="2">
        <v>6</v>
      </c>
      <c r="X4414" s="5">
        <f t="shared" si="685"/>
        <v>0.25</v>
      </c>
      <c r="Z4414" s="2" t="s">
        <v>169</v>
      </c>
      <c r="AA4414" s="2" t="s">
        <v>169</v>
      </c>
      <c r="AK4414" s="2">
        <f t="shared" si="687"/>
        <v>2</v>
      </c>
      <c r="AL4414" s="5">
        <f t="shared" si="686"/>
        <v>0.25</v>
      </c>
    </row>
    <row r="4415" spans="1:38" x14ac:dyDescent="0.2">
      <c r="A4415" s="2">
        <v>2026</v>
      </c>
      <c r="B4415" s="2">
        <v>7</v>
      </c>
      <c r="C4415" s="2" t="s">
        <v>3295</v>
      </c>
      <c r="D4415" s="15" t="s">
        <v>624</v>
      </c>
      <c r="E4415" s="2" t="s">
        <v>38</v>
      </c>
      <c r="F4415" s="2" t="s">
        <v>39</v>
      </c>
      <c r="G4415" s="2" t="s">
        <v>625</v>
      </c>
      <c r="H4415" s="2" t="s">
        <v>40</v>
      </c>
      <c r="I4415" s="2" t="s">
        <v>626</v>
      </c>
      <c r="J4415" s="2" t="s">
        <v>627</v>
      </c>
      <c r="L4415" s="2" t="s">
        <v>626</v>
      </c>
      <c r="M4415" s="2" t="s">
        <v>40</v>
      </c>
      <c r="P4415" s="2" t="s">
        <v>114</v>
      </c>
      <c r="Q4415" s="16" t="s">
        <v>135</v>
      </c>
      <c r="R4415" s="15" t="s">
        <v>136</v>
      </c>
      <c r="S4415" s="9">
        <v>1</v>
      </c>
      <c r="T4415" s="14">
        <v>577.91999999999996</v>
      </c>
      <c r="V4415" s="2">
        <f>T4415</f>
        <v>577.91999999999996</v>
      </c>
      <c r="W4415" s="2">
        <v>344.89339999999999</v>
      </c>
      <c r="X4415" s="5">
        <f t="shared" si="685"/>
        <v>0.40321601605758584</v>
      </c>
      <c r="Z4415" s="2" t="s">
        <v>117</v>
      </c>
      <c r="AA4415" s="2" t="s">
        <v>118</v>
      </c>
      <c r="AB4415" s="2" t="s">
        <v>119</v>
      </c>
      <c r="AC4415" s="2" t="s">
        <v>114</v>
      </c>
      <c r="AK4415" s="2">
        <f t="shared" si="687"/>
        <v>233.02659999999997</v>
      </c>
      <c r="AL4415" s="5">
        <f t="shared" si="686"/>
        <v>0.40321601605758584</v>
      </c>
    </row>
    <row r="4416" spans="1:38" x14ac:dyDescent="0.2">
      <c r="A4416" s="2">
        <v>2026</v>
      </c>
      <c r="B4416" s="2">
        <v>7</v>
      </c>
      <c r="C4416" s="2" t="s">
        <v>3295</v>
      </c>
      <c r="D4416" s="15" t="s">
        <v>909</v>
      </c>
      <c r="E4416" s="2" t="s">
        <v>38</v>
      </c>
      <c r="F4416" s="2" t="s">
        <v>39</v>
      </c>
      <c r="H4416" s="2" t="s">
        <v>109</v>
      </c>
      <c r="I4416" s="2" t="s">
        <v>133</v>
      </c>
      <c r="L4416" s="2" t="s">
        <v>133</v>
      </c>
      <c r="M4416" s="2" t="s">
        <v>109</v>
      </c>
      <c r="P4416" s="2" t="s">
        <v>114</v>
      </c>
      <c r="Q4416" s="16" t="s">
        <v>412</v>
      </c>
      <c r="R4416" s="15" t="s">
        <v>413</v>
      </c>
      <c r="S4416" s="13">
        <v>1</v>
      </c>
      <c r="T4416" s="14">
        <v>14000</v>
      </c>
      <c r="U4416" s="2">
        <f t="shared" ref="U4416:U4447" si="690">T4416*23%</f>
        <v>3220</v>
      </c>
      <c r="V4416" s="2">
        <f t="shared" ref="V4416:V4447" si="691">T4416+U4416</f>
        <v>17220</v>
      </c>
      <c r="W4416" s="2">
        <f>10699.41+285.74</f>
        <v>10985.15</v>
      </c>
      <c r="X4416" s="5">
        <f t="shared" si="685"/>
        <v>0.21534642857142861</v>
      </c>
      <c r="Z4416" s="2" t="s">
        <v>104</v>
      </c>
      <c r="AA4416" s="2" t="s">
        <v>414</v>
      </c>
      <c r="AB4416" s="2" t="s">
        <v>151</v>
      </c>
      <c r="AC4416" s="2" t="s">
        <v>114</v>
      </c>
      <c r="AK4416" s="2">
        <f t="shared" si="687"/>
        <v>3014.8500000000004</v>
      </c>
      <c r="AL4416" s="5">
        <f t="shared" si="686"/>
        <v>0.21534642857142861</v>
      </c>
    </row>
    <row r="4417" spans="1:38" x14ac:dyDescent="0.2">
      <c r="A4417" s="2">
        <v>2026</v>
      </c>
      <c r="B4417" s="2">
        <v>7</v>
      </c>
      <c r="C4417" s="2" t="s">
        <v>3295</v>
      </c>
      <c r="D4417" s="15" t="s">
        <v>633</v>
      </c>
      <c r="E4417" s="2" t="s">
        <v>183</v>
      </c>
      <c r="F4417" s="2" t="s">
        <v>366</v>
      </c>
      <c r="H4417" s="2" t="s">
        <v>290</v>
      </c>
      <c r="L4417" s="2" t="s">
        <v>339</v>
      </c>
      <c r="M4417" s="2" t="s">
        <v>80</v>
      </c>
      <c r="P4417" s="2" t="s">
        <v>72</v>
      </c>
      <c r="Q4417" s="16" t="s">
        <v>664</v>
      </c>
      <c r="R4417" s="15" t="s">
        <v>79</v>
      </c>
      <c r="S4417" s="13">
        <v>1</v>
      </c>
      <c r="T4417" s="14">
        <v>210</v>
      </c>
      <c r="U4417" s="2">
        <f t="shared" si="690"/>
        <v>48.300000000000004</v>
      </c>
      <c r="V4417" s="2">
        <f t="shared" si="691"/>
        <v>258.3</v>
      </c>
      <c r="W4417" s="2">
        <f>113.905+11.25</f>
        <v>125.155</v>
      </c>
      <c r="X4417" s="5">
        <f t="shared" si="685"/>
        <v>0.40402380952380951</v>
      </c>
      <c r="Z4417" s="2" t="s">
        <v>3227</v>
      </c>
      <c r="AA4417" s="2" t="s">
        <v>75</v>
      </c>
      <c r="AB4417" s="2" t="s">
        <v>76</v>
      </c>
      <c r="AC4417" s="2" t="s">
        <v>77</v>
      </c>
      <c r="AK4417" s="2">
        <f t="shared" si="687"/>
        <v>84.844999999999999</v>
      </c>
      <c r="AL4417" s="5">
        <f t="shared" si="686"/>
        <v>0.40402380952380951</v>
      </c>
    </row>
    <row r="4418" spans="1:38" ht="12" customHeight="1" x14ac:dyDescent="0.2">
      <c r="A4418" s="2">
        <v>2026</v>
      </c>
      <c r="B4418" s="2">
        <v>7</v>
      </c>
      <c r="C4418" s="2" t="s">
        <v>3295</v>
      </c>
      <c r="D4418" s="15" t="s">
        <v>633</v>
      </c>
      <c r="E4418" s="2" t="s">
        <v>183</v>
      </c>
      <c r="F4418" s="2" t="s">
        <v>366</v>
      </c>
      <c r="H4418" s="2" t="s">
        <v>290</v>
      </c>
      <c r="L4418" s="2" t="s">
        <v>339</v>
      </c>
      <c r="M4418" s="2" t="s">
        <v>80</v>
      </c>
      <c r="P4418" s="2" t="s">
        <v>93</v>
      </c>
      <c r="Q4418" s="16" t="s">
        <v>94</v>
      </c>
      <c r="R4418" s="15" t="s">
        <v>95</v>
      </c>
      <c r="S4418" s="13">
        <v>1</v>
      </c>
      <c r="T4418" s="14">
        <v>1.48</v>
      </c>
      <c r="U4418" s="2">
        <f t="shared" si="690"/>
        <v>0.34040000000000004</v>
      </c>
      <c r="V4418" s="2">
        <f t="shared" si="691"/>
        <v>1.8204</v>
      </c>
      <c r="W4418" s="2">
        <v>1.48</v>
      </c>
      <c r="X4418" s="5">
        <f t="shared" si="685"/>
        <v>0</v>
      </c>
      <c r="Z4418" s="2" t="s">
        <v>3227</v>
      </c>
      <c r="AA4418" s="2" t="s">
        <v>96</v>
      </c>
      <c r="AB4418" s="2" t="s">
        <v>76</v>
      </c>
      <c r="AC4418" s="2" t="s">
        <v>93</v>
      </c>
      <c r="AK4418" s="2">
        <f t="shared" si="687"/>
        <v>0</v>
      </c>
      <c r="AL4418" s="5">
        <f t="shared" si="686"/>
        <v>0</v>
      </c>
    </row>
    <row r="4419" spans="1:38" x14ac:dyDescent="0.2">
      <c r="A4419" s="2">
        <v>2026</v>
      </c>
      <c r="B4419" s="2">
        <v>7</v>
      </c>
      <c r="C4419" s="2" t="s">
        <v>3295</v>
      </c>
      <c r="D4419" s="15" t="s">
        <v>634</v>
      </c>
      <c r="E4419" s="2" t="s">
        <v>108</v>
      </c>
      <c r="F4419" s="2" t="s">
        <v>395</v>
      </c>
      <c r="G4419" s="2">
        <v>502967056</v>
      </c>
      <c r="H4419" s="2" t="s">
        <v>109</v>
      </c>
      <c r="I4419" s="2" t="s">
        <v>635</v>
      </c>
      <c r="J4419" s="2" t="s">
        <v>636</v>
      </c>
      <c r="L4419" s="2" t="s">
        <v>112</v>
      </c>
      <c r="M4419" s="2" t="s">
        <v>40</v>
      </c>
      <c r="P4419" s="2" t="s">
        <v>114</v>
      </c>
      <c r="Q4419" s="16" t="s">
        <v>3361</v>
      </c>
      <c r="R4419" s="15" t="s">
        <v>3362</v>
      </c>
      <c r="S4419" s="13">
        <v>1</v>
      </c>
      <c r="T4419" s="14">
        <v>103.55</v>
      </c>
      <c r="U4419" s="2">
        <f t="shared" si="690"/>
        <v>23.816500000000001</v>
      </c>
      <c r="V4419" s="2">
        <f t="shared" si="691"/>
        <v>127.3665</v>
      </c>
      <c r="W4419" s="2">
        <f>57.53+1</f>
        <v>58.53</v>
      </c>
      <c r="X4419" s="5">
        <f t="shared" si="685"/>
        <v>0.43476581361661032</v>
      </c>
      <c r="Z4419" s="2" t="s">
        <v>117</v>
      </c>
      <c r="AA4419" s="2" t="s">
        <v>118</v>
      </c>
      <c r="AB4419" s="2" t="s">
        <v>119</v>
      </c>
      <c r="AC4419" s="2" t="s">
        <v>114</v>
      </c>
      <c r="AK4419" s="2">
        <f t="shared" si="687"/>
        <v>45.019999999999996</v>
      </c>
      <c r="AL4419" s="5">
        <f t="shared" si="686"/>
        <v>0.43476581361661032</v>
      </c>
    </row>
    <row r="4420" spans="1:38" x14ac:dyDescent="0.2">
      <c r="A4420" s="2">
        <v>2026</v>
      </c>
      <c r="B4420" s="2">
        <v>7</v>
      </c>
      <c r="C4420" s="2" t="s">
        <v>3294</v>
      </c>
      <c r="D4420" s="15" t="s">
        <v>3343</v>
      </c>
      <c r="E4420" s="2" t="s">
        <v>752</v>
      </c>
      <c r="F4420" s="2" t="s">
        <v>39</v>
      </c>
      <c r="L4420" s="2" t="s">
        <v>177</v>
      </c>
      <c r="M4420" s="2" t="s">
        <v>40</v>
      </c>
      <c r="P4420" s="2" t="s">
        <v>282</v>
      </c>
      <c r="Q4420" s="16" t="s">
        <v>3089</v>
      </c>
      <c r="R4420" s="15" t="s">
        <v>3090</v>
      </c>
      <c r="S4420" s="13">
        <v>1</v>
      </c>
      <c r="T4420" s="14">
        <v>2490</v>
      </c>
      <c r="U4420" s="2">
        <f t="shared" si="690"/>
        <v>572.70000000000005</v>
      </c>
      <c r="V4420" s="2">
        <f t="shared" si="691"/>
        <v>3062.7</v>
      </c>
      <c r="W4420" s="2">
        <f>1907.5+49</f>
        <v>1956.5</v>
      </c>
      <c r="X4420" s="5">
        <f t="shared" si="685"/>
        <v>0.21425702811244979</v>
      </c>
      <c r="Z4420" s="2" t="s">
        <v>104</v>
      </c>
      <c r="AA4420" s="2" t="s">
        <v>387</v>
      </c>
      <c r="AB4420" s="2" t="s">
        <v>1330</v>
      </c>
      <c r="AC4420" s="2" t="s">
        <v>1327</v>
      </c>
      <c r="AK4420" s="2">
        <f t="shared" si="687"/>
        <v>533.5</v>
      </c>
      <c r="AL4420" s="5">
        <f t="shared" si="686"/>
        <v>0.21425702811244979</v>
      </c>
    </row>
    <row r="4421" spans="1:38" x14ac:dyDescent="0.2">
      <c r="A4421" s="2">
        <v>2026</v>
      </c>
      <c r="B4421" s="2">
        <v>7</v>
      </c>
      <c r="C4421" s="2" t="s">
        <v>3295</v>
      </c>
      <c r="D4421" s="15" t="s">
        <v>1120</v>
      </c>
      <c r="E4421" s="2" t="s">
        <v>108</v>
      </c>
      <c r="F4421" s="2" t="s">
        <v>39</v>
      </c>
      <c r="G4421" s="2">
        <v>504923765</v>
      </c>
      <c r="H4421" s="2" t="s">
        <v>109</v>
      </c>
      <c r="I4421" s="2" t="s">
        <v>3245</v>
      </c>
      <c r="J4421" s="2" t="s">
        <v>3246</v>
      </c>
      <c r="K4421" s="2">
        <v>96179412</v>
      </c>
      <c r="L4421" s="2" t="s">
        <v>461</v>
      </c>
      <c r="M4421" s="2" t="s">
        <v>40</v>
      </c>
      <c r="O4421" s="2" t="s">
        <v>3376</v>
      </c>
      <c r="P4421" s="2" t="s">
        <v>114</v>
      </c>
      <c r="Q4421" s="16" t="s">
        <v>179</v>
      </c>
      <c r="R4421" s="15" t="s">
        <v>180</v>
      </c>
      <c r="S4421" s="13">
        <v>1</v>
      </c>
      <c r="T4421" s="14">
        <v>699.3</v>
      </c>
      <c r="U4421" s="2">
        <f t="shared" si="690"/>
        <v>160.839</v>
      </c>
      <c r="V4421" s="2">
        <f t="shared" si="691"/>
        <v>860.1389999999999</v>
      </c>
      <c r="W4421" s="2">
        <v>343.38580000000002</v>
      </c>
      <c r="X4421" s="5">
        <f t="shared" si="685"/>
        <v>0.50895781495781489</v>
      </c>
      <c r="Z4421" s="2" t="s">
        <v>117</v>
      </c>
      <c r="AA4421" s="2" t="s">
        <v>181</v>
      </c>
      <c r="AB4421" s="2" t="s">
        <v>119</v>
      </c>
      <c r="AC4421" s="2" t="s">
        <v>114</v>
      </c>
      <c r="AK4421" s="2">
        <f t="shared" si="687"/>
        <v>355.91419999999994</v>
      </c>
      <c r="AL4421" s="5">
        <f t="shared" si="686"/>
        <v>0.50895781495781489</v>
      </c>
    </row>
    <row r="4422" spans="1:38" x14ac:dyDescent="0.2">
      <c r="A4422" s="2">
        <v>2026</v>
      </c>
      <c r="B4422" s="2">
        <v>7</v>
      </c>
      <c r="C4422" s="2" t="s">
        <v>3295</v>
      </c>
      <c r="D4422" s="15" t="s">
        <v>1120</v>
      </c>
      <c r="E4422" s="2" t="s">
        <v>108</v>
      </c>
      <c r="F4422" s="2" t="s">
        <v>39</v>
      </c>
      <c r="G4422" s="2">
        <v>504923765</v>
      </c>
      <c r="H4422" s="2" t="s">
        <v>109</v>
      </c>
      <c r="I4422" s="2" t="s">
        <v>3245</v>
      </c>
      <c r="J4422" s="2" t="s">
        <v>3246</v>
      </c>
      <c r="K4422" s="2">
        <v>96179412</v>
      </c>
      <c r="L4422" s="2" t="s">
        <v>461</v>
      </c>
      <c r="M4422" s="2" t="s">
        <v>40</v>
      </c>
      <c r="O4422" s="2" t="s">
        <v>3376</v>
      </c>
      <c r="P4422" s="2" t="s">
        <v>187</v>
      </c>
      <c r="Q4422" s="16" t="s">
        <v>188</v>
      </c>
      <c r="R4422" s="15" t="s">
        <v>189</v>
      </c>
      <c r="S4422" s="13">
        <v>1</v>
      </c>
      <c r="T4422" s="14">
        <v>246</v>
      </c>
      <c r="U4422" s="2">
        <f t="shared" si="690"/>
        <v>56.580000000000005</v>
      </c>
      <c r="V4422" s="2">
        <f t="shared" si="691"/>
        <v>302.58</v>
      </c>
      <c r="W4422" s="2">
        <f>T4422*40%</f>
        <v>98.4</v>
      </c>
      <c r="X4422" s="5">
        <f t="shared" si="685"/>
        <v>0.6</v>
      </c>
      <c r="Z4422" s="2" t="s">
        <v>117</v>
      </c>
      <c r="AA4422" s="2" t="s">
        <v>190</v>
      </c>
      <c r="AB4422" s="2" t="s">
        <v>189</v>
      </c>
      <c r="AC4422" s="2" t="s">
        <v>40</v>
      </c>
      <c r="AK4422" s="2">
        <f t="shared" si="687"/>
        <v>147.6</v>
      </c>
      <c r="AL4422" s="5">
        <f t="shared" si="686"/>
        <v>0.6</v>
      </c>
    </row>
    <row r="4423" spans="1:38" x14ac:dyDescent="0.2">
      <c r="A4423" s="2">
        <v>2026</v>
      </c>
      <c r="B4423" s="2">
        <v>7</v>
      </c>
      <c r="C4423" s="2" t="s">
        <v>3295</v>
      </c>
      <c r="D4423" s="15" t="s">
        <v>1120</v>
      </c>
      <c r="E4423" s="2" t="s">
        <v>108</v>
      </c>
      <c r="F4423" s="2" t="s">
        <v>39</v>
      </c>
      <c r="G4423" s="2">
        <v>504923765</v>
      </c>
      <c r="H4423" s="2" t="s">
        <v>109</v>
      </c>
      <c r="I4423" s="2" t="s">
        <v>3245</v>
      </c>
      <c r="J4423" s="2" t="s">
        <v>3246</v>
      </c>
      <c r="K4423" s="2">
        <v>96179412</v>
      </c>
      <c r="L4423" s="2" t="s">
        <v>461</v>
      </c>
      <c r="M4423" s="2" t="s">
        <v>40</v>
      </c>
      <c r="O4423" s="2" t="s">
        <v>3376</v>
      </c>
      <c r="P4423" s="2" t="s">
        <v>187</v>
      </c>
      <c r="Q4423" s="16" t="s">
        <v>191</v>
      </c>
      <c r="R4423" s="15" t="s">
        <v>190</v>
      </c>
      <c r="S4423" s="13">
        <v>1.5</v>
      </c>
      <c r="T4423" s="14">
        <v>82.5</v>
      </c>
      <c r="U4423" s="2">
        <f t="shared" si="690"/>
        <v>18.975000000000001</v>
      </c>
      <c r="V4423" s="2">
        <f t="shared" si="691"/>
        <v>101.47499999999999</v>
      </c>
      <c r="W4423" s="2">
        <f>T4423*50%</f>
        <v>41.25</v>
      </c>
      <c r="X4423" s="5">
        <f t="shared" ref="X4423:X4454" si="692">(T4423-W4423)/T4423</f>
        <v>0.5</v>
      </c>
      <c r="Z4423" s="2" t="s">
        <v>117</v>
      </c>
      <c r="AA4423" s="2" t="s">
        <v>190</v>
      </c>
      <c r="AB4423" s="2" t="s">
        <v>190</v>
      </c>
      <c r="AC4423" s="2" t="s">
        <v>40</v>
      </c>
      <c r="AK4423" s="2">
        <f t="shared" si="687"/>
        <v>41.25</v>
      </c>
      <c r="AL4423" s="5">
        <f t="shared" ref="AL4423:AL4454" si="693">(T4423-W4423)/T4423</f>
        <v>0.5</v>
      </c>
    </row>
    <row r="4424" spans="1:38" x14ac:dyDescent="0.2">
      <c r="A4424" s="2">
        <v>2026</v>
      </c>
      <c r="B4424" s="2">
        <v>7</v>
      </c>
      <c r="C4424" s="2" t="s">
        <v>3296</v>
      </c>
      <c r="D4424" s="15" t="s">
        <v>3344</v>
      </c>
      <c r="E4424" s="2" t="s">
        <v>38</v>
      </c>
      <c r="F4424" s="2" t="s">
        <v>39</v>
      </c>
      <c r="H4424" s="2" t="s">
        <v>40</v>
      </c>
      <c r="I4424" s="2" t="s">
        <v>3375</v>
      </c>
      <c r="L4424" s="2" t="s">
        <v>201</v>
      </c>
      <c r="M4424" s="2" t="s">
        <v>80</v>
      </c>
      <c r="P4424" s="2" t="s">
        <v>72</v>
      </c>
      <c r="Q4424" s="16" t="s">
        <v>73</v>
      </c>
      <c r="R4424" s="15" t="s">
        <v>74</v>
      </c>
      <c r="S4424" s="13">
        <v>1</v>
      </c>
      <c r="T4424" s="14">
        <v>230</v>
      </c>
      <c r="U4424" s="2">
        <f t="shared" si="690"/>
        <v>52.900000000000006</v>
      </c>
      <c r="V4424" s="2">
        <f t="shared" si="691"/>
        <v>282.89999999999998</v>
      </c>
      <c r="W4424" s="2">
        <v>125.51600000000001</v>
      </c>
      <c r="X4424" s="5">
        <f t="shared" si="692"/>
        <v>0.45427826086956519</v>
      </c>
      <c r="Z4424" s="2" t="s">
        <v>3227</v>
      </c>
      <c r="AA4424" s="2" t="s">
        <v>75</v>
      </c>
      <c r="AB4424" s="2" t="s">
        <v>76</v>
      </c>
      <c r="AC4424" s="2" t="s">
        <v>77</v>
      </c>
      <c r="AK4424" s="2">
        <f t="shared" si="687"/>
        <v>104.48399999999999</v>
      </c>
      <c r="AL4424" s="5">
        <f t="shared" si="693"/>
        <v>0.45427826086956519</v>
      </c>
    </row>
    <row r="4425" spans="1:38" x14ac:dyDescent="0.2">
      <c r="A4425" s="2">
        <v>2026</v>
      </c>
      <c r="B4425" s="2">
        <v>7</v>
      </c>
      <c r="C4425" s="2" t="s">
        <v>3296</v>
      </c>
      <c r="D4425" s="15" t="s">
        <v>3344</v>
      </c>
      <c r="E4425" s="2" t="s">
        <v>38</v>
      </c>
      <c r="F4425" s="2" t="s">
        <v>39</v>
      </c>
      <c r="H4425" s="2" t="s">
        <v>40</v>
      </c>
      <c r="I4425" s="2" t="s">
        <v>3375</v>
      </c>
      <c r="L4425" s="2" t="s">
        <v>201</v>
      </c>
      <c r="M4425" s="2" t="s">
        <v>80</v>
      </c>
      <c r="P4425" s="2" t="s">
        <v>93</v>
      </c>
      <c r="Q4425" s="16" t="s">
        <v>94</v>
      </c>
      <c r="R4425" s="15" t="s">
        <v>95</v>
      </c>
      <c r="S4425" s="13">
        <v>1</v>
      </c>
      <c r="T4425" s="14">
        <v>1.48</v>
      </c>
      <c r="U4425" s="2">
        <f t="shared" si="690"/>
        <v>0.34040000000000004</v>
      </c>
      <c r="V4425" s="2">
        <f t="shared" si="691"/>
        <v>1.8204</v>
      </c>
      <c r="W4425" s="2">
        <v>1.48</v>
      </c>
      <c r="X4425" s="5">
        <f t="shared" si="692"/>
        <v>0</v>
      </c>
      <c r="Z4425" s="2" t="s">
        <v>3227</v>
      </c>
      <c r="AA4425" s="2" t="s">
        <v>96</v>
      </c>
      <c r="AB4425" s="2" t="s">
        <v>76</v>
      </c>
      <c r="AC4425" s="2" t="s">
        <v>93</v>
      </c>
      <c r="AK4425" s="2">
        <f t="shared" si="687"/>
        <v>0</v>
      </c>
      <c r="AL4425" s="5">
        <f t="shared" si="693"/>
        <v>0</v>
      </c>
    </row>
    <row r="4426" spans="1:38" x14ac:dyDescent="0.2">
      <c r="A4426" s="2">
        <v>2026</v>
      </c>
      <c r="B4426" s="2">
        <v>7</v>
      </c>
      <c r="C4426" s="2" t="s">
        <v>3296</v>
      </c>
      <c r="D4426" s="15" t="s">
        <v>1312</v>
      </c>
      <c r="E4426" s="2" t="s">
        <v>38</v>
      </c>
      <c r="F4426" s="2" t="s">
        <v>39</v>
      </c>
      <c r="G4426" s="2">
        <v>509512739</v>
      </c>
      <c r="H4426" s="2" t="s">
        <v>41</v>
      </c>
      <c r="I4426" s="2" t="s">
        <v>177</v>
      </c>
      <c r="J4426" s="2" t="s">
        <v>1313</v>
      </c>
      <c r="L4426" s="2" t="s">
        <v>177</v>
      </c>
      <c r="M4426" s="2" t="s">
        <v>41</v>
      </c>
      <c r="O4426" s="2" t="s">
        <v>3374</v>
      </c>
      <c r="P4426" s="2" t="s">
        <v>43</v>
      </c>
      <c r="Q4426" s="16" t="s">
        <v>158</v>
      </c>
      <c r="R4426" s="15" t="s">
        <v>159</v>
      </c>
      <c r="S4426" s="13">
        <v>1</v>
      </c>
      <c r="T4426" s="14">
        <v>21</v>
      </c>
      <c r="U4426" s="2">
        <f t="shared" si="690"/>
        <v>4.83</v>
      </c>
      <c r="V4426" s="2">
        <f t="shared" si="691"/>
        <v>25.83</v>
      </c>
      <c r="W4426" s="2">
        <f>9.3*S4426</f>
        <v>9.3000000000000007</v>
      </c>
      <c r="X4426" s="5">
        <f t="shared" si="692"/>
        <v>0.55714285714285716</v>
      </c>
      <c r="Z4426" s="2" t="s">
        <v>3227</v>
      </c>
      <c r="AA4426" s="2" t="s">
        <v>46</v>
      </c>
      <c r="AB4426" s="2" t="s">
        <v>47</v>
      </c>
      <c r="AC4426" s="2" t="s">
        <v>57</v>
      </c>
      <c r="AK4426" s="2">
        <f t="shared" si="687"/>
        <v>11.7</v>
      </c>
      <c r="AL4426" s="5">
        <f t="shared" si="693"/>
        <v>0.55714285714285716</v>
      </c>
    </row>
    <row r="4427" spans="1:38" x14ac:dyDescent="0.2">
      <c r="A4427" s="2">
        <v>2026</v>
      </c>
      <c r="B4427" s="2">
        <v>7</v>
      </c>
      <c r="C4427" s="2" t="s">
        <v>3296</v>
      </c>
      <c r="D4427" s="15" t="s">
        <v>1312</v>
      </c>
      <c r="E4427" s="2" t="s">
        <v>38</v>
      </c>
      <c r="F4427" s="2" t="s">
        <v>39</v>
      </c>
      <c r="G4427" s="2">
        <v>509512739</v>
      </c>
      <c r="H4427" s="2" t="s">
        <v>41</v>
      </c>
      <c r="I4427" s="2" t="s">
        <v>177</v>
      </c>
      <c r="J4427" s="2" t="s">
        <v>1313</v>
      </c>
      <c r="L4427" s="2" t="s">
        <v>177</v>
      </c>
      <c r="M4427" s="2" t="s">
        <v>41</v>
      </c>
      <c r="O4427" s="2" t="s">
        <v>3374</v>
      </c>
      <c r="P4427" s="2" t="s">
        <v>43</v>
      </c>
      <c r="Q4427" s="16" t="s">
        <v>54</v>
      </c>
      <c r="R4427" s="15" t="s">
        <v>55</v>
      </c>
      <c r="S4427" s="13">
        <v>2</v>
      </c>
      <c r="T4427" s="14">
        <v>36</v>
      </c>
      <c r="U4427" s="2">
        <f t="shared" si="690"/>
        <v>8.2800000000000011</v>
      </c>
      <c r="V4427" s="2">
        <f t="shared" si="691"/>
        <v>44.28</v>
      </c>
      <c r="W4427" s="2">
        <f>10.6*S4427</f>
        <v>21.2</v>
      </c>
      <c r="X4427" s="5">
        <f t="shared" si="692"/>
        <v>0.41111111111111115</v>
      </c>
      <c r="Z4427" s="2" t="s">
        <v>3227</v>
      </c>
      <c r="AA4427" s="2" t="s">
        <v>46</v>
      </c>
      <c r="AB4427" s="2" t="s">
        <v>56</v>
      </c>
      <c r="AC4427" s="2" t="s">
        <v>57</v>
      </c>
      <c r="AK4427" s="2">
        <f t="shared" si="687"/>
        <v>14.8</v>
      </c>
      <c r="AL4427" s="5">
        <f t="shared" si="693"/>
        <v>0.41111111111111115</v>
      </c>
    </row>
    <row r="4428" spans="1:38" x14ac:dyDescent="0.2">
      <c r="A4428" s="2">
        <v>2026</v>
      </c>
      <c r="B4428" s="2">
        <v>7</v>
      </c>
      <c r="C4428" s="2" t="s">
        <v>3296</v>
      </c>
      <c r="D4428" s="15" t="s">
        <v>1312</v>
      </c>
      <c r="E4428" s="2" t="s">
        <v>38</v>
      </c>
      <c r="F4428" s="2" t="s">
        <v>39</v>
      </c>
      <c r="G4428" s="2">
        <v>509512739</v>
      </c>
      <c r="H4428" s="2" t="s">
        <v>41</v>
      </c>
      <c r="I4428" s="2" t="s">
        <v>177</v>
      </c>
      <c r="J4428" s="2" t="s">
        <v>1313</v>
      </c>
      <c r="L4428" s="2" t="s">
        <v>177</v>
      </c>
      <c r="M4428" s="2" t="s">
        <v>41</v>
      </c>
      <c r="O4428" s="2" t="s">
        <v>3374</v>
      </c>
      <c r="P4428" s="2" t="s">
        <v>43</v>
      </c>
      <c r="Q4428" s="16" t="s">
        <v>254</v>
      </c>
      <c r="R4428" s="15" t="s">
        <v>255</v>
      </c>
      <c r="S4428" s="13">
        <v>100</v>
      </c>
      <c r="T4428" s="14">
        <v>14</v>
      </c>
      <c r="U4428" s="2">
        <f t="shared" si="690"/>
        <v>3.22</v>
      </c>
      <c r="V4428" s="2">
        <f t="shared" si="691"/>
        <v>17.22</v>
      </c>
      <c r="W4428" s="2">
        <f>0.0914*S4428</f>
        <v>9.1399999999999988</v>
      </c>
      <c r="X4428" s="5">
        <f t="shared" si="692"/>
        <v>0.34714285714285725</v>
      </c>
      <c r="Z4428" s="2" t="s">
        <v>3227</v>
      </c>
      <c r="AA4428" s="2" t="s">
        <v>46</v>
      </c>
      <c r="AB4428" s="2" t="s">
        <v>60</v>
      </c>
      <c r="AC4428" s="2" t="s">
        <v>57</v>
      </c>
      <c r="AK4428" s="2">
        <f t="shared" si="687"/>
        <v>4.8600000000000012</v>
      </c>
      <c r="AL4428" s="5">
        <f t="shared" si="693"/>
        <v>0.34714285714285725</v>
      </c>
    </row>
    <row r="4429" spans="1:38" x14ac:dyDescent="0.2">
      <c r="A4429" s="2">
        <v>2026</v>
      </c>
      <c r="B4429" s="2">
        <v>7</v>
      </c>
      <c r="C4429" s="2" t="s">
        <v>3295</v>
      </c>
      <c r="D4429" s="15" t="s">
        <v>1125</v>
      </c>
      <c r="E4429" s="2" t="s">
        <v>108</v>
      </c>
      <c r="F4429" s="2" t="s">
        <v>39</v>
      </c>
      <c r="L4429" s="2" t="s">
        <v>461</v>
      </c>
      <c r="M4429" s="2" t="s">
        <v>40</v>
      </c>
      <c r="O4429" s="2" t="s">
        <v>3373</v>
      </c>
      <c r="P4429" s="2" t="s">
        <v>114</v>
      </c>
      <c r="Q4429" s="16" t="s">
        <v>3363</v>
      </c>
      <c r="R4429" s="15" t="s">
        <v>3364</v>
      </c>
      <c r="S4429" s="13">
        <v>12</v>
      </c>
      <c r="T4429" s="14">
        <v>157.75</v>
      </c>
      <c r="U4429" s="2">
        <f t="shared" si="690"/>
        <v>36.282499999999999</v>
      </c>
      <c r="V4429" s="2">
        <f t="shared" si="691"/>
        <v>194.0325</v>
      </c>
      <c r="W4429" s="2">
        <f>6.26*S4429</f>
        <v>75.12</v>
      </c>
      <c r="X4429" s="5">
        <f t="shared" si="692"/>
        <v>0.52380348652931852</v>
      </c>
      <c r="Z4429" s="2" t="s">
        <v>117</v>
      </c>
      <c r="AA4429" s="2" t="s">
        <v>118</v>
      </c>
      <c r="AB4429" s="2" t="s">
        <v>119</v>
      </c>
      <c r="AC4429" s="2" t="s">
        <v>114</v>
      </c>
      <c r="AK4429" s="2">
        <f t="shared" si="687"/>
        <v>82.63</v>
      </c>
      <c r="AL4429" s="5">
        <f t="shared" si="693"/>
        <v>0.52380348652931852</v>
      </c>
    </row>
    <row r="4430" spans="1:38" x14ac:dyDescent="0.2">
      <c r="A4430" s="2">
        <v>2026</v>
      </c>
      <c r="B4430" s="2">
        <v>7</v>
      </c>
      <c r="C4430" s="2" t="s">
        <v>3295</v>
      </c>
      <c r="D4430" s="15" t="s">
        <v>1125</v>
      </c>
      <c r="E4430" s="2" t="s">
        <v>108</v>
      </c>
      <c r="F4430" s="2" t="s">
        <v>39</v>
      </c>
      <c r="L4430" s="2" t="s">
        <v>461</v>
      </c>
      <c r="M4430" s="2" t="s">
        <v>40</v>
      </c>
      <c r="O4430" s="2" t="s">
        <v>3373</v>
      </c>
      <c r="P4430" s="2" t="s">
        <v>114</v>
      </c>
      <c r="Q4430" s="16" t="s">
        <v>3365</v>
      </c>
      <c r="R4430" s="15" t="s">
        <v>3366</v>
      </c>
      <c r="S4430" s="13">
        <v>2</v>
      </c>
      <c r="T4430" s="14">
        <v>571.12</v>
      </c>
      <c r="U4430" s="2">
        <f t="shared" si="690"/>
        <v>131.35760000000002</v>
      </c>
      <c r="V4430" s="2">
        <f t="shared" si="691"/>
        <v>702.47760000000005</v>
      </c>
      <c r="W4430" s="2">
        <f>135.98+1.76*S4430</f>
        <v>139.5</v>
      </c>
      <c r="X4430" s="5">
        <f t="shared" si="692"/>
        <v>0.75574310127468836</v>
      </c>
      <c r="Z4430" s="2" t="s">
        <v>117</v>
      </c>
      <c r="AA4430" s="2" t="s">
        <v>118</v>
      </c>
      <c r="AB4430" s="2" t="s">
        <v>119</v>
      </c>
      <c r="AC4430" s="2" t="s">
        <v>114</v>
      </c>
      <c r="AK4430" s="2">
        <f t="shared" si="687"/>
        <v>431.62</v>
      </c>
      <c r="AL4430" s="5">
        <f t="shared" si="693"/>
        <v>0.75574310127468836</v>
      </c>
    </row>
    <row r="4431" spans="1:38" x14ac:dyDescent="0.2">
      <c r="A4431" s="2">
        <v>2026</v>
      </c>
      <c r="B4431" s="2">
        <v>7</v>
      </c>
      <c r="C4431" s="2" t="s">
        <v>3295</v>
      </c>
      <c r="D4431" s="15" t="s">
        <v>1125</v>
      </c>
      <c r="E4431" s="2" t="s">
        <v>108</v>
      </c>
      <c r="F4431" s="2" t="s">
        <v>39</v>
      </c>
      <c r="L4431" s="2" t="s">
        <v>461</v>
      </c>
      <c r="M4431" s="2" t="s">
        <v>40</v>
      </c>
      <c r="O4431" s="2" t="s">
        <v>3373</v>
      </c>
      <c r="P4431" s="2" t="s">
        <v>114</v>
      </c>
      <c r="Q4431" s="16" t="s">
        <v>3367</v>
      </c>
      <c r="R4431" s="15" t="s">
        <v>3368</v>
      </c>
      <c r="S4431" s="13">
        <v>16</v>
      </c>
      <c r="T4431" s="14">
        <v>117.6</v>
      </c>
      <c r="U4431" s="2">
        <f t="shared" si="690"/>
        <v>27.047999999999998</v>
      </c>
      <c r="V4431" s="2">
        <f t="shared" si="691"/>
        <v>144.648</v>
      </c>
      <c r="W4431" s="2">
        <f>3.5+5*S4431</f>
        <v>83.5</v>
      </c>
      <c r="X4431" s="5">
        <f t="shared" si="692"/>
        <v>0.28996598639455778</v>
      </c>
      <c r="Z4431" s="2" t="s">
        <v>117</v>
      </c>
      <c r="AA4431" s="2" t="s">
        <v>118</v>
      </c>
      <c r="AB4431" s="2" t="s">
        <v>119</v>
      </c>
      <c r="AC4431" s="2" t="s">
        <v>114</v>
      </c>
      <c r="AK4431" s="2">
        <f t="shared" si="687"/>
        <v>34.099999999999994</v>
      </c>
      <c r="AL4431" s="5">
        <f t="shared" si="693"/>
        <v>0.28996598639455778</v>
      </c>
    </row>
    <row r="4432" spans="1:38" x14ac:dyDescent="0.2">
      <c r="A4432" s="2">
        <v>2026</v>
      </c>
      <c r="B4432" s="2">
        <v>7</v>
      </c>
      <c r="C4432" s="2" t="s">
        <v>3425</v>
      </c>
      <c r="D4432" s="2" t="s">
        <v>37</v>
      </c>
      <c r="E4432" s="2" t="s">
        <v>38</v>
      </c>
      <c r="F4432" s="2" t="s">
        <v>39</v>
      </c>
      <c r="L4432" s="2" t="s">
        <v>3270</v>
      </c>
      <c r="M4432" s="2" t="s">
        <v>80</v>
      </c>
      <c r="P4432" s="2" t="s">
        <v>43</v>
      </c>
      <c r="Q4432" s="23" t="s">
        <v>54</v>
      </c>
      <c r="R4432" s="23" t="s">
        <v>55</v>
      </c>
      <c r="S4432" s="21">
        <v>3</v>
      </c>
      <c r="T4432" s="22">
        <v>48</v>
      </c>
      <c r="U4432" s="2">
        <f t="shared" si="690"/>
        <v>11.040000000000001</v>
      </c>
      <c r="V4432" s="2">
        <f t="shared" si="691"/>
        <v>59.04</v>
      </c>
      <c r="W4432" s="2">
        <f>10.6*S4432</f>
        <v>31.799999999999997</v>
      </c>
      <c r="X4432" s="5">
        <f t="shared" si="692"/>
        <v>0.33750000000000008</v>
      </c>
      <c r="Z4432" s="2" t="s">
        <v>3227</v>
      </c>
      <c r="AA4432" s="2" t="s">
        <v>46</v>
      </c>
      <c r="AB4432" s="2" t="s">
        <v>56</v>
      </c>
      <c r="AC4432" s="2" t="s">
        <v>57</v>
      </c>
      <c r="AK4432" s="2">
        <f t="shared" si="687"/>
        <v>16.200000000000003</v>
      </c>
      <c r="AL4432" s="5">
        <f t="shared" si="693"/>
        <v>0.33750000000000008</v>
      </c>
    </row>
    <row r="4433" spans="1:38" x14ac:dyDescent="0.2">
      <c r="A4433" s="2">
        <v>2026</v>
      </c>
      <c r="B4433" s="2">
        <v>7</v>
      </c>
      <c r="C4433" s="2" t="s">
        <v>3425</v>
      </c>
      <c r="D4433" s="2" t="s">
        <v>37</v>
      </c>
      <c r="E4433" s="2" t="s">
        <v>38</v>
      </c>
      <c r="F4433" s="2" t="s">
        <v>39</v>
      </c>
      <c r="L4433" s="2" t="s">
        <v>3270</v>
      </c>
      <c r="M4433" s="2" t="s">
        <v>80</v>
      </c>
      <c r="P4433" s="2" t="s">
        <v>43</v>
      </c>
      <c r="Q4433" s="23" t="s">
        <v>61</v>
      </c>
      <c r="R4433" s="23" t="s">
        <v>62</v>
      </c>
      <c r="S4433" s="21">
        <v>700</v>
      </c>
      <c r="T4433" s="22">
        <v>70</v>
      </c>
      <c r="U4433" s="2">
        <f t="shared" si="690"/>
        <v>16.100000000000001</v>
      </c>
      <c r="V4433" s="2">
        <f t="shared" si="691"/>
        <v>86.1</v>
      </c>
      <c r="W4433" s="2">
        <f>0.082*S4433</f>
        <v>57.400000000000006</v>
      </c>
      <c r="X4433" s="5">
        <f t="shared" si="692"/>
        <v>0.17999999999999991</v>
      </c>
      <c r="Z4433" s="2" t="s">
        <v>3227</v>
      </c>
      <c r="AA4433" s="2" t="s">
        <v>46</v>
      </c>
      <c r="AB4433" s="2" t="s">
        <v>60</v>
      </c>
      <c r="AC4433" s="2" t="s">
        <v>57</v>
      </c>
      <c r="AK4433" s="2">
        <f t="shared" si="687"/>
        <v>12.599999999999994</v>
      </c>
      <c r="AL4433" s="5">
        <f t="shared" si="693"/>
        <v>0.17999999999999991</v>
      </c>
    </row>
    <row r="4434" spans="1:38" x14ac:dyDescent="0.2">
      <c r="A4434" s="2">
        <v>2026</v>
      </c>
      <c r="B4434" s="2">
        <v>7</v>
      </c>
      <c r="C4434" s="2" t="s">
        <v>3425</v>
      </c>
      <c r="D4434" s="23" t="s">
        <v>1543</v>
      </c>
      <c r="E4434" s="2" t="s">
        <v>108</v>
      </c>
      <c r="F4434" s="2" t="s">
        <v>39</v>
      </c>
      <c r="L4434" s="2" t="s">
        <v>177</v>
      </c>
      <c r="M4434" s="2" t="s">
        <v>40</v>
      </c>
      <c r="P4434" s="2" t="s">
        <v>114</v>
      </c>
      <c r="Q4434" s="23" t="s">
        <v>561</v>
      </c>
      <c r="R4434" s="23" t="s">
        <v>562</v>
      </c>
      <c r="S4434" s="21">
        <v>1</v>
      </c>
      <c r="T4434" s="22">
        <v>14.29</v>
      </c>
      <c r="U4434" s="2">
        <f t="shared" si="690"/>
        <v>3.2866999999999997</v>
      </c>
      <c r="V4434" s="2">
        <f t="shared" si="691"/>
        <v>17.576699999999999</v>
      </c>
      <c r="W4434" s="2">
        <v>5.3525</v>
      </c>
      <c r="X4434" s="5">
        <f t="shared" si="692"/>
        <v>0.62543736878936318</v>
      </c>
      <c r="Z4434" s="2" t="s">
        <v>117</v>
      </c>
      <c r="AA4434" s="2" t="s">
        <v>118</v>
      </c>
      <c r="AB4434" s="2" t="s">
        <v>119</v>
      </c>
      <c r="AC4434" s="2" t="s">
        <v>114</v>
      </c>
      <c r="AK4434" s="2">
        <f t="shared" si="687"/>
        <v>8.9375</v>
      </c>
      <c r="AL4434" s="5">
        <f t="shared" si="693"/>
        <v>0.62543736878936318</v>
      </c>
    </row>
    <row r="4435" spans="1:38" x14ac:dyDescent="0.2">
      <c r="A4435" s="2">
        <v>2026</v>
      </c>
      <c r="B4435" s="2">
        <v>7</v>
      </c>
      <c r="C4435" s="2" t="s">
        <v>3425</v>
      </c>
      <c r="D4435" s="23" t="s">
        <v>2774</v>
      </c>
      <c r="E4435" s="2" t="s">
        <v>108</v>
      </c>
      <c r="F4435" s="2" t="s">
        <v>39</v>
      </c>
      <c r="L4435" s="2" t="s">
        <v>2438</v>
      </c>
      <c r="M4435" s="2" t="s">
        <v>40</v>
      </c>
      <c r="P4435" s="2" t="s">
        <v>114</v>
      </c>
      <c r="Q4435" s="23" t="s">
        <v>467</v>
      </c>
      <c r="R4435" s="23" t="s">
        <v>468</v>
      </c>
      <c r="S4435" s="21">
        <v>1</v>
      </c>
      <c r="T4435" s="22">
        <v>418.99</v>
      </c>
      <c r="U4435" s="2">
        <f t="shared" si="690"/>
        <v>96.367699999999999</v>
      </c>
      <c r="V4435" s="2">
        <f t="shared" si="691"/>
        <v>515.35770000000002</v>
      </c>
      <c r="W4435" s="2">
        <v>237.8466</v>
      </c>
      <c r="X4435" s="5">
        <f t="shared" si="692"/>
        <v>0.43233346857920241</v>
      </c>
      <c r="Z4435" s="2" t="s">
        <v>117</v>
      </c>
      <c r="AA4435" s="2" t="s">
        <v>118</v>
      </c>
      <c r="AB4435" s="2" t="s">
        <v>119</v>
      </c>
      <c r="AC4435" s="2" t="s">
        <v>114</v>
      </c>
      <c r="AK4435" s="2">
        <f t="shared" si="687"/>
        <v>181.14340000000001</v>
      </c>
      <c r="AL4435" s="5">
        <f t="shared" si="693"/>
        <v>0.43233346857920241</v>
      </c>
    </row>
    <row r="4436" spans="1:38" x14ac:dyDescent="0.2">
      <c r="A4436" s="2">
        <v>2026</v>
      </c>
      <c r="B4436" s="2">
        <v>7</v>
      </c>
      <c r="C4436" s="2" t="s">
        <v>3425</v>
      </c>
      <c r="D4436" s="23" t="s">
        <v>2774</v>
      </c>
      <c r="E4436" s="2" t="s">
        <v>108</v>
      </c>
      <c r="F4436" s="2" t="s">
        <v>39</v>
      </c>
      <c r="L4436" s="2" t="s">
        <v>2438</v>
      </c>
      <c r="M4436" s="2" t="s">
        <v>40</v>
      </c>
      <c r="P4436" s="2" t="s">
        <v>187</v>
      </c>
      <c r="Q4436" s="23" t="s">
        <v>188</v>
      </c>
      <c r="R4436" s="23" t="s">
        <v>189</v>
      </c>
      <c r="S4436" s="21">
        <v>1</v>
      </c>
      <c r="T4436" s="22">
        <v>99</v>
      </c>
      <c r="U4436" s="2">
        <f t="shared" si="690"/>
        <v>22.77</v>
      </c>
      <c r="V4436" s="2">
        <f t="shared" si="691"/>
        <v>121.77</v>
      </c>
      <c r="W4436" s="2">
        <f>T4436*40%</f>
        <v>39.6</v>
      </c>
      <c r="X4436" s="5">
        <f t="shared" si="692"/>
        <v>0.6</v>
      </c>
      <c r="Z4436" s="2" t="s">
        <v>117</v>
      </c>
      <c r="AA4436" s="2" t="s">
        <v>190</v>
      </c>
      <c r="AB4436" s="2" t="s">
        <v>189</v>
      </c>
      <c r="AC4436" s="2" t="s">
        <v>40</v>
      </c>
      <c r="AK4436" s="2">
        <f t="shared" si="687"/>
        <v>59.4</v>
      </c>
      <c r="AL4436" s="5">
        <f t="shared" si="693"/>
        <v>0.6</v>
      </c>
    </row>
    <row r="4437" spans="1:38" x14ac:dyDescent="0.2">
      <c r="A4437" s="2">
        <v>2026</v>
      </c>
      <c r="B4437" s="2">
        <v>7</v>
      </c>
      <c r="C4437" s="2" t="s">
        <v>3425</v>
      </c>
      <c r="D4437" s="23" t="s">
        <v>2774</v>
      </c>
      <c r="E4437" s="2" t="s">
        <v>108</v>
      </c>
      <c r="F4437" s="2" t="s">
        <v>39</v>
      </c>
      <c r="L4437" s="2" t="s">
        <v>2438</v>
      </c>
      <c r="M4437" s="2" t="s">
        <v>40</v>
      </c>
      <c r="P4437" s="2" t="s">
        <v>187</v>
      </c>
      <c r="Q4437" s="23" t="s">
        <v>191</v>
      </c>
      <c r="R4437" s="23" t="s">
        <v>190</v>
      </c>
      <c r="S4437" s="21">
        <v>1</v>
      </c>
      <c r="T4437" s="22">
        <v>49.5</v>
      </c>
      <c r="U4437" s="2">
        <f t="shared" si="690"/>
        <v>11.385</v>
      </c>
      <c r="V4437" s="2">
        <f t="shared" si="691"/>
        <v>60.884999999999998</v>
      </c>
      <c r="W4437" s="2">
        <f>T4437*50%</f>
        <v>24.75</v>
      </c>
      <c r="X4437" s="5">
        <f t="shared" si="692"/>
        <v>0.5</v>
      </c>
      <c r="Z4437" s="2" t="s">
        <v>117</v>
      </c>
      <c r="AA4437" s="2" t="s">
        <v>190</v>
      </c>
      <c r="AB4437" s="2" t="s">
        <v>190</v>
      </c>
      <c r="AC4437" s="2" t="s">
        <v>40</v>
      </c>
      <c r="AK4437" s="2">
        <f t="shared" si="687"/>
        <v>24.75</v>
      </c>
      <c r="AL4437" s="5">
        <f t="shared" si="693"/>
        <v>0.5</v>
      </c>
    </row>
    <row r="4438" spans="1:38" x14ac:dyDescent="0.2">
      <c r="A4438" s="2">
        <v>2026</v>
      </c>
      <c r="B4438" s="2">
        <v>7</v>
      </c>
      <c r="C4438" s="2" t="s">
        <v>3425</v>
      </c>
      <c r="D4438" s="23" t="s">
        <v>1573</v>
      </c>
      <c r="E4438" s="2" t="s">
        <v>752</v>
      </c>
      <c r="F4438" s="2" t="s">
        <v>39</v>
      </c>
      <c r="L4438" s="2" t="s">
        <v>461</v>
      </c>
      <c r="M4438" s="2" t="s">
        <v>109</v>
      </c>
      <c r="P4438" s="2" t="s">
        <v>282</v>
      </c>
      <c r="Q4438" s="23" t="s">
        <v>2997</v>
      </c>
      <c r="R4438" s="23" t="s">
        <v>2998</v>
      </c>
      <c r="S4438" s="21">
        <v>1</v>
      </c>
      <c r="T4438" s="22">
        <v>1130.5</v>
      </c>
      <c r="U4438" s="2">
        <f t="shared" si="690"/>
        <v>260.01499999999999</v>
      </c>
      <c r="V4438" s="2">
        <f t="shared" si="691"/>
        <v>1390.5149999999999</v>
      </c>
      <c r="W4438" s="2">
        <v>773.5</v>
      </c>
      <c r="X4438" s="5">
        <f t="shared" si="692"/>
        <v>0.31578947368421051</v>
      </c>
      <c r="Z4438" s="2" t="s">
        <v>104</v>
      </c>
      <c r="AA4438" s="2" t="s">
        <v>181</v>
      </c>
      <c r="AB4438" s="2" t="s">
        <v>119</v>
      </c>
      <c r="AC4438" s="2" t="s">
        <v>1327</v>
      </c>
      <c r="AK4438" s="2">
        <f t="shared" si="687"/>
        <v>357</v>
      </c>
      <c r="AL4438" s="5">
        <f t="shared" si="693"/>
        <v>0.31578947368421051</v>
      </c>
    </row>
    <row r="4439" spans="1:38" x14ac:dyDescent="0.2">
      <c r="A4439" s="2">
        <v>2026</v>
      </c>
      <c r="B4439" s="2">
        <v>7</v>
      </c>
      <c r="C4439" s="2" t="s">
        <v>3425</v>
      </c>
      <c r="D4439" s="23" t="s">
        <v>840</v>
      </c>
      <c r="E4439" s="2" t="s">
        <v>108</v>
      </c>
      <c r="F4439" s="2" t="s">
        <v>531</v>
      </c>
      <c r="G4439" s="2">
        <v>504981285</v>
      </c>
      <c r="H4439" s="2" t="s">
        <v>290</v>
      </c>
      <c r="I4439" s="2" t="s">
        <v>841</v>
      </c>
      <c r="J4439" s="2" t="s">
        <v>842</v>
      </c>
      <c r="K4439" s="2">
        <v>932209225</v>
      </c>
      <c r="L4439" s="2" t="s">
        <v>339</v>
      </c>
      <c r="M4439" s="2" t="s">
        <v>40</v>
      </c>
      <c r="P4439" s="2" t="s">
        <v>187</v>
      </c>
      <c r="Q4439" s="23" t="s">
        <v>188</v>
      </c>
      <c r="R4439" s="23" t="s">
        <v>189</v>
      </c>
      <c r="S4439" s="21">
        <v>1</v>
      </c>
      <c r="T4439" s="22">
        <v>60</v>
      </c>
      <c r="U4439" s="2">
        <f t="shared" si="690"/>
        <v>13.8</v>
      </c>
      <c r="V4439" s="2">
        <f t="shared" si="691"/>
        <v>73.8</v>
      </c>
      <c r="W4439" s="2">
        <f>T4439*40%</f>
        <v>24</v>
      </c>
      <c r="X4439" s="5">
        <f t="shared" si="692"/>
        <v>0.6</v>
      </c>
      <c r="Z4439" s="2" t="s">
        <v>117</v>
      </c>
      <c r="AA4439" s="2" t="s">
        <v>190</v>
      </c>
      <c r="AB4439" s="2" t="s">
        <v>189</v>
      </c>
      <c r="AC4439" s="2" t="s">
        <v>40</v>
      </c>
      <c r="AK4439" s="2">
        <f t="shared" si="687"/>
        <v>36</v>
      </c>
      <c r="AL4439" s="5">
        <f t="shared" si="693"/>
        <v>0.6</v>
      </c>
    </row>
    <row r="4440" spans="1:38" x14ac:dyDescent="0.2">
      <c r="A4440" s="2">
        <v>2026</v>
      </c>
      <c r="B4440" s="2">
        <v>7</v>
      </c>
      <c r="C4440" s="2" t="s">
        <v>3425</v>
      </c>
      <c r="D4440" s="23" t="s">
        <v>840</v>
      </c>
      <c r="E4440" s="2" t="s">
        <v>108</v>
      </c>
      <c r="F4440" s="2" t="s">
        <v>531</v>
      </c>
      <c r="G4440" s="2">
        <v>504981285</v>
      </c>
      <c r="H4440" s="2" t="s">
        <v>290</v>
      </c>
      <c r="I4440" s="2" t="s">
        <v>841</v>
      </c>
      <c r="J4440" s="2" t="s">
        <v>842</v>
      </c>
      <c r="K4440" s="2">
        <v>932209225</v>
      </c>
      <c r="L4440" s="2" t="s">
        <v>339</v>
      </c>
      <c r="M4440" s="2" t="s">
        <v>40</v>
      </c>
      <c r="P4440" s="2" t="s">
        <v>187</v>
      </c>
      <c r="Q4440" s="23" t="s">
        <v>191</v>
      </c>
      <c r="R4440" s="23" t="s">
        <v>190</v>
      </c>
      <c r="S4440" s="21">
        <v>2</v>
      </c>
      <c r="T4440" s="22">
        <v>110</v>
      </c>
      <c r="U4440" s="2">
        <f t="shared" si="690"/>
        <v>25.3</v>
      </c>
      <c r="V4440" s="2">
        <f t="shared" si="691"/>
        <v>135.30000000000001</v>
      </c>
      <c r="W4440" s="2">
        <f>T4440*50%</f>
        <v>55</v>
      </c>
      <c r="X4440" s="5">
        <f t="shared" si="692"/>
        <v>0.5</v>
      </c>
      <c r="Z4440" s="2" t="s">
        <v>117</v>
      </c>
      <c r="AA4440" s="2" t="s">
        <v>190</v>
      </c>
      <c r="AB4440" s="2" t="s">
        <v>190</v>
      </c>
      <c r="AC4440" s="2" t="s">
        <v>40</v>
      </c>
      <c r="AK4440" s="2">
        <f t="shared" si="687"/>
        <v>55</v>
      </c>
      <c r="AL4440" s="5">
        <f t="shared" si="693"/>
        <v>0.5</v>
      </c>
    </row>
    <row r="4441" spans="1:38" x14ac:dyDescent="0.2">
      <c r="A4441" s="2">
        <v>2026</v>
      </c>
      <c r="B4441" s="2">
        <v>7</v>
      </c>
      <c r="C4441" s="2" t="s">
        <v>3425</v>
      </c>
      <c r="D4441" s="23" t="s">
        <v>1622</v>
      </c>
      <c r="E4441" s="2" t="s">
        <v>108</v>
      </c>
      <c r="F4441" s="2" t="s">
        <v>477</v>
      </c>
      <c r="G4441" s="2">
        <v>504161342</v>
      </c>
      <c r="H4441" s="2" t="s">
        <v>290</v>
      </c>
      <c r="I4441" s="2" t="s">
        <v>1623</v>
      </c>
      <c r="J4441" s="2" t="s">
        <v>1624</v>
      </c>
      <c r="L4441" s="2" t="s">
        <v>293</v>
      </c>
      <c r="M4441" s="2" t="s">
        <v>80</v>
      </c>
      <c r="P4441" s="2" t="s">
        <v>72</v>
      </c>
      <c r="Q4441" s="23" t="s">
        <v>306</v>
      </c>
      <c r="R4441" s="23" t="s">
        <v>307</v>
      </c>
      <c r="S4441" s="21">
        <v>1</v>
      </c>
      <c r="T4441" s="22">
        <v>230</v>
      </c>
      <c r="U4441" s="2">
        <f t="shared" si="690"/>
        <v>52.900000000000006</v>
      </c>
      <c r="V4441" s="2">
        <f t="shared" si="691"/>
        <v>282.89999999999998</v>
      </c>
      <c r="W4441" s="2">
        <v>134.57</v>
      </c>
      <c r="X4441" s="5">
        <f t="shared" si="692"/>
        <v>0.41491304347826091</v>
      </c>
      <c r="Z4441" s="2" t="s">
        <v>3227</v>
      </c>
      <c r="AA4441" s="2" t="s">
        <v>75</v>
      </c>
      <c r="AB4441" s="2" t="s">
        <v>76</v>
      </c>
      <c r="AC4441" s="2" t="s">
        <v>77</v>
      </c>
      <c r="AK4441" s="2">
        <f t="shared" si="687"/>
        <v>95.43</v>
      </c>
      <c r="AL4441" s="5">
        <f t="shared" si="693"/>
        <v>0.41491304347826091</v>
      </c>
    </row>
    <row r="4442" spans="1:38" x14ac:dyDescent="0.2">
      <c r="A4442" s="2">
        <v>2026</v>
      </c>
      <c r="B4442" s="2">
        <v>7</v>
      </c>
      <c r="C4442" s="2" t="s">
        <v>3425</v>
      </c>
      <c r="D4442" s="23" t="s">
        <v>1622</v>
      </c>
      <c r="E4442" s="2" t="s">
        <v>108</v>
      </c>
      <c r="F4442" s="2" t="s">
        <v>477</v>
      </c>
      <c r="G4442" s="2">
        <v>504161342</v>
      </c>
      <c r="H4442" s="2" t="s">
        <v>290</v>
      </c>
      <c r="I4442" s="2" t="s">
        <v>1623</v>
      </c>
      <c r="J4442" s="2" t="s">
        <v>1624</v>
      </c>
      <c r="L4442" s="2" t="s">
        <v>293</v>
      </c>
      <c r="M4442" s="2" t="s">
        <v>80</v>
      </c>
      <c r="P4442" s="2" t="s">
        <v>93</v>
      </c>
      <c r="Q4442" s="23" t="s">
        <v>94</v>
      </c>
      <c r="R4442" s="23" t="s">
        <v>95</v>
      </c>
      <c r="S4442" s="21">
        <v>1</v>
      </c>
      <c r="T4442" s="22">
        <v>1.48</v>
      </c>
      <c r="U4442" s="2">
        <f t="shared" si="690"/>
        <v>0.34040000000000004</v>
      </c>
      <c r="V4442" s="2">
        <f t="shared" si="691"/>
        <v>1.8204</v>
      </c>
      <c r="W4442" s="2">
        <v>1.48</v>
      </c>
      <c r="X4442" s="5">
        <f t="shared" si="692"/>
        <v>0</v>
      </c>
      <c r="Z4442" s="2" t="s">
        <v>3227</v>
      </c>
      <c r="AA4442" s="2" t="s">
        <v>96</v>
      </c>
      <c r="AB4442" s="2" t="s">
        <v>76</v>
      </c>
      <c r="AC4442" s="2" t="s">
        <v>93</v>
      </c>
      <c r="AK4442" s="2">
        <f t="shared" si="687"/>
        <v>0</v>
      </c>
      <c r="AL4442" s="5">
        <f t="shared" si="693"/>
        <v>0</v>
      </c>
    </row>
    <row r="4443" spans="1:38" x14ac:dyDescent="0.2">
      <c r="A4443" s="2">
        <v>2026</v>
      </c>
      <c r="B4443" s="2">
        <v>7</v>
      </c>
      <c r="C4443" s="2" t="s">
        <v>3425</v>
      </c>
      <c r="D4443" s="2" t="s">
        <v>3426</v>
      </c>
      <c r="E4443" s="2" t="s">
        <v>38</v>
      </c>
      <c r="F4443" s="2" t="s">
        <v>39</v>
      </c>
      <c r="L4443" s="2" t="s">
        <v>339</v>
      </c>
      <c r="M4443" s="2" t="s">
        <v>80</v>
      </c>
      <c r="P4443" s="2" t="s">
        <v>72</v>
      </c>
      <c r="Q4443" s="2" t="s">
        <v>73</v>
      </c>
      <c r="R4443" s="2" t="s">
        <v>74</v>
      </c>
      <c r="S4443" s="13">
        <v>1</v>
      </c>
      <c r="T4443" s="14">
        <v>230</v>
      </c>
      <c r="U4443" s="2">
        <f t="shared" si="690"/>
        <v>52.900000000000006</v>
      </c>
      <c r="V4443" s="2">
        <f t="shared" si="691"/>
        <v>282.89999999999998</v>
      </c>
      <c r="W4443" s="2">
        <v>133.4614</v>
      </c>
      <c r="X4443" s="5">
        <f t="shared" si="692"/>
        <v>0.4197330434782609</v>
      </c>
      <c r="Z4443" s="2" t="s">
        <v>3227</v>
      </c>
      <c r="AA4443" s="2" t="s">
        <v>75</v>
      </c>
      <c r="AB4443" s="2" t="s">
        <v>76</v>
      </c>
      <c r="AC4443" s="2" t="s">
        <v>77</v>
      </c>
      <c r="AK4443" s="2">
        <f t="shared" si="687"/>
        <v>96.538600000000002</v>
      </c>
      <c r="AL4443" s="5">
        <f t="shared" si="693"/>
        <v>0.4197330434782609</v>
      </c>
    </row>
    <row r="4444" spans="1:38" x14ac:dyDescent="0.2">
      <c r="A4444" s="2">
        <v>2026</v>
      </c>
      <c r="B4444" s="2">
        <v>7</v>
      </c>
      <c r="C4444" s="2" t="s">
        <v>3425</v>
      </c>
      <c r="D4444" s="2" t="s">
        <v>3426</v>
      </c>
      <c r="E4444" s="2" t="s">
        <v>38</v>
      </c>
      <c r="F4444" s="2" t="s">
        <v>39</v>
      </c>
      <c r="L4444" s="2" t="s">
        <v>339</v>
      </c>
      <c r="M4444" s="2" t="s">
        <v>80</v>
      </c>
      <c r="P4444" s="2" t="s">
        <v>93</v>
      </c>
      <c r="Q4444" s="2" t="s">
        <v>94</v>
      </c>
      <c r="R4444" s="2" t="s">
        <v>95</v>
      </c>
      <c r="S4444" s="13">
        <v>1</v>
      </c>
      <c r="T4444" s="14">
        <v>1.48</v>
      </c>
      <c r="U4444" s="2">
        <f t="shared" si="690"/>
        <v>0.34040000000000004</v>
      </c>
      <c r="V4444" s="2">
        <f t="shared" si="691"/>
        <v>1.8204</v>
      </c>
      <c r="W4444" s="2">
        <v>1.48</v>
      </c>
      <c r="X4444" s="5">
        <f t="shared" si="692"/>
        <v>0</v>
      </c>
      <c r="Z4444" s="2" t="s">
        <v>3227</v>
      </c>
      <c r="AA4444" s="2" t="s">
        <v>96</v>
      </c>
      <c r="AB4444" s="2" t="s">
        <v>76</v>
      </c>
      <c r="AC4444" s="2" t="s">
        <v>93</v>
      </c>
      <c r="AK4444" s="2">
        <f t="shared" si="687"/>
        <v>0</v>
      </c>
      <c r="AL4444" s="5">
        <f t="shared" si="693"/>
        <v>0</v>
      </c>
    </row>
    <row r="4445" spans="1:38" x14ac:dyDescent="0.2">
      <c r="A4445" s="2">
        <v>2026</v>
      </c>
      <c r="B4445" s="2">
        <v>7</v>
      </c>
      <c r="C4445" s="2" t="s">
        <v>3425</v>
      </c>
      <c r="D4445" s="2" t="s">
        <v>2578</v>
      </c>
      <c r="E4445" s="2" t="s">
        <v>183</v>
      </c>
      <c r="F4445" s="2" t="s">
        <v>2579</v>
      </c>
      <c r="G4445" s="2">
        <v>515259144</v>
      </c>
      <c r="H4445" s="2" t="s">
        <v>80</v>
      </c>
      <c r="I4445" s="2" t="s">
        <v>156</v>
      </c>
      <c r="J4445" s="2" t="s">
        <v>2580</v>
      </c>
      <c r="K4445" s="2">
        <v>968626165</v>
      </c>
      <c r="L4445" s="2" t="s">
        <v>99</v>
      </c>
      <c r="M4445" s="2" t="s">
        <v>80</v>
      </c>
      <c r="P4445" s="2" t="s">
        <v>1038</v>
      </c>
      <c r="Q4445" s="2" t="s">
        <v>2889</v>
      </c>
      <c r="R4445" s="2" t="s">
        <v>2890</v>
      </c>
      <c r="S4445" s="13">
        <v>1</v>
      </c>
      <c r="T4445" s="14">
        <v>223.1</v>
      </c>
      <c r="U4445" s="2">
        <f t="shared" si="690"/>
        <v>51.313000000000002</v>
      </c>
      <c r="V4445" s="2">
        <f t="shared" si="691"/>
        <v>274.41300000000001</v>
      </c>
      <c r="W4445" s="2">
        <v>141.16</v>
      </c>
      <c r="X4445" s="5">
        <f t="shared" si="692"/>
        <v>0.36727924697445091</v>
      </c>
      <c r="Z4445" s="2" t="s">
        <v>3227</v>
      </c>
      <c r="AA4445" s="2" t="s">
        <v>75</v>
      </c>
      <c r="AB4445" s="2" t="s">
        <v>76</v>
      </c>
      <c r="AC4445" s="2" t="s">
        <v>1038</v>
      </c>
      <c r="AK4445" s="2">
        <f t="shared" si="687"/>
        <v>81.94</v>
      </c>
      <c r="AL4445" s="5">
        <f t="shared" si="693"/>
        <v>0.36727924697445091</v>
      </c>
    </row>
    <row r="4446" spans="1:38" x14ac:dyDescent="0.2">
      <c r="A4446" s="2">
        <v>2026</v>
      </c>
      <c r="B4446" s="2">
        <v>7</v>
      </c>
      <c r="C4446" s="2" t="s">
        <v>3425</v>
      </c>
      <c r="D4446" s="2" t="s">
        <v>2578</v>
      </c>
      <c r="E4446" s="2" t="s">
        <v>183</v>
      </c>
      <c r="F4446" s="2" t="s">
        <v>2579</v>
      </c>
      <c r="G4446" s="2">
        <v>515259144</v>
      </c>
      <c r="H4446" s="2" t="s">
        <v>80</v>
      </c>
      <c r="I4446" s="2" t="s">
        <v>156</v>
      </c>
      <c r="J4446" s="2" t="s">
        <v>2580</v>
      </c>
      <c r="K4446" s="2">
        <v>968626165</v>
      </c>
      <c r="L4446" s="2" t="s">
        <v>99</v>
      </c>
      <c r="M4446" s="2" t="s">
        <v>80</v>
      </c>
      <c r="P4446" s="2" t="s">
        <v>93</v>
      </c>
      <c r="Q4446" s="2" t="s">
        <v>94</v>
      </c>
      <c r="R4446" s="2" t="s">
        <v>95</v>
      </c>
      <c r="S4446" s="13">
        <v>1</v>
      </c>
      <c r="T4446" s="14">
        <v>1.48</v>
      </c>
      <c r="U4446" s="2">
        <f t="shared" si="690"/>
        <v>0.34040000000000004</v>
      </c>
      <c r="V4446" s="2">
        <f t="shared" si="691"/>
        <v>1.8204</v>
      </c>
      <c r="W4446" s="2">
        <v>1.48</v>
      </c>
      <c r="X4446" s="5">
        <f t="shared" si="692"/>
        <v>0</v>
      </c>
      <c r="Z4446" s="2" t="s">
        <v>3227</v>
      </c>
      <c r="AA4446" s="2" t="s">
        <v>96</v>
      </c>
      <c r="AB4446" s="2" t="s">
        <v>76</v>
      </c>
      <c r="AC4446" s="2" t="s">
        <v>93</v>
      </c>
      <c r="AK4446" s="2">
        <f t="shared" si="687"/>
        <v>0</v>
      </c>
      <c r="AL4446" s="5">
        <f t="shared" si="693"/>
        <v>0</v>
      </c>
    </row>
    <row r="4447" spans="1:38" x14ac:dyDescent="0.2">
      <c r="A4447" s="2">
        <v>2026</v>
      </c>
      <c r="B4447" s="2">
        <v>7</v>
      </c>
      <c r="C4447" s="2" t="s">
        <v>3425</v>
      </c>
      <c r="D4447" s="2" t="s">
        <v>1008</v>
      </c>
      <c r="E4447" s="2" t="s">
        <v>108</v>
      </c>
      <c r="F4447" s="2" t="s">
        <v>39</v>
      </c>
      <c r="L4447" s="2" t="s">
        <v>418</v>
      </c>
      <c r="M4447" s="2" t="s">
        <v>41</v>
      </c>
      <c r="P4447" s="2" t="s">
        <v>43</v>
      </c>
      <c r="Q4447" s="2" t="s">
        <v>50</v>
      </c>
      <c r="R4447" s="2" t="s">
        <v>51</v>
      </c>
      <c r="S4447" s="13">
        <v>1</v>
      </c>
      <c r="T4447" s="14">
        <v>21</v>
      </c>
      <c r="U4447" s="2">
        <f t="shared" si="690"/>
        <v>4.83</v>
      </c>
      <c r="V4447" s="2">
        <f t="shared" si="691"/>
        <v>25.83</v>
      </c>
      <c r="W4447" s="2">
        <f>14.4*S4447</f>
        <v>14.4</v>
      </c>
      <c r="X4447" s="5">
        <f t="shared" si="692"/>
        <v>0.31428571428571428</v>
      </c>
      <c r="Z4447" s="2" t="s">
        <v>3227</v>
      </c>
      <c r="AA4447" s="2" t="s">
        <v>46</v>
      </c>
      <c r="AB4447" s="2" t="s">
        <v>47</v>
      </c>
      <c r="AC4447" s="2" t="s">
        <v>57</v>
      </c>
      <c r="AK4447" s="2">
        <f t="shared" si="687"/>
        <v>6.6</v>
      </c>
      <c r="AL4447" s="5">
        <f t="shared" si="693"/>
        <v>0.31428571428571428</v>
      </c>
    </row>
    <row r="4448" spans="1:38" x14ac:dyDescent="0.2">
      <c r="A4448" s="2">
        <v>2026</v>
      </c>
      <c r="B4448" s="2">
        <v>7</v>
      </c>
      <c r="C4448" s="2" t="s">
        <v>3425</v>
      </c>
      <c r="D4448" s="2" t="s">
        <v>1008</v>
      </c>
      <c r="E4448" s="2" t="s">
        <v>108</v>
      </c>
      <c r="F4448" s="2" t="s">
        <v>39</v>
      </c>
      <c r="L4448" s="2" t="s">
        <v>418</v>
      </c>
      <c r="M4448" s="2" t="s">
        <v>41</v>
      </c>
      <c r="P4448" s="2" t="s">
        <v>43</v>
      </c>
      <c r="Q4448" s="2" t="s">
        <v>54</v>
      </c>
      <c r="R4448" s="2" t="s">
        <v>55</v>
      </c>
      <c r="S4448" s="13">
        <v>2</v>
      </c>
      <c r="T4448" s="14">
        <v>36</v>
      </c>
      <c r="U4448" s="2">
        <f t="shared" ref="U4448:U4479" si="694">T4448*23%</f>
        <v>8.2800000000000011</v>
      </c>
      <c r="V4448" s="2">
        <f t="shared" ref="V4448:V4479" si="695">T4448+U4448</f>
        <v>44.28</v>
      </c>
      <c r="W4448" s="2">
        <f>10.6*S4448</f>
        <v>21.2</v>
      </c>
      <c r="X4448" s="5">
        <f t="shared" si="692"/>
        <v>0.41111111111111115</v>
      </c>
      <c r="Z4448" s="2" t="s">
        <v>3227</v>
      </c>
      <c r="AA4448" s="2" t="s">
        <v>46</v>
      </c>
      <c r="AB4448" s="2" t="s">
        <v>56</v>
      </c>
      <c r="AC4448" s="2" t="s">
        <v>57</v>
      </c>
      <c r="AK4448" s="2">
        <f t="shared" si="687"/>
        <v>14.8</v>
      </c>
      <c r="AL4448" s="5">
        <f t="shared" si="693"/>
        <v>0.41111111111111115</v>
      </c>
    </row>
    <row r="4449" spans="1:38" x14ac:dyDescent="0.2">
      <c r="A4449" s="2">
        <v>2026</v>
      </c>
      <c r="B4449" s="2">
        <v>7</v>
      </c>
      <c r="C4449" s="2" t="s">
        <v>3425</v>
      </c>
      <c r="D4449" s="2" t="s">
        <v>1008</v>
      </c>
      <c r="E4449" s="2" t="s">
        <v>108</v>
      </c>
      <c r="F4449" s="2" t="s">
        <v>39</v>
      </c>
      <c r="L4449" s="2" t="s">
        <v>418</v>
      </c>
      <c r="M4449" s="2" t="s">
        <v>41</v>
      </c>
      <c r="P4449" s="2" t="s">
        <v>169</v>
      </c>
      <c r="Q4449" s="2" t="s">
        <v>170</v>
      </c>
      <c r="R4449" s="2" t="s">
        <v>170</v>
      </c>
      <c r="S4449" s="13">
        <v>1</v>
      </c>
      <c r="T4449" s="14">
        <v>8</v>
      </c>
      <c r="U4449" s="2">
        <f t="shared" si="694"/>
        <v>1.84</v>
      </c>
      <c r="V4449" s="2">
        <f t="shared" si="695"/>
        <v>9.84</v>
      </c>
      <c r="W4449" s="2">
        <v>6</v>
      </c>
      <c r="X4449" s="5">
        <f t="shared" si="692"/>
        <v>0.25</v>
      </c>
      <c r="Z4449" s="2" t="s">
        <v>169</v>
      </c>
      <c r="AA4449" s="2" t="s">
        <v>169</v>
      </c>
      <c r="AK4449" s="2">
        <f t="shared" si="687"/>
        <v>2</v>
      </c>
      <c r="AL4449" s="5">
        <f t="shared" si="693"/>
        <v>0.25</v>
      </c>
    </row>
    <row r="4450" spans="1:38" x14ac:dyDescent="0.2">
      <c r="A4450" s="2">
        <v>2026</v>
      </c>
      <c r="B4450" s="2">
        <v>7</v>
      </c>
      <c r="C4450" s="2" t="s">
        <v>3425</v>
      </c>
      <c r="D4450" s="2" t="s">
        <v>433</v>
      </c>
      <c r="E4450" s="2" t="s">
        <v>38</v>
      </c>
      <c r="F4450" s="2" t="s">
        <v>39</v>
      </c>
      <c r="L4450" s="2" t="s">
        <v>99</v>
      </c>
      <c r="M4450" s="2" t="s">
        <v>41</v>
      </c>
      <c r="P4450" s="2" t="s">
        <v>282</v>
      </c>
      <c r="Q4450" s="2" t="s">
        <v>399</v>
      </c>
      <c r="R4450" s="2" t="s">
        <v>400</v>
      </c>
      <c r="S4450" s="13">
        <v>20</v>
      </c>
      <c r="T4450" s="14">
        <v>400</v>
      </c>
      <c r="U4450" s="2">
        <f t="shared" si="694"/>
        <v>92</v>
      </c>
      <c r="V4450" s="2">
        <f t="shared" si="695"/>
        <v>492</v>
      </c>
      <c r="W4450" s="2">
        <f>14.5099*S4450</f>
        <v>290.19799999999998</v>
      </c>
      <c r="X4450" s="5">
        <f t="shared" si="692"/>
        <v>0.27450500000000005</v>
      </c>
      <c r="Z4450" s="2" t="s">
        <v>3227</v>
      </c>
      <c r="AA4450" s="2" t="s">
        <v>46</v>
      </c>
      <c r="AB4450" s="2" t="s">
        <v>60</v>
      </c>
      <c r="AC4450" s="2" t="s">
        <v>3332</v>
      </c>
      <c r="AK4450" s="2">
        <f t="shared" si="687"/>
        <v>109.80200000000002</v>
      </c>
      <c r="AL4450" s="5">
        <f t="shared" si="693"/>
        <v>0.27450500000000005</v>
      </c>
    </row>
    <row r="4451" spans="1:38" x14ac:dyDescent="0.2">
      <c r="A4451" s="2">
        <v>2026</v>
      </c>
      <c r="B4451" s="2">
        <v>7</v>
      </c>
      <c r="C4451" s="2" t="s">
        <v>3425</v>
      </c>
      <c r="D4451" s="2" t="s">
        <v>439</v>
      </c>
      <c r="E4451" s="2" t="s">
        <v>38</v>
      </c>
      <c r="F4451" s="2" t="s">
        <v>39</v>
      </c>
      <c r="L4451" s="2" t="s">
        <v>177</v>
      </c>
      <c r="M4451" s="2" t="s">
        <v>41</v>
      </c>
      <c r="P4451" s="2" t="s">
        <v>43</v>
      </c>
      <c r="Q4451" s="2" t="s">
        <v>48</v>
      </c>
      <c r="R4451" s="2" t="s">
        <v>49</v>
      </c>
      <c r="S4451" s="13">
        <v>4</v>
      </c>
      <c r="T4451" s="14">
        <v>52</v>
      </c>
      <c r="U4451" s="2">
        <f t="shared" si="694"/>
        <v>11.96</v>
      </c>
      <c r="V4451" s="2">
        <f t="shared" si="695"/>
        <v>63.96</v>
      </c>
      <c r="W4451" s="2">
        <f>6.6267*S4451</f>
        <v>26.506799999999998</v>
      </c>
      <c r="X4451" s="5">
        <f t="shared" si="692"/>
        <v>0.49025384615384621</v>
      </c>
      <c r="Z4451" s="2" t="s">
        <v>3227</v>
      </c>
      <c r="AA4451" s="2" t="s">
        <v>46</v>
      </c>
      <c r="AB4451" s="2" t="s">
        <v>47</v>
      </c>
      <c r="AC4451" s="2" t="s">
        <v>57</v>
      </c>
      <c r="AK4451" s="2">
        <f t="shared" si="687"/>
        <v>25.493200000000002</v>
      </c>
      <c r="AL4451" s="5">
        <f t="shared" si="693"/>
        <v>0.49025384615384621</v>
      </c>
    </row>
    <row r="4452" spans="1:38" x14ac:dyDescent="0.2">
      <c r="A4452" s="2">
        <v>2026</v>
      </c>
      <c r="B4452" s="2">
        <v>7</v>
      </c>
      <c r="C4452" s="2" t="s">
        <v>3425</v>
      </c>
      <c r="D4452" s="2" t="s">
        <v>439</v>
      </c>
      <c r="E4452" s="2" t="s">
        <v>38</v>
      </c>
      <c r="F4452" s="2" t="s">
        <v>39</v>
      </c>
      <c r="L4452" s="2" t="s">
        <v>177</v>
      </c>
      <c r="M4452" s="2" t="s">
        <v>41</v>
      </c>
      <c r="P4452" s="2" t="s">
        <v>43</v>
      </c>
      <c r="Q4452" s="2" t="s">
        <v>50</v>
      </c>
      <c r="R4452" s="2" t="s">
        <v>51</v>
      </c>
      <c r="S4452" s="13">
        <v>1</v>
      </c>
      <c r="T4452" s="14">
        <v>21</v>
      </c>
      <c r="U4452" s="2">
        <f t="shared" si="694"/>
        <v>4.83</v>
      </c>
      <c r="V4452" s="2">
        <f t="shared" si="695"/>
        <v>25.83</v>
      </c>
      <c r="W4452" s="2">
        <f>14.4*S4452</f>
        <v>14.4</v>
      </c>
      <c r="X4452" s="5">
        <f t="shared" si="692"/>
        <v>0.31428571428571428</v>
      </c>
      <c r="Z4452" s="2" t="s">
        <v>3227</v>
      </c>
      <c r="AA4452" s="2" t="s">
        <v>46</v>
      </c>
      <c r="AB4452" s="2" t="s">
        <v>47</v>
      </c>
      <c r="AC4452" s="2" t="s">
        <v>57</v>
      </c>
      <c r="AK4452" s="2">
        <f t="shared" si="687"/>
        <v>6.6</v>
      </c>
      <c r="AL4452" s="5">
        <f t="shared" si="693"/>
        <v>0.31428571428571428</v>
      </c>
    </row>
    <row r="4453" spans="1:38" x14ac:dyDescent="0.2">
      <c r="A4453" s="2">
        <v>2026</v>
      </c>
      <c r="B4453" s="2">
        <v>7</v>
      </c>
      <c r="C4453" s="2" t="s">
        <v>3425</v>
      </c>
      <c r="D4453" s="2" t="s">
        <v>816</v>
      </c>
      <c r="E4453" s="2" t="s">
        <v>38</v>
      </c>
      <c r="F4453" s="2" t="s">
        <v>39</v>
      </c>
      <c r="L4453" s="2" t="s">
        <v>480</v>
      </c>
      <c r="M4453" s="2" t="s">
        <v>80</v>
      </c>
      <c r="P4453" s="2" t="s">
        <v>1038</v>
      </c>
      <c r="Q4453" s="2" t="s">
        <v>3427</v>
      </c>
      <c r="R4453" s="2" t="s">
        <v>3428</v>
      </c>
      <c r="S4453" s="13">
        <v>1</v>
      </c>
      <c r="T4453" s="14">
        <v>287</v>
      </c>
      <c r="U4453" s="2">
        <f t="shared" si="694"/>
        <v>66.010000000000005</v>
      </c>
      <c r="V4453" s="2">
        <f t="shared" si="695"/>
        <v>353.01</v>
      </c>
      <c r="W4453" s="2">
        <v>157.85</v>
      </c>
      <c r="X4453" s="5">
        <f t="shared" si="692"/>
        <v>0.45</v>
      </c>
      <c r="Z4453" s="2" t="s">
        <v>3227</v>
      </c>
      <c r="AA4453" s="2" t="s">
        <v>75</v>
      </c>
      <c r="AB4453" s="2" t="s">
        <v>76</v>
      </c>
      <c r="AC4453" s="2" t="s">
        <v>77</v>
      </c>
      <c r="AK4453" s="2">
        <f t="shared" si="687"/>
        <v>129.15</v>
      </c>
      <c r="AL4453" s="5">
        <f t="shared" si="693"/>
        <v>0.45</v>
      </c>
    </row>
    <row r="4454" spans="1:38" x14ac:dyDescent="0.2">
      <c r="A4454" s="2">
        <v>2026</v>
      </c>
      <c r="B4454" s="2">
        <v>7</v>
      </c>
      <c r="C4454" s="2" t="s">
        <v>3425</v>
      </c>
      <c r="D4454" s="2" t="s">
        <v>816</v>
      </c>
      <c r="E4454" s="2" t="s">
        <v>38</v>
      </c>
      <c r="F4454" s="2" t="s">
        <v>39</v>
      </c>
      <c r="L4454" s="2" t="s">
        <v>480</v>
      </c>
      <c r="M4454" s="2" t="s">
        <v>80</v>
      </c>
      <c r="P4454" s="2" t="s">
        <v>93</v>
      </c>
      <c r="Q4454" s="2" t="s">
        <v>94</v>
      </c>
      <c r="R4454" s="2" t="s">
        <v>95</v>
      </c>
      <c r="S4454" s="13">
        <v>1</v>
      </c>
      <c r="T4454" s="14">
        <v>1.48</v>
      </c>
      <c r="U4454" s="2">
        <f t="shared" si="694"/>
        <v>0.34040000000000004</v>
      </c>
      <c r="V4454" s="2">
        <f t="shared" si="695"/>
        <v>1.8204</v>
      </c>
      <c r="W4454" s="2">
        <v>1.48</v>
      </c>
      <c r="X4454" s="5">
        <f t="shared" si="692"/>
        <v>0</v>
      </c>
      <c r="Z4454" s="2" t="s">
        <v>3227</v>
      </c>
      <c r="AA4454" s="2" t="s">
        <v>96</v>
      </c>
      <c r="AB4454" s="2" t="s">
        <v>76</v>
      </c>
      <c r="AC4454" s="2" t="s">
        <v>93</v>
      </c>
      <c r="AK4454" s="2">
        <f t="shared" si="687"/>
        <v>0</v>
      </c>
      <c r="AL4454" s="5">
        <f t="shared" si="693"/>
        <v>0</v>
      </c>
    </row>
    <row r="4455" spans="1:38" x14ac:dyDescent="0.2">
      <c r="A4455" s="2">
        <v>2026</v>
      </c>
      <c r="B4455" s="2">
        <v>7</v>
      </c>
      <c r="C4455" s="2" t="s">
        <v>3425</v>
      </c>
      <c r="D4455" s="2" t="s">
        <v>2143</v>
      </c>
      <c r="E4455" s="2" t="s">
        <v>108</v>
      </c>
      <c r="F4455" s="2" t="s">
        <v>39</v>
      </c>
      <c r="I4455" s="2" t="s">
        <v>315</v>
      </c>
      <c r="L4455" s="2" t="s">
        <v>99</v>
      </c>
      <c r="M4455" s="2" t="s">
        <v>80</v>
      </c>
      <c r="P4455" s="2" t="s">
        <v>1038</v>
      </c>
      <c r="Q4455" s="2" t="s">
        <v>3429</v>
      </c>
      <c r="R4455" s="2" t="s">
        <v>3430</v>
      </c>
      <c r="S4455" s="13">
        <v>1</v>
      </c>
      <c r="T4455" s="14">
        <v>390</v>
      </c>
      <c r="U4455" s="2">
        <f t="shared" si="694"/>
        <v>89.7</v>
      </c>
      <c r="V4455" s="2">
        <f t="shared" si="695"/>
        <v>479.7</v>
      </c>
      <c r="W4455" s="2">
        <v>217</v>
      </c>
      <c r="X4455" s="5">
        <f t="shared" ref="X4455:X4471" si="696">(T4455-W4455)/T4455</f>
        <v>0.44358974358974357</v>
      </c>
      <c r="Z4455" s="2" t="s">
        <v>3227</v>
      </c>
      <c r="AA4455" s="2" t="s">
        <v>75</v>
      </c>
      <c r="AB4455" s="2" t="s">
        <v>76</v>
      </c>
      <c r="AC4455" s="2" t="s">
        <v>1038</v>
      </c>
      <c r="AK4455" s="2">
        <f t="shared" si="687"/>
        <v>173</v>
      </c>
      <c r="AL4455" s="5">
        <f t="shared" ref="AL4455:AL4471" si="697">(T4455-W4455)/T4455</f>
        <v>0.44358974358974357</v>
      </c>
    </row>
    <row r="4456" spans="1:38" x14ac:dyDescent="0.2">
      <c r="A4456" s="2">
        <v>2026</v>
      </c>
      <c r="B4456" s="2">
        <v>7</v>
      </c>
      <c r="C4456" s="2" t="s">
        <v>3425</v>
      </c>
      <c r="D4456" s="2" t="s">
        <v>2143</v>
      </c>
      <c r="E4456" s="2" t="s">
        <v>108</v>
      </c>
      <c r="F4456" s="2" t="s">
        <v>39</v>
      </c>
      <c r="I4456" s="2" t="s">
        <v>315</v>
      </c>
      <c r="L4456" s="2" t="s">
        <v>99</v>
      </c>
      <c r="M4456" s="2" t="s">
        <v>80</v>
      </c>
      <c r="P4456" s="2" t="s">
        <v>169</v>
      </c>
      <c r="Q4456" s="2" t="s">
        <v>170</v>
      </c>
      <c r="R4456" s="2" t="s">
        <v>170</v>
      </c>
      <c r="S4456" s="13">
        <v>1</v>
      </c>
      <c r="T4456" s="14">
        <v>15</v>
      </c>
      <c r="U4456" s="2">
        <f t="shared" si="694"/>
        <v>3.45</v>
      </c>
      <c r="V4456" s="2">
        <f t="shared" si="695"/>
        <v>18.45</v>
      </c>
      <c r="W4456" s="2">
        <v>28</v>
      </c>
      <c r="X4456" s="5">
        <f t="shared" si="696"/>
        <v>-0.8666666666666667</v>
      </c>
      <c r="Z4456" s="2" t="s">
        <v>169</v>
      </c>
      <c r="AA4456" s="2" t="s">
        <v>169</v>
      </c>
      <c r="AK4456" s="2">
        <f t="shared" si="687"/>
        <v>-13</v>
      </c>
      <c r="AL4456" s="5">
        <f t="shared" si="697"/>
        <v>-0.8666666666666667</v>
      </c>
    </row>
    <row r="4457" spans="1:38" x14ac:dyDescent="0.2">
      <c r="A4457" s="2">
        <v>2026</v>
      </c>
      <c r="B4457" s="2">
        <v>7</v>
      </c>
      <c r="C4457" s="2" t="s">
        <v>3425</v>
      </c>
      <c r="D4457" s="2" t="s">
        <v>2143</v>
      </c>
      <c r="E4457" s="2" t="s">
        <v>108</v>
      </c>
      <c r="F4457" s="2" t="s">
        <v>39</v>
      </c>
      <c r="I4457" s="2" t="s">
        <v>315</v>
      </c>
      <c r="L4457" s="2" t="s">
        <v>99</v>
      </c>
      <c r="M4457" s="2" t="s">
        <v>80</v>
      </c>
      <c r="P4457" s="2" t="s">
        <v>93</v>
      </c>
      <c r="Q4457" s="2" t="s">
        <v>94</v>
      </c>
      <c r="R4457" s="2" t="s">
        <v>95</v>
      </c>
      <c r="S4457" s="13">
        <v>1</v>
      </c>
      <c r="T4457" s="14">
        <v>1.48</v>
      </c>
      <c r="U4457" s="2">
        <f t="shared" si="694"/>
        <v>0.34040000000000004</v>
      </c>
      <c r="V4457" s="2">
        <f t="shared" si="695"/>
        <v>1.8204</v>
      </c>
      <c r="W4457" s="2">
        <v>1.48</v>
      </c>
      <c r="X4457" s="5">
        <f t="shared" si="696"/>
        <v>0</v>
      </c>
      <c r="Z4457" s="2" t="s">
        <v>3227</v>
      </c>
      <c r="AA4457" s="2" t="s">
        <v>96</v>
      </c>
      <c r="AB4457" s="2" t="s">
        <v>76</v>
      </c>
      <c r="AC4457" s="2" t="s">
        <v>93</v>
      </c>
      <c r="AK4457" s="2">
        <f t="shared" si="687"/>
        <v>0</v>
      </c>
      <c r="AL4457" s="5">
        <f t="shared" si="697"/>
        <v>0</v>
      </c>
    </row>
    <row r="4458" spans="1:38" x14ac:dyDescent="0.2">
      <c r="A4458" s="2">
        <v>2026</v>
      </c>
      <c r="B4458" s="2">
        <v>7</v>
      </c>
      <c r="C4458" s="2" t="s">
        <v>3425</v>
      </c>
      <c r="D4458" s="2" t="s">
        <v>2559</v>
      </c>
      <c r="E4458" s="2" t="s">
        <v>108</v>
      </c>
      <c r="F4458" s="2" t="s">
        <v>39</v>
      </c>
      <c r="L4458" s="2" t="s">
        <v>99</v>
      </c>
      <c r="M4458" s="2" t="s">
        <v>80</v>
      </c>
      <c r="P4458" s="2" t="s">
        <v>1038</v>
      </c>
      <c r="Q4458" s="2" t="s">
        <v>3431</v>
      </c>
      <c r="R4458" s="2" t="s">
        <v>3432</v>
      </c>
      <c r="S4458" s="13">
        <v>4</v>
      </c>
      <c r="T4458" s="14">
        <v>569.1</v>
      </c>
      <c r="U4458" s="2">
        <f t="shared" si="694"/>
        <v>130.893</v>
      </c>
      <c r="V4458" s="2">
        <f t="shared" si="695"/>
        <v>699.99300000000005</v>
      </c>
      <c r="W4458" s="2">
        <f>86.81*S4458</f>
        <v>347.24</v>
      </c>
      <c r="X4458" s="5">
        <f t="shared" si="696"/>
        <v>0.38984361272184154</v>
      </c>
      <c r="Z4458" s="2" t="s">
        <v>3227</v>
      </c>
      <c r="AA4458" s="2" t="s">
        <v>1041</v>
      </c>
      <c r="AB4458" s="2" t="s">
        <v>1270</v>
      </c>
      <c r="AC4458" s="2" t="s">
        <v>1038</v>
      </c>
      <c r="AK4458" s="2">
        <f t="shared" si="687"/>
        <v>221.86</v>
      </c>
      <c r="AL4458" s="5">
        <f t="shared" si="697"/>
        <v>0.38984361272184154</v>
      </c>
    </row>
    <row r="4459" spans="1:38" x14ac:dyDescent="0.2">
      <c r="A4459" s="2">
        <v>2026</v>
      </c>
      <c r="B4459" s="2">
        <v>7</v>
      </c>
      <c r="C4459" s="2" t="s">
        <v>3425</v>
      </c>
      <c r="D4459" s="2" t="s">
        <v>1295</v>
      </c>
      <c r="E4459" s="2" t="s">
        <v>183</v>
      </c>
      <c r="F4459" s="2" t="s">
        <v>366</v>
      </c>
      <c r="G4459" s="2">
        <v>500625654</v>
      </c>
      <c r="H4459" s="2" t="s">
        <v>290</v>
      </c>
      <c r="I4459" s="2" t="s">
        <v>339</v>
      </c>
      <c r="J4459" s="2" t="s">
        <v>1296</v>
      </c>
      <c r="L4459" s="2" t="s">
        <v>339</v>
      </c>
      <c r="M4459" s="2" t="s">
        <v>80</v>
      </c>
      <c r="P4459" s="2" t="s">
        <v>72</v>
      </c>
      <c r="Q4459" s="2" t="s">
        <v>556</v>
      </c>
      <c r="R4459" s="2" t="s">
        <v>381</v>
      </c>
      <c r="S4459" s="13">
        <v>2</v>
      </c>
      <c r="T4459" s="14">
        <v>485</v>
      </c>
      <c r="U4459" s="2">
        <f t="shared" si="694"/>
        <v>111.55000000000001</v>
      </c>
      <c r="V4459" s="2">
        <f t="shared" si="695"/>
        <v>596.54999999999995</v>
      </c>
      <c r="W4459" s="2">
        <f>150.9766*S4459</f>
        <v>301.95319999999998</v>
      </c>
      <c r="X4459" s="5">
        <f t="shared" si="696"/>
        <v>0.37741608247422687</v>
      </c>
      <c r="Z4459" s="2" t="s">
        <v>3227</v>
      </c>
      <c r="AA4459" s="2" t="s">
        <v>75</v>
      </c>
      <c r="AB4459" s="2" t="s">
        <v>76</v>
      </c>
      <c r="AC4459" s="2" t="s">
        <v>77</v>
      </c>
      <c r="AK4459" s="2">
        <f t="shared" si="687"/>
        <v>183.04680000000002</v>
      </c>
      <c r="AL4459" s="5">
        <f t="shared" si="697"/>
        <v>0.37741608247422687</v>
      </c>
    </row>
    <row r="4460" spans="1:38" x14ac:dyDescent="0.2">
      <c r="A4460" s="2">
        <v>2026</v>
      </c>
      <c r="B4460" s="2">
        <v>7</v>
      </c>
      <c r="C4460" s="2" t="s">
        <v>3425</v>
      </c>
      <c r="D4460" s="2" t="s">
        <v>1295</v>
      </c>
      <c r="E4460" s="2" t="s">
        <v>183</v>
      </c>
      <c r="F4460" s="2" t="s">
        <v>366</v>
      </c>
      <c r="G4460" s="2">
        <v>500625654</v>
      </c>
      <c r="H4460" s="2" t="s">
        <v>290</v>
      </c>
      <c r="I4460" s="2" t="s">
        <v>339</v>
      </c>
      <c r="J4460" s="2" t="s">
        <v>1296</v>
      </c>
      <c r="L4460" s="2" t="s">
        <v>339</v>
      </c>
      <c r="M4460" s="2" t="s">
        <v>80</v>
      </c>
      <c r="P4460" s="2" t="s">
        <v>1038</v>
      </c>
      <c r="Q4460" s="2" t="s">
        <v>3433</v>
      </c>
      <c r="R4460" s="2" t="s">
        <v>3434</v>
      </c>
      <c r="S4460" s="13">
        <v>1</v>
      </c>
      <c r="T4460" s="14">
        <v>232.8</v>
      </c>
      <c r="U4460" s="2">
        <f t="shared" si="694"/>
        <v>53.544000000000004</v>
      </c>
      <c r="V4460" s="2">
        <f t="shared" si="695"/>
        <v>286.34399999999999</v>
      </c>
      <c r="W4460" s="2">
        <v>128.99</v>
      </c>
      <c r="X4460" s="5">
        <f t="shared" si="696"/>
        <v>0.44591924398625427</v>
      </c>
      <c r="Z4460" s="2" t="s">
        <v>3227</v>
      </c>
      <c r="AA4460" s="2" t="s">
        <v>75</v>
      </c>
      <c r="AB4460" s="2" t="s">
        <v>76</v>
      </c>
      <c r="AC4460" s="2" t="s">
        <v>1038</v>
      </c>
      <c r="AK4460" s="2">
        <f t="shared" si="687"/>
        <v>103.81</v>
      </c>
      <c r="AL4460" s="5">
        <f t="shared" si="697"/>
        <v>0.44591924398625427</v>
      </c>
    </row>
    <row r="4461" spans="1:38" x14ac:dyDescent="0.2">
      <c r="A4461" s="2">
        <v>2026</v>
      </c>
      <c r="B4461" s="2">
        <v>7</v>
      </c>
      <c r="C4461" s="2" t="s">
        <v>3425</v>
      </c>
      <c r="D4461" s="2" t="s">
        <v>1295</v>
      </c>
      <c r="E4461" s="2" t="s">
        <v>183</v>
      </c>
      <c r="F4461" s="2" t="s">
        <v>366</v>
      </c>
      <c r="G4461" s="2">
        <v>500625654</v>
      </c>
      <c r="H4461" s="2" t="s">
        <v>290</v>
      </c>
      <c r="I4461" s="2" t="s">
        <v>339</v>
      </c>
      <c r="J4461" s="2" t="s">
        <v>1296</v>
      </c>
      <c r="L4461" s="2" t="s">
        <v>339</v>
      </c>
      <c r="M4461" s="2" t="s">
        <v>80</v>
      </c>
      <c r="P4461" s="2" t="s">
        <v>93</v>
      </c>
      <c r="Q4461" s="2" t="s">
        <v>94</v>
      </c>
      <c r="R4461" s="2" t="s">
        <v>95</v>
      </c>
      <c r="S4461" s="13">
        <v>3</v>
      </c>
      <c r="T4461" s="14">
        <v>4.4400000000000004</v>
      </c>
      <c r="U4461" s="2">
        <f t="shared" si="694"/>
        <v>1.0212000000000001</v>
      </c>
      <c r="V4461" s="2">
        <f t="shared" si="695"/>
        <v>5.4612000000000007</v>
      </c>
      <c r="W4461" s="2">
        <f>1.48*S4461</f>
        <v>4.4399999999999995</v>
      </c>
      <c r="X4461" s="5">
        <f t="shared" si="696"/>
        <v>2.000401846171453E-16</v>
      </c>
      <c r="Z4461" s="2" t="s">
        <v>3227</v>
      </c>
      <c r="AA4461" s="2" t="s">
        <v>96</v>
      </c>
      <c r="AB4461" s="2" t="s">
        <v>76</v>
      </c>
      <c r="AC4461" s="2" t="s">
        <v>93</v>
      </c>
      <c r="AK4461" s="2">
        <f t="shared" si="687"/>
        <v>0</v>
      </c>
      <c r="AL4461" s="5">
        <f t="shared" si="697"/>
        <v>2.000401846171453E-16</v>
      </c>
    </row>
    <row r="4462" spans="1:38" x14ac:dyDescent="0.2">
      <c r="A4462" s="2">
        <v>2026</v>
      </c>
      <c r="B4462" s="2">
        <v>7</v>
      </c>
      <c r="C4462" s="2" t="s">
        <v>3425</v>
      </c>
      <c r="D4462" s="2" t="s">
        <v>2364</v>
      </c>
      <c r="E4462" s="2" t="s">
        <v>108</v>
      </c>
      <c r="F4462" s="2" t="s">
        <v>39</v>
      </c>
      <c r="L4462" s="2" t="s">
        <v>418</v>
      </c>
      <c r="M4462" s="2" t="s">
        <v>41</v>
      </c>
      <c r="P4462" s="2" t="s">
        <v>43</v>
      </c>
      <c r="Q4462" s="2" t="s">
        <v>48</v>
      </c>
      <c r="R4462" s="2" t="s">
        <v>49</v>
      </c>
      <c r="S4462" s="13">
        <v>4</v>
      </c>
      <c r="T4462" s="14">
        <v>52</v>
      </c>
      <c r="U4462" s="2">
        <f t="shared" si="694"/>
        <v>11.96</v>
      </c>
      <c r="V4462" s="2">
        <f t="shared" si="695"/>
        <v>63.96</v>
      </c>
      <c r="W4462" s="2">
        <f>6.6267*S4462</f>
        <v>26.506799999999998</v>
      </c>
      <c r="X4462" s="5">
        <f t="shared" si="696"/>
        <v>0.49025384615384621</v>
      </c>
      <c r="Z4462" s="2" t="s">
        <v>3227</v>
      </c>
      <c r="AA4462" s="2" t="s">
        <v>46</v>
      </c>
      <c r="AB4462" s="2" t="s">
        <v>47</v>
      </c>
      <c r="AC4462" s="2" t="s">
        <v>57</v>
      </c>
      <c r="AK4462" s="2">
        <f t="shared" si="687"/>
        <v>25.493200000000002</v>
      </c>
      <c r="AL4462" s="5">
        <f t="shared" si="697"/>
        <v>0.49025384615384621</v>
      </c>
    </row>
    <row r="4463" spans="1:38" x14ac:dyDescent="0.2">
      <c r="A4463" s="2">
        <v>2026</v>
      </c>
      <c r="B4463" s="2">
        <v>7</v>
      </c>
      <c r="C4463" s="2" t="s">
        <v>3425</v>
      </c>
      <c r="D4463" s="2" t="s">
        <v>37</v>
      </c>
      <c r="E4463" s="2" t="s">
        <v>38</v>
      </c>
      <c r="F4463" s="2" t="s">
        <v>39</v>
      </c>
      <c r="L4463" s="2" t="s">
        <v>99</v>
      </c>
      <c r="M4463" s="2" t="s">
        <v>80</v>
      </c>
      <c r="P4463" s="2" t="s">
        <v>43</v>
      </c>
      <c r="Q4463" s="24" t="s">
        <v>54</v>
      </c>
      <c r="R4463" s="24" t="s">
        <v>55</v>
      </c>
      <c r="S4463" s="25">
        <v>1</v>
      </c>
      <c r="T4463" s="26">
        <v>18</v>
      </c>
      <c r="U4463" s="2">
        <f t="shared" si="694"/>
        <v>4.1400000000000006</v>
      </c>
      <c r="V4463" s="12">
        <f t="shared" si="695"/>
        <v>22.14</v>
      </c>
      <c r="W4463" s="2">
        <f>10.6*S4463</f>
        <v>10.6</v>
      </c>
      <c r="X4463" s="5">
        <f t="shared" si="696"/>
        <v>0.41111111111111115</v>
      </c>
      <c r="Z4463" s="2" t="s">
        <v>3227</v>
      </c>
      <c r="AA4463" s="2" t="s">
        <v>46</v>
      </c>
      <c r="AB4463" s="2" t="s">
        <v>56</v>
      </c>
      <c r="AC4463" s="2" t="s">
        <v>57</v>
      </c>
      <c r="AK4463" s="2">
        <f t="shared" si="687"/>
        <v>7.4</v>
      </c>
      <c r="AL4463" s="5">
        <f t="shared" si="697"/>
        <v>0.41111111111111115</v>
      </c>
    </row>
    <row r="4464" spans="1:38" x14ac:dyDescent="0.2">
      <c r="A4464" s="2">
        <v>2026</v>
      </c>
      <c r="B4464" s="2">
        <v>7</v>
      </c>
      <c r="C4464" s="2" t="s">
        <v>3425</v>
      </c>
      <c r="D4464" s="2" t="s">
        <v>37</v>
      </c>
      <c r="E4464" s="2" t="s">
        <v>38</v>
      </c>
      <c r="F4464" s="2" t="s">
        <v>39</v>
      </c>
      <c r="L4464" s="2" t="s">
        <v>99</v>
      </c>
      <c r="M4464" s="2" t="s">
        <v>80</v>
      </c>
      <c r="P4464" s="2" t="s">
        <v>43</v>
      </c>
      <c r="Q4464" s="24" t="s">
        <v>58</v>
      </c>
      <c r="R4464" s="24" t="s">
        <v>59</v>
      </c>
      <c r="S4464" s="25">
        <v>100</v>
      </c>
      <c r="T4464" s="26">
        <v>14</v>
      </c>
      <c r="U4464" s="2">
        <f t="shared" si="694"/>
        <v>3.22</v>
      </c>
      <c r="V4464" s="12">
        <f t="shared" si="695"/>
        <v>17.22</v>
      </c>
      <c r="W4464" s="2">
        <f>0.0914*S4464</f>
        <v>9.1399999999999988</v>
      </c>
      <c r="X4464" s="5">
        <f t="shared" si="696"/>
        <v>0.34714285714285725</v>
      </c>
      <c r="Z4464" s="2" t="s">
        <v>3227</v>
      </c>
      <c r="AA4464" s="2" t="s">
        <v>46</v>
      </c>
      <c r="AB4464" s="2" t="s">
        <v>60</v>
      </c>
      <c r="AC4464" s="2" t="s">
        <v>57</v>
      </c>
      <c r="AK4464" s="2">
        <f t="shared" si="687"/>
        <v>4.8600000000000012</v>
      </c>
      <c r="AL4464" s="5">
        <f t="shared" si="697"/>
        <v>0.34714285714285725</v>
      </c>
    </row>
    <row r="4465" spans="1:38" x14ac:dyDescent="0.2">
      <c r="A4465" s="2">
        <v>2026</v>
      </c>
      <c r="B4465" s="2">
        <v>7</v>
      </c>
      <c r="C4465" s="2" t="s">
        <v>3425</v>
      </c>
      <c r="D4465" s="24" t="s">
        <v>458</v>
      </c>
      <c r="E4465" s="2" t="s">
        <v>108</v>
      </c>
      <c r="F4465" s="2" t="s">
        <v>477</v>
      </c>
      <c r="L4465" s="2" t="s">
        <v>461</v>
      </c>
      <c r="M4465" s="2" t="s">
        <v>41</v>
      </c>
      <c r="P4465" s="2" t="s">
        <v>282</v>
      </c>
      <c r="Q4465" s="24" t="s">
        <v>401</v>
      </c>
      <c r="R4465" s="24" t="s">
        <v>402</v>
      </c>
      <c r="S4465" s="25">
        <v>5</v>
      </c>
      <c r="T4465" s="26">
        <v>145</v>
      </c>
      <c r="U4465" s="2">
        <f t="shared" si="694"/>
        <v>33.35</v>
      </c>
      <c r="V4465" s="12">
        <f t="shared" si="695"/>
        <v>178.35</v>
      </c>
      <c r="W4465" s="2">
        <f>14.5099*S4465</f>
        <v>72.549499999999995</v>
      </c>
      <c r="X4465" s="5">
        <f t="shared" si="696"/>
        <v>0.49965862068965522</v>
      </c>
      <c r="Z4465" s="2" t="s">
        <v>3227</v>
      </c>
      <c r="AA4465" s="2" t="s">
        <v>46</v>
      </c>
      <c r="AB4465" s="2" t="s">
        <v>60</v>
      </c>
      <c r="AC4465" s="2" t="s">
        <v>3332</v>
      </c>
      <c r="AK4465" s="2">
        <f t="shared" si="687"/>
        <v>72.450500000000005</v>
      </c>
      <c r="AL4465" s="5">
        <f t="shared" si="697"/>
        <v>0.49965862068965522</v>
      </c>
    </row>
    <row r="4466" spans="1:38" x14ac:dyDescent="0.2">
      <c r="A4466" s="2">
        <v>2026</v>
      </c>
      <c r="B4466" s="2">
        <v>7</v>
      </c>
      <c r="C4466" s="2" t="s">
        <v>3425</v>
      </c>
      <c r="D4466" s="24" t="s">
        <v>2049</v>
      </c>
      <c r="E4466" s="2" t="s">
        <v>108</v>
      </c>
      <c r="F4466" s="2" t="s">
        <v>39</v>
      </c>
      <c r="L4466" s="2" t="s">
        <v>480</v>
      </c>
      <c r="M4466" s="2" t="s">
        <v>40</v>
      </c>
      <c r="P4466" s="2" t="s">
        <v>114</v>
      </c>
      <c r="Q4466" s="24" t="s">
        <v>1514</v>
      </c>
      <c r="R4466" s="24" t="s">
        <v>1515</v>
      </c>
      <c r="S4466" s="25">
        <v>1</v>
      </c>
      <c r="T4466" s="26">
        <v>24.39</v>
      </c>
      <c r="U4466" s="2">
        <f t="shared" si="694"/>
        <v>5.6097000000000001</v>
      </c>
      <c r="V4466" s="12">
        <f t="shared" si="695"/>
        <v>29.999700000000001</v>
      </c>
      <c r="W4466" s="2">
        <f>11.2466</f>
        <v>11.246600000000001</v>
      </c>
      <c r="X4466" s="5">
        <f t="shared" si="696"/>
        <v>0.53888478884788849</v>
      </c>
      <c r="Z4466" s="2" t="s">
        <v>117</v>
      </c>
      <c r="AA4466" s="2" t="s">
        <v>118</v>
      </c>
      <c r="AB4466" s="2" t="s">
        <v>119</v>
      </c>
      <c r="AC4466" s="2" t="s">
        <v>114</v>
      </c>
      <c r="AK4466" s="2">
        <f t="shared" si="687"/>
        <v>13.1434</v>
      </c>
      <c r="AL4466" s="5">
        <f t="shared" si="697"/>
        <v>0.53888478884788849</v>
      </c>
    </row>
    <row r="4467" spans="1:38" x14ac:dyDescent="0.2">
      <c r="A4467" s="2">
        <v>2026</v>
      </c>
      <c r="B4467" s="2">
        <v>7</v>
      </c>
      <c r="C4467" s="2" t="s">
        <v>3425</v>
      </c>
      <c r="D4467" s="24" t="s">
        <v>2049</v>
      </c>
      <c r="E4467" s="2" t="s">
        <v>108</v>
      </c>
      <c r="F4467" s="2" t="s">
        <v>39</v>
      </c>
      <c r="L4467" s="2" t="s">
        <v>480</v>
      </c>
      <c r="M4467" s="2" t="s">
        <v>40</v>
      </c>
      <c r="P4467" s="2" t="s">
        <v>169</v>
      </c>
      <c r="Q4467" s="24" t="s">
        <v>170</v>
      </c>
      <c r="R4467" s="24" t="s">
        <v>170</v>
      </c>
      <c r="S4467" s="25">
        <v>1</v>
      </c>
      <c r="T4467" s="26">
        <v>8</v>
      </c>
      <c r="U4467" s="2">
        <f t="shared" si="694"/>
        <v>1.84</v>
      </c>
      <c r="V4467" s="12">
        <f t="shared" si="695"/>
        <v>9.84</v>
      </c>
      <c r="W4467" s="2">
        <v>6</v>
      </c>
      <c r="X4467" s="5">
        <f t="shared" si="696"/>
        <v>0.25</v>
      </c>
      <c r="Z4467" s="2" t="s">
        <v>169</v>
      </c>
      <c r="AA4467" s="2" t="s">
        <v>169</v>
      </c>
      <c r="AK4467" s="2">
        <f t="shared" si="687"/>
        <v>2</v>
      </c>
      <c r="AL4467" s="5">
        <f t="shared" si="697"/>
        <v>0.25</v>
      </c>
    </row>
    <row r="4468" spans="1:38" x14ac:dyDescent="0.2">
      <c r="A4468" s="2">
        <v>2026</v>
      </c>
      <c r="B4468" s="2">
        <v>7</v>
      </c>
      <c r="C4468" s="2" t="s">
        <v>3425</v>
      </c>
      <c r="D4468" s="2" t="s">
        <v>37</v>
      </c>
      <c r="E4468" s="2" t="s">
        <v>38</v>
      </c>
      <c r="F4468" s="2" t="s">
        <v>39</v>
      </c>
      <c r="L4468" s="2" t="s">
        <v>99</v>
      </c>
      <c r="M4468" s="2" t="s">
        <v>80</v>
      </c>
      <c r="P4468" s="2" t="s">
        <v>72</v>
      </c>
      <c r="Q4468" s="2" t="s">
        <v>73</v>
      </c>
      <c r="R4468" s="2" t="s">
        <v>74</v>
      </c>
      <c r="S4468" s="13">
        <v>1</v>
      </c>
      <c r="T4468" s="14">
        <v>246.5</v>
      </c>
      <c r="U4468" s="2">
        <f t="shared" si="694"/>
        <v>56.695</v>
      </c>
      <c r="V4468" s="12">
        <f t="shared" si="695"/>
        <v>303.19499999999999</v>
      </c>
      <c r="W4468" s="2">
        <v>133.4614</v>
      </c>
      <c r="X4468" s="5">
        <f t="shared" si="696"/>
        <v>0.4585744421906694</v>
      </c>
      <c r="Z4468" s="2" t="s">
        <v>3227</v>
      </c>
      <c r="AA4468" s="2" t="s">
        <v>75</v>
      </c>
      <c r="AB4468" s="2" t="s">
        <v>76</v>
      </c>
      <c r="AC4468" s="2" t="s">
        <v>77</v>
      </c>
      <c r="AK4468" s="2">
        <f t="shared" si="687"/>
        <v>113.0386</v>
      </c>
      <c r="AL4468" s="5">
        <f t="shared" si="697"/>
        <v>0.4585744421906694</v>
      </c>
    </row>
    <row r="4469" spans="1:38" x14ac:dyDescent="0.2">
      <c r="A4469" s="2">
        <v>2026</v>
      </c>
      <c r="B4469" s="2">
        <v>7</v>
      </c>
      <c r="C4469" s="2" t="s">
        <v>3425</v>
      </c>
      <c r="D4469" s="2" t="s">
        <v>37</v>
      </c>
      <c r="E4469" s="2" t="s">
        <v>38</v>
      </c>
      <c r="F4469" s="2" t="s">
        <v>39</v>
      </c>
      <c r="L4469" s="2" t="s">
        <v>99</v>
      </c>
      <c r="M4469" s="2" t="s">
        <v>80</v>
      </c>
      <c r="P4469" s="2" t="s">
        <v>93</v>
      </c>
      <c r="Q4469" s="2" t="s">
        <v>94</v>
      </c>
      <c r="R4469" s="2" t="s">
        <v>95</v>
      </c>
      <c r="S4469" s="13">
        <v>1</v>
      </c>
      <c r="T4469" s="14">
        <v>1.48</v>
      </c>
      <c r="U4469" s="2">
        <f t="shared" si="694"/>
        <v>0.34040000000000004</v>
      </c>
      <c r="V4469" s="12">
        <f t="shared" si="695"/>
        <v>1.8204</v>
      </c>
      <c r="W4469" s="2">
        <v>1.48</v>
      </c>
      <c r="X4469" s="5">
        <f t="shared" si="696"/>
        <v>0</v>
      </c>
      <c r="Z4469" s="2" t="s">
        <v>3227</v>
      </c>
      <c r="AA4469" s="2" t="s">
        <v>96</v>
      </c>
      <c r="AB4469" s="2" t="s">
        <v>76</v>
      </c>
      <c r="AC4469" s="2" t="s">
        <v>93</v>
      </c>
      <c r="AK4469" s="2">
        <f t="shared" ref="AK4469:AK4483" si="698">T4469-W4469</f>
        <v>0</v>
      </c>
      <c r="AL4469" s="5">
        <f t="shared" si="697"/>
        <v>0</v>
      </c>
    </row>
    <row r="4470" spans="1:38" x14ac:dyDescent="0.2">
      <c r="A4470" s="2">
        <v>2026</v>
      </c>
      <c r="B4470" s="2">
        <v>7</v>
      </c>
      <c r="C4470" s="2" t="s">
        <v>3425</v>
      </c>
      <c r="D4470" s="2" t="s">
        <v>693</v>
      </c>
      <c r="E4470" s="2" t="s">
        <v>38</v>
      </c>
      <c r="F4470" s="2" t="s">
        <v>39</v>
      </c>
      <c r="L4470" s="2" t="s">
        <v>177</v>
      </c>
      <c r="M4470" s="2" t="s">
        <v>41</v>
      </c>
      <c r="P4470" s="2" t="s">
        <v>43</v>
      </c>
      <c r="Q4470" s="2" t="s">
        <v>63</v>
      </c>
      <c r="R4470" s="2" t="s">
        <v>64</v>
      </c>
      <c r="S4470" s="13">
        <v>20</v>
      </c>
      <c r="T4470" s="14">
        <v>36</v>
      </c>
      <c r="U4470" s="2">
        <f t="shared" si="694"/>
        <v>8.2800000000000011</v>
      </c>
      <c r="V4470" s="12">
        <f t="shared" si="695"/>
        <v>44.28</v>
      </c>
      <c r="W4470" s="2">
        <f>0.8561*S4470</f>
        <v>17.122</v>
      </c>
      <c r="X4470" s="5">
        <f t="shared" si="696"/>
        <v>0.5243888888888889</v>
      </c>
      <c r="Z4470" s="2" t="s">
        <v>3227</v>
      </c>
      <c r="AA4470" s="2" t="s">
        <v>46</v>
      </c>
      <c r="AB4470" s="2" t="s">
        <v>60</v>
      </c>
      <c r="AC4470" s="2" t="s">
        <v>57</v>
      </c>
      <c r="AK4470" s="2">
        <f t="shared" si="698"/>
        <v>18.878</v>
      </c>
      <c r="AL4470" s="5">
        <f t="shared" si="697"/>
        <v>0.5243888888888889</v>
      </c>
    </row>
    <row r="4471" spans="1:38" x14ac:dyDescent="0.2">
      <c r="A4471" s="2">
        <v>2026</v>
      </c>
      <c r="B4471" s="2">
        <v>7</v>
      </c>
      <c r="C4471" s="2" t="s">
        <v>3425</v>
      </c>
      <c r="D4471" s="2" t="s">
        <v>382</v>
      </c>
      <c r="E4471" s="2" t="s">
        <v>38</v>
      </c>
      <c r="F4471" s="2" t="s">
        <v>39</v>
      </c>
      <c r="L4471" s="2" t="s">
        <v>112</v>
      </c>
      <c r="M4471" s="2" t="s">
        <v>290</v>
      </c>
      <c r="P4471" s="2" t="s">
        <v>282</v>
      </c>
      <c r="Q4471" s="2" t="s">
        <v>1547</v>
      </c>
      <c r="R4471" s="2" t="s">
        <v>1548</v>
      </c>
      <c r="S4471" s="13">
        <v>1</v>
      </c>
      <c r="T4471" s="14">
        <v>595</v>
      </c>
      <c r="U4471" s="2">
        <f t="shared" si="694"/>
        <v>136.85</v>
      </c>
      <c r="V4471" s="12">
        <f t="shared" si="695"/>
        <v>731.85</v>
      </c>
      <c r="W4471" s="2">
        <v>297</v>
      </c>
      <c r="X4471" s="5">
        <f t="shared" si="696"/>
        <v>0.50084033613445378</v>
      </c>
      <c r="Z4471" s="2" t="s">
        <v>104</v>
      </c>
      <c r="AA4471" s="2" t="s">
        <v>387</v>
      </c>
      <c r="AB4471" s="2" t="s">
        <v>388</v>
      </c>
      <c r="AC4471" s="2" t="s">
        <v>389</v>
      </c>
      <c r="AK4471" s="2">
        <f t="shared" si="698"/>
        <v>298</v>
      </c>
      <c r="AL4471" s="5">
        <f t="shared" si="697"/>
        <v>0.50084033613445378</v>
      </c>
    </row>
    <row r="4472" spans="1:38" x14ac:dyDescent="0.2">
      <c r="A4472" s="2">
        <v>2026</v>
      </c>
      <c r="B4472" s="2">
        <v>7</v>
      </c>
      <c r="C4472" s="2" t="s">
        <v>3425</v>
      </c>
      <c r="D4472" s="2" t="s">
        <v>382</v>
      </c>
      <c r="E4472" s="2" t="s">
        <v>38</v>
      </c>
      <c r="F4472" s="2" t="s">
        <v>39</v>
      </c>
      <c r="L4472" s="2" t="s">
        <v>112</v>
      </c>
      <c r="M4472" s="2" t="s">
        <v>290</v>
      </c>
      <c r="P4472" s="2" t="s">
        <v>282</v>
      </c>
      <c r="Q4472" s="2" t="s">
        <v>401</v>
      </c>
      <c r="R4472" s="2" t="s">
        <v>402</v>
      </c>
      <c r="S4472" s="13">
        <v>4</v>
      </c>
      <c r="T4472" s="14">
        <v>0</v>
      </c>
      <c r="U4472" s="2">
        <f t="shared" si="694"/>
        <v>0</v>
      </c>
      <c r="V4472" s="12">
        <f t="shared" si="695"/>
        <v>0</v>
      </c>
      <c r="W4472" s="2">
        <f>14.5099</f>
        <v>14.5099</v>
      </c>
      <c r="Z4472" s="2" t="s">
        <v>3227</v>
      </c>
      <c r="AA4472" s="2" t="s">
        <v>46</v>
      </c>
      <c r="AB4472" s="2" t="s">
        <v>60</v>
      </c>
      <c r="AC4472" s="2" t="s">
        <v>3332</v>
      </c>
      <c r="AK4472" s="2">
        <f t="shared" si="698"/>
        <v>-14.5099</v>
      </c>
    </row>
    <row r="4473" spans="1:38" x14ac:dyDescent="0.2">
      <c r="A4473" s="2">
        <v>2026</v>
      </c>
      <c r="B4473" s="2">
        <v>7</v>
      </c>
      <c r="C4473" s="2" t="s">
        <v>3425</v>
      </c>
      <c r="D4473" s="2" t="s">
        <v>433</v>
      </c>
      <c r="E4473" s="2" t="s">
        <v>38</v>
      </c>
      <c r="F4473" s="2" t="s">
        <v>39</v>
      </c>
      <c r="L4473" s="2" t="s">
        <v>99</v>
      </c>
      <c r="M4473" s="2" t="s">
        <v>41</v>
      </c>
      <c r="P4473" s="2" t="s">
        <v>72</v>
      </c>
      <c r="Q4473" s="2" t="s">
        <v>1449</v>
      </c>
      <c r="R4473" s="2" t="s">
        <v>307</v>
      </c>
      <c r="S4473" s="13">
        <v>1</v>
      </c>
      <c r="T4473" s="14">
        <v>230</v>
      </c>
      <c r="U4473" s="2">
        <f t="shared" si="694"/>
        <v>52.900000000000006</v>
      </c>
      <c r="V4473" s="12">
        <f t="shared" si="695"/>
        <v>282.89999999999998</v>
      </c>
      <c r="W4473" s="2">
        <v>122.446</v>
      </c>
      <c r="X4473" s="5">
        <f t="shared" ref="X4473:X4483" si="699">(T4473-W4473)/T4473</f>
        <v>0.46762608695652175</v>
      </c>
      <c r="Z4473" s="2" t="s">
        <v>3227</v>
      </c>
      <c r="AA4473" s="2" t="s">
        <v>75</v>
      </c>
      <c r="AB4473" s="2" t="s">
        <v>76</v>
      </c>
      <c r="AC4473" s="2" t="s">
        <v>77</v>
      </c>
      <c r="AK4473" s="2">
        <f t="shared" si="698"/>
        <v>107.554</v>
      </c>
      <c r="AL4473" s="5">
        <f t="shared" ref="AL4473:AL4483" si="700">(T4473-W4473)/T4473</f>
        <v>0.46762608695652175</v>
      </c>
    </row>
    <row r="4474" spans="1:38" x14ac:dyDescent="0.2">
      <c r="A4474" s="2">
        <v>2026</v>
      </c>
      <c r="B4474" s="2">
        <v>7</v>
      </c>
      <c r="C4474" s="2" t="s">
        <v>3425</v>
      </c>
      <c r="D4474" s="2" t="s">
        <v>433</v>
      </c>
      <c r="E4474" s="2" t="s">
        <v>38</v>
      </c>
      <c r="F4474" s="2" t="s">
        <v>39</v>
      </c>
      <c r="L4474" s="2" t="s">
        <v>99</v>
      </c>
      <c r="M4474" s="2" t="s">
        <v>41</v>
      </c>
      <c r="P4474" s="2" t="s">
        <v>93</v>
      </c>
      <c r="Q4474" s="2" t="s">
        <v>94</v>
      </c>
      <c r="R4474" s="2" t="s">
        <v>95</v>
      </c>
      <c r="S4474" s="13">
        <v>1</v>
      </c>
      <c r="T4474" s="14">
        <v>1.48</v>
      </c>
      <c r="U4474" s="2">
        <f t="shared" si="694"/>
        <v>0.34040000000000004</v>
      </c>
      <c r="V4474" s="12">
        <f t="shared" si="695"/>
        <v>1.8204</v>
      </c>
      <c r="W4474" s="2">
        <v>1.48</v>
      </c>
      <c r="X4474" s="5">
        <f t="shared" si="699"/>
        <v>0</v>
      </c>
      <c r="Z4474" s="2" t="s">
        <v>3227</v>
      </c>
      <c r="AA4474" s="2" t="s">
        <v>96</v>
      </c>
      <c r="AB4474" s="2" t="s">
        <v>76</v>
      </c>
      <c r="AC4474" s="2" t="s">
        <v>93</v>
      </c>
      <c r="AK4474" s="2">
        <f t="shared" si="698"/>
        <v>0</v>
      </c>
      <c r="AL4474" s="5">
        <f t="shared" si="700"/>
        <v>0</v>
      </c>
    </row>
    <row r="4475" spans="1:38" x14ac:dyDescent="0.2">
      <c r="A4475" s="2">
        <v>2026</v>
      </c>
      <c r="B4475" s="2">
        <v>7</v>
      </c>
      <c r="C4475" s="2" t="s">
        <v>3425</v>
      </c>
      <c r="D4475" s="2" t="s">
        <v>3466</v>
      </c>
      <c r="E4475" s="2" t="s">
        <v>108</v>
      </c>
      <c r="F4475" s="2" t="s">
        <v>39</v>
      </c>
      <c r="L4475" s="2" t="s">
        <v>418</v>
      </c>
      <c r="M4475" s="2" t="s">
        <v>41</v>
      </c>
      <c r="P4475" s="2" t="s">
        <v>114</v>
      </c>
      <c r="Q4475" s="2" t="s">
        <v>412</v>
      </c>
      <c r="R4475" s="2" t="s">
        <v>413</v>
      </c>
      <c r="S4475" s="13">
        <v>1</v>
      </c>
      <c r="T4475" s="14">
        <v>14990</v>
      </c>
      <c r="U4475" s="2">
        <f t="shared" si="694"/>
        <v>3447.7000000000003</v>
      </c>
      <c r="V4475" s="12">
        <f t="shared" si="695"/>
        <v>18437.7</v>
      </c>
      <c r="W4475" s="2">
        <f>10699.41+285.74</f>
        <v>10985.15</v>
      </c>
      <c r="X4475" s="5">
        <f t="shared" si="699"/>
        <v>0.26716811207471652</v>
      </c>
      <c r="Z4475" s="2" t="s">
        <v>104</v>
      </c>
      <c r="AA4475" s="2" t="s">
        <v>414</v>
      </c>
      <c r="AB4475" s="2" t="s">
        <v>151</v>
      </c>
      <c r="AC4475" s="2" t="s">
        <v>114</v>
      </c>
      <c r="AK4475" s="2">
        <f t="shared" si="698"/>
        <v>4004.8500000000004</v>
      </c>
      <c r="AL4475" s="5">
        <f t="shared" si="700"/>
        <v>0.26716811207471652</v>
      </c>
    </row>
    <row r="4476" spans="1:38" x14ac:dyDescent="0.2">
      <c r="A4476" s="2">
        <v>2026</v>
      </c>
      <c r="B4476" s="2">
        <v>7</v>
      </c>
      <c r="C4476" s="2" t="s">
        <v>3425</v>
      </c>
      <c r="D4476" s="2" t="s">
        <v>3463</v>
      </c>
      <c r="E4476" s="2" t="s">
        <v>38</v>
      </c>
      <c r="F4476" s="2" t="s">
        <v>39</v>
      </c>
      <c r="L4476" s="2" t="s">
        <v>177</v>
      </c>
      <c r="M4476" s="2" t="s">
        <v>41</v>
      </c>
      <c r="P4476" s="2" t="s">
        <v>40</v>
      </c>
      <c r="Q4476" s="2" t="s">
        <v>3464</v>
      </c>
      <c r="R4476" s="2" t="s">
        <v>3465</v>
      </c>
      <c r="S4476" s="13">
        <v>1</v>
      </c>
      <c r="T4476" s="14">
        <v>1500</v>
      </c>
      <c r="U4476" s="2">
        <f t="shared" si="694"/>
        <v>345</v>
      </c>
      <c r="V4476" s="12">
        <f t="shared" si="695"/>
        <v>1845</v>
      </c>
      <c r="W4476" s="2">
        <f>T4476*75%</f>
        <v>1125</v>
      </c>
      <c r="X4476" s="5">
        <f t="shared" si="699"/>
        <v>0.25</v>
      </c>
      <c r="Z4476" s="2" t="s">
        <v>104</v>
      </c>
      <c r="AA4476" s="2" t="s">
        <v>414</v>
      </c>
      <c r="AB4476" s="2" t="s">
        <v>475</v>
      </c>
      <c r="AC4476" s="2" t="s">
        <v>114</v>
      </c>
      <c r="AK4476" s="2">
        <f t="shared" si="698"/>
        <v>375</v>
      </c>
      <c r="AL4476" s="5">
        <f t="shared" si="700"/>
        <v>0.25</v>
      </c>
    </row>
    <row r="4477" spans="1:38" x14ac:dyDescent="0.2">
      <c r="A4477" s="2">
        <v>2026</v>
      </c>
      <c r="B4477" s="2">
        <v>7</v>
      </c>
      <c r="C4477" s="2" t="s">
        <v>3296</v>
      </c>
      <c r="D4477" s="2" t="s">
        <v>37</v>
      </c>
      <c r="E4477" s="2" t="s">
        <v>38</v>
      </c>
      <c r="F4477" s="2" t="s">
        <v>39</v>
      </c>
      <c r="L4477" s="2" t="s">
        <v>3270</v>
      </c>
      <c r="M4477" s="2" t="s">
        <v>80</v>
      </c>
      <c r="P4477" s="2" t="s">
        <v>43</v>
      </c>
      <c r="Q4477" s="2" t="s">
        <v>48</v>
      </c>
      <c r="R4477" s="2" t="s">
        <v>49</v>
      </c>
      <c r="S4477" s="13">
        <v>2</v>
      </c>
      <c r="T4477" s="2">
        <f>9*S4477</f>
        <v>18</v>
      </c>
      <c r="U4477" s="2">
        <f t="shared" si="694"/>
        <v>4.1400000000000006</v>
      </c>
      <c r="V4477" s="2">
        <f t="shared" si="695"/>
        <v>22.14</v>
      </c>
      <c r="W4477" s="2">
        <f>6.6267*S4477</f>
        <v>13.253399999999999</v>
      </c>
      <c r="X4477" s="5">
        <f t="shared" si="699"/>
        <v>0.26370000000000005</v>
      </c>
      <c r="Z4477" s="2" t="s">
        <v>3227</v>
      </c>
      <c r="AA4477" s="2" t="s">
        <v>46</v>
      </c>
      <c r="AB4477" s="2" t="s">
        <v>47</v>
      </c>
      <c r="AC4477" s="2" t="s">
        <v>57</v>
      </c>
      <c r="AK4477" s="2">
        <f t="shared" si="698"/>
        <v>4.7466000000000008</v>
      </c>
      <c r="AL4477" s="5">
        <f t="shared" si="700"/>
        <v>0.26370000000000005</v>
      </c>
    </row>
    <row r="4478" spans="1:38" x14ac:dyDescent="0.2">
      <c r="A4478" s="2">
        <v>2026</v>
      </c>
      <c r="B4478" s="2">
        <v>7</v>
      </c>
      <c r="C4478" s="2" t="s">
        <v>3296</v>
      </c>
      <c r="D4478" s="2" t="s">
        <v>37</v>
      </c>
      <c r="E4478" s="2" t="s">
        <v>38</v>
      </c>
      <c r="F4478" s="2" t="s">
        <v>39</v>
      </c>
      <c r="L4478" s="2" t="s">
        <v>3270</v>
      </c>
      <c r="M4478" s="2" t="s">
        <v>80</v>
      </c>
      <c r="P4478" s="2" t="s">
        <v>43</v>
      </c>
      <c r="Q4478" s="2" t="s">
        <v>54</v>
      </c>
      <c r="R4478" s="2" t="s">
        <v>55</v>
      </c>
      <c r="S4478" s="13">
        <v>3</v>
      </c>
      <c r="T4478" s="2">
        <f>12.75*S4478</f>
        <v>38.25</v>
      </c>
      <c r="U4478" s="2">
        <f t="shared" si="694"/>
        <v>8.7975000000000012</v>
      </c>
      <c r="V4478" s="2">
        <f t="shared" si="695"/>
        <v>47.047499999999999</v>
      </c>
      <c r="W4478" s="2">
        <f>10.6*S4478</f>
        <v>31.799999999999997</v>
      </c>
      <c r="X4478" s="5">
        <f t="shared" si="699"/>
        <v>0.16862745098039222</v>
      </c>
      <c r="Z4478" s="2" t="s">
        <v>3227</v>
      </c>
      <c r="AA4478" s="2" t="s">
        <v>46</v>
      </c>
      <c r="AB4478" s="2" t="s">
        <v>56</v>
      </c>
      <c r="AC4478" s="2" t="s">
        <v>57</v>
      </c>
      <c r="AK4478" s="2">
        <f t="shared" si="698"/>
        <v>6.4500000000000028</v>
      </c>
      <c r="AL4478" s="5">
        <f t="shared" si="700"/>
        <v>0.16862745098039222</v>
      </c>
    </row>
    <row r="4479" spans="1:38" x14ac:dyDescent="0.2">
      <c r="A4479" s="2">
        <v>2026</v>
      </c>
      <c r="B4479" s="2">
        <v>7</v>
      </c>
      <c r="C4479" s="2" t="s">
        <v>3296</v>
      </c>
      <c r="D4479" s="2" t="s">
        <v>37</v>
      </c>
      <c r="E4479" s="2" t="s">
        <v>38</v>
      </c>
      <c r="F4479" s="2" t="s">
        <v>39</v>
      </c>
      <c r="L4479" s="2" t="s">
        <v>3270</v>
      </c>
      <c r="M4479" s="2" t="s">
        <v>80</v>
      </c>
      <c r="P4479" s="2" t="s">
        <v>84</v>
      </c>
      <c r="Q4479" s="6" t="s">
        <v>276</v>
      </c>
      <c r="R4479" s="2" t="s">
        <v>277</v>
      </c>
      <c r="S4479" s="8">
        <v>1</v>
      </c>
      <c r="T4479" s="2">
        <v>6</v>
      </c>
      <c r="U4479" s="2">
        <f t="shared" si="694"/>
        <v>1.3800000000000001</v>
      </c>
      <c r="V4479" s="2">
        <f t="shared" si="695"/>
        <v>7.38</v>
      </c>
      <c r="W4479" s="2">
        <v>2.5051000000000001</v>
      </c>
      <c r="X4479" s="5">
        <f t="shared" si="699"/>
        <v>0.58248333333333335</v>
      </c>
      <c r="Z4479" s="2" t="s">
        <v>3227</v>
      </c>
      <c r="AA4479" s="2" t="s">
        <v>87</v>
      </c>
      <c r="AB4479" s="2" t="s">
        <v>90</v>
      </c>
      <c r="AC4479" s="2" t="s">
        <v>84</v>
      </c>
      <c r="AK4479" s="2">
        <f t="shared" si="698"/>
        <v>3.4948999999999999</v>
      </c>
      <c r="AL4479" s="5">
        <f t="shared" si="700"/>
        <v>0.58248333333333335</v>
      </c>
    </row>
    <row r="4480" spans="1:38" x14ac:dyDescent="0.2">
      <c r="A4480" s="2">
        <v>2026</v>
      </c>
      <c r="B4480" s="2">
        <v>6</v>
      </c>
      <c r="C4480" s="2" t="s">
        <v>3294</v>
      </c>
      <c r="D4480" s="2" t="s">
        <v>3100</v>
      </c>
      <c r="E4480" s="2" t="s">
        <v>38</v>
      </c>
      <c r="F4480" s="2" t="s">
        <v>39</v>
      </c>
      <c r="H4480" s="2" t="s">
        <v>109</v>
      </c>
      <c r="I4480" s="2" t="s">
        <v>3284</v>
      </c>
      <c r="L4480" s="2" t="s">
        <v>133</v>
      </c>
      <c r="M4480" s="2" t="s">
        <v>109</v>
      </c>
      <c r="P4480" s="2" t="s">
        <v>114</v>
      </c>
      <c r="Q4480" s="16" t="s">
        <v>412</v>
      </c>
      <c r="R4480" s="15" t="s">
        <v>413</v>
      </c>
      <c r="S4480" s="13">
        <v>1</v>
      </c>
      <c r="T4480" s="2">
        <v>15000</v>
      </c>
      <c r="U4480" s="2">
        <f t="shared" ref="U4480:U4483" si="701">T4480*23%</f>
        <v>3450</v>
      </c>
      <c r="V4480" s="2">
        <f t="shared" ref="V4480:V4483" si="702">T4480+U4480</f>
        <v>18450</v>
      </c>
      <c r="W4480" s="2">
        <v>10985.15</v>
      </c>
      <c r="X4480" s="5">
        <f t="shared" si="699"/>
        <v>0.26765666666666671</v>
      </c>
      <c r="Z4480" s="2" t="s">
        <v>104</v>
      </c>
      <c r="AA4480" s="2" t="s">
        <v>414</v>
      </c>
      <c r="AB4480" s="2" t="s">
        <v>151</v>
      </c>
      <c r="AC4480" s="2" t="s">
        <v>114</v>
      </c>
      <c r="AK4480" s="2">
        <f t="shared" si="698"/>
        <v>4014.8500000000004</v>
      </c>
      <c r="AL4480" s="5">
        <f t="shared" si="700"/>
        <v>0.26765666666666671</v>
      </c>
    </row>
    <row r="4481" spans="1:38" x14ac:dyDescent="0.2">
      <c r="A4481" s="2">
        <v>2026</v>
      </c>
      <c r="B4481" s="2">
        <v>7</v>
      </c>
      <c r="C4481" s="2" t="s">
        <v>3425</v>
      </c>
      <c r="D4481" s="2" t="s">
        <v>781</v>
      </c>
      <c r="E4481" s="2" t="s">
        <v>38</v>
      </c>
      <c r="F4481" s="2" t="s">
        <v>39</v>
      </c>
      <c r="G4481" s="2">
        <v>510219675</v>
      </c>
      <c r="H4481" s="2" t="s">
        <v>40</v>
      </c>
      <c r="I4481" s="2" t="s">
        <v>782</v>
      </c>
      <c r="J4481" s="2" t="s">
        <v>783</v>
      </c>
      <c r="K4481" s="2">
        <v>917341136</v>
      </c>
      <c r="L4481" s="2" t="s">
        <v>99</v>
      </c>
      <c r="M4481" s="2" t="s">
        <v>80</v>
      </c>
      <c r="P4481" s="2" t="s">
        <v>84</v>
      </c>
      <c r="Q4481" s="29" t="s">
        <v>274</v>
      </c>
      <c r="R4481" s="29" t="s">
        <v>275</v>
      </c>
      <c r="S4481" s="28">
        <v>1</v>
      </c>
      <c r="T4481" s="27">
        <v>6</v>
      </c>
      <c r="U4481" s="2">
        <f t="shared" si="701"/>
        <v>1.3800000000000001</v>
      </c>
      <c r="V4481" s="2">
        <f t="shared" si="702"/>
        <v>7.38</v>
      </c>
      <c r="W4481" s="2">
        <v>2.94</v>
      </c>
      <c r="X4481" s="5">
        <f t="shared" si="699"/>
        <v>0.51</v>
      </c>
      <c r="Z4481" s="2" t="s">
        <v>3227</v>
      </c>
      <c r="AA4481" s="2" t="s">
        <v>87</v>
      </c>
      <c r="AB4481" s="2" t="s">
        <v>90</v>
      </c>
      <c r="AC4481" s="2" t="s">
        <v>84</v>
      </c>
      <c r="AK4481" s="2">
        <f t="shared" si="698"/>
        <v>3.06</v>
      </c>
      <c r="AL4481" s="5">
        <f t="shared" si="700"/>
        <v>0.51</v>
      </c>
    </row>
    <row r="4482" spans="1:38" x14ac:dyDescent="0.2">
      <c r="A4482" s="2">
        <v>2026</v>
      </c>
      <c r="B4482" s="2">
        <v>7</v>
      </c>
      <c r="C4482" s="2" t="s">
        <v>3425</v>
      </c>
      <c r="D4482" s="2" t="s">
        <v>781</v>
      </c>
      <c r="E4482" s="2" t="s">
        <v>38</v>
      </c>
      <c r="F4482" s="2" t="s">
        <v>39</v>
      </c>
      <c r="G4482" s="2">
        <v>510219675</v>
      </c>
      <c r="H4482" s="2" t="s">
        <v>40</v>
      </c>
      <c r="I4482" s="2" t="s">
        <v>782</v>
      </c>
      <c r="J4482" s="2" t="s">
        <v>783</v>
      </c>
      <c r="K4482" s="2">
        <v>917341136</v>
      </c>
      <c r="L4482" s="2" t="s">
        <v>99</v>
      </c>
      <c r="M4482" s="2" t="s">
        <v>80</v>
      </c>
      <c r="P4482" s="2" t="s">
        <v>84</v>
      </c>
      <c r="Q4482" s="29" t="s">
        <v>276</v>
      </c>
      <c r="R4482" s="29" t="s">
        <v>277</v>
      </c>
      <c r="S4482" s="28">
        <v>1</v>
      </c>
      <c r="T4482" s="27">
        <v>7.2</v>
      </c>
      <c r="U4482" s="2">
        <f t="shared" si="701"/>
        <v>1.6560000000000001</v>
      </c>
      <c r="V4482" s="2">
        <f t="shared" si="702"/>
        <v>8.8559999999999999</v>
      </c>
      <c r="W4482" s="2">
        <v>2.5051000000000001</v>
      </c>
      <c r="X4482" s="5">
        <f t="shared" si="699"/>
        <v>0.65206944444444448</v>
      </c>
      <c r="Z4482" s="2" t="s">
        <v>3227</v>
      </c>
      <c r="AA4482" s="2" t="s">
        <v>87</v>
      </c>
      <c r="AB4482" s="2" t="s">
        <v>90</v>
      </c>
      <c r="AC4482" s="2" t="s">
        <v>84</v>
      </c>
      <c r="AK4482" s="2">
        <f t="shared" si="698"/>
        <v>4.6949000000000005</v>
      </c>
      <c r="AL4482" s="5">
        <f t="shared" si="700"/>
        <v>0.65206944444444448</v>
      </c>
    </row>
    <row r="4483" spans="1:38" x14ac:dyDescent="0.2">
      <c r="A4483" s="2">
        <v>2026</v>
      </c>
      <c r="B4483" s="2">
        <v>7</v>
      </c>
      <c r="C4483" s="2" t="s">
        <v>3425</v>
      </c>
      <c r="D4483" s="29" t="s">
        <v>3109</v>
      </c>
      <c r="E4483" s="2" t="s">
        <v>38</v>
      </c>
      <c r="F4483" s="2" t="s">
        <v>39</v>
      </c>
      <c r="L4483" s="2" t="s">
        <v>99</v>
      </c>
      <c r="M4483" s="2" t="s">
        <v>80</v>
      </c>
      <c r="P4483" s="2" t="s">
        <v>43</v>
      </c>
      <c r="Q4483" s="29" t="s">
        <v>2869</v>
      </c>
      <c r="R4483" s="29" t="s">
        <v>2870</v>
      </c>
      <c r="S4483" s="28">
        <v>1</v>
      </c>
      <c r="T4483" s="2">
        <v>63.6</v>
      </c>
      <c r="U4483" s="2">
        <f t="shared" si="701"/>
        <v>14.628</v>
      </c>
      <c r="V4483" s="2">
        <f t="shared" si="702"/>
        <v>78.228000000000009</v>
      </c>
      <c r="W4483" s="2">
        <v>35.78</v>
      </c>
      <c r="X4483" s="5">
        <f t="shared" si="699"/>
        <v>0.43742138364779876</v>
      </c>
      <c r="Z4483" s="2" t="s">
        <v>3227</v>
      </c>
      <c r="AA4483" s="2" t="s">
        <v>46</v>
      </c>
      <c r="AB4483" s="2" t="s">
        <v>90</v>
      </c>
      <c r="AC4483" s="2" t="s">
        <v>57</v>
      </c>
      <c r="AK4483" s="2">
        <f t="shared" si="698"/>
        <v>27.82</v>
      </c>
      <c r="AL4483" s="5">
        <f t="shared" si="700"/>
        <v>0.43742138364779876</v>
      </c>
    </row>
    <row r="4484" spans="1:38" x14ac:dyDescent="0.2">
      <c r="A4484" s="2">
        <v>2026</v>
      </c>
      <c r="B4484" s="2">
        <v>7</v>
      </c>
      <c r="C4484" s="2" t="s">
        <v>3425</v>
      </c>
      <c r="D4484" s="29" t="s">
        <v>3109</v>
      </c>
      <c r="E4484" s="2" t="s">
        <v>38</v>
      </c>
      <c r="F4484" s="2" t="s">
        <v>39</v>
      </c>
      <c r="L4484" s="2" t="s">
        <v>99</v>
      </c>
      <c r="M4484" s="2" t="s">
        <v>80</v>
      </c>
      <c r="P4484" s="2" t="s">
        <v>84</v>
      </c>
      <c r="Q4484" s="29" t="s">
        <v>270</v>
      </c>
      <c r="R4484" s="29" t="s">
        <v>271</v>
      </c>
      <c r="S4484" s="28">
        <v>1</v>
      </c>
      <c r="T4484" s="2">
        <v>12</v>
      </c>
      <c r="U4484" s="2">
        <f t="shared" ref="U4484" si="703">T4484*23%</f>
        <v>2.7600000000000002</v>
      </c>
      <c r="V4484" s="2">
        <f t="shared" ref="V4484:V4486" si="704">T4484+U4484</f>
        <v>14.76</v>
      </c>
      <c r="W4484" s="2">
        <v>6.86</v>
      </c>
      <c r="X4484" s="5">
        <f t="shared" ref="X4484:X4529" si="705">(T4484-W4484)/T4484</f>
        <v>0.42833333333333329</v>
      </c>
      <c r="Z4484" s="2" t="s">
        <v>3227</v>
      </c>
      <c r="AA4484" s="2" t="s">
        <v>87</v>
      </c>
      <c r="AB4484" s="2" t="s">
        <v>90</v>
      </c>
      <c r="AC4484" s="2" t="s">
        <v>84</v>
      </c>
      <c r="AK4484" s="2">
        <f t="shared" ref="AK4484" si="706">T4484-W4484</f>
        <v>5.14</v>
      </c>
      <c r="AL4484" s="5">
        <f t="shared" ref="AL4484" si="707">(T4484-W4484)/T4484</f>
        <v>0.42833333333333329</v>
      </c>
    </row>
    <row r="4485" spans="1:38" x14ac:dyDescent="0.2">
      <c r="A4485" s="2">
        <v>2026</v>
      </c>
      <c r="B4485" s="2">
        <v>7</v>
      </c>
      <c r="C4485" s="2" t="s">
        <v>3476</v>
      </c>
      <c r="D4485" s="2" t="s">
        <v>3477</v>
      </c>
      <c r="E4485" s="2" t="s">
        <v>38</v>
      </c>
      <c r="F4485" s="2" t="s">
        <v>39</v>
      </c>
      <c r="L4485" s="2" t="s">
        <v>339</v>
      </c>
      <c r="M4485" s="2" t="s">
        <v>40</v>
      </c>
      <c r="P4485" s="2" t="s">
        <v>169</v>
      </c>
      <c r="Q4485" s="33" t="s">
        <v>170</v>
      </c>
      <c r="R4485" s="33" t="s">
        <v>170</v>
      </c>
      <c r="S4485" s="32">
        <v>1</v>
      </c>
      <c r="T4485" s="31">
        <v>10</v>
      </c>
      <c r="U4485" s="2">
        <f>T4485*23%</f>
        <v>2.3000000000000003</v>
      </c>
      <c r="V4485" s="2">
        <f t="shared" si="704"/>
        <v>12.3</v>
      </c>
      <c r="W4485" s="2">
        <v>8</v>
      </c>
      <c r="X4485" s="5">
        <f t="shared" si="705"/>
        <v>0.2</v>
      </c>
      <c r="Z4485" s="2" t="s">
        <v>169</v>
      </c>
      <c r="AA4485" s="2" t="s">
        <v>169</v>
      </c>
      <c r="AK4485" s="2">
        <f t="shared" ref="AK4485:AK4486" si="708">T4485-W4485</f>
        <v>2</v>
      </c>
      <c r="AL4485" s="5">
        <f t="shared" ref="AL4485:AL4486" si="709">(T4485-W4485)/T4485</f>
        <v>0.2</v>
      </c>
    </row>
    <row r="4486" spans="1:38" x14ac:dyDescent="0.2">
      <c r="A4486" s="2">
        <v>2026</v>
      </c>
      <c r="B4486" s="2">
        <v>7</v>
      </c>
      <c r="C4486" s="2" t="s">
        <v>3476</v>
      </c>
      <c r="D4486" s="2" t="s">
        <v>3477</v>
      </c>
      <c r="E4486" s="2" t="s">
        <v>38</v>
      </c>
      <c r="F4486" s="2" t="s">
        <v>39</v>
      </c>
      <c r="L4486" s="2" t="s">
        <v>339</v>
      </c>
      <c r="M4486" s="2" t="s">
        <v>40</v>
      </c>
      <c r="P4486" s="2" t="s">
        <v>187</v>
      </c>
      <c r="Q4486" s="33" t="s">
        <v>1308</v>
      </c>
      <c r="R4486" s="33" t="s">
        <v>1309</v>
      </c>
      <c r="S4486" s="32">
        <v>1</v>
      </c>
      <c r="T4486" s="31">
        <v>133</v>
      </c>
      <c r="U4486" s="2">
        <f>T4486*23%</f>
        <v>30.59</v>
      </c>
      <c r="V4486" s="2">
        <f t="shared" si="704"/>
        <v>163.59</v>
      </c>
      <c r="X4486" s="5">
        <f t="shared" si="705"/>
        <v>1</v>
      </c>
      <c r="Z4486" s="2" t="s">
        <v>117</v>
      </c>
      <c r="AA4486" s="2" t="s">
        <v>1310</v>
      </c>
      <c r="AK4486" s="2">
        <f t="shared" si="708"/>
        <v>133</v>
      </c>
      <c r="AL4486" s="5">
        <f t="shared" si="709"/>
        <v>1</v>
      </c>
    </row>
    <row r="4487" spans="1:38" x14ac:dyDescent="0.2">
      <c r="A4487" s="2">
        <v>2026</v>
      </c>
      <c r="B4487" s="2">
        <v>7</v>
      </c>
      <c r="C4487" s="2" t="s">
        <v>3476</v>
      </c>
      <c r="D4487" s="2" t="s">
        <v>941</v>
      </c>
      <c r="E4487" s="2" t="s">
        <v>38</v>
      </c>
      <c r="F4487" s="2" t="s">
        <v>39</v>
      </c>
      <c r="L4487" s="2" t="s">
        <v>177</v>
      </c>
      <c r="M4487" s="2" t="s">
        <v>41</v>
      </c>
      <c r="P4487" s="2" t="s">
        <v>43</v>
      </c>
      <c r="Q4487" s="33" t="s">
        <v>48</v>
      </c>
      <c r="R4487" s="33" t="s">
        <v>49</v>
      </c>
      <c r="S4487" s="32">
        <v>2</v>
      </c>
      <c r="T4487" s="31">
        <v>26</v>
      </c>
      <c r="U4487" s="2">
        <f t="shared" ref="U4487:U4512" si="710">T4487*23%</f>
        <v>5.98</v>
      </c>
      <c r="V4487" s="2">
        <f t="shared" ref="V4487:V4493" si="711">T4487+U4487</f>
        <v>31.98</v>
      </c>
      <c r="W4487" s="2">
        <f>6.6267*S4487</f>
        <v>13.253399999999999</v>
      </c>
      <c r="X4487" s="5">
        <f t="shared" si="705"/>
        <v>0.49025384615384621</v>
      </c>
      <c r="Z4487" s="2" t="s">
        <v>3227</v>
      </c>
      <c r="AA4487" s="2" t="s">
        <v>46</v>
      </c>
      <c r="AB4487" s="2" t="s">
        <v>47</v>
      </c>
      <c r="AC4487" s="2" t="s">
        <v>57</v>
      </c>
      <c r="AK4487" s="2">
        <f t="shared" ref="AK4487:AK4516" si="712">T4487-W4487</f>
        <v>12.746600000000001</v>
      </c>
      <c r="AL4487" s="5">
        <f t="shared" ref="AL4487:AL4516" si="713">(T4487-W4487)/T4487</f>
        <v>0.49025384615384621</v>
      </c>
    </row>
    <row r="4488" spans="1:38" x14ac:dyDescent="0.2">
      <c r="A4488" s="2">
        <v>2026</v>
      </c>
      <c r="B4488" s="2">
        <v>7</v>
      </c>
      <c r="C4488" s="2" t="s">
        <v>3476</v>
      </c>
      <c r="D4488" s="33" t="s">
        <v>3478</v>
      </c>
      <c r="E4488" s="2" t="s">
        <v>3377</v>
      </c>
      <c r="F4488" s="2" t="s">
        <v>39</v>
      </c>
      <c r="L4488" s="2" t="s">
        <v>99</v>
      </c>
      <c r="M4488" s="2" t="s">
        <v>41</v>
      </c>
      <c r="P4488" s="2" t="s">
        <v>282</v>
      </c>
      <c r="Q4488" s="33" t="s">
        <v>3089</v>
      </c>
      <c r="R4488" s="33" t="s">
        <v>3090</v>
      </c>
      <c r="S4488" s="32">
        <v>1</v>
      </c>
      <c r="T4488" s="31">
        <v>2490</v>
      </c>
      <c r="U4488" s="2">
        <f t="shared" si="710"/>
        <v>572.70000000000005</v>
      </c>
      <c r="V4488" s="2">
        <f t="shared" si="711"/>
        <v>3062.7</v>
      </c>
      <c r="W4488" s="2">
        <f>1907.5+49</f>
        <v>1956.5</v>
      </c>
      <c r="X4488" s="5">
        <f t="shared" si="705"/>
        <v>0.21425702811244979</v>
      </c>
      <c r="Z4488" s="2" t="s">
        <v>104</v>
      </c>
      <c r="AA4488" s="2" t="s">
        <v>387</v>
      </c>
      <c r="AB4488" s="2" t="s">
        <v>1330</v>
      </c>
      <c r="AC4488" s="2" t="s">
        <v>1327</v>
      </c>
      <c r="AK4488" s="2">
        <f t="shared" si="712"/>
        <v>533.5</v>
      </c>
      <c r="AL4488" s="5">
        <f t="shared" si="713"/>
        <v>0.21425702811244979</v>
      </c>
    </row>
    <row r="4489" spans="1:38" x14ac:dyDescent="0.2">
      <c r="A4489" s="2">
        <v>2026</v>
      </c>
      <c r="B4489" s="2">
        <v>7</v>
      </c>
      <c r="C4489" s="2" t="s">
        <v>3476</v>
      </c>
      <c r="D4489" s="33" t="s">
        <v>3478</v>
      </c>
      <c r="E4489" s="2" t="s">
        <v>3377</v>
      </c>
      <c r="F4489" s="2" t="s">
        <v>39</v>
      </c>
      <c r="L4489" s="2" t="s">
        <v>99</v>
      </c>
      <c r="M4489" s="2" t="s">
        <v>41</v>
      </c>
      <c r="P4489" s="2" t="s">
        <v>282</v>
      </c>
      <c r="Q4489" s="33" t="s">
        <v>1325</v>
      </c>
      <c r="R4489" s="33" t="s">
        <v>1326</v>
      </c>
      <c r="S4489" s="32">
        <v>1</v>
      </c>
      <c r="T4489" s="31">
        <v>0</v>
      </c>
      <c r="U4489" s="2">
        <f t="shared" si="710"/>
        <v>0</v>
      </c>
      <c r="V4489" s="2">
        <f t="shared" si="711"/>
        <v>0</v>
      </c>
      <c r="W4489" s="2">
        <v>25.9</v>
      </c>
      <c r="Z4489" s="2" t="s">
        <v>3227</v>
      </c>
      <c r="AA4489" s="2" t="s">
        <v>578</v>
      </c>
      <c r="AB4489" s="2" t="s">
        <v>119</v>
      </c>
      <c r="AC4489" s="2" t="s">
        <v>1327</v>
      </c>
      <c r="AK4489" s="2">
        <f t="shared" si="712"/>
        <v>-25.9</v>
      </c>
    </row>
    <row r="4490" spans="1:38" x14ac:dyDescent="0.2">
      <c r="A4490" s="2">
        <v>2026</v>
      </c>
      <c r="B4490" s="2">
        <v>7</v>
      </c>
      <c r="C4490" s="2" t="s">
        <v>3476</v>
      </c>
      <c r="D4490" s="33" t="s">
        <v>2767</v>
      </c>
      <c r="E4490" s="2" t="s">
        <v>38</v>
      </c>
      <c r="F4490" s="2" t="s">
        <v>39</v>
      </c>
      <c r="G4490" s="2">
        <v>500041946</v>
      </c>
      <c r="H4490" s="2" t="s">
        <v>109</v>
      </c>
      <c r="I4490" s="2" t="s">
        <v>133</v>
      </c>
      <c r="J4490" s="2" t="s">
        <v>2768</v>
      </c>
      <c r="L4490" s="2" t="s">
        <v>133</v>
      </c>
      <c r="M4490" s="2" t="s">
        <v>80</v>
      </c>
      <c r="P4490" s="2" t="s">
        <v>1038</v>
      </c>
      <c r="Q4490" s="33" t="s">
        <v>1928</v>
      </c>
      <c r="R4490" s="33" t="s">
        <v>1929</v>
      </c>
      <c r="S4490" s="32">
        <v>4</v>
      </c>
      <c r="T4490" s="31">
        <v>682.93</v>
      </c>
      <c r="U4490" s="2">
        <f t="shared" si="710"/>
        <v>157.07390000000001</v>
      </c>
      <c r="V4490" s="2">
        <f t="shared" si="711"/>
        <v>840.00389999999993</v>
      </c>
      <c r="W4490" s="2">
        <f>119.81*S4490</f>
        <v>479.24</v>
      </c>
      <c r="X4490" s="5">
        <f t="shared" si="705"/>
        <v>0.2982589723690568</v>
      </c>
      <c r="Z4490" s="2" t="s">
        <v>3227</v>
      </c>
      <c r="AA4490" s="2" t="s">
        <v>1041</v>
      </c>
      <c r="AB4490" s="2" t="s">
        <v>1318</v>
      </c>
      <c r="AC4490" s="2" t="s">
        <v>1038</v>
      </c>
      <c r="AK4490" s="2">
        <f t="shared" si="712"/>
        <v>203.68999999999994</v>
      </c>
      <c r="AL4490" s="5">
        <f t="shared" si="713"/>
        <v>0.2982589723690568</v>
      </c>
    </row>
    <row r="4491" spans="1:38" x14ac:dyDescent="0.2">
      <c r="A4491" s="2">
        <v>2026</v>
      </c>
      <c r="B4491" s="2">
        <v>7</v>
      </c>
      <c r="C4491" s="2" t="s">
        <v>3476</v>
      </c>
      <c r="D4491" s="33" t="s">
        <v>2767</v>
      </c>
      <c r="E4491" s="2" t="s">
        <v>38</v>
      </c>
      <c r="F4491" s="2" t="s">
        <v>39</v>
      </c>
      <c r="G4491" s="2">
        <v>500041946</v>
      </c>
      <c r="H4491" s="2" t="s">
        <v>109</v>
      </c>
      <c r="I4491" s="2" t="s">
        <v>133</v>
      </c>
      <c r="J4491" s="2" t="s">
        <v>2768</v>
      </c>
      <c r="L4491" s="2" t="s">
        <v>133</v>
      </c>
      <c r="M4491" s="2" t="s">
        <v>80</v>
      </c>
      <c r="P4491" s="2" t="s">
        <v>169</v>
      </c>
      <c r="Q4491" s="33" t="s">
        <v>170</v>
      </c>
      <c r="R4491" s="33" t="s">
        <v>170</v>
      </c>
      <c r="S4491" s="32">
        <v>1</v>
      </c>
      <c r="T4491" s="31">
        <v>30</v>
      </c>
      <c r="U4491" s="2">
        <f t="shared" si="710"/>
        <v>6.9</v>
      </c>
      <c r="V4491" s="2">
        <f t="shared" si="711"/>
        <v>36.9</v>
      </c>
      <c r="W4491" s="2">
        <v>43</v>
      </c>
      <c r="X4491" s="18">
        <f t="shared" si="705"/>
        <v>-0.43333333333333335</v>
      </c>
      <c r="Z4491" s="2" t="s">
        <v>169</v>
      </c>
      <c r="AA4491" s="2" t="s">
        <v>169</v>
      </c>
      <c r="AK4491" s="2">
        <f t="shared" si="712"/>
        <v>-13</v>
      </c>
      <c r="AL4491" s="18">
        <f t="shared" si="713"/>
        <v>-0.43333333333333335</v>
      </c>
    </row>
    <row r="4492" spans="1:38" x14ac:dyDescent="0.2">
      <c r="A4492" s="2">
        <v>2026</v>
      </c>
      <c r="B4492" s="2">
        <v>7</v>
      </c>
      <c r="C4492" s="2" t="s">
        <v>3476</v>
      </c>
      <c r="D4492" s="15" t="s">
        <v>744</v>
      </c>
      <c r="E4492" s="2" t="s">
        <v>108</v>
      </c>
      <c r="F4492" s="2" t="s">
        <v>39</v>
      </c>
      <c r="G4492" s="2">
        <v>509181163</v>
      </c>
      <c r="H4492" s="2" t="s">
        <v>40</v>
      </c>
      <c r="I4492" s="2" t="s">
        <v>745</v>
      </c>
      <c r="J4492" s="2" t="s">
        <v>746</v>
      </c>
      <c r="K4492" s="2">
        <v>962372760</v>
      </c>
      <c r="L4492" s="2" t="s">
        <v>201</v>
      </c>
      <c r="M4492" s="2" t="s">
        <v>40</v>
      </c>
      <c r="P4492" s="2" t="s">
        <v>187</v>
      </c>
      <c r="Q4492" s="33" t="s">
        <v>188</v>
      </c>
      <c r="R4492" s="33" t="s">
        <v>189</v>
      </c>
      <c r="S4492" s="32">
        <v>2</v>
      </c>
      <c r="T4492" s="31">
        <v>147</v>
      </c>
      <c r="U4492" s="2">
        <f t="shared" si="710"/>
        <v>33.81</v>
      </c>
      <c r="V4492" s="2">
        <f t="shared" si="711"/>
        <v>180.81</v>
      </c>
      <c r="W4492" s="2">
        <f>T4492*40%</f>
        <v>58.800000000000004</v>
      </c>
      <c r="X4492" s="5">
        <f t="shared" si="705"/>
        <v>0.6</v>
      </c>
      <c r="Z4492" s="2" t="s">
        <v>117</v>
      </c>
      <c r="AA4492" s="2" t="s">
        <v>190</v>
      </c>
      <c r="AB4492" s="2" t="s">
        <v>189</v>
      </c>
      <c r="AC4492" s="2" t="s">
        <v>40</v>
      </c>
      <c r="AK4492" s="2">
        <f t="shared" si="712"/>
        <v>88.199999999999989</v>
      </c>
      <c r="AL4492" s="5">
        <f t="shared" si="713"/>
        <v>0.6</v>
      </c>
    </row>
    <row r="4493" spans="1:38" x14ac:dyDescent="0.2">
      <c r="A4493" s="2">
        <v>2026</v>
      </c>
      <c r="B4493" s="2">
        <v>7</v>
      </c>
      <c r="C4493" s="2" t="s">
        <v>3476</v>
      </c>
      <c r="D4493" s="15" t="s">
        <v>744</v>
      </c>
      <c r="E4493" s="2" t="s">
        <v>108</v>
      </c>
      <c r="F4493" s="2" t="s">
        <v>39</v>
      </c>
      <c r="G4493" s="2">
        <v>509181163</v>
      </c>
      <c r="H4493" s="2" t="s">
        <v>40</v>
      </c>
      <c r="I4493" s="2" t="s">
        <v>745</v>
      </c>
      <c r="J4493" s="2" t="s">
        <v>746</v>
      </c>
      <c r="K4493" s="2">
        <v>962372760</v>
      </c>
      <c r="L4493" s="2" t="s">
        <v>201</v>
      </c>
      <c r="M4493" s="2" t="s">
        <v>40</v>
      </c>
      <c r="P4493" s="2" t="s">
        <v>187</v>
      </c>
      <c r="Q4493" s="33" t="s">
        <v>191</v>
      </c>
      <c r="R4493" s="33" t="s">
        <v>190</v>
      </c>
      <c r="S4493" s="32">
        <v>4</v>
      </c>
      <c r="T4493" s="31">
        <v>220</v>
      </c>
      <c r="U4493" s="2">
        <f t="shared" si="710"/>
        <v>50.6</v>
      </c>
      <c r="V4493" s="2">
        <f t="shared" si="711"/>
        <v>270.60000000000002</v>
      </c>
      <c r="W4493" s="2">
        <f>T4493*50%</f>
        <v>110</v>
      </c>
      <c r="X4493" s="5">
        <f t="shared" si="705"/>
        <v>0.5</v>
      </c>
      <c r="Z4493" s="2" t="s">
        <v>117</v>
      </c>
      <c r="AA4493" s="2" t="s">
        <v>190</v>
      </c>
      <c r="AB4493" s="2" t="s">
        <v>190</v>
      </c>
      <c r="AC4493" s="2" t="s">
        <v>40</v>
      </c>
      <c r="AK4493" s="2">
        <f t="shared" si="712"/>
        <v>110</v>
      </c>
      <c r="AL4493" s="5">
        <f t="shared" si="713"/>
        <v>0.5</v>
      </c>
    </row>
    <row r="4494" spans="1:38" x14ac:dyDescent="0.2">
      <c r="A4494" s="2">
        <v>2026</v>
      </c>
      <c r="B4494" s="2">
        <v>7</v>
      </c>
      <c r="C4494" s="2" t="s">
        <v>3476</v>
      </c>
      <c r="D4494" s="15" t="s">
        <v>744</v>
      </c>
      <c r="E4494" s="2" t="s">
        <v>108</v>
      </c>
      <c r="F4494" s="2" t="s">
        <v>39</v>
      </c>
      <c r="G4494" s="2">
        <v>509181163</v>
      </c>
      <c r="H4494" s="2" t="s">
        <v>40</v>
      </c>
      <c r="I4494" s="2" t="s">
        <v>745</v>
      </c>
      <c r="J4494" s="2" t="s">
        <v>746</v>
      </c>
      <c r="K4494" s="2">
        <v>962372760</v>
      </c>
      <c r="L4494" s="2" t="s">
        <v>201</v>
      </c>
      <c r="M4494" s="2" t="s">
        <v>40</v>
      </c>
      <c r="P4494" s="2" t="s">
        <v>187</v>
      </c>
      <c r="Q4494" s="33" t="s">
        <v>363</v>
      </c>
      <c r="R4494" s="33" t="s">
        <v>364</v>
      </c>
      <c r="S4494" s="32">
        <v>1</v>
      </c>
      <c r="T4494" s="31">
        <v>297.5</v>
      </c>
      <c r="U4494" s="2">
        <f t="shared" si="710"/>
        <v>68.424999999999997</v>
      </c>
      <c r="V4494" s="2">
        <f t="shared" ref="V4494:V4497" si="714">T4494+U4494</f>
        <v>365.92500000000001</v>
      </c>
      <c r="X4494" s="5">
        <f t="shared" si="705"/>
        <v>1</v>
      </c>
      <c r="Z4494" s="2" t="s">
        <v>117</v>
      </c>
      <c r="AA4494" s="2" t="s">
        <v>1310</v>
      </c>
      <c r="AK4494" s="2">
        <f t="shared" si="712"/>
        <v>297.5</v>
      </c>
      <c r="AL4494" s="5">
        <f t="shared" si="713"/>
        <v>1</v>
      </c>
    </row>
    <row r="4495" spans="1:38" x14ac:dyDescent="0.2">
      <c r="A4495" s="2">
        <v>2026</v>
      </c>
      <c r="B4495" s="2">
        <v>7</v>
      </c>
      <c r="C4495" s="2" t="s">
        <v>3476</v>
      </c>
      <c r="D4495" s="33" t="s">
        <v>1006</v>
      </c>
      <c r="E4495" s="2" t="s">
        <v>108</v>
      </c>
      <c r="F4495" s="2" t="s">
        <v>39</v>
      </c>
      <c r="L4495" s="2" t="s">
        <v>177</v>
      </c>
      <c r="M4495" s="2" t="s">
        <v>41</v>
      </c>
      <c r="P4495" s="2" t="s">
        <v>282</v>
      </c>
      <c r="Q4495" s="33" t="s">
        <v>399</v>
      </c>
      <c r="R4495" s="33" t="s">
        <v>400</v>
      </c>
      <c r="S4495" s="32">
        <v>10</v>
      </c>
      <c r="T4495" s="31">
        <v>200</v>
      </c>
      <c r="U4495" s="2">
        <f t="shared" si="710"/>
        <v>46</v>
      </c>
      <c r="V4495" s="2">
        <f t="shared" si="714"/>
        <v>246</v>
      </c>
      <c r="W4495" s="2">
        <f t="shared" ref="W4495:W4498" si="715">14.5099*S4495</f>
        <v>145.09899999999999</v>
      </c>
      <c r="X4495" s="5">
        <f t="shared" si="705"/>
        <v>0.27450500000000005</v>
      </c>
      <c r="Z4495" s="2" t="s">
        <v>3227</v>
      </c>
      <c r="AA4495" s="2" t="s">
        <v>46</v>
      </c>
      <c r="AB4495" s="2" t="s">
        <v>60</v>
      </c>
      <c r="AC4495" s="2" t="s">
        <v>3332</v>
      </c>
      <c r="AK4495" s="2">
        <f t="shared" si="712"/>
        <v>54.90100000000001</v>
      </c>
      <c r="AL4495" s="5">
        <f t="shared" si="713"/>
        <v>0.27450500000000005</v>
      </c>
    </row>
    <row r="4496" spans="1:38" x14ac:dyDescent="0.2">
      <c r="A4496" s="2">
        <v>2026</v>
      </c>
      <c r="B4496" s="2">
        <v>7</v>
      </c>
      <c r="C4496" s="2" t="s">
        <v>3476</v>
      </c>
      <c r="D4496" s="33" t="s">
        <v>1006</v>
      </c>
      <c r="E4496" s="2" t="s">
        <v>108</v>
      </c>
      <c r="F4496" s="2" t="s">
        <v>39</v>
      </c>
      <c r="L4496" s="2" t="s">
        <v>177</v>
      </c>
      <c r="M4496" s="2" t="s">
        <v>41</v>
      </c>
      <c r="P4496" s="2" t="s">
        <v>282</v>
      </c>
      <c r="Q4496" s="33" t="s">
        <v>401</v>
      </c>
      <c r="R4496" s="33" t="s">
        <v>402</v>
      </c>
      <c r="S4496" s="32">
        <v>10</v>
      </c>
      <c r="T4496" s="31">
        <v>200</v>
      </c>
      <c r="U4496" s="2">
        <f t="shared" si="710"/>
        <v>46</v>
      </c>
      <c r="V4496" s="2">
        <f t="shared" si="714"/>
        <v>246</v>
      </c>
      <c r="W4496" s="2">
        <f t="shared" si="715"/>
        <v>145.09899999999999</v>
      </c>
      <c r="X4496" s="5">
        <f t="shared" si="705"/>
        <v>0.27450500000000005</v>
      </c>
      <c r="Z4496" s="2" t="s">
        <v>3227</v>
      </c>
      <c r="AA4496" s="2" t="s">
        <v>46</v>
      </c>
      <c r="AB4496" s="2" t="s">
        <v>60</v>
      </c>
      <c r="AC4496" s="2" t="s">
        <v>3332</v>
      </c>
      <c r="AK4496" s="2">
        <f t="shared" si="712"/>
        <v>54.90100000000001</v>
      </c>
      <c r="AL4496" s="5">
        <f t="shared" si="713"/>
        <v>0.27450500000000005</v>
      </c>
    </row>
    <row r="4497" spans="1:38" x14ac:dyDescent="0.2">
      <c r="A4497" s="2">
        <v>2026</v>
      </c>
      <c r="B4497" s="2">
        <v>7</v>
      </c>
      <c r="C4497" s="2" t="s">
        <v>3476</v>
      </c>
      <c r="D4497" s="33" t="s">
        <v>769</v>
      </c>
      <c r="E4497" s="2" t="s">
        <v>108</v>
      </c>
      <c r="F4497" s="2" t="s">
        <v>376</v>
      </c>
      <c r="G4497" s="2">
        <v>505926768</v>
      </c>
      <c r="H4497" s="2" t="s">
        <v>290</v>
      </c>
      <c r="I4497" s="2" t="s">
        <v>770</v>
      </c>
      <c r="J4497" s="2" t="s">
        <v>771</v>
      </c>
      <c r="L4497" s="2" t="s">
        <v>339</v>
      </c>
      <c r="M4497" s="2" t="s">
        <v>80</v>
      </c>
      <c r="P4497" s="2" t="s">
        <v>282</v>
      </c>
      <c r="Q4497" s="33" t="s">
        <v>399</v>
      </c>
      <c r="R4497" s="33" t="s">
        <v>400</v>
      </c>
      <c r="S4497" s="32">
        <v>10</v>
      </c>
      <c r="T4497" s="31">
        <v>200</v>
      </c>
      <c r="U4497" s="2">
        <f t="shared" si="710"/>
        <v>46</v>
      </c>
      <c r="V4497" s="2">
        <f t="shared" si="714"/>
        <v>246</v>
      </c>
      <c r="W4497" s="2">
        <f t="shared" si="715"/>
        <v>145.09899999999999</v>
      </c>
      <c r="X4497" s="5">
        <f t="shared" si="705"/>
        <v>0.27450500000000005</v>
      </c>
      <c r="Z4497" s="2" t="s">
        <v>3227</v>
      </c>
      <c r="AA4497" s="2" t="s">
        <v>46</v>
      </c>
      <c r="AB4497" s="2" t="s">
        <v>60</v>
      </c>
      <c r="AC4497" s="2" t="s">
        <v>3332</v>
      </c>
      <c r="AK4497" s="2">
        <f t="shared" si="712"/>
        <v>54.90100000000001</v>
      </c>
      <c r="AL4497" s="5">
        <f t="shared" si="713"/>
        <v>0.27450500000000005</v>
      </c>
    </row>
    <row r="4498" spans="1:38" x14ac:dyDescent="0.2">
      <c r="A4498" s="2">
        <v>2026</v>
      </c>
      <c r="B4498" s="2">
        <v>7</v>
      </c>
      <c r="C4498" s="2" t="s">
        <v>3476</v>
      </c>
      <c r="D4498" s="33" t="s">
        <v>769</v>
      </c>
      <c r="E4498" s="2" t="s">
        <v>108</v>
      </c>
      <c r="F4498" s="2" t="s">
        <v>376</v>
      </c>
      <c r="G4498" s="2">
        <v>505926768</v>
      </c>
      <c r="H4498" s="2" t="s">
        <v>290</v>
      </c>
      <c r="I4498" s="2" t="s">
        <v>770</v>
      </c>
      <c r="J4498" s="2" t="s">
        <v>771</v>
      </c>
      <c r="L4498" s="2" t="s">
        <v>339</v>
      </c>
      <c r="M4498" s="2" t="s">
        <v>80</v>
      </c>
      <c r="P4498" s="2" t="s">
        <v>282</v>
      </c>
      <c r="Q4498" s="33" t="s">
        <v>401</v>
      </c>
      <c r="R4498" s="33" t="s">
        <v>402</v>
      </c>
      <c r="S4498" s="32">
        <v>10</v>
      </c>
      <c r="T4498" s="31">
        <v>200</v>
      </c>
      <c r="U4498" s="2">
        <f t="shared" si="710"/>
        <v>46</v>
      </c>
      <c r="V4498" s="2">
        <f t="shared" ref="V4498:V4505" si="716">T4498+U4498</f>
        <v>246</v>
      </c>
      <c r="W4498" s="2">
        <f t="shared" si="715"/>
        <v>145.09899999999999</v>
      </c>
      <c r="X4498" s="5">
        <f t="shared" si="705"/>
        <v>0.27450500000000005</v>
      </c>
      <c r="Z4498" s="2" t="s">
        <v>3227</v>
      </c>
      <c r="AA4498" s="2" t="s">
        <v>46</v>
      </c>
      <c r="AB4498" s="2" t="s">
        <v>60</v>
      </c>
      <c r="AC4498" s="2" t="s">
        <v>3332</v>
      </c>
      <c r="AK4498" s="2">
        <f t="shared" si="712"/>
        <v>54.90100000000001</v>
      </c>
      <c r="AL4498" s="5">
        <f t="shared" si="713"/>
        <v>0.27450500000000005</v>
      </c>
    </row>
    <row r="4499" spans="1:38" x14ac:dyDescent="0.2">
      <c r="A4499" s="2">
        <v>2026</v>
      </c>
      <c r="B4499" s="2">
        <v>7</v>
      </c>
      <c r="C4499" s="2" t="s">
        <v>3476</v>
      </c>
      <c r="D4499" s="33" t="s">
        <v>382</v>
      </c>
      <c r="E4499" s="2" t="s">
        <v>38</v>
      </c>
      <c r="F4499" s="2" t="s">
        <v>39</v>
      </c>
      <c r="G4499" s="2">
        <v>212196260</v>
      </c>
      <c r="H4499" s="2" t="s">
        <v>109</v>
      </c>
      <c r="I4499" s="2" t="s">
        <v>383</v>
      </c>
      <c r="J4499" s="2" t="s">
        <v>384</v>
      </c>
      <c r="K4499" s="2">
        <v>926769894</v>
      </c>
      <c r="L4499" s="2" t="s">
        <v>112</v>
      </c>
      <c r="M4499" s="2" t="s">
        <v>80</v>
      </c>
      <c r="P4499" s="2" t="s">
        <v>1038</v>
      </c>
      <c r="Q4499" s="33" t="s">
        <v>1856</v>
      </c>
      <c r="R4499" s="33" t="s">
        <v>1857</v>
      </c>
      <c r="S4499" s="32">
        <v>4</v>
      </c>
      <c r="T4499" s="31">
        <v>642.28</v>
      </c>
      <c r="U4499" s="2">
        <f t="shared" si="710"/>
        <v>147.7244</v>
      </c>
      <c r="V4499" s="2">
        <f t="shared" si="716"/>
        <v>790.00440000000003</v>
      </c>
      <c r="W4499" s="2">
        <f>112.4*S4499</f>
        <v>449.6</v>
      </c>
      <c r="X4499" s="5">
        <f t="shared" si="705"/>
        <v>0.29999377218658524</v>
      </c>
      <c r="Z4499" s="2" t="s">
        <v>3227</v>
      </c>
      <c r="AA4499" s="2" t="s">
        <v>1041</v>
      </c>
      <c r="AB4499" s="2" t="s">
        <v>1318</v>
      </c>
      <c r="AC4499" s="2" t="s">
        <v>1038</v>
      </c>
      <c r="AK4499" s="2">
        <f t="shared" si="712"/>
        <v>192.67999999999995</v>
      </c>
      <c r="AL4499" s="5">
        <f t="shared" si="713"/>
        <v>0.29999377218658524</v>
      </c>
    </row>
    <row r="4500" spans="1:38" x14ac:dyDescent="0.2">
      <c r="A4500" s="2">
        <v>2026</v>
      </c>
      <c r="B4500" s="2">
        <v>7</v>
      </c>
      <c r="C4500" s="2" t="s">
        <v>3476</v>
      </c>
      <c r="D4500" s="33" t="s">
        <v>451</v>
      </c>
      <c r="E4500" s="2" t="s">
        <v>108</v>
      </c>
      <c r="F4500" s="2" t="s">
        <v>39</v>
      </c>
      <c r="G4500" s="2">
        <v>506085686</v>
      </c>
      <c r="H4500" s="2" t="s">
        <v>40</v>
      </c>
      <c r="I4500" s="2" t="s">
        <v>452</v>
      </c>
      <c r="J4500" s="2" t="s">
        <v>453</v>
      </c>
      <c r="K4500" s="2">
        <v>917241919</v>
      </c>
      <c r="L4500" s="2" t="s">
        <v>398</v>
      </c>
      <c r="M4500" s="2" t="s">
        <v>40</v>
      </c>
      <c r="P4500" s="2" t="s">
        <v>187</v>
      </c>
      <c r="Q4500" s="33" t="s">
        <v>188</v>
      </c>
      <c r="R4500" s="33" t="s">
        <v>189</v>
      </c>
      <c r="S4500" s="32">
        <v>1</v>
      </c>
      <c r="T4500" s="31">
        <v>93</v>
      </c>
      <c r="U4500" s="2">
        <f t="shared" si="710"/>
        <v>21.39</v>
      </c>
      <c r="V4500" s="2">
        <f t="shared" si="716"/>
        <v>114.39</v>
      </c>
      <c r="W4500" s="2">
        <f>T4500*40%</f>
        <v>37.200000000000003</v>
      </c>
      <c r="X4500" s="5">
        <f t="shared" si="705"/>
        <v>0.6</v>
      </c>
      <c r="Z4500" s="2" t="s">
        <v>117</v>
      </c>
      <c r="AA4500" s="2" t="s">
        <v>190</v>
      </c>
      <c r="AB4500" s="2" t="s">
        <v>189</v>
      </c>
      <c r="AC4500" s="2" t="s">
        <v>40</v>
      </c>
      <c r="AK4500" s="2">
        <f t="shared" si="712"/>
        <v>55.8</v>
      </c>
      <c r="AL4500" s="5">
        <f t="shared" si="713"/>
        <v>0.6</v>
      </c>
    </row>
    <row r="4501" spans="1:38" x14ac:dyDescent="0.2">
      <c r="A4501" s="2">
        <v>2026</v>
      </c>
      <c r="B4501" s="2">
        <v>7</v>
      </c>
      <c r="C4501" s="2" t="s">
        <v>3476</v>
      </c>
      <c r="D4501" s="33" t="s">
        <v>451</v>
      </c>
      <c r="E4501" s="2" t="s">
        <v>108</v>
      </c>
      <c r="F4501" s="2" t="s">
        <v>39</v>
      </c>
      <c r="G4501" s="2">
        <v>506085686</v>
      </c>
      <c r="H4501" s="2" t="s">
        <v>40</v>
      </c>
      <c r="I4501" s="2" t="s">
        <v>452</v>
      </c>
      <c r="J4501" s="2" t="s">
        <v>453</v>
      </c>
      <c r="K4501" s="2">
        <v>917241919</v>
      </c>
      <c r="L4501" s="2" t="s">
        <v>398</v>
      </c>
      <c r="M4501" s="2" t="s">
        <v>40</v>
      </c>
      <c r="P4501" s="2" t="s">
        <v>187</v>
      </c>
      <c r="Q4501" s="33" t="s">
        <v>191</v>
      </c>
      <c r="R4501" s="33" t="s">
        <v>190</v>
      </c>
      <c r="S4501" s="32">
        <v>1</v>
      </c>
      <c r="T4501" s="31">
        <v>49.5</v>
      </c>
      <c r="U4501" s="2">
        <f t="shared" si="710"/>
        <v>11.385</v>
      </c>
      <c r="V4501" s="2">
        <f t="shared" si="716"/>
        <v>60.884999999999998</v>
      </c>
      <c r="W4501" s="2">
        <f>T4501*50%</f>
        <v>24.75</v>
      </c>
      <c r="X4501" s="5">
        <f t="shared" si="705"/>
        <v>0.5</v>
      </c>
      <c r="Z4501" s="2" t="s">
        <v>117</v>
      </c>
      <c r="AA4501" s="2" t="s">
        <v>190</v>
      </c>
      <c r="AB4501" s="2" t="s">
        <v>190</v>
      </c>
      <c r="AC4501" s="2" t="s">
        <v>40</v>
      </c>
      <c r="AK4501" s="2">
        <f t="shared" si="712"/>
        <v>24.75</v>
      </c>
      <c r="AL4501" s="5">
        <f t="shared" si="713"/>
        <v>0.5</v>
      </c>
    </row>
    <row r="4502" spans="1:38" x14ac:dyDescent="0.2">
      <c r="A4502" s="2">
        <v>2026</v>
      </c>
      <c r="B4502" s="2">
        <v>7</v>
      </c>
      <c r="C4502" s="2" t="s">
        <v>3476</v>
      </c>
      <c r="D4502" s="33" t="s">
        <v>3338</v>
      </c>
      <c r="E4502" s="2" t="s">
        <v>38</v>
      </c>
      <c r="F4502" s="2" t="s">
        <v>39</v>
      </c>
      <c r="L4502" s="2" t="s">
        <v>133</v>
      </c>
      <c r="M4502" s="2" t="s">
        <v>40</v>
      </c>
      <c r="P4502" s="2" t="s">
        <v>114</v>
      </c>
      <c r="Q4502" s="33" t="s">
        <v>3479</v>
      </c>
      <c r="R4502" s="33" t="s">
        <v>3480</v>
      </c>
      <c r="S4502" s="32">
        <v>1</v>
      </c>
      <c r="T4502" s="31">
        <v>163.55000000000001</v>
      </c>
      <c r="U4502" s="2">
        <f t="shared" si="710"/>
        <v>37.616500000000002</v>
      </c>
      <c r="V4502" s="2">
        <f t="shared" si="716"/>
        <v>201.16650000000001</v>
      </c>
      <c r="W4502" s="2">
        <v>70.135000000000005</v>
      </c>
      <c r="X4502" s="5">
        <f t="shared" si="705"/>
        <v>0.57117089575053503</v>
      </c>
      <c r="Z4502" s="2" t="s">
        <v>117</v>
      </c>
      <c r="AA4502" s="2" t="s">
        <v>118</v>
      </c>
      <c r="AB4502" s="2" t="s">
        <v>119</v>
      </c>
      <c r="AC4502" s="2" t="s">
        <v>114</v>
      </c>
      <c r="AK4502" s="2">
        <f t="shared" si="712"/>
        <v>93.415000000000006</v>
      </c>
      <c r="AL4502" s="5">
        <f t="shared" si="713"/>
        <v>0.57117089575053503</v>
      </c>
    </row>
    <row r="4503" spans="1:38" x14ac:dyDescent="0.2">
      <c r="A4503" s="2">
        <v>2026</v>
      </c>
      <c r="B4503" s="2">
        <v>7</v>
      </c>
      <c r="C4503" s="2" t="s">
        <v>3476</v>
      </c>
      <c r="D4503" s="33" t="s">
        <v>3338</v>
      </c>
      <c r="E4503" s="2" t="s">
        <v>38</v>
      </c>
      <c r="F4503" s="2" t="s">
        <v>39</v>
      </c>
      <c r="L4503" s="2" t="s">
        <v>133</v>
      </c>
      <c r="M4503" s="2" t="s">
        <v>40</v>
      </c>
      <c r="P4503" s="2" t="s">
        <v>114</v>
      </c>
      <c r="Q4503" s="33" t="s">
        <v>1655</v>
      </c>
      <c r="R4503" s="33" t="s">
        <v>1656</v>
      </c>
      <c r="S4503" s="32">
        <v>1</v>
      </c>
      <c r="T4503" s="31">
        <v>2635.57</v>
      </c>
      <c r="U4503" s="2">
        <f t="shared" si="710"/>
        <v>606.18110000000001</v>
      </c>
      <c r="V4503" s="2">
        <f t="shared" si="716"/>
        <v>3241.7511000000004</v>
      </c>
      <c r="W4503" s="2">
        <f>543.6775</f>
        <v>543.67750000000001</v>
      </c>
      <c r="X4503" s="5">
        <f t="shared" si="705"/>
        <v>0.79371540122250583</v>
      </c>
      <c r="Z4503" s="2" t="s">
        <v>117</v>
      </c>
      <c r="AA4503" s="2" t="s">
        <v>118</v>
      </c>
      <c r="AB4503" s="2" t="s">
        <v>119</v>
      </c>
      <c r="AC4503" s="2" t="s">
        <v>114</v>
      </c>
      <c r="AK4503" s="2">
        <f t="shared" si="712"/>
        <v>2091.8924999999999</v>
      </c>
      <c r="AL4503" s="5">
        <f t="shared" si="713"/>
        <v>0.79371540122250583</v>
      </c>
    </row>
    <row r="4504" spans="1:38" x14ac:dyDescent="0.2">
      <c r="A4504" s="2">
        <v>2026</v>
      </c>
      <c r="B4504" s="2">
        <v>7</v>
      </c>
      <c r="C4504" s="2" t="s">
        <v>3476</v>
      </c>
      <c r="D4504" s="33" t="s">
        <v>3338</v>
      </c>
      <c r="E4504" s="2" t="s">
        <v>38</v>
      </c>
      <c r="F4504" s="2" t="s">
        <v>39</v>
      </c>
      <c r="L4504" s="2" t="s">
        <v>133</v>
      </c>
      <c r="M4504" s="2" t="s">
        <v>40</v>
      </c>
      <c r="P4504" s="2" t="s">
        <v>187</v>
      </c>
      <c r="Q4504" s="33" t="s">
        <v>188</v>
      </c>
      <c r="R4504" s="33" t="s">
        <v>189</v>
      </c>
      <c r="S4504" s="32">
        <v>2</v>
      </c>
      <c r="T4504" s="31">
        <v>350</v>
      </c>
      <c r="U4504" s="2">
        <f t="shared" si="710"/>
        <v>80.5</v>
      </c>
      <c r="V4504" s="2">
        <f t="shared" si="716"/>
        <v>430.5</v>
      </c>
      <c r="W4504" s="2">
        <f>T4504*40%</f>
        <v>140</v>
      </c>
      <c r="X4504" s="5">
        <f t="shared" si="705"/>
        <v>0.6</v>
      </c>
      <c r="Z4504" s="2" t="s">
        <v>117</v>
      </c>
      <c r="AA4504" s="2" t="s">
        <v>190</v>
      </c>
      <c r="AB4504" s="2" t="s">
        <v>189</v>
      </c>
      <c r="AC4504" s="2" t="s">
        <v>40</v>
      </c>
      <c r="AK4504" s="2">
        <f t="shared" si="712"/>
        <v>210</v>
      </c>
      <c r="AL4504" s="5">
        <f t="shared" si="713"/>
        <v>0.6</v>
      </c>
    </row>
    <row r="4505" spans="1:38" x14ac:dyDescent="0.2">
      <c r="A4505" s="2">
        <v>2026</v>
      </c>
      <c r="B4505" s="2">
        <v>7</v>
      </c>
      <c r="C4505" s="2" t="s">
        <v>3476</v>
      </c>
      <c r="D4505" s="33" t="s">
        <v>3338</v>
      </c>
      <c r="E4505" s="2" t="s">
        <v>38</v>
      </c>
      <c r="F4505" s="2" t="s">
        <v>39</v>
      </c>
      <c r="L4505" s="2" t="s">
        <v>133</v>
      </c>
      <c r="M4505" s="2" t="s">
        <v>40</v>
      </c>
      <c r="P4505" s="2" t="s">
        <v>187</v>
      </c>
      <c r="Q4505" s="33" t="s">
        <v>191</v>
      </c>
      <c r="R4505" s="33" t="s">
        <v>190</v>
      </c>
      <c r="S4505" s="32">
        <v>4</v>
      </c>
      <c r="T4505" s="31">
        <v>220</v>
      </c>
      <c r="U4505" s="2">
        <f t="shared" si="710"/>
        <v>50.6</v>
      </c>
      <c r="V4505" s="2">
        <f t="shared" si="716"/>
        <v>270.60000000000002</v>
      </c>
      <c r="W4505" s="2">
        <f>T4505*50%</f>
        <v>110</v>
      </c>
      <c r="X4505" s="5">
        <f t="shared" si="705"/>
        <v>0.5</v>
      </c>
      <c r="Z4505" s="2" t="s">
        <v>117</v>
      </c>
      <c r="AA4505" s="2" t="s">
        <v>190</v>
      </c>
      <c r="AB4505" s="2" t="s">
        <v>190</v>
      </c>
      <c r="AC4505" s="2" t="s">
        <v>40</v>
      </c>
      <c r="AK4505" s="2">
        <f t="shared" si="712"/>
        <v>110</v>
      </c>
      <c r="AL4505" s="5">
        <f t="shared" si="713"/>
        <v>0.5</v>
      </c>
    </row>
    <row r="4506" spans="1:38" x14ac:dyDescent="0.2">
      <c r="A4506" s="2">
        <v>2026</v>
      </c>
      <c r="B4506" s="2">
        <v>7</v>
      </c>
      <c r="C4506" s="2" t="s">
        <v>3476</v>
      </c>
      <c r="D4506" s="33" t="s">
        <v>558</v>
      </c>
      <c r="E4506" s="2" t="s">
        <v>108</v>
      </c>
      <c r="F4506" s="2" t="s">
        <v>39</v>
      </c>
      <c r="G4506" s="2">
        <v>506517233</v>
      </c>
      <c r="H4506" s="2" t="s">
        <v>80</v>
      </c>
      <c r="I4506" s="2" t="s">
        <v>559</v>
      </c>
      <c r="J4506" s="2" t="s">
        <v>560</v>
      </c>
      <c r="L4506" s="2" t="s">
        <v>133</v>
      </c>
      <c r="M4506" s="2" t="s">
        <v>40</v>
      </c>
      <c r="P4506" s="2" t="s">
        <v>3386</v>
      </c>
      <c r="Q4506" s="33" t="s">
        <v>2165</v>
      </c>
      <c r="R4506" s="33" t="s">
        <v>2166</v>
      </c>
      <c r="S4506" s="32">
        <v>4</v>
      </c>
      <c r="T4506" s="31">
        <v>360</v>
      </c>
      <c r="U4506" s="2">
        <f t="shared" si="710"/>
        <v>82.8</v>
      </c>
      <c r="V4506" s="2">
        <f t="shared" ref="V4506:V4512" si="717">T4506+U4506</f>
        <v>442.8</v>
      </c>
      <c r="W4506" s="2">
        <f>129.99*4</f>
        <v>519.96</v>
      </c>
      <c r="X4506" s="18">
        <f t="shared" si="705"/>
        <v>-0.44433333333333341</v>
      </c>
      <c r="Z4506" s="2" t="s">
        <v>3227</v>
      </c>
      <c r="AA4506" s="2" t="s">
        <v>2167</v>
      </c>
      <c r="AB4506" s="2" t="s">
        <v>2168</v>
      </c>
      <c r="AC4506" s="2" t="s">
        <v>3386</v>
      </c>
      <c r="AK4506" s="2">
        <f t="shared" si="712"/>
        <v>-159.96000000000004</v>
      </c>
      <c r="AL4506" s="18">
        <f t="shared" si="713"/>
        <v>-0.44433333333333341</v>
      </c>
    </row>
    <row r="4507" spans="1:38" x14ac:dyDescent="0.2">
      <c r="A4507" s="2">
        <v>2026</v>
      </c>
      <c r="B4507" s="2">
        <v>7</v>
      </c>
      <c r="C4507" s="2" t="s">
        <v>3476</v>
      </c>
      <c r="D4507" s="33" t="s">
        <v>3481</v>
      </c>
      <c r="E4507" s="2" t="s">
        <v>108</v>
      </c>
      <c r="F4507" s="2" t="s">
        <v>39</v>
      </c>
      <c r="L4507" s="2" t="s">
        <v>418</v>
      </c>
      <c r="M4507" s="2" t="s">
        <v>41</v>
      </c>
      <c r="P4507" s="2" t="s">
        <v>282</v>
      </c>
      <c r="Q4507" s="33" t="s">
        <v>1308</v>
      </c>
      <c r="R4507" s="2" t="s">
        <v>435</v>
      </c>
      <c r="S4507" s="32">
        <v>1</v>
      </c>
      <c r="T4507" s="2">
        <v>500</v>
      </c>
      <c r="U4507" s="2">
        <f t="shared" si="710"/>
        <v>115</v>
      </c>
      <c r="V4507" s="2">
        <f t="shared" si="717"/>
        <v>615</v>
      </c>
      <c r="W4507" s="2">
        <v>417</v>
      </c>
      <c r="X4507" s="5">
        <f t="shared" si="705"/>
        <v>0.16600000000000001</v>
      </c>
      <c r="Z4507" s="2" t="s">
        <v>104</v>
      </c>
      <c r="AA4507" s="2" t="s">
        <v>387</v>
      </c>
      <c r="AB4507" s="2" t="s">
        <v>388</v>
      </c>
      <c r="AC4507" s="2" t="s">
        <v>389</v>
      </c>
      <c r="AK4507" s="2">
        <f t="shared" si="712"/>
        <v>83</v>
      </c>
      <c r="AL4507" s="5">
        <f t="shared" si="713"/>
        <v>0.16600000000000001</v>
      </c>
    </row>
    <row r="4508" spans="1:38" x14ac:dyDescent="0.2">
      <c r="A4508" s="2">
        <v>2026</v>
      </c>
      <c r="B4508" s="2">
        <v>7</v>
      </c>
      <c r="C4508" s="2" t="s">
        <v>3476</v>
      </c>
      <c r="D4508" s="33" t="s">
        <v>2286</v>
      </c>
      <c r="E4508" s="2" t="s">
        <v>38</v>
      </c>
      <c r="F4508" s="2" t="s">
        <v>39</v>
      </c>
      <c r="L4508" s="2" t="s">
        <v>461</v>
      </c>
      <c r="M4508" s="2" t="s">
        <v>40</v>
      </c>
      <c r="P4508" s="2" t="s">
        <v>114</v>
      </c>
      <c r="Q4508" s="33" t="s">
        <v>1385</v>
      </c>
      <c r="R4508" s="33" t="s">
        <v>1080</v>
      </c>
      <c r="S4508" s="32">
        <v>1</v>
      </c>
      <c r="T4508" s="31">
        <v>98.05</v>
      </c>
      <c r="U4508" s="2">
        <f t="shared" si="710"/>
        <v>22.551500000000001</v>
      </c>
      <c r="V4508" s="2">
        <f t="shared" si="717"/>
        <v>120.6015</v>
      </c>
      <c r="W4508" s="2">
        <v>47.295000000000002</v>
      </c>
      <c r="X4508" s="5">
        <f t="shared" si="705"/>
        <v>0.5176440591534931</v>
      </c>
      <c r="Z4508" s="2" t="s">
        <v>117</v>
      </c>
      <c r="AA4508" s="2" t="s">
        <v>118</v>
      </c>
      <c r="AB4508" s="2" t="s">
        <v>119</v>
      </c>
      <c r="AC4508" s="2" t="s">
        <v>114</v>
      </c>
      <c r="AK4508" s="2">
        <f t="shared" si="712"/>
        <v>50.754999999999995</v>
      </c>
      <c r="AL4508" s="5">
        <f t="shared" si="713"/>
        <v>0.5176440591534931</v>
      </c>
    </row>
    <row r="4509" spans="1:38" x14ac:dyDescent="0.2">
      <c r="A4509" s="2">
        <v>2026</v>
      </c>
      <c r="B4509" s="2">
        <v>7</v>
      </c>
      <c r="C4509" s="2" t="s">
        <v>3476</v>
      </c>
      <c r="D4509" s="33" t="s">
        <v>2286</v>
      </c>
      <c r="E4509" s="2" t="s">
        <v>38</v>
      </c>
      <c r="F4509" s="2" t="s">
        <v>39</v>
      </c>
      <c r="L4509" s="2" t="s">
        <v>461</v>
      </c>
      <c r="M4509" s="2" t="s">
        <v>40</v>
      </c>
      <c r="P4509" s="2" t="s">
        <v>114</v>
      </c>
      <c r="Q4509" s="33" t="s">
        <v>1386</v>
      </c>
      <c r="R4509" s="33" t="s">
        <v>1387</v>
      </c>
      <c r="S4509" s="32">
        <v>1</v>
      </c>
      <c r="T4509" s="31">
        <v>356.08</v>
      </c>
      <c r="U4509" s="2">
        <f t="shared" si="710"/>
        <v>81.898399999999995</v>
      </c>
      <c r="V4509" s="2">
        <f t="shared" si="717"/>
        <v>437.97839999999997</v>
      </c>
      <c r="W4509" s="2">
        <v>178.33840000000001</v>
      </c>
      <c r="X4509" s="5">
        <f t="shared" si="705"/>
        <v>0.4991619860705459</v>
      </c>
      <c r="Z4509" s="2" t="s">
        <v>117</v>
      </c>
      <c r="AA4509" s="2" t="s">
        <v>118</v>
      </c>
      <c r="AB4509" s="2" t="s">
        <v>119</v>
      </c>
      <c r="AC4509" s="2" t="s">
        <v>114</v>
      </c>
      <c r="AK4509" s="2">
        <f t="shared" si="712"/>
        <v>177.74159999999998</v>
      </c>
      <c r="AL4509" s="5">
        <f t="shared" si="713"/>
        <v>0.4991619860705459</v>
      </c>
    </row>
    <row r="4510" spans="1:38" x14ac:dyDescent="0.2">
      <c r="A4510" s="2">
        <v>2026</v>
      </c>
      <c r="B4510" s="2">
        <v>7</v>
      </c>
      <c r="C4510" s="2" t="s">
        <v>3476</v>
      </c>
      <c r="D4510" s="33" t="s">
        <v>2286</v>
      </c>
      <c r="E4510" s="2" t="s">
        <v>38</v>
      </c>
      <c r="F4510" s="2" t="s">
        <v>39</v>
      </c>
      <c r="L4510" s="2" t="s">
        <v>461</v>
      </c>
      <c r="M4510" s="2" t="s">
        <v>40</v>
      </c>
      <c r="P4510" s="2" t="s">
        <v>114</v>
      </c>
      <c r="Q4510" s="30" t="s">
        <v>1129</v>
      </c>
      <c r="R4510" s="33" t="s">
        <v>1130</v>
      </c>
      <c r="S4510" s="32">
        <v>1</v>
      </c>
      <c r="T4510" s="31">
        <v>11.46</v>
      </c>
      <c r="U4510" s="2">
        <f t="shared" si="710"/>
        <v>2.6358000000000001</v>
      </c>
      <c r="V4510" s="2">
        <f t="shared" si="717"/>
        <v>14.095800000000001</v>
      </c>
      <c r="W4510" s="2">
        <v>5.4833999999999996</v>
      </c>
      <c r="X4510" s="5">
        <f t="shared" si="705"/>
        <v>0.52151832460732994</v>
      </c>
      <c r="Z4510" s="2" t="s">
        <v>117</v>
      </c>
      <c r="AA4510" s="2" t="s">
        <v>118</v>
      </c>
      <c r="AB4510" s="2" t="s">
        <v>119</v>
      </c>
      <c r="AC4510" s="2" t="s">
        <v>114</v>
      </c>
      <c r="AK4510" s="2">
        <f t="shared" si="712"/>
        <v>5.9766000000000012</v>
      </c>
      <c r="AL4510" s="5">
        <f t="shared" si="713"/>
        <v>0.52151832460732994</v>
      </c>
    </row>
    <row r="4511" spans="1:38" x14ac:dyDescent="0.2">
      <c r="A4511" s="2">
        <v>2026</v>
      </c>
      <c r="B4511" s="2">
        <v>7</v>
      </c>
      <c r="C4511" s="2" t="s">
        <v>3476</v>
      </c>
      <c r="D4511" s="33" t="s">
        <v>2286</v>
      </c>
      <c r="E4511" s="2" t="s">
        <v>38</v>
      </c>
      <c r="F4511" s="2" t="s">
        <v>39</v>
      </c>
      <c r="L4511" s="2" t="s">
        <v>461</v>
      </c>
      <c r="M4511" s="2" t="s">
        <v>40</v>
      </c>
      <c r="P4511" s="2" t="s">
        <v>187</v>
      </c>
      <c r="Q4511" s="33" t="s">
        <v>188</v>
      </c>
      <c r="R4511" s="33" t="s">
        <v>189</v>
      </c>
      <c r="S4511" s="32">
        <v>1</v>
      </c>
      <c r="T4511" s="31">
        <v>180</v>
      </c>
      <c r="U4511" s="2">
        <f t="shared" si="710"/>
        <v>41.4</v>
      </c>
      <c r="V4511" s="2">
        <f t="shared" si="717"/>
        <v>221.4</v>
      </c>
      <c r="W4511" s="2">
        <f>T4511*40%</f>
        <v>72</v>
      </c>
      <c r="X4511" s="5">
        <f t="shared" si="705"/>
        <v>0.6</v>
      </c>
      <c r="Z4511" s="2" t="s">
        <v>117</v>
      </c>
      <c r="AA4511" s="2" t="s">
        <v>190</v>
      </c>
      <c r="AB4511" s="2" t="s">
        <v>189</v>
      </c>
      <c r="AC4511" s="2" t="s">
        <v>40</v>
      </c>
      <c r="AK4511" s="2">
        <f t="shared" si="712"/>
        <v>108</v>
      </c>
      <c r="AL4511" s="5">
        <f t="shared" si="713"/>
        <v>0.6</v>
      </c>
    </row>
    <row r="4512" spans="1:38" x14ac:dyDescent="0.2">
      <c r="A4512" s="2">
        <v>2026</v>
      </c>
      <c r="B4512" s="2">
        <v>7</v>
      </c>
      <c r="C4512" s="2" t="s">
        <v>3476</v>
      </c>
      <c r="D4512" s="33" t="s">
        <v>2286</v>
      </c>
      <c r="E4512" s="2" t="s">
        <v>38</v>
      </c>
      <c r="F4512" s="2" t="s">
        <v>39</v>
      </c>
      <c r="L4512" s="2" t="s">
        <v>461</v>
      </c>
      <c r="M4512" s="2" t="s">
        <v>40</v>
      </c>
      <c r="P4512" s="2" t="s">
        <v>187</v>
      </c>
      <c r="Q4512" s="33" t="s">
        <v>191</v>
      </c>
      <c r="R4512" s="33" t="s">
        <v>190</v>
      </c>
      <c r="S4512" s="32">
        <v>2</v>
      </c>
      <c r="T4512" s="31">
        <v>110</v>
      </c>
      <c r="U4512" s="2">
        <f t="shared" si="710"/>
        <v>25.3</v>
      </c>
      <c r="V4512" s="2">
        <f t="shared" si="717"/>
        <v>135.30000000000001</v>
      </c>
      <c r="W4512" s="2">
        <f>T4512*50%</f>
        <v>55</v>
      </c>
      <c r="X4512" s="5">
        <f t="shared" si="705"/>
        <v>0.5</v>
      </c>
      <c r="Z4512" s="2" t="s">
        <v>117</v>
      </c>
      <c r="AA4512" s="2" t="s">
        <v>190</v>
      </c>
      <c r="AB4512" s="2" t="s">
        <v>190</v>
      </c>
      <c r="AC4512" s="2" t="s">
        <v>40</v>
      </c>
      <c r="AK4512" s="2">
        <f t="shared" si="712"/>
        <v>55</v>
      </c>
      <c r="AL4512" s="5">
        <f t="shared" si="713"/>
        <v>0.5</v>
      </c>
    </row>
    <row r="4513" spans="1:38" x14ac:dyDescent="0.2">
      <c r="A4513" s="2">
        <v>2026</v>
      </c>
      <c r="B4513" s="2">
        <v>7</v>
      </c>
      <c r="C4513" s="2" t="s">
        <v>3476</v>
      </c>
      <c r="D4513" s="15" t="s">
        <v>1553</v>
      </c>
      <c r="E4513" s="2" t="s">
        <v>108</v>
      </c>
      <c r="F4513" s="2" t="s">
        <v>717</v>
      </c>
      <c r="L4513" s="2" t="s">
        <v>177</v>
      </c>
      <c r="M4513" s="2" t="s">
        <v>41</v>
      </c>
      <c r="P4513" s="2" t="s">
        <v>282</v>
      </c>
      <c r="Q4513" s="2" t="s">
        <v>399</v>
      </c>
      <c r="R4513" s="2" t="s">
        <v>400</v>
      </c>
      <c r="S4513" s="9">
        <v>20</v>
      </c>
      <c r="T4513" s="10">
        <v>400</v>
      </c>
      <c r="U4513" s="2">
        <f>T4513*23%</f>
        <v>92</v>
      </c>
      <c r="V4513" s="10">
        <f>T4513+U4513</f>
        <v>492</v>
      </c>
      <c r="W4513" s="2">
        <f>14.5099*S4513</f>
        <v>290.19799999999998</v>
      </c>
      <c r="X4513" s="5">
        <f t="shared" si="705"/>
        <v>0.27450500000000005</v>
      </c>
      <c r="Z4513" s="2" t="s">
        <v>3227</v>
      </c>
      <c r="AA4513" s="2" t="s">
        <v>46</v>
      </c>
      <c r="AB4513" s="2" t="s">
        <v>60</v>
      </c>
      <c r="AC4513" s="2" t="s">
        <v>3332</v>
      </c>
      <c r="AK4513" s="2">
        <f t="shared" si="712"/>
        <v>109.80200000000002</v>
      </c>
      <c r="AL4513" s="5">
        <f t="shared" si="713"/>
        <v>0.27450500000000005</v>
      </c>
    </row>
    <row r="4514" spans="1:38" x14ac:dyDescent="0.2">
      <c r="A4514" s="2">
        <v>2026</v>
      </c>
      <c r="B4514" s="2">
        <v>7</v>
      </c>
      <c r="C4514" s="2" t="s">
        <v>3476</v>
      </c>
      <c r="D4514" s="15" t="s">
        <v>1553</v>
      </c>
      <c r="E4514" s="2" t="s">
        <v>108</v>
      </c>
      <c r="F4514" s="2" t="s">
        <v>717</v>
      </c>
      <c r="L4514" s="2" t="s">
        <v>177</v>
      </c>
      <c r="M4514" s="2" t="s">
        <v>41</v>
      </c>
      <c r="P4514" s="2" t="s">
        <v>282</v>
      </c>
      <c r="Q4514" s="2" t="s">
        <v>401</v>
      </c>
      <c r="R4514" s="2" t="s">
        <v>402</v>
      </c>
      <c r="S4514" s="9">
        <v>20</v>
      </c>
      <c r="T4514" s="10">
        <v>400</v>
      </c>
      <c r="U4514" s="2">
        <f>T4514*23%</f>
        <v>92</v>
      </c>
      <c r="V4514" s="10">
        <f>T4514+U4514</f>
        <v>492</v>
      </c>
      <c r="W4514" s="2">
        <f>14.5099*S4514</f>
        <v>290.19799999999998</v>
      </c>
      <c r="X4514" s="5">
        <f t="shared" si="705"/>
        <v>0.27450500000000005</v>
      </c>
      <c r="Z4514" s="2" t="s">
        <v>3227</v>
      </c>
      <c r="AA4514" s="2" t="s">
        <v>46</v>
      </c>
      <c r="AB4514" s="2" t="s">
        <v>60</v>
      </c>
      <c r="AC4514" s="2" t="s">
        <v>3332</v>
      </c>
      <c r="AK4514" s="2">
        <f t="shared" si="712"/>
        <v>109.80200000000002</v>
      </c>
      <c r="AL4514" s="5">
        <f t="shared" si="713"/>
        <v>0.27450500000000005</v>
      </c>
    </row>
    <row r="4515" spans="1:38" x14ac:dyDescent="0.2">
      <c r="A4515" s="2">
        <v>2026</v>
      </c>
      <c r="B4515" s="2">
        <v>7</v>
      </c>
      <c r="C4515" s="2" t="s">
        <v>3476</v>
      </c>
      <c r="D4515" s="2" t="s">
        <v>3483</v>
      </c>
      <c r="E4515" s="2" t="s">
        <v>108</v>
      </c>
      <c r="F4515" s="2" t="s">
        <v>3445</v>
      </c>
      <c r="L4515" s="2" t="s">
        <v>626</v>
      </c>
      <c r="M4515" s="2" t="s">
        <v>40</v>
      </c>
      <c r="P4515" s="2" t="s">
        <v>114</v>
      </c>
      <c r="Q4515" s="2" t="s">
        <v>646</v>
      </c>
      <c r="R4515" s="2" t="s">
        <v>647</v>
      </c>
      <c r="S4515" s="13">
        <v>1</v>
      </c>
      <c r="T4515" s="14">
        <v>63.46</v>
      </c>
      <c r="V4515" s="14">
        <f>T4515</f>
        <v>63.46</v>
      </c>
      <c r="W4515" s="2">
        <v>30.61</v>
      </c>
      <c r="X4515" s="5">
        <f t="shared" si="705"/>
        <v>0.51764891270091395</v>
      </c>
      <c r="Y4515" s="2" t="s">
        <v>3301</v>
      </c>
      <c r="Z4515" s="2" t="s">
        <v>117</v>
      </c>
      <c r="AA4515" s="2" t="s">
        <v>118</v>
      </c>
      <c r="AB4515" s="2" t="s">
        <v>119</v>
      </c>
      <c r="AC4515" s="2" t="s">
        <v>114</v>
      </c>
      <c r="AK4515" s="2">
        <f t="shared" si="712"/>
        <v>32.85</v>
      </c>
      <c r="AL4515" s="5">
        <f t="shared" si="713"/>
        <v>0.51764891270091395</v>
      </c>
    </row>
    <row r="4516" spans="1:38" x14ac:dyDescent="0.2">
      <c r="A4516" s="2">
        <v>2026</v>
      </c>
      <c r="B4516" s="2">
        <v>7</v>
      </c>
      <c r="C4516" s="2" t="s">
        <v>3476</v>
      </c>
      <c r="D4516" s="2" t="s">
        <v>319</v>
      </c>
      <c r="E4516" s="2" t="s">
        <v>38</v>
      </c>
      <c r="F4516" s="2" t="s">
        <v>39</v>
      </c>
      <c r="G4516" s="2">
        <v>500883262</v>
      </c>
      <c r="H4516" s="2" t="s">
        <v>40</v>
      </c>
      <c r="I4516" s="2" t="s">
        <v>99</v>
      </c>
      <c r="J4516" s="2" t="s">
        <v>320</v>
      </c>
      <c r="L4516" s="2" t="s">
        <v>99</v>
      </c>
      <c r="M4516" s="2" t="s">
        <v>80</v>
      </c>
      <c r="P4516" s="2" t="s">
        <v>43</v>
      </c>
      <c r="Q4516" s="2" t="s">
        <v>969</v>
      </c>
      <c r="R4516" s="2" t="s">
        <v>970</v>
      </c>
      <c r="S4516" s="13">
        <v>11</v>
      </c>
      <c r="T4516" s="14">
        <v>253</v>
      </c>
      <c r="U4516" s="2">
        <f>T4516*23%</f>
        <v>58.190000000000005</v>
      </c>
      <c r="V4516" s="12">
        <f>T4516+U4516</f>
        <v>311.19</v>
      </c>
      <c r="W4516" s="2">
        <f>18.3719*S4516</f>
        <v>202.0909</v>
      </c>
      <c r="X4516" s="5">
        <f t="shared" si="705"/>
        <v>0.20122173913043476</v>
      </c>
      <c r="Z4516" s="2" t="s">
        <v>3227</v>
      </c>
      <c r="AA4516" s="2" t="s">
        <v>46</v>
      </c>
      <c r="AB4516" s="2" t="s">
        <v>60</v>
      </c>
      <c r="AC4516" s="2" t="s">
        <v>57</v>
      </c>
      <c r="AK4516" s="2">
        <f t="shared" si="712"/>
        <v>50.909099999999995</v>
      </c>
      <c r="AL4516" s="5">
        <f t="shared" si="713"/>
        <v>0.20122173913043476</v>
      </c>
    </row>
    <row r="4517" spans="1:38" x14ac:dyDescent="0.2">
      <c r="A4517" s="2">
        <v>2026</v>
      </c>
      <c r="B4517" s="2">
        <v>7</v>
      </c>
      <c r="C4517" s="2" t="s">
        <v>3476</v>
      </c>
      <c r="D4517" s="2" t="s">
        <v>1720</v>
      </c>
      <c r="E4517" s="2" t="s">
        <v>108</v>
      </c>
      <c r="F4517" s="2" t="s">
        <v>717</v>
      </c>
      <c r="M4517" s="2" t="s">
        <v>40</v>
      </c>
      <c r="P4517" s="2" t="s">
        <v>114</v>
      </c>
      <c r="Q4517" s="2" t="s">
        <v>295</v>
      </c>
      <c r="R4517" s="2" t="s">
        <v>296</v>
      </c>
      <c r="S4517" s="13">
        <v>1</v>
      </c>
      <c r="T4517" s="14">
        <v>801.61</v>
      </c>
      <c r="U4517" s="2">
        <f t="shared" ref="U4517:U4519" si="718">T4517*23%</f>
        <v>184.37030000000001</v>
      </c>
      <c r="V4517" s="12">
        <f t="shared" ref="V4517:V4520" si="719">T4517+U4517</f>
        <v>985.98030000000006</v>
      </c>
      <c r="W4517" s="2">
        <v>386</v>
      </c>
      <c r="X4517" s="5">
        <f t="shared" si="705"/>
        <v>0.5184690809745387</v>
      </c>
      <c r="Z4517" s="2" t="s">
        <v>117</v>
      </c>
      <c r="AA4517" s="2" t="s">
        <v>118</v>
      </c>
      <c r="AB4517" s="2" t="s">
        <v>119</v>
      </c>
      <c r="AC4517" s="2" t="s">
        <v>114</v>
      </c>
      <c r="AK4517" s="2">
        <f t="shared" ref="AK4517:AK4519" si="720">T4517-W4517</f>
        <v>415.61</v>
      </c>
      <c r="AL4517" s="5">
        <f t="shared" ref="AL4517:AL4519" si="721">(T4517-W4517)/T4517</f>
        <v>0.5184690809745387</v>
      </c>
    </row>
    <row r="4518" spans="1:38" x14ac:dyDescent="0.2">
      <c r="A4518" s="2">
        <v>2026</v>
      </c>
      <c r="B4518" s="2">
        <v>7</v>
      </c>
      <c r="C4518" s="2" t="s">
        <v>3476</v>
      </c>
      <c r="D4518" s="2" t="s">
        <v>617</v>
      </c>
      <c r="E4518" s="2" t="s">
        <v>38</v>
      </c>
      <c r="F4518" s="2" t="s">
        <v>39</v>
      </c>
      <c r="G4518" s="2">
        <v>513759654</v>
      </c>
      <c r="H4518" s="2" t="s">
        <v>41</v>
      </c>
      <c r="I4518" s="2" t="s">
        <v>618</v>
      </c>
      <c r="J4518" s="2" t="s">
        <v>619</v>
      </c>
      <c r="L4518" s="2" t="s">
        <v>418</v>
      </c>
      <c r="M4518" s="2" t="s">
        <v>41</v>
      </c>
      <c r="P4518" s="2" t="s">
        <v>43</v>
      </c>
      <c r="Q4518" s="2" t="s">
        <v>58</v>
      </c>
      <c r="R4518" s="2" t="s">
        <v>59</v>
      </c>
      <c r="S4518" s="13">
        <v>300</v>
      </c>
      <c r="T4518" s="14">
        <v>39</v>
      </c>
      <c r="U4518" s="2">
        <f t="shared" si="718"/>
        <v>8.9700000000000006</v>
      </c>
      <c r="V4518" s="12">
        <f t="shared" si="719"/>
        <v>47.97</v>
      </c>
      <c r="W4518" s="2">
        <f>0.0914*S4518</f>
        <v>27.419999999999998</v>
      </c>
      <c r="X4518" s="5">
        <f t="shared" si="705"/>
        <v>0.29692307692307696</v>
      </c>
      <c r="Z4518" s="2" t="s">
        <v>3227</v>
      </c>
      <c r="AA4518" s="2" t="s">
        <v>46</v>
      </c>
      <c r="AB4518" s="2" t="s">
        <v>60</v>
      </c>
      <c r="AC4518" s="2" t="s">
        <v>57</v>
      </c>
      <c r="AK4518" s="2">
        <f t="shared" si="720"/>
        <v>11.580000000000002</v>
      </c>
      <c r="AL4518" s="5">
        <f t="shared" si="721"/>
        <v>0.29692307692307696</v>
      </c>
    </row>
    <row r="4519" spans="1:38" x14ac:dyDescent="0.2">
      <c r="A4519" s="2">
        <v>2026</v>
      </c>
      <c r="B4519" s="2">
        <v>7</v>
      </c>
      <c r="C4519" s="2" t="s">
        <v>3476</v>
      </c>
      <c r="D4519" s="2" t="s">
        <v>617</v>
      </c>
      <c r="E4519" s="2" t="s">
        <v>38</v>
      </c>
      <c r="F4519" s="2" t="s">
        <v>39</v>
      </c>
      <c r="G4519" s="2">
        <v>513759654</v>
      </c>
      <c r="H4519" s="2" t="s">
        <v>41</v>
      </c>
      <c r="I4519" s="2" t="s">
        <v>618</v>
      </c>
      <c r="J4519" s="2" t="s">
        <v>619</v>
      </c>
      <c r="L4519" s="2" t="s">
        <v>418</v>
      </c>
      <c r="M4519" s="2" t="s">
        <v>41</v>
      </c>
      <c r="P4519" s="2" t="s">
        <v>84</v>
      </c>
      <c r="Q4519" s="2" t="s">
        <v>3484</v>
      </c>
      <c r="R4519" s="2" t="s">
        <v>3485</v>
      </c>
      <c r="S4519" s="13">
        <v>4</v>
      </c>
      <c r="T4519" s="14">
        <v>28.8</v>
      </c>
      <c r="U4519" s="2">
        <f t="shared" si="718"/>
        <v>6.6240000000000006</v>
      </c>
      <c r="V4519" s="12">
        <f t="shared" si="719"/>
        <v>35.423999999999999</v>
      </c>
      <c r="W4519" s="2">
        <f>3.747*S4519</f>
        <v>14.988</v>
      </c>
      <c r="X4519" s="5">
        <f t="shared" si="705"/>
        <v>0.47958333333333336</v>
      </c>
      <c r="Z4519" s="2" t="s">
        <v>3227</v>
      </c>
      <c r="AA4519" s="2" t="s">
        <v>46</v>
      </c>
      <c r="AB4519" s="2" t="s">
        <v>60</v>
      </c>
      <c r="AC4519" s="2" t="s">
        <v>84</v>
      </c>
      <c r="AK4519" s="2">
        <f t="shared" si="720"/>
        <v>13.812000000000001</v>
      </c>
      <c r="AL4519" s="5">
        <f t="shared" si="721"/>
        <v>0.47958333333333336</v>
      </c>
    </row>
    <row r="4520" spans="1:38" x14ac:dyDescent="0.2">
      <c r="A4520" s="2">
        <v>2026</v>
      </c>
      <c r="B4520" s="2">
        <v>7</v>
      </c>
      <c r="C4520" s="2" t="s">
        <v>3476</v>
      </c>
      <c r="D4520" s="2" t="s">
        <v>715</v>
      </c>
      <c r="E4520" s="2" t="s">
        <v>108</v>
      </c>
      <c r="F4520" s="2" t="s">
        <v>39</v>
      </c>
      <c r="L4520" s="2" t="s">
        <v>344</v>
      </c>
      <c r="M4520" s="2" t="s">
        <v>3496</v>
      </c>
      <c r="P4520" s="2" t="s">
        <v>1194</v>
      </c>
      <c r="Q4520" s="2" t="s">
        <v>2590</v>
      </c>
      <c r="R4520" s="2" t="s">
        <v>2591</v>
      </c>
      <c r="S4520" s="13">
        <v>1</v>
      </c>
      <c r="T4520" s="14">
        <v>1350</v>
      </c>
      <c r="U4520" s="2">
        <f>T4520*23%</f>
        <v>310.5</v>
      </c>
      <c r="V4520" s="2">
        <f t="shared" si="719"/>
        <v>1660.5</v>
      </c>
      <c r="W4520" s="2">
        <v>773</v>
      </c>
      <c r="X4520" s="5">
        <f t="shared" si="705"/>
        <v>0.4274074074074074</v>
      </c>
      <c r="Y4520" s="2" t="s">
        <v>3495</v>
      </c>
      <c r="Z4520" s="2" t="s">
        <v>104</v>
      </c>
      <c r="AA4520" s="2" t="s">
        <v>578</v>
      </c>
      <c r="AB4520" s="2" t="s">
        <v>119</v>
      </c>
      <c r="AC4520" s="2" t="s">
        <v>1194</v>
      </c>
      <c r="AK4520" s="2">
        <f t="shared" ref="AK4520:AK4529" si="722">T4520-W4520</f>
        <v>577</v>
      </c>
      <c r="AL4520" s="5">
        <f t="shared" ref="AL4520:AL4529" si="723">(T4520-W4520)/T4520</f>
        <v>0.4274074074074074</v>
      </c>
    </row>
    <row r="4521" spans="1:38" x14ac:dyDescent="0.2">
      <c r="A4521" s="2">
        <v>2026</v>
      </c>
      <c r="B4521" s="2">
        <v>7</v>
      </c>
      <c r="C4521" s="2" t="s">
        <v>3476</v>
      </c>
      <c r="D4521" s="2" t="s">
        <v>715</v>
      </c>
      <c r="E4521" s="2" t="s">
        <v>108</v>
      </c>
      <c r="F4521" s="2" t="s">
        <v>39</v>
      </c>
      <c r="L4521" s="2" t="s">
        <v>344</v>
      </c>
      <c r="M4521" s="2" t="s">
        <v>40</v>
      </c>
      <c r="P4521" s="2" t="s">
        <v>187</v>
      </c>
      <c r="Q4521" s="2" t="s">
        <v>188</v>
      </c>
      <c r="R4521" s="2" t="s">
        <v>189</v>
      </c>
      <c r="S4521" s="13">
        <v>1</v>
      </c>
      <c r="T4521" s="14">
        <v>326</v>
      </c>
      <c r="U4521" s="2">
        <f t="shared" ref="U4521:U4525" si="724">T4521*23%</f>
        <v>74.98</v>
      </c>
      <c r="V4521" s="2">
        <f t="shared" ref="V4521:V4525" si="725">T4521+U4521</f>
        <v>400.98</v>
      </c>
      <c r="W4521" s="2">
        <f>T4521*40%</f>
        <v>130.4</v>
      </c>
      <c r="X4521" s="5">
        <f t="shared" si="705"/>
        <v>0.6</v>
      </c>
      <c r="Y4521" s="2" t="s">
        <v>3495</v>
      </c>
      <c r="Z4521" s="2" t="s">
        <v>117</v>
      </c>
      <c r="AA4521" s="2" t="s">
        <v>190</v>
      </c>
      <c r="AB4521" s="2" t="s">
        <v>189</v>
      </c>
      <c r="AC4521" s="2" t="s">
        <v>40</v>
      </c>
      <c r="AK4521" s="2">
        <f t="shared" si="722"/>
        <v>195.6</v>
      </c>
      <c r="AL4521" s="5">
        <f t="shared" si="723"/>
        <v>0.6</v>
      </c>
    </row>
    <row r="4522" spans="1:38" x14ac:dyDescent="0.2">
      <c r="A4522" s="2">
        <v>2026</v>
      </c>
      <c r="B4522" s="2">
        <v>7</v>
      </c>
      <c r="C4522" s="2" t="s">
        <v>3476</v>
      </c>
      <c r="D4522" s="2" t="s">
        <v>715</v>
      </c>
      <c r="E4522" s="2" t="s">
        <v>108</v>
      </c>
      <c r="F4522" s="2" t="s">
        <v>39</v>
      </c>
      <c r="L4522" s="2" t="s">
        <v>344</v>
      </c>
      <c r="M4522" s="2" t="s">
        <v>40</v>
      </c>
      <c r="P4522" s="2" t="s">
        <v>187</v>
      </c>
      <c r="Q4522" s="2" t="s">
        <v>191</v>
      </c>
      <c r="R4522" s="2" t="s">
        <v>190</v>
      </c>
      <c r="S4522" s="13">
        <v>2</v>
      </c>
      <c r="T4522" s="14">
        <v>110</v>
      </c>
      <c r="U4522" s="2">
        <f t="shared" si="724"/>
        <v>25.3</v>
      </c>
      <c r="V4522" s="2">
        <f t="shared" si="725"/>
        <v>135.30000000000001</v>
      </c>
      <c r="W4522" s="2">
        <f>T4522*50%</f>
        <v>55</v>
      </c>
      <c r="X4522" s="5">
        <f t="shared" si="705"/>
        <v>0.5</v>
      </c>
      <c r="Y4522" s="2" t="s">
        <v>3495</v>
      </c>
      <c r="Z4522" s="2" t="s">
        <v>117</v>
      </c>
      <c r="AA4522" s="2" t="s">
        <v>190</v>
      </c>
      <c r="AB4522" s="2" t="s">
        <v>190</v>
      </c>
      <c r="AC4522" s="2" t="s">
        <v>40</v>
      </c>
      <c r="AK4522" s="2">
        <f t="shared" si="722"/>
        <v>55</v>
      </c>
      <c r="AL4522" s="5">
        <f t="shared" si="723"/>
        <v>0.5</v>
      </c>
    </row>
    <row r="4523" spans="1:38" x14ac:dyDescent="0.2">
      <c r="A4523" s="2">
        <v>2026</v>
      </c>
      <c r="B4523" s="2">
        <v>7</v>
      </c>
      <c r="C4523" s="2" t="s">
        <v>3476</v>
      </c>
      <c r="D4523" s="2" t="s">
        <v>840</v>
      </c>
      <c r="E4523" s="2" t="s">
        <v>108</v>
      </c>
      <c r="F4523" s="2" t="s">
        <v>531</v>
      </c>
      <c r="G4523" s="2">
        <v>504981285</v>
      </c>
      <c r="H4523" s="2" t="s">
        <v>290</v>
      </c>
      <c r="I4523" s="2" t="s">
        <v>841</v>
      </c>
      <c r="J4523" s="2" t="s">
        <v>842</v>
      </c>
      <c r="K4523" s="2">
        <v>932209225</v>
      </c>
      <c r="L4523" s="2" t="s">
        <v>339</v>
      </c>
      <c r="M4523" s="2" t="s">
        <v>40</v>
      </c>
      <c r="P4523" s="2" t="s">
        <v>187</v>
      </c>
      <c r="Q4523" s="2" t="s">
        <v>188</v>
      </c>
      <c r="R4523" s="2" t="s">
        <v>189</v>
      </c>
      <c r="S4523" s="13">
        <v>1</v>
      </c>
      <c r="T4523" s="14">
        <v>60</v>
      </c>
      <c r="U4523" s="2">
        <f t="shared" si="724"/>
        <v>13.8</v>
      </c>
      <c r="V4523" s="2">
        <f t="shared" si="725"/>
        <v>73.8</v>
      </c>
      <c r="W4523" s="2">
        <f>T4523*40%</f>
        <v>24</v>
      </c>
      <c r="X4523" s="5">
        <f t="shared" si="705"/>
        <v>0.6</v>
      </c>
      <c r="Y4523" s="2" t="s">
        <v>3495</v>
      </c>
      <c r="Z4523" s="2" t="s">
        <v>117</v>
      </c>
      <c r="AA4523" s="2" t="s">
        <v>190</v>
      </c>
      <c r="AB4523" s="2" t="s">
        <v>189</v>
      </c>
      <c r="AC4523" s="2" t="s">
        <v>40</v>
      </c>
      <c r="AK4523" s="2">
        <f t="shared" si="722"/>
        <v>36</v>
      </c>
      <c r="AL4523" s="5">
        <f t="shared" si="723"/>
        <v>0.6</v>
      </c>
    </row>
    <row r="4524" spans="1:38" x14ac:dyDescent="0.2">
      <c r="A4524" s="2">
        <v>2026</v>
      </c>
      <c r="B4524" s="2">
        <v>7</v>
      </c>
      <c r="C4524" s="2" t="s">
        <v>3476</v>
      </c>
      <c r="D4524" s="2" t="s">
        <v>840</v>
      </c>
      <c r="E4524" s="2" t="s">
        <v>108</v>
      </c>
      <c r="F4524" s="2" t="s">
        <v>531</v>
      </c>
      <c r="G4524" s="2">
        <v>504981285</v>
      </c>
      <c r="H4524" s="2" t="s">
        <v>290</v>
      </c>
      <c r="I4524" s="2" t="s">
        <v>841</v>
      </c>
      <c r="J4524" s="2" t="s">
        <v>842</v>
      </c>
      <c r="K4524" s="2">
        <v>932209225</v>
      </c>
      <c r="L4524" s="2" t="s">
        <v>339</v>
      </c>
      <c r="M4524" s="2" t="s">
        <v>40</v>
      </c>
      <c r="P4524" s="2" t="s">
        <v>187</v>
      </c>
      <c r="Q4524" s="2" t="s">
        <v>191</v>
      </c>
      <c r="R4524" s="2" t="s">
        <v>190</v>
      </c>
      <c r="S4524" s="13">
        <v>0.5</v>
      </c>
      <c r="T4524" s="14">
        <v>27.5</v>
      </c>
      <c r="U4524" s="2">
        <f t="shared" si="724"/>
        <v>6.3250000000000002</v>
      </c>
      <c r="V4524" s="2">
        <f t="shared" si="725"/>
        <v>33.825000000000003</v>
      </c>
      <c r="W4524" s="2">
        <f>T4524*50%</f>
        <v>13.75</v>
      </c>
      <c r="X4524" s="5">
        <f t="shared" si="705"/>
        <v>0.5</v>
      </c>
      <c r="Y4524" s="2" t="s">
        <v>3495</v>
      </c>
      <c r="Z4524" s="2" t="s">
        <v>117</v>
      </c>
      <c r="AA4524" s="2" t="s">
        <v>190</v>
      </c>
      <c r="AB4524" s="2" t="s">
        <v>190</v>
      </c>
      <c r="AC4524" s="2" t="s">
        <v>40</v>
      </c>
      <c r="AK4524" s="2">
        <f t="shared" si="722"/>
        <v>13.75</v>
      </c>
      <c r="AL4524" s="5">
        <f t="shared" si="723"/>
        <v>0.5</v>
      </c>
    </row>
    <row r="4525" spans="1:38" x14ac:dyDescent="0.2">
      <c r="A4525" s="2">
        <v>2026</v>
      </c>
      <c r="B4525" s="2">
        <v>7</v>
      </c>
      <c r="C4525" s="2" t="s">
        <v>3476</v>
      </c>
      <c r="D4525" s="2" t="s">
        <v>1271</v>
      </c>
      <c r="E4525" s="2" t="s">
        <v>108</v>
      </c>
      <c r="F4525" s="2" t="s">
        <v>39</v>
      </c>
      <c r="G4525" s="2">
        <v>502618540</v>
      </c>
      <c r="H4525" s="2" t="s">
        <v>41</v>
      </c>
      <c r="I4525" s="2" t="s">
        <v>1272</v>
      </c>
      <c r="J4525" s="2" t="s">
        <v>1273</v>
      </c>
      <c r="L4525" s="2" t="s">
        <v>177</v>
      </c>
      <c r="M4525" s="2" t="s">
        <v>40</v>
      </c>
      <c r="P4525" s="2" t="s">
        <v>114</v>
      </c>
      <c r="Q4525" s="2" t="s">
        <v>808</v>
      </c>
      <c r="R4525" s="2" t="s">
        <v>809</v>
      </c>
      <c r="S4525" s="13">
        <v>1</v>
      </c>
      <c r="T4525" s="14">
        <v>83.79</v>
      </c>
      <c r="U4525" s="2">
        <f t="shared" si="724"/>
        <v>19.271700000000003</v>
      </c>
      <c r="V4525" s="2">
        <f t="shared" si="725"/>
        <v>103.0617</v>
      </c>
      <c r="W4525" s="2">
        <v>40.357500000000002</v>
      </c>
      <c r="X4525" s="5">
        <f t="shared" si="705"/>
        <v>0.51834944504117442</v>
      </c>
      <c r="Y4525" s="2" t="s">
        <v>2540</v>
      </c>
      <c r="Z4525" s="2" t="s">
        <v>117</v>
      </c>
      <c r="AA4525" s="2" t="s">
        <v>118</v>
      </c>
      <c r="AB4525" s="2" t="s">
        <v>119</v>
      </c>
      <c r="AC4525" s="2" t="s">
        <v>114</v>
      </c>
      <c r="AK4525" s="2">
        <f t="shared" si="722"/>
        <v>43.432500000000005</v>
      </c>
      <c r="AL4525" s="5">
        <f t="shared" si="723"/>
        <v>0.51834944504117442</v>
      </c>
    </row>
    <row r="4526" spans="1:38" x14ac:dyDescent="0.2">
      <c r="A4526" s="2">
        <v>2026</v>
      </c>
      <c r="B4526" s="2">
        <v>7</v>
      </c>
      <c r="C4526" s="2" t="s">
        <v>3476</v>
      </c>
      <c r="D4526" s="2" t="s">
        <v>624</v>
      </c>
      <c r="E4526" s="2" t="s">
        <v>38</v>
      </c>
      <c r="F4526" s="2" t="s">
        <v>39</v>
      </c>
      <c r="G4526" s="2" t="s">
        <v>625</v>
      </c>
      <c r="H4526" s="2" t="s">
        <v>40</v>
      </c>
      <c r="I4526" s="2" t="s">
        <v>626</v>
      </c>
      <c r="J4526" s="2" t="s">
        <v>627</v>
      </c>
      <c r="L4526" s="2" t="s">
        <v>626</v>
      </c>
      <c r="M4526" s="2" t="s">
        <v>40</v>
      </c>
      <c r="P4526" s="2" t="s">
        <v>114</v>
      </c>
      <c r="Q4526" s="2" t="s">
        <v>1300</v>
      </c>
      <c r="R4526" s="2" t="s">
        <v>1301</v>
      </c>
      <c r="S4526" s="13">
        <v>3</v>
      </c>
      <c r="T4526" s="14">
        <v>31.65</v>
      </c>
      <c r="V4526" s="2">
        <v>31.65</v>
      </c>
      <c r="W4526" s="2">
        <f>(5.2+0.11)*S4526</f>
        <v>15.930000000000001</v>
      </c>
      <c r="X4526" s="5">
        <f t="shared" si="705"/>
        <v>0.49668246445497621</v>
      </c>
      <c r="Y4526" s="2" t="s">
        <v>3301</v>
      </c>
      <c r="Z4526" s="2" t="s">
        <v>117</v>
      </c>
      <c r="AA4526" s="2" t="s">
        <v>118</v>
      </c>
      <c r="AB4526" s="2" t="s">
        <v>119</v>
      </c>
      <c r="AC4526" s="2" t="s">
        <v>114</v>
      </c>
      <c r="AK4526" s="2">
        <f t="shared" si="722"/>
        <v>15.719999999999997</v>
      </c>
      <c r="AL4526" s="5">
        <f t="shared" si="723"/>
        <v>0.49668246445497621</v>
      </c>
    </row>
    <row r="4527" spans="1:38" x14ac:dyDescent="0.2">
      <c r="A4527" s="2">
        <v>2026</v>
      </c>
      <c r="B4527" s="2">
        <v>7</v>
      </c>
      <c r="C4527" s="2" t="s">
        <v>3476</v>
      </c>
      <c r="D4527" s="2" t="s">
        <v>1119</v>
      </c>
      <c r="E4527" s="2" t="s">
        <v>108</v>
      </c>
      <c r="F4527" s="2" t="s">
        <v>477</v>
      </c>
      <c r="L4527" s="2" t="s">
        <v>99</v>
      </c>
      <c r="M4527" s="2" t="s">
        <v>40</v>
      </c>
      <c r="P4527" s="2" t="s">
        <v>114</v>
      </c>
      <c r="Q4527" s="2" t="s">
        <v>808</v>
      </c>
      <c r="R4527" s="2" t="s">
        <v>809</v>
      </c>
      <c r="S4527" s="13">
        <v>1</v>
      </c>
      <c r="T4527" s="14">
        <v>83.79</v>
      </c>
      <c r="U4527" s="2">
        <f>T4527*23%</f>
        <v>19.271700000000003</v>
      </c>
      <c r="V4527" s="12">
        <f>T4527+U4527</f>
        <v>103.0617</v>
      </c>
      <c r="W4527" s="2">
        <v>40.357500000000002</v>
      </c>
      <c r="X4527" s="5">
        <f t="shared" si="705"/>
        <v>0.51834944504117442</v>
      </c>
      <c r="Y4527" s="2" t="s">
        <v>2540</v>
      </c>
      <c r="Z4527" s="2" t="s">
        <v>117</v>
      </c>
      <c r="AA4527" s="2" t="s">
        <v>118</v>
      </c>
      <c r="AB4527" s="2" t="s">
        <v>119</v>
      </c>
      <c r="AC4527" s="2" t="s">
        <v>114</v>
      </c>
      <c r="AK4527" s="2">
        <f t="shared" si="722"/>
        <v>43.432500000000005</v>
      </c>
      <c r="AL4527" s="5">
        <f t="shared" si="723"/>
        <v>0.51834944504117442</v>
      </c>
    </row>
    <row r="4528" spans="1:38" x14ac:dyDescent="0.2">
      <c r="A4528" s="2">
        <v>2026</v>
      </c>
      <c r="B4528" s="2">
        <v>7</v>
      </c>
      <c r="C4528" s="2" t="s">
        <v>3476</v>
      </c>
      <c r="D4528" s="2" t="s">
        <v>1119</v>
      </c>
      <c r="E4528" s="2" t="s">
        <v>108</v>
      </c>
      <c r="F4528" s="2" t="s">
        <v>477</v>
      </c>
      <c r="L4528" s="2" t="s">
        <v>99</v>
      </c>
      <c r="M4528" s="2" t="s">
        <v>40</v>
      </c>
      <c r="P4528" s="2" t="s">
        <v>187</v>
      </c>
      <c r="Q4528" s="2" t="s">
        <v>188</v>
      </c>
      <c r="R4528" s="2" t="s">
        <v>189</v>
      </c>
      <c r="S4528" s="13">
        <v>1</v>
      </c>
      <c r="T4528" s="14">
        <v>60</v>
      </c>
      <c r="U4528" s="2">
        <f t="shared" ref="U4528:U4529" si="726">T4528*23%</f>
        <v>13.8</v>
      </c>
      <c r="V4528" s="12">
        <f t="shared" ref="V4528:V4529" si="727">T4528+U4528</f>
        <v>73.8</v>
      </c>
      <c r="W4528" s="2">
        <f>T4528*40%</f>
        <v>24</v>
      </c>
      <c r="X4528" s="5">
        <f t="shared" si="705"/>
        <v>0.6</v>
      </c>
      <c r="Y4528" s="2" t="s">
        <v>2540</v>
      </c>
      <c r="Z4528" s="2" t="s">
        <v>117</v>
      </c>
      <c r="AA4528" s="2" t="s">
        <v>190</v>
      </c>
      <c r="AB4528" s="2" t="s">
        <v>189</v>
      </c>
      <c r="AC4528" s="2" t="s">
        <v>40</v>
      </c>
      <c r="AK4528" s="2">
        <f t="shared" si="722"/>
        <v>36</v>
      </c>
      <c r="AL4528" s="5">
        <f t="shared" si="723"/>
        <v>0.6</v>
      </c>
    </row>
    <row r="4529" spans="13:38" x14ac:dyDescent="0.2">
      <c r="M4529" s="2" t="s">
        <v>40</v>
      </c>
      <c r="P4529" s="2" t="s">
        <v>187</v>
      </c>
      <c r="Q4529" s="2" t="s">
        <v>191</v>
      </c>
      <c r="R4529" s="2" t="s">
        <v>190</v>
      </c>
      <c r="S4529" s="13">
        <v>2</v>
      </c>
      <c r="T4529" s="14">
        <v>110</v>
      </c>
      <c r="U4529" s="2">
        <f t="shared" si="726"/>
        <v>25.3</v>
      </c>
      <c r="V4529" s="12">
        <f t="shared" si="727"/>
        <v>135.30000000000001</v>
      </c>
      <c r="W4529" s="2">
        <f>T4529*50%</f>
        <v>55</v>
      </c>
      <c r="X4529" s="5">
        <f t="shared" si="705"/>
        <v>0.5</v>
      </c>
      <c r="Y4529" s="2" t="s">
        <v>2540</v>
      </c>
      <c r="Z4529" s="2" t="s">
        <v>117</v>
      </c>
      <c r="AA4529" s="2" t="s">
        <v>190</v>
      </c>
      <c r="AB4529" s="2" t="s">
        <v>190</v>
      </c>
      <c r="AC4529" s="2" t="s">
        <v>40</v>
      </c>
      <c r="AK4529" s="2">
        <f t="shared" si="722"/>
        <v>55</v>
      </c>
      <c r="AL4529" s="5">
        <f t="shared" si="723"/>
        <v>0.5</v>
      </c>
    </row>
  </sheetData>
  <autoFilter ref="A1:AL4529" xr:uid="{00000000-0001-0000-0000-000000000000}"/>
  <sortState xmlns:xlrd2="http://schemas.microsoft.com/office/spreadsheetml/2017/richdata2" ref="A2:AL4276">
    <sortCondition ref="A2:A4276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2026-07-29T18:01:29Z</dcterms:modified>
</cp:coreProperties>
</file>